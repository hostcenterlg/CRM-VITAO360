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ÇÃO" sheetId="1" state="visible" r:id="rId3"/>
    <sheet name="Resumo" sheetId="2" state="visible" r:id="rId4"/>
    <sheet name="Historico" sheetId="3" state="visible" r:id="rId5"/>
    <sheet name="Interno" sheetId="4" state="visible" r:id="rId6"/>
    <sheet name="Status Clientes" sheetId="5" state="visible" r:id="rId7"/>
    <sheet name="Ciclo do Cliente" sheetId="6" state="visible" r:id="rId8"/>
    <sheet name="SINALEIRO_REDES" sheetId="7" state="visible" r:id="rId9"/>
    <sheet name="PAINEL_REDES" sheetId="8" state="visible" r:id="rId10"/>
    <sheet name="PARAMETROS" sheetId="9" state="visible" r:id="rId11"/>
    <sheet name="PLANO_ACAO" sheetId="10" state="visible" r:id="rId12"/>
    <sheet name="CADENCIA" sheetId="11" state="visible" r:id="rId13"/>
    <sheet name="MOTOR" sheetId="12" state="visible" r:id="rId14"/>
    <sheet name="REGRAS" sheetId="13" state="visible" r:id="rId15"/>
    <sheet name="LEIA-ME" sheetId="14" state="visible" r:id="rId16"/>
  </sheets>
  <calcPr iterateCount="100" refMode="A1" iterate="false" iterateDelta="0.0001"/>
  <extLst>
    <ext xmlns:x14="http://schemas.microsoft.com/office/spreadsheetml/2009/9/main" uri="{BBE1A952-AA13-448e-AADC-164F8A28A991}">
      <x14:slicerCaches>
        <x14:slicerCache r:id="rIdSC1"/>
        <x14:slicerCache r:id="rIdSC2"/>
        <x14:slicerCache r:id="rIdSC3"/>
        <x14:slicerCache r:id="rIdSC4"/>
        <x14:slicerCache r:id="rIdSC5"/>
      </x14:slicerCaches>
    </ext>
  </extLst>
</workbook>
</file>

<file path=xl/sharedStrings.xml><?xml version="1.0" encoding="utf-8"?>
<sst xmlns="http://schemas.openxmlformats.org/spreadsheetml/2006/main" count="19633" uniqueCount="1931">
  <si>
    <t xml:space="preserve">PROJEÇÃO — META SAP + SINALEIRO DE ATINGIMENTO</t>
  </si>
  <si>
    <t xml:space="preserve">🏪 SINALEIRO REDES DE FRANQUIAS</t>
  </si>
  <si>
    <t xml:space="preserve">META CLIENTE IGUALITÁRIA</t>
  </si>
  <si>
    <t xml:space="preserve">⚡ ATIVAR SLICERS: Inserir &gt; Segmentação de Dados &gt; marcar: UF, CONSULTOR, SEMÁFORO, TIPO CARTEIRA, REDE</t>
  </si>
  <si>
    <t xml:space="preserve">META COMPENSADA DINÂMICA</t>
  </si>
  <si>
    <t xml:space="preserve"> IDENTIFICAÇÃO</t>
  </si>
  <si>
    <t xml:space="preserve">LOCALIZAÇÃO</t>
  </si>
  <si>
    <t xml:space="preserve"> SINALEIRO REDE</t>
  </si>
  <si>
    <t xml:space="preserve">META MENSAL (SAP)</t>
  </si>
  <si>
    <t xml:space="preserve"> REALIZADO MENSAL</t>
  </si>
  <si>
    <t xml:space="preserve"> INDICADORES</t>
  </si>
  <si>
    <t xml:space="preserve">GRUPO</t>
  </si>
  <si>
    <t xml:space="preserve">CLIENTES</t>
  </si>
  <si>
    <t xml:space="preserve">C/ VENDA</t>
  </si>
  <si>
    <t xml:space="preserve">META R$</t>
  </si>
  <si>
    <t xml:space="preserve">FAT. REAL R$</t>
  </si>
  <si>
    <t xml:space="preserve">SINALEIRO %</t>
  </si>
  <si>
    <t xml:space="preserve">COR</t>
  </si>
  <si>
    <t xml:space="preserve">AÇÃO</t>
  </si>
  <si>
    <t xml:space="preserve"> META POR CLIENTE  (Ticket Médio)</t>
  </si>
  <si>
    <t xml:space="preserve">.</t>
  </si>
  <si>
    <t xml:space="preserve">⚡ META COMPENSADA (Dinâmica)</t>
  </si>
  <si>
    <t xml:space="preserve">FILTROS SLICER</t>
  </si>
  <si>
    <t xml:space="preserve">CNPJ</t>
  </si>
  <si>
    <t xml:space="preserve">NOME FANTASIA</t>
  </si>
  <si>
    <t xml:space="preserve">REDE / GRUPO CHAVE</t>
  </si>
  <si>
    <t xml:space="preserve">CONSULTOR</t>
  </si>
  <si>
    <t xml:space="preserve">UF</t>
  </si>
  <si>
    <t xml:space="preserve">TOTAL LOJAS</t>
  </si>
  <si>
    <t xml:space="preserve">COR SINALEIRO</t>
  </si>
  <si>
    <t xml:space="preserve">AÇÃO GRUPO</t>
  </si>
  <si>
    <t xml:space="preserve">_sep_10</t>
  </si>
  <si>
    <t xml:space="preserve">REGIÃO</t>
  </si>
  <si>
    <t xml:space="preserve">META ANUAL</t>
  </si>
  <si>
    <t xml:space="preserve">META JAN</t>
  </si>
  <si>
    <t xml:space="preserve">META FEV</t>
  </si>
  <si>
    <t xml:space="preserve">META MAR</t>
  </si>
  <si>
    <t xml:space="preserve">META ABR</t>
  </si>
  <si>
    <t xml:space="preserve">META MAI</t>
  </si>
  <si>
    <t xml:space="preserve">META JUN</t>
  </si>
  <si>
    <t xml:space="preserve">META JUL</t>
  </si>
  <si>
    <t xml:space="preserve">META AGO</t>
  </si>
  <si>
    <t xml:space="preserve">META SET</t>
  </si>
  <si>
    <t xml:space="preserve">META OUT</t>
  </si>
  <si>
    <t xml:space="preserve">META NOV</t>
  </si>
  <si>
    <t xml:space="preserve">META DEZ</t>
  </si>
  <si>
    <t xml:space="preserve">_sep_25</t>
  </si>
  <si>
    <t xml:space="preserve">REAL ANUAL</t>
  </si>
  <si>
    <t xml:space="preserve">REAL JAN</t>
  </si>
  <si>
    <t xml:space="preserve">REAL FEV</t>
  </si>
  <si>
    <t xml:space="preserve">REAL MAR</t>
  </si>
  <si>
    <t xml:space="preserve">REAL ABR</t>
  </si>
  <si>
    <t xml:space="preserve">REAL MAI</t>
  </si>
  <si>
    <t xml:space="preserve">REAL JUN</t>
  </si>
  <si>
    <t xml:space="preserve">REAL JUL</t>
  </si>
  <si>
    <t xml:space="preserve">REAL AGO</t>
  </si>
  <si>
    <t xml:space="preserve">REAL SET</t>
  </si>
  <si>
    <t xml:space="preserve">REAL OUT</t>
  </si>
  <si>
    <t xml:space="preserve">REAL NOV</t>
  </si>
  <si>
    <t xml:space="preserve">REAL DEZ</t>
  </si>
  <si>
    <t xml:space="preserve">_sep_39</t>
  </si>
  <si>
    <t xml:space="preserve">% YTD</t>
  </si>
  <si>
    <t xml:space="preserve">🚦 SINAL META</t>
  </si>
  <si>
    <t xml:space="preserve">GAP</t>
  </si>
  <si>
    <t xml:space="preserve">RANKING</t>
  </si>
  <si>
    <t xml:space="preserve">_sep_44</t>
  </si>
  <si>
    <t xml:space="preserve">FITLAND</t>
  </si>
  <si>
    <t xml:space="preserve">DIST ANUAL</t>
  </si>
  <si>
    <t xml:space="preserve">DIST JAN</t>
  </si>
  <si>
    <t xml:space="preserve">DIST FEV</t>
  </si>
  <si>
    <t xml:space="preserve">DIST MAR</t>
  </si>
  <si>
    <t xml:space="preserve">DIST ABR</t>
  </si>
  <si>
    <t xml:space="preserve">DIST MAI</t>
  </si>
  <si>
    <t xml:space="preserve">DIST JUN</t>
  </si>
  <si>
    <t xml:space="preserve">DIST JUL</t>
  </si>
  <si>
    <t xml:space="preserve">DIST AGO</t>
  </si>
  <si>
    <t xml:space="preserve">DIST SET</t>
  </si>
  <si>
    <t xml:space="preserve">DIST OUT</t>
  </si>
  <si>
    <t xml:space="preserve">DIST NOV</t>
  </si>
  <si>
    <t xml:space="preserve">DIST DEZ</t>
  </si>
  <si>
    <t xml:space="preserve">._67</t>
  </si>
  <si>
    <t xml:space="preserve">COMP ANUAL</t>
  </si>
  <si>
    <t xml:space="preserve">COMP JAN</t>
  </si>
  <si>
    <t xml:space="preserve">COMP FEV</t>
  </si>
  <si>
    <t xml:space="preserve">COMP MAR</t>
  </si>
  <si>
    <t xml:space="preserve">COMP ABR</t>
  </si>
  <si>
    <t xml:space="preserve">COMP MAI</t>
  </si>
  <si>
    <t xml:space="preserve">COMP JUN</t>
  </si>
  <si>
    <t xml:space="preserve">COMP JUL</t>
  </si>
  <si>
    <t xml:space="preserve">COMP AGO</t>
  </si>
  <si>
    <t xml:space="preserve">COMP SET</t>
  </si>
  <si>
    <t xml:space="preserve">COMP OUT</t>
  </si>
  <si>
    <t xml:space="preserve">COMP NOV</t>
  </si>
  <si>
    <t xml:space="preserve">COMP DEZ</t>
  </si>
  <si>
    <t xml:space="preserve">SEMÁFORO</t>
  </si>
  <si>
    <t xml:space="preserve">TIPO CARTEIRA</t>
  </si>
  <si>
    <t xml:space="preserve">REDE</t>
  </si>
  <si>
    <t xml:space="preserve">23014826000105</t>
  </si>
  <si>
    <t xml:space="preserve">TROPICAL SUPERMERCADOS LTDA</t>
  </si>
  <si>
    <t xml:space="preserve">CENTRO OESTE</t>
  </si>
  <si>
    <t xml:space="preserve">LARISSA PADILHA</t>
  </si>
  <si>
    <t xml:space="preserve">MT</t>
  </si>
  <si>
    <t xml:space="preserve">CIA DA SAUDE</t>
  </si>
  <si>
    <t xml:space="preserve">🌎 REGIÕES</t>
  </si>
  <si>
    <t xml:space="preserve">SEM REDE</t>
  </si>
  <si>
    <t xml:space="preserve">59673556000191</t>
  </si>
  <si>
    <t xml:space="preserve">SHS IMPORTACAO E EXPORTACAO DE ARTIGOS D</t>
  </si>
  <si>
    <t xml:space="preserve">SUL</t>
  </si>
  <si>
    <t xml:space="preserve">HEMANUELE DITZEL (MANU)</t>
  </si>
  <si>
    <t xml:space="preserve">PR</t>
  </si>
  <si>
    <t xml:space="preserve">DIVINA TERRA</t>
  </si>
  <si>
    <t xml:space="preserve">42535786000191</t>
  </si>
  <si>
    <t xml:space="preserve">BEVILACQUA CEREAIS LTDA - EPP</t>
  </si>
  <si>
    <t xml:space="preserve">RJ + ES + MG</t>
  </si>
  <si>
    <t xml:space="preserve">MG</t>
  </si>
  <si>
    <t xml:space="preserve">VIDA LEVE</t>
  </si>
  <si>
    <t xml:space="preserve">41418074000120</t>
  </si>
  <si>
    <t xml:space="preserve">SIMPLES E SAUDAVEL COMERCIO PRODUTOS NAT</t>
  </si>
  <si>
    <t xml:space="preserve">SP INTERIOR</t>
  </si>
  <si>
    <t xml:space="preserve">SP</t>
  </si>
  <si>
    <t xml:space="preserve">MUNDO VERDE</t>
  </si>
  <si>
    <t xml:space="preserve">00939085000178</t>
  </si>
  <si>
    <t xml:space="preserve">PORT-GALI HOTELARIA E TURISMO LTDA</t>
  </si>
  <si>
    <t xml:space="preserve">SEM GRUPO</t>
  </si>
  <si>
    <t xml:space="preserve">BIO MUNDO</t>
  </si>
  <si>
    <t xml:space="preserve">15265760000106</t>
  </si>
  <si>
    <t xml:space="preserve">A CEREALISSIMA COMERCIO DE PRODUTOS NATU</t>
  </si>
  <si>
    <t xml:space="preserve">GO</t>
  </si>
  <si>
    <t xml:space="preserve">TUDO EM GRAOS</t>
  </si>
  <si>
    <t xml:space="preserve">08895369000111</t>
  </si>
  <si>
    <t xml:space="preserve">ROTTA DO SOL HOTELARIA E TURISMO LTDA</t>
  </si>
  <si>
    <t xml:space="preserve">ARMAZEM FITSTORE</t>
  </si>
  <si>
    <t xml:space="preserve">55615538000283</t>
  </si>
  <si>
    <t xml:space="preserve">COMERCIAL TICAZO HIRATA SA</t>
  </si>
  <si>
    <t xml:space="preserve">TOTAL REDES</t>
  </si>
  <si>
    <t xml:space="preserve">34924371000181</t>
  </si>
  <si>
    <t xml:space="preserve">SOARES DISTRIBUIDORA DE PRODUTOS EM GERA</t>
  </si>
  <si>
    <t xml:space="preserve">41887017000190</t>
  </si>
  <si>
    <t xml:space="preserve">CHOKOLATEN ALIMENTOS INDUSTRIA E COMERCI</t>
  </si>
  <si>
    <t xml:space="preserve">SC</t>
  </si>
  <si>
    <t xml:space="preserve">🌎 SINALEIRO REGIÕES</t>
  </si>
  <si>
    <t xml:space="preserve">31545180000110</t>
  </si>
  <si>
    <t xml:space="preserve">NATURALIS PRODUTOS NATURAIS LTDA - EPP</t>
  </si>
  <si>
    <t xml:space="preserve">34901637000170</t>
  </si>
  <si>
    <t xml:space="preserve">MERCANTIL SALES LTDA - ME</t>
  </si>
  <si>
    <t xml:space="preserve">NORTE + MA</t>
  </si>
  <si>
    <t xml:space="preserve">PA</t>
  </si>
  <si>
    <t xml:space="preserve">14133092000192</t>
  </si>
  <si>
    <t xml:space="preserve">BESCO INDUSTRIAL DE ALIMENTOS LTDA - ME</t>
  </si>
  <si>
    <t xml:space="preserve">SP CAPITAL</t>
  </si>
  <si>
    <t xml:space="preserve">80230774000148</t>
  </si>
  <si>
    <t xml:space="preserve">COOP. CENTRAL CREDITO, POUPANCA E INVEST</t>
  </si>
  <si>
    <t xml:space="preserve">31599810000130</t>
  </si>
  <si>
    <t xml:space="preserve">ALANA GARCIA MOREIRA SUARES DA SILVA - M</t>
  </si>
  <si>
    <t xml:space="preserve">05382867000253</t>
  </si>
  <si>
    <t xml:space="preserve">SUPERMERCADO MERCOCENTRO LTDA</t>
  </si>
  <si>
    <t xml:space="preserve">54211982000190</t>
  </si>
  <si>
    <t xml:space="preserve">MAGOGA HORTIFRUTI LTDA - EPP</t>
  </si>
  <si>
    <t xml:space="preserve">NORDESTE (SEM MA)</t>
  </si>
  <si>
    <t xml:space="preserve">01005782000114</t>
  </si>
  <si>
    <t xml:space="preserve">ORGANIZACAO BARATELLA E BALTAZAR EVENTOS</t>
  </si>
  <si>
    <t xml:space="preserve">37370567000160</t>
  </si>
  <si>
    <t xml:space="preserve">KAROLINE SABINO DA SILVA - ME</t>
  </si>
  <si>
    <t xml:space="preserve">13495805000103</t>
  </si>
  <si>
    <t xml:space="preserve">E-LABORE COMERCIO DE PRODUTOS ALIMENTICI</t>
  </si>
  <si>
    <t xml:space="preserve">TOTAL REGIÕES</t>
  </si>
  <si>
    <t xml:space="preserve">35751273000152</t>
  </si>
  <si>
    <t xml:space="preserve">SR A GRANEL - PRODUTOS NATURAIS LTDA - E</t>
  </si>
  <si>
    <t xml:space="preserve">24337192000194</t>
  </si>
  <si>
    <t xml:space="preserve">ATLAS BRASIL COMERCIALIZADORA DE ENERGIA</t>
  </si>
  <si>
    <t xml:space="preserve">👤 SINALEIRO CONSULTORES</t>
  </si>
  <si>
    <t xml:space="preserve">34060666000157</t>
  </si>
  <si>
    <t xml:space="preserve">WILSON DE REZENDE PENHA - ME</t>
  </si>
  <si>
    <t xml:space="preserve">45161877000100</t>
  </si>
  <si>
    <t xml:space="preserve">JANAINA GREICE VANDERLINDE - ME</t>
  </si>
  <si>
    <t xml:space="preserve">JULIO GADRET</t>
  </si>
  <si>
    <t xml:space="preserve">🏪 REDES</t>
  </si>
  <si>
    <t xml:space="preserve">46814160000175</t>
  </si>
  <si>
    <t xml:space="preserve">NATURE COMERCIO E DISTRIBUICAO - ME</t>
  </si>
  <si>
    <t xml:space="preserve">60502242000105</t>
  </si>
  <si>
    <t xml:space="preserve">ASSOCIACAO DE PAIS E AMIGOS DOSEXCEPCION</t>
  </si>
  <si>
    <t xml:space="preserve">09185428000473</t>
  </si>
  <si>
    <t xml:space="preserve">NATURVIDA MERCADO SAUDAVEL LTDA - ME</t>
  </si>
  <si>
    <t xml:space="preserve">NATURVIDA</t>
  </si>
  <si>
    <t xml:space="preserve">DAIANE STAVICKI</t>
  </si>
  <si>
    <t xml:space="preserve">42045188000134</t>
  </si>
  <si>
    <t xml:space="preserve">K V DE CARLI MARTINS COMERCIO DE ALIMENT</t>
  </si>
  <si>
    <t xml:space="preserve">PE</t>
  </si>
  <si>
    <t xml:space="preserve">TOTAL EQUIPE</t>
  </si>
  <si>
    <t xml:space="preserve">37974794000102</t>
  </si>
  <si>
    <t xml:space="preserve">CRISTIANE NIETO ARANTES LTDA - ME</t>
  </si>
  <si>
    <t xml:space="preserve">07316826000103</t>
  </si>
  <si>
    <t xml:space="preserve">SUPERMERCADO S &amp; V LTDA - EPP</t>
  </si>
  <si>
    <t xml:space="preserve">📋 LEGENDA</t>
  </si>
  <si>
    <t xml:space="preserve">49300020000177</t>
  </si>
  <si>
    <t xml:space="preserve">BIOLIZ COMERCIO DE PRODUTOS NATURAIS LTD</t>
  </si>
  <si>
    <t xml:space="preserve">RS</t>
  </si>
  <si>
    <t xml:space="preserve">🟢 VERDE ≥60% → JBP</t>
  </si>
  <si>
    <t xml:space="preserve">04755895000125</t>
  </si>
  <si>
    <t xml:space="preserve">SUPERMERCADO CASTILHO DE CAFELANDIA LTDA</t>
  </si>
  <si>
    <t xml:space="preserve">🟡 AMARELO 40-60% → Sell Out</t>
  </si>
  <si>
    <t xml:space="preserve">49982339000120</t>
  </si>
  <si>
    <t xml:space="preserve">MDORNELLAS PRODUTOS NATURAIS E SUPLEMENT</t>
  </si>
  <si>
    <t xml:space="preserve">🔴 VERMELHO 1-40% → Ativação/Positivação</t>
  </si>
  <si>
    <t xml:space="preserve">58072623000150</t>
  </si>
  <si>
    <t xml:space="preserve">KLOSTERMANN NUTRICAO LTDA</t>
  </si>
  <si>
    <t xml:space="preserve">🟣 ROXO &lt;1% → Prospecção</t>
  </si>
  <si>
    <t xml:space="preserve">40917018000177</t>
  </si>
  <si>
    <t xml:space="preserve">EPC PRODUTOS NATURAIS E SUPLEMENTACAO LT</t>
  </si>
  <si>
    <t xml:space="preserve">53304073000133</t>
  </si>
  <si>
    <t xml:space="preserve">ECAMP PRODUTOS NATURAIS E SUPLEMENTOS LT</t>
  </si>
  <si>
    <t xml:space="preserve">SINALEIRO % = FAT REAL ÷ META SAP</t>
  </si>
  <si>
    <t xml:space="preserve">76726884000128</t>
  </si>
  <si>
    <t xml:space="preserve">INSTITUICAO ADVENTISTA SUL BRASILEIRA DE</t>
  </si>
  <si>
    <t xml:space="preserve">Todas as fórmulas são dinâmicas (COUNTIF/SUMIF)</t>
  </si>
  <si>
    <t xml:space="preserve">55699460000141</t>
  </si>
  <si>
    <t xml:space="preserve">AGRANOLLA GRAOS DE SAUDE LTDA - ME</t>
  </si>
  <si>
    <t xml:space="preserve">Atualiza automaticamente conforme entra faturamento</t>
  </si>
  <si>
    <t xml:space="preserve">41069473000122</t>
  </si>
  <si>
    <t xml:space="preserve">MERCADO FIT &amp; GRANEL PRODUTOS NATURAIS L</t>
  </si>
  <si>
    <t xml:space="preserve">16762003000100</t>
  </si>
  <si>
    <t xml:space="preserve">VITA PRODUTOS NATURAIS GTBA LTDA - ME</t>
  </si>
  <si>
    <t xml:space="preserve">30880916000144</t>
  </si>
  <si>
    <t xml:space="preserve">ALEXANDRE VIEIRA KISNER - ALIMENTOS - ME</t>
  </si>
  <si>
    <t xml:space="preserve">51213425000110</t>
  </si>
  <si>
    <t xml:space="preserve">JARDIM DO GRANEL COMERCIO DE ALIMENTOS L</t>
  </si>
  <si>
    <t xml:space="preserve">07523884000108</t>
  </si>
  <si>
    <t xml:space="preserve">COMERCIAL DE ALIMENTOS SIQUEIRA LTDA - M</t>
  </si>
  <si>
    <t xml:space="preserve">15428647000196</t>
  </si>
  <si>
    <t xml:space="preserve">R DOS SANTOS COSTA CAMATTI LTDA - EPP</t>
  </si>
  <si>
    <t xml:space="preserve">30289781000147</t>
  </si>
  <si>
    <t xml:space="preserve">BATEL GOURMET ARMAZEM, EMPORIO E HORTIFR</t>
  </si>
  <si>
    <t xml:space="preserve">09185428000392</t>
  </si>
  <si>
    <t xml:space="preserve">55483453000108</t>
  </si>
  <si>
    <t xml:space="preserve">MADOR PRODUTOS NATURAIS E SUPLEMENTOS LT</t>
  </si>
  <si>
    <t xml:space="preserve">07621230000117</t>
  </si>
  <si>
    <t xml:space="preserve">CASA MISSAO COMERCIO DE PRODUTOS NATURAI</t>
  </si>
  <si>
    <t xml:space="preserve">24583557000322</t>
  </si>
  <si>
    <t xml:space="preserve">SHOPPER COMERCIO ALIMENTICIO LTDA</t>
  </si>
  <si>
    <t xml:space="preserve">58434075000160</t>
  </si>
  <si>
    <t xml:space="preserve">MISTER GRAOS SS MOCOQUINHA LTDA - ME</t>
  </si>
  <si>
    <t xml:space="preserve">34404590000130</t>
  </si>
  <si>
    <t xml:space="preserve">JOAO COSTA SOARES E CIA LTDA</t>
  </si>
  <si>
    <t xml:space="preserve">BA</t>
  </si>
  <si>
    <t xml:space="preserve">48097578000134</t>
  </si>
  <si>
    <t xml:space="preserve">SALAH UD DIN ALE CHARKIE LTDA - ME</t>
  </si>
  <si>
    <t xml:space="preserve">57185527000155</t>
  </si>
  <si>
    <t xml:space="preserve">A.M.MENDANHA LTDA- ME</t>
  </si>
  <si>
    <t xml:space="preserve">16548054000126</t>
  </si>
  <si>
    <t xml:space="preserve">R B COMERCIO DE COSMETICOS LTDA - ME</t>
  </si>
  <si>
    <t xml:space="preserve">ES</t>
  </si>
  <si>
    <t xml:space="preserve">02672868000163</t>
  </si>
  <si>
    <t xml:space="preserve">PACOMIL PAVAO COMERCIAL MINEIRO LTDA</t>
  </si>
  <si>
    <t xml:space="preserve">17880439000230</t>
  </si>
  <si>
    <t xml:space="preserve">MAIS NATURAL COMERCIO DE PRODUTOS NATURA</t>
  </si>
  <si>
    <t xml:space="preserve">MAIS NATURAL</t>
  </si>
  <si>
    <t xml:space="preserve">41626544000140</t>
  </si>
  <si>
    <t xml:space="preserve">ALICE NO PAIS DOS GRAOS COMERCIO DE ALIM</t>
  </si>
  <si>
    <t xml:space="preserve">49366518000132</t>
  </si>
  <si>
    <t xml:space="preserve">BERBERIAN OLIVEIRA COMERCIO LTDA - ME</t>
  </si>
  <si>
    <t xml:space="preserve">RJ</t>
  </si>
  <si>
    <t xml:space="preserve">29841719000137</t>
  </si>
  <si>
    <t xml:space="preserve">SALLES &amp; SALLES LTDA - EPP</t>
  </si>
  <si>
    <t xml:space="preserve">MS</t>
  </si>
  <si>
    <t xml:space="preserve">50353207000118</t>
  </si>
  <si>
    <t xml:space="preserve">COMPRE FACIL LTDA - ME</t>
  </si>
  <si>
    <t xml:space="preserve">09088606000103</t>
  </si>
  <si>
    <t xml:space="preserve">FMC COMERCIO LTDA - EPP</t>
  </si>
  <si>
    <t xml:space="preserve">22332946000198</t>
  </si>
  <si>
    <t xml:space="preserve">EMPORIO POMAR URBANO ALIMENTOS LTDA</t>
  </si>
  <si>
    <t xml:space="preserve">05589673000142</t>
  </si>
  <si>
    <t xml:space="preserve">NUTRICROK ALIMENTOS LTDA</t>
  </si>
  <si>
    <t xml:space="preserve">15415386000170</t>
  </si>
  <si>
    <t xml:space="preserve">DI MANGIARE ALIMENTOS LTDA ME</t>
  </si>
  <si>
    <t xml:space="preserve">80204332000208</t>
  </si>
  <si>
    <t xml:space="preserve">TRIP COMESTIVEIS E SERVICOS LTDA - EPP</t>
  </si>
  <si>
    <t xml:space="preserve">TRIP</t>
  </si>
  <si>
    <t xml:space="preserve">10337748000138</t>
  </si>
  <si>
    <t xml:space="preserve">SUPERMERCADO NATIANAS LTDA</t>
  </si>
  <si>
    <t xml:space="preserve">43922481000286</t>
  </si>
  <si>
    <t xml:space="preserve">P H V MOTA - EPP</t>
  </si>
  <si>
    <t xml:space="preserve">TO</t>
  </si>
  <si>
    <t xml:space="preserve">28088475000109</t>
  </si>
  <si>
    <t xml:space="preserve">NATU &amp; FIT LTDA - ME</t>
  </si>
  <si>
    <t xml:space="preserve">34404590000300</t>
  </si>
  <si>
    <t xml:space="preserve">11322507000188</t>
  </si>
  <si>
    <t xml:space="preserve">IRMAOS PEDROSA LTDA</t>
  </si>
  <si>
    <t xml:space="preserve">04067573000193</t>
  </si>
  <si>
    <t xml:space="preserve">DISTRIBUIDORA LIGEIRINHO DE PRODUTOS ALI</t>
  </si>
  <si>
    <t xml:space="preserve">LIGEIRINHO</t>
  </si>
  <si>
    <t xml:space="preserve">58429130000124</t>
  </si>
  <si>
    <t xml:space="preserve">DS COMERCIAL LTDA - ME</t>
  </si>
  <si>
    <t xml:space="preserve">09185428000120</t>
  </si>
  <si>
    <t xml:space="preserve">61327765000125</t>
  </si>
  <si>
    <t xml:space="preserve">CARLA P DA SILVA LTDA - ME</t>
  </si>
  <si>
    <t xml:space="preserve">01385423000130</t>
  </si>
  <si>
    <t xml:space="preserve">REDE NOVO TEMPO DE COMUNICACAO</t>
  </si>
  <si>
    <t xml:space="preserve">46945954000178</t>
  </si>
  <si>
    <t xml:space="preserve">BIO SC COMERCIO DE ALIMENTOS LTDA - ME</t>
  </si>
  <si>
    <t xml:space="preserve">55717635000104</t>
  </si>
  <si>
    <t xml:space="preserve">EPERCAM PRODUTOS NATURAIS E SUPLEMENTOS</t>
  </si>
  <si>
    <t xml:space="preserve">03554611000331</t>
  </si>
  <si>
    <t xml:space="preserve">HOTEL CURITIBA CAPITAL S/A</t>
  </si>
  <si>
    <t xml:space="preserve">06982791000189</t>
  </si>
  <si>
    <t xml:space="preserve">OSANA PAULETTI LTDA - EPP</t>
  </si>
  <si>
    <t xml:space="preserve">07192414001342</t>
  </si>
  <si>
    <t xml:space="preserve">COSTA OESTE SERVICOS LTDA</t>
  </si>
  <si>
    <t xml:space="preserve">31727331000151</t>
  </si>
  <si>
    <t xml:space="preserve">PIQUINIQUE FRESH FOOD LTDA - ME</t>
  </si>
  <si>
    <t xml:space="preserve">35762961000118</t>
  </si>
  <si>
    <t xml:space="preserve">SOUSA COMERCIO LTDA - ME</t>
  </si>
  <si>
    <t xml:space="preserve">DF</t>
  </si>
  <si>
    <t xml:space="preserve">59794577000165</t>
  </si>
  <si>
    <t xml:space="preserve">MAIARA ISABEL PINTO LTDA - ME</t>
  </si>
  <si>
    <t xml:space="preserve">39358176000155</t>
  </si>
  <si>
    <t xml:space="preserve">MQ SOLUCOES LTDA - ME</t>
  </si>
  <si>
    <t xml:space="preserve">12659548000127</t>
  </si>
  <si>
    <t xml:space="preserve">ISOLETE SCHUENKE GAEDKE - EPP</t>
  </si>
  <si>
    <t xml:space="preserve">43732530000137</t>
  </si>
  <si>
    <t xml:space="preserve">FIT SJB COMERCIO DE SUPLEMENTOS E PRODUT</t>
  </si>
  <si>
    <t xml:space="preserve">07869626000340</t>
  </si>
  <si>
    <t xml:space="preserve">E. B. ALMEIDA COMERCIO E TRANSPORTE LTDA</t>
  </si>
  <si>
    <t xml:space="preserve">52261228000210</t>
  </si>
  <si>
    <t xml:space="preserve">L &amp; M NUTRICAO LTDA - ME</t>
  </si>
  <si>
    <t xml:space="preserve">43590125000121</t>
  </si>
  <si>
    <t xml:space="preserve">GRAO E VIDA PRODUTOS NATURAIS ITURAMA LT</t>
  </si>
  <si>
    <t xml:space="preserve">31983992000148</t>
  </si>
  <si>
    <t xml:space="preserve">PRO ABELHA COMERCIO E IND PROD ALIMENTCI</t>
  </si>
  <si>
    <t xml:space="preserve">48506346000192</t>
  </si>
  <si>
    <t xml:space="preserve">REDE HIPER GRAOS RODOVIARIA RJ COMERCIOL</t>
  </si>
  <si>
    <t xml:space="preserve">49336255000119</t>
  </si>
  <si>
    <t xml:space="preserve">EVORA GASTRONOMIA COMERCIO ALIMENTACAO L</t>
  </si>
  <si>
    <t xml:space="preserve">58249963000103</t>
  </si>
  <si>
    <t xml:space="preserve">'+VERDE PRODUTOS NATURAIS E SUPLEMENTOS L</t>
  </si>
  <si>
    <t xml:space="preserve">18078522000171</t>
  </si>
  <si>
    <t xml:space="preserve">MBD CURTY REIS - PRODUTOS NATURAIS - EPP</t>
  </si>
  <si>
    <t xml:space="preserve">39251980000130</t>
  </si>
  <si>
    <t xml:space="preserve">LARISSA AYUMI KAKIHATA 08094869976 - ME</t>
  </si>
  <si>
    <t xml:space="preserve">38614942000132</t>
  </si>
  <si>
    <t xml:space="preserve">ARMAZEM ESTIVA LTDA - ME</t>
  </si>
  <si>
    <t xml:space="preserve">14419497000191</t>
  </si>
  <si>
    <t xml:space="preserve">J.C. DA S. SANTOS - EPP</t>
  </si>
  <si>
    <t xml:space="preserve">80204332000127</t>
  </si>
  <si>
    <t xml:space="preserve">60475933000167</t>
  </si>
  <si>
    <t xml:space="preserve">BV ALIMENTOS LTDA - ME</t>
  </si>
  <si>
    <t xml:space="preserve">57320249000100</t>
  </si>
  <si>
    <t xml:space="preserve">FRANCIJANE MARQUES LEAL - ME</t>
  </si>
  <si>
    <t xml:space="preserve">PI</t>
  </si>
  <si>
    <t xml:space="preserve">50860678000112</t>
  </si>
  <si>
    <t xml:space="preserve">BIOMUNDO ARAGUAINA LTDA - EPP</t>
  </si>
  <si>
    <t xml:space="preserve">28019593000157</t>
  </si>
  <si>
    <t xml:space="preserve">MAIARA LORCA DE OLIVEIRA - ME</t>
  </si>
  <si>
    <t xml:space="preserve">43023380000192</t>
  </si>
  <si>
    <t xml:space="preserve">43.023.380 SOMAR IBRAHEM</t>
  </si>
  <si>
    <t xml:space="preserve">54424504000168</t>
  </si>
  <si>
    <t xml:space="preserve">54.424.504 NAIELLY FERNANDA PINHEIRO SOB</t>
  </si>
  <si>
    <t xml:space="preserve">72500887000198</t>
  </si>
  <si>
    <t xml:space="preserve">REIS COMERCIO DE PRODUTOS NATURAIS LTDA</t>
  </si>
  <si>
    <t xml:space="preserve">18885226000182</t>
  </si>
  <si>
    <t xml:space="preserve">SOLUCAO PRODUTOS NATURAIS E ORGANICOS LT</t>
  </si>
  <si>
    <t xml:space="preserve">41711232000135</t>
  </si>
  <si>
    <t xml:space="preserve">LDP COMERCIO DE PRODUTOS LTDA</t>
  </si>
  <si>
    <t xml:space="preserve">49946160000117</t>
  </si>
  <si>
    <t xml:space="preserve">ANPA COMERCIAL DE ALIMENTOS LTDA - ME</t>
  </si>
  <si>
    <t xml:space="preserve">47766246000213</t>
  </si>
  <si>
    <t xml:space="preserve">FIT PELOTAS COMERCIO DE SUPLEMENTOS EPRO</t>
  </si>
  <si>
    <t xml:space="preserve">49620132000105</t>
  </si>
  <si>
    <t xml:space="preserve">GRAO E VIDA PRODUTOS NATURAIS LTDA - ME</t>
  </si>
  <si>
    <t xml:space="preserve">53754257000103</t>
  </si>
  <si>
    <t xml:space="preserve">ITALO ZILMER BEDERODE LTDA - ME</t>
  </si>
  <si>
    <t xml:space="preserve">18010232000196</t>
  </si>
  <si>
    <t xml:space="preserve">GRANUM CAFE LTDA</t>
  </si>
  <si>
    <t xml:space="preserve">58363567000102</t>
  </si>
  <si>
    <t xml:space="preserve">CSJ BRASIL ALIMENTOS LTDA - ME</t>
  </si>
  <si>
    <t xml:space="preserve">35743795000102</t>
  </si>
  <si>
    <t xml:space="preserve">AM-FRESH MINI MERCADO LTDA -ME</t>
  </si>
  <si>
    <t xml:space="preserve">32203302000153</t>
  </si>
  <si>
    <t xml:space="preserve">LORENA TEIXEIRA CARDOSO</t>
  </si>
  <si>
    <t xml:space="preserve">48391847000170</t>
  </si>
  <si>
    <t xml:space="preserve">TRIBO VERDE PRODUTOS NATURAIS LTDA - ME</t>
  </si>
  <si>
    <t xml:space="preserve">52607036000131</t>
  </si>
  <si>
    <t xml:space="preserve">FIT LAGES COMERCIO DE SUPLEMENTOS E PROD</t>
  </si>
  <si>
    <t xml:space="preserve">48252719000146</t>
  </si>
  <si>
    <t xml:space="preserve">J. C. A. DA SILVA LTDA - EPP</t>
  </si>
  <si>
    <t xml:space="preserve">45120770000106</t>
  </si>
  <si>
    <t xml:space="preserve">JAQUELINE MACHADO COUTO 08791417600 - ME</t>
  </si>
  <si>
    <t xml:space="preserve">20161192000125</t>
  </si>
  <si>
    <t xml:space="preserve">CEREAIS SOUZA LTDA - ME</t>
  </si>
  <si>
    <t xml:space="preserve">21691717000105</t>
  </si>
  <si>
    <t xml:space="preserve">ARMAZEM DA 18 COMERCIO DE ALIMENTOS LTDA</t>
  </si>
  <si>
    <t xml:space="preserve">62253704000123</t>
  </si>
  <si>
    <t xml:space="preserve">CASA MACHADO LTDA - ME</t>
  </si>
  <si>
    <t xml:space="preserve">49844222000180</t>
  </si>
  <si>
    <t xml:space="preserve">49.844.222 LUIS CARLOS VIEIRA</t>
  </si>
  <si>
    <t xml:space="preserve">79080602000156</t>
  </si>
  <si>
    <t xml:space="preserve">UNIAO SUL BRASILEIRA DA IGREJA ADVENTIST</t>
  </si>
  <si>
    <t xml:space="preserve">27277961000102</t>
  </si>
  <si>
    <t xml:space="preserve">SUPERMERCADOS PAGOTO LTDA</t>
  </si>
  <si>
    <t xml:space="preserve">06905607000520</t>
  </si>
  <si>
    <t xml:space="preserve">ESMERALDA CONVENIENCIAS LTDA - EPP</t>
  </si>
  <si>
    <t xml:space="preserve">77424281000134</t>
  </si>
  <si>
    <t xml:space="preserve">54.487.016 JACKELINE RABELO TARGAS LINO</t>
  </si>
  <si>
    <t xml:space="preserve">49639041000111</t>
  </si>
  <si>
    <t xml:space="preserve">J F COMERCIO DE ALIMENTOS LTDA - EPP</t>
  </si>
  <si>
    <t xml:space="preserve">06905607000288</t>
  </si>
  <si>
    <t xml:space="preserve">50342650000193</t>
  </si>
  <si>
    <t xml:space="preserve">50.342.650 PRISCILA LILIANE ROSSETO - ME</t>
  </si>
  <si>
    <t xml:space="preserve">21450286000187</t>
  </si>
  <si>
    <t xml:space="preserve">SR INDUSTRIA E COMERCIO DE ALIMENTOS LTD</t>
  </si>
  <si>
    <t xml:space="preserve">00211115000206</t>
  </si>
  <si>
    <t xml:space="preserve">PRODUTOS DA TERRA COM DE CEREAIS PRODNAT</t>
  </si>
  <si>
    <t xml:space="preserve">58188486000113</t>
  </si>
  <si>
    <t xml:space="preserve">58.188.486 TERESINHA PEREIRA DA SILVA NE</t>
  </si>
  <si>
    <t xml:space="preserve">52916686000169</t>
  </si>
  <si>
    <t xml:space="preserve">JRCM EMPREENDIMENTOS MINIMERCADO LTDA -</t>
  </si>
  <si>
    <t xml:space="preserve">54758201000181</t>
  </si>
  <si>
    <t xml:space="preserve">54.758.201 MICAELLE DE MORAES BALDUCI -</t>
  </si>
  <si>
    <t xml:space="preserve">24583557000675</t>
  </si>
  <si>
    <t xml:space="preserve">36833981000103</t>
  </si>
  <si>
    <t xml:space="preserve">R DE S MENESES LTDA - EPP</t>
  </si>
  <si>
    <t xml:space="preserve">MA</t>
  </si>
  <si>
    <t xml:space="preserve">06905607000105</t>
  </si>
  <si>
    <t xml:space="preserve">06905607000440</t>
  </si>
  <si>
    <t xml:space="preserve">06905607000369</t>
  </si>
  <si>
    <t xml:space="preserve">79725255000171</t>
  </si>
  <si>
    <t xml:space="preserve">ALAVER &amp; REZENDE LTDA - ME</t>
  </si>
  <si>
    <t xml:space="preserve">62288560000140</t>
  </si>
  <si>
    <t xml:space="preserve">EMPORIO E HORTIFRUTI SEMENTE DE LUZ LTDA</t>
  </si>
  <si>
    <t xml:space="preserve">22105950000113</t>
  </si>
  <si>
    <t xml:space="preserve">TEMPEROS &amp; MEL LTDA - ME</t>
  </si>
  <si>
    <t xml:space="preserve">22746850000176</t>
  </si>
  <si>
    <t xml:space="preserve">EMPORIO JAYA DISTRIBUICAO DE ALIMENTOS L</t>
  </si>
  <si>
    <t xml:space="preserve">03300974003870</t>
  </si>
  <si>
    <t xml:space="preserve">ELASA - ELO ALIMENTACAO S/A.</t>
  </si>
  <si>
    <t xml:space="preserve">07192414001261</t>
  </si>
  <si>
    <t xml:space="preserve">26240684000273</t>
  </si>
  <si>
    <t xml:space="preserve">FORCE SUPLEMENTOS E PRODUTOS NATURAIS LT</t>
  </si>
  <si>
    <t xml:space="preserve">33778381000193</t>
  </si>
  <si>
    <t xml:space="preserve">GAMA COMERCIO LTDA - ME</t>
  </si>
  <si>
    <t xml:space="preserve">41920449000155</t>
  </si>
  <si>
    <t xml:space="preserve">ANNA PAULA LOPES DE OLIVEIRA 06115863120</t>
  </si>
  <si>
    <t xml:space="preserve">61637299000184</t>
  </si>
  <si>
    <t xml:space="preserve">SO GRANEL MINEIRO COMERCIO DE ALIMENTOS</t>
  </si>
  <si>
    <t xml:space="preserve">60546169000173</t>
  </si>
  <si>
    <t xml:space="preserve">PEDRA BRANCA NUTRICAO LTDA - EPP</t>
  </si>
  <si>
    <t xml:space="preserve">37680783000292</t>
  </si>
  <si>
    <t xml:space="preserve">PICADO S DA TERRA PRODUTOS NATURAIS LTDA</t>
  </si>
  <si>
    <t xml:space="preserve">59633825000196</t>
  </si>
  <si>
    <t xml:space="preserve">PICADO S DA TERRA COMERCIO DE PRODUTOS N</t>
  </si>
  <si>
    <t xml:space="preserve">22853928000151</t>
  </si>
  <si>
    <t xml:space="preserve">BIO FORCE NATURAIS E SUPLEMENTOS - ME</t>
  </si>
  <si>
    <t xml:space="preserve">46992372000142</t>
  </si>
  <si>
    <t xml:space="preserve">H. S. PRODUTOS NATURAIS LTDA - ME</t>
  </si>
  <si>
    <t xml:space="preserve">39695922000104</t>
  </si>
  <si>
    <t xml:space="preserve">39.695.922 LAILA DE CASSIA CORREIASANTOS</t>
  </si>
  <si>
    <t xml:space="preserve">06905607000601</t>
  </si>
  <si>
    <t xml:space="preserve">06905607000792</t>
  </si>
  <si>
    <t xml:space="preserve">33950384000162</t>
  </si>
  <si>
    <t xml:space="preserve">SEVERO SILVA COMERCIO DE PRODUTOS NATURA</t>
  </si>
  <si>
    <t xml:space="preserve">39557193000111</t>
  </si>
  <si>
    <t xml:space="preserve">AE BEM NATURAL LTDA - ME</t>
  </si>
  <si>
    <t xml:space="preserve">03411217000182</t>
  </si>
  <si>
    <t xml:space="preserve">ARROBA EMBALAGENS LTDA</t>
  </si>
  <si>
    <t xml:space="preserve">22180402000158</t>
  </si>
  <si>
    <t xml:space="preserve">22.180.402 CARLA LUCIANA BOCCARDI PALOU</t>
  </si>
  <si>
    <t xml:space="preserve">15626213000109</t>
  </si>
  <si>
    <t xml:space="preserve">IVANILDO BARBOSA DOS SANTOS 08664084874</t>
  </si>
  <si>
    <t xml:space="preserve">AL</t>
  </si>
  <si>
    <t xml:space="preserve">55906608000171</t>
  </si>
  <si>
    <t xml:space="preserve">PADOCA DA BAXA LTDA - ME</t>
  </si>
  <si>
    <t xml:space="preserve">52035194000164</t>
  </si>
  <si>
    <t xml:space="preserve">MOA EMPORIO LTDA - EPP</t>
  </si>
  <si>
    <t xml:space="preserve">54904619000150</t>
  </si>
  <si>
    <t xml:space="preserve">LM NUTRICAO BOMBINHAS LTDA - ME</t>
  </si>
  <si>
    <t xml:space="preserve">32293063000170</t>
  </si>
  <si>
    <t xml:space="preserve">REI DO NORTE PRODUTOS ALIMENTICIOS LTDA</t>
  </si>
  <si>
    <t xml:space="preserve">22787082000107</t>
  </si>
  <si>
    <t xml:space="preserve">HFBR ALIMENTOS LTDA - ME</t>
  </si>
  <si>
    <t xml:space="preserve">10908265001037</t>
  </si>
  <si>
    <t xml:space="preserve">JARDIM DAS ERVAS COMERCIO DE ALIMENTOS L</t>
  </si>
  <si>
    <t xml:space="preserve">60821190000130</t>
  </si>
  <si>
    <t xml:space="preserve">DANOSKI PRODUTOS NATURAIS LTDA -EPP</t>
  </si>
  <si>
    <t xml:space="preserve">53266705000200</t>
  </si>
  <si>
    <t xml:space="preserve">DS NUTRICAO LTDA - ME</t>
  </si>
  <si>
    <t xml:space="preserve">55274946000138</t>
  </si>
  <si>
    <t xml:space="preserve">55.274.946 MARCELO FERREIRA BASTOS JUNIO</t>
  </si>
  <si>
    <t xml:space="preserve">30327498000162</t>
  </si>
  <si>
    <t xml:space="preserve">SABORAMAIS COMERCIO DE ALIMENTOS LTDA -</t>
  </si>
  <si>
    <t xml:space="preserve">12165772000162</t>
  </si>
  <si>
    <t xml:space="preserve">R C DE ARAUJO MEDEIROS - ME</t>
  </si>
  <si>
    <t xml:space="preserve">RN</t>
  </si>
  <si>
    <t xml:space="preserve">35031254000151</t>
  </si>
  <si>
    <t xml:space="preserve">35.031.254 VINICIUS HERNANDEZ - ME</t>
  </si>
  <si>
    <t xml:space="preserve">26593516000180</t>
  </si>
  <si>
    <t xml:space="preserve">LEANDRO DELFINO DE SOUSA - ME</t>
  </si>
  <si>
    <t xml:space="preserve">23143632000100</t>
  </si>
  <si>
    <t xml:space="preserve">COMERCIAL F. B. DE PRODUTOS NATURAIS EOR</t>
  </si>
  <si>
    <t xml:space="preserve">62754907000101</t>
  </si>
  <si>
    <t xml:space="preserve">MARTINA MAIARA PRODUTOS NATURAIS LTDA- M</t>
  </si>
  <si>
    <t xml:space="preserve">72326119000160</t>
  </si>
  <si>
    <t xml:space="preserve">ASSOCIACAO DOS FENILCETONURICOS E HOMOCI</t>
  </si>
  <si>
    <t xml:space="preserve">17847228000203</t>
  </si>
  <si>
    <t xml:space="preserve">SACOI BRASIL COMERCIO DE ALIMENTOS LTDA</t>
  </si>
  <si>
    <t xml:space="preserve">40185487000149</t>
  </si>
  <si>
    <t xml:space="preserve">40.185.487 ANTONIO JURANDI DA SILVA - ME</t>
  </si>
  <si>
    <t xml:space="preserve">62617017000140</t>
  </si>
  <si>
    <t xml:space="preserve">CASANOVA PRODUTOS NATURAIS LTDA - ME</t>
  </si>
  <si>
    <t xml:space="preserve">57701048000144</t>
  </si>
  <si>
    <t xml:space="preserve">PRO FIT SUPLEMENTOS LTDA - ME</t>
  </si>
  <si>
    <t xml:space="preserve">42502454000100</t>
  </si>
  <si>
    <t xml:space="preserve">REDE HIPER GRAO DE BACAXA LTDA - EPP</t>
  </si>
  <si>
    <t xml:space="preserve">30194738000360</t>
  </si>
  <si>
    <t xml:space="preserve">JOELLY COSMETICOS LTDA - ME</t>
  </si>
  <si>
    <t xml:space="preserve">RO</t>
  </si>
  <si>
    <t xml:space="preserve">37717783000139</t>
  </si>
  <si>
    <t xml:space="preserve">EMPORIO MUNDO FITNESS LTDA - ME</t>
  </si>
  <si>
    <t xml:space="preserve">50324818000138</t>
  </si>
  <si>
    <t xml:space="preserve">REDE HIPER GRAOS RIO DAS OSTRAS LTDA - E</t>
  </si>
  <si>
    <t xml:space="preserve">54801197000197</t>
  </si>
  <si>
    <t xml:space="preserve">GC NATURALIS LTDA - ME</t>
  </si>
  <si>
    <t xml:space="preserve">26225527000108</t>
  </si>
  <si>
    <t xml:space="preserve">REDE HIPER DOCE DE CABO FRIO LTDA - ME</t>
  </si>
  <si>
    <t xml:space="preserve">56157640000164</t>
  </si>
  <si>
    <t xml:space="preserve">KLOSTERMANN SUPLEMENTOS LTDA - EPP</t>
  </si>
  <si>
    <t xml:space="preserve">28825262000104</t>
  </si>
  <si>
    <t xml:space="preserve">VALDIRENE MENESES DE LIMA HONDA PENIDO L</t>
  </si>
  <si>
    <t xml:space="preserve">62766524000145</t>
  </si>
  <si>
    <t xml:space="preserve">B V DA S SOUSA</t>
  </si>
  <si>
    <t xml:space="preserve">30372997000171</t>
  </si>
  <si>
    <t xml:space="preserve">DSJ COMERCIO DE ALIMENTOS EM GERAL E PAN</t>
  </si>
  <si>
    <t xml:space="preserve">31118319000140</t>
  </si>
  <si>
    <t xml:space="preserve">ELIAS MACIEL DA ROSA - ME</t>
  </si>
  <si>
    <t xml:space="preserve">62333916000110</t>
  </si>
  <si>
    <t xml:space="preserve">JOAO MANOEL SILVA NASCIMENTO LTDA - ME</t>
  </si>
  <si>
    <t xml:space="preserve">36093651000110</t>
  </si>
  <si>
    <t xml:space="preserve">MODESTA VEGANA MERCADO E CAFE LTDA - ME</t>
  </si>
  <si>
    <t xml:space="preserve">26240684000192</t>
  </si>
  <si>
    <t xml:space="preserve">60519117000108</t>
  </si>
  <si>
    <t xml:space="preserve">BARROSO E CECILIO COMERCIO LTDA - ME</t>
  </si>
  <si>
    <t xml:space="preserve">62555863000182</t>
  </si>
  <si>
    <t xml:space="preserve">EVOLUCAO FIT NUTRICAO LTDA - ME</t>
  </si>
  <si>
    <t xml:space="preserve">52655585000181</t>
  </si>
  <si>
    <t xml:space="preserve">52.655.585 LAURA ISABEL RICARDO OCHOA -</t>
  </si>
  <si>
    <t xml:space="preserve">95772216000181</t>
  </si>
  <si>
    <t xml:space="preserve">TRON GENEROS ALIMENTICIOS LTDA</t>
  </si>
  <si>
    <t xml:space="preserve">57200778000161</t>
  </si>
  <si>
    <t xml:space="preserve">TOP FIT COMERCIO DE NUTRICAO LTDA - EPP</t>
  </si>
  <si>
    <t xml:space="preserve">60822789000198</t>
  </si>
  <si>
    <t xml:space="preserve">VILLA DOS GRAOS PRODUTOS NATURAIS LTDA -</t>
  </si>
  <si>
    <t xml:space="preserve">03139271000110</t>
  </si>
  <si>
    <t xml:space="preserve">LEBANON MARKET CENTER LTDA</t>
  </si>
  <si>
    <t xml:space="preserve">48486297000173</t>
  </si>
  <si>
    <t xml:space="preserve">TP NUTRICAO LTDA - ME</t>
  </si>
  <si>
    <t xml:space="preserve">53531499000120</t>
  </si>
  <si>
    <t xml:space="preserve">53.531.499 KASSIA KAROLINNY NUNES RODRIG</t>
  </si>
  <si>
    <t xml:space="preserve">60023278000106</t>
  </si>
  <si>
    <t xml:space="preserve">AMME NATURA LTDA - ME</t>
  </si>
  <si>
    <t xml:space="preserve">58067518000122</t>
  </si>
  <si>
    <t xml:space="preserve">MARIA FITNESS LTDA  - ME</t>
  </si>
  <si>
    <t xml:space="preserve">33463112000138</t>
  </si>
  <si>
    <t xml:space="preserve">BRCOMBOS ALIMENTACAO LTDA - ME</t>
  </si>
  <si>
    <t xml:space="preserve">05376415000188</t>
  </si>
  <si>
    <t xml:space="preserve">ARMAZEM VITAL COMERCIAL LTDA - EPP</t>
  </si>
  <si>
    <t xml:space="preserve">56237854000140</t>
  </si>
  <si>
    <t xml:space="preserve">56.237.854 SAMUELL CARVALHO LUCIANO - ME</t>
  </si>
  <si>
    <t xml:space="preserve">75176859000317</t>
  </si>
  <si>
    <t xml:space="preserve">AUTO POSTO E MECANICA BARAO LTDA</t>
  </si>
  <si>
    <t xml:space="preserve">95772216000262</t>
  </si>
  <si>
    <t xml:space="preserve">53191899000133</t>
  </si>
  <si>
    <t xml:space="preserve">MS NUTRICAO LTDA- ME</t>
  </si>
  <si>
    <t xml:space="preserve">00580242000100</t>
  </si>
  <si>
    <t xml:space="preserve">PAPELARIA E BAZAR ESTRELA DE COPACABANAL</t>
  </si>
  <si>
    <t xml:space="preserve">53692717000108</t>
  </si>
  <si>
    <t xml:space="preserve">53.692.717 DIOMARA BASTOS MARCELO DE OLI</t>
  </si>
  <si>
    <t xml:space="preserve">04846161000151</t>
  </si>
  <si>
    <t xml:space="preserve">KOGA &amp; LEITE LTDA - EPP</t>
  </si>
  <si>
    <t xml:space="preserve">56608812000179</t>
  </si>
  <si>
    <t xml:space="preserve">NEM PEIXE ALIMENTOS VEGANOS LTDA - ME</t>
  </si>
  <si>
    <t xml:space="preserve">12886112000170</t>
  </si>
  <si>
    <t xml:space="preserve">DIONEI ARMACHUKI - ME</t>
  </si>
  <si>
    <t xml:space="preserve">37633350000103</t>
  </si>
  <si>
    <t xml:space="preserve">VALDECI APARECIDO DE NICOLAI</t>
  </si>
  <si>
    <t xml:space="preserve">60209127000147</t>
  </si>
  <si>
    <t xml:space="preserve">AGRO &amp; NATURAL COMERCIO CONSULTORIA DE P</t>
  </si>
  <si>
    <t xml:space="preserve">08888228000171</t>
  </si>
  <si>
    <t xml:space="preserve">BARRAQUINHA DA MACA LTDA - ME</t>
  </si>
  <si>
    <t xml:space="preserve">54679245000116</t>
  </si>
  <si>
    <t xml:space="preserve">CECILIA DIAS SUPLEMENTOS LTDA - ME</t>
  </si>
  <si>
    <t xml:space="preserve">45345641000116</t>
  </si>
  <si>
    <t xml:space="preserve">ABTM LTDA - ME</t>
  </si>
  <si>
    <t xml:space="preserve">32940804000167</t>
  </si>
  <si>
    <t xml:space="preserve">NICE STORE PRESENTES LTDA - ME</t>
  </si>
  <si>
    <t xml:space="preserve">56174184000160</t>
  </si>
  <si>
    <t xml:space="preserve">CANELINHA COMERCIO DE PRODUTOS NATURAIS</t>
  </si>
  <si>
    <t xml:space="preserve">39579910000106</t>
  </si>
  <si>
    <t xml:space="preserve">QUIOSQUE DA NUTRI LTDA - ME</t>
  </si>
  <si>
    <t xml:space="preserve">61771710000100</t>
  </si>
  <si>
    <t xml:space="preserve">RAIZES DA PROMESSA LTDA - ME</t>
  </si>
  <si>
    <t xml:space="preserve">62351082000176</t>
  </si>
  <si>
    <t xml:space="preserve">62.351.082 JOANA BATISTA DOS SANTOSAMORI</t>
  </si>
  <si>
    <t xml:space="preserve">06938837000162</t>
  </si>
  <si>
    <t xml:space="preserve">SJ INDUSTRIA DA PANIFICACAO LTDA - EPP</t>
  </si>
  <si>
    <t xml:space="preserve">46796336000103</t>
  </si>
  <si>
    <t xml:space="preserve">CENTRO DE EMAGRECIMENTO E SAUDE JUIZ DE</t>
  </si>
  <si>
    <t xml:space="preserve">51938854000154</t>
  </si>
  <si>
    <t xml:space="preserve">G S DIAS LTDA - ME</t>
  </si>
  <si>
    <t xml:space="preserve">76384908000108</t>
  </si>
  <si>
    <t xml:space="preserve">FARMACIA HOMEOPATICA AVILA LTDA - ME</t>
  </si>
  <si>
    <t xml:space="preserve">74552068000110</t>
  </si>
  <si>
    <t xml:space="preserve">CPQ BRASIL S/A - EM RECUPERACAO JUDICIAL</t>
  </si>
  <si>
    <t xml:space="preserve">33589783000140</t>
  </si>
  <si>
    <t xml:space="preserve">GS DA GAMA COMPRE MAIS MINI MERCADO LTDA</t>
  </si>
  <si>
    <t xml:space="preserve">62697942000128</t>
  </si>
  <si>
    <t xml:space="preserve">CELEIRO PRODUTOS NATURAIS LTDA - ME</t>
  </si>
  <si>
    <t xml:space="preserve">51721657000189</t>
  </si>
  <si>
    <t xml:space="preserve">A.E PRODUTOS NATURAIS LTDA - ME</t>
  </si>
  <si>
    <t xml:space="preserve">38449259000197</t>
  </si>
  <si>
    <t xml:space="preserve">M. A. SILVA DE FREITAS COMERCIO DE PRODU</t>
  </si>
  <si>
    <t xml:space="preserve">31921194000191</t>
  </si>
  <si>
    <t xml:space="preserve">LEMOS &amp; STEFFENS LTDA - ME</t>
  </si>
  <si>
    <t xml:space="preserve">59618403000141</t>
  </si>
  <si>
    <t xml:space="preserve">EMPORIUM MERCATO NOSTRO LTDA - ME</t>
  </si>
  <si>
    <t xml:space="preserve">26198700000126</t>
  </si>
  <si>
    <t xml:space="preserve">REDE HIPER DOCE CENTRO LTDA - ME</t>
  </si>
  <si>
    <t xml:space="preserve">54423411000119</t>
  </si>
  <si>
    <t xml:space="preserve">MAGE MAIS COMERCIO DE ALIMENTOS LTDA - M</t>
  </si>
  <si>
    <t xml:space="preserve">18997672000189</t>
  </si>
  <si>
    <t xml:space="preserve">KUWADA COMPANIA LTDA - ME</t>
  </si>
  <si>
    <t xml:space="preserve">26249561000465</t>
  </si>
  <si>
    <t xml:space="preserve">MIX TUDO COMERCIO DE ALIMENTOS E SERVICO</t>
  </si>
  <si>
    <t xml:space="preserve">53357667000293</t>
  </si>
  <si>
    <t xml:space="preserve">ROCHA NUTRICAO LTDA - ME</t>
  </si>
  <si>
    <t xml:space="preserve">08808355000113</t>
  </si>
  <si>
    <t xml:space="preserve">IM PRODUTOS NATURAIS LTDA - ME</t>
  </si>
  <si>
    <t xml:space="preserve">58820609000197</t>
  </si>
  <si>
    <t xml:space="preserve">TERRITORIO SAUDE CABRAL LTDA - ME</t>
  </si>
  <si>
    <t xml:space="preserve">00094461000332</t>
  </si>
  <si>
    <t xml:space="preserve">CRISTAL FRUTA ALIMENTOS EIRELI - ME</t>
  </si>
  <si>
    <t xml:space="preserve">32093388000109</t>
  </si>
  <si>
    <t xml:space="preserve">RAIZES COMERCIO DE PRODUTOS NATURAIS EIN</t>
  </si>
  <si>
    <t xml:space="preserve">58256204000178</t>
  </si>
  <si>
    <t xml:space="preserve">PEROLA FIT PRODUTOS NATURAIS LTDA - ME</t>
  </si>
  <si>
    <t xml:space="preserve">32365782000159</t>
  </si>
  <si>
    <t xml:space="preserve">ALECRIM &amp; TOMILHO PRODUTOS NATURAIS LTDA</t>
  </si>
  <si>
    <t xml:space="preserve">53191899000214</t>
  </si>
  <si>
    <t xml:space="preserve">MS NUTRICAO LTDA - ME</t>
  </si>
  <si>
    <t xml:space="preserve">13154456000239</t>
  </si>
  <si>
    <t xml:space="preserve">ACADEMIA LIFE ENERGY LTDA - ME</t>
  </si>
  <si>
    <t xml:space="preserve">40607315000116</t>
  </si>
  <si>
    <t xml:space="preserve">RAW MARKET ALIMENTOS SAUDAVEIS LTDA - ME</t>
  </si>
  <si>
    <t xml:space="preserve">58104865000188</t>
  </si>
  <si>
    <t xml:space="preserve">AMME FIT NUTRICAO LTDA - ME</t>
  </si>
  <si>
    <t xml:space="preserve">24544945000132</t>
  </si>
  <si>
    <t xml:space="preserve">A 28 COMERCIO &amp; EMPACOTADORA LTDA - ME</t>
  </si>
  <si>
    <t xml:space="preserve">07327319000175</t>
  </si>
  <si>
    <t xml:space="preserve">GIRASSOL SUPERMERCADO LTDA</t>
  </si>
  <si>
    <t xml:space="preserve">03207136000165</t>
  </si>
  <si>
    <t xml:space="preserve">POSTOS LP LTDA</t>
  </si>
  <si>
    <t xml:space="preserve">54325795000137</t>
  </si>
  <si>
    <t xml:space="preserve">MINA PRECIOSA COMERCIO DE ALIMENTOS LTDA</t>
  </si>
  <si>
    <t xml:space="preserve">36611091000149</t>
  </si>
  <si>
    <t xml:space="preserve">LEVE SABOR ALIMENTACAO SAUDAVEL LTDA - M</t>
  </si>
  <si>
    <t xml:space="preserve">42627934000106</t>
  </si>
  <si>
    <t xml:space="preserve">LOJA DE CONVENIENCIA D-PORT LTDA - ME</t>
  </si>
  <si>
    <t xml:space="preserve">14147398000106</t>
  </si>
  <si>
    <t xml:space="preserve">VILLA CERRONI ALIMENTOS LTDA</t>
  </si>
  <si>
    <t xml:space="preserve">31574092000147</t>
  </si>
  <si>
    <t xml:space="preserve">L O PASTRO - ME</t>
  </si>
  <si>
    <t xml:space="preserve">26963659000218</t>
  </si>
  <si>
    <t xml:space="preserve">SUPLEMENT WORLD SHOP LTDA - ME</t>
  </si>
  <si>
    <t xml:space="preserve">03877787000162</t>
  </si>
  <si>
    <t xml:space="preserve">DML INDUSTRIA E COMERCIO DE DOCES LTDA -</t>
  </si>
  <si>
    <t xml:space="preserve">31833282000131</t>
  </si>
  <si>
    <t xml:space="preserve">PANIFICADORA E CONFEITARIA ATLANTA LTDA</t>
  </si>
  <si>
    <t xml:space="preserve">36455705000140</t>
  </si>
  <si>
    <t xml:space="preserve">36.455.705 LAURA SARA IRENE MULAS VERONE</t>
  </si>
  <si>
    <t xml:space="preserve">08626347000156</t>
  </si>
  <si>
    <t xml:space="preserve">NATURHAUS LOJA DE PRODUTOS ALIMENTICIOS</t>
  </si>
  <si>
    <t xml:space="preserve">49742025000150</t>
  </si>
  <si>
    <t xml:space="preserve">MINIMERCADO NOVO HORIZONTE LTDA - ME</t>
  </si>
  <si>
    <t xml:space="preserve">35883775000137</t>
  </si>
  <si>
    <t xml:space="preserve">35.883.775 MARISA GARLINI MAGENIS - ME</t>
  </si>
  <si>
    <t xml:space="preserve">10610044000197</t>
  </si>
  <si>
    <t xml:space="preserve">JORDANIA EMBU MERCADO E PADARIA LTDA - M</t>
  </si>
  <si>
    <t xml:space="preserve">36213071000110</t>
  </si>
  <si>
    <t xml:space="preserve">LIDIANA APARECIDA DE ASSIS LUQUE - ME</t>
  </si>
  <si>
    <t xml:space="preserve">29619670000172</t>
  </si>
  <si>
    <t xml:space="preserve">DOCE PUDIM ALIMENTOS LTDA - EPP</t>
  </si>
  <si>
    <t xml:space="preserve">52169809000145</t>
  </si>
  <si>
    <t xml:space="preserve">IS COMERCIO DE PRODUTOS NATURAIS LTDA -E</t>
  </si>
  <si>
    <t xml:space="preserve">43497241000109</t>
  </si>
  <si>
    <t xml:space="preserve">43.497.241 BIANCA PAIVA SOARES - ME</t>
  </si>
  <si>
    <t xml:space="preserve">CE</t>
  </si>
  <si>
    <t xml:space="preserve">04908058013339</t>
  </si>
  <si>
    <t xml:space="preserve">RISOTOLANDIA SERVICOS DE ALIMENTACAO LTD</t>
  </si>
  <si>
    <t xml:space="preserve">59458633000190</t>
  </si>
  <si>
    <t xml:space="preserve">DSC POWERFIT LTDA</t>
  </si>
  <si>
    <t xml:space="preserve">54126104000176</t>
  </si>
  <si>
    <t xml:space="preserve">BIO GOIANIA SHOPPING LTDA - ME</t>
  </si>
  <si>
    <t xml:space="preserve">62106171000157</t>
  </si>
  <si>
    <t xml:space="preserve">C.CORREA LTDA</t>
  </si>
  <si>
    <t xml:space="preserve">61791187000183</t>
  </si>
  <si>
    <t xml:space="preserve">VIDA NATURAL COMERCIO DE PRODUTOS ALIMEN</t>
  </si>
  <si>
    <t xml:space="preserve">62004109000154</t>
  </si>
  <si>
    <t xml:space="preserve">P M DA SILVA ROSA PRODUTOS NATURAIS LTDA</t>
  </si>
  <si>
    <t xml:space="preserve">61228119000100</t>
  </si>
  <si>
    <t xml:space="preserve">M GRASSI LTDA - ME</t>
  </si>
  <si>
    <t xml:space="preserve">07750414000187</t>
  </si>
  <si>
    <t xml:space="preserve">VITALI ESPECIARIAS E EMBALAGENS LTDA - M</t>
  </si>
  <si>
    <t xml:space="preserve">06202229000195</t>
  </si>
  <si>
    <t xml:space="preserve">EMPORIUM GRAOS E ESPECIARIAS LIMITADA -</t>
  </si>
  <si>
    <t xml:space="preserve">33016679000166</t>
  </si>
  <si>
    <t xml:space="preserve">BIO FLAMBOYANT LTDA - ME</t>
  </si>
  <si>
    <t xml:space="preserve">08294051000185</t>
  </si>
  <si>
    <t xml:space="preserve">QUANTO BASTA COMERCIO DE ALIMENTOS LTDA</t>
  </si>
  <si>
    <t xml:space="preserve">54943813000144</t>
  </si>
  <si>
    <t xml:space="preserve">F MATTOS DA SILVA - ME</t>
  </si>
  <si>
    <t xml:space="preserve">RR</t>
  </si>
  <si>
    <t xml:space="preserve">58831467000163</t>
  </si>
  <si>
    <t xml:space="preserve">VILLAGGIO VERDE PRODUTOS NATURAIS LTDA -</t>
  </si>
  <si>
    <t xml:space="preserve">52212261000179</t>
  </si>
  <si>
    <t xml:space="preserve">E. A. KASPEICHAKI LTDA - ME</t>
  </si>
  <si>
    <t xml:space="preserve">63677653000120</t>
  </si>
  <si>
    <t xml:space="preserve">SAUDE E NUTRICAO LTDA - ME</t>
  </si>
  <si>
    <t xml:space="preserve">61030585000187</t>
  </si>
  <si>
    <t xml:space="preserve">61.030.585 CRISTIANE SVIECH TIBUCHESKI -</t>
  </si>
  <si>
    <t xml:space="preserve">30112498000145</t>
  </si>
  <si>
    <t xml:space="preserve">DAIANE PAZINI SONZA LTDA - ME</t>
  </si>
  <si>
    <t xml:space="preserve">60641605000193</t>
  </si>
  <si>
    <t xml:space="preserve">60.641.605 LARA DE BARROS AMANDO ALENCAR</t>
  </si>
  <si>
    <t xml:space="preserve">30698924000174</t>
  </si>
  <si>
    <t xml:space="preserve">MN MAIS NUTRI EMPORIO LTDA - EPP</t>
  </si>
  <si>
    <t xml:space="preserve">81542144000171</t>
  </si>
  <si>
    <t xml:space="preserve">ERIVA S LANCHONETE LTDA - ME</t>
  </si>
  <si>
    <t xml:space="preserve">60942822000113</t>
  </si>
  <si>
    <t xml:space="preserve">BMR COMERCIO DE ALIMENTOS LTDA - ME</t>
  </si>
  <si>
    <t xml:space="preserve">81586596000155</t>
  </si>
  <si>
    <t xml:space="preserve">LILIANE GUERREIRO GONCALVES &amp; CIA LTDA -</t>
  </si>
  <si>
    <t xml:space="preserve">29271154000108</t>
  </si>
  <si>
    <t xml:space="preserve">DP VIDA PRODUTOS NATURAIS LTDA - ME</t>
  </si>
  <si>
    <t xml:space="preserve">46013288000130</t>
  </si>
  <si>
    <t xml:space="preserve">ORIGENS EMPORIO NATURAL LTDA - ME</t>
  </si>
  <si>
    <t xml:space="preserve">28842901000140</t>
  </si>
  <si>
    <t xml:space="preserve">C&amp;L COMERCIO DE ALIMENTOS LTDA - ME</t>
  </si>
  <si>
    <t xml:space="preserve">61746555000171</t>
  </si>
  <si>
    <t xml:space="preserve">MARILIA RAFAELA FERREIRA DA LUZ LTDA</t>
  </si>
  <si>
    <t xml:space="preserve">52923234000104</t>
  </si>
  <si>
    <t xml:space="preserve">S&amp;P NUTRICAO VIDA E SAUDE LTDA - ME</t>
  </si>
  <si>
    <t xml:space="preserve">40724765000199</t>
  </si>
  <si>
    <t xml:space="preserve">BIO BUENO LTDA - ME</t>
  </si>
  <si>
    <t xml:space="preserve">62738337000158</t>
  </si>
  <si>
    <t xml:space="preserve">YES COMERCIO DE PRODUTOS NATURAIS LTDA-</t>
  </si>
  <si>
    <t xml:space="preserve">17039758000136</t>
  </si>
  <si>
    <t xml:space="preserve">MARCOS HENRIQUE RODRIGUES HERTZOG LTDA -</t>
  </si>
  <si>
    <t xml:space="preserve">58258680000128</t>
  </si>
  <si>
    <t xml:space="preserve">C J LIFE LTDA - ME</t>
  </si>
  <si>
    <t xml:space="preserve">47058031000167</t>
  </si>
  <si>
    <t xml:space="preserve">TAILANA DA SILVA TOLEDO LTDA - ME</t>
  </si>
  <si>
    <t xml:space="preserve">28180051000161</t>
  </si>
  <si>
    <t xml:space="preserve">EMPORIO GAIA PRODUTOS NATURAIS LTDA - EP</t>
  </si>
  <si>
    <t xml:space="preserve">47766246000132</t>
  </si>
  <si>
    <t xml:space="preserve">57480928000138</t>
  </si>
  <si>
    <t xml:space="preserve">57.480.928 WESLLEY APARECIDO COSTA DA SI</t>
  </si>
  <si>
    <t xml:space="preserve">37266276000126</t>
  </si>
  <si>
    <t xml:space="preserve">SONIA IOLANDA DUARTE 33558442091 - ME</t>
  </si>
  <si>
    <t xml:space="preserve">16693613000353</t>
  </si>
  <si>
    <t xml:space="preserve">SUPERMERCADO TIO ANTONIO LTDA</t>
  </si>
  <si>
    <t xml:space="preserve">50772174000140</t>
  </si>
  <si>
    <t xml:space="preserve">FRANCIELE PELISSARI COMERCIO DE ALIMENTO</t>
  </si>
  <si>
    <t xml:space="preserve">63501653000174</t>
  </si>
  <si>
    <t xml:space="preserve">DSC SAUDE E NUTRICAO LTDA - EPP</t>
  </si>
  <si>
    <t xml:space="preserve">53918909000190</t>
  </si>
  <si>
    <t xml:space="preserve">LF NUTRI VIDA LTDA - ME</t>
  </si>
  <si>
    <t xml:space="preserve">61819408000184</t>
  </si>
  <si>
    <t xml:space="preserve">61.819.408 RAYNARA PAULINA ROCHA FRANCO</t>
  </si>
  <si>
    <t xml:space="preserve">76900463002972</t>
  </si>
  <si>
    <t xml:space="preserve">RISOTOLANDIA INDUSTRIA E COMERCIO DE ALI</t>
  </si>
  <si>
    <t xml:space="preserve">60670819000198</t>
  </si>
  <si>
    <t xml:space="preserve">MJ PRODUTOS NATURAIS SAO LOURENCO DO OES</t>
  </si>
  <si>
    <t xml:space="preserve">38598934000140</t>
  </si>
  <si>
    <t xml:space="preserve">DROGARIA BARBOSA E SOARES LTDA - ME</t>
  </si>
  <si>
    <t xml:space="preserve">59876252000121</t>
  </si>
  <si>
    <t xml:space="preserve">RIKATI COMERCIO DE PRODUTOS NATURAIS LTD</t>
  </si>
  <si>
    <t xml:space="preserve">08081191000175</t>
  </si>
  <si>
    <t xml:space="preserve">POSTO DE GASOLINA MARINA PARQUE VEROLME</t>
  </si>
  <si>
    <t xml:space="preserve">57609668000158</t>
  </si>
  <si>
    <t xml:space="preserve">J&amp;D EMPORIO NATURAL LTDA - ME</t>
  </si>
  <si>
    <t xml:space="preserve">60940727000180</t>
  </si>
  <si>
    <t xml:space="preserve">SEVEN ROOTS PRODUTOS NATURAIS LTDA - ME</t>
  </si>
  <si>
    <t xml:space="preserve">61449642000167</t>
  </si>
  <si>
    <t xml:space="preserve">VEJ SGARI LTDA - ME</t>
  </si>
  <si>
    <t xml:space="preserve">62119738000120</t>
  </si>
  <si>
    <t xml:space="preserve">AGUIAR REDE DE PRODUTOS NATURAIS LTDA</t>
  </si>
  <si>
    <t xml:space="preserve">63179884000103</t>
  </si>
  <si>
    <t xml:space="preserve">NOZZIES PRODUTOS NATURAIS LTDA - ME</t>
  </si>
  <si>
    <t xml:space="preserve">13664585000196</t>
  </si>
  <si>
    <t xml:space="preserve">ESPVERDE ICARAI COMERCIO DE PRODUTOS NAT</t>
  </si>
  <si>
    <t xml:space="preserve">31565600000120</t>
  </si>
  <si>
    <t xml:space="preserve">CEREJEIRA EMPORIO DE ALIMENTOS SAUDAVEIS</t>
  </si>
  <si>
    <t xml:space="preserve">53111830000152</t>
  </si>
  <si>
    <t xml:space="preserve">FIT NUTRICAO LTDA - ME</t>
  </si>
  <si>
    <t xml:space="preserve">53191899000303</t>
  </si>
  <si>
    <t xml:space="preserve">53773154000182</t>
  </si>
  <si>
    <t xml:space="preserve">PACHECO FIT NUTRICAO LTDA - ME</t>
  </si>
  <si>
    <t xml:space="preserve">53192289000235</t>
  </si>
  <si>
    <t xml:space="preserve">AR NUTRICAO LTDA - ME</t>
  </si>
  <si>
    <t xml:space="preserve">53357667000102</t>
  </si>
  <si>
    <t xml:space="preserve">53266705000111</t>
  </si>
  <si>
    <t xml:space="preserve">21437528000100</t>
  </si>
  <si>
    <t xml:space="preserve">PIOVESAN COM PRODUTOS NATURAIS - EPP</t>
  </si>
  <si>
    <t xml:space="preserve">29402498000109</t>
  </si>
  <si>
    <t xml:space="preserve">WANDER DE PAIVA SILVEIRA - ME</t>
  </si>
  <si>
    <t xml:space="preserve">29301639000199</t>
  </si>
  <si>
    <t xml:space="preserve">CASAL MONSTRO SUPLEMENTOS</t>
  </si>
  <si>
    <t xml:space="preserve">62341898000119</t>
  </si>
  <si>
    <t xml:space="preserve">COMERCIO DE ALIMENTOS BLUMENAU LTDA - ME</t>
  </si>
  <si>
    <t xml:space="preserve">61932319000140</t>
  </si>
  <si>
    <t xml:space="preserve">61.932.319 LEONARDO PANDOLFI - ME</t>
  </si>
  <si>
    <t xml:space="preserve">52902829000183</t>
  </si>
  <si>
    <t xml:space="preserve">AMORA COM TEDDY PRODUTOS NATURAIS LTDA -</t>
  </si>
  <si>
    <t xml:space="preserve">07260140000148</t>
  </si>
  <si>
    <t xml:space="preserve">PEDRO CLAUDIO CAMARGO TATUI</t>
  </si>
  <si>
    <t xml:space="preserve">62872888000100</t>
  </si>
  <si>
    <t xml:space="preserve">MANCINI &amp; SANTOS NUTRICAO LTDA - ME</t>
  </si>
  <si>
    <t xml:space="preserve">46894141000104</t>
  </si>
  <si>
    <t xml:space="preserve">ESSENCIAS E FESTAS CONFEITARIA LTDA - ME</t>
  </si>
  <si>
    <t xml:space="preserve">58010332000137</t>
  </si>
  <si>
    <t xml:space="preserve">BIDO GUITES VIDA SAUDAVEL LTDA - EPP</t>
  </si>
  <si>
    <t xml:space="preserve">59182148000137</t>
  </si>
  <si>
    <t xml:space="preserve">MULTI ARMAZEM LTDA - ME</t>
  </si>
  <si>
    <t xml:space="preserve">33156790000158</t>
  </si>
  <si>
    <t xml:space="preserve">ROBERTO B DA COSTA JUNIOR - ME</t>
  </si>
  <si>
    <t xml:space="preserve">30515235000187</t>
  </si>
  <si>
    <t xml:space="preserve">VITTONI COMERCIO DE PRODUTOS NATURAIS LT</t>
  </si>
  <si>
    <t xml:space="preserve">59394889000181</t>
  </si>
  <si>
    <t xml:space="preserve">TERRITORIO SAUDE SJP LTDA - ME</t>
  </si>
  <si>
    <t xml:space="preserve">62757635000195</t>
  </si>
  <si>
    <t xml:space="preserve">YES DISTRIBUIDORA E COMERCIO DE PRODUTOS</t>
  </si>
  <si>
    <t xml:space="preserve">28781911000112</t>
  </si>
  <si>
    <t xml:space="preserve">VILA GRANEL COMERCIO DE PRODUTOS ALIMENT</t>
  </si>
  <si>
    <t xml:space="preserve">24991684000107</t>
  </si>
  <si>
    <t xml:space="preserve">24.991.684 DEBORA CRISTINA TEIXEIRA - ME</t>
  </si>
  <si>
    <t xml:space="preserve">59460012000141</t>
  </si>
  <si>
    <t xml:space="preserve">HBA DISTRIBUIDORA LTDA</t>
  </si>
  <si>
    <t xml:space="preserve">31323790000170</t>
  </si>
  <si>
    <t xml:space="preserve">SIMONE DOS SANTOS TEIXEIRA - ME</t>
  </si>
  <si>
    <t xml:space="preserve">61357031000199</t>
  </si>
  <si>
    <t xml:space="preserve">DAMAZIO COMERCIO DE ALIMENTOS LTDA - ME</t>
  </si>
  <si>
    <t xml:space="preserve">48606158000136</t>
  </si>
  <si>
    <t xml:space="preserve">SS COMERCIO DE SUPLEMENTOS LTDA - ME</t>
  </si>
  <si>
    <t xml:space="preserve">63245503000147</t>
  </si>
  <si>
    <t xml:space="preserve">DS NUTRI GOLD LTDA - ME</t>
  </si>
  <si>
    <t xml:space="preserve">27141630000132</t>
  </si>
  <si>
    <t xml:space="preserve">CARD NUTRICAO SPE LTDA - EPP</t>
  </si>
  <si>
    <t xml:space="preserve">60484125000166</t>
  </si>
  <si>
    <t xml:space="preserve">LAKOSKI MERCEARIA SEM GLUTEN LTDA - EPP</t>
  </si>
  <si>
    <t xml:space="preserve">05132031000110</t>
  </si>
  <si>
    <t xml:space="preserve">RESTAURANTE NOSSA SENHORA DE CARAVAGGIO</t>
  </si>
  <si>
    <t xml:space="preserve">34788640000120</t>
  </si>
  <si>
    <t xml:space="preserve">TICO AUTO POSTO LOBATO LTDA - EPP</t>
  </si>
  <si>
    <t xml:space="preserve">12104010000156</t>
  </si>
  <si>
    <t xml:space="preserve">JULIANA ROBERTA CARNIO DE CASTRO - ME</t>
  </si>
  <si>
    <t xml:space="preserve">41808865000166</t>
  </si>
  <si>
    <t xml:space="preserve">FL PRODUTOS NATURAIS LTDA - ME</t>
  </si>
  <si>
    <t xml:space="preserve">62862222000170</t>
  </si>
  <si>
    <t xml:space="preserve">SEMEANDO PRODUTOS NATURAIS LTDA - ME</t>
  </si>
  <si>
    <t xml:space="preserve">54606760000176</t>
  </si>
  <si>
    <t xml:space="preserve">BELA SAUDE PRODUTOS NATURAIS LTDA - ME</t>
  </si>
  <si>
    <t xml:space="preserve">59481985000167</t>
  </si>
  <si>
    <t xml:space="preserve">EMPORIO VIDA PLENA LTDA - ME</t>
  </si>
  <si>
    <t xml:space="preserve">61631938000102</t>
  </si>
  <si>
    <t xml:space="preserve">ELEMENTHAR PRODUTOS NATURAIS LTDA - ME</t>
  </si>
  <si>
    <t xml:space="preserve">60487702000173</t>
  </si>
  <si>
    <t xml:space="preserve">IMPORT LAND DOCES LTDA - ME</t>
  </si>
  <si>
    <t xml:space="preserve">52088258000195</t>
  </si>
  <si>
    <t xml:space="preserve">HECE PRODUTOS NATURAIS LTDA - EPP</t>
  </si>
  <si>
    <t xml:space="preserve">61668179000144</t>
  </si>
  <si>
    <t xml:space="preserve">PORTONUTRY ALIMENTACAO SAUDAVEL LTDA - M</t>
  </si>
  <si>
    <t xml:space="preserve">43603248000150</t>
  </si>
  <si>
    <t xml:space="preserve">NML PRODUTOS NATURAIS LTDA - ME</t>
  </si>
  <si>
    <t xml:space="preserve">42415997000190</t>
  </si>
  <si>
    <t xml:space="preserve">FERREIRA &amp; FLORIO COMERCIO DE PRODUTOS A</t>
  </si>
  <si>
    <t xml:space="preserve">27376725000135</t>
  </si>
  <si>
    <t xml:space="preserve">NUTRIR PRODUTOS NATURAIS LTDA - ME</t>
  </si>
  <si>
    <t xml:space="preserve">62373627000145</t>
  </si>
  <si>
    <t xml:space="preserve">62.373.627 STELLA SABRINA LEONEL - ME</t>
  </si>
  <si>
    <t xml:space="preserve">58377806000183</t>
  </si>
  <si>
    <t xml:space="preserve">AM PRODUTOS NATURAIS CONDOR LTDA - ME</t>
  </si>
  <si>
    <t xml:space="preserve">58094644000176</t>
  </si>
  <si>
    <t xml:space="preserve">AM PRODUTOS NATURAIS SUPER A LTDA - ME</t>
  </si>
  <si>
    <t xml:space="preserve">37015609000144</t>
  </si>
  <si>
    <t xml:space="preserve">PILOES - DISTRIBUIDORA, COMERCIO E SERVI</t>
  </si>
  <si>
    <t xml:space="preserve">36828225000188</t>
  </si>
  <si>
    <t xml:space="preserve">36.828.225 ELANE ABREU BARROS - ME</t>
  </si>
  <si>
    <t xml:space="preserve">37191155000162</t>
  </si>
  <si>
    <t xml:space="preserve">AVILA DO TERMINAL PRODUTOS NATURAIS LTDA</t>
  </si>
  <si>
    <t xml:space="preserve">55222424000192</t>
  </si>
  <si>
    <t xml:space="preserve">55.222.424 LUANA CRISTINA DE ANGELO VALV</t>
  </si>
  <si>
    <t xml:space="preserve">47895365000195</t>
  </si>
  <si>
    <t xml:space="preserve">VIVIANE CRISTINA CASONATO BORGES - ME</t>
  </si>
  <si>
    <t xml:space="preserve">13975801000114</t>
  </si>
  <si>
    <t xml:space="preserve">TERRA DIVINA COMERCIO DE ALIMENTOS EIREL</t>
  </si>
  <si>
    <t xml:space="preserve">37790248000103</t>
  </si>
  <si>
    <t xml:space="preserve">MS COMERCIO DE PRODUTOS NATURAIS LTDA -M</t>
  </si>
  <si>
    <t xml:space="preserve">22081589000132</t>
  </si>
  <si>
    <t xml:space="preserve">SOUZA &amp; FERREIRA COMERCIO DE PRODUTOS NA</t>
  </si>
  <si>
    <t xml:space="preserve">PROSAUDE</t>
  </si>
  <si>
    <t xml:space="preserve">60010307000103</t>
  </si>
  <si>
    <t xml:space="preserve">TORRE FORTE PRODUTOS E ALIMENTOS LTDA- M</t>
  </si>
  <si>
    <t xml:space="preserve">34313930000117</t>
  </si>
  <si>
    <t xml:space="preserve">GAN NUTRICAO LTDA - ME</t>
  </si>
  <si>
    <t xml:space="preserve">55168822000178</t>
  </si>
  <si>
    <t xml:space="preserve">55.168.822 VALDECIR ANTONIO SPADA - ME</t>
  </si>
  <si>
    <t xml:space="preserve">60183440000153</t>
  </si>
  <si>
    <t xml:space="preserve">HS NUTRICAO LTDA - ME</t>
  </si>
  <si>
    <t xml:space="preserve">60427099000134</t>
  </si>
  <si>
    <t xml:space="preserve">LIMA FAGUNDES PRODUTOS NATURAIS LTDA- ME</t>
  </si>
  <si>
    <t xml:space="preserve">54487016000108</t>
  </si>
  <si>
    <t xml:space="preserve">54.487.016 JACKELINE RABELO TARGAS LINO-</t>
  </si>
  <si>
    <t xml:space="preserve">21599262000194</t>
  </si>
  <si>
    <t xml:space="preserve">AMELIA SOARES CAZUMBA PERES - ME</t>
  </si>
  <si>
    <t xml:space="preserve">50126687000184</t>
  </si>
  <si>
    <t xml:space="preserve">EMPORIO VIDA VERDE LTDA - ME</t>
  </si>
  <si>
    <t xml:space="preserve">20474456000109</t>
  </si>
  <si>
    <t xml:space="preserve">TUDO EM GRAOS COMERCIO DE ALIMENTOS EIRE</t>
  </si>
  <si>
    <t xml:space="preserve">42597733000103</t>
  </si>
  <si>
    <t xml:space="preserve">VITALE PRODUTOS NATURAIS LTDA - ME</t>
  </si>
  <si>
    <t xml:space="preserve">57963322000153</t>
  </si>
  <si>
    <t xml:space="preserve">HENRI G. VALCARENGHI LTDA - ME</t>
  </si>
  <si>
    <t xml:space="preserve">49161064000163</t>
  </si>
  <si>
    <t xml:space="preserve">BONETE PRODUTOS ALIMENTICIOS LTDA - EPP</t>
  </si>
  <si>
    <t xml:space="preserve">29466137000118</t>
  </si>
  <si>
    <t xml:space="preserve">G.F. NOGUEIRA ARMAZEM NATURAL - ME</t>
  </si>
  <si>
    <t xml:space="preserve">63187605000153</t>
  </si>
  <si>
    <t xml:space="preserve">MUSSAMBE PRODUTOS NATURAIS E VARIEDADES</t>
  </si>
  <si>
    <t xml:space="preserve">PB</t>
  </si>
  <si>
    <t xml:space="preserve">63835315000179</t>
  </si>
  <si>
    <t xml:space="preserve">63.835.315 ADASSYA NOBERTO FERREIRA - ME</t>
  </si>
  <si>
    <t xml:space="preserve">08452814000179</t>
  </si>
  <si>
    <t xml:space="preserve">MARLUCE VIEIRA VASQUES - ME</t>
  </si>
  <si>
    <t xml:space="preserve">95806220000113</t>
  </si>
  <si>
    <t xml:space="preserve">MARCIA ROTHBARTH - ME</t>
  </si>
  <si>
    <t xml:space="preserve">39565216000130</t>
  </si>
  <si>
    <t xml:space="preserve">VIDA NA VIDA COMERCIO DE PRODUTOS NATURA</t>
  </si>
  <si>
    <t xml:space="preserve">55605776000127</t>
  </si>
  <si>
    <t xml:space="preserve">FIT4SHAPE NUTRICAO LTDA - EPP</t>
  </si>
  <si>
    <t xml:space="preserve">27433919000125</t>
  </si>
  <si>
    <t xml:space="preserve">QUINOA NATURAL CAMBUI ALIMENTOS SAUDAVEI</t>
  </si>
  <si>
    <t xml:space="preserve">53939218000172</t>
  </si>
  <si>
    <t xml:space="preserve">BEM ESTAR NATURAL LTDA - ME</t>
  </si>
  <si>
    <t xml:space="preserve">10874523000706</t>
  </si>
  <si>
    <t xml:space="preserve">OBJETIVA SERVICOS TERCEIRIZADOS LTDA</t>
  </si>
  <si>
    <t xml:space="preserve">16966212000249</t>
  </si>
  <si>
    <t xml:space="preserve">AVILA SUPLEMENTOS ALIMENTICIOS LTDA - ME</t>
  </si>
  <si>
    <t xml:space="preserve">46384752000102</t>
  </si>
  <si>
    <t xml:space="preserve">ADRIANA JAEGER DA SILVA 01142279006 - ME</t>
  </si>
  <si>
    <t xml:space="preserve">59254662000130</t>
  </si>
  <si>
    <t xml:space="preserve">JC PRODUTOS NATURAIS LTDA - ME</t>
  </si>
  <si>
    <t xml:space="preserve">57609477000196</t>
  </si>
  <si>
    <t xml:space="preserve">JSC COMERCIO LTDA - ME</t>
  </si>
  <si>
    <t xml:space="preserve">59359915000130</t>
  </si>
  <si>
    <t xml:space="preserve">59.359.915 DAVID CESAR DA SILVA - ME</t>
  </si>
  <si>
    <t xml:space="preserve">28239223000125</t>
  </si>
  <si>
    <t xml:space="preserve">AUTO POSTO CASIL LTDA</t>
  </si>
  <si>
    <t xml:space="preserve">58281843000193</t>
  </si>
  <si>
    <t xml:space="preserve">GS SUPLEMENTOS LTDA - ME</t>
  </si>
  <si>
    <t xml:space="preserve">45100604000148</t>
  </si>
  <si>
    <t xml:space="preserve">FAZENDINHA SALU.D LTDA - EPP</t>
  </si>
  <si>
    <t xml:space="preserve">52769733000199</t>
  </si>
  <si>
    <t xml:space="preserve">ADEGA ARAUCARIA COMERCIO DE BEBIDAS LTDA</t>
  </si>
  <si>
    <t xml:space="preserve">57425671000111</t>
  </si>
  <si>
    <t xml:space="preserve">P &amp; M NUTRICAO LTDA - ME</t>
  </si>
  <si>
    <t xml:space="preserve">53413839000118</t>
  </si>
  <si>
    <t xml:space="preserve">O2 NUTRICAO LTDA - ME</t>
  </si>
  <si>
    <t xml:space="preserve">38431127000138</t>
  </si>
  <si>
    <t xml:space="preserve">DEISE HERMES BECKER 93087799068 - ME</t>
  </si>
  <si>
    <t xml:space="preserve">51599613000128</t>
  </si>
  <si>
    <t xml:space="preserve">51.599.613 GENESIO PAIXAO DE JESUS - ME</t>
  </si>
  <si>
    <t xml:space="preserve">28998910000124</t>
  </si>
  <si>
    <t xml:space="preserve">AUTO POSTO AVENTADOR LTDA</t>
  </si>
  <si>
    <t xml:space="preserve">35883706000123</t>
  </si>
  <si>
    <t xml:space="preserve">VS COMERCIO DE PRODUTOS NATURAIS LTDA -</t>
  </si>
  <si>
    <t xml:space="preserve">44191961000104</t>
  </si>
  <si>
    <t xml:space="preserve">FONTE LTDA - ME</t>
  </si>
  <si>
    <t xml:space="preserve">41329482000105</t>
  </si>
  <si>
    <t xml:space="preserve">41.329.482 ELIO ANTONIO RODRIGUES LEMES-</t>
  </si>
  <si>
    <t xml:space="preserve">16966212000168</t>
  </si>
  <si>
    <t xml:space="preserve">40679450000177</t>
  </si>
  <si>
    <t xml:space="preserve">ALCINA P DE MEDEIROS OLIVEIRA - ME</t>
  </si>
  <si>
    <t xml:space="preserve">20021355000174</t>
  </si>
  <si>
    <t xml:space="preserve">FRANCO DE OLIVEIRA SILVA &amp; CIA LTDA - ME</t>
  </si>
  <si>
    <t xml:space="preserve">49733252000119</t>
  </si>
  <si>
    <t xml:space="preserve">49.733.252 MARIA MADALENA ANDRADE SILVA</t>
  </si>
  <si>
    <t xml:space="preserve">40053395000105</t>
  </si>
  <si>
    <t xml:space="preserve">CALLIERO PROD SAUD &amp; LAERTE PROD SAUD -</t>
  </si>
  <si>
    <t xml:space="preserve">41610352000146</t>
  </si>
  <si>
    <t xml:space="preserve">41.610.352 TAMIRES TRINDADE DA SILVA</t>
  </si>
  <si>
    <t xml:space="preserve">61631622000102</t>
  </si>
  <si>
    <t xml:space="preserve">61.631.622 RICARDO AMERICO DOS SANTOS -</t>
  </si>
  <si>
    <t xml:space="preserve">17261509001839</t>
  </si>
  <si>
    <t xml:space="preserve">UNIAO LESTE BRASILEIRA DA IGREJA ADVENTI</t>
  </si>
  <si>
    <t xml:space="preserve">55666250000157</t>
  </si>
  <si>
    <t xml:space="preserve">MERCADO SAUDAVEL COMERCIO DE ALIMENTOS L</t>
  </si>
  <si>
    <t xml:space="preserve">42149466000101</t>
  </si>
  <si>
    <t xml:space="preserve">42.149.466 LARISSA DA SILVA PADILHA - ME</t>
  </si>
  <si>
    <t xml:space="preserve">34159229000195</t>
  </si>
  <si>
    <t xml:space="preserve">AUTO POSTO JLS LTDA</t>
  </si>
  <si>
    <t xml:space="preserve">37738174000247</t>
  </si>
  <si>
    <t xml:space="preserve">VEGSIM LTDA - ME</t>
  </si>
  <si>
    <t xml:space="preserve">58355920000102</t>
  </si>
  <si>
    <t xml:space="preserve">58.355.920 BEATRIZ HONORIO MACEDO - ME</t>
  </si>
  <si>
    <t xml:space="preserve">58771384000126</t>
  </si>
  <si>
    <t xml:space="preserve">GRACIELA GRITTI LTDA - ME</t>
  </si>
  <si>
    <t xml:space="preserve">40735838000148</t>
  </si>
  <si>
    <t xml:space="preserve">ROBERTO CARLOS ABBOUD LTDA - ME</t>
  </si>
  <si>
    <t xml:space="preserve">63300724000170</t>
  </si>
  <si>
    <t xml:space="preserve">63.300.724 FRANCIELLE APARECIDA DE OLIVE</t>
  </si>
  <si>
    <t xml:space="preserve">31877904000123</t>
  </si>
  <si>
    <t xml:space="preserve">MONICA LOLI CAMARGO - ME</t>
  </si>
  <si>
    <t xml:space="preserve">13435819000123</t>
  </si>
  <si>
    <t xml:space="preserve">SUPERMERCADO COSER LTDA - EPP</t>
  </si>
  <si>
    <t xml:space="preserve">16586235000147</t>
  </si>
  <si>
    <t xml:space="preserve">16.586.235 IARA REGINA MULLER DE OLIVEIR</t>
  </si>
  <si>
    <t xml:space="preserve">05926581000100</t>
  </si>
  <si>
    <t xml:space="preserve">FRANCIELLI FRANCALACCI DE OLIVEIRA EIREL</t>
  </si>
  <si>
    <t xml:space="preserve">60057831000121</t>
  </si>
  <si>
    <t xml:space="preserve">AMME NATURA FIT LTDA - ME</t>
  </si>
  <si>
    <t xml:space="preserve">43691842000140</t>
  </si>
  <si>
    <t xml:space="preserve">AUTO POSTO AFONSO PENA LTDA</t>
  </si>
  <si>
    <t xml:space="preserve">26423581000168</t>
  </si>
  <si>
    <t xml:space="preserve">NA COZINHA DO BEM EMPORIO NATURAL LTDA -</t>
  </si>
  <si>
    <t xml:space="preserve">38272246000195</t>
  </si>
  <si>
    <t xml:space="preserve">CE.NHORINHA COZINHA FUNCIONAL LTDA - ME</t>
  </si>
  <si>
    <t xml:space="preserve">22570775000135</t>
  </si>
  <si>
    <t xml:space="preserve">AC PRODUTOS NATURAIS LTDA - ME</t>
  </si>
  <si>
    <t xml:space="preserve">48681846000160</t>
  </si>
  <si>
    <t xml:space="preserve">SABOR DA ROCA EMPORIO LTDA - ME</t>
  </si>
  <si>
    <t xml:space="preserve">59244884000172</t>
  </si>
  <si>
    <t xml:space="preserve">NATHALIA DE JESUS SILVA COSTA LTDA - ME</t>
  </si>
  <si>
    <t xml:space="preserve">17304540000161</t>
  </si>
  <si>
    <t xml:space="preserve">NUTRICAO E SAUDE LTDA - ME</t>
  </si>
  <si>
    <t xml:space="preserve">39324235000174</t>
  </si>
  <si>
    <t xml:space="preserve">TOMAS COMERCIO DE ALIMENTOS LTDA - ME</t>
  </si>
  <si>
    <t xml:space="preserve">51156959000151</t>
  </si>
  <si>
    <t xml:space="preserve">51.156.959 ELAINE CRISTINA KOERICH - ME</t>
  </si>
  <si>
    <t xml:space="preserve">47725529000136</t>
  </si>
  <si>
    <t xml:space="preserve">CATIMBAU PRODUTOS ALIMENTICIOS LTDA - EP</t>
  </si>
  <si>
    <t xml:space="preserve">52575072000160</t>
  </si>
  <si>
    <t xml:space="preserve">52.575.072 ANA LETICIA PIRES PISTORI</t>
  </si>
  <si>
    <t xml:space="preserve">59686644000128</t>
  </si>
  <si>
    <t xml:space="preserve">59.686.644 CARLA CAROLINE DE LIMA - ME</t>
  </si>
  <si>
    <t xml:space="preserve">39290070000167</t>
  </si>
  <si>
    <t xml:space="preserve">MIL FOLHAS PREMIUM LTDA - ME</t>
  </si>
  <si>
    <t xml:space="preserve">61835839000134</t>
  </si>
  <si>
    <t xml:space="preserve">THE HOUSE BR PRODUTOS E SERVICOS DE BEM-</t>
  </si>
  <si>
    <t xml:space="preserve">34316966000154</t>
  </si>
  <si>
    <t xml:space="preserve">COMPLEX COMERCIO DE SUPLEMENTOS ALIMENTI</t>
  </si>
  <si>
    <t xml:space="preserve">55726945000187</t>
  </si>
  <si>
    <t xml:space="preserve">TERRITORIO SAUDE XV LTDA - ME</t>
  </si>
  <si>
    <t xml:space="preserve">23777036000181</t>
  </si>
  <si>
    <t xml:space="preserve">23.777.036 WILLIAN YUKIO ITO MARQUES - M</t>
  </si>
  <si>
    <t xml:space="preserve">59087175000120</t>
  </si>
  <si>
    <t xml:space="preserve">INOVASMART SOLUTIONS LTDA - ME</t>
  </si>
  <si>
    <t xml:space="preserve">63791809000107</t>
  </si>
  <si>
    <t xml:space="preserve">NUTRI SAFE ALIMENTOS SAUDAVEIS LTDA - ME</t>
  </si>
  <si>
    <t xml:space="preserve">61814136000120</t>
  </si>
  <si>
    <t xml:space="preserve">TORO EMPORIO LTDA</t>
  </si>
  <si>
    <t xml:space="preserve">52901038000139</t>
  </si>
  <si>
    <t xml:space="preserve">52.901.038 NATACHA APARECIDA DOS SANTOS</t>
  </si>
  <si>
    <t xml:space="preserve">61137195000100</t>
  </si>
  <si>
    <t xml:space="preserve">VITA NATURA LTDA</t>
  </si>
  <si>
    <t xml:space="preserve">53934453000151</t>
  </si>
  <si>
    <t xml:space="preserve">GDB COMERCIO DE PRODUTOS NATURAIS LTDA -</t>
  </si>
  <si>
    <t xml:space="preserve">63487473000185</t>
  </si>
  <si>
    <t xml:space="preserve">KANITZ &amp; DANTAS LTDA - ME</t>
  </si>
  <si>
    <t xml:space="preserve">54729143000168</t>
  </si>
  <si>
    <t xml:space="preserve">LET S MARKET LTDA - ME</t>
  </si>
  <si>
    <t xml:space="preserve">42657490000143</t>
  </si>
  <si>
    <t xml:space="preserve">VERCATTO BOUTIQUE SAUDAVEL LTDA - ME</t>
  </si>
  <si>
    <t xml:space="preserve">92916360000237</t>
  </si>
  <si>
    <t xml:space="preserve">BANCA12 ARMAZEM DE PRODUTOS NATURAISLTDA</t>
  </si>
  <si>
    <t xml:space="preserve">42774131000176</t>
  </si>
  <si>
    <t xml:space="preserve">GMJ EMPORIO SAUDAVEL LTDA</t>
  </si>
  <si>
    <t xml:space="preserve">18587768000179</t>
  </si>
  <si>
    <t xml:space="preserve">MAIRA FONTOURA VIEIRA MARQUES - ME</t>
  </si>
  <si>
    <t xml:space="preserve">53111830000233</t>
  </si>
  <si>
    <t xml:space="preserve">FIT NUTRICAO LTDA -ME</t>
  </si>
  <si>
    <t xml:space="preserve">28002127000169</t>
  </si>
  <si>
    <t xml:space="preserve">LAIS</t>
  </si>
  <si>
    <t xml:space="preserve">26176117000114</t>
  </si>
  <si>
    <t xml:space="preserve">LINDA CLARA OLIVEIRA PONTES 08862442696</t>
  </si>
  <si>
    <t xml:space="preserve">03143533000110</t>
  </si>
  <si>
    <t xml:space="preserve">NIL TRANSPORTES LTDA</t>
  </si>
  <si>
    <t xml:space="preserve">03855214000219</t>
  </si>
  <si>
    <t xml:space="preserve">COOPERATIVA DE TRABALHO MEDICO DE JARAGU</t>
  </si>
  <si>
    <t xml:space="preserve">57015654000106</t>
  </si>
  <si>
    <t xml:space="preserve">PRUDENCIO COMERCIO DE SUPLEMENTOS LTDA -</t>
  </si>
  <si>
    <t xml:space="preserve">44238838000193</t>
  </si>
  <si>
    <t xml:space="preserve">ESTELAMARIS FRANCISCA TOGNON 55597548034</t>
  </si>
  <si>
    <t xml:space="preserve">20284100000102</t>
  </si>
  <si>
    <t xml:space="preserve">L V PRODUTOS NATURAIS LTDA - EPP</t>
  </si>
  <si>
    <t xml:space="preserve">LUMAFER PRODUTOS NATURAIS E ORGANICOS LT</t>
  </si>
  <si>
    <t xml:space="preserve">SILVANE KESSLER FLACH - ME</t>
  </si>
  <si>
    <t xml:space="preserve">RIO BISTRO SAUDAVEL LTDA</t>
  </si>
  <si>
    <t xml:space="preserve">NATURELI PRODUTOS NATURAIS LTDA - ME</t>
  </si>
  <si>
    <t xml:space="preserve">CARAMELO E CHANTILY COMERCIO ALIMENTICIO</t>
  </si>
  <si>
    <t xml:space="preserve">P. RAMOS COMERCIO DE PRODUTOS ALIMENTICI</t>
  </si>
  <si>
    <t xml:space="preserve">EMPORIO NUTREE GRAOS LTDA - ME</t>
  </si>
  <si>
    <t xml:space="preserve">QUINOA NATURAL ALIMENTOS E SAUDAVEISLTDA</t>
  </si>
  <si>
    <t xml:space="preserve">RK COMERCIO DE NUTRICAO LTDA - EPP</t>
  </si>
  <si>
    <t xml:space="preserve">MANIA FIT LTDA - EPP</t>
  </si>
  <si>
    <t xml:space="preserve">BIOMUNDO BELEM PRODUTOS NATURAIS LTDA -</t>
  </si>
  <si>
    <t xml:space="preserve">DIVELLI COMERCIO DE ALIMENTOS LTDA</t>
  </si>
  <si>
    <t xml:space="preserve">BIOMUNDO BELEM PRODUTOS NATURAIS LTDA -E</t>
  </si>
  <si>
    <t xml:space="preserve">AM</t>
  </si>
  <si>
    <t xml:space="preserve">BIO MUNDO FLAMBOYANT LTDA - ME</t>
  </si>
  <si>
    <t xml:space="preserve">MOREIRA SAUDAVEIS LTDA - ME</t>
  </si>
  <si>
    <t xml:space="preserve">A C R COMERCIO DE PRODUTOS NATURAIS LTDA</t>
  </si>
  <si>
    <t xml:space="preserve">TEMIS PUCINELLI PENNA - ME</t>
  </si>
  <si>
    <t xml:space="preserve">NATURITA PRODUTOS NATURAIS LTDA - ME</t>
  </si>
  <si>
    <t xml:space="preserve">T R ARRUDA COMERCIO DE PRODUTOS SAUDAVEI</t>
  </si>
  <si>
    <t xml:space="preserve">TG EMPORIO DE GRAOS LTDA</t>
  </si>
  <si>
    <t xml:space="preserve">TOTAL</t>
  </si>
  <si>
    <t xml:space="preserve">SINALEIRO INTERNO — VITAO ALIMENTOS</t>
  </si>
  <si>
    <t xml:space="preserve">DADOS REAIS SAP / FEV 2026</t>
  </si>
  <si>
    <t xml:space="preserve">CARTEIRA INTERNA</t>
  </si>
  <si>
    <t xml:space="preserve">FATURAMENTO</t>
  </si>
  <si>
    <t xml:space="preserve">POTENCIAL (META)</t>
  </si>
  <si>
    <t xml:space="preserve">PENETRAÇÃO</t>
  </si>
  <si>
    <t xml:space="preserve">VERDE</t>
  </si>
  <si>
    <t xml:space="preserve">AMARELO</t>
  </si>
  <si>
    <t xml:space="preserve">VERMELHO</t>
  </si>
  <si>
    <t xml:space="preserve">ROXO</t>
  </si>
  <si>
    <t xml:space="preserve">VENDA MÊS A MÊS 2025 (REAL MERCOS)</t>
  </si>
  <si>
    <t xml:space="preserve">Mês</t>
  </si>
  <si>
    <t xml:space="preserve">Jan</t>
  </si>
  <si>
    <t xml:space="preserve">Fev</t>
  </si>
  <si>
    <t xml:space="preserve">Març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</si>
  <si>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</si>
  <si>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</si>
  <si>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</si>
  <si>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</si>
  <si>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</si>
  <si>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</si>
  <si>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</si>
  <si>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</si>
  <si>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</si>
  <si>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R$ Faturado</t>
  </si>
  <si>
    <t xml:space="preserve">Nº Clientes</t>
  </si>
  <si>
    <t xml:space="preserve">FAT 2025 vs META 2026 (SAP)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</si>
  <si>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</si>
  <si>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</si>
  <si>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</si>
  <si>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</si>
  <si>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</si>
  <si>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</si>
  <si>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</si>
  <si>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</si>
  <si>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</si>
  <si>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</si>
  <si>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</si>
  <si>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</si>
  <si>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FAT 2025 (REAL)</t>
  </si>
  <si>
    <t xml:space="preserve">META 2026</t>
  </si>
  <si>
    <t xml:space="preserve">% ATINGIMENTO</t>
  </si>
  <si>
    <t xml:space="preserve">POR UF</t>
  </si>
  <si>
    <t xml:space="preserve">Qtd</t>
  </si>
  <si>
    <t xml:space="preserve">Realizado</t>
  </si>
  <si>
    <t xml:space="preserve">Potencial</t>
  </si>
  <si>
    <t xml:space="preserve">POR CONSULTOR</t>
  </si>
  <si>
    <t xml:space="preserve">Consultor</t>
  </si>
  <si>
    <t xml:space="preserve">Território</t>
  </si>
  <si>
    <t xml:space="preserve">Clientes</t>
  </si>
  <si>
    <t xml:space="preserve">SAP</t>
  </si>
  <si>
    <t xml:space="preserve">Regra</t>
  </si>
  <si>
    <t xml:space="preserve">SC/PR/RS</t>
  </si>
  <si>
    <t xml:space="preserve">Restante Brasil</t>
  </si>
  <si>
    <t xml:space="preserve">CIA da Saúde + FitLand</t>
  </si>
  <si>
    <t xml:space="preserve">Redes &amp; Franquias</t>
  </si>
  <si>
    <t xml:space="preserve">POR REDE</t>
  </si>
  <si>
    <t xml:space="preserve">Rede</t>
  </si>
  <si>
    <t xml:space="preserve">ESMERALDA</t>
  </si>
  <si>
    <t xml:space="preserve">MERCOCENTRO</t>
  </si>
  <si>
    <t xml:space="preserve">ARMAZEM FIT STORE</t>
  </si>
  <si>
    <t xml:space="preserve">JARDIM DAS ERVAS</t>
  </si>
  <si>
    <t xml:space="preserve">POSITIVAÇÃO MENSAL (REAL SAP)</t>
  </si>
  <si>
    <t xml:space="preserve">Clientes Positivados</t>
  </si>
  <si>
    <t xml:space="preserve">CLIENTES SEM ATENDIMENTO</t>
  </si>
  <si>
    <t xml:space="preserve">BALIZADOR META</t>
  </si>
  <si>
    <t xml:space="preserve">Pedido Mín.</t>
  </si>
  <si>
    <t xml:space="preserve">Novo</t>
  </si>
  <si>
    <t xml:space="preserve">Maduro</t>
  </si>
  <si>
    <t xml:space="preserve">Crescimento</t>
  </si>
  <si>
    <t xml:space="preserve">GRUPO-CHAVE</t>
  </si>
  <si>
    <t xml:space="preserve">CONFIABILIDADE DOS DADOS</t>
  </si>
  <si>
    <t xml:space="preserve">Métrica</t>
  </si>
  <si>
    <t xml:space="preserve">Fonte</t>
  </si>
  <si>
    <t xml:space="preserve">Cobertura</t>
  </si>
  <si>
    <t xml:space="preserve">Nota</t>
  </si>
  <si>
    <t xml:space="preserve">Faturamento (col.66 Carteira SAP)</t>
  </si>
  <si>
    <t xml:space="preserve">SAP Carteira INTERNO</t>
  </si>
  <si>
    <t xml:space="preserve">661/661 (100%)</t>
  </si>
  <si>
    <t xml:space="preserve">10/10</t>
  </si>
  <si>
    <t xml:space="preserve">Potencial = META 2026 ÷ nº cl/grupo</t>
  </si>
  <si>
    <t xml:space="preserve">SAP META Faturamento</t>
  </si>
  <si>
    <t xml:space="preserve">659/661 (99.7%)</t>
  </si>
  <si>
    <t xml:space="preserve">8/10</t>
  </si>
  <si>
    <t xml:space="preserve">Sinaleiro = Fat ÷ Potencial</t>
  </si>
  <si>
    <t xml:space="preserve">Derivado das 2 fontes acima</t>
  </si>
  <si>
    <t xml:space="preserve">661/661</t>
  </si>
  <si>
    <t xml:space="preserve">Consultor (SAP direto: ZV+ZR+LG)</t>
  </si>
  <si>
    <t xml:space="preserve">SAP Carteira cols 43/47</t>
  </si>
  <si>
    <t xml:space="preserve">487/661 (74%)</t>
  </si>
  <si>
    <t xml:space="preserve">Consultor (regra território/rede)</t>
  </si>
  <si>
    <t xml:space="preserve">Rede→JULIO/DAIANE, UF→MANU/LARISSA</t>
  </si>
  <si>
    <t xml:space="preserve">174/661 (26%)</t>
  </si>
  <si>
    <t xml:space="preserve">7/10</t>
  </si>
  <si>
    <t xml:space="preserve">FAT SAP 2025 mensal</t>
  </si>
  <si>
    <t xml:space="preserve">SAP META Resumo</t>
  </si>
  <si>
    <t xml:space="preserve">10/12 meses (Nov+Dez=0)</t>
  </si>
  <si>
    <t xml:space="preserve">META 2026 mensal</t>
  </si>
  <si>
    <t xml:space="preserve">R$4.747.200 (12 meses)</t>
  </si>
  <si>
    <t xml:space="preserve">Venda M/M 2025 (Mercos)</t>
  </si>
  <si>
    <t xml:space="preserve">Relatórios mensais separados</t>
  </si>
  <si>
    <t xml:space="preserve">12/12 meses</t>
  </si>
  <si>
    <t xml:space="preserve">Positivação</t>
  </si>
  <si>
    <t xml:space="preserve">SAP META Positivação</t>
  </si>
  <si>
    <t xml:space="preserve">385→506 (12 meses)</t>
  </si>
  <si>
    <t xml:space="preserve">NOTAS IMPORTANTES</t>
  </si>
  <si>
    <t xml:space="preserve">FAT SAP (R$1.5M) ≠ Venda M/M (R$4.3M): fontes SAP vs Mercos com filtros diferentes</t>
  </si>
  <si>
    <t xml:space="preserve">Potencial é META 2026 do grupo ÷ nº clientes no grupo (distribuição uniforme)</t>
  </si>
  <si>
    <t xml:space="preserve">2 clientes sem grupo no META usam Balizador R$7.200/ano como fallback</t>
  </si>
  <si>
    <t xml:space="preserve">DAIANE: 90 cl todos por regra de rede (SAP não tem campo ZR/ZV para redes)</t>
  </si>
  <si>
    <t xml:space="preserve">HISTÓRICO SINALEIRO INTERNO</t>
  </si>
  <si>
    <t xml:space="preserve">TRIMESTRE</t>
  </si>
  <si>
    <t xml:space="preserve">JAN/2026</t>
  </si>
  <si>
    <t xml:space="preserve">STATUS MATURIDADE</t>
  </si>
  <si>
    <t xml:space="preserve">SINALEIRO</t>
  </si>
  <si>
    <t xml:space="preserve">STATUS</t>
  </si>
  <si>
    <t xml:space="preserve">QTD</t>
  </si>
  <si>
    <t xml:space="preserve">%</t>
  </si>
  <si>
    <t xml:space="preserve">LIMITES</t>
  </si>
  <si>
    <t xml:space="preserve">JBP</t>
  </si>
  <si>
    <t xml:space="preserve">Plano de Sell Out</t>
  </si>
  <si>
    <t xml:space="preserve">Plano de Negócio</t>
  </si>
  <si>
    <t xml:space="preserve">TOP 50</t>
  </si>
  <si>
    <t xml:space="preserve">Prospecção</t>
  </si>
  <si>
    <t xml:space="preserve">TOP 100</t>
  </si>
  <si>
    <t xml:space="preserve">Inativo</t>
  </si>
  <si>
    <t xml:space="preserve">TOP 200</t>
  </si>
  <si>
    <t xml:space="preserve">TOP 300</t>
  </si>
  <si>
    <t xml:space="preserve">DEMAIS</t>
  </si>
  <si>
    <t xml:space="preserve">Sem</t>
  </si>
  <si>
    <t xml:space="preserve">Semaforo2</t>
  </si>
  <si>
    <t xml:space="preserve">Faturamento Projetado Grupo</t>
  </si>
  <si>
    <t xml:space="preserve">Faturamento
Atual Vitao</t>
  </si>
  <si>
    <t xml:space="preserve">Faturamento
Potencial Vitao</t>
  </si>
  <si>
    <t xml:space="preserve">% Potencial</t>
  </si>
  <si>
    <t xml:space="preserve">Grupo</t>
  </si>
  <si>
    <t xml:space="preserve">UF Grupo</t>
  </si>
  <si>
    <t xml:space="preserve">Lojas Grupo</t>
  </si>
  <si>
    <t xml:space="preserve">Maturidade</t>
  </si>
  <si>
    <t xml:space="preserve">UF Rede</t>
  </si>
  <si>
    <t xml:space="preserve">Lojas Rede</t>
  </si>
  <si>
    <t xml:space="preserve">Faturamento Rede</t>
  </si>
  <si>
    <t xml:space="preserve">Faturamento Mensal Esperado por Loja</t>
  </si>
  <si>
    <t xml:space="preserve">Região</t>
  </si>
  <si>
    <t xml:space="preserve">ZS</t>
  </si>
  <si>
    <t xml:space="preserve">ZR</t>
  </si>
  <si>
    <t xml:space="preserve">ZX</t>
  </si>
  <si>
    <t xml:space="preserve">Leitura Scanntech</t>
  </si>
  <si>
    <t xml:space="preserve">Classificação</t>
  </si>
  <si>
    <t xml:space="preserve">Tipo Carteira</t>
  </si>
  <si>
    <t xml:space="preserve">03 - CENTRO OESTE</t>
  </si>
  <si>
    <t xml:space="preserve">ZV - NAO APLICAVEL</t>
  </si>
  <si>
    <t xml:space="preserve">top 50</t>
  </si>
  <si>
    <t xml:space="preserve">REGIÕES/GRUPOS</t>
  </si>
  <si>
    <t xml:space="preserve">03 - SUL</t>
  </si>
  <si>
    <t xml:space="preserve">ZR - NAO APLICAVEL</t>
  </si>
  <si>
    <t xml:space="preserve">HEMANUELE ROSA DITZEL</t>
  </si>
  <si>
    <t xml:space="preserve">03 - RJ + ES + MG</t>
  </si>
  <si>
    <t xml:space="preserve">03 - SP INTERIOR</t>
  </si>
  <si>
    <t xml:space="preserve">03 - NORDESTE (SEM MA)</t>
  </si>
  <si>
    <t xml:space="preserve">03 - NORTE + MA</t>
  </si>
  <si>
    <t xml:space="preserve">REDES E FRANQUIAS</t>
  </si>
  <si>
    <t xml:space="preserve">03 - SP CAPITAL</t>
  </si>
  <si>
    <t xml:space="preserve">03 - NACIONAL</t>
  </si>
  <si>
    <t xml:space="preserve">LG REPRESENTACOES LTDA - EPP</t>
  </si>
  <si>
    <t xml:space="preserve">top 100</t>
  </si>
  <si>
    <t xml:space="preserve">TUDO EM GRAOS / VGA</t>
  </si>
  <si>
    <t xml:space="preserve">top 200</t>
  </si>
  <si>
    <t xml:space="preserve">top 300</t>
  </si>
  <si>
    <t xml:space="preserve">MINHA QUITANDINHA - SP</t>
  </si>
  <si>
    <t xml:space="preserve">demais</t>
  </si>
  <si>
    <t xml:space="preserve">Sinaleiro</t>
  </si>
  <si>
    <t xml:space="preserve">Status</t>
  </si>
  <si>
    <t xml:space="preserve">Data Revisão</t>
  </si>
  <si>
    <t xml:space="preserve">Follow</t>
  </si>
  <si>
    <t xml:space="preserve">Visita Supervisor</t>
  </si>
  <si>
    <t xml:space="preserve">Visita Gerente</t>
  </si>
  <si>
    <t xml:space="preserve">Etapas</t>
  </si>
  <si>
    <t xml:space="preserve">Ações</t>
  </si>
  <si>
    <t xml:space="preserve">Prospecção </t>
  </si>
  <si>
    <t xml:space="preserve">Analise de mix de cadastro</t>
  </si>
  <si>
    <t xml:space="preserve">Estudo concorrencia e preço Sell in</t>
  </si>
  <si>
    <t xml:space="preserve">Positivação Basica</t>
  </si>
  <si>
    <t xml:space="preserve">(mix cadastrado e promotor)</t>
  </si>
  <si>
    <t xml:space="preserve">Ações Sell In + Aniversário / Inauguração (Contra partidas) </t>
  </si>
  <si>
    <t xml:space="preserve">Ajuste de mix + analise de estoque / giro </t>
  </si>
  <si>
    <t xml:space="preserve">Sell in + Sell Out + Inaugurações </t>
  </si>
  <si>
    <t xml:space="preserve">JBP </t>
  </si>
  <si>
    <t xml:space="preserve">BI </t>
  </si>
  <si>
    <t xml:space="preserve">Plano de Negócio - Completo</t>
  </si>
  <si>
    <t xml:space="preserve">🚦 SINALEIRO DE PENETRAÇÃO — REDES E FRANQUIAS VITAO</t>
  </si>
  <si>
    <t xml:space="preserve">Dados reais + fórmulas dinâmicas | Todas as células de cálculo atualizam automaticamente</t>
  </si>
  <si>
    <t xml:space="preserve">ATIVOS</t>
  </si>
  <si>
    <t xml:space="preserve">INAT.REC</t>
  </si>
  <si>
    <t xml:space="preserve">INAT.ANT</t>
  </si>
  <si>
    <t xml:space="preserve">PROSPECT</t>
  </si>
  <si>
    <t xml:space="preserve">CLIENTES C/ VENDA</t>
  </si>
  <si>
    <t xml:space="preserve">Nº PEDIDOS</t>
  </si>
  <si>
    <t xml:space="preserve">FAT. REAL (R$)</t>
  </si>
  <si>
    <t xml:space="preserve">TICKET MÉDIO</t>
  </si>
  <si>
    <t xml:space="preserve">FAT. POTENCIAL</t>
  </si>
  <si>
    <t xml:space="preserve">MATURIDADE</t>
  </si>
  <si>
    <t xml:space="preserve">GAP (R$)</t>
  </si>
  <si>
    <t xml:space="preserve">PENETRAÇÃO %</t>
  </si>
  <si>
    <t xml:space="preserve">ECOM ACESSOS</t>
  </si>
  <si>
    <t xml:space="preserve">PRIORIDADE</t>
  </si>
  <si>
    <t xml:space="preserve">FIT LAND</t>
  </si>
  <si>
    <t xml:space="preserve">JULIO</t>
  </si>
  <si>
    <t xml:space="preserve">DAIANE</t>
  </si>
  <si>
    <t xml:space="preserve">BIOMUNDO</t>
  </si>
  <si>
    <t xml:space="preserve">MANU</t>
  </si>
  <si>
    <t xml:space="preserve">TOTAL GERAL</t>
  </si>
  <si>
    <t xml:space="preserve">📊 CONTADORES POR COR</t>
  </si>
  <si>
    <t xml:space="preserve">🎯 SIMULADOR: E SE?</t>
  </si>
  <si>
    <t xml:space="preserve">🟣 ROXO</t>
  </si>
  <si>
    <t xml:space="preserve">redes</t>
  </si>
  <si>
    <t xml:space="preserve">Se benchmark subir para:</t>
  </si>
  <si>
    <t xml:space="preserve">🔴 VERMELHO</t>
  </si>
  <si>
    <t xml:space="preserve">Novo potencial total:</t>
  </si>
  <si>
    <t xml:space="preserve">🟡 AMARELO</t>
  </si>
  <si>
    <t xml:space="preserve">Novo sinaleiro geral:</t>
  </si>
  <si>
    <t xml:space="preserve">🟢 VERDE</t>
  </si>
  <si>
    <t xml:space="preserve">Novo GAP:</t>
  </si>
  <si>
    <t xml:space="preserve">🚦 PAINEL SINALEIRO — VITAO ALIMENTOS</t>
  </si>
  <si>
    <t xml:space="preserve">Dashboard dinâmico — todos os valores são fórmulas que atualizam da aba SINALEIRO</t>
  </si>
  <si>
    <t xml:space="preserve">COM VENDA</t>
  </si>
  <si>
    <t xml:space="preserve">FAT. REAL</t>
  </si>
  <si>
    <t xml:space="preserve">GAP TOTAL</t>
  </si>
  <si>
    <t xml:space="preserve">SINALEIRO GERAL</t>
  </si>
  <si>
    <t xml:space="preserve">DISTRIBUIÇÃO POR COR</t>
  </si>
  <si>
    <t xml:space="preserve">Prospecção Ativa</t>
  </si>
  <si>
    <t xml:space="preserve">Plano Intensivo</t>
  </si>
  <si>
    <t xml:space="preserve">Ajuste de Mix</t>
  </si>
  <si>
    <t xml:space="preserve">JBP + Sell Out</t>
  </si>
  <si>
    <t xml:space="preserve">RANKING POR SINALEIRO</t>
  </si>
  <si>
    <t xml:space="preserve">⚙️ PARÂMETROS DO SINALEIRO — VITAO ALIMENTOS</t>
  </si>
  <si>
    <t xml:space="preserve">Altere os valores em AZUL para recalcular automaticamente todo o sinaleiro</t>
  </si>
  <si>
    <t xml:space="preserve">BENCHMARK DE CÁLCULO</t>
  </si>
  <si>
    <t xml:space="preserve">PARÂMETRO</t>
  </si>
  <si>
    <t xml:space="preserve">VALOR</t>
  </si>
  <si>
    <t xml:space="preserve">UNIDADE</t>
  </si>
  <si>
    <t xml:space="preserve">DESCRIÇÃO</t>
  </si>
  <si>
    <t xml:space="preserve">Ticket Benchmark Mensal</t>
  </si>
  <si>
    <t xml:space="preserve">R$/mês/loja</t>
  </si>
  <si>
    <t xml:space="preserve">Ticket médio mensal esperado por loja ativa</t>
  </si>
  <si>
    <t xml:space="preserve">Meses no Período</t>
  </si>
  <si>
    <t xml:space="preserve">meses</t>
  </si>
  <si>
    <t xml:space="preserve">Mar/25 a Jan/26 = 11 meses de dados</t>
  </si>
  <si>
    <t xml:space="preserve">Taxa Captura Prospects</t>
  </si>
  <si>
    <t xml:space="preserve">% de prospects que estimamos positivar em 6 meses</t>
  </si>
  <si>
    <t xml:space="preserve">Meta Sinaleiro Geral (6 meses)</t>
  </si>
  <si>
    <t xml:space="preserve">Meta de sinaleiro geral em 6 meses</t>
  </si>
  <si>
    <t xml:space="preserve">FAIXAS DO SINALEIRO</t>
  </si>
  <si>
    <t xml:space="preserve">FAIXA MÍNIMA</t>
  </si>
  <si>
    <t xml:space="preserve">FAIXA MÁXIMA</t>
  </si>
  <si>
    <t xml:space="preserve">AÇÃO RECOMENDADA</t>
  </si>
  <si>
    <t xml:space="preserve">Prospecção ativa</t>
  </si>
  <si>
    <t xml:space="preserve">PROSPECÇÃO</t>
  </si>
  <si>
    <t xml:space="preserve">Plano intensivo de ativação</t>
  </si>
  <si>
    <t xml:space="preserve">ATIVAÇÃO / POSITIVAÇÃO</t>
  </si>
  <si>
    <t xml:space="preserve">Ajuste de mix + promoções</t>
  </si>
  <si>
    <t xml:space="preserve">SELL OUT</t>
  </si>
  <si>
    <t xml:space="preserve">JBP + Sell Out avançado</t>
  </si>
  <si>
    <t xml:space="preserve">REFERÊNCIAS NOMEADAS</t>
  </si>
  <si>
    <t xml:space="preserve">NOME</t>
  </si>
  <si>
    <t xml:space="preserve">REFERÊNCIA</t>
  </si>
  <si>
    <t xml:space="preserve">BENCHMARK_MENSAL</t>
  </si>
  <si>
    <t xml:space="preserve">R$ 525/mês por loja</t>
  </si>
  <si>
    <t xml:space="preserve">MESES_PERIODO</t>
  </si>
  <si>
    <t xml:space="preserve">11 meses de dados</t>
  </si>
  <si>
    <t xml:space="preserve">FAIXA_ROXO_MAX</t>
  </si>
  <si>
    <t xml:space="preserve">&lt; 1%</t>
  </si>
  <si>
    <t xml:space="preserve">FAIXA_VERM_MAX</t>
  </si>
  <si>
    <t xml:space="preserve">&lt; 40%</t>
  </si>
  <si>
    <t xml:space="preserve">FAIXA_AMAR_MAX</t>
  </si>
  <si>
    <t xml:space="preserve">&lt; 60%</t>
  </si>
  <si>
    <t xml:space="preserve">🎯 PLANO DE AÇÃO POR REDE — PRIORIZADO PELO GAP</t>
  </si>
  <si>
    <t xml:space="preserve">Dados puxam da aba SINALEIRO automaticamente</t>
  </si>
  <si>
    <t xml:space="preserve">#</t>
  </si>
  <si>
    <t xml:space="preserve">META 6M (%)</t>
  </si>
  <si>
    <t xml:space="preserve">AÇÕES PRIORITÁRIAS</t>
  </si>
  <si>
    <t xml:space="preserve">Reativar 37 inativos + ativar TOP 10 prospects SC + aumentar frequência compradores</t>
  </si>
  <si>
    <t xml:space="preserve">Consolidar 14 compradores (ticket R$2.151) + reativar 9 inativos + prospectar RS/SC</t>
  </si>
  <si>
    <t xml:space="preserve">Reativar 18 lojas carteira + prospectar SP/RS + cross-sell curva A</t>
  </si>
  <si>
    <t xml:space="preserve">URGENTE: 0 ativos + 93 inativos = reativar 4 recentes + TOP 5 compradores</t>
  </si>
  <si>
    <t xml:space="preserve">199 lojas penetração mínima — identificar barreira central + piloto RJ/SP</t>
  </si>
  <si>
    <t xml:space="preserve">167 lojas 5 compradores — investigar central compras + converter 30 acessos ecom</t>
  </si>
  <si>
    <t xml:space="preserve">25 lojas menor rede — positivar 10+ lojas (RS território MANU)</t>
  </si>
  <si>
    <t xml:space="preserve">114 lojas ZERO vendas — mapear rede + 5 lojas-piloto + mix entrada</t>
  </si>
  <si>
    <t xml:space="preserve">📅 CADÊNCIA DE CONTATO POR ETAPA DE MATURIDADE</t>
  </si>
  <si>
    <t xml:space="preserve">FREQUÊNCIA</t>
  </si>
  <si>
    <t xml:space="preserve">CANAL</t>
  </si>
  <si>
    <t xml:space="preserve">RESPONSÁVEL</t>
  </si>
  <si>
    <t xml:space="preserve">META</t>
  </si>
  <si>
    <t xml:space="preserve">REDES NA ETAPA</t>
  </si>
  <si>
    <t xml:space="preserve">1x/semana</t>
  </si>
  <si>
    <t xml:space="preserve">WhatsApp + Ligação</t>
  </si>
  <si>
    <t xml:space="preserve">Agendar apresentação</t>
  </si>
  <si>
    <t xml:space="preserve">ATIVAÇÃO</t>
  </si>
  <si>
    <t xml:space="preserve">2x/semana</t>
  </si>
  <si>
    <t xml:space="preserve">Ligação + Visita</t>
  </si>
  <si>
    <t xml:space="preserve">Consultor + Gerente</t>
  </si>
  <si>
    <t xml:space="preserve">Primeiro pedido</t>
  </si>
  <si>
    <t xml:space="preserve">POSITIVAÇÃO</t>
  </si>
  <si>
    <t xml:space="preserve">WhatsApp + Oferta</t>
  </si>
  <si>
    <t xml:space="preserve">Recompra mensal</t>
  </si>
  <si>
    <t xml:space="preserve">Quinzenal</t>
  </si>
  <si>
    <t xml:space="preserve">Reunião + Relatório</t>
  </si>
  <si>
    <t xml:space="preserve">Giro + Mix</t>
  </si>
  <si>
    <t xml:space="preserve">Mensal</t>
  </si>
  <si>
    <t xml:space="preserve">Reunião estratégica + BI</t>
  </si>
  <si>
    <t xml:space="preserve">Gerente</t>
  </si>
  <si>
    <t xml:space="preserve">JBP trimestral</t>
  </si>
  <si>
    <t xml:space="preserve">MOTOR DE INTELIGÊNCIA — SINALEIRO VITAO</t>
  </si>
  <si>
    <t xml:space="preserve">O vendedor NÃO decide o que fazer — o sistema prescreve ações baseado na cor do sinaleiro</t>
  </si>
  <si>
    <t xml:space="preserve">Conforme o cliente evolui (faturamento, positivação, cobertura), ele muda de cor e as ações mudam junto.</t>
  </si>
  <si>
    <t xml:space="preserve">FAIXA</t>
  </si>
  <si>
    <t xml:space="preserve">SIGNIFICADO</t>
  </si>
  <si>
    <t xml:space="preserve">OBJETIVO</t>
  </si>
  <si>
    <t xml:space="preserve">CADÊNCIA</t>
  </si>
  <si>
    <t xml:space="preserve">GATILHO SUBIR</t>
  </si>
  <si>
    <t xml:space="preserve">Zero penetração — prospect puro</t>
  </si>
  <si>
    <t xml:space="preserve">PRIMEIRO PEDIDO</t>
  </si>
  <si>
    <t xml:space="preserve">1x/semana | WA + Ligação</t>
  </si>
  <si>
    <t xml:space="preserve">Sinaleiro &gt; 1% (1º pedido)</t>
  </si>
  <si>
    <t xml:space="preserve">1% a 40%</t>
  </si>
  <si>
    <t xml:space="preserve">Baixa penetração — compra esporádica</t>
  </si>
  <si>
    <t xml:space="preserve">RECORRÊNCIA</t>
  </si>
  <si>
    <t xml:space="preserve">2x/semana | Ligação + WA + Visita</t>
  </si>
  <si>
    <t xml:space="preserve">Sinaleiro ≥ 40% + 3 pedidos 90d</t>
  </si>
  <si>
    <t xml:space="preserve">40% a 60%</t>
  </si>
  <si>
    <t xml:space="preserve">Penetração média — espaço pra crescer</t>
  </si>
  <si>
    <t xml:space="preserve">GIRO DE PRODUTO</t>
  </si>
  <si>
    <t xml:space="preserve">Quinzenal | Reunião + Relatório</t>
  </si>
  <si>
    <t xml:space="preserve">Sinaleiro ≥ 60% + 6 meses</t>
  </si>
  <si>
    <t xml:space="preserve">&gt; 60%</t>
  </si>
  <si>
    <t xml:space="preserve">Alta penetração — parceiro estratégico</t>
  </si>
  <si>
    <t xml:space="preserve">PLANO DE NEGÓCIOS</t>
  </si>
  <si>
    <t xml:space="preserve">Mensal | Reunião estratégica + BI</t>
  </si>
  <si>
    <t xml:space="preserve">JÁ É O TOPO — manter</t>
  </si>
  <si>
    <t xml:space="preserve">══ ROXO (&lt; 1%) — PROSPECÇÃO ══</t>
  </si>
  <si>
    <t xml:space="preserve">OBJETIVO: PRIMEIRO PEDIDO — Fazer o cliente conhecer e experimentar VITAO</t>
  </si>
  <si>
    <t xml:space="preserve">CADÊNCIA: 1x/semana | WhatsApp + Ligação | Consultor</t>
  </si>
  <si>
    <t xml:space="preserve">GATILHO SUBIR: Sinaleiro &gt; 1% → 1º pedido faturado → CNPJ positivado no Mercos</t>
  </si>
  <si>
    <t xml:space="preserve">SEQ</t>
  </si>
  <si>
    <t xml:space="preserve">AÇÃO PRESCRITA</t>
  </si>
  <si>
    <t xml:space="preserve">PRAZO</t>
  </si>
  <si>
    <t xml:space="preserve">QUEM</t>
  </si>
  <si>
    <t xml:space="preserve">DETALHE / CONTEXTO REDE vs REGIÃO</t>
  </si>
  <si>
    <t xml:space="preserve">1</t>
  </si>
  <si>
    <t xml:space="preserve">Mapear decisor + telefone + WhatsApp</t>
  </si>
  <si>
    <t xml:space="preserve">D+0</t>
  </si>
  <si>
    <t xml:space="preserve">LinkedIn, Google, ligar na loja. REDES: pedir contato da franqueadora.</t>
  </si>
  <si>
    <t xml:space="preserve">2</t>
  </si>
  <si>
    <t xml:space="preserve">1º contato WhatsApp — apresentação VITAO</t>
  </si>
  <si>
    <t xml:space="preserve">D+1</t>
  </si>
  <si>
    <t xml:space="preserve">Msg + catálogo digital + foto visualização única. Mencionar lojas da mesma rede que já compram.</t>
  </si>
  <si>
    <t xml:space="preserve">3</t>
  </si>
  <si>
    <t xml:space="preserve">Ligação direta para a loja</t>
  </si>
  <si>
    <t xml:space="preserve">D+3</t>
  </si>
  <si>
    <t xml:space="preserve">Se não respondeu WA. REGIÃO: adaptar argumento ao perfil local.</t>
  </si>
  <si>
    <t xml:space="preserve">4</t>
  </si>
  <si>
    <t xml:space="preserve">Enviar amostra/kit degustação</t>
  </si>
  <si>
    <t xml:space="preserve">D+5</t>
  </si>
  <si>
    <t xml:space="preserve">Cons+Ger</t>
  </si>
  <si>
    <t xml:space="preserve">Produtos isca: granola, cookie, barra. Prioridade prospects de redes grandes.</t>
  </si>
  <si>
    <t xml:space="preserve">5</t>
  </si>
  <si>
    <t xml:space="preserve">Follow-up com proposta comercial</t>
  </si>
  <si>
    <t xml:space="preserve">D+7</t>
  </si>
  <si>
    <t xml:space="preserve">Tabela de preços + condições especiais 1º pedido. REDES: tabela da franqueadora.</t>
  </si>
  <si>
    <t xml:space="preserve">6</t>
  </si>
  <si>
    <t xml:space="preserve">Áudio personalizado de urgência</t>
  </si>
  <si>
    <t xml:space="preserve">D+10</t>
  </si>
  <si>
    <t xml:space="preserve">Gravar áudio mencionando sucesso na região/rede do prospect.</t>
  </si>
  <si>
    <t xml:space="preserve">7</t>
  </si>
  <si>
    <t xml:space="preserve">Escalar para Gerente</t>
  </si>
  <si>
    <t xml:space="preserve">D+14</t>
  </si>
  <si>
    <t xml:space="preserve">REDE: contatar franqueadora. REGIÃO: visita presencial se viável.</t>
  </si>
  <si>
    <t xml:space="preserve">KPIs</t>
  </si>
  <si>
    <t xml:space="preserve">Contatos/semana</t>
  </si>
  <si>
    <t xml:space="preserve">≥ 3</t>
  </si>
  <si>
    <t xml:space="preserve">Apresentações agendadas</t>
  </si>
  <si>
    <t xml:space="preserve">≥ 1/sem</t>
  </si>
  <si>
    <t xml:space="preserve">Taxa resposta WA</t>
  </si>
  <si>
    <t xml:space="preserve">&gt; 30%</t>
  </si>
  <si>
    <t xml:space="preserve">Tempo até 1º pedido</t>
  </si>
  <si>
    <t xml:space="preserve">&lt; 30 dias</t>
  </si>
  <si>
    <t xml:space="preserve">══ VERMELHO (1% a 40%) — ATIVAÇÃO / POSITIVAÇÃO ══</t>
  </si>
  <si>
    <t xml:space="preserve">OBJETIVO: RECORRÊNCIA — Transformar compra esporádica em recompra consistente</t>
  </si>
  <si>
    <t xml:space="preserve">CADÊNCIA: 2x/semana | Ligação + WA + Visita | Consultor + Gerente</t>
  </si>
  <si>
    <t xml:space="preserve">GATILHO SUBIR: Sinaleiro ≥ 40% + mín. 3 pedidos em 90 dias + mix ≥ 15 SKUs + penetração ≥ 30%</t>
  </si>
  <si>
    <t xml:space="preserve">Análise de mix — categorias faltantes</t>
  </si>
  <si>
    <t xml:space="preserve">Imediato</t>
  </si>
  <si>
    <t xml:space="preserve">Comparar pedido vs catálogo completo. REDES: comparar com mix das melhores lojas.</t>
  </si>
  <si>
    <t xml:space="preserve">Sugestão de recompra automática</t>
  </si>
  <si>
    <t xml:space="preserve">Ciclo -3d</t>
  </si>
  <si>
    <t xml:space="preserve">Antecipar recompra antes do estoque acabar. Usar ciclo médio do Mercos.</t>
  </si>
  <si>
    <t xml:space="preserve">Cross-sell mix complementar</t>
  </si>
  <si>
    <t xml:space="preserve">Cada pedido</t>
  </si>
  <si>
    <t xml:space="preserve">Sugerir produtos complementares. REDES: mix que funciona nas top lojas da rede.</t>
  </si>
  <si>
    <t xml:space="preserve">Cadastrar novas lojas da rede/região</t>
  </si>
  <si>
    <t xml:space="preserve">Se rede tem 10 lojas e só 2 compram → prospectar as outras 8.</t>
  </si>
  <si>
    <t xml:space="preserve">Campanha desconto progressivo</t>
  </si>
  <si>
    <t xml:space="preserve">Cons+MKT</t>
  </si>
  <si>
    <t xml:space="preserve">5% no 2º pedido, 8% no 3º. Fidelizar a recorrência.</t>
  </si>
  <si>
    <t xml:space="preserve">Follow-up pós-venda D+3 / D+7 / D+15</t>
  </si>
  <si>
    <t xml:space="preserve">Após pedido</t>
  </si>
  <si>
    <t xml:space="preserve">CRÍTICO: 75% com problema no 1º pedido NUNCA voltam. OBRIGATÓRIO.</t>
  </si>
  <si>
    <t xml:space="preserve">Relatório de giro regional/rede</t>
  </si>
  <si>
    <t xml:space="preserve">Mostrar quais produtos vendem mais rápido na região/rede do cliente.</t>
  </si>
  <si>
    <t xml:space="preserve">Pedidos/mês</t>
  </si>
  <si>
    <t xml:space="preserve">≥ 2</t>
  </si>
  <si>
    <t xml:space="preserve">Ticket médio</t>
  </si>
  <si>
    <t xml:space="preserve">&gt; R$ 800</t>
  </si>
  <si>
    <t xml:space="preserve">SKUs no pedido</t>
  </si>
  <si>
    <t xml:space="preserve">≥ 8</t>
  </si>
  <si>
    <t xml:space="preserve">Dias entre pedidos</t>
  </si>
  <si>
    <t xml:space="preserve">&lt; 30</t>
  </si>
  <si>
    <t xml:space="preserve">══ AMARELO (40% a 60%) — SELL OUT ══</t>
  </si>
  <si>
    <t xml:space="preserve">OBJETIVO: GIRO DE PRODUTO — Garantir que o que entra na loja VENDE pro consumidor final</t>
  </si>
  <si>
    <t xml:space="preserve">CADÊNCIA: Quinzenal | Reunião + Relatório + WA | Consultor + Gerente</t>
  </si>
  <si>
    <t xml:space="preserve">GATILHO SUBIR: Sinaleiro ≥ 60% + recompra mensal 6 meses + mix ≥ 25 SKUs + penetração ≥ 60%</t>
  </si>
  <si>
    <t xml:space="preserve">Análise sell-out por SKU com lojista</t>
  </si>
  <si>
    <t xml:space="preserve">Identificar o que gira vs parado. REDES: benchmark entre lojas da mesma rede.</t>
  </si>
  <si>
    <t xml:space="preserve">Ajuste de mix — tirar o que não gira</t>
  </si>
  <si>
    <t xml:space="preserve">Proposta data-driven. REGIÃO: adaptar ao perfil de consumo regional.</t>
  </si>
  <si>
    <t xml:space="preserve">Material de PDV</t>
  </si>
  <si>
    <t xml:space="preserve">Trimestral</t>
  </si>
  <si>
    <t xml:space="preserve">MKT+Cons</t>
  </si>
  <si>
    <t xml:space="preserve">Displays, precificadores, degustação. REDES: material padronizado da rede.</t>
  </si>
  <si>
    <t xml:space="preserve">Treinamento equipe da loja</t>
  </si>
  <si>
    <t xml:space="preserve">Vendedores precisam conhecer o produto. Virtual ou presencial.</t>
  </si>
  <si>
    <t xml:space="preserve">Promoção sell-out (compre X leve Y)</t>
  </si>
  <si>
    <t xml:space="preserve">MKT</t>
  </si>
  <si>
    <t xml:space="preserve">Ações p/ consumidor final. REDES: alinhar calendário promocional da rede.</t>
  </si>
  <si>
    <t xml:space="preserve">Expandir lojas não atendidas</t>
  </si>
  <si>
    <t xml:space="preserve">Contínuo</t>
  </si>
  <si>
    <t xml:space="preserve">Usar case de sucesso das lojas ativas como argumento.</t>
  </si>
  <si>
    <t xml:space="preserve">Reunião de resultado quinzenal</t>
  </si>
  <si>
    <t xml:space="preserve">15/15 dias</t>
  </si>
  <si>
    <t xml:space="preserve">Sell-in vs sell-out, ranking. REDES: comparativo entre lojas.</t>
  </si>
  <si>
    <t xml:space="preserve">Giro de estoque</t>
  </si>
  <si>
    <t xml:space="preserve">&lt; 45 dias</t>
  </si>
  <si>
    <t xml:space="preserve">Ruptura</t>
  </si>
  <si>
    <t xml:space="preserve">&lt; 5% SKUs</t>
  </si>
  <si>
    <t xml:space="preserve">Penetração lojas</t>
  </si>
  <si>
    <t xml:space="preserve">&gt; 50%</t>
  </si>
  <si>
    <t xml:space="preserve">Acessos e-commerce</t>
  </si>
  <si>
    <t xml:space="preserve">Crescendo MoM</t>
  </si>
  <si>
    <t xml:space="preserve">══ VERDE (&gt; 60%) — JBP (Joint Business Plan) ══</t>
  </si>
  <si>
    <t xml:space="preserve">OBJETIVO: PLANO DE NEGÓCIOS CONJUNTO — Crescer junto, defender posição, expandir</t>
  </si>
  <si>
    <t xml:space="preserve">CADÊNCIA: Mensal | Reunião estratégica + BI | Gerente + Diretor</t>
  </si>
  <si>
    <t xml:space="preserve">GATILHO SUBIR: JÁ É O TOPO — Manter posição, expandir categorias, defender contra concorrência</t>
  </si>
  <si>
    <t xml:space="preserve">Reunião estratégica mensal com decisor</t>
  </si>
  <si>
    <t xml:space="preserve">Ger+Dir</t>
  </si>
  <si>
    <t xml:space="preserve">BI completo: sell-in, sell-out, market share. REDES: reunião com franqueadora.</t>
  </si>
  <si>
    <t xml:space="preserve">Plano de negócios semestral</t>
  </si>
  <si>
    <t xml:space="preserve">Semestral</t>
  </si>
  <si>
    <t xml:space="preserve">Metas compartilhadas, calendário promocional, lançamentos.</t>
  </si>
  <si>
    <t xml:space="preserve">Exclusividade em lançamentos</t>
  </si>
  <si>
    <t xml:space="preserve">Cada lanç.</t>
  </si>
  <si>
    <t xml:space="preserve">Parceiro verde recebe novidades ANTES da concorrência.</t>
  </si>
  <si>
    <t xml:space="preserve">Trade marketing conjunto</t>
  </si>
  <si>
    <t xml:space="preserve">MKT+Vdas</t>
  </si>
  <si>
    <t xml:space="preserve">Degustações, eventos, campanhas co-branded na região/rede.</t>
  </si>
  <si>
    <t xml:space="preserve">Dashboard compartilhado</t>
  </si>
  <si>
    <t xml:space="preserve">BI+Ger</t>
  </si>
  <si>
    <t xml:space="preserve">Portal com dados em tempo real para o parceiro acompanhar.</t>
  </si>
  <si>
    <t xml:space="preserve">Programa de fidelidade/rebate</t>
  </si>
  <si>
    <t xml:space="preserve">Anual</t>
  </si>
  <si>
    <t xml:space="preserve">Diretoria</t>
  </si>
  <si>
    <t xml:space="preserve">Bonificação por volume, acordos comerciais formalizados.</t>
  </si>
  <si>
    <t xml:space="preserve">Defesa contra concorrência</t>
  </si>
  <si>
    <t xml:space="preserve">Monitorar entrada de concorrentes, agir preventivamente.</t>
  </si>
  <si>
    <t xml:space="preserve">Fat. vs meta anual</t>
  </si>
  <si>
    <t xml:space="preserve">≥ 100%</t>
  </si>
  <si>
    <t xml:space="preserve">Share of shelf</t>
  </si>
  <si>
    <t xml:space="preserve">&gt; 15%</t>
  </si>
  <si>
    <t xml:space="preserve">Penetração total</t>
  </si>
  <si>
    <t xml:space="preserve">&gt; 80%</t>
  </si>
  <si>
    <t xml:space="preserve">Ações conjuntas/tri</t>
  </si>
  <si>
    <t xml:space="preserve">══ GATILHOS DE PROGRESSÃO — O que precisa acontecer pra subir de cor ══</t>
  </si>
  <si>
    <t xml:space="preserve">ROXO → VERMELHO</t>
  </si>
  <si>
    <t xml:space="preserve">TRIGGER: 1º PEDIDO FATURADO</t>
  </si>
  <si>
    <t xml:space="preserve">✓</t>
  </si>
  <si>
    <t xml:space="preserve">CNPJ cadastrado no Mercos</t>
  </si>
  <si>
    <t xml:space="preserve">Primeiro pedido emitido e faturado</t>
  </si>
  <si>
    <t xml:space="preserve">Sinaleiro &gt; 1%</t>
  </si>
  <si>
    <t xml:space="preserve">→</t>
  </si>
  <si>
    <t xml:space="preserve">PRÓXIMO: Iniciar follow-up D+3, D+7, D+15 — OBRIGATÓRIO</t>
  </si>
  <si>
    <t xml:space="preserve">VERMELHO → AMARELO</t>
  </si>
  <si>
    <t xml:space="preserve">TRIGGER: RECORRÊNCIA COMPROVADA</t>
  </si>
  <si>
    <t xml:space="preserve">Sinaleiro ≥ 40%</t>
  </si>
  <si>
    <t xml:space="preserve">Mínimo 3 pedidos nos últimos 90 dias</t>
  </si>
  <si>
    <t xml:space="preserve">Mix com ≥ 15 SKUs</t>
  </si>
  <si>
    <t xml:space="preserve">Penetração ≥ 30% das lojas (REDES) ou clientes (REGIÃO)</t>
  </si>
  <si>
    <t xml:space="preserve">PRÓXIMO: Migrar foco de sell-in para sell-out. Reunião quinzenal.</t>
  </si>
  <si>
    <t xml:space="preserve">AMARELO → VERDE</t>
  </si>
  <si>
    <t xml:space="preserve">TRIGGER: PARCERIA ESTRATÉGICA</t>
  </si>
  <si>
    <t xml:space="preserve">Sinaleiro ≥ 60%</t>
  </si>
  <si>
    <t xml:space="preserve">Recompra mensal estável (≥ 6 meses)</t>
  </si>
  <si>
    <t xml:space="preserve">Mix completo (≥ 25 SKUs)</t>
  </si>
  <si>
    <t xml:space="preserve">Penetração ≥ 60% das lojas</t>
  </si>
  <si>
    <t xml:space="preserve">Sell-out comprovado</t>
  </si>
  <si>
    <t xml:space="preserve">PRÓXIMO: Agendar reunião JBP com gerência. Preparar BI completo.</t>
  </si>
  <si>
    <t xml:space="preserve">══ PROTOCOLO DE RECUPERAÇÃO — Quando o sinaleiro CAI ══</t>
  </si>
  <si>
    <t xml:space="preserve">75% dos clientes com problema no 1º pedido NUNCA voltam. Custo de recuperar = 5x custo de reter.</t>
  </si>
  <si>
    <t xml:space="preserve">VERDE → AMARELO</t>
  </si>
  <si>
    <t xml:space="preserve">GRAVIDADE: ALTA</t>
  </si>
  <si>
    <t xml:space="preserve">URGÊNCIA: 24 HORAS</t>
  </si>
  <si>
    <t xml:space="preserve">ESCALAÇÃO: Gerente + Diretor</t>
  </si>
  <si>
    <t xml:space="preserve">•</t>
  </si>
  <si>
    <t xml:space="preserve">IMEDIATO: Ligar pro decisor — o que aconteceu?</t>
  </si>
  <si>
    <t xml:space="preserve">D+1: Root-cause analysis — identificar causa real</t>
  </si>
  <si>
    <t xml:space="preserve">D+3: Reunião presencial de emergência</t>
  </si>
  <si>
    <t xml:space="preserve">D+5: Plano de recuperação com incentivos financeiros</t>
  </si>
  <si>
    <t xml:space="preserve">D+7: Acompanhamento diário até estabilizar</t>
  </si>
  <si>
    <t xml:space="preserve">NUNCA perder um cliente verde. Ação máxima.</t>
  </si>
  <si>
    <t xml:space="preserve">AMARELO → VERMELHO</t>
  </si>
  <si>
    <t xml:space="preserve">GRAVIDADE: CRÍTICA</t>
  </si>
  <si>
    <t xml:space="preserve">URGÊNCIA: IMEDIATA</t>
  </si>
  <si>
    <t xml:space="preserve">ESCALAÇÃO: Consultor + Gerente + Visita</t>
  </si>
  <si>
    <t xml:space="preserve">D+0: Contato telefônico — investigar problema</t>
  </si>
  <si>
    <t xml:space="preserve">D+1: Verificar problema operacional (atraso, ruptura, boleto)</t>
  </si>
  <si>
    <t xml:space="preserve">D+3: Visita presencial do consultor</t>
  </si>
  <si>
    <t xml:space="preserve">D+5: Proposta irrecusável (desconto + frete grátis)</t>
  </si>
  <si>
    <t xml:space="preserve">D+7: Escalar pra gerente — reunião de recuperação</t>
  </si>
  <si>
    <t xml:space="preserve">VERMELHO → ROXO</t>
  </si>
  <si>
    <t xml:space="preserve">GRAVIDADE: EMERGÊNCIA</t>
  </si>
  <si>
    <t xml:space="preserve">URGÊNCIA: EMERGENCIAL</t>
  </si>
  <si>
    <t xml:space="preserve">ESCALAÇÃO: Diretoria — ação máxima</t>
  </si>
  <si>
    <t xml:space="preserve">ALARME: Cliente parou 100% de comprar</t>
  </si>
  <si>
    <t xml:space="preserve">D+0: Diretoria notificada imediatamente</t>
  </si>
  <si>
    <t xml:space="preserve">D+1: Investigar protesto/problema financeiro grave</t>
  </si>
  <si>
    <t xml:space="preserve">D+3: Oferta máxima + frete grátis + desconto especial</t>
  </si>
  <si>
    <t xml:space="preserve">D+7: Aceitar perda ou plano de recuperação 90 dias</t>
  </si>
  <si>
    <t xml:space="preserve">══ CADÊNCIA SEMANAL — PLAYBOOK VITAO ══</t>
  </si>
  <si>
    <t xml:space="preserve">SEGUNDA</t>
  </si>
  <si>
    <t xml:space="preserve">WA com sugestão de pedido (baseado no ciclo) + foto visualização única</t>
  </si>
  <si>
    <t xml:space="preserve">TERÇA</t>
  </si>
  <si>
    <t xml:space="preserve">Se não respondeu → áudio personalizado + mensagem no celular pessoal</t>
  </si>
  <si>
    <t xml:space="preserve">QUARTA</t>
  </si>
  <si>
    <t xml:space="preserve">Ligação direta na loja + mensagem de urgência sobre estoque</t>
  </si>
  <si>
    <t xml:space="preserve">QUINTA</t>
  </si>
  <si>
    <t xml:space="preserve">Última tentativa + oferecimento de ajuda personalizada</t>
  </si>
  <si>
    <t xml:space="preserve">SEXTA</t>
  </si>
  <si>
    <t xml:space="preserve">MKT digital (anúncios regionais) + contato redes sociais</t>
  </si>
  <si>
    <t xml:space="preserve">REGRA: Cada contato = registro OBRIGATÓRIO no Mercos. Sem registro = não aconteceu.</t>
  </si>
  <si>
    <t xml:space="preserve">══ DUAS LENTES — MESMO RACIONAL ══</t>
  </si>
  <si>
    <t xml:space="preserve">LENTE 1: POR REDE</t>
  </si>
  <si>
    <t xml:space="preserve">Daiane/Julio gerenciam REDES inteiras (Divina Terra, Cia Saúde, Fitland...)</t>
  </si>
  <si>
    <t xml:space="preserve">A rede é a unidade de análise. Sinaleiro = Fat.Real da rede / Fat.Potencial da rede</t>
  </si>
  <si>
    <t xml:space="preserve">Consultor filtra por REDE no OPERACIONAL → vê cor → executa plano de ação da cor</t>
  </si>
  <si>
    <t xml:space="preserve">LENTE 2: POR REGIÃO</t>
  </si>
  <si>
    <t xml:space="preserve">Manu/Larissa gerenciam REGIÕES geográficas (SUL, Nordeste, SP Capital...)</t>
  </si>
  <si>
    <t xml:space="preserve">A região é tratada como um 'grande grupo'. Mesmo cálculo, mesma lógica de cores</t>
  </si>
  <si>
    <t xml:space="preserve">Consultor filtra por REGIÃO no OPERACIONAL → vê cor → executa mesmo plano de ação</t>
  </si>
  <si>
    <t xml:space="preserve">IMPORTANTE</t>
  </si>
  <si>
    <t xml:space="preserve">Mesmas cores, mesmos gatilhos, mesmos planos de ação. A diferença é SÓ o agrupamento.</t>
  </si>
  <si>
    <t xml:space="preserve">VITAO Alimentos © 2026 | Sinaleiro Motor de Inteligência v1.0 | O vendedor executa, o sistema pensa.</t>
  </si>
  <si>
    <t xml:space="preserve">REGRAS DO SINALEIRO — CRM INTELIGENTE VITAO</t>
  </si>
  <si>
    <t xml:space="preserve">Versao: v10 | Atualizado: Fev/2026 | Responsavel: Leandro (IA Solutions Engineer)</t>
  </si>
  <si>
    <t xml:space="preserve">SECAO</t>
  </si>
  <si>
    <t xml:space="preserve">REGRA / DEFINICAO</t>
  </si>
  <si>
    <t xml:space="preserve">VALOR / FAIXA</t>
  </si>
  <si>
    <t xml:space="preserve">APLICACAO</t>
  </si>
  <si>
    <t xml:space="preserve">DETALHAMENTO</t>
  </si>
  <si>
    <t xml:space="preserve">QUEM EXECUTA</t>
  </si>
  <si>
    <t xml:space="preserve">1. CLASSIFICACAO POR COR</t>
  </si>
  <si>
    <t xml:space="preserve">ROXO — Prospeccao</t>
  </si>
  <si>
    <t xml:space="preserve">Cliente com penetracao inferior a 1% do potencial estimado</t>
  </si>
  <si>
    <t xml:space="preserve">Sinaleiro &lt; 1%</t>
  </si>
  <si>
    <t xml:space="preserve">Primeiro pedido / Ativacao</t>
  </si>
  <si>
    <t xml:space="preserve">Inclui clientes inativos (sem faturamento) e prospects. O objetivo e conquistar o primeiro pedido ou reativar. Cadencia: 1x/semana via WhatsApp + ligacao.</t>
  </si>
  <si>
    <t xml:space="preserve">Consultor da regiao/rede</t>
  </si>
  <si>
    <t xml:space="preserve">VERMELHO — Ativacao</t>
  </si>
  <si>
    <t xml:space="preserve">Cliente compra mas com penetracao entre 1% e 40%</t>
  </si>
  <si>
    <t xml:space="preserve">Gerar recorrencia e aumentar mix</t>
  </si>
  <si>
    <t xml:space="preserve">Ja fez pelo menos 1 pedido mas nao atingiu 40% do potencial. Foco em recorrencia, aumento de SKUs e ciclo de recompra. Cadencia: 2x/semana (ligacao + WA + visita).</t>
  </si>
  <si>
    <t xml:space="preserve">AMARELO — Sell Out</t>
  </si>
  <si>
    <t xml:space="preserve">Cliente entre 40% e 60% de penetracao — ja compra bem</t>
  </si>
  <si>
    <t xml:space="preserve">Girar produto no PDV (sell out)</t>
  </si>
  <si>
    <t xml:space="preserve">Cliente ja tem boa recorrencia. Foco muda para garantir giro no ponto de venda, acoes de trade marketing, degustacao e leitura Scanntech. Cadencia: quinzenal.</t>
  </si>
  <si>
    <t xml:space="preserve">VERDE — JBP (Parceria)</t>
  </si>
  <si>
    <t xml:space="preserve">Cliente acima de 60% — parceiro estrategico</t>
  </si>
  <si>
    <t xml:space="preserve">Joint Business Plan (JBP)</t>
  </si>
  <si>
    <t xml:space="preserve">Parceiro estrategico com alto volume. Trabalho conjunto de planejamento (JBP), exclusividade, espaco em gondola, campanhas conjuntas. Cadencia: mensal com revisao trimestral.</t>
  </si>
  <si>
    <t xml:space="preserve">Consultor + Gerente + Diretoria</t>
  </si>
  <si>
    <t xml:space="preserve">2. CALCULO DO SINALEIRO</t>
  </si>
  <si>
    <t xml:space="preserve">% Penetracao (Sinaleiro)</t>
  </si>
  <si>
    <t xml:space="preserve">Faturamento Real VITAO / Potencial Estimado x 100</t>
  </si>
  <si>
    <t xml:space="preserve">0% a 100%+</t>
  </si>
  <si>
    <t xml:space="preserve">Todas as abas</t>
  </si>
  <si>
    <t xml:space="preserve">O faturamento real vem do SAP. O potencial e calculado por: (numero de lojas do grupo) x (faturamento mensal esperado por loja baseado na rede). Exemplo: 10 lojas x R$2.500/loja = R$25.000 potencial.</t>
  </si>
  <si>
    <t xml:space="preserve">Calculado automaticamente</t>
  </si>
  <si>
    <t xml:space="preserve">Faturamento Esperado/Loja</t>
  </si>
  <si>
    <t xml:space="preserve">Benchmark de faturamento VITAO por loja da rede (media ou meta)</t>
  </si>
  <si>
    <t xml:space="preserve">Varia por rede</t>
  </si>
  <si>
    <t xml:space="preserve">OPERACIONAL col O</t>
  </si>
  <si>
    <t xml:space="preserve">Baseado no historico de vendas da rede ou meta definida pela gerencia. Redes maiores como Divina Terra tem benchmark diferente de redes menores.</t>
  </si>
  <si>
    <t xml:space="preserve">Gerencia Comercial</t>
  </si>
  <si>
    <t xml:space="preserve">3. TERRITORIO E CONSULTORES</t>
  </si>
  <si>
    <t xml:space="preserve">MANU (Hemanuele Ditzel)</t>
  </si>
  <si>
    <t xml:space="preserve">Atende SC, PR, RS — foco regional/territorial</t>
  </si>
  <si>
    <t xml:space="preserve">205 clientes</t>
  </si>
  <si>
    <t xml:space="preserve">Lente REGIAO</t>
  </si>
  <si>
    <t xml:space="preserve">Gestao por UF e grupo economico. Visitas presenciais frequentes pela proximidade geografica. Cuida de grupos regionais que nao sao redes nacionais.</t>
  </si>
  <si>
    <t xml:space="preserve">Manu</t>
  </si>
  <si>
    <t xml:space="preserve">LARISSA (Larissa Padilha)</t>
  </si>
  <si>
    <t xml:space="preserve">Atende demais estados (SP, MG, RJ, ES, CO, NE, N)</t>
  </si>
  <si>
    <t xml:space="preserve">224 clientes</t>
  </si>
  <si>
    <t xml:space="preserve">Gestao remota predominante (telefone + WA). Visitas estrategicas pontuais. Foco em grupos regionais fora do Sul.</t>
  </si>
  <si>
    <t xml:space="preserve">Larissa</t>
  </si>
  <si>
    <t xml:space="preserve">JULIO (Julio Gadret)</t>
  </si>
  <si>
    <t xml:space="preserve">Exclusivo: Cia Saude e Fitland (redes nacionais)</t>
  </si>
  <si>
    <t xml:space="preserve">142 clientes</t>
  </si>
  <si>
    <t xml:space="preserve">Lente REDE</t>
  </si>
  <si>
    <t xml:space="preserve">Atende apenas Cia Saude e Fitland em ambito nacional. Decisoes centralizadas pelo franqueador com execucao loja a loja.</t>
  </si>
  <si>
    <t xml:space="preserve">Julio</t>
  </si>
  <si>
    <t xml:space="preserve">DAIANE (Daiane Stavicki)</t>
  </si>
  <si>
    <t xml:space="preserve">Redes e franquias nacionais (Divina Terra, Biomundo, Mundo Verde, Vida Leve, etc)</t>
  </si>
  <si>
    <t xml:space="preserve">90 clientes</t>
  </si>
  <si>
    <t xml:space="preserve">Gerencia redes de franquia onde a negociacao e centralizada. Decisao do franqueador replica para todas as lojas. Atua com Divina Terra, Biomundo, Mundo Verde, Vida Leve, Tudo em Graos.</t>
  </si>
  <si>
    <t xml:space="preserve">Daiane</t>
  </si>
  <si>
    <t xml:space="preserve">4. DUAS LENTES</t>
  </si>
  <si>
    <t xml:space="preserve">Clientes geridos por territorio geografico (Manu e Larissa)</t>
  </si>
  <si>
    <t xml:space="preserve">REGIOES/GRUPOS</t>
  </si>
  <si>
    <t xml:space="preserve">Filtro Tipo Carteira</t>
  </si>
  <si>
    <t xml:space="preserve">Usa o filtro "Tipo Carteira = REGIOES/GRUPOS" no OPERACIONAL. O potencial e calculado pelo grupo economico (todas as lojas do mesmo CNPJ raiz). Decisao de compra e local.</t>
  </si>
  <si>
    <t xml:space="preserve">Manu / Larissa</t>
  </si>
  <si>
    <t xml:space="preserve">Clientes geridos por rede de franquia (Julio e Daiane)</t>
  </si>
  <si>
    <t xml:space="preserve">Usa o filtro "Tipo Carteira = REDES E FRANQUIAS" no OPERACIONAL. O potencial e calculado pela rede inteira (todas as lojas da mesma bandeira). Decisao centralizada no franqueador.</t>
  </si>
  <si>
    <t xml:space="preserve">Julio / Daiane</t>
  </si>
  <si>
    <t xml:space="preserve">5. GATILHOS DE PROGRESSAO</t>
  </si>
  <si>
    <t xml:space="preserve">Primeiro pedido faturado + cadastro ativo no SAP</t>
  </si>
  <si>
    <t xml:space="preserve">Sinaleiro passa de 0% para &gt;1%</t>
  </si>
  <si>
    <t xml:space="preserve">Automatico pelo SAP</t>
  </si>
  <si>
    <t xml:space="preserve">Quando o cliente faz o primeiro pedido e o faturamento aparece no SAP, ele automaticamente sai de ROXO para VERMELHO. A maturidade muda de "Prospeccao" para "Plano de Negocio".</t>
  </si>
  <si>
    <t xml:space="preserve">Sistema</t>
  </si>
  <si>
    <t xml:space="preserve">Penetracao atinge 40% do potencial + 3 pedidos consecutivos</t>
  </si>
  <si>
    <t xml:space="preserve">Sinaleiro atinge 40%</t>
  </si>
  <si>
    <t xml:space="preserve">Validacao mensal</t>
  </si>
  <si>
    <t xml:space="preserve">Alem de atingir 40%, o cliente precisa demonstrar recorrencia (minimo 3 pedidos nos ultimos 3 meses). Evita que um pedido grande pontual "pule" a fase.</t>
  </si>
  <si>
    <t xml:space="preserve">Consultor valida + Gerente aprova</t>
  </si>
  <si>
    <t xml:space="preserve">Penetracao acima de 60% + sell out comprovado + 6 meses recorrentes</t>
  </si>
  <si>
    <t xml:space="preserve">Sinaleiro &gt; 60%</t>
  </si>
  <si>
    <t xml:space="preserve">Validacao trimestral</t>
  </si>
  <si>
    <t xml:space="preserve">O cliente precisa ter sell out positivo (dados Scanntech quando disponivel), recorrencia de 6 meses e potencial para JBP. Transicao mais criteriosa.</t>
  </si>
  <si>
    <t xml:space="preserve">Gerente + Diretoria</t>
  </si>
  <si>
    <t xml:space="preserve">6. PROTOCOLO DE RECUPERACAO</t>
  </si>
  <si>
    <t xml:space="preserve">Queda na penetracao abaixo de 60% ou interrupcao de pedidos</t>
  </si>
  <si>
    <t xml:space="preserve">ALTA severidade</t>
  </si>
  <si>
    <t xml:space="preserve">Acao em 24h</t>
  </si>
  <si>
    <t xml:space="preserve">Escalar para Gerente + Diretor. Identificar causa (ruptura? concorrencia? mudanca de comprador?). Visita emergencial ou call com decisor.</t>
  </si>
  <si>
    <t xml:space="preserve">Gerente + Diretor</t>
  </si>
  <si>
    <t xml:space="preserve">Queda abaixo de 40% ou 2 meses sem pedido</t>
  </si>
  <si>
    <t xml:space="preserve">CRITICA severidade</t>
  </si>
  <si>
    <t xml:space="preserve">Acao imediata</t>
  </si>
  <si>
    <t xml:space="preserve">Consultor + Gerente em campo. Visita presencial obrigatoria. Renegociacao de condicoes, proposta de reativacao com oferta especial.</t>
  </si>
  <si>
    <t xml:space="preserve">3+ meses sem faturamento — risco de perda total</t>
  </si>
  <si>
    <t xml:space="preserve">EMERGENCIA</t>
  </si>
  <si>
    <t xml:space="preserve">Acao de diretoria</t>
  </si>
  <si>
    <t xml:space="preserve">Caso mais grave. Acionar diretoria para contato direto com decisor do cliente. Avaliar se vale recuperar ou reclassificar como inativo.</t>
  </si>
  <si>
    <t xml:space="preserve">7. FONTES DE DADOS</t>
  </si>
  <si>
    <t xml:space="preserve">Faturamento real, cadastro de clientes, metas mensais, status ativo/inativo</t>
  </si>
  <si>
    <t xml:space="preserve">OPERACIONAL + PROJECAO</t>
  </si>
  <si>
    <t xml:space="preserve">Base oficial de faturamento. Os dados da coluna D (Faturamento Atual) e da aba PROJECAO (metas mensais) vem do SAP.</t>
  </si>
  <si>
    <t xml:space="preserve">Financeiro/TI</t>
  </si>
  <si>
    <t xml:space="preserve">Mercos ERP</t>
  </si>
  <si>
    <t xml:space="preserve">Relatorios de vendas, positivacao, atendimentos registrados, acessos e-commerce</t>
  </si>
  <si>
    <t xml:space="preserve">PAINEL (vendas mes a mes)</t>
  </si>
  <si>
    <t xml:space="preserve">Complementa o SAP com dados operacionais: quais clientes acessaram o catalogo, quantos atendimentos foram feitos, positivacao mensal.</t>
  </si>
  <si>
    <t xml:space="preserve">Equipe Comercial</t>
  </si>
  <si>
    <t xml:space="preserve">Scanntech</t>
  </si>
  <si>
    <t xml:space="preserve">Dados de sell out (venda ao consumidor final no PDV)</t>
  </si>
  <si>
    <t xml:space="preserve">Quando disponivel</t>
  </si>
  <si>
    <t xml:space="preserve">OPERACIONAL col U</t>
  </si>
  <si>
    <t xml:space="preserve">Nem todos os clientes tem leitura Scanntech. Quando disponivel, valida se o produto esta girando na gondola (sell out real vs sell in).</t>
  </si>
  <si>
    <t xml:space="preserve">Trade Marketing</t>
  </si>
  <si>
    <t xml:space="preserve">8. ABAS DO ARQUIVO</t>
  </si>
  <si>
    <t xml:space="preserve">PAINEL</t>
  </si>
  <si>
    <t xml:space="preserve">Dashboard executivo com KPIs gerais, venda mes a mes, comparativo meta vs realizado por UF e por consultor</t>
  </si>
  <si>
    <t xml:space="preserve">Visao gerencial</t>
  </si>
  <si>
    <t xml:space="preserve">CEO / Diretoria</t>
  </si>
  <si>
    <t xml:space="preserve">Resumo visual para tomada de decisao rapida. Mostra total da carteira, distribuicao por cor e por estado.</t>
  </si>
  <si>
    <t xml:space="preserve">Leitura apenas</t>
  </si>
  <si>
    <t xml:space="preserve">OPERACIONAL</t>
  </si>
  <si>
    <t xml:space="preserve">Base principal com 661 clientes, 23 colunas, 5 filtros (slicers) para segmentacao</t>
  </si>
  <si>
    <t xml:space="preserve">Operacao diaria</t>
  </si>
  <si>
    <t xml:space="preserve">Consultores / Gerente</t>
  </si>
  <si>
    <t xml:space="preserve">Cada consultor filtra por seu nome e ve sua carteira com cores, maturidade e potencial. Base imutavel — nao adicionar/remover colunas.</t>
  </si>
  <si>
    <t xml:space="preserve">Filtrar e consultar</t>
  </si>
  <si>
    <t xml:space="preserve">PROJECAO</t>
  </si>
  <si>
    <t xml:space="preserve">Meta SAP mensal por cliente com sinaleiro de atingimento (Jan-Dez 2026)</t>
  </si>
  <si>
    <t xml:space="preserve">Acompanhamento metas</t>
  </si>
  <si>
    <t xml:space="preserve">Gerencia / Diretoria</t>
  </si>
  <si>
    <t xml:space="preserve">Mostra meta anual e distribuicao mensal por cliente. Inclui cor do sinaleiro e maturidade para cruzar meta com capacidade real.</t>
  </si>
  <si>
    <t xml:space="preserve">MOTOR</t>
  </si>
  <si>
    <t xml:space="preserve">Motor de inteligencia: plano de acao por cor, gatilhos, cadencia, recuperacao</t>
  </si>
  <si>
    <t xml:space="preserve">Referencia operacional</t>
  </si>
  <si>
    <t xml:space="preserve">Todos</t>
  </si>
  <si>
    <t xml:space="preserve">Manual prescritivo embutido. Consultor abre, ve a cor do cliente, vai no MOTOR e encontra exatamente o que fazer, quando e como medir sucesso.</t>
  </si>
  <si>
    <t xml:space="preserve">Consulta</t>
  </si>
  <si>
    <t xml:space="preserve">REGRAS (esta aba)</t>
  </si>
  <si>
    <t xml:space="preserve">Todas as regras de negocio do CRM em formato tabular consultavel</t>
  </si>
  <si>
    <t xml:space="preserve">Governanca</t>
  </si>
  <si>
    <t xml:space="preserve">Documento de referencia para garantir que todos entendam as regras do jogo. Deve ser consultado antes de qualquer alteracao no arquivo.</t>
  </si>
  <si>
    <t xml:space="preserve">LEIA-ME</t>
  </si>
  <si>
    <t xml:space="preserve">Guia completo de uso, FAQ, historico de versoes e instrucoes para IA</t>
  </si>
  <si>
    <t xml:space="preserve">Onboarding</t>
  </si>
  <si>
    <t xml:space="preserve">Novos usuarios / IA</t>
  </si>
  <si>
    <t xml:space="preserve">README do projeto. Qualquer pessoa (ou IA) que abrir o arquivo pela primeira vez deve ler esta aba para entender o contexto completo.</t>
  </si>
  <si>
    <t xml:space="preserve">9. RESTRICOES TECNICAS</t>
  </si>
  <si>
    <t xml:space="preserve">OPERACIONAL — IMUTAVEL</t>
  </si>
  <si>
    <t xml:space="preserve">NAO adicionar, remover ou reordenar colunas. Os 5 slicers dependem da estrutura exata de 23 colunas (A-W).</t>
  </si>
  <si>
    <t xml:space="preserve">CRITICO</t>
  </si>
  <si>
    <t xml:space="preserve">Qualquer edicao</t>
  </si>
  <si>
    <t xml:space="preserve">Os slicers (botoes de filtro) estao conectados a tabela1 (table1.xml) com colunas rigidas. Alterar a estrutura corrompe os slicers e pode tornar o arquivo inutilizavel.</t>
  </si>
  <si>
    <t xml:space="preserve">Ninguem sem autorizacao</t>
  </si>
  <si>
    <t xml:space="preserve">styles.xml — IMUTAVEL</t>
  </si>
  <si>
    <t xml:space="preserve">NAO expandir o arquivo de estilos alem de 152 entradas (indices 0-151). Slicers dependem disso.</t>
  </si>
  <si>
    <t xml:space="preserve">Edicao por IA/codigo</t>
  </si>
  <si>
    <t xml:space="preserve">Quando estilos passam de 152 entradas, o Excel perde a capacidade de renderizar slicers. Novos conteudos devem usar estilos existentes (0-151).</t>
  </si>
  <si>
    <t xml:space="preserve">Apenas via XML surgery</t>
  </si>
  <si>
    <t xml:space="preserve">Dados — ZERO fabricacao</t>
  </si>
  <si>
    <t xml:space="preserve">Tolerancia zero para dados inventados por IA. Todo valor deve vir de fonte SAP, Mercos ou planilha oficial.</t>
  </si>
  <si>
    <t xml:space="preserve">Dados fabricados comprometem decisoes de negocios. Se nao houver dado real disponivel, deixar vazio ou marcar como "PENDENTE".</t>
  </si>
  <si>
    <t xml:space="preserve">CNPJ — chave primaria</t>
  </si>
  <si>
    <t xml:space="preserve">Formato: 14 digitos sem pontuacao. Usado para cruzamento entre todas as bases.</t>
  </si>
  <si>
    <t xml:space="preserve">Padrao obrigatorio</t>
  </si>
  <si>
    <t xml:space="preserve">Todas as abas com CNPJ</t>
  </si>
  <si>
    <t xml:space="preserve">Normalizar sempre para 14 digitos (com zeros a esquerda). Exemplo: 01234567000189. Nunca usar formato com pontos/barras.</t>
  </si>
  <si>
    <t xml:space="preserve">LEIA-ME — SINALEIRO VITAO (CRM INTELIGENTE)</t>
  </si>
  <si>
    <t xml:space="preserve">Versao v10 | Fevereiro 2026 | VITAO Alimentos</t>
  </si>
  <si>
    <t xml:space="preserve">O QUE E ESTE ARQUIVO?</t>
  </si>
  <si>
    <t xml:space="preserve">Descricao</t>
  </si>
  <si>
    <t xml:space="preserve">Este e o SINALEIRO INTERNO da VITAO Alimentos — um CRM inteligente em Excel que classifica 661 clientes B2B por nivel de penetracao (% do potencial de vendas capturado). Cada cliente recebe uma cor (ROXO, VERMELHO, AMARELO, VERDE) que determina automaticamente qual acao o consultor deve tomar, com qual frequencia e quais KPIs acompanhar.</t>
  </si>
  <si>
    <t xml:space="preserve">Objetivo</t>
  </si>
  <si>
    <t xml:space="preserve">Eliminar subjetividade na gestao comercial. O vendedor NAO decide o que fazer — o sinaleiro prescreve. As cores funcionam como um semaforo que guia a acao: cada cor tem um plano de acao completo com prazos, responsaveis e metricas de sucesso.</t>
  </si>
  <si>
    <t xml:space="preserve">Publico</t>
  </si>
  <si>
    <t xml:space="preserve">Diretoria (visao PAINEL), Gerencia Comercial (visao OPERACIONAL + PROJECAO), Consultores (visao OPERACIONAL filtrada + MOTOR), Equipe de IA/Dados (todas as abas + REGRAS).</t>
  </si>
  <si>
    <t xml:space="preserve">COMO USAR</t>
  </si>
  <si>
    <t xml:space="preserve">1. Abrir o PAINEL</t>
  </si>
  <si>
    <t xml:space="preserve">Comece pelo PAINEL para ter uma visao geral: total de clientes por cor, faturamento vs meta, distribuicao por UF e por consultor. Esta e a visao executiva.</t>
  </si>
  <si>
    <t xml:space="preserve">2. Ir ao OPERACIONAL</t>
  </si>
  <si>
    <t xml:space="preserve">Use os 5 botoes de filtro (slicers) para segmentar: por Consultor (seu nome), por Cor (VERDE/AMARELO/VERMELHO/ROXO), por UF, por Rede ou por Tipo de Carteira. Cada linha e um cliente com sua cor e percentual.</t>
  </si>
  <si>
    <t xml:space="preserve">3. Consultar o MOTOR</t>
  </si>
  <si>
    <t xml:space="preserve">Viu que seu cliente e VERMELHO? Va na aba MOTOR, secao VERMELHO. La encontra 7 acoes prescritas com prazo, responsavel e KPIs. Nao improvise — siga o plano.</t>
  </si>
  <si>
    <t xml:space="preserve">4. Acompanhar PROJECAO</t>
  </si>
  <si>
    <t xml:space="preserve">A aba PROJECAO mostra a meta SAP por cliente mes a mes. Use para verificar se o atingimento esta no caminho ou se precisa de acao corretiva.</t>
  </si>
  <si>
    <t xml:space="preserve">5. Consultar REGRAS</t>
  </si>
  <si>
    <t xml:space="preserve">Em caso de duvida sobre o que significa uma cor, como funciona a progressao ou quem e responsavel por que, consulte a aba REGRAS. La esta toda a logica documentada.</t>
  </si>
  <si>
    <t xml:space="preserve">MAPA DAS ABAS</t>
  </si>
  <si>
    <t xml:space="preserve">Dashboard executivo — KPIs, distribuicao por cor/UF/consultor, faturamento vs meta</t>
  </si>
  <si>
    <t xml:space="preserve">Base de 661 clientes com 23 colunas e 5 slicers interativos (UF, Consultor, Cor, Rede, Tipo)</t>
  </si>
  <si>
    <t xml:space="preserve">Meta SAP 2026 por cliente — meta anual, distribuicao mensal, sinaleiro de atingimento</t>
  </si>
  <si>
    <t xml:space="preserve">Inteligencia prescritiva — planos de acao por cor, gatilhos, cadencia, recuperacao</t>
  </si>
  <si>
    <t xml:space="preserve">REGRAS</t>
  </si>
  <si>
    <t xml:space="preserve">Documentacao completa de todas as regras de negocio do CRM</t>
  </si>
  <si>
    <t xml:space="preserve">LEIA-ME (esta aba)</t>
  </si>
  <si>
    <t xml:space="preserve">Guia de uso, FAQ, instrucoes para IA e historico de versoes</t>
  </si>
  <si>
    <t xml:space="preserve">FAQ</t>
  </si>
  <si>
    <t xml:space="preserve">Posso adicionar colunas?</t>
  </si>
  <si>
    <t xml:space="preserve">NAO no OPERACIONAL (quebra slicers). Novas abas podem ser adicionadas via XML surgery. Consulte a equipe de IA antes de qualquer alteracao estrutural.</t>
  </si>
  <si>
    <t xml:space="preserve">Como atualizar dados?</t>
  </si>
  <si>
    <t xml:space="preserve">Os dados do OPERACIONAL e PROJECAO sao atualizados mensalmente a partir do SAP. O processo envolve exportar os dados do SAP, processar via script Python e injetar no Excel via XML para preservar slicers.</t>
  </si>
  <si>
    <t xml:space="preserve">O que e Tipo Carteira?</t>
  </si>
  <si>
    <t xml:space="preserve">Define como o cliente e gerido: "REGIOES/GRUPOS" (por territorio, lente regional) ou "REDES E FRANQUIAS" (por rede de franquia, lente de rede). Determina qual consultor atende e como o potencial e calculado.</t>
  </si>
  <si>
    <t xml:space="preserve">O que e Maturidade?</t>
  </si>
  <si>
    <t xml:space="preserve">Estagio do relacionamento: Prospeccao (ROXO), Plano de Negocio (VERMELHO), Plano de Sell Out (AMARELO), JBP (VERDE). Cada estagio tem cadencia e acoes diferentes detalhadas no MOTOR.</t>
  </si>
  <si>
    <t xml:space="preserve">Posso usar IA (Claude)?</t>
  </si>
  <si>
    <t xml:space="preserve">SIM, com cuidado. Veja a secao "INSTRUCOES PARA IA" abaixo. A IA pode consultar, analisar e sugerir — mas NAO deve modificar a estrutura do OPERACIONAL nem fabricar dados.</t>
  </si>
  <si>
    <t xml:space="preserve">INSTRUCOES PARA IA (Claude no Excel)</t>
  </si>
  <si>
    <t xml:space="preserve">Contexto</t>
  </si>
  <si>
    <t xml:space="preserve">Este arquivo e o CRM inteligente da VITAO Alimentos, distribuidora B2B de alimentos naturais sediada em Curitiba-PR. 661 clientes classificados por penetracao (Sinaleiro %) em 4 cores. O conceito central e: a COR prescreve a ACAO.</t>
  </si>
  <si>
    <t xml:space="preserve">PODE fazer</t>
  </si>
  <si>
    <t xml:space="preserve">Analisar dados, criar graficos, calcular metricas, comparar periodos, identificar clientes em risco, sugerir prioridades, responder perguntas sobre a carteira, gerar relatorios de acompanhamento.</t>
  </si>
  <si>
    <t xml:space="preserve">NAO PODE fazer</t>
  </si>
  <si>
    <t xml:space="preserve">Modificar estrutura do OPERACIONAL (colunas, tabela, slicers). Inventar dados. Alterar formulas existentes. Remover ou renomear abas sem autorizacao. Expandir styles.xml alem de 152 entradas.</t>
  </si>
  <si>
    <t xml:space="preserve">Colunas OPERACIONAL</t>
  </si>
  <si>
    <t xml:space="preserve">A=Sinaleiro%, B=Cor, C=Fat.Projetado, D=Fat.Atual, E=Fat.Potencial, F=%Potencial, G=Grupo, H=UF, I=Lojas, J=Maturidade, K=Rede, L=UF Rede, M=Lojas Rede, N=Fat.Rede, O=Fat.Esperado/Loja, P=Regiao, Q=Consultor, R-T=Zonas, U=Scanntech, V=Classificacao, W=Tipo Carteira</t>
  </si>
  <si>
    <t xml:space="preserve">Logica das cores</t>
  </si>
  <si>
    <t xml:space="preserve">ROXO(&lt;1%)=Prospeccao, VERMELHO(1-40%)=Ativacao, AMARELO(40-60%)=Sell Out, VERDE(&gt;60%)=JBP. Classificacao baseada em % Penetracao = Faturamento Real / Potencial Estimado.</t>
  </si>
  <si>
    <t xml:space="preserve">Restricao tecnica</t>
  </si>
  <si>
    <t xml:space="preserve">O styles.xml tem exatamente 152 entradas (0-151). Expandir acima disso quebra os slicers do OPERACIONAL. Qualquer nova aba deve usar apenas estilos dentro deste range. Metodo seguro: XML surgery com inline strings.</t>
  </si>
  <si>
    <t xml:space="preserve">HISTORICO DE VERSOES</t>
  </si>
  <si>
    <t xml:space="preserve">v1-v6</t>
  </si>
  <si>
    <t xml:space="preserve">Construcao do OPERACIONAL com 661 clientes, slicers, PAINEL e abas auxiliares. Resolucao de problemas de corrupcao XML.</t>
  </si>
  <si>
    <t xml:space="preserve">v7</t>
  </si>
  <si>
    <t xml:space="preserve">Adicao da aba PROJECAO com metas SAP mensais via XML surgery. Slicers PROJECAO adicionados.</t>
  </si>
  <si>
    <t xml:space="preserve">v8</t>
  </si>
  <si>
    <t xml:space="preserve">Integracao da aba MOTOR (inteligencia prescritiva). Descoberta do bug de styles.xml (expansao 152→276 quebrava slicers).</t>
  </si>
  <si>
    <t xml:space="preserve">v9</t>
  </si>
  <si>
    <t xml:space="preserve">Rebuild completo a partir da base CONFIAVEL. Style remapping (276→151). Correcao Content_Types e rels fantasma.</t>
  </si>
  <si>
    <t xml:space="preserve">v10 (atual)</t>
  </si>
  <si>
    <t xml:space="preserve">Auditoria completa. Abas ocultas corrigidas. Adicionadas abas REGRAS e LEIA-ME para documentacao e governanca.</t>
  </si>
  <si>
    <t xml:space="preserve">PROBLEMAS CONHECIDOS</t>
  </si>
  <si>
    <t xml:space="preserve">PROJECAO cols A-K</t>
  </si>
  <si>
    <t xml:space="preserve">PENDENTE: Colunas de identificacao (CNPJ, NOME, REDE, CONSULTOR, SINALEIRO) estao vazias em 481 de 501 linhas. Apenas metas mensais (col L+) tem dados completos. Necessario popular via cruzamento SAP.</t>
  </si>
  <si>
    <t xml:space="preserve">PAINEL R$ Faturado</t>
  </si>
  <si>
    <t xml:space="preserve">PENDENTE: Linha 8 (Venda Mes a Mes) contem valores placeholder (numeros redondos como 80000, 95000). Necessario substituir por dados reais do Mercos.</t>
  </si>
  <si>
    <t xml:space="preserve">48 clientes VERMELHO</t>
  </si>
  <si>
    <t xml:space="preserve">INFO: 48 clientes classificados como VERMELHO tem Maturidade="Prospeccao" em vez de "Plano de Negocio". Sao clientes da Cia Saude, Fitland e Vida Leve com %Potencial entre 8-10%. Possivelmente correta (sao prospects de rede com algum faturamento).</t>
  </si>
  <si>
    <t xml:space="preserve">PAINEL sem formulas</t>
  </si>
  <si>
    <t xml:space="preserve">INFO: O PAINEL atualmente contem apenas valores estaticos (604 valores, 0 formulas). Ideal seria ter formulas que atualizem automaticamente a partir do OPERACIONAL.</t>
  </si>
  <si>
    <t xml:space="preserve">CONTATO</t>
  </si>
  <si>
    <t xml:space="preserve">Responsavel tecnico</t>
  </si>
  <si>
    <t xml:space="preserve">Leandro — IA Solutions Engineer, VITAO Alimentos. Para alteracoes estruturais ou duvidas tecnicas sobre o CRM.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</si>
</sst>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_-&quot;R$ &quot;* #,##0.00_-;&quot;-R$ &quot;* #,##0.00_-;_-&quot;R$ &quot;* \-??_-;_-@_-"/>
    <numFmt numFmtId="167" formatCode="0%"/>
    <numFmt numFmtId="168" formatCode="#,##0"/>
    <numFmt numFmtId="169" formatCode="0.0%"/>
    <numFmt numFmtId="170" formatCode="General"/>
    <numFmt numFmtId="171" formatCode="#,##0.00"/>
    <numFmt numFmtId="172" formatCode="_-&quot;R$ &quot;* #,##0_-;&quot;-R$ &quot;* #,##0_-;_-&quot;R$ &quot;* \-??_-;_-@_-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sz val="14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4472C4"/>
      <name val="Calibri"/>
      <family val="2"/>
      <charset val="1"/>
    </font>
    <font>
      <sz val="14"/>
      <color theme="1"/>
      <name val="Aptos Narrow"/>
      <family val="2"/>
      <charset val="1"/>
    </font>
    <font>
      <b val="true"/>
      <sz val="10"/>
      <color rgb="FFE65100"/>
      <name val="Arial"/>
      <family val="0"/>
      <charset val="1"/>
    </font>
    <font>
      <sz val="14"/>
      <color theme="0"/>
      <name val="Aptos Narrow"/>
      <family val="2"/>
      <charset val="1"/>
    </font>
    <font>
      <b val="true"/>
      <sz val="14"/>
      <color rgb="FFED7D3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theme="0"/>
      <name val="Aptos Narrow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name val="Arial"/>
      <family val="0"/>
      <charset val="1"/>
    </font>
    <font>
      <sz val="9"/>
      <color theme="1"/>
      <name val="Calibri"/>
      <family val="2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theme="0"/>
      <name val="Calibri"/>
      <family val="2"/>
      <charset val="1"/>
    </font>
    <font>
      <b val="true"/>
      <sz val="9"/>
      <name val="Calibri"/>
      <family val="2"/>
      <charset val="1"/>
    </font>
    <font>
      <sz val="9"/>
      <color theme="0"/>
      <name val="Aptos Narrow"/>
      <family val="2"/>
      <charset val="1"/>
    </font>
    <font>
      <sz val="9"/>
      <name val="Calibri"/>
      <family val="2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0"/>
      <name val="Calibri"/>
      <family val="2"/>
      <charset val="1"/>
    </font>
    <font>
      <sz val="11"/>
      <color theme="0"/>
      <name val="Aptos Narrow"/>
      <family val="2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1"/>
      <color rgb="FF424242"/>
      <name val="Arial"/>
      <family val="0"/>
      <charset val="1"/>
    </font>
    <font>
      <sz val="9"/>
      <color rgb="FF616161"/>
      <name val="Arial"/>
      <family val="0"/>
      <charset val="1"/>
    </font>
    <font>
      <sz val="11"/>
      <color theme="1"/>
      <name val="Aptos Narrow"/>
      <family val="2"/>
      <charset val="1"/>
    </font>
    <font>
      <b val="true"/>
      <sz val="11"/>
      <color rgb="FF2E7D32"/>
      <name val="Arial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0"/>
      <name val="Calibri"/>
      <family val="2"/>
      <charset val="1"/>
    </font>
    <font>
      <b val="true"/>
      <sz val="16"/>
      <color rgb="FF1B5E20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0"/>
      <color rgb="FF42424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424242"/>
      <name val="Arial"/>
      <family val="0"/>
      <charset val="1"/>
    </font>
    <font>
      <b val="true"/>
      <sz val="18"/>
      <color rgb="FF1B5E20"/>
      <name val="Arial"/>
      <family val="0"/>
      <charset val="1"/>
    </font>
    <font>
      <i val="true"/>
      <sz val="10"/>
      <color rgb="FF757575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28"/>
      <color rgb="FF1B5E20"/>
      <name val="Arial"/>
      <family val="0"/>
      <charset val="1"/>
    </font>
    <font>
      <sz val="9"/>
      <color rgb="FF75757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1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FFFDE7"/>
      </patternFill>
    </fill>
    <fill>
      <patternFill patternType="solid">
        <fgColor rgb="FF2E7D32"/>
        <bgColor rgb="FF388E3C"/>
      </patternFill>
    </fill>
    <fill>
      <patternFill patternType="solid">
        <fgColor rgb="FF2F5496"/>
        <bgColor rgb="FF265A99"/>
      </patternFill>
    </fill>
    <fill>
      <patternFill patternType="solid">
        <fgColor rgb="FF00695C"/>
        <bgColor rgb="FF1B5E20"/>
      </patternFill>
    </fill>
    <fill>
      <patternFill patternType="solid">
        <fgColor rgb="FF1B5E20"/>
        <bgColor rgb="FF00695C"/>
      </patternFill>
    </fill>
    <fill>
      <patternFill patternType="solid">
        <fgColor rgb="FF4472C4"/>
        <bgColor rgb="FF1565C0"/>
      </patternFill>
    </fill>
    <fill>
      <patternFill patternType="solid">
        <fgColor rgb="FFED7D31"/>
        <bgColor rgb="FFE65100"/>
      </patternFill>
    </fill>
    <fill>
      <patternFill patternType="solid">
        <fgColor rgb="FF37474F"/>
        <bgColor rgb="FF424242"/>
      </patternFill>
    </fill>
    <fill>
      <patternFill patternType="solid">
        <fgColor theme="7" tint="-0.5"/>
        <bgColor rgb="FF424242"/>
      </patternFill>
    </fill>
    <fill>
      <patternFill patternType="solid">
        <fgColor theme="3" tint="0.0999"/>
        <bgColor rgb="FF2F5496"/>
      </patternFill>
    </fill>
    <fill>
      <patternFill patternType="solid">
        <fgColor theme="3" tint="0.4999"/>
        <bgColor rgb="FF808080"/>
      </patternFill>
    </fill>
    <fill>
      <patternFill patternType="solid">
        <fgColor rgb="FFD6E4F0"/>
        <bgColor rgb="FFE0E0E0"/>
      </patternFill>
    </fill>
    <fill>
      <patternFill patternType="solid">
        <fgColor rgb="FFFCE4D6"/>
        <bgColor rgb="FFFFEBEE"/>
      </patternFill>
    </fill>
    <fill>
      <patternFill patternType="solid">
        <fgColor rgb="FF1565C0"/>
        <bgColor rgb="FF265A99"/>
      </patternFill>
    </fill>
    <fill>
      <patternFill patternType="solid">
        <fgColor rgb="FF0D47A1"/>
        <bgColor rgb="FF265A99"/>
      </patternFill>
    </fill>
    <fill>
      <patternFill patternType="solid">
        <fgColor rgb="FFE65100"/>
        <bgColor rgb="FFFF4747"/>
      </patternFill>
    </fill>
    <fill>
      <patternFill patternType="solid">
        <fgColor rgb="FFBF360C"/>
        <bgColor rgb="FFE65100"/>
      </patternFill>
    </fill>
    <fill>
      <patternFill patternType="solid">
        <fgColor rgb="FFE8F5E9"/>
        <bgColor rgb="FFFFF3E0"/>
      </patternFill>
    </fill>
    <fill>
      <patternFill patternType="solid">
        <fgColor theme="0" tint="-0.5"/>
        <bgColor rgb="FF757575"/>
      </patternFill>
    </fill>
    <fill>
      <patternFill patternType="solid">
        <fgColor theme="9" tint="0.3999"/>
        <bgColor rgb="FFFFD44B"/>
      </patternFill>
    </fill>
    <fill>
      <patternFill patternType="solid">
        <fgColor rgb="FF388E3C"/>
        <bgColor rgb="FF2E7D32"/>
      </patternFill>
    </fill>
    <fill>
      <patternFill patternType="solid">
        <fgColor rgb="FFFFFDE7"/>
        <bgColor rgb="FFFFF8E1"/>
      </patternFill>
    </fill>
    <fill>
      <patternFill patternType="solid">
        <fgColor rgb="FFF3E5F5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FFF8E1"/>
        <bgColor rgb="FFFFF3E0"/>
      </patternFill>
    </fill>
    <fill>
      <patternFill patternType="solid">
        <fgColor rgb="FFC8E6C9"/>
        <bgColor rgb="FFD9D9D9"/>
      </patternFill>
    </fill>
    <fill>
      <patternFill patternType="solid">
        <fgColor rgb="FFA5D6A7"/>
        <bgColor rgb="FFA0CC82"/>
      </patternFill>
    </fill>
    <fill>
      <patternFill patternType="solid">
        <fgColor rgb="FFFFF3E0"/>
        <bgColor rgb="FFFFF8E1"/>
      </patternFill>
    </fill>
    <fill>
      <patternFill patternType="solid">
        <fgColor rgb="FFA568D2"/>
        <bgColor rgb="FF808080"/>
      </patternFill>
    </fill>
    <fill>
      <patternFill patternType="solid">
        <fgColor rgb="FFFFFF00"/>
        <bgColor rgb="FFFFD44B"/>
      </patternFill>
    </fill>
    <fill>
      <patternFill patternType="solid">
        <fgColor rgb="FFFF4747"/>
        <bgColor rgb="FFE65100"/>
      </patternFill>
    </fill>
    <fill>
      <patternFill patternType="solid">
        <fgColor rgb="FFFFD44B"/>
        <bgColor rgb="FFFAC090"/>
      </patternFill>
    </fill>
    <fill>
      <patternFill patternType="solid">
        <fgColor rgb="FFA0CC82"/>
        <bgColor rgb="FFA5D6A7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B4C6E7"/>
      </right>
      <top style="thin"/>
      <bottom style="thin">
        <color rgb="FFB4C6E7"/>
      </bottom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/>
      <top style="thin">
        <color rgb="FFB4C6E7"/>
      </top>
      <bottom style="thin">
        <color rgb="FFB4C6E7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>
        <color rgb="FFB4C6E7"/>
      </right>
      <top style="thin">
        <color rgb="FFB4C6E7"/>
      </top>
      <bottom style="thin"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/>
      <diagonal/>
    </border>
    <border diagonalUp="false" diagonalDown="false">
      <left style="thin">
        <color rgb="FFB4C6E7"/>
      </left>
      <right style="thin"/>
      <top style="thin">
        <color rgb="FFB4C6E7"/>
      </top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5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3" fillId="8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7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7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2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11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11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11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7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0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1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21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3" fillId="1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3" fillId="13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3" fillId="13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23" fillId="1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3" fillId="14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3" fillId="14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5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27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7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5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5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2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21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2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1" fillId="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1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1" fillId="0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7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7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6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1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1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5" fillId="1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2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17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1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5" fillId="1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5" fillId="1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2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7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7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7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7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5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7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7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7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7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5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5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5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1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1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1" fillId="0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1" fillId="0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1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2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2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2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7" fillId="21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7" fillId="21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7" fillId="2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2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1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2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3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4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4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5" fillId="2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1" fillId="2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5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5" fillId="25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6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5" fillId="2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5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7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5" fillId="2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9" fillId="28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8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2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5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1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3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1" fillId="2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5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8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6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3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3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2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4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9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9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5" fillId="3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5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5" fillId="3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5" fillId="3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403152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265A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1A1DC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424242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AC09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65A99"/>
      <rgbColor rgb="FF616161"/>
      <rgbColor rgb="FF800080"/>
      <rgbColor rgb="FF00695C"/>
      <rgbColor rgb="FFB4C6E7"/>
      <rgbColor rgb="FF808080"/>
      <rgbColor rgb="FF71A1DC"/>
      <rgbColor rgb="FF37474F"/>
      <rgbColor rgb="FFFFF8E1"/>
      <rgbColor rgb="FFE8F5E9"/>
      <rgbColor rgb="FF660066"/>
      <rgbColor rgb="FFED7D31"/>
      <rgbColor rgb="FF1565C0"/>
      <rgbColor rgb="FFD9D9D9"/>
      <rgbColor rgb="FF000080"/>
      <rgbColor rgb="FFFF00FF"/>
      <rgbColor rgb="FFFFFDE7"/>
      <rgbColor rgb="FF00FFFF"/>
      <rgbColor rgb="FF800080"/>
      <rgbColor rgb="FF800000"/>
      <rgbColor rgb="FF2E7D32"/>
      <rgbColor rgb="FF0000FF"/>
      <rgbColor rgb="FF00CCFF"/>
      <rgbColor rgb="FFD6E4F0"/>
      <rgbColor rgb="FFC8E6C9"/>
      <rgbColor rgb="FFFFF3E0"/>
      <rgbColor rgb="FFA5D6A7"/>
      <rgbColor rgb="FFFCE4D6"/>
      <rgbColor rgb="FFE0E0E0"/>
      <rgbColor rgb="FFFAC090"/>
      <rgbColor rgb="FF4472C4"/>
      <rgbColor rgb="FFFFEBEE"/>
      <rgbColor rgb="FFA0CC82"/>
      <rgbColor rgb="FFFFD44B"/>
      <rgbColor rgb="FFF3E5F5"/>
      <rgbColor rgb="FFE65100"/>
      <rgbColor rgb="FF757575"/>
      <rgbColor rgb="FFA568D2"/>
      <rgbColor rgb="FF0D47A1"/>
      <rgbColor rgb="FF388E3C"/>
      <rgbColor rgb="FF1B5E20"/>
      <rgbColor rgb="FF424242"/>
      <rgbColor rgb="FFBF360C"/>
      <rgbColor rgb="FFFF4747"/>
      <rgbColor rgb="FF2F5496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Relationship Id="rIdSC1" Type="http://schemas.microsoft.com/office/2007/relationships/slicerCache" Target="slicerCaches/slicerCache1.xml"/><Relationship Id="rIdSC2" Type="http://schemas.microsoft.com/office/2007/relationships/slicerCache" Target="slicerCaches/slicerCache2.xml"/><Relationship Id="rIdSC3" Type="http://schemas.microsoft.com/office/2007/relationships/slicerCache" Target="slicerCaches/slicerCache3.xml"/><Relationship Id="rIdSC4" Type="http://schemas.microsoft.com/office/2007/relationships/slicerCache" Target="slicerCaches/slicerCache4.xml"/><Relationship Id="rIdSC5" Type="http://schemas.microsoft.com/office/2007/relationships/slicerCache" Target="slicerCaches/slicerCache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11206</xdr:rowOff>
    </xdr:from>
    <xdr:to>
      <xdr:col>8</xdr:col>
      <xdr:colOff>708353</xdr:colOff>
      <xdr:row>0</xdr:row>
      <xdr:rowOff>947206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F Grupo">
              <a:extLst>
                <a:ext uri="{FF2B5EF4-FFF2-40B4-BE49-F238E27FC236}">
                  <a16:creationId xmlns:a16="http://schemas.microsoft.com/office/drawing/2014/main" id="{FCEA8761-77BB-8F32-AAF1-73C1E42471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 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206"/>
              <a:ext cx="8830236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764381</xdr:colOff>
      <xdr:row>0</xdr:row>
      <xdr:rowOff>1</xdr:rowOff>
    </xdr:from>
    <xdr:to>
      <xdr:col>10</xdr:col>
      <xdr:colOff>313484</xdr:colOff>
      <xdr:row>0</xdr:row>
      <xdr:rowOff>936001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onsultor">
              <a:extLst>
                <a:ext uri="{FF2B5EF4-FFF2-40B4-BE49-F238E27FC236}">
                  <a16:creationId xmlns:a16="http://schemas.microsoft.com/office/drawing/2014/main" id="{B8F99C6D-BEB7-0495-E36E-438DBDD42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6264" y="1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356066</xdr:colOff>
      <xdr:row>0</xdr:row>
      <xdr:rowOff>0</xdr:rowOff>
    </xdr:from>
    <xdr:to>
      <xdr:col>12</xdr:col>
      <xdr:colOff>426804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emaforo2">
              <a:extLst>
                <a:ext uri="{FF2B5EF4-FFF2-40B4-BE49-F238E27FC236}">
                  <a16:creationId xmlns:a16="http://schemas.microsoft.com/office/drawing/2014/main" id="{E775527F-9E07-7CE4-3C82-693D7E3C78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foro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7646" y="0"/>
              <a:ext cx="3709147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0</xdr:colOff>
      <xdr:row>0</xdr:row>
      <xdr:rowOff>0</xdr:rowOff>
    </xdr:from>
    <xdr:to>
      <xdr:col>16</xdr:col>
      <xdr:colOff>0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Tipo Carteira">
              <a:extLst>
                <a:ext uri="{FF2B5EF4-FFF2-40B4-BE49-F238E27FC236}">
                  <a16:creationId xmlns:a16="http://schemas.microsoft.com/office/drawing/2014/main" id="{E53CDDF5-8CDC-4C03-AED3-5FE3C891C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artei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0000" y="0"/>
              <a:ext cx="250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Slicer Tipo Carteira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0</xdr:colOff>
      <xdr:row>0</xdr:row>
      <xdr:rowOff>490000</xdr:rowOff>
    </xdr:from>
    <xdr:to>
      <xdr:col>22</xdr:col>
      <xdr:colOff>0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Rede">
              <a:extLst>
                <a:ext uri="{FF2B5EF4-FFF2-40B4-BE49-F238E27FC236}">
                  <a16:creationId xmlns:a16="http://schemas.microsoft.com/office/drawing/2014/main" id="{410A75B3-6CD7-4977-9FB5-13C85B0504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0000" y="490000"/>
              <a:ext cx="6000000" cy="44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Slicer Rede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_Grupo" xr10:uid="{0CC04CF5-1AC2-4268-8B1B-4FEAD8DC2093}" sourceName="UF Grupo">
  <extLst>
    <x:ext xmlns:x15="http://schemas.microsoft.com/office/spreadsheetml/2010/11/main" uri="{2F2917AC-EB37-4324-AD4E-5DD8C200BD13}">
      <x15:tableSlicerCache tableId="2" column="6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sultor" xr10:uid="{4D7CDE3E-BEFA-4BB4-BAFE-3EF761FA9400}" sourceName="Consultor">
  <extLst>
    <x:ext xmlns:x15="http://schemas.microsoft.com/office/spreadsheetml/2010/11/main" uri="{2F2917AC-EB37-4324-AD4E-5DD8C200BD13}">
      <x15:tableSlicerCache tableId="2" column="1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foro2" xr10:uid="{30A988E1-7C1A-4746-9EB9-B0ADFBEA087B}" sourceName="Semaforo2">
  <extLst>
    <x:ext xmlns:x15="http://schemas.microsoft.com/office/spreadsheetml/2010/11/main" uri="{2F2917AC-EB37-4324-AD4E-5DD8C200BD13}">
      <x15:tableSlicerCache tableId="2" column="1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Carteira" xr10:uid="{327EE921-538D-4F21-8AED-7EE9A4B4EB40}" sourceName="Tipo Carteira">
  <extLst>
    <x:ext xmlns:x15="http://schemas.microsoft.com/office/spreadsheetml/2010/11/main" uri="{2F2917AC-EB37-4324-AD4E-5DD8C200BD13}">
      <x15:tableSlicerCache tableId="2" column="27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de" xr10:uid="{A2ADD1DD-C6F9-4F58-9327-D36145DD4E2C}" sourceName="Rede">
  <extLst>
    <x:ext xmlns:x15="http://schemas.microsoft.com/office/spreadsheetml/2010/11/main" uri="{2F2917AC-EB37-4324-AD4E-5DD8C200BD13}">
      <x15:tableSlicerCache tableId="2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F Grupo" xr10:uid="{C9865575-ED6F-4B47-972B-727DC2895335}" cache="SegmentaçãodeDados_UF_Grupo" caption="UF Grupo" columnCount="14" style="SlicerStyleLight3" rowHeight="241300"/>
  <slicer name="Consultor" xr10:uid="{14BFEBFE-F18C-47C2-902E-8F98E3FEBC84}" cache="SegmentaçãodeDados_Consultor" caption="Consultor" columnCount="4" style="SlicerStyleLight3" rowHeight="241300"/>
  <slicer name="Semaforo2" xr10:uid="{87BF25B0-B6FF-4429-B94D-D906AA6FFF44}" cache="SegmentaçãodeDados_Semaforo2" caption="Semaforo" columnCount="3" style="SlicerStyleLight3" rowHeight="241300"/>
  <slicer name="Tipo Carteira" xr10:uid="{A2A1D5B2-84E1-43A5-92DA-4246327CBEFD}" cache="SegmentaçãodeDados_Tipo_Carteira" caption="Tipo Carteira" columnCount="2" style="SlicerStyleLight3" rowHeight="241300"/>
  <slicer name="Rede" xr10:uid="{69976758-8175-4B05-AC28-6D519816FBCD}" cache="SegmentaçãodeDados_Rede" caption="Rede" columnCount="5" style="SlicerStyleLight3" rowHeight="241300"/>
</slicers>
</file>

<file path=xl/tables/table1.xml><?xml version="1.0" encoding="utf-8"?>
<table xmlns="http://schemas.openxmlformats.org/spreadsheetml/2006/main" id="1" name="SinaleiroPROJECAO" displayName="SinaleiroPROJECAO" ref="A3:CE503" headerRowCount="1" totalsRowCount="0" totalsRowShown="0">
  <autoFilter ref="A3:CE503"/>
  <tableColumns count="83">
    <tableColumn id="1" name="CNPJ"/>
    <tableColumn id="2" name="NOME FANTASIA"/>
    <tableColumn id="3" name="REDE / GRUPO CHAVE"/>
    <tableColumn id="4" name="CONSULTOR"/>
    <tableColumn id="5" name="UF"/>
    <tableColumn id="6" name="TOTAL LOJAS"/>
    <tableColumn id="7" name="SINALEIRO %"/>
    <tableColumn id="8" name="COR SINALEIRO"/>
    <tableColumn id="9" name="AÇÃO GRUPO"/>
    <tableColumn id="10" name="_sep_10"/>
    <tableColumn id="11" name="REGIÃO"/>
    <tableColumn id="12" name="META ANUAL"/>
    <tableColumn id="13" name="META JAN"/>
    <tableColumn id="14" name="META FEV"/>
    <tableColumn id="15" name="META MAR"/>
    <tableColumn id="16" name="META ABR"/>
    <tableColumn id="17" name="META MAI"/>
    <tableColumn id="18" name="META JUN"/>
    <tableColumn id="19" name="META JUL"/>
    <tableColumn id="20" name="META AGO"/>
    <tableColumn id="21" name="META SET"/>
    <tableColumn id="22" name="META OUT"/>
    <tableColumn id="23" name="META NOV"/>
    <tableColumn id="24" name="META DEZ"/>
    <tableColumn id="25" name="_sep_25"/>
    <tableColumn id="26" name="REAL ANUAL"/>
    <tableColumn id="27" name="REAL JAN"/>
    <tableColumn id="28" name="REAL FEV"/>
    <tableColumn id="29" name="REAL MAR"/>
    <tableColumn id="30" name="REAL ABR"/>
    <tableColumn id="31" name="REAL MAI"/>
    <tableColumn id="32" name="REAL JUN"/>
    <tableColumn id="33" name="REAL JUL"/>
    <tableColumn id="34" name="REAL AGO"/>
    <tableColumn id="35" name="REAL SET"/>
    <tableColumn id="36" name="REAL OUT"/>
    <tableColumn id="37" name="REAL NOV"/>
    <tableColumn id="38" name="REAL DEZ"/>
    <tableColumn id="39" name="_sep_39"/>
    <tableColumn id="40" name="% YTD"/>
    <tableColumn id="41" name="🚦 SINAL META"/>
    <tableColumn id="42" name="GAP"/>
    <tableColumn id="43" name="RANKING"/>
    <tableColumn id="44" name="_sep_44"/>
    <tableColumn id="45" name="FITLAND"/>
    <tableColumn id="46" name="=COUNTIF(C$4:C$503,AS3)"/>
    <tableColumn id="47" name="=COUNTIFS(C$4:C$503,AS3,Z$4:Z$503,&quot;&gt;0&quot;)"/>
    <tableColumn id="48" name="=SUMIF(C$4:C$503,AS3,L$4:L$503)"/>
    <tableColumn id="49" name="=SUMIF(C$4:C$503,AS3,Z$4:Z$503)"/>
    <tableColumn id="50" name="=IF(AV3=0,0,AW3/AV3)"/>
    <tableColumn id="51" name="🟡 AMARELO"/>
    <tableColumn id="52" name="Sell Out"/>
    <tableColumn id="53" name="."/>
    <tableColumn id="54" name="DIST ANUAL"/>
    <tableColumn id="55" name="DIST JAN"/>
    <tableColumn id="56" name="DIST FEV"/>
    <tableColumn id="57" name="DIST MAR"/>
    <tableColumn id="58" name="DIST ABR"/>
    <tableColumn id="59" name="DIST MAI"/>
    <tableColumn id="60" name="DIST JUN"/>
    <tableColumn id="61" name="DIST JUL"/>
    <tableColumn id="62" name="DIST AGO"/>
    <tableColumn id="63" name="DIST SET"/>
    <tableColumn id="64" name="DIST OUT"/>
    <tableColumn id="65" name="DIST NOV"/>
    <tableColumn id="66" name="DIST DEZ"/>
    <tableColumn id="67" name="._67"/>
    <tableColumn id="68" name="COMP ANUAL"/>
    <tableColumn id="69" name="COMP JAN"/>
    <tableColumn id="70" name="COMP FEV"/>
    <tableColumn id="71" name="COMP MAR"/>
    <tableColumn id="72" name="COMP ABR"/>
    <tableColumn id="73" name="COMP MAI"/>
    <tableColumn id="74" name="COMP JUN"/>
    <tableColumn id="75" name="COMP JUL"/>
    <tableColumn id="76" name="COMP AGO"/>
    <tableColumn id="77" name="COMP SET"/>
    <tableColumn id="78" name="COMP OUT"/>
    <tableColumn id="79" name="COMP NOV"/>
    <tableColumn id="80" name="COMP DEZ"/>
    <tableColumn id="81" name="SEMÁFORO"/>
    <tableColumn id="82" name="TIPO CARTEIRA"/>
    <tableColumn id="83" name="REDE"/>
  </tableColumns>
</table>
</file>

<file path=xl/tables/table2.xml><?xml version="1.0" encoding="utf-8"?>
<table xmlns="http://schemas.openxmlformats.org/spreadsheetml/2006/main" id="2" name="Tabela1" displayName="Tabela1" ref="A2:W663" headerRowCount="1" totalsRowCount="0" totalsRowShown="0">
  <autoFilter ref="A2:W663"/>
  <tableColumns count="23">
    <tableColumn id="1" name="Sem"/>
    <tableColumn id="2" name="Semaforo2"/>
    <tableColumn id="3" name="Faturamento Projetado Grupo"/>
    <tableColumn id="4" name="Faturamento&#10;Atual Vitao"/>
    <tableColumn id="5" name="Faturamento&#10;Potencial Vitao"/>
    <tableColumn id="6" name="% Potencial"/>
    <tableColumn id="7" name="Grupo"/>
    <tableColumn id="8" name="UF Grupo"/>
    <tableColumn id="9" name="Lojas Grupo"/>
    <tableColumn id="10" name="Maturidade"/>
    <tableColumn id="11" name="Rede"/>
    <tableColumn id="12" name="UF Rede"/>
    <tableColumn id="13" name="Lojas Rede"/>
    <tableColumn id="14" name="Faturamento Rede"/>
    <tableColumn id="15" name="Faturamento Mensal Esperado por Loja"/>
    <tableColumn id="16" name="Região"/>
    <tableColumn id="17" name="Consultor"/>
    <tableColumn id="18" name="ZS"/>
    <tableColumn id="19" name="ZR"/>
    <tableColumn id="20" name="ZX"/>
    <tableColumn id="21" name="Leitura Scanntech"/>
    <tableColumn id="22" name="Classificação"/>
    <tableColumn id="23" name="Tipo Carteir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Relationship Id="rIdDraw1" Type="http://schemas.openxmlformats.org/officeDocument/2006/relationships/drawing" Target="../drawings/drawing1.xml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F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40"/>
    <col collapsed="false" customWidth="true" hidden="false" outlineLevel="0" max="3" min="3" style="1" width="18.44"/>
    <col collapsed="false" customWidth="true" hidden="false" outlineLevel="0" max="4" min="4" style="1" width="23.33"/>
    <col collapsed="false" customWidth="true" hidden="false" outlineLevel="0" max="5" min="5" style="1" width="3"/>
    <col collapsed="false" customWidth="true" hidden="false" outlineLevel="0" max="6" min="6" style="1" width="15.89"/>
    <col collapsed="false" customWidth="true" hidden="false" outlineLevel="0" max="7" min="7" style="1" width="11.66"/>
    <col collapsed="false" customWidth="true" hidden="false" outlineLevel="0" max="8" min="8" style="1" width="13.22"/>
    <col collapsed="false" customWidth="true" hidden="false" outlineLevel="0" max="9" min="9" style="1" width="12.33"/>
    <col collapsed="false" customWidth="true" hidden="false" outlineLevel="0" max="10" min="10" style="1" width="31.66"/>
    <col collapsed="false" customWidth="true" hidden="false" outlineLevel="0" max="11" min="11" style="1" width="3"/>
    <col collapsed="false" customWidth="true" hidden="false" outlineLevel="0" max="12" min="12" style="1" width="19.79"/>
    <col collapsed="false" customWidth="true" hidden="false" outlineLevel="0" max="13" min="13" style="1" width="12.78"/>
    <col collapsed="false" customWidth="true" hidden="false" outlineLevel="0" max="25" min="25" style="1" width="4.11"/>
    <col collapsed="false" customWidth="true" hidden="false" outlineLevel="0" max="26" min="26" style="1" width="19"/>
    <col collapsed="false" customWidth="true" hidden="false" outlineLevel="0" max="27" min="27" style="1" width="12.78"/>
    <col collapsed="false" customWidth="true" hidden="false" outlineLevel="0" max="28" min="28" style="1" width="10.2"/>
    <col collapsed="false" customWidth="true" hidden="false" outlineLevel="0" max="39" min="39" style="1" width="3"/>
    <col collapsed="false" customWidth="true" hidden="false" outlineLevel="0" max="40" min="40" style="1" width="14"/>
    <col collapsed="false" customWidth="true" hidden="false" outlineLevel="0" max="41" min="41" style="1" width="7.11"/>
    <col collapsed="false" customWidth="true" hidden="false" outlineLevel="0" max="42" min="42" style="1" width="16.33"/>
    <col collapsed="false" customWidth="true" hidden="false" outlineLevel="0" max="43" min="43" style="1" width="9.33"/>
    <col collapsed="false" customWidth="true" hidden="false" outlineLevel="0" max="44" min="44" style="1" width="3.22"/>
    <col collapsed="false" customWidth="true" hidden="false" outlineLevel="0" max="45" min="45" style="1" width="30"/>
    <col collapsed="false" customWidth="true" hidden="false" outlineLevel="0" max="46" min="46" style="1" width="12"/>
    <col collapsed="false" customWidth="true" hidden="false" outlineLevel="0" max="48" min="48" style="1" width="14"/>
    <col collapsed="false" customWidth="true" hidden="false" outlineLevel="0" max="50" min="50" style="1" width="12"/>
    <col collapsed="false" customWidth="true" hidden="false" outlineLevel="0" max="51" min="51" style="1" width="16"/>
    <col collapsed="false" customWidth="true" hidden="false" outlineLevel="0" max="52" min="52" style="1" width="28"/>
    <col collapsed="false" customWidth="true" hidden="false" outlineLevel="0" max="53" min="53" style="1" width="3"/>
    <col collapsed="false" customWidth="true" hidden="false" outlineLevel="0" max="54" min="54" style="1" width="17.89"/>
    <col collapsed="false" customWidth="true" hidden="false" outlineLevel="0" max="55" min="55" style="1" width="18.11"/>
    <col collapsed="false" customWidth="true" hidden="false" outlineLevel="0" max="67" min="67" style="1" width="3.22"/>
    <col collapsed="false" customWidth="true" hidden="false" outlineLevel="0" max="68" min="68" style="1" width="16.78"/>
    <col collapsed="false" customWidth="true" hidden="false" outlineLevel="0" max="69" min="69" style="1" width="17.11"/>
    <col collapsed="false" customWidth="true" hidden="false" outlineLevel="0" max="81" min="81" style="1" width="14"/>
  </cols>
  <sheetData>
    <row r="1" customFormat="false" ht="21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3"/>
      <c r="AN1" s="5"/>
      <c r="AO1" s="3"/>
      <c r="AP1" s="4"/>
      <c r="AQ1" s="3"/>
      <c r="AR1" s="3"/>
      <c r="AS1" s="6" t="s">
        <v>1</v>
      </c>
      <c r="AT1" s="7"/>
      <c r="AU1" s="7"/>
      <c r="AV1" s="7"/>
      <c r="AW1" s="7"/>
      <c r="AX1" s="7"/>
      <c r="AY1" s="8"/>
      <c r="AZ1" s="8"/>
      <c r="BA1" s="3"/>
      <c r="BB1" s="9" t="s">
        <v>2</v>
      </c>
      <c r="BC1" s="10"/>
      <c r="BD1" s="10"/>
      <c r="BE1" s="10"/>
      <c r="BF1" s="10"/>
      <c r="BG1" s="10"/>
      <c r="BH1" s="11" t="s">
        <v>3</v>
      </c>
      <c r="BI1" s="10"/>
      <c r="BJ1" s="10"/>
      <c r="BK1" s="10"/>
      <c r="BL1" s="10"/>
      <c r="BM1" s="10"/>
      <c r="BN1" s="10"/>
      <c r="BO1" s="12"/>
      <c r="BP1" s="13" t="s">
        <v>4</v>
      </c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</row>
    <row r="2" customFormat="false" ht="29.25" hidden="false" customHeight="true" outlineLevel="0" collapsed="false">
      <c r="A2" s="14" t="s">
        <v>5</v>
      </c>
      <c r="B2" s="15"/>
      <c r="C2" s="15"/>
      <c r="D2" s="16"/>
      <c r="E2" s="17" t="s">
        <v>6</v>
      </c>
      <c r="F2" s="18" t="s">
        <v>7</v>
      </c>
      <c r="G2" s="15"/>
      <c r="H2" s="15"/>
      <c r="I2" s="15"/>
      <c r="J2" s="16"/>
      <c r="K2" s="19"/>
      <c r="L2" s="20" t="s">
        <v>8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2"/>
      <c r="Y2" s="23"/>
      <c r="Z2" s="20" t="s">
        <v>9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/>
      <c r="AM2" s="19"/>
      <c r="AN2" s="24" t="s">
        <v>10</v>
      </c>
      <c r="AO2" s="15"/>
      <c r="AP2" s="21"/>
      <c r="AQ2" s="25"/>
      <c r="AR2" s="19"/>
      <c r="AS2" s="26" t="s">
        <v>11</v>
      </c>
      <c r="AT2" s="26" t="s">
        <v>12</v>
      </c>
      <c r="AU2" s="26" t="s">
        <v>13</v>
      </c>
      <c r="AV2" s="26" t="s">
        <v>14</v>
      </c>
      <c r="AW2" s="26" t="s">
        <v>15</v>
      </c>
      <c r="AX2" s="26" t="s">
        <v>16</v>
      </c>
      <c r="AY2" s="27" t="s">
        <v>17</v>
      </c>
      <c r="AZ2" s="27" t="s">
        <v>18</v>
      </c>
      <c r="BA2" s="28"/>
      <c r="BB2" s="29" t="s">
        <v>19</v>
      </c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30" t="s">
        <v>20</v>
      </c>
      <c r="BP2" s="31" t="s">
        <v>21</v>
      </c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2" t="s">
        <v>22</v>
      </c>
    </row>
    <row r="3" customFormat="false" ht="36" hidden="false" customHeight="true" outlineLevel="0" collapsed="false">
      <c r="A3" s="33" t="s">
        <v>23</v>
      </c>
      <c r="B3" s="34" t="s">
        <v>24</v>
      </c>
      <c r="C3" s="34" t="s">
        <v>25</v>
      </c>
      <c r="D3" s="35" t="s">
        <v>26</v>
      </c>
      <c r="E3" s="36" t="s">
        <v>27</v>
      </c>
      <c r="F3" s="37" t="s">
        <v>28</v>
      </c>
      <c r="G3" s="38" t="s">
        <v>16</v>
      </c>
      <c r="H3" s="38" t="s">
        <v>29</v>
      </c>
      <c r="I3" s="38" t="s">
        <v>30</v>
      </c>
      <c r="J3" s="39" t="s">
        <v>31</v>
      </c>
      <c r="K3" s="36" t="s">
        <v>32</v>
      </c>
      <c r="L3" s="40" t="s">
        <v>33</v>
      </c>
      <c r="M3" s="41" t="s">
        <v>34</v>
      </c>
      <c r="N3" s="41" t="s">
        <v>35</v>
      </c>
      <c r="O3" s="41" t="s">
        <v>36</v>
      </c>
      <c r="P3" s="41" t="s">
        <v>37</v>
      </c>
      <c r="Q3" s="41" t="s">
        <v>38</v>
      </c>
      <c r="R3" s="41" t="s">
        <v>39</v>
      </c>
      <c r="S3" s="41" t="s">
        <v>40</v>
      </c>
      <c r="T3" s="41" t="s">
        <v>41</v>
      </c>
      <c r="U3" s="41" t="s">
        <v>42</v>
      </c>
      <c r="V3" s="41" t="s">
        <v>43</v>
      </c>
      <c r="W3" s="41" t="s">
        <v>44</v>
      </c>
      <c r="X3" s="42" t="s">
        <v>45</v>
      </c>
      <c r="Y3" s="43" t="s">
        <v>46</v>
      </c>
      <c r="Z3" s="44" t="s">
        <v>47</v>
      </c>
      <c r="AA3" s="45" t="s">
        <v>48</v>
      </c>
      <c r="AB3" s="45" t="s">
        <v>49</v>
      </c>
      <c r="AC3" s="45" t="s">
        <v>50</v>
      </c>
      <c r="AD3" s="45" t="s">
        <v>51</v>
      </c>
      <c r="AE3" s="45" t="s">
        <v>52</v>
      </c>
      <c r="AF3" s="45" t="s">
        <v>53</v>
      </c>
      <c r="AG3" s="45" t="s">
        <v>54</v>
      </c>
      <c r="AH3" s="45" t="s">
        <v>55</v>
      </c>
      <c r="AI3" s="45" t="s">
        <v>56</v>
      </c>
      <c r="AJ3" s="45" t="s">
        <v>57</v>
      </c>
      <c r="AK3" s="45" t="s">
        <v>58</v>
      </c>
      <c r="AL3" s="46" t="s">
        <v>59</v>
      </c>
      <c r="AM3" s="47" t="s">
        <v>60</v>
      </c>
      <c r="AN3" s="48" t="s">
        <v>61</v>
      </c>
      <c r="AO3" s="34" t="s">
        <v>62</v>
      </c>
      <c r="AP3" s="41" t="s">
        <v>63</v>
      </c>
      <c r="AQ3" s="49" t="s">
        <v>64</v>
      </c>
      <c r="AR3" s="50" t="s">
        <v>65</v>
      </c>
      <c r="AS3" s="51" t="s">
        <v>66</v>
      </c>
      <c r="AT3" s="52" t="n">
        <f aca="false">COUNTIF(C$4:C$503,AS3)</f>
        <v>44</v>
      </c>
      <c r="AU3" s="53" t="n">
        <f aca="false">COUNTIFS(C$4:C$503,AS3,Z$4:Z$503,"&gt;0")</f>
        <v>44</v>
      </c>
      <c r="AV3" s="54" t="n">
        <f aca="false">SUMIF(C$4:C$503,AS3,L$4:L$503)</f>
        <v>321337.45</v>
      </c>
      <c r="AW3" s="54" t="n">
        <f aca="false">SUMIF(C$4:C$503,AS3,Z$4:Z$503)</f>
        <v>159653.14</v>
      </c>
      <c r="AX3" s="55" t="n">
        <f aca="false">IF(AV3=0,0,AW3/AV3)</f>
        <v>0.496839506257363</v>
      </c>
      <c r="AY3" s="52" t="str">
        <f aca="false">IF(AX3&gt;=0.6,"🟢 VERDE",IF(AX3&gt;=0.4,"🟡 AMARELO",IF(AX3&gt;=0.01,"🔴 VERMELHO","🟣 ROXO")))</f>
        <v>🟡 AMARELO</v>
      </c>
      <c r="AZ3" s="52" t="str">
        <f aca="false">IF(AX3&gt;=0.6,"JBP",IF(AX3&gt;=0.4,"Sell Out",IF(AX3&gt;=0.1,"Positivação + Expandir",IF(AX3&gt;=0.01,"Ativar + Prospectar","Mapear + Prospectar"))))</f>
        <v>Sell Out</v>
      </c>
      <c r="BA3" s="56" t="s">
        <v>20</v>
      </c>
      <c r="BB3" s="57" t="s">
        <v>67</v>
      </c>
      <c r="BC3" s="58" t="s">
        <v>68</v>
      </c>
      <c r="BD3" s="58" t="s">
        <v>69</v>
      </c>
      <c r="BE3" s="58" t="s">
        <v>70</v>
      </c>
      <c r="BF3" s="58" t="s">
        <v>71</v>
      </c>
      <c r="BG3" s="58" t="s">
        <v>72</v>
      </c>
      <c r="BH3" s="58" t="s">
        <v>73</v>
      </c>
      <c r="BI3" s="58" t="s">
        <v>74</v>
      </c>
      <c r="BJ3" s="58" t="s">
        <v>75</v>
      </c>
      <c r="BK3" s="58" t="s">
        <v>76</v>
      </c>
      <c r="BL3" s="58" t="s">
        <v>77</v>
      </c>
      <c r="BM3" s="58" t="s">
        <v>78</v>
      </c>
      <c r="BN3" s="59" t="s">
        <v>79</v>
      </c>
      <c r="BO3" s="60" t="s">
        <v>80</v>
      </c>
      <c r="BP3" s="61" t="s">
        <v>81</v>
      </c>
      <c r="BQ3" s="62" t="s">
        <v>82</v>
      </c>
      <c r="BR3" s="62" t="s">
        <v>83</v>
      </c>
      <c r="BS3" s="62" t="s">
        <v>84</v>
      </c>
      <c r="BT3" s="62" t="s">
        <v>85</v>
      </c>
      <c r="BU3" s="62" t="s">
        <v>86</v>
      </c>
      <c r="BV3" s="62" t="s">
        <v>87</v>
      </c>
      <c r="BW3" s="62" t="s">
        <v>88</v>
      </c>
      <c r="BX3" s="62" t="s">
        <v>89</v>
      </c>
      <c r="BY3" s="62" t="s">
        <v>90</v>
      </c>
      <c r="BZ3" s="62" t="s">
        <v>91</v>
      </c>
      <c r="CA3" s="62" t="s">
        <v>92</v>
      </c>
      <c r="CB3" s="63" t="s">
        <v>93</v>
      </c>
      <c r="CC3" s="64" t="s">
        <v>94</v>
      </c>
      <c r="CD3" s="64" t="s">
        <v>95</v>
      </c>
      <c r="CE3" s="64" t="s">
        <v>96</v>
      </c>
    </row>
    <row r="4" customFormat="false" ht="14.25" hidden="false" customHeight="true" outlineLevel="0" collapsed="false">
      <c r="A4" s="65" t="s">
        <v>97</v>
      </c>
      <c r="B4" s="66" t="s">
        <v>98</v>
      </c>
      <c r="C4" s="67" t="s">
        <v>99</v>
      </c>
      <c r="D4" s="68" t="s">
        <v>100</v>
      </c>
      <c r="E4" s="69" t="s">
        <v>101</v>
      </c>
      <c r="F4" s="70" t="n">
        <f aca="false">IFERROR(VLOOKUP(C4,$AS$3:$AT$10,2,FALSE()),IFERROR(VLOOKUP(C4,$AS$15:$AT$22,2,FALSE()),""))</f>
        <v>33</v>
      </c>
      <c r="G4" s="71" t="n">
        <f aca="false">IFERROR(VLOOKUP(C4,$AS$3:$AX$10,6,FALSE()),IFERROR(VLOOKUP(C4,$AS$15:$AX$22,6,FALSE()),""))</f>
        <v>0.341494038351172</v>
      </c>
      <c r="H4" s="72" t="str">
        <f aca="false">IFERROR(VLOOKUP(C4,$AS$3:$AY$10,7,FALSE()),IFERROR(VLOOKUP(C4,$AS$15:$AY$22,7,FALSE()),""))</f>
        <v>🔴 VERMELHO</v>
      </c>
      <c r="I4" s="72" t="str">
        <f aca="false">IFERROR(VLOOKUP(C4,$AS$3:$AZ$10,8,FALSE()),IFERROR(VLOOKUP(C4,$AS$15:$AZ$22,8,FALSE()),""))</f>
        <v>Positivação + Expandir</v>
      </c>
      <c r="J4" s="73"/>
      <c r="K4" s="69" t="s">
        <v>99</v>
      </c>
      <c r="L4" s="74" t="n">
        <v>249796.02</v>
      </c>
      <c r="M4" s="75" t="n">
        <v>17553.92</v>
      </c>
      <c r="N4" s="75" t="n">
        <v>18343.21</v>
      </c>
      <c r="O4" s="75" t="n">
        <v>18785.22</v>
      </c>
      <c r="P4" s="75" t="n">
        <v>19274.58</v>
      </c>
      <c r="Q4" s="75" t="n">
        <v>19906.01</v>
      </c>
      <c r="R4" s="75" t="n">
        <v>20426.95</v>
      </c>
      <c r="S4" s="75" t="n">
        <v>21216.24</v>
      </c>
      <c r="T4" s="75" t="n">
        <v>21737.18</v>
      </c>
      <c r="U4" s="75" t="n">
        <v>22226.54</v>
      </c>
      <c r="V4" s="75" t="n">
        <v>22779.05</v>
      </c>
      <c r="W4" s="75" t="n">
        <v>23378.91</v>
      </c>
      <c r="X4" s="76" t="n">
        <v>24168.21</v>
      </c>
      <c r="Y4" s="77" t="s">
        <v>20</v>
      </c>
      <c r="Z4" s="78" t="n">
        <f aca="false">SUM(AA4:AL4)</f>
        <v>52292.36</v>
      </c>
      <c r="AA4" s="75"/>
      <c r="AB4" s="75"/>
      <c r="AC4" s="75"/>
      <c r="AD4" s="75"/>
      <c r="AE4" s="75"/>
      <c r="AF4" s="79" t="n">
        <v>6442.21</v>
      </c>
      <c r="AG4" s="79" t="n">
        <v>4099.98</v>
      </c>
      <c r="AH4" s="79" t="n">
        <v>8406.63</v>
      </c>
      <c r="AI4" s="79" t="n">
        <v>5299.97</v>
      </c>
      <c r="AJ4" s="75"/>
      <c r="AK4" s="79" t="n">
        <v>14998.98</v>
      </c>
      <c r="AL4" s="76" t="n">
        <v>13044.59</v>
      </c>
      <c r="AM4" s="56" t="s">
        <v>20</v>
      </c>
      <c r="AN4" s="80" t="n">
        <f aca="false">IF(L4=0,0,Z4/L4)</f>
        <v>0.209340244892613</v>
      </c>
      <c r="AO4" s="81" t="str">
        <f aca="false">IF(AN4="","",IF(AN4&gt;=0.9,"🟢",IF(AN4&gt;=0.7,"🟡",IF(AN4&gt;=0.5,"🟠","🔴"))))</f>
        <v>🔴</v>
      </c>
      <c r="AP4" s="82" t="n">
        <f aca="false">IF(L4=0,0,L4-Z4)</f>
        <v>197503.66</v>
      </c>
      <c r="AQ4" s="83" t="n">
        <f aca="false">IF(AP4=0,"",RANK(AP4,AP$4:AP$503,0))</f>
        <v>1</v>
      </c>
      <c r="AR4" s="84" t="s">
        <v>20</v>
      </c>
      <c r="AS4" s="85" t="s">
        <v>102</v>
      </c>
      <c r="AT4" s="86" t="n">
        <f aca="false">COUNTIF(C$4:C$503,AS4)</f>
        <v>21</v>
      </c>
      <c r="AU4" s="87" t="n">
        <f aca="false">COUNTIFS(C$4:C$503,AS4,Z$4:Z$503,"&gt;0")</f>
        <v>19</v>
      </c>
      <c r="AV4" s="88" t="n">
        <f aca="false">SUMIF(C$4:C$503,AS4,L$4:L$503)</f>
        <v>90676.46</v>
      </c>
      <c r="AW4" s="88" t="n">
        <f aca="false">SUMIF(C$4:C$503,AS4,Z$4:Z$503)</f>
        <v>44568.8</v>
      </c>
      <c r="AX4" s="89" t="n">
        <f aca="false">IF(AV4=0,0,AW4/AV4)</f>
        <v>0.491514556258592</v>
      </c>
      <c r="AY4" s="90" t="str">
        <f aca="false">IF(AX4&gt;=0.6,"🟢 VERDE",IF(AX4&gt;=0.4,"🟡 AMARELO",IF(AX4&gt;=0.01,"🔴 VERMELHO","🟣 ROXO")))</f>
        <v>🟡 AMARELO</v>
      </c>
      <c r="AZ4" s="90" t="str">
        <f aca="false">IF(AX4&gt;=0.6,"JBP",IF(AX4&gt;=0.4,"Sell Out",IF(AX4&gt;=0.1,"Positivação + Expandir",IF(AX4&gt;=0.01,"Ativar + Prospectar","Mapear + Prospectar"))))</f>
        <v>Sell Out</v>
      </c>
      <c r="BA4" s="56" t="s">
        <v>20</v>
      </c>
      <c r="BB4" s="91" t="n">
        <f aca="false">SUM(L$4:L$503)/COUNTA(A$4:A$503)</f>
        <v>9494.39992</v>
      </c>
      <c r="BC4" s="92" t="n">
        <f aca="false">SUM(M$4:M$503)/COUNTA(A$4:A$503)</f>
        <v>667.20008</v>
      </c>
      <c r="BD4" s="92" t="n">
        <f aca="false">SUM(N$4:N$503)/COUNTA(A$4:A$503)</f>
        <v>697.19996</v>
      </c>
      <c r="BE4" s="92" t="n">
        <f aca="false">SUM(O$4:O$503)/COUNTA(A$4:A$503)</f>
        <v>713.9999</v>
      </c>
      <c r="BF4" s="92" t="n">
        <f aca="false">SUM(P$4:P$503)/COUNTA(A$4:A$503)</f>
        <v>732.59984</v>
      </c>
      <c r="BG4" s="92" t="n">
        <f aca="false">SUM(Q$4:Q$503)/COUNTA(A$4:A$503)</f>
        <v>756.59992</v>
      </c>
      <c r="BH4" s="92" t="n">
        <f aca="false">SUM(R$4:R$503)/COUNTA(A$4:A$503)</f>
        <v>776.40004</v>
      </c>
      <c r="BI4" s="92" t="n">
        <f aca="false">SUM(S$4:S$503)/COUNTA(A$4:A$503)</f>
        <v>806.40012</v>
      </c>
      <c r="BJ4" s="92" t="n">
        <f aca="false">SUM(T$4:T$503)/COUNTA(A$4:A$503)</f>
        <v>826.1999</v>
      </c>
      <c r="BK4" s="92" t="n">
        <f aca="false">SUM(U$4:U$503)/COUNTA(A$4:A$503)</f>
        <v>844.8002</v>
      </c>
      <c r="BL4" s="92" t="n">
        <f aca="false">SUM(V$4:V$503)/COUNTA(A$4:A$503)</f>
        <v>865.7998</v>
      </c>
      <c r="BM4" s="92" t="n">
        <f aca="false">SUM(W$4:W$503)/COUNTA(A$4:A$503)</f>
        <v>888.59982</v>
      </c>
      <c r="BN4" s="93" t="n">
        <f aca="false">SUM(X$4:X$503)/COUNTA(A$4:A$503)</f>
        <v>918.60034</v>
      </c>
      <c r="BO4" s="94" t="s">
        <v>20</v>
      </c>
      <c r="BP4" s="91" t="n">
        <f aca="false">IF(Z4&gt;=BB4,0,IFERROR(BB4+(SUMPRODUCT((Z$4:Z$503&gt;=BB$4:BB$503)*(Z$4:Z$503-BB$4:BB$503))/MAX(1,COUNTIF(Z$4:Z$503,"&lt;"&amp;BB4+0.01))),BB4))</f>
        <v>0</v>
      </c>
      <c r="BQ4" s="92" t="n">
        <f aca="false">IF(AA4&gt;=BC4,0,IFERROR(BC4+SUMPRODUCT((AA$4:AA$503&gt;=BC$4:BC$503)*(AA$4:AA$503-BC$4:BC$503))/MAX(1,COUNTIF(AA$4:AA$503,"&lt;"&amp;BC4+0.01)),BC4))</f>
        <v>2238.46589176471</v>
      </c>
      <c r="BR4" s="92" t="n">
        <f aca="false">IF(AB4&gt;=BD4,0,IFERROR(BD4+SUMPRODUCT((AB$4:AB$503&gt;=BD$4:BD$503)*(AB$4:AB$503-BD$4:BD$503))/MAX(1,COUNTIF(AB$4:AB$503,"&lt;"&amp;BD4+0.01)),BD4))</f>
        <v>3335.2938</v>
      </c>
      <c r="BS4" s="92" t="n">
        <f aca="false">IF(AC4&gt;=BE4,0,IFERROR(BE4+SUMPRODUCT((AC$4:AC$503&gt;=BE$4:BE$503)*(AC$4:AC$503-BE$4:BE$503))/MAX(1,COUNTIF(AC$4:AC$503,"&lt;"&amp;BE4+0.01)),BE4))</f>
        <v>6188.73352</v>
      </c>
      <c r="BT4" s="92" t="n">
        <f aca="false">IF(AD4&gt;=BF4,0,IFERROR(BF4+SUMPRODUCT((AD$4:AD$503&gt;=BF$4:BF$503)*(AD$4:AD$503-BF$4:BF$503))/MAX(1,COUNTIF(AD$4:AD$503,"&lt;"&amp;BF4+0.01)),BF4))</f>
        <v>11354.35411</v>
      </c>
      <c r="BU4" s="92" t="n">
        <f aca="false">IF(AE4&gt;=BG4,0,IFERROR(BG4+SUMPRODUCT((AE$4:AE$503&gt;=BG$4:BG$503)*(AE$4:AE$503-BG$4:BG$503))/MAX(1,COUNTIF(AE$4:AE$503,"&lt;"&amp;BG4+0.01)),BG4))</f>
        <v>7704.85920380952</v>
      </c>
      <c r="BV4" s="92" t="n">
        <f aca="false">IF(AF4&gt;=BH4,0,IFERROR(BH4+SUMPRODUCT((AF$4:AF$503&gt;=BH$4:BH$503)*(AF$4:AF$503-BH$4:BH$503))/MAX(1,COUNTIF(AF$4:AF$503,"&lt;"&amp;BH4+0.01)),BH4))</f>
        <v>0</v>
      </c>
      <c r="BW4" s="92" t="n">
        <f aca="false">IF(AG4&gt;=BI4,0,IFERROR(BI4+SUMPRODUCT((AG$4:AG$503&gt;=BI$4:BI$503)*(AG$4:AG$503-BI$4:BI$503))/MAX(1,COUNTIF(AG$4:AG$503,"&lt;"&amp;BI4+0.01)),BI4))</f>
        <v>0</v>
      </c>
      <c r="BX4" s="92" t="n">
        <f aca="false">IF(AH4&gt;=BJ4,0,IFERROR(BJ4+SUMPRODUCT((AH$4:AH$503&gt;=BJ$4:BJ$503)*(AH$4:AH$503-BJ$4:BJ$503))/MAX(1,COUNTIF(AH$4:AH$503,"&lt;"&amp;BJ4+0.01)),BJ4))</f>
        <v>0</v>
      </c>
      <c r="BY4" s="92" t="n">
        <f aca="false">IF(AI4&gt;=BK4,0,IFERROR(BK4+SUMPRODUCT((AI$4:AI$503&gt;=BK$4:BK$503)*(AI$4:AI$503-BK$4:BK$503))/MAX(1,COUNTIF(AI$4:AI$503,"&lt;"&amp;BK4+0.01)),BK4))</f>
        <v>0</v>
      </c>
      <c r="BZ4" s="92" t="n">
        <f aca="false">IF(AJ4&gt;=BL4,0,IFERROR(BL4+SUMPRODUCT((AJ$4:AJ$503&gt;=BL$4:BL$503)*(AJ$4:AJ$503-BL$4:BL$503))/MAX(1,COUNTIF(AJ$4:AJ$503,"&lt;"&amp;BL4+0.01)),BL4))</f>
        <v>6710.03292307692</v>
      </c>
      <c r="CA4" s="92" t="n">
        <f aca="false">IF(AK4&gt;=BM4,0,IFERROR(BM4+SUMPRODUCT((AK$4:AK$503&gt;=BM$4:BM$503)*(AK$4:AK$503-BM$4:BM$503))/MAX(1,COUNTIF(AK$4:AK$503,"&lt;"&amp;BM4+0.01)),BM4))</f>
        <v>0</v>
      </c>
      <c r="CB4" s="93" t="n">
        <f aca="false">IF(AL4&gt;=BN4,0,IFERROR(BN4+SUMPRODUCT((AL$4:AL$503&gt;=BN$4:BN$503)*(AL$4:AL$503-BN$4:BN$503))/MAX(1,COUNTIF(AL$4:AL$503,"&lt;"&amp;BN4+0.01)),BN4))</f>
        <v>0</v>
      </c>
      <c r="CC4" s="95" t="str">
        <f aca="false">IF(AO4="🟢","VERDE",IF(AO4="🟡","AMARELO",IF(AO4="🟠","VERMELHO",IF(AO4="🔴","VERMELHO","ROXO"))))</f>
        <v>VERMELHO</v>
      </c>
      <c r="CD4" s="96" t="s">
        <v>103</v>
      </c>
      <c r="CE4" s="96" t="s">
        <v>104</v>
      </c>
    </row>
    <row r="5" customFormat="false" ht="14.25" hidden="false" customHeight="true" outlineLevel="0" collapsed="false">
      <c r="A5" s="65" t="s">
        <v>105</v>
      </c>
      <c r="B5" s="66" t="s">
        <v>106</v>
      </c>
      <c r="C5" s="67" t="s">
        <v>107</v>
      </c>
      <c r="D5" s="68" t="s">
        <v>108</v>
      </c>
      <c r="E5" s="69" t="s">
        <v>109</v>
      </c>
      <c r="F5" s="70" t="n">
        <f aca="false">IFERROR(VLOOKUP(C5,$AS$3:$AT$10,2,FALSE()),IFERROR(VLOOKUP(C5,$AS$15:$AT$22,2,FALSE()),""))</f>
        <v>132</v>
      </c>
      <c r="G5" s="71" t="n">
        <f aca="false">IFERROR(VLOOKUP(C5,$AS$3:$AX$10,6,FALSE()),IFERROR(VLOOKUP(C5,$AS$15:$AX$22,6,FALSE()),""))</f>
        <v>0.468190175850689</v>
      </c>
      <c r="H5" s="72" t="str">
        <f aca="false">IFERROR(VLOOKUP(C5,$AS$3:$AY$10,7,FALSE()),IFERROR(VLOOKUP(C5,$AS$15:$AY$22,7,FALSE()),""))</f>
        <v>🟡 AMARELO</v>
      </c>
      <c r="I5" s="72" t="str">
        <f aca="false">IFERROR(VLOOKUP(C5,$AS$3:$AZ$10,8,FALSE()),IFERROR(VLOOKUP(C5,$AS$15:$AZ$22,8,FALSE()),""))</f>
        <v>Sell Out</v>
      </c>
      <c r="J5" s="73"/>
      <c r="K5" s="69" t="s">
        <v>107</v>
      </c>
      <c r="L5" s="74" t="n">
        <v>162422.58</v>
      </c>
      <c r="M5" s="75" t="n">
        <v>11413.92</v>
      </c>
      <c r="N5" s="75" t="n">
        <v>11927.14</v>
      </c>
      <c r="O5" s="75" t="n">
        <v>12214.54</v>
      </c>
      <c r="P5" s="75" t="n">
        <v>12532.73</v>
      </c>
      <c r="Q5" s="75" t="n">
        <v>12943.31</v>
      </c>
      <c r="R5" s="75" t="n">
        <v>13282.03</v>
      </c>
      <c r="S5" s="75" t="n">
        <v>13795.24</v>
      </c>
      <c r="T5" s="75" t="n">
        <v>14133.97</v>
      </c>
      <c r="U5" s="75" t="n">
        <v>14452.16</v>
      </c>
      <c r="V5" s="75" t="n">
        <v>14811.41</v>
      </c>
      <c r="W5" s="75" t="n">
        <v>15201.46</v>
      </c>
      <c r="X5" s="76" t="n">
        <v>15714.67</v>
      </c>
      <c r="Y5" s="77" t="s">
        <v>20</v>
      </c>
      <c r="Z5" s="78" t="n">
        <f aca="false">SUM(AA5:AL5)</f>
        <v>65318.4</v>
      </c>
      <c r="AA5" s="75"/>
      <c r="AB5" s="75"/>
      <c r="AC5" s="79" t="n">
        <v>10611.2</v>
      </c>
      <c r="AD5" s="79" t="n">
        <v>54707.2</v>
      </c>
      <c r="AE5" s="75"/>
      <c r="AF5" s="75"/>
      <c r="AG5" s="75"/>
      <c r="AH5" s="75"/>
      <c r="AI5" s="75"/>
      <c r="AJ5" s="75"/>
      <c r="AK5" s="75"/>
      <c r="AL5" s="76"/>
      <c r="AM5" s="56" t="s">
        <v>20</v>
      </c>
      <c r="AN5" s="80" t="n">
        <f aca="false">IF(L5=0,0,Z5/L5)</f>
        <v>0.402150981716951</v>
      </c>
      <c r="AO5" s="81" t="str">
        <f aca="false">IF(AN5="","",IF(AN5&gt;=0.9,"🟢",IF(AN5&gt;=0.7,"🟡",IF(AN5&gt;=0.5,"🟠","🔴"))))</f>
        <v>🔴</v>
      </c>
      <c r="AP5" s="82" t="n">
        <f aca="false">IF(L5=0,0,L5-Z5)</f>
        <v>97104.18</v>
      </c>
      <c r="AQ5" s="83" t="n">
        <f aca="false">IF(AP5=0,"",RANK(AP5,AP$4:AP$503,0))</f>
        <v>2</v>
      </c>
      <c r="AR5" s="84" t="s">
        <v>20</v>
      </c>
      <c r="AS5" s="85" t="s">
        <v>110</v>
      </c>
      <c r="AT5" s="86" t="n">
        <f aca="false">COUNTIF(C$4:C$503,AS5)</f>
        <v>15</v>
      </c>
      <c r="AU5" s="87" t="n">
        <f aca="false">COUNTIFS(C$4:C$503,AS5,Z$4:Z$503,"&gt;0")</f>
        <v>12</v>
      </c>
      <c r="AV5" s="88" t="n">
        <f aca="false">SUMIF(C$4:C$503,AS5,L$4:L$503)</f>
        <v>54466.5</v>
      </c>
      <c r="AW5" s="88" t="n">
        <f aca="false">SUMIF(C$4:C$503,AS5,Z$4:Z$503)</f>
        <v>33829.79</v>
      </c>
      <c r="AX5" s="89" t="n">
        <f aca="false">IF(AV5=0,0,AW5/AV5)</f>
        <v>0.621111876107332</v>
      </c>
      <c r="AY5" s="90" t="str">
        <f aca="false">IF(AX5&gt;=0.6,"🟢 VERDE",IF(AX5&gt;=0.4,"🟡 AMARELO",IF(AX5&gt;=0.01,"🔴 VERMELHO","🟣 ROXO")))</f>
        <v>🟢 VERDE</v>
      </c>
      <c r="AZ5" s="90" t="str">
        <f aca="false">IF(AX5&gt;=0.6,"JBP",IF(AX5&gt;=0.4,"Sell Out",IF(AX5&gt;=0.1,"Positivação + Expandir",IF(AX5&gt;=0.01,"Ativar + Prospectar","Mapear + Prospectar"))))</f>
        <v>JBP</v>
      </c>
      <c r="BA5" s="56" t="s">
        <v>20</v>
      </c>
      <c r="BB5" s="91" t="n">
        <f aca="false">SUM(L$4:L$503)/COUNTA(A$4:A$503)</f>
        <v>9494.39992</v>
      </c>
      <c r="BC5" s="92" t="n">
        <f aca="false">SUM(M$4:M$503)/COUNTA(A$4:A$503)</f>
        <v>667.20008</v>
      </c>
      <c r="BD5" s="92" t="n">
        <f aca="false">SUM(N$4:N$503)/COUNTA(A$4:A$503)</f>
        <v>697.19996</v>
      </c>
      <c r="BE5" s="92" t="n">
        <f aca="false">SUM(O$4:O$503)/COUNTA(A$4:A$503)</f>
        <v>713.9999</v>
      </c>
      <c r="BF5" s="92" t="n">
        <f aca="false">SUM(P$4:P$503)/COUNTA(A$4:A$503)</f>
        <v>732.59984</v>
      </c>
      <c r="BG5" s="92" t="n">
        <f aca="false">SUM(Q$4:Q$503)/COUNTA(A$4:A$503)</f>
        <v>756.59992</v>
      </c>
      <c r="BH5" s="92" t="n">
        <f aca="false">SUM(R$4:R$503)/COUNTA(A$4:A$503)</f>
        <v>776.40004</v>
      </c>
      <c r="BI5" s="92" t="n">
        <f aca="false">SUM(S$4:S$503)/COUNTA(A$4:A$503)</f>
        <v>806.40012</v>
      </c>
      <c r="BJ5" s="92" t="n">
        <f aca="false">SUM(T$4:T$503)/COUNTA(A$4:A$503)</f>
        <v>826.1999</v>
      </c>
      <c r="BK5" s="92" t="n">
        <f aca="false">SUM(U$4:U$503)/COUNTA(A$4:A$503)</f>
        <v>844.8002</v>
      </c>
      <c r="BL5" s="92" t="n">
        <f aca="false">SUM(V$4:V$503)/COUNTA(A$4:A$503)</f>
        <v>865.7998</v>
      </c>
      <c r="BM5" s="92" t="n">
        <f aca="false">SUM(W$4:W$503)/COUNTA(A$4:A$503)</f>
        <v>888.59982</v>
      </c>
      <c r="BN5" s="93" t="n">
        <f aca="false">SUM(X$4:X$503)/COUNTA(A$4:A$503)</f>
        <v>918.60034</v>
      </c>
      <c r="BO5" s="94" t="s">
        <v>20</v>
      </c>
      <c r="BP5" s="91" t="n">
        <f aca="false">IF(Z5&gt;=BB5,0,IFERROR(BB5+(SUMPRODUCT((Z$4:Z$503&gt;=BB$4:BB$503)*(Z$4:Z$503-BB$4:BB$503))/MAX(1,COUNTIF(Z$4:Z$503,"&lt;"&amp;BB5+0.01))),BB5))</f>
        <v>0</v>
      </c>
      <c r="BQ5" s="92" t="n">
        <f aca="false">IF(AA5&gt;=BC5,0,IFERROR(BC5+SUMPRODUCT((AA$4:AA$503&gt;=BC$4:BC$503)*(AA$4:AA$503-BC$4:BC$503))/MAX(1,COUNTIF(AA$4:AA$503,"&lt;"&amp;BC5+0.01)),BC5))</f>
        <v>2238.46589176471</v>
      </c>
      <c r="BR5" s="92" t="n">
        <f aca="false">IF(AB5&gt;=BD5,0,IFERROR(BD5+SUMPRODUCT((AB$4:AB$503&gt;=BD$4:BD$503)*(AB$4:AB$503-BD$4:BD$503))/MAX(1,COUNTIF(AB$4:AB$503,"&lt;"&amp;BD5+0.01)),BD5))</f>
        <v>3335.2938</v>
      </c>
      <c r="BS5" s="92" t="n">
        <f aca="false">IF(AC5&gt;=BE5,0,IFERROR(BE5+SUMPRODUCT((AC$4:AC$503&gt;=BE$4:BE$503)*(AC$4:AC$503-BE$4:BE$503))/MAX(1,COUNTIF(AC$4:AC$503,"&lt;"&amp;BE5+0.01)),BE5))</f>
        <v>0</v>
      </c>
      <c r="BT5" s="92" t="n">
        <f aca="false">IF(AD5&gt;=BF5,0,IFERROR(BF5+SUMPRODUCT((AD$4:AD$503&gt;=BF$4:BF$503)*(AD$4:AD$503-BF$4:BF$503))/MAX(1,COUNTIF(AD$4:AD$503,"&lt;"&amp;BF5+0.01)),BF5))</f>
        <v>0</v>
      </c>
      <c r="BU5" s="92" t="n">
        <f aca="false">IF(AE5&gt;=BG5,0,IFERROR(BG5+SUMPRODUCT((AE$4:AE$503&gt;=BG$4:BG$503)*(AE$4:AE$503-BG$4:BG$503))/MAX(1,COUNTIF(AE$4:AE$503,"&lt;"&amp;BG5+0.01)),BG5))</f>
        <v>7704.85920380952</v>
      </c>
      <c r="BV5" s="92" t="n">
        <f aca="false">IF(AF5&gt;=BH5,0,IFERROR(BH5+SUMPRODUCT((AF$4:AF$503&gt;=BH$4:BH$503)*(AF$4:AF$503-BH$4:BH$503))/MAX(1,COUNTIF(AF$4:AF$503,"&lt;"&amp;BH5+0.01)),BH5))</f>
        <v>9942.6503831579</v>
      </c>
      <c r="BW5" s="92" t="n">
        <f aca="false">IF(AG5&gt;=BI5,0,IFERROR(BI5+SUMPRODUCT((AG$4:AG$503&gt;=BI$4:BI$503)*(AG$4:AG$503-BI$4:BI$503))/MAX(1,COUNTIF(AG$4:AG$503,"&lt;"&amp;BI5+0.01)),BI5))</f>
        <v>9142.15870461538</v>
      </c>
      <c r="BX5" s="92" t="n">
        <f aca="false">IF(AH5&gt;=BJ5,0,IFERROR(BJ5+SUMPRODUCT((AH$4:AH$503&gt;=BJ$4:BJ$503)*(AH$4:AH$503-BJ$4:BJ$503))/MAX(1,COUNTIF(AH$4:AH$503,"&lt;"&amp;BJ5+0.01)),BJ5))</f>
        <v>5621.50263448276</v>
      </c>
      <c r="BY5" s="92" t="n">
        <f aca="false">IF(AI5&gt;=BK5,0,IFERROR(BK5+SUMPRODUCT((AI$4:AI$503&gt;=BK$4:BK$503)*(AI$4:AI$503-BK$4:BK$503))/MAX(1,COUNTIF(AI$4:AI$503,"&lt;"&amp;BK5+0.01)),BK5))</f>
        <v>7878.25652380952</v>
      </c>
      <c r="BZ5" s="92" t="n">
        <f aca="false">IF(AJ5&gt;=BL5,0,IFERROR(BL5+SUMPRODUCT((AJ$4:AJ$503&gt;=BL$4:BL$503)*(AJ$4:AJ$503-BL$4:BL$503))/MAX(1,COUNTIF(AJ$4:AJ$503,"&lt;"&amp;BL5+0.01)),BL5))</f>
        <v>6710.03292307692</v>
      </c>
      <c r="CA5" s="92" t="n">
        <f aca="false">IF(AK5&gt;=BM5,0,IFERROR(BM5+SUMPRODUCT((AK$4:AK$503&gt;=BM$4:BM$503)*(AK$4:AK$503-BM$4:BM$503))/MAX(1,COUNTIF(AK$4:AK$503,"&lt;"&amp;BM5+0.01)),BM5))</f>
        <v>7314.89836842105</v>
      </c>
      <c r="CB5" s="93" t="n">
        <f aca="false">IF(AL5&gt;=BN5,0,IFERROR(BN5+SUMPRODUCT((AL$4:AL$503&gt;=BN$4:BN$503)*(AL$4:AL$503-BN$4:BN$503))/MAX(1,COUNTIF(AL$4:AL$503,"&lt;"&amp;BN5+0.01)),BN5))</f>
        <v>3597.2614925</v>
      </c>
      <c r="CC5" s="95" t="str">
        <f aca="false">IF(AO5="🟢","VERDE",IF(AO5="🟡","AMARELO",IF(AO5="🟠","VERMELHO",IF(AO5="🔴","VERMELHO","ROXO"))))</f>
        <v>VERMELHO</v>
      </c>
      <c r="CD5" s="96" t="s">
        <v>103</v>
      </c>
      <c r="CE5" s="96" t="s">
        <v>104</v>
      </c>
    </row>
    <row r="6" customFormat="false" ht="14.25" hidden="false" customHeight="true" outlineLevel="0" collapsed="false">
      <c r="A6" s="65" t="s">
        <v>111</v>
      </c>
      <c r="B6" s="66" t="s">
        <v>112</v>
      </c>
      <c r="C6" s="67" t="s">
        <v>113</v>
      </c>
      <c r="D6" s="68" t="s">
        <v>100</v>
      </c>
      <c r="E6" s="69" t="s">
        <v>114</v>
      </c>
      <c r="F6" s="70" t="n">
        <f aca="false">IFERROR(VLOOKUP(C6,$AS$3:$AT$10,2,FALSE()),IFERROR(VLOOKUP(C6,$AS$15:$AT$22,2,FALSE()),""))</f>
        <v>49</v>
      </c>
      <c r="G6" s="71" t="n">
        <f aca="false">IFERROR(VLOOKUP(C6,$AS$3:$AX$10,6,FALSE()),IFERROR(VLOOKUP(C6,$AS$15:$AX$22,6,FALSE()),""))</f>
        <v>0.463965086137302</v>
      </c>
      <c r="H6" s="72" t="str">
        <f aca="false">IFERROR(VLOOKUP(C6,$AS$3:$AY$10,7,FALSE()),IFERROR(VLOOKUP(C6,$AS$15:$AY$22,7,FALSE()),""))</f>
        <v>🟡 AMARELO</v>
      </c>
      <c r="I6" s="72" t="str">
        <f aca="false">IFERROR(VLOOKUP(C6,$AS$3:$AZ$10,8,FALSE()),IFERROR(VLOOKUP(C6,$AS$15:$AZ$22,8,FALSE()),""))</f>
        <v>Sell Out</v>
      </c>
      <c r="J6" s="73"/>
      <c r="K6" s="69" t="s">
        <v>113</v>
      </c>
      <c r="L6" s="74" t="n">
        <v>125085.15</v>
      </c>
      <c r="M6" s="75" t="n">
        <v>8790.11</v>
      </c>
      <c r="N6" s="75" t="n">
        <v>9185.35</v>
      </c>
      <c r="O6" s="75" t="n">
        <v>9406.68</v>
      </c>
      <c r="P6" s="75" t="n">
        <v>9651.73</v>
      </c>
      <c r="Q6" s="75" t="n">
        <v>9967.92</v>
      </c>
      <c r="R6" s="75" t="n">
        <v>10228.78</v>
      </c>
      <c r="S6" s="75" t="n">
        <v>10624.02</v>
      </c>
      <c r="T6" s="75" t="n">
        <v>10884.87</v>
      </c>
      <c r="U6" s="75" t="n">
        <v>11129.92</v>
      </c>
      <c r="V6" s="75" t="n">
        <v>11406.59</v>
      </c>
      <c r="W6" s="75" t="n">
        <v>11706.97</v>
      </c>
      <c r="X6" s="76" t="n">
        <v>12102.21</v>
      </c>
      <c r="Y6" s="77" t="s">
        <v>20</v>
      </c>
      <c r="Z6" s="78" t="n">
        <f aca="false">SUM(AA6:AL6)</f>
        <v>61002.61</v>
      </c>
      <c r="AA6" s="75"/>
      <c r="AB6" s="75"/>
      <c r="AC6" s="75"/>
      <c r="AD6" s="79" t="n">
        <v>10984.56</v>
      </c>
      <c r="AE6" s="79" t="n">
        <v>40838.05</v>
      </c>
      <c r="AF6" s="75"/>
      <c r="AG6" s="75"/>
      <c r="AH6" s="79" t="n">
        <v>9180</v>
      </c>
      <c r="AI6" s="75"/>
      <c r="AJ6" s="75"/>
      <c r="AK6" s="75"/>
      <c r="AL6" s="76"/>
      <c r="AM6" s="56" t="s">
        <v>20</v>
      </c>
      <c r="AN6" s="80" t="n">
        <f aca="false">IF(L6=0,0,Z6/L6)</f>
        <v>0.487688666480394</v>
      </c>
      <c r="AO6" s="81" t="str">
        <f aca="false">IF(AN6="","",IF(AN6&gt;=0.9,"🟢",IF(AN6&gt;=0.7,"🟡",IF(AN6&gt;=0.5,"🟠","🔴"))))</f>
        <v>🔴</v>
      </c>
      <c r="AP6" s="82" t="n">
        <f aca="false">IF(L6=0,0,L6-Z6)</f>
        <v>64082.54</v>
      </c>
      <c r="AQ6" s="83" t="n">
        <f aca="false">IF(AP6=0,"",RANK(AP6,AP$4:AP$503,0))</f>
        <v>3</v>
      </c>
      <c r="AR6" s="84" t="s">
        <v>20</v>
      </c>
      <c r="AS6" s="85" t="s">
        <v>115</v>
      </c>
      <c r="AT6" s="86" t="n">
        <f aca="false">COUNTIF(C$4:C$503,AS6)</f>
        <v>25</v>
      </c>
      <c r="AU6" s="87" t="n">
        <f aca="false">COUNTIFS(C$4:C$503,AS6,Z$4:Z$503,"&gt;0")</f>
        <v>24</v>
      </c>
      <c r="AV6" s="88" t="n">
        <f aca="false">SUMIF(C$4:C$503,AS6,L$4:L$503)</f>
        <v>108083.15</v>
      </c>
      <c r="AW6" s="88" t="n">
        <f aca="false">SUMIF(C$4:C$503,AS6,Z$4:Z$503)</f>
        <v>58013.82</v>
      </c>
      <c r="AX6" s="89" t="n">
        <f aca="false">IF(AV6=0,0,AW6/AV6)</f>
        <v>0.536751750851081</v>
      </c>
      <c r="AY6" s="90" t="str">
        <f aca="false">IF(AX6&gt;=0.6,"🟢 VERDE",IF(AX6&gt;=0.4,"🟡 AMARELO",IF(AX6&gt;=0.01,"🔴 VERMELHO","🟣 ROXO")))</f>
        <v>🟡 AMARELO</v>
      </c>
      <c r="AZ6" s="90" t="str">
        <f aca="false">IF(AX6&gt;=0.6,"JBP",IF(AX6&gt;=0.4,"Sell Out",IF(AX6&gt;=0.1,"Positivação + Expandir",IF(AX6&gt;=0.01,"Ativar + Prospectar","Mapear + Prospectar"))))</f>
        <v>Sell Out</v>
      </c>
      <c r="BA6" s="56" t="s">
        <v>20</v>
      </c>
      <c r="BB6" s="91" t="n">
        <f aca="false">SUM(L$4:L$503)/COUNTA(A$4:A$503)</f>
        <v>9494.39992</v>
      </c>
      <c r="BC6" s="92" t="n">
        <f aca="false">SUM(M$4:M$503)/COUNTA(A$4:A$503)</f>
        <v>667.20008</v>
      </c>
      <c r="BD6" s="92" t="n">
        <f aca="false">SUM(N$4:N$503)/COUNTA(A$4:A$503)</f>
        <v>697.19996</v>
      </c>
      <c r="BE6" s="92" t="n">
        <f aca="false">SUM(O$4:O$503)/COUNTA(A$4:A$503)</f>
        <v>713.9999</v>
      </c>
      <c r="BF6" s="92" t="n">
        <f aca="false">SUM(P$4:P$503)/COUNTA(A$4:A$503)</f>
        <v>732.59984</v>
      </c>
      <c r="BG6" s="92" t="n">
        <f aca="false">SUM(Q$4:Q$503)/COUNTA(A$4:A$503)</f>
        <v>756.59992</v>
      </c>
      <c r="BH6" s="92" t="n">
        <f aca="false">SUM(R$4:R$503)/COUNTA(A$4:A$503)</f>
        <v>776.40004</v>
      </c>
      <c r="BI6" s="92" t="n">
        <f aca="false">SUM(S$4:S$503)/COUNTA(A$4:A$503)</f>
        <v>806.40012</v>
      </c>
      <c r="BJ6" s="92" t="n">
        <f aca="false">SUM(T$4:T$503)/COUNTA(A$4:A$503)</f>
        <v>826.1999</v>
      </c>
      <c r="BK6" s="92" t="n">
        <f aca="false">SUM(U$4:U$503)/COUNTA(A$4:A$503)</f>
        <v>844.8002</v>
      </c>
      <c r="BL6" s="92" t="n">
        <f aca="false">SUM(V$4:V$503)/COUNTA(A$4:A$503)</f>
        <v>865.7998</v>
      </c>
      <c r="BM6" s="92" t="n">
        <f aca="false">SUM(W$4:W$503)/COUNTA(A$4:A$503)</f>
        <v>888.59982</v>
      </c>
      <c r="BN6" s="93" t="n">
        <f aca="false">SUM(X$4:X$503)/COUNTA(A$4:A$503)</f>
        <v>918.60034</v>
      </c>
      <c r="BO6" s="94" t="s">
        <v>20</v>
      </c>
      <c r="BP6" s="91" t="n">
        <f aca="false">IF(Z6&gt;=BB6,0,IFERROR(BB6+(SUMPRODUCT((Z$4:Z$503&gt;=BB$4:BB$503)*(Z$4:Z$503-BB$4:BB$503))/MAX(1,COUNTIF(Z$4:Z$503,"&lt;"&amp;BB6+0.01))),BB6))</f>
        <v>0</v>
      </c>
      <c r="BQ6" s="92" t="n">
        <f aca="false">IF(AA6&gt;=BC6,0,IFERROR(BC6+SUMPRODUCT((AA$4:AA$503&gt;=BC$4:BC$503)*(AA$4:AA$503-BC$4:BC$503))/MAX(1,COUNTIF(AA$4:AA$503,"&lt;"&amp;BC6+0.01)),BC6))</f>
        <v>2238.46589176471</v>
      </c>
      <c r="BR6" s="92" t="n">
        <f aca="false">IF(AB6&gt;=BD6,0,IFERROR(BD6+SUMPRODUCT((AB$4:AB$503&gt;=BD$4:BD$503)*(AB$4:AB$503-BD$4:BD$503))/MAX(1,COUNTIF(AB$4:AB$503,"&lt;"&amp;BD6+0.01)),BD6))</f>
        <v>3335.2938</v>
      </c>
      <c r="BS6" s="92" t="n">
        <f aca="false">IF(AC6&gt;=BE6,0,IFERROR(BE6+SUMPRODUCT((AC$4:AC$503&gt;=BE$4:BE$503)*(AC$4:AC$503-BE$4:BE$503))/MAX(1,COUNTIF(AC$4:AC$503,"&lt;"&amp;BE6+0.01)),BE6))</f>
        <v>6188.73352</v>
      </c>
      <c r="BT6" s="92" t="n">
        <f aca="false">IF(AD6&gt;=BF6,0,IFERROR(BF6+SUMPRODUCT((AD$4:AD$503&gt;=BF$4:BF$503)*(AD$4:AD$503-BF$4:BF$503))/MAX(1,COUNTIF(AD$4:AD$503,"&lt;"&amp;BF6+0.01)),BF6))</f>
        <v>0</v>
      </c>
      <c r="BU6" s="92" t="n">
        <f aca="false">IF(AE6&gt;=BG6,0,IFERROR(BG6+SUMPRODUCT((AE$4:AE$503&gt;=BG$4:BG$503)*(AE$4:AE$503-BG$4:BG$503))/MAX(1,COUNTIF(AE$4:AE$503,"&lt;"&amp;BG6+0.01)),BG6))</f>
        <v>0</v>
      </c>
      <c r="BV6" s="92" t="n">
        <f aca="false">IF(AF6&gt;=BH6,0,IFERROR(BH6+SUMPRODUCT((AF$4:AF$503&gt;=BH$4:BH$503)*(AF$4:AF$503-BH$4:BH$503))/MAX(1,COUNTIF(AF$4:AF$503,"&lt;"&amp;BH6+0.01)),BH6))</f>
        <v>9942.6503831579</v>
      </c>
      <c r="BW6" s="92" t="n">
        <f aca="false">IF(AG6&gt;=BI6,0,IFERROR(BI6+SUMPRODUCT((AG$4:AG$503&gt;=BI$4:BI$503)*(AG$4:AG$503-BI$4:BI$503))/MAX(1,COUNTIF(AG$4:AG$503,"&lt;"&amp;BI6+0.01)),BI6))</f>
        <v>9142.15870461538</v>
      </c>
      <c r="BX6" s="92" t="n">
        <f aca="false">IF(AH6&gt;=BJ6,0,IFERROR(BJ6+SUMPRODUCT((AH$4:AH$503&gt;=BJ$4:BJ$503)*(AH$4:AH$503-BJ$4:BJ$503))/MAX(1,COUNTIF(AH$4:AH$503,"&lt;"&amp;BJ6+0.01)),BJ6))</f>
        <v>0</v>
      </c>
      <c r="BY6" s="92" t="n">
        <f aca="false">IF(AI6&gt;=BK6,0,IFERROR(BK6+SUMPRODUCT((AI$4:AI$503&gt;=BK$4:BK$503)*(AI$4:AI$503-BK$4:BK$503))/MAX(1,COUNTIF(AI$4:AI$503,"&lt;"&amp;BK6+0.01)),BK6))</f>
        <v>7878.25652380952</v>
      </c>
      <c r="BZ6" s="92" t="n">
        <f aca="false">IF(AJ6&gt;=BL6,0,IFERROR(BL6+SUMPRODUCT((AJ$4:AJ$503&gt;=BL$4:BL$503)*(AJ$4:AJ$503-BL$4:BL$503))/MAX(1,COUNTIF(AJ$4:AJ$503,"&lt;"&amp;BL6+0.01)),BL6))</f>
        <v>6710.03292307692</v>
      </c>
      <c r="CA6" s="92" t="n">
        <f aca="false">IF(AK6&gt;=BM6,0,IFERROR(BM6+SUMPRODUCT((AK$4:AK$503&gt;=BM$4:BM$503)*(AK$4:AK$503-BM$4:BM$503))/MAX(1,COUNTIF(AK$4:AK$503,"&lt;"&amp;BM6+0.01)),BM6))</f>
        <v>7314.89836842105</v>
      </c>
      <c r="CB6" s="93" t="n">
        <f aca="false">IF(AL6&gt;=BN6,0,IFERROR(BN6+SUMPRODUCT((AL$4:AL$503&gt;=BN$4:BN$503)*(AL$4:AL$503-BN$4:BN$503))/MAX(1,COUNTIF(AL$4:AL$503,"&lt;"&amp;BN6+0.01)),BN6))</f>
        <v>3597.2614925</v>
      </c>
      <c r="CC6" s="95" t="str">
        <f aca="false">IF(AO6="🟢","VERDE",IF(AO6="🟡","AMARELO",IF(AO6="🟠","VERMELHO",IF(AO6="🔴","VERMELHO","ROXO"))))</f>
        <v>VERMELHO</v>
      </c>
      <c r="CD6" s="96" t="s">
        <v>103</v>
      </c>
      <c r="CE6" s="96" t="s">
        <v>104</v>
      </c>
    </row>
    <row r="7" customFormat="false" ht="14.25" hidden="false" customHeight="true" outlineLevel="0" collapsed="false">
      <c r="A7" s="65" t="s">
        <v>116</v>
      </c>
      <c r="B7" s="66" t="s">
        <v>117</v>
      </c>
      <c r="C7" s="67" t="s">
        <v>118</v>
      </c>
      <c r="D7" s="68" t="s">
        <v>100</v>
      </c>
      <c r="E7" s="69" t="s">
        <v>119</v>
      </c>
      <c r="F7" s="70" t="n">
        <f aca="false">IFERROR(VLOOKUP(C7,$AS$3:$AT$10,2,FALSE()),IFERROR(VLOOKUP(C7,$AS$15:$AT$22,2,FALSE()),""))</f>
        <v>42</v>
      </c>
      <c r="G7" s="71" t="n">
        <f aca="false">IFERROR(VLOOKUP(C7,$AS$3:$AX$10,6,FALSE()),IFERROR(VLOOKUP(C7,$AS$15:$AX$22,6,FALSE()),""))</f>
        <v>0.424872083346704</v>
      </c>
      <c r="H7" s="72" t="str">
        <f aca="false">IFERROR(VLOOKUP(C7,$AS$3:$AY$10,7,FALSE()),IFERROR(VLOOKUP(C7,$AS$15:$AY$22,7,FALSE()),""))</f>
        <v>🟡 AMARELO</v>
      </c>
      <c r="I7" s="72" t="str">
        <f aca="false">IFERROR(VLOOKUP(C7,$AS$3:$AZ$10,8,FALSE()),IFERROR(VLOOKUP(C7,$AS$15:$AZ$22,8,FALSE()),""))</f>
        <v>Sell Out</v>
      </c>
      <c r="J7" s="73"/>
      <c r="K7" s="69" t="s">
        <v>118</v>
      </c>
      <c r="L7" s="74" t="n">
        <v>103481.47</v>
      </c>
      <c r="M7" s="75" t="n">
        <v>7271.95</v>
      </c>
      <c r="N7" s="75" t="n">
        <v>7598.93</v>
      </c>
      <c r="O7" s="75" t="n">
        <v>7782.04</v>
      </c>
      <c r="P7" s="75" t="n">
        <v>7984.76</v>
      </c>
      <c r="Q7" s="75" t="n">
        <v>8246.34</v>
      </c>
      <c r="R7" s="75" t="n">
        <v>8462.15</v>
      </c>
      <c r="S7" s="75" t="n">
        <v>8789.12</v>
      </c>
      <c r="T7" s="75" t="n">
        <v>9004.93</v>
      </c>
      <c r="U7" s="75" t="n">
        <v>9207.65</v>
      </c>
      <c r="V7" s="75" t="n">
        <v>9436.54</v>
      </c>
      <c r="W7" s="75" t="n">
        <v>9685.04</v>
      </c>
      <c r="X7" s="76" t="n">
        <v>10012.02</v>
      </c>
      <c r="Y7" s="77" t="s">
        <v>20</v>
      </c>
      <c r="Z7" s="78" t="n">
        <f aca="false">SUM(AA7:AL7)</f>
        <v>43134.58</v>
      </c>
      <c r="AA7" s="79" t="n">
        <v>3845.66</v>
      </c>
      <c r="AB7" s="79" t="n">
        <v>3430.8</v>
      </c>
      <c r="AC7" s="79" t="n">
        <v>4796.88</v>
      </c>
      <c r="AD7" s="79" t="n">
        <v>3290.88</v>
      </c>
      <c r="AE7" s="79" t="n">
        <v>4094.88</v>
      </c>
      <c r="AF7" s="75"/>
      <c r="AG7" s="79" t="n">
        <v>4541.91</v>
      </c>
      <c r="AH7" s="79" t="n">
        <v>5337.2</v>
      </c>
      <c r="AI7" s="79" t="n">
        <v>6672</v>
      </c>
      <c r="AJ7" s="79" t="n">
        <v>7124.37</v>
      </c>
      <c r="AK7" s="75"/>
      <c r="AL7" s="76"/>
      <c r="AM7" s="56" t="s">
        <v>20</v>
      </c>
      <c r="AN7" s="80" t="n">
        <f aca="false">IF(L7=0,0,Z7/L7)</f>
        <v>0.41683385440891</v>
      </c>
      <c r="AO7" s="81" t="str">
        <f aca="false">IF(AN7="","",IF(AN7&gt;=0.9,"🟢",IF(AN7&gt;=0.7,"🟡",IF(AN7&gt;=0.5,"🟠","🔴"))))</f>
        <v>🔴</v>
      </c>
      <c r="AP7" s="82" t="n">
        <f aca="false">IF(L7=0,0,L7-Z7)</f>
        <v>60346.89</v>
      </c>
      <c r="AQ7" s="83" t="n">
        <f aca="false">IF(AP7=0,"",RANK(AP7,AP$4:AP$503,0))</f>
        <v>4</v>
      </c>
      <c r="AR7" s="84" t="s">
        <v>20</v>
      </c>
      <c r="AS7" s="85" t="s">
        <v>120</v>
      </c>
      <c r="AT7" s="86" t="n">
        <f aca="false">COUNTIF(C$4:C$503,AS7)</f>
        <v>4</v>
      </c>
      <c r="AU7" s="87" t="n">
        <f aca="false">COUNTIFS(C$4:C$503,AS7,Z$4:Z$503,"&gt;0")</f>
        <v>4</v>
      </c>
      <c r="AV7" s="88" t="n">
        <f aca="false">SUMIF(C$4:C$503,AS7,L$4:L$503)</f>
        <v>36754.96</v>
      </c>
      <c r="AW7" s="88" t="n">
        <f aca="false">SUMIF(C$4:C$503,AS7,Z$4:Z$503)</f>
        <v>19117.46</v>
      </c>
      <c r="AX7" s="89" t="n">
        <f aca="false">IF(AV7=0,0,AW7/AV7)</f>
        <v>0.520132792961821</v>
      </c>
      <c r="AY7" s="90" t="str">
        <f aca="false">IF(AX7&gt;=0.6,"🟢 VERDE",IF(AX7&gt;=0.4,"🟡 AMARELO",IF(AX7&gt;=0.01,"🔴 VERMELHO","🟣 ROXO")))</f>
        <v>🟡 AMARELO</v>
      </c>
      <c r="AZ7" s="90" t="str">
        <f aca="false">IF(AX7&gt;=0.6,"JBP",IF(AX7&gt;=0.4,"Sell Out",IF(AX7&gt;=0.1,"Positivação + Expandir",IF(AX7&gt;=0.01,"Ativar + Prospectar","Mapear + Prospectar"))))</f>
        <v>Sell Out</v>
      </c>
      <c r="BA7" s="56" t="s">
        <v>20</v>
      </c>
      <c r="BB7" s="91" t="n">
        <f aca="false">SUM(L$4:L$503)/COUNTA(A$4:A$503)</f>
        <v>9494.39992</v>
      </c>
      <c r="BC7" s="92" t="n">
        <f aca="false">SUM(M$4:M$503)/COUNTA(A$4:A$503)</f>
        <v>667.20008</v>
      </c>
      <c r="BD7" s="92" t="n">
        <f aca="false">SUM(N$4:N$503)/COUNTA(A$4:A$503)</f>
        <v>697.19996</v>
      </c>
      <c r="BE7" s="92" t="n">
        <f aca="false">SUM(O$4:O$503)/COUNTA(A$4:A$503)</f>
        <v>713.9999</v>
      </c>
      <c r="BF7" s="92" t="n">
        <f aca="false">SUM(P$4:P$503)/COUNTA(A$4:A$503)</f>
        <v>732.59984</v>
      </c>
      <c r="BG7" s="92" t="n">
        <f aca="false">SUM(Q$4:Q$503)/COUNTA(A$4:A$503)</f>
        <v>756.59992</v>
      </c>
      <c r="BH7" s="92" t="n">
        <f aca="false">SUM(R$4:R$503)/COUNTA(A$4:A$503)</f>
        <v>776.40004</v>
      </c>
      <c r="BI7" s="92" t="n">
        <f aca="false">SUM(S$4:S$503)/COUNTA(A$4:A$503)</f>
        <v>806.40012</v>
      </c>
      <c r="BJ7" s="92" t="n">
        <f aca="false">SUM(T$4:T$503)/COUNTA(A$4:A$503)</f>
        <v>826.1999</v>
      </c>
      <c r="BK7" s="92" t="n">
        <f aca="false">SUM(U$4:U$503)/COUNTA(A$4:A$503)</f>
        <v>844.8002</v>
      </c>
      <c r="BL7" s="92" t="n">
        <f aca="false">SUM(V$4:V$503)/COUNTA(A$4:A$503)</f>
        <v>865.7998</v>
      </c>
      <c r="BM7" s="92" t="n">
        <f aca="false">SUM(W$4:W$503)/COUNTA(A$4:A$503)</f>
        <v>888.59982</v>
      </c>
      <c r="BN7" s="93" t="n">
        <f aca="false">SUM(X$4:X$503)/COUNTA(A$4:A$503)</f>
        <v>918.60034</v>
      </c>
      <c r="BO7" s="94" t="s">
        <v>20</v>
      </c>
      <c r="BP7" s="91" t="n">
        <f aca="false">IF(Z7&gt;=BB7,0,IFERROR(BB7+(SUMPRODUCT((Z$4:Z$503&gt;=BB$4:BB$503)*(Z$4:Z$503-BB$4:BB$503))/MAX(1,COUNTIF(Z$4:Z$503,"&lt;"&amp;BB7+0.01))),BB7))</f>
        <v>0</v>
      </c>
      <c r="BQ7" s="92" t="n">
        <f aca="false">IF(AA7&gt;=BC7,0,IFERROR(BC7+SUMPRODUCT((AA$4:AA$503&gt;=BC$4:BC$503)*(AA$4:AA$503-BC$4:BC$503))/MAX(1,COUNTIF(AA$4:AA$503,"&lt;"&amp;BC7+0.01)),BC7))</f>
        <v>0</v>
      </c>
      <c r="BR7" s="92" t="n">
        <f aca="false">IF(AB7&gt;=BD7,0,IFERROR(BD7+SUMPRODUCT((AB$4:AB$503&gt;=BD$4:BD$503)*(AB$4:AB$503-BD$4:BD$503))/MAX(1,COUNTIF(AB$4:AB$503,"&lt;"&amp;BD7+0.01)),BD7))</f>
        <v>0</v>
      </c>
      <c r="BS7" s="92" t="n">
        <f aca="false">IF(AC7&gt;=BE7,0,IFERROR(BE7+SUMPRODUCT((AC$4:AC$503&gt;=BE$4:BE$503)*(AC$4:AC$503-BE$4:BE$503))/MAX(1,COUNTIF(AC$4:AC$503,"&lt;"&amp;BE7+0.01)),BE7))</f>
        <v>0</v>
      </c>
      <c r="BT7" s="92" t="n">
        <f aca="false">IF(AD7&gt;=BF7,0,IFERROR(BF7+SUMPRODUCT((AD$4:AD$503&gt;=BF$4:BF$503)*(AD$4:AD$503-BF$4:BF$503))/MAX(1,COUNTIF(AD$4:AD$503,"&lt;"&amp;BF7+0.01)),BF7))</f>
        <v>0</v>
      </c>
      <c r="BU7" s="92" t="n">
        <f aca="false">IF(AE7&gt;=BG7,0,IFERROR(BG7+SUMPRODUCT((AE$4:AE$503&gt;=BG$4:BG$503)*(AE$4:AE$503-BG$4:BG$503))/MAX(1,COUNTIF(AE$4:AE$503,"&lt;"&amp;BG7+0.01)),BG7))</f>
        <v>0</v>
      </c>
      <c r="BV7" s="92" t="n">
        <f aca="false">IF(AF7&gt;=BH7,0,IFERROR(BH7+SUMPRODUCT((AF$4:AF$503&gt;=BH$4:BH$503)*(AF$4:AF$503-BH$4:BH$503))/MAX(1,COUNTIF(AF$4:AF$503,"&lt;"&amp;BH7+0.01)),BH7))</f>
        <v>9942.6503831579</v>
      </c>
      <c r="BW7" s="92" t="n">
        <f aca="false">IF(AG7&gt;=BI7,0,IFERROR(BI7+SUMPRODUCT((AG$4:AG$503&gt;=BI$4:BI$503)*(AG$4:AG$503-BI$4:BI$503))/MAX(1,COUNTIF(AG$4:AG$503,"&lt;"&amp;BI7+0.01)),BI7))</f>
        <v>0</v>
      </c>
      <c r="BX7" s="92" t="n">
        <f aca="false">IF(AH7&gt;=BJ7,0,IFERROR(BJ7+SUMPRODUCT((AH$4:AH$503&gt;=BJ$4:BJ$503)*(AH$4:AH$503-BJ$4:BJ$503))/MAX(1,COUNTIF(AH$4:AH$503,"&lt;"&amp;BJ7+0.01)),BJ7))</f>
        <v>0</v>
      </c>
      <c r="BY7" s="92" t="n">
        <f aca="false">IF(AI7&gt;=BK7,0,IFERROR(BK7+SUMPRODUCT((AI$4:AI$503&gt;=BK$4:BK$503)*(AI$4:AI$503-BK$4:BK$503))/MAX(1,COUNTIF(AI$4:AI$503,"&lt;"&amp;BK7+0.01)),BK7))</f>
        <v>0</v>
      </c>
      <c r="BZ7" s="92" t="n">
        <f aca="false">IF(AJ7&gt;=BL7,0,IFERROR(BL7+SUMPRODUCT((AJ$4:AJ$503&gt;=BL$4:BL$503)*(AJ$4:AJ$503-BL$4:BL$503))/MAX(1,COUNTIF(AJ$4:AJ$503,"&lt;"&amp;BL7+0.01)),BL7))</f>
        <v>0</v>
      </c>
      <c r="CA7" s="92" t="n">
        <f aca="false">IF(AK7&gt;=BM7,0,IFERROR(BM7+SUMPRODUCT((AK$4:AK$503&gt;=BM$4:BM$503)*(AK$4:AK$503-BM$4:BM$503))/MAX(1,COUNTIF(AK$4:AK$503,"&lt;"&amp;BM7+0.01)),BM7))</f>
        <v>7314.89836842105</v>
      </c>
      <c r="CB7" s="93" t="n">
        <f aca="false">IF(AL7&gt;=BN7,0,IFERROR(BN7+SUMPRODUCT((AL$4:AL$503&gt;=BN$4:BN$503)*(AL$4:AL$503-BN$4:BN$503))/MAX(1,COUNTIF(AL$4:AL$503,"&lt;"&amp;BN7+0.01)),BN7))</f>
        <v>3597.2614925</v>
      </c>
      <c r="CC7" s="95" t="str">
        <f aca="false">IF(AO7="🟢","VERDE",IF(AO7="🟡","AMARELO",IF(AO7="🟠","VERMELHO",IF(AO7="🔴","VERMELHO","ROXO"))))</f>
        <v>VERMELHO</v>
      </c>
      <c r="CD7" s="96" t="s">
        <v>103</v>
      </c>
      <c r="CE7" s="96" t="s">
        <v>104</v>
      </c>
    </row>
    <row r="8" customFormat="false" ht="14.25" hidden="false" customHeight="true" outlineLevel="0" collapsed="false">
      <c r="A8" s="65" t="s">
        <v>121</v>
      </c>
      <c r="B8" s="66" t="s">
        <v>122</v>
      </c>
      <c r="C8" s="67" t="s">
        <v>123</v>
      </c>
      <c r="D8" s="68" t="s">
        <v>100</v>
      </c>
      <c r="E8" s="56" t="s">
        <v>20</v>
      </c>
      <c r="F8" s="70" t="n">
        <f aca="false">IFERROR(VLOOKUP(C8,$AS$3:$AT$10,2,FALSE()),IFERROR(VLOOKUP(C8,$AS$15:$AT$22,2,FALSE()),""))</f>
        <v>49</v>
      </c>
      <c r="G8" s="71" t="n">
        <f aca="false">IFERROR(VLOOKUP(C8,$AS$3:$AX$10,6,FALSE()),IFERROR(VLOOKUP(C8,$AS$15:$AX$22,6,FALSE()),""))</f>
        <v>0.436391353881959</v>
      </c>
      <c r="H8" s="72" t="str">
        <f aca="false">IFERROR(VLOOKUP(C8,$AS$3:$AY$10,7,FALSE()),IFERROR(VLOOKUP(C8,$AS$15:$AY$22,7,FALSE()),""))</f>
        <v>🟡 AMARELO</v>
      </c>
      <c r="I8" s="72" t="str">
        <f aca="false">IFERROR(VLOOKUP(C8,$AS$3:$AZ$10,8,FALSE()),IFERROR(VLOOKUP(C8,$AS$15:$AZ$22,8,FALSE()),""))</f>
        <v>Sell Out</v>
      </c>
      <c r="J8" s="73"/>
      <c r="K8" s="56" t="s">
        <v>20</v>
      </c>
      <c r="L8" s="74" t="n">
        <v>96766.44</v>
      </c>
      <c r="M8" s="75" t="n">
        <v>6800.07</v>
      </c>
      <c r="N8" s="75" t="n">
        <v>7105.83</v>
      </c>
      <c r="O8" s="75" t="n">
        <v>7277.05</v>
      </c>
      <c r="P8" s="75" t="n">
        <v>7466.62</v>
      </c>
      <c r="Q8" s="75" t="n">
        <v>7711.23</v>
      </c>
      <c r="R8" s="75" t="n">
        <v>7913.03</v>
      </c>
      <c r="S8" s="75" t="n">
        <v>8218.79</v>
      </c>
      <c r="T8" s="75" t="n">
        <v>8420.59</v>
      </c>
      <c r="U8" s="75" t="n">
        <v>8610.16</v>
      </c>
      <c r="V8" s="75" t="n">
        <v>8824.19</v>
      </c>
      <c r="W8" s="75" t="n">
        <v>9056.56</v>
      </c>
      <c r="X8" s="76" t="n">
        <v>9362.32</v>
      </c>
      <c r="Y8" s="77" t="s">
        <v>20</v>
      </c>
      <c r="Z8" s="78" t="n">
        <f aca="false">SUM(AA8:AL8)</f>
        <v>40115.33</v>
      </c>
      <c r="AA8" s="75"/>
      <c r="AB8" s="75"/>
      <c r="AC8" s="75"/>
      <c r="AD8" s="75" t="n">
        <v>5026.2</v>
      </c>
      <c r="AE8" s="75"/>
      <c r="AF8" s="75" t="n">
        <v>5040</v>
      </c>
      <c r="AG8" s="75"/>
      <c r="AH8" s="75"/>
      <c r="AI8" s="75" t="n">
        <v>5260.84</v>
      </c>
      <c r="AJ8" s="75" t="n">
        <v>10920</v>
      </c>
      <c r="AK8" s="75" t="n">
        <v>5490.9</v>
      </c>
      <c r="AL8" s="76" t="n">
        <v>8377.39</v>
      </c>
      <c r="AM8" s="56" t="s">
        <v>20</v>
      </c>
      <c r="AN8" s="80" t="n">
        <f aca="false">IF(L8=0,0,Z8/L8)</f>
        <v>0.414558291076948</v>
      </c>
      <c r="AO8" s="81" t="str">
        <f aca="false">IF(AN8="","",IF(AN8&gt;=0.9,"🟢",IF(AN8&gt;=0.7,"🟡",IF(AN8&gt;=0.5,"🟠","🔴"))))</f>
        <v>🔴</v>
      </c>
      <c r="AP8" s="82" t="n">
        <f aca="false">IF(L8=0,0,L8-Z8)</f>
        <v>56651.11</v>
      </c>
      <c r="AQ8" s="83" t="n">
        <f aca="false">IF(AP8=0,"",RANK(AP8,AP$4:AP$503,0))</f>
        <v>5</v>
      </c>
      <c r="AR8" s="84" t="s">
        <v>20</v>
      </c>
      <c r="AS8" s="85" t="s">
        <v>124</v>
      </c>
      <c r="AT8" s="86" t="n">
        <f aca="false">COUNTIF(C$4:C$503,AS8)</f>
        <v>7</v>
      </c>
      <c r="AU8" s="87" t="n">
        <f aca="false">COUNTIFS(C$4:C$503,AS8,Z$4:Z$503,"&gt;0")</f>
        <v>4</v>
      </c>
      <c r="AV8" s="88" t="n">
        <f aca="false">SUMIF(C$4:C$503,AS8,L$4:L$503)</f>
        <v>29621.13</v>
      </c>
      <c r="AW8" s="88" t="n">
        <f aca="false">SUMIF(C$4:C$503,AS8,Z$4:Z$503)</f>
        <v>12480.52</v>
      </c>
      <c r="AX8" s="89" t="n">
        <f aca="false">IF(AV8=0,0,AW8/AV8)</f>
        <v>0.421338416191415</v>
      </c>
      <c r="AY8" s="90" t="str">
        <f aca="false">IF(AX8&gt;=0.6,"🟢 VERDE",IF(AX8&gt;=0.4,"🟡 AMARELO",IF(AX8&gt;=0.01,"🔴 VERMELHO","🟣 ROXO")))</f>
        <v>🟡 AMARELO</v>
      </c>
      <c r="AZ8" s="90" t="str">
        <f aca="false">IF(AX8&gt;=0.6,"JBP",IF(AX8&gt;=0.4,"Sell Out",IF(AX8&gt;=0.1,"Positivação + Expandir",IF(AX8&gt;=0.01,"Ativar + Prospectar","Mapear + Prospectar"))))</f>
        <v>Sell Out</v>
      </c>
      <c r="BA8" s="56" t="s">
        <v>20</v>
      </c>
      <c r="BB8" s="91" t="n">
        <f aca="false">SUM(L$4:L$503)/COUNTA(A$4:A$503)</f>
        <v>9494.39992</v>
      </c>
      <c r="BC8" s="92" t="n">
        <f aca="false">SUM(M$4:M$503)/COUNTA(A$4:A$503)</f>
        <v>667.20008</v>
      </c>
      <c r="BD8" s="92" t="n">
        <f aca="false">SUM(N$4:N$503)/COUNTA(A$4:A$503)</f>
        <v>697.19996</v>
      </c>
      <c r="BE8" s="92" t="n">
        <f aca="false">SUM(O$4:O$503)/COUNTA(A$4:A$503)</f>
        <v>713.9999</v>
      </c>
      <c r="BF8" s="92" t="n">
        <f aca="false">SUM(P$4:P$503)/COUNTA(A$4:A$503)</f>
        <v>732.59984</v>
      </c>
      <c r="BG8" s="92" t="n">
        <f aca="false">SUM(Q$4:Q$503)/COUNTA(A$4:A$503)</f>
        <v>756.59992</v>
      </c>
      <c r="BH8" s="92" t="n">
        <f aca="false">SUM(R$4:R$503)/COUNTA(A$4:A$503)</f>
        <v>776.40004</v>
      </c>
      <c r="BI8" s="92" t="n">
        <f aca="false">SUM(S$4:S$503)/COUNTA(A$4:A$503)</f>
        <v>806.40012</v>
      </c>
      <c r="BJ8" s="92" t="n">
        <f aca="false">SUM(T$4:T$503)/COUNTA(A$4:A$503)</f>
        <v>826.1999</v>
      </c>
      <c r="BK8" s="92" t="n">
        <f aca="false">SUM(U$4:U$503)/COUNTA(A$4:A$503)</f>
        <v>844.8002</v>
      </c>
      <c r="BL8" s="92" t="n">
        <f aca="false">SUM(V$4:V$503)/COUNTA(A$4:A$503)</f>
        <v>865.7998</v>
      </c>
      <c r="BM8" s="92" t="n">
        <f aca="false">SUM(W$4:W$503)/COUNTA(A$4:A$503)</f>
        <v>888.59982</v>
      </c>
      <c r="BN8" s="93" t="n">
        <f aca="false">SUM(X$4:X$503)/COUNTA(A$4:A$503)</f>
        <v>918.60034</v>
      </c>
      <c r="BO8" s="94" t="s">
        <v>20</v>
      </c>
      <c r="BP8" s="91" t="n">
        <f aca="false">IF(Z8&gt;=BB8,0,IFERROR(BB8+(SUMPRODUCT((Z$4:Z$503&gt;=BB$4:BB$503)*(Z$4:Z$503-BB$4:BB$503))/MAX(1,COUNTIF(Z$4:Z$503,"&lt;"&amp;BB8+0.01))),BB8))</f>
        <v>0</v>
      </c>
      <c r="BQ8" s="92" t="n">
        <f aca="false">IF(AA8&gt;=BC8,0,IFERROR(BC8+SUMPRODUCT((AA$4:AA$503&gt;=BC$4:BC$503)*(AA$4:AA$503-BC$4:BC$503))/MAX(1,COUNTIF(AA$4:AA$503,"&lt;"&amp;BC8+0.01)),BC8))</f>
        <v>2238.46589176471</v>
      </c>
      <c r="BR8" s="92" t="n">
        <f aca="false">IF(AB8&gt;=BD8,0,IFERROR(BD8+SUMPRODUCT((AB$4:AB$503&gt;=BD$4:BD$503)*(AB$4:AB$503-BD$4:BD$503))/MAX(1,COUNTIF(AB$4:AB$503,"&lt;"&amp;BD8+0.01)),BD8))</f>
        <v>3335.2938</v>
      </c>
      <c r="BS8" s="92" t="n">
        <f aca="false">IF(AC8&gt;=BE8,0,IFERROR(BE8+SUMPRODUCT((AC$4:AC$503&gt;=BE$4:BE$503)*(AC$4:AC$503-BE$4:BE$503))/MAX(1,COUNTIF(AC$4:AC$503,"&lt;"&amp;BE8+0.01)),BE8))</f>
        <v>6188.73352</v>
      </c>
      <c r="BT8" s="92" t="n">
        <f aca="false">IF(AD8&gt;=BF8,0,IFERROR(BF8+SUMPRODUCT((AD$4:AD$503&gt;=BF$4:BF$503)*(AD$4:AD$503-BF$4:BF$503))/MAX(1,COUNTIF(AD$4:AD$503,"&lt;"&amp;BF8+0.01)),BF8))</f>
        <v>0</v>
      </c>
      <c r="BU8" s="92" t="n">
        <f aca="false">IF(AE8&gt;=BG8,0,IFERROR(BG8+SUMPRODUCT((AE$4:AE$503&gt;=BG$4:BG$503)*(AE$4:AE$503-BG$4:BG$503))/MAX(1,COUNTIF(AE$4:AE$503,"&lt;"&amp;BG8+0.01)),BG8))</f>
        <v>7704.85920380952</v>
      </c>
      <c r="BV8" s="92" t="n">
        <f aca="false">IF(AF8&gt;=BH8,0,IFERROR(BH8+SUMPRODUCT((AF$4:AF$503&gt;=BH$4:BH$503)*(AF$4:AF$503-BH$4:BH$503))/MAX(1,COUNTIF(AF$4:AF$503,"&lt;"&amp;BH8+0.01)),BH8))</f>
        <v>0</v>
      </c>
      <c r="BW8" s="92" t="n">
        <f aca="false">IF(AG8&gt;=BI8,0,IFERROR(BI8+SUMPRODUCT((AG$4:AG$503&gt;=BI$4:BI$503)*(AG$4:AG$503-BI$4:BI$503))/MAX(1,COUNTIF(AG$4:AG$503,"&lt;"&amp;BI8+0.01)),BI8))</f>
        <v>9142.15870461538</v>
      </c>
      <c r="BX8" s="92" t="n">
        <f aca="false">IF(AH8&gt;=BJ8,0,IFERROR(BJ8+SUMPRODUCT((AH$4:AH$503&gt;=BJ$4:BJ$503)*(AH$4:AH$503-BJ$4:BJ$503))/MAX(1,COUNTIF(AH$4:AH$503,"&lt;"&amp;BJ8+0.01)),BJ8))</f>
        <v>5621.50263448276</v>
      </c>
      <c r="BY8" s="92" t="n">
        <f aca="false">IF(AI8&gt;=BK8,0,IFERROR(BK8+SUMPRODUCT((AI$4:AI$503&gt;=BK$4:BK$503)*(AI$4:AI$503-BK$4:BK$503))/MAX(1,COUNTIF(AI$4:AI$503,"&lt;"&amp;BK8+0.01)),BK8))</f>
        <v>0</v>
      </c>
      <c r="BZ8" s="92" t="n">
        <f aca="false">IF(AJ8&gt;=BL8,0,IFERROR(BL8+SUMPRODUCT((AJ$4:AJ$503&gt;=BL$4:BL$503)*(AJ$4:AJ$503-BL$4:BL$503))/MAX(1,COUNTIF(AJ$4:AJ$503,"&lt;"&amp;BL8+0.01)),BL8))</f>
        <v>0</v>
      </c>
      <c r="CA8" s="92" t="n">
        <f aca="false">IF(AK8&gt;=BM8,0,IFERROR(BM8+SUMPRODUCT((AK$4:AK$503&gt;=BM$4:BM$503)*(AK$4:AK$503-BM$4:BM$503))/MAX(1,COUNTIF(AK$4:AK$503,"&lt;"&amp;BM8+0.01)),BM8))</f>
        <v>0</v>
      </c>
      <c r="CB8" s="93" t="n">
        <f aca="false">IF(AL8&gt;=BN8,0,IFERROR(BN8+SUMPRODUCT((AL$4:AL$503&gt;=BN$4:BN$503)*(AL$4:AL$503-BN$4:BN$503))/MAX(1,COUNTIF(AL$4:AL$503,"&lt;"&amp;BN8+0.01)),BN8))</f>
        <v>0</v>
      </c>
      <c r="CC8" s="95" t="str">
        <f aca="false">IF(AO8="🟢","VERDE",IF(AO8="🟡","AMARELO",IF(AO8="🟠","VERMELHO",IF(AO8="🔴","VERMELHO","ROXO"))))</f>
        <v>VERMELHO</v>
      </c>
      <c r="CD8" s="96" t="s">
        <v>103</v>
      </c>
      <c r="CE8" s="96" t="s">
        <v>104</v>
      </c>
    </row>
    <row r="9" customFormat="false" ht="14.25" hidden="false" customHeight="true" outlineLevel="0" collapsed="false">
      <c r="A9" s="65" t="s">
        <v>125</v>
      </c>
      <c r="B9" s="66" t="s">
        <v>126</v>
      </c>
      <c r="C9" s="67" t="s">
        <v>99</v>
      </c>
      <c r="D9" s="68" t="s">
        <v>100</v>
      </c>
      <c r="E9" s="69" t="s">
        <v>127</v>
      </c>
      <c r="F9" s="70" t="n">
        <f aca="false">IFERROR(VLOOKUP(C9,$AS$3:$AT$10,2,FALSE()),IFERROR(VLOOKUP(C9,$AS$15:$AT$22,2,FALSE()),""))</f>
        <v>33</v>
      </c>
      <c r="G9" s="71" t="n">
        <f aca="false">IFERROR(VLOOKUP(C9,$AS$3:$AX$10,6,FALSE()),IFERROR(VLOOKUP(C9,$AS$15:$AX$22,6,FALSE()),""))</f>
        <v>0.341494038351172</v>
      </c>
      <c r="H9" s="72" t="str">
        <f aca="false">IFERROR(VLOOKUP(C9,$AS$3:$AY$10,7,FALSE()),IFERROR(VLOOKUP(C9,$AS$15:$AY$22,7,FALSE()),""))</f>
        <v>🔴 VERMELHO</v>
      </c>
      <c r="I9" s="72" t="str">
        <f aca="false">IFERROR(VLOOKUP(C9,$AS$3:$AZ$10,8,FALSE()),IFERROR(VLOOKUP(C9,$AS$15:$AZ$22,8,FALSE()),""))</f>
        <v>Positivação + Expandir</v>
      </c>
      <c r="J9" s="73"/>
      <c r="K9" s="69" t="s">
        <v>99</v>
      </c>
      <c r="L9" s="74" t="n">
        <v>83332.29</v>
      </c>
      <c r="M9" s="75" t="n">
        <v>5856.01</v>
      </c>
      <c r="N9" s="75" t="n">
        <v>6119.32</v>
      </c>
      <c r="O9" s="75" t="n">
        <v>6266.77</v>
      </c>
      <c r="P9" s="75" t="n">
        <v>6430.03</v>
      </c>
      <c r="Q9" s="75" t="n">
        <v>6640.67</v>
      </c>
      <c r="R9" s="75" t="n">
        <v>6814.46</v>
      </c>
      <c r="S9" s="75" t="n">
        <v>7077.77</v>
      </c>
      <c r="T9" s="75" t="n">
        <v>7251.55</v>
      </c>
      <c r="U9" s="75" t="n">
        <v>7414.8</v>
      </c>
      <c r="V9" s="75" t="n">
        <v>7599.12</v>
      </c>
      <c r="W9" s="75" t="n">
        <v>7799.24</v>
      </c>
      <c r="X9" s="76" t="n">
        <v>8062.55</v>
      </c>
      <c r="Y9" s="77" t="s">
        <v>20</v>
      </c>
      <c r="Z9" s="78" t="n">
        <f aca="false">SUM(AA9:AL9)</f>
        <v>33079.94</v>
      </c>
      <c r="AA9" s="75"/>
      <c r="AB9" s="75"/>
      <c r="AC9" s="79" t="n">
        <v>2991.96</v>
      </c>
      <c r="AD9" s="75"/>
      <c r="AE9" s="75"/>
      <c r="AF9" s="79" t="n">
        <v>3054.38</v>
      </c>
      <c r="AG9" s="79" t="n">
        <v>3778.78</v>
      </c>
      <c r="AH9" s="79" t="n">
        <v>5097.2</v>
      </c>
      <c r="AI9" s="79" t="n">
        <v>5983.46</v>
      </c>
      <c r="AJ9" s="79" t="n">
        <v>3773.16</v>
      </c>
      <c r="AK9" s="79" t="n">
        <v>8401</v>
      </c>
      <c r="AL9" s="76"/>
      <c r="AM9" s="56" t="s">
        <v>20</v>
      </c>
      <c r="AN9" s="80" t="n">
        <f aca="false">IF(L9=0,0,Z9/L9)</f>
        <v>0.39696424999241</v>
      </c>
      <c r="AO9" s="81" t="str">
        <f aca="false">IF(AN9="","",IF(AN9&gt;=0.9,"🟢",IF(AN9&gt;=0.7,"🟡",IF(AN9&gt;=0.5,"🟠","🔴"))))</f>
        <v>🔴</v>
      </c>
      <c r="AP9" s="82" t="n">
        <f aca="false">IF(L9=0,0,L9-Z9)</f>
        <v>50252.35</v>
      </c>
      <c r="AQ9" s="83" t="n">
        <f aca="false">IF(AP9=0,"",RANK(AP9,AP$4:AP$503,0))</f>
        <v>6</v>
      </c>
      <c r="AR9" s="84" t="s">
        <v>20</v>
      </c>
      <c r="AS9" s="85" t="s">
        <v>128</v>
      </c>
      <c r="AT9" s="86" t="n">
        <f aca="false">COUNTIF(C$4:C$503,AS9)</f>
        <v>3</v>
      </c>
      <c r="AU9" s="87" t="n">
        <f aca="false">COUNTIFS(C$4:C$503,AS9,Z$4:Z$503,"&gt;0")</f>
        <v>2</v>
      </c>
      <c r="AV9" s="88" t="n">
        <f aca="false">SUMIF(C$4:C$503,AS9,L$4:L$503)</f>
        <v>20677.87</v>
      </c>
      <c r="AW9" s="88" t="n">
        <f aca="false">SUMIF(C$4:C$503,AS9,Z$4:Z$503)</f>
        <v>8579.2</v>
      </c>
      <c r="AX9" s="89" t="n">
        <f aca="false">IF(AV9=0,0,AW9/AV9)</f>
        <v>0.414897665958825</v>
      </c>
      <c r="AY9" s="90" t="str">
        <f aca="false">IF(AX9&gt;=0.6,"🟢 VERDE",IF(AX9&gt;=0.4,"🟡 AMARELO",IF(AX9&gt;=0.01,"🔴 VERMELHO","🟣 ROXO")))</f>
        <v>🟡 AMARELO</v>
      </c>
      <c r="AZ9" s="90" t="str">
        <f aca="false">IF(AX9&gt;=0.6,"JBP",IF(AX9&gt;=0.4,"Sell Out",IF(AX9&gt;=0.1,"Positivação + Expandir",IF(AX9&gt;=0.01,"Ativar + Prospectar","Mapear + Prospectar"))))</f>
        <v>Sell Out</v>
      </c>
      <c r="BA9" s="56" t="s">
        <v>20</v>
      </c>
      <c r="BB9" s="91" t="n">
        <f aca="false">SUM(L$4:L$503)/COUNTA(A$4:A$503)</f>
        <v>9494.39992</v>
      </c>
      <c r="BC9" s="92" t="n">
        <f aca="false">SUM(M$4:M$503)/COUNTA(A$4:A$503)</f>
        <v>667.20008</v>
      </c>
      <c r="BD9" s="92" t="n">
        <f aca="false">SUM(N$4:N$503)/COUNTA(A$4:A$503)</f>
        <v>697.19996</v>
      </c>
      <c r="BE9" s="92" t="n">
        <f aca="false">SUM(O$4:O$503)/COUNTA(A$4:A$503)</f>
        <v>713.9999</v>
      </c>
      <c r="BF9" s="92" t="n">
        <f aca="false">SUM(P$4:P$503)/COUNTA(A$4:A$503)</f>
        <v>732.59984</v>
      </c>
      <c r="BG9" s="92" t="n">
        <f aca="false">SUM(Q$4:Q$503)/COUNTA(A$4:A$503)</f>
        <v>756.59992</v>
      </c>
      <c r="BH9" s="92" t="n">
        <f aca="false">SUM(R$4:R$503)/COUNTA(A$4:A$503)</f>
        <v>776.40004</v>
      </c>
      <c r="BI9" s="92" t="n">
        <f aca="false">SUM(S$4:S$503)/COUNTA(A$4:A$503)</f>
        <v>806.40012</v>
      </c>
      <c r="BJ9" s="92" t="n">
        <f aca="false">SUM(T$4:T$503)/COUNTA(A$4:A$503)</f>
        <v>826.1999</v>
      </c>
      <c r="BK9" s="92" t="n">
        <f aca="false">SUM(U$4:U$503)/COUNTA(A$4:A$503)</f>
        <v>844.8002</v>
      </c>
      <c r="BL9" s="92" t="n">
        <f aca="false">SUM(V$4:V$503)/COUNTA(A$4:A$503)</f>
        <v>865.7998</v>
      </c>
      <c r="BM9" s="92" t="n">
        <f aca="false">SUM(W$4:W$503)/COUNTA(A$4:A$503)</f>
        <v>888.59982</v>
      </c>
      <c r="BN9" s="93" t="n">
        <f aca="false">SUM(X$4:X$503)/COUNTA(A$4:A$503)</f>
        <v>918.60034</v>
      </c>
      <c r="BO9" s="94" t="s">
        <v>20</v>
      </c>
      <c r="BP9" s="91" t="n">
        <f aca="false">IF(Z9&gt;=BB9,0,IFERROR(BB9+(SUMPRODUCT((Z$4:Z$503&gt;=BB$4:BB$503)*(Z$4:Z$503-BB$4:BB$503))/MAX(1,COUNTIF(Z$4:Z$503,"&lt;"&amp;BB9+0.01))),BB9))</f>
        <v>0</v>
      </c>
      <c r="BQ9" s="92" t="n">
        <f aca="false">IF(AA9&gt;=BC9,0,IFERROR(BC9+SUMPRODUCT((AA$4:AA$503&gt;=BC$4:BC$503)*(AA$4:AA$503-BC$4:BC$503))/MAX(1,COUNTIF(AA$4:AA$503,"&lt;"&amp;BC9+0.01)),BC9))</f>
        <v>2238.46589176471</v>
      </c>
      <c r="BR9" s="92" t="n">
        <f aca="false">IF(AB9&gt;=BD9,0,IFERROR(BD9+SUMPRODUCT((AB$4:AB$503&gt;=BD$4:BD$503)*(AB$4:AB$503-BD$4:BD$503))/MAX(1,COUNTIF(AB$4:AB$503,"&lt;"&amp;BD9+0.01)),BD9))</f>
        <v>3335.2938</v>
      </c>
      <c r="BS9" s="92" t="n">
        <f aca="false">IF(AC9&gt;=BE9,0,IFERROR(BE9+SUMPRODUCT((AC$4:AC$503&gt;=BE$4:BE$503)*(AC$4:AC$503-BE$4:BE$503))/MAX(1,COUNTIF(AC$4:AC$503,"&lt;"&amp;BE9+0.01)),BE9))</f>
        <v>0</v>
      </c>
      <c r="BT9" s="92" t="n">
        <f aca="false">IF(AD9&gt;=BF9,0,IFERROR(BF9+SUMPRODUCT((AD$4:AD$503&gt;=BF$4:BF$503)*(AD$4:AD$503-BF$4:BF$503))/MAX(1,COUNTIF(AD$4:AD$503,"&lt;"&amp;BF9+0.01)),BF9))</f>
        <v>11354.35411</v>
      </c>
      <c r="BU9" s="92" t="n">
        <f aca="false">IF(AE9&gt;=BG9,0,IFERROR(BG9+SUMPRODUCT((AE$4:AE$503&gt;=BG$4:BG$503)*(AE$4:AE$503-BG$4:BG$503))/MAX(1,COUNTIF(AE$4:AE$503,"&lt;"&amp;BG9+0.01)),BG9))</f>
        <v>7704.85920380952</v>
      </c>
      <c r="BV9" s="92" t="n">
        <f aca="false">IF(AF9&gt;=BH9,0,IFERROR(BH9+SUMPRODUCT((AF$4:AF$503&gt;=BH$4:BH$503)*(AF$4:AF$503-BH$4:BH$503))/MAX(1,COUNTIF(AF$4:AF$503,"&lt;"&amp;BH9+0.01)),BH9))</f>
        <v>0</v>
      </c>
      <c r="BW9" s="92" t="n">
        <f aca="false">IF(AG9&gt;=BI9,0,IFERROR(BI9+SUMPRODUCT((AG$4:AG$503&gt;=BI$4:BI$503)*(AG$4:AG$503-BI$4:BI$503))/MAX(1,COUNTIF(AG$4:AG$503,"&lt;"&amp;BI9+0.01)),BI9))</f>
        <v>0</v>
      </c>
      <c r="BX9" s="92" t="n">
        <f aca="false">IF(AH9&gt;=BJ9,0,IFERROR(BJ9+SUMPRODUCT((AH$4:AH$503&gt;=BJ$4:BJ$503)*(AH$4:AH$503-BJ$4:BJ$503))/MAX(1,COUNTIF(AH$4:AH$503,"&lt;"&amp;BJ9+0.01)),BJ9))</f>
        <v>0</v>
      </c>
      <c r="BY9" s="92" t="n">
        <f aca="false">IF(AI9&gt;=BK9,0,IFERROR(BK9+SUMPRODUCT((AI$4:AI$503&gt;=BK$4:BK$503)*(AI$4:AI$503-BK$4:BK$503))/MAX(1,COUNTIF(AI$4:AI$503,"&lt;"&amp;BK9+0.01)),BK9))</f>
        <v>0</v>
      </c>
      <c r="BZ9" s="92" t="n">
        <f aca="false">IF(AJ9&gt;=BL9,0,IFERROR(BL9+SUMPRODUCT((AJ$4:AJ$503&gt;=BL$4:BL$503)*(AJ$4:AJ$503-BL$4:BL$503))/MAX(1,COUNTIF(AJ$4:AJ$503,"&lt;"&amp;BL9+0.01)),BL9))</f>
        <v>0</v>
      </c>
      <c r="CA9" s="92" t="n">
        <f aca="false">IF(AK9&gt;=BM9,0,IFERROR(BM9+SUMPRODUCT((AK$4:AK$503&gt;=BM$4:BM$503)*(AK$4:AK$503-BM$4:BM$503))/MAX(1,COUNTIF(AK$4:AK$503,"&lt;"&amp;BM9+0.01)),BM9))</f>
        <v>0</v>
      </c>
      <c r="CB9" s="93" t="n">
        <f aca="false">IF(AL9&gt;=BN9,0,IFERROR(BN9+SUMPRODUCT((AL$4:AL$503&gt;=BN$4:BN$503)*(AL$4:AL$503-BN$4:BN$503))/MAX(1,COUNTIF(AL$4:AL$503,"&lt;"&amp;BN9+0.01)),BN9))</f>
        <v>3597.2614925</v>
      </c>
      <c r="CC9" s="95" t="str">
        <f aca="false">IF(AO9="🟢","VERDE",IF(AO9="🟡","AMARELO",IF(AO9="🟠","VERMELHO",IF(AO9="🔴","VERMELHO","ROXO"))))</f>
        <v>VERMELHO</v>
      </c>
      <c r="CD9" s="96" t="s">
        <v>103</v>
      </c>
      <c r="CE9" s="96" t="s">
        <v>104</v>
      </c>
    </row>
    <row r="10" customFormat="false" ht="14.25" hidden="false" customHeight="true" outlineLevel="0" collapsed="false">
      <c r="A10" s="65" t="s">
        <v>129</v>
      </c>
      <c r="B10" s="66" t="s">
        <v>130</v>
      </c>
      <c r="C10" s="67" t="s">
        <v>123</v>
      </c>
      <c r="D10" s="68" t="s">
        <v>100</v>
      </c>
      <c r="E10" s="56" t="s">
        <v>20</v>
      </c>
      <c r="F10" s="70" t="n">
        <f aca="false">IFERROR(VLOOKUP(C10,$AS$3:$AT$10,2,FALSE()),IFERROR(VLOOKUP(C10,$AS$15:$AT$22,2,FALSE()),""))</f>
        <v>49</v>
      </c>
      <c r="G10" s="71" t="n">
        <f aca="false">IFERROR(VLOOKUP(C10,$AS$3:$AX$10,6,FALSE()),IFERROR(VLOOKUP(C10,$AS$15:$AX$22,6,FALSE()),""))</f>
        <v>0.436391353881959</v>
      </c>
      <c r="H10" s="72" t="str">
        <f aca="false">IFERROR(VLOOKUP(C10,$AS$3:$AY$10,7,FALSE()),IFERROR(VLOOKUP(C10,$AS$15:$AY$22,7,FALSE()),""))</f>
        <v>🟡 AMARELO</v>
      </c>
      <c r="I10" s="72" t="str">
        <f aca="false">IFERROR(VLOOKUP(C10,$AS$3:$AZ$10,8,FALSE()),IFERROR(VLOOKUP(C10,$AS$15:$AZ$22,8,FALSE()),""))</f>
        <v>Sell Out</v>
      </c>
      <c r="J10" s="73"/>
      <c r="K10" s="56" t="s">
        <v>20</v>
      </c>
      <c r="L10" s="74" t="n">
        <v>75249.03</v>
      </c>
      <c r="M10" s="75" t="n">
        <v>5287.98</v>
      </c>
      <c r="N10" s="75" t="n">
        <v>5525.74</v>
      </c>
      <c r="O10" s="75" t="n">
        <v>5658.89</v>
      </c>
      <c r="P10" s="75" t="n">
        <v>5806.31</v>
      </c>
      <c r="Q10" s="75" t="n">
        <v>5996.53</v>
      </c>
      <c r="R10" s="75" t="n">
        <v>6153.45</v>
      </c>
      <c r="S10" s="75" t="n">
        <v>6391.22</v>
      </c>
      <c r="T10" s="75" t="n">
        <v>6548.15</v>
      </c>
      <c r="U10" s="75" t="n">
        <v>6695.57</v>
      </c>
      <c r="V10" s="75" t="n">
        <v>6862</v>
      </c>
      <c r="W10" s="75" t="n">
        <v>7042.71</v>
      </c>
      <c r="X10" s="76" t="n">
        <v>7280.48</v>
      </c>
      <c r="Y10" s="77" t="s">
        <v>20</v>
      </c>
      <c r="Z10" s="78" t="n">
        <f aca="false">SUM(AA10:AL10)</f>
        <v>30618.45</v>
      </c>
      <c r="AA10" s="75"/>
      <c r="AB10" s="75"/>
      <c r="AC10" s="75"/>
      <c r="AD10" s="75" t="n">
        <v>6846</v>
      </c>
      <c r="AE10" s="75" t="n">
        <v>3780</v>
      </c>
      <c r="AF10" s="75"/>
      <c r="AG10" s="75" t="n">
        <v>7118.85</v>
      </c>
      <c r="AH10" s="75"/>
      <c r="AI10" s="75" t="n">
        <v>5970</v>
      </c>
      <c r="AJ10" s="75"/>
      <c r="AK10" s="75" t="n">
        <v>6903.6</v>
      </c>
      <c r="AL10" s="76"/>
      <c r="AM10" s="56" t="s">
        <v>20</v>
      </c>
      <c r="AN10" s="80" t="n">
        <f aca="false">IF(L10=0,0,Z10/L10)</f>
        <v>0.406894946021231</v>
      </c>
      <c r="AO10" s="81" t="str">
        <f aca="false">IF(AN10="","",IF(AN10&gt;=0.9,"🟢",IF(AN10&gt;=0.7,"🟡",IF(AN10&gt;=0.5,"🟠","🔴"))))</f>
        <v>🔴</v>
      </c>
      <c r="AP10" s="82" t="n">
        <f aca="false">IF(L10=0,0,L10-Z10)</f>
        <v>44630.58</v>
      </c>
      <c r="AQ10" s="83" t="n">
        <f aca="false">IF(AP10=0,"",RANK(AP10,AP$4:AP$503,0))</f>
        <v>7</v>
      </c>
      <c r="AR10" s="84" t="s">
        <v>20</v>
      </c>
      <c r="AS10" s="85" t="s">
        <v>131</v>
      </c>
      <c r="AT10" s="86" t="n">
        <f aca="false">COUNTIF(C$4:C$503,AS10)</f>
        <v>0</v>
      </c>
      <c r="AU10" s="87" t="n">
        <f aca="false">COUNTIFS(C$4:C$503,AS10,Z$4:Z$503,"&gt;0")</f>
        <v>0</v>
      </c>
      <c r="AV10" s="88" t="n">
        <f aca="false">SUMIF(C$4:C$503,AS10,L$4:L$503)</f>
        <v>0</v>
      </c>
      <c r="AW10" s="88" t="n">
        <f aca="false">SUMIF(C$4:C$503,AS10,Z$4:Z$503)</f>
        <v>0</v>
      </c>
      <c r="AX10" s="89" t="n">
        <f aca="false">IF(AV10=0,0,AW10/AV10)</f>
        <v>0</v>
      </c>
      <c r="AY10" s="90" t="str">
        <f aca="false">IF(AX10&gt;=0.6,"🟢 VERDE",IF(AX10&gt;=0.4,"🟡 AMARELO",IF(AX10&gt;=0.01,"🔴 VERMELHO","🟣 ROXO")))</f>
        <v>🟣 ROXO</v>
      </c>
      <c r="AZ10" s="90" t="str">
        <f aca="false">IF(AX10&gt;=0.6,"JBP",IF(AX10&gt;=0.4,"Sell Out",IF(AX10&gt;=0.1,"Positivação + Expandir",IF(AX10&gt;=0.01,"Ativar + Prospectar","Mapear + Prospectar"))))</f>
        <v>Mapear + Prospectar</v>
      </c>
      <c r="BA10" s="56" t="s">
        <v>20</v>
      </c>
      <c r="BB10" s="91" t="n">
        <f aca="false">SUM(L$4:L$503)/COUNTA(A$4:A$503)</f>
        <v>9494.39992</v>
      </c>
      <c r="BC10" s="92" t="n">
        <f aca="false">SUM(M$4:M$503)/COUNTA(A$4:A$503)</f>
        <v>667.20008</v>
      </c>
      <c r="BD10" s="92" t="n">
        <f aca="false">SUM(N$4:N$503)/COUNTA(A$4:A$503)</f>
        <v>697.19996</v>
      </c>
      <c r="BE10" s="92" t="n">
        <f aca="false">SUM(O$4:O$503)/COUNTA(A$4:A$503)</f>
        <v>713.9999</v>
      </c>
      <c r="BF10" s="92" t="n">
        <f aca="false">SUM(P$4:P$503)/COUNTA(A$4:A$503)</f>
        <v>732.59984</v>
      </c>
      <c r="BG10" s="92" t="n">
        <f aca="false">SUM(Q$4:Q$503)/COUNTA(A$4:A$503)</f>
        <v>756.59992</v>
      </c>
      <c r="BH10" s="92" t="n">
        <f aca="false">SUM(R$4:R$503)/COUNTA(A$4:A$503)</f>
        <v>776.40004</v>
      </c>
      <c r="BI10" s="92" t="n">
        <f aca="false">SUM(S$4:S$503)/COUNTA(A$4:A$503)</f>
        <v>806.40012</v>
      </c>
      <c r="BJ10" s="92" t="n">
        <f aca="false">SUM(T$4:T$503)/COUNTA(A$4:A$503)</f>
        <v>826.1999</v>
      </c>
      <c r="BK10" s="92" t="n">
        <f aca="false">SUM(U$4:U$503)/COUNTA(A$4:A$503)</f>
        <v>844.8002</v>
      </c>
      <c r="BL10" s="92" t="n">
        <f aca="false">SUM(V$4:V$503)/COUNTA(A$4:A$503)</f>
        <v>865.7998</v>
      </c>
      <c r="BM10" s="92" t="n">
        <f aca="false">SUM(W$4:W$503)/COUNTA(A$4:A$503)</f>
        <v>888.59982</v>
      </c>
      <c r="BN10" s="93" t="n">
        <f aca="false">SUM(X$4:X$503)/COUNTA(A$4:A$503)</f>
        <v>918.60034</v>
      </c>
      <c r="BO10" s="94" t="s">
        <v>20</v>
      </c>
      <c r="BP10" s="91" t="n">
        <f aca="false">IF(Z10&gt;=BB10,0,IFERROR(BB10+(SUMPRODUCT((Z$4:Z$503&gt;=BB$4:BB$503)*(Z$4:Z$503-BB$4:BB$503))/MAX(1,COUNTIF(Z$4:Z$503,"&lt;"&amp;BB10+0.01))),BB10))</f>
        <v>0</v>
      </c>
      <c r="BQ10" s="92" t="n">
        <f aca="false">IF(AA10&gt;=BC10,0,IFERROR(BC10+SUMPRODUCT((AA$4:AA$503&gt;=BC$4:BC$503)*(AA$4:AA$503-BC$4:BC$503))/MAX(1,COUNTIF(AA$4:AA$503,"&lt;"&amp;BC10+0.01)),BC10))</f>
        <v>2238.46589176471</v>
      </c>
      <c r="BR10" s="92" t="n">
        <f aca="false">IF(AB10&gt;=BD10,0,IFERROR(BD10+SUMPRODUCT((AB$4:AB$503&gt;=BD$4:BD$503)*(AB$4:AB$503-BD$4:BD$503))/MAX(1,COUNTIF(AB$4:AB$503,"&lt;"&amp;BD10+0.01)),BD10))</f>
        <v>3335.2938</v>
      </c>
      <c r="BS10" s="92" t="n">
        <f aca="false">IF(AC10&gt;=BE10,0,IFERROR(BE10+SUMPRODUCT((AC$4:AC$503&gt;=BE$4:BE$503)*(AC$4:AC$503-BE$4:BE$503))/MAX(1,COUNTIF(AC$4:AC$503,"&lt;"&amp;BE10+0.01)),BE10))</f>
        <v>6188.73352</v>
      </c>
      <c r="BT10" s="92" t="n">
        <f aca="false">IF(AD10&gt;=BF10,0,IFERROR(BF10+SUMPRODUCT((AD$4:AD$503&gt;=BF$4:BF$503)*(AD$4:AD$503-BF$4:BF$503))/MAX(1,COUNTIF(AD$4:AD$503,"&lt;"&amp;BF10+0.01)),BF10))</f>
        <v>0</v>
      </c>
      <c r="BU10" s="92" t="n">
        <f aca="false">IF(AE10&gt;=BG10,0,IFERROR(BG10+SUMPRODUCT((AE$4:AE$503&gt;=BG$4:BG$503)*(AE$4:AE$503-BG$4:BG$503))/MAX(1,COUNTIF(AE$4:AE$503,"&lt;"&amp;BG10+0.01)),BG10))</f>
        <v>0</v>
      </c>
      <c r="BV10" s="92" t="n">
        <f aca="false">IF(AF10&gt;=BH10,0,IFERROR(BH10+SUMPRODUCT((AF$4:AF$503&gt;=BH$4:BH$503)*(AF$4:AF$503-BH$4:BH$503))/MAX(1,COUNTIF(AF$4:AF$503,"&lt;"&amp;BH10+0.01)),BH10))</f>
        <v>9942.6503831579</v>
      </c>
      <c r="BW10" s="92" t="n">
        <f aca="false">IF(AG10&gt;=BI10,0,IFERROR(BI10+SUMPRODUCT((AG$4:AG$503&gt;=BI$4:BI$503)*(AG$4:AG$503-BI$4:BI$503))/MAX(1,COUNTIF(AG$4:AG$503,"&lt;"&amp;BI10+0.01)),BI10))</f>
        <v>0</v>
      </c>
      <c r="BX10" s="92" t="n">
        <f aca="false">IF(AH10&gt;=BJ10,0,IFERROR(BJ10+SUMPRODUCT((AH$4:AH$503&gt;=BJ$4:BJ$503)*(AH$4:AH$503-BJ$4:BJ$503))/MAX(1,COUNTIF(AH$4:AH$503,"&lt;"&amp;BJ10+0.01)),BJ10))</f>
        <v>5621.50263448276</v>
      </c>
      <c r="BY10" s="92" t="n">
        <f aca="false">IF(AI10&gt;=BK10,0,IFERROR(BK10+SUMPRODUCT((AI$4:AI$503&gt;=BK$4:BK$503)*(AI$4:AI$503-BK$4:BK$503))/MAX(1,COUNTIF(AI$4:AI$503,"&lt;"&amp;BK10+0.01)),BK10))</f>
        <v>0</v>
      </c>
      <c r="BZ10" s="92" t="n">
        <f aca="false">IF(AJ10&gt;=BL10,0,IFERROR(BL10+SUMPRODUCT((AJ$4:AJ$503&gt;=BL$4:BL$503)*(AJ$4:AJ$503-BL$4:BL$503))/MAX(1,COUNTIF(AJ$4:AJ$503,"&lt;"&amp;BL10+0.01)),BL10))</f>
        <v>6710.03292307692</v>
      </c>
      <c r="CA10" s="92" t="n">
        <f aca="false">IF(AK10&gt;=BM10,0,IFERROR(BM10+SUMPRODUCT((AK$4:AK$503&gt;=BM$4:BM$503)*(AK$4:AK$503-BM$4:BM$503))/MAX(1,COUNTIF(AK$4:AK$503,"&lt;"&amp;BM10+0.01)),BM10))</f>
        <v>0</v>
      </c>
      <c r="CB10" s="93" t="n">
        <f aca="false">IF(AL10&gt;=BN10,0,IFERROR(BN10+SUMPRODUCT((AL$4:AL$503&gt;=BN$4:BN$503)*(AL$4:AL$503-BN$4:BN$503))/MAX(1,COUNTIF(AL$4:AL$503,"&lt;"&amp;BN10+0.01)),BN10))</f>
        <v>3597.2614925</v>
      </c>
      <c r="CC10" s="95" t="str">
        <f aca="false">IF(AO10="🟢","VERDE",IF(AO10="🟡","AMARELO",IF(AO10="🟠","VERMELHO",IF(AO10="🔴","VERMELHO","ROXO"))))</f>
        <v>VERMELHO</v>
      </c>
      <c r="CD10" s="96" t="s">
        <v>103</v>
      </c>
      <c r="CE10" s="96" t="s">
        <v>104</v>
      </c>
    </row>
    <row r="11" customFormat="false" ht="14.25" hidden="false" customHeight="true" outlineLevel="0" collapsed="false">
      <c r="A11" s="65" t="s">
        <v>132</v>
      </c>
      <c r="B11" s="66" t="s">
        <v>133</v>
      </c>
      <c r="C11" s="67" t="s">
        <v>118</v>
      </c>
      <c r="D11" s="68" t="s">
        <v>100</v>
      </c>
      <c r="E11" s="69" t="s">
        <v>119</v>
      </c>
      <c r="F11" s="70" t="n">
        <f aca="false">IFERROR(VLOOKUP(C11,$AS$3:$AT$10,2,FALSE()),IFERROR(VLOOKUP(C11,$AS$15:$AT$22,2,FALSE()),""))</f>
        <v>42</v>
      </c>
      <c r="G11" s="71" t="n">
        <f aca="false">IFERROR(VLOOKUP(C11,$AS$3:$AX$10,6,FALSE()),IFERROR(VLOOKUP(C11,$AS$15:$AX$22,6,FALSE()),""))</f>
        <v>0.424872083346704</v>
      </c>
      <c r="H11" s="72" t="str">
        <f aca="false">IFERROR(VLOOKUP(C11,$AS$3:$AY$10,7,FALSE()),IFERROR(VLOOKUP(C11,$AS$15:$AY$22,7,FALSE()),""))</f>
        <v>🟡 AMARELO</v>
      </c>
      <c r="I11" s="72" t="str">
        <f aca="false">IFERROR(VLOOKUP(C11,$AS$3:$AZ$10,8,FALSE()),IFERROR(VLOOKUP(C11,$AS$15:$AZ$22,8,FALSE()),""))</f>
        <v>Sell Out</v>
      </c>
      <c r="J11" s="73"/>
      <c r="K11" s="69" t="s">
        <v>118</v>
      </c>
      <c r="L11" s="74" t="n">
        <v>64642.76</v>
      </c>
      <c r="M11" s="75" t="n">
        <v>4542.64</v>
      </c>
      <c r="N11" s="75" t="n">
        <v>4746.9</v>
      </c>
      <c r="O11" s="75" t="n">
        <v>4861.28</v>
      </c>
      <c r="P11" s="75" t="n">
        <v>4987.92</v>
      </c>
      <c r="Q11" s="75" t="n">
        <v>5151.32</v>
      </c>
      <c r="R11" s="75" t="n">
        <v>5286.13</v>
      </c>
      <c r="S11" s="75" t="n">
        <v>5490.39</v>
      </c>
      <c r="T11" s="75" t="n">
        <v>5625.19</v>
      </c>
      <c r="U11" s="75" t="n">
        <v>5751.83</v>
      </c>
      <c r="V11" s="75" t="n">
        <v>5894.81</v>
      </c>
      <c r="W11" s="75" t="n">
        <v>6050.05</v>
      </c>
      <c r="X11" s="76" t="n">
        <v>6254.3</v>
      </c>
      <c r="Y11" s="77" t="s">
        <v>20</v>
      </c>
      <c r="Z11" s="78" t="n">
        <f aca="false">SUM(AA11:AL11)</f>
        <v>27305.35</v>
      </c>
      <c r="AA11" s="75"/>
      <c r="AB11" s="75"/>
      <c r="AC11" s="79" t="n">
        <v>4155.84</v>
      </c>
      <c r="AD11" s="79" t="n">
        <v>3082.89</v>
      </c>
      <c r="AE11" s="79" t="n">
        <v>5621.77</v>
      </c>
      <c r="AF11" s="75"/>
      <c r="AG11" s="79" t="n">
        <v>4988.89</v>
      </c>
      <c r="AH11" s="79" t="n">
        <v>2571.82</v>
      </c>
      <c r="AI11" s="75"/>
      <c r="AJ11" s="79" t="n">
        <v>4770.31</v>
      </c>
      <c r="AK11" s="79" t="n">
        <v>2113.83</v>
      </c>
      <c r="AL11" s="76"/>
      <c r="AM11" s="56" t="s">
        <v>20</v>
      </c>
      <c r="AN11" s="80" t="n">
        <f aca="false">IF(L11=0,0,Z11/L11)</f>
        <v>0.42240383919251</v>
      </c>
      <c r="AO11" s="81" t="str">
        <f aca="false">IF(AN11="","",IF(AN11&gt;=0.9,"🟢",IF(AN11&gt;=0.7,"🟡",IF(AN11&gt;=0.5,"🟠","🔴"))))</f>
        <v>🔴</v>
      </c>
      <c r="AP11" s="82" t="n">
        <f aca="false">IF(L11=0,0,L11-Z11)</f>
        <v>37337.41</v>
      </c>
      <c r="AQ11" s="83" t="n">
        <f aca="false">IF(AP11=0,"",RANK(AP11,AP$4:AP$503,0))</f>
        <v>8</v>
      </c>
      <c r="AR11" s="84" t="s">
        <v>20</v>
      </c>
      <c r="AS11" s="97" t="s">
        <v>134</v>
      </c>
      <c r="AT11" s="98"/>
      <c r="AU11" s="99" t="n">
        <f aca="false">SUM(AU3:AU10)</f>
        <v>109</v>
      </c>
      <c r="AV11" s="85" t="n">
        <f aca="false">SUM(AV3:AV10)</f>
        <v>661617.52</v>
      </c>
      <c r="AW11" s="100" t="n">
        <f aca="false">SUM(AW3:AW10)</f>
        <v>336242.73</v>
      </c>
      <c r="AX11" s="101" t="n">
        <f aca="false">IF(AV11=0,0,AW11/AV11)</f>
        <v>0.508213159167853</v>
      </c>
      <c r="AY11" s="102"/>
      <c r="AZ11" s="103"/>
      <c r="BA11" s="56" t="s">
        <v>20</v>
      </c>
      <c r="BB11" s="91" t="n">
        <f aca="false">SUM(L$4:L$503)/COUNTA(A$4:A$503)</f>
        <v>9494.39992</v>
      </c>
      <c r="BC11" s="92" t="n">
        <f aca="false">SUM(M$4:M$503)/COUNTA(A$4:A$503)</f>
        <v>667.20008</v>
      </c>
      <c r="BD11" s="92" t="n">
        <f aca="false">SUM(N$4:N$503)/COUNTA(A$4:A$503)</f>
        <v>697.19996</v>
      </c>
      <c r="BE11" s="92" t="n">
        <f aca="false">SUM(O$4:O$503)/COUNTA(A$4:A$503)</f>
        <v>713.9999</v>
      </c>
      <c r="BF11" s="92" t="n">
        <f aca="false">SUM(P$4:P$503)/COUNTA(A$4:A$503)</f>
        <v>732.59984</v>
      </c>
      <c r="BG11" s="92" t="n">
        <f aca="false">SUM(Q$4:Q$503)/COUNTA(A$4:A$503)</f>
        <v>756.59992</v>
      </c>
      <c r="BH11" s="92" t="n">
        <f aca="false">SUM(R$4:R$503)/COUNTA(A$4:A$503)</f>
        <v>776.40004</v>
      </c>
      <c r="BI11" s="92" t="n">
        <f aca="false">SUM(S$4:S$503)/COUNTA(A$4:A$503)</f>
        <v>806.40012</v>
      </c>
      <c r="BJ11" s="92" t="n">
        <f aca="false">SUM(T$4:T$503)/COUNTA(A$4:A$503)</f>
        <v>826.1999</v>
      </c>
      <c r="BK11" s="92" t="n">
        <f aca="false">SUM(U$4:U$503)/COUNTA(A$4:A$503)</f>
        <v>844.8002</v>
      </c>
      <c r="BL11" s="92" t="n">
        <f aca="false">SUM(V$4:V$503)/COUNTA(A$4:A$503)</f>
        <v>865.7998</v>
      </c>
      <c r="BM11" s="92" t="n">
        <f aca="false">SUM(W$4:W$503)/COUNTA(A$4:A$503)</f>
        <v>888.59982</v>
      </c>
      <c r="BN11" s="93" t="n">
        <f aca="false">SUM(X$4:X$503)/COUNTA(A$4:A$503)</f>
        <v>918.60034</v>
      </c>
      <c r="BO11" s="94" t="s">
        <v>20</v>
      </c>
      <c r="BP11" s="91" t="n">
        <f aca="false">IF(Z11&gt;=BB11,0,IFERROR(BB11+(SUMPRODUCT((Z$4:Z$503&gt;=BB$4:BB$503)*(Z$4:Z$503-BB$4:BB$503))/MAX(1,COUNTIF(Z$4:Z$503,"&lt;"&amp;BB11+0.01))),BB11))</f>
        <v>0</v>
      </c>
      <c r="BQ11" s="92" t="n">
        <f aca="false">IF(AA11&gt;=BC11,0,IFERROR(BC11+SUMPRODUCT((AA$4:AA$503&gt;=BC$4:BC$503)*(AA$4:AA$503-BC$4:BC$503))/MAX(1,COUNTIF(AA$4:AA$503,"&lt;"&amp;BC11+0.01)),BC11))</f>
        <v>2238.46589176471</v>
      </c>
      <c r="BR11" s="92" t="n">
        <f aca="false">IF(AB11&gt;=BD11,0,IFERROR(BD11+SUMPRODUCT((AB$4:AB$503&gt;=BD$4:BD$503)*(AB$4:AB$503-BD$4:BD$503))/MAX(1,COUNTIF(AB$4:AB$503,"&lt;"&amp;BD11+0.01)),BD11))</f>
        <v>3335.2938</v>
      </c>
      <c r="BS11" s="92" t="n">
        <f aca="false">IF(AC11&gt;=BE11,0,IFERROR(BE11+SUMPRODUCT((AC$4:AC$503&gt;=BE$4:BE$503)*(AC$4:AC$503-BE$4:BE$503))/MAX(1,COUNTIF(AC$4:AC$503,"&lt;"&amp;BE11+0.01)),BE11))</f>
        <v>0</v>
      </c>
      <c r="BT11" s="92" t="n">
        <f aca="false">IF(AD11&gt;=BF11,0,IFERROR(BF11+SUMPRODUCT((AD$4:AD$503&gt;=BF$4:BF$503)*(AD$4:AD$503-BF$4:BF$503))/MAX(1,COUNTIF(AD$4:AD$503,"&lt;"&amp;BF11+0.01)),BF11))</f>
        <v>0</v>
      </c>
      <c r="BU11" s="92" t="n">
        <f aca="false">IF(AE11&gt;=BG11,0,IFERROR(BG11+SUMPRODUCT((AE$4:AE$503&gt;=BG$4:BG$503)*(AE$4:AE$503-BG$4:BG$503))/MAX(1,COUNTIF(AE$4:AE$503,"&lt;"&amp;BG11+0.01)),BG11))</f>
        <v>0</v>
      </c>
      <c r="BV11" s="92" t="n">
        <f aca="false">IF(AF11&gt;=BH11,0,IFERROR(BH11+SUMPRODUCT((AF$4:AF$503&gt;=BH$4:BH$503)*(AF$4:AF$503-BH$4:BH$503))/MAX(1,COUNTIF(AF$4:AF$503,"&lt;"&amp;BH11+0.01)),BH11))</f>
        <v>9942.6503831579</v>
      </c>
      <c r="BW11" s="92" t="n">
        <f aca="false">IF(AG11&gt;=BI11,0,IFERROR(BI11+SUMPRODUCT((AG$4:AG$503&gt;=BI$4:BI$503)*(AG$4:AG$503-BI$4:BI$503))/MAX(1,COUNTIF(AG$4:AG$503,"&lt;"&amp;BI11+0.01)),BI11))</f>
        <v>0</v>
      </c>
      <c r="BX11" s="92" t="n">
        <f aca="false">IF(AH11&gt;=BJ11,0,IFERROR(BJ11+SUMPRODUCT((AH$4:AH$503&gt;=BJ$4:BJ$503)*(AH$4:AH$503-BJ$4:BJ$503))/MAX(1,COUNTIF(AH$4:AH$503,"&lt;"&amp;BJ11+0.01)),BJ11))</f>
        <v>0</v>
      </c>
      <c r="BY11" s="92" t="n">
        <f aca="false">IF(AI11&gt;=BK11,0,IFERROR(BK11+SUMPRODUCT((AI$4:AI$503&gt;=BK$4:BK$503)*(AI$4:AI$503-BK$4:BK$503))/MAX(1,COUNTIF(AI$4:AI$503,"&lt;"&amp;BK11+0.01)),BK11))</f>
        <v>7878.25652380952</v>
      </c>
      <c r="BZ11" s="92" t="n">
        <f aca="false">IF(AJ11&gt;=BL11,0,IFERROR(BL11+SUMPRODUCT((AJ$4:AJ$503&gt;=BL$4:BL$503)*(AJ$4:AJ$503-BL$4:BL$503))/MAX(1,COUNTIF(AJ$4:AJ$503,"&lt;"&amp;BL11+0.01)),BL11))</f>
        <v>0</v>
      </c>
      <c r="CA11" s="92" t="n">
        <f aca="false">IF(AK11&gt;=BM11,0,IFERROR(BM11+SUMPRODUCT((AK$4:AK$503&gt;=BM$4:BM$503)*(AK$4:AK$503-BM$4:BM$503))/MAX(1,COUNTIF(AK$4:AK$503,"&lt;"&amp;BM11+0.01)),BM11))</f>
        <v>0</v>
      </c>
      <c r="CB11" s="93" t="n">
        <f aca="false">IF(AL11&gt;=BN11,0,IFERROR(BN11+SUMPRODUCT((AL$4:AL$503&gt;=BN$4:BN$503)*(AL$4:AL$503-BN$4:BN$503))/MAX(1,COUNTIF(AL$4:AL$503,"&lt;"&amp;BN11+0.01)),BN11))</f>
        <v>3597.2614925</v>
      </c>
      <c r="CC11" s="95" t="str">
        <f aca="false">IF(AO11="🟢","VERDE",IF(AO11="🟡","AMARELO",IF(AO11="🟠","VERMELHO",IF(AO11="🔴","VERMELHO","ROXO"))))</f>
        <v>VERMELHO</v>
      </c>
      <c r="CD11" s="96" t="s">
        <v>103</v>
      </c>
      <c r="CE11" s="96" t="s">
        <v>104</v>
      </c>
    </row>
    <row r="12" customFormat="false" ht="14.25" hidden="false" customHeight="true" outlineLevel="0" collapsed="false">
      <c r="A12" s="65" t="s">
        <v>135</v>
      </c>
      <c r="B12" s="66" t="s">
        <v>136</v>
      </c>
      <c r="C12" s="67" t="s">
        <v>107</v>
      </c>
      <c r="D12" s="68" t="s">
        <v>108</v>
      </c>
      <c r="E12" s="69" t="s">
        <v>109</v>
      </c>
      <c r="F12" s="70" t="n">
        <f aca="false">IFERROR(VLOOKUP(C12,$AS$3:$AT$10,2,FALSE()),IFERROR(VLOOKUP(C12,$AS$15:$AT$22,2,FALSE()),""))</f>
        <v>132</v>
      </c>
      <c r="G12" s="71" t="n">
        <f aca="false">IFERROR(VLOOKUP(C12,$AS$3:$AX$10,6,FALSE()),IFERROR(VLOOKUP(C12,$AS$15:$AX$22,6,FALSE()),""))</f>
        <v>0.468190175850689</v>
      </c>
      <c r="H12" s="72" t="str">
        <f aca="false">IFERROR(VLOOKUP(C12,$AS$3:$AY$10,7,FALSE()),IFERROR(VLOOKUP(C12,$AS$15:$AY$22,7,FALSE()),""))</f>
        <v>🟡 AMARELO</v>
      </c>
      <c r="I12" s="72" t="str">
        <f aca="false">IFERROR(VLOOKUP(C12,$AS$3:$AZ$10,8,FALSE()),IFERROR(VLOOKUP(C12,$AS$15:$AZ$22,8,FALSE()),""))</f>
        <v>Sell Out</v>
      </c>
      <c r="J12" s="73"/>
      <c r="K12" s="69" t="s">
        <v>107</v>
      </c>
      <c r="L12" s="74" t="n">
        <v>64453.39</v>
      </c>
      <c r="M12" s="75" t="n">
        <v>4529.33</v>
      </c>
      <c r="N12" s="75" t="n">
        <v>4732.99</v>
      </c>
      <c r="O12" s="75" t="n">
        <v>4847.04</v>
      </c>
      <c r="P12" s="75" t="n">
        <v>4973.31</v>
      </c>
      <c r="Q12" s="75" t="n">
        <v>5136.23</v>
      </c>
      <c r="R12" s="75" t="n">
        <v>5270.65</v>
      </c>
      <c r="S12" s="75" t="n">
        <v>5474.3</v>
      </c>
      <c r="T12" s="75" t="n">
        <v>5608.72</v>
      </c>
      <c r="U12" s="75" t="n">
        <v>5734.98</v>
      </c>
      <c r="V12" s="75" t="n">
        <v>5877.54</v>
      </c>
      <c r="W12" s="75" t="n">
        <v>6032.32</v>
      </c>
      <c r="X12" s="76" t="n">
        <v>6235.98</v>
      </c>
      <c r="Y12" s="77" t="s">
        <v>20</v>
      </c>
      <c r="Z12" s="78" t="n">
        <f aca="false">SUM(AA12:AL12)</f>
        <v>27788.43</v>
      </c>
      <c r="AA12" s="75"/>
      <c r="AB12" s="75"/>
      <c r="AC12" s="75"/>
      <c r="AD12" s="75"/>
      <c r="AE12" s="75"/>
      <c r="AF12" s="79" t="n">
        <v>27788.43</v>
      </c>
      <c r="AG12" s="75"/>
      <c r="AH12" s="75"/>
      <c r="AI12" s="75"/>
      <c r="AJ12" s="75"/>
      <c r="AK12" s="75"/>
      <c r="AL12" s="76"/>
      <c r="AM12" s="56" t="s">
        <v>20</v>
      </c>
      <c r="AN12" s="80" t="n">
        <f aca="false">IF(L12=0,0,Z12/L12)</f>
        <v>0.431139929179831</v>
      </c>
      <c r="AO12" s="81" t="str">
        <f aca="false">IF(AN12="","",IF(AN12&gt;=0.9,"🟢",IF(AN12&gt;=0.7,"🟡",IF(AN12&gt;=0.5,"🟠","🔴"))))</f>
        <v>🔴</v>
      </c>
      <c r="AP12" s="82" t="n">
        <f aca="false">IF(L12=0,0,L12-Z12)</f>
        <v>36664.96</v>
      </c>
      <c r="AQ12" s="83" t="n">
        <f aca="false">IF(AP12=0,"",RANK(AP12,AP$4:AP$503,0))</f>
        <v>9</v>
      </c>
      <c r="AR12" s="84" t="s">
        <v>20</v>
      </c>
      <c r="AS12" s="104"/>
      <c r="AT12" s="98"/>
      <c r="AU12" s="105"/>
      <c r="AV12" s="98"/>
      <c r="AW12" s="98"/>
      <c r="AX12" s="98"/>
      <c r="AY12" s="102"/>
      <c r="AZ12" s="103"/>
      <c r="BA12" s="56" t="s">
        <v>20</v>
      </c>
      <c r="BB12" s="91" t="n">
        <f aca="false">SUM(L$4:L$503)/COUNTA(A$4:A$503)</f>
        <v>9494.39992</v>
      </c>
      <c r="BC12" s="92" t="n">
        <f aca="false">SUM(M$4:M$503)/COUNTA(A$4:A$503)</f>
        <v>667.20008</v>
      </c>
      <c r="BD12" s="92" t="n">
        <f aca="false">SUM(N$4:N$503)/COUNTA(A$4:A$503)</f>
        <v>697.19996</v>
      </c>
      <c r="BE12" s="92" t="n">
        <f aca="false">SUM(O$4:O$503)/COUNTA(A$4:A$503)</f>
        <v>713.9999</v>
      </c>
      <c r="BF12" s="92" t="n">
        <f aca="false">SUM(P$4:P$503)/COUNTA(A$4:A$503)</f>
        <v>732.59984</v>
      </c>
      <c r="BG12" s="92" t="n">
        <f aca="false">SUM(Q$4:Q$503)/COUNTA(A$4:A$503)</f>
        <v>756.59992</v>
      </c>
      <c r="BH12" s="92" t="n">
        <f aca="false">SUM(R$4:R$503)/COUNTA(A$4:A$503)</f>
        <v>776.40004</v>
      </c>
      <c r="BI12" s="92" t="n">
        <f aca="false">SUM(S$4:S$503)/COUNTA(A$4:A$503)</f>
        <v>806.40012</v>
      </c>
      <c r="BJ12" s="92" t="n">
        <f aca="false">SUM(T$4:T$503)/COUNTA(A$4:A$503)</f>
        <v>826.1999</v>
      </c>
      <c r="BK12" s="92" t="n">
        <f aca="false">SUM(U$4:U$503)/COUNTA(A$4:A$503)</f>
        <v>844.8002</v>
      </c>
      <c r="BL12" s="92" t="n">
        <f aca="false">SUM(V$4:V$503)/COUNTA(A$4:A$503)</f>
        <v>865.7998</v>
      </c>
      <c r="BM12" s="92" t="n">
        <f aca="false">SUM(W$4:W$503)/COUNTA(A$4:A$503)</f>
        <v>888.59982</v>
      </c>
      <c r="BN12" s="93" t="n">
        <f aca="false">SUM(X$4:X$503)/COUNTA(A$4:A$503)</f>
        <v>918.60034</v>
      </c>
      <c r="BO12" s="94" t="s">
        <v>20</v>
      </c>
      <c r="BP12" s="91" t="n">
        <f aca="false">IF(Z12&gt;=BB12,0,IFERROR(BB12+(SUMPRODUCT((Z$4:Z$503&gt;=BB$4:BB$503)*(Z$4:Z$503-BB$4:BB$503))/MAX(1,COUNTIF(Z$4:Z$503,"&lt;"&amp;BB12+0.01))),BB12))</f>
        <v>0</v>
      </c>
      <c r="BQ12" s="92" t="n">
        <f aca="false">IF(AA12&gt;=BC12,0,IFERROR(BC12+SUMPRODUCT((AA$4:AA$503&gt;=BC$4:BC$503)*(AA$4:AA$503-BC$4:BC$503))/MAX(1,COUNTIF(AA$4:AA$503,"&lt;"&amp;BC12+0.01)),BC12))</f>
        <v>2238.46589176471</v>
      </c>
      <c r="BR12" s="92" t="n">
        <f aca="false">IF(AB12&gt;=BD12,0,IFERROR(BD12+SUMPRODUCT((AB$4:AB$503&gt;=BD$4:BD$503)*(AB$4:AB$503-BD$4:BD$503))/MAX(1,COUNTIF(AB$4:AB$503,"&lt;"&amp;BD12+0.01)),BD12))</f>
        <v>3335.2938</v>
      </c>
      <c r="BS12" s="92" t="n">
        <f aca="false">IF(AC12&gt;=BE12,0,IFERROR(BE12+SUMPRODUCT((AC$4:AC$503&gt;=BE$4:BE$503)*(AC$4:AC$503-BE$4:BE$503))/MAX(1,COUNTIF(AC$4:AC$503,"&lt;"&amp;BE12+0.01)),BE12))</f>
        <v>6188.73352</v>
      </c>
      <c r="BT12" s="92" t="n">
        <f aca="false">IF(AD12&gt;=BF12,0,IFERROR(BF12+SUMPRODUCT((AD$4:AD$503&gt;=BF$4:BF$503)*(AD$4:AD$503-BF$4:BF$503))/MAX(1,COUNTIF(AD$4:AD$503,"&lt;"&amp;BF12+0.01)),BF12))</f>
        <v>11354.35411</v>
      </c>
      <c r="BU12" s="92" t="n">
        <f aca="false">IF(AE12&gt;=BG12,0,IFERROR(BG12+SUMPRODUCT((AE$4:AE$503&gt;=BG$4:BG$503)*(AE$4:AE$503-BG$4:BG$503))/MAX(1,COUNTIF(AE$4:AE$503,"&lt;"&amp;BG12+0.01)),BG12))</f>
        <v>7704.85920380952</v>
      </c>
      <c r="BV12" s="92" t="n">
        <f aca="false">IF(AF12&gt;=BH12,0,IFERROR(BH12+SUMPRODUCT((AF$4:AF$503&gt;=BH$4:BH$503)*(AF$4:AF$503-BH$4:BH$503))/MAX(1,COUNTIF(AF$4:AF$503,"&lt;"&amp;BH12+0.01)),BH12))</f>
        <v>0</v>
      </c>
      <c r="BW12" s="92" t="n">
        <f aca="false">IF(AG12&gt;=BI12,0,IFERROR(BI12+SUMPRODUCT((AG$4:AG$503&gt;=BI$4:BI$503)*(AG$4:AG$503-BI$4:BI$503))/MAX(1,COUNTIF(AG$4:AG$503,"&lt;"&amp;BI12+0.01)),BI12))</f>
        <v>9142.15870461538</v>
      </c>
      <c r="BX12" s="92" t="n">
        <f aca="false">IF(AH12&gt;=BJ12,0,IFERROR(BJ12+SUMPRODUCT((AH$4:AH$503&gt;=BJ$4:BJ$503)*(AH$4:AH$503-BJ$4:BJ$503))/MAX(1,COUNTIF(AH$4:AH$503,"&lt;"&amp;BJ12+0.01)),BJ12))</f>
        <v>5621.50263448276</v>
      </c>
      <c r="BY12" s="92" t="n">
        <f aca="false">IF(AI12&gt;=BK12,0,IFERROR(BK12+SUMPRODUCT((AI$4:AI$503&gt;=BK$4:BK$503)*(AI$4:AI$503-BK$4:BK$503))/MAX(1,COUNTIF(AI$4:AI$503,"&lt;"&amp;BK12+0.01)),BK12))</f>
        <v>7878.25652380952</v>
      </c>
      <c r="BZ12" s="92" t="n">
        <f aca="false">IF(AJ12&gt;=BL12,0,IFERROR(BL12+SUMPRODUCT((AJ$4:AJ$503&gt;=BL$4:BL$503)*(AJ$4:AJ$503-BL$4:BL$503))/MAX(1,COUNTIF(AJ$4:AJ$503,"&lt;"&amp;BL12+0.01)),BL12))</f>
        <v>6710.03292307692</v>
      </c>
      <c r="CA12" s="92" t="n">
        <f aca="false">IF(AK12&gt;=BM12,0,IFERROR(BM12+SUMPRODUCT((AK$4:AK$503&gt;=BM$4:BM$503)*(AK$4:AK$503-BM$4:BM$503))/MAX(1,COUNTIF(AK$4:AK$503,"&lt;"&amp;BM12+0.01)),BM12))</f>
        <v>7314.89836842105</v>
      </c>
      <c r="CB12" s="93" t="n">
        <f aca="false">IF(AL12&gt;=BN12,0,IFERROR(BN12+SUMPRODUCT((AL$4:AL$503&gt;=BN$4:BN$503)*(AL$4:AL$503-BN$4:BN$503))/MAX(1,COUNTIF(AL$4:AL$503,"&lt;"&amp;BN12+0.01)),BN12))</f>
        <v>3597.2614925</v>
      </c>
      <c r="CC12" s="95" t="str">
        <f aca="false">IF(AO12="🟢","VERDE",IF(AO12="🟡","AMARELO",IF(AO12="🟠","VERMELHO",IF(AO12="🔴","VERMELHO","ROXO"))))</f>
        <v>VERMELHO</v>
      </c>
      <c r="CD12" s="96" t="s">
        <v>103</v>
      </c>
      <c r="CE12" s="96" t="s">
        <v>104</v>
      </c>
    </row>
    <row r="13" customFormat="false" ht="14.25" hidden="false" customHeight="true" outlineLevel="0" collapsed="false">
      <c r="A13" s="65" t="s">
        <v>137</v>
      </c>
      <c r="B13" s="66" t="s">
        <v>138</v>
      </c>
      <c r="C13" s="67" t="s">
        <v>107</v>
      </c>
      <c r="D13" s="68" t="s">
        <v>108</v>
      </c>
      <c r="E13" s="69" t="s">
        <v>139</v>
      </c>
      <c r="F13" s="70" t="n">
        <f aca="false">IFERROR(VLOOKUP(C13,$AS$3:$AT$10,2,FALSE()),IFERROR(VLOOKUP(C13,$AS$15:$AT$22,2,FALSE()),""))</f>
        <v>132</v>
      </c>
      <c r="G13" s="71" t="n">
        <f aca="false">IFERROR(VLOOKUP(C13,$AS$3:$AX$10,6,FALSE()),IFERROR(VLOOKUP(C13,$AS$15:$AX$22,6,FALSE()),""))</f>
        <v>0.468190175850689</v>
      </c>
      <c r="H13" s="72" t="str">
        <f aca="false">IFERROR(VLOOKUP(C13,$AS$3:$AY$10,7,FALSE()),IFERROR(VLOOKUP(C13,$AS$15:$AY$22,7,FALSE()),""))</f>
        <v>🟡 AMARELO</v>
      </c>
      <c r="I13" s="72" t="str">
        <f aca="false">IFERROR(VLOOKUP(C13,$AS$3:$AZ$10,8,FALSE()),IFERROR(VLOOKUP(C13,$AS$15:$AZ$22,8,FALSE()),""))</f>
        <v>Sell Out</v>
      </c>
      <c r="J13" s="73"/>
      <c r="K13" s="69" t="s">
        <v>107</v>
      </c>
      <c r="L13" s="74" t="n">
        <v>57545.51</v>
      </c>
      <c r="M13" s="75" t="n">
        <v>4043.9</v>
      </c>
      <c r="N13" s="75" t="n">
        <v>4225.72</v>
      </c>
      <c r="O13" s="75" t="n">
        <v>4327.55</v>
      </c>
      <c r="P13" s="75" t="n">
        <v>4440.28</v>
      </c>
      <c r="Q13" s="75" t="n">
        <v>4585.75</v>
      </c>
      <c r="R13" s="75" t="n">
        <v>4705.76</v>
      </c>
      <c r="S13" s="75" t="n">
        <v>4887.59</v>
      </c>
      <c r="T13" s="75" t="n">
        <v>5007.59</v>
      </c>
      <c r="U13" s="75" t="n">
        <v>5120.33</v>
      </c>
      <c r="V13" s="75" t="n">
        <v>5247.61</v>
      </c>
      <c r="W13" s="75" t="n">
        <v>5385.8</v>
      </c>
      <c r="X13" s="76" t="n">
        <v>5567.63</v>
      </c>
      <c r="Y13" s="77" t="s">
        <v>20</v>
      </c>
      <c r="Z13" s="78" t="n">
        <f aca="false">SUM(AA13:AL13)</f>
        <v>35439.82</v>
      </c>
      <c r="AA13" s="75"/>
      <c r="AB13" s="75"/>
      <c r="AC13" s="75"/>
      <c r="AD13" s="75"/>
      <c r="AE13" s="75"/>
      <c r="AF13" s="75"/>
      <c r="AG13" s="79" t="n">
        <v>3467.83</v>
      </c>
      <c r="AH13" s="75"/>
      <c r="AI13" s="79" t="n">
        <v>12654.14</v>
      </c>
      <c r="AJ13" s="75" t="n">
        <v>9729.07</v>
      </c>
      <c r="AK13" s="79" t="n">
        <v>9588.78</v>
      </c>
      <c r="AL13" s="76"/>
      <c r="AM13" s="56" t="s">
        <v>20</v>
      </c>
      <c r="AN13" s="80" t="n">
        <f aca="false">IF(L13=0,0,Z13/L13)</f>
        <v>0.615857258020652</v>
      </c>
      <c r="AO13" s="81" t="str">
        <f aca="false">IF(AN13="","",IF(AN13&gt;=0.9,"🟢",IF(AN13&gt;=0.7,"🟡",IF(AN13&gt;=0.5,"🟠","🔴"))))</f>
        <v>🟠</v>
      </c>
      <c r="AP13" s="82" t="n">
        <f aca="false">IF(L13=0,0,L13-Z13)</f>
        <v>22105.69</v>
      </c>
      <c r="AQ13" s="83" t="n">
        <f aca="false">IF(AP13=0,"",RANK(AP13,AP$4:AP$503,0))</f>
        <v>17</v>
      </c>
      <c r="AR13" s="84" t="s">
        <v>20</v>
      </c>
      <c r="AS13" s="106" t="s">
        <v>140</v>
      </c>
      <c r="AT13" s="98"/>
      <c r="AU13" s="105"/>
      <c r="AV13" s="98"/>
      <c r="AW13" s="98"/>
      <c r="AX13" s="98"/>
      <c r="AY13" s="102"/>
      <c r="AZ13" s="103"/>
      <c r="BA13" s="56" t="s">
        <v>20</v>
      </c>
      <c r="BB13" s="91" t="n">
        <f aca="false">SUM(L$4:L$503)/COUNTA(A$4:A$503)</f>
        <v>9494.39992</v>
      </c>
      <c r="BC13" s="92" t="n">
        <f aca="false">SUM(M$4:M$503)/COUNTA(A$4:A$503)</f>
        <v>667.20008</v>
      </c>
      <c r="BD13" s="92" t="n">
        <f aca="false">SUM(N$4:N$503)/COUNTA(A$4:A$503)</f>
        <v>697.19996</v>
      </c>
      <c r="BE13" s="92" t="n">
        <f aca="false">SUM(O$4:O$503)/COUNTA(A$4:A$503)</f>
        <v>713.9999</v>
      </c>
      <c r="BF13" s="92" t="n">
        <f aca="false">SUM(P$4:P$503)/COUNTA(A$4:A$503)</f>
        <v>732.59984</v>
      </c>
      <c r="BG13" s="92" t="n">
        <f aca="false">SUM(Q$4:Q$503)/COUNTA(A$4:A$503)</f>
        <v>756.59992</v>
      </c>
      <c r="BH13" s="92" t="n">
        <f aca="false">SUM(R$4:R$503)/COUNTA(A$4:A$503)</f>
        <v>776.40004</v>
      </c>
      <c r="BI13" s="92" t="n">
        <f aca="false">SUM(S$4:S$503)/COUNTA(A$4:A$503)</f>
        <v>806.40012</v>
      </c>
      <c r="BJ13" s="92" t="n">
        <f aca="false">SUM(T$4:T$503)/COUNTA(A$4:A$503)</f>
        <v>826.1999</v>
      </c>
      <c r="BK13" s="92" t="n">
        <f aca="false">SUM(U$4:U$503)/COUNTA(A$4:A$503)</f>
        <v>844.8002</v>
      </c>
      <c r="BL13" s="92" t="n">
        <f aca="false">SUM(V$4:V$503)/COUNTA(A$4:A$503)</f>
        <v>865.7998</v>
      </c>
      <c r="BM13" s="92" t="n">
        <f aca="false">SUM(W$4:W$503)/COUNTA(A$4:A$503)</f>
        <v>888.59982</v>
      </c>
      <c r="BN13" s="93" t="n">
        <f aca="false">SUM(X$4:X$503)/COUNTA(A$4:A$503)</f>
        <v>918.60034</v>
      </c>
      <c r="BO13" s="94" t="s">
        <v>20</v>
      </c>
      <c r="BP13" s="91" t="n">
        <f aca="false">IF(Z13&gt;=BB13,0,IFERROR(BB13+(SUMPRODUCT((Z$4:Z$503&gt;=BB$4:BB$503)*(Z$4:Z$503-BB$4:BB$503))/MAX(1,COUNTIF(Z$4:Z$503,"&lt;"&amp;BB13+0.01))),BB13))</f>
        <v>0</v>
      </c>
      <c r="BQ13" s="92" t="n">
        <f aca="false">IF(AA13&gt;=BC13,0,IFERROR(BC13+SUMPRODUCT((AA$4:AA$503&gt;=BC$4:BC$503)*(AA$4:AA$503-BC$4:BC$503))/MAX(1,COUNTIF(AA$4:AA$503,"&lt;"&amp;BC13+0.01)),BC13))</f>
        <v>2238.46589176471</v>
      </c>
      <c r="BR13" s="92" t="n">
        <f aca="false">IF(AB13&gt;=BD13,0,IFERROR(BD13+SUMPRODUCT((AB$4:AB$503&gt;=BD$4:BD$503)*(AB$4:AB$503-BD$4:BD$503))/MAX(1,COUNTIF(AB$4:AB$503,"&lt;"&amp;BD13+0.01)),BD13))</f>
        <v>3335.2938</v>
      </c>
      <c r="BS13" s="92" t="n">
        <f aca="false">IF(AC13&gt;=BE13,0,IFERROR(BE13+SUMPRODUCT((AC$4:AC$503&gt;=BE$4:BE$503)*(AC$4:AC$503-BE$4:BE$503))/MAX(1,COUNTIF(AC$4:AC$503,"&lt;"&amp;BE13+0.01)),BE13))</f>
        <v>6188.73352</v>
      </c>
      <c r="BT13" s="92" t="n">
        <f aca="false">IF(AD13&gt;=BF13,0,IFERROR(BF13+SUMPRODUCT((AD$4:AD$503&gt;=BF$4:BF$503)*(AD$4:AD$503-BF$4:BF$503))/MAX(1,COUNTIF(AD$4:AD$503,"&lt;"&amp;BF13+0.01)),BF13))</f>
        <v>11354.35411</v>
      </c>
      <c r="BU13" s="92" t="n">
        <f aca="false">IF(AE13&gt;=BG13,0,IFERROR(BG13+SUMPRODUCT((AE$4:AE$503&gt;=BG$4:BG$503)*(AE$4:AE$503-BG$4:BG$503))/MAX(1,COUNTIF(AE$4:AE$503,"&lt;"&amp;BG13+0.01)),BG13))</f>
        <v>7704.85920380952</v>
      </c>
      <c r="BV13" s="92" t="n">
        <f aca="false">IF(AF13&gt;=BH13,0,IFERROR(BH13+SUMPRODUCT((AF$4:AF$503&gt;=BH$4:BH$503)*(AF$4:AF$503-BH$4:BH$503))/MAX(1,COUNTIF(AF$4:AF$503,"&lt;"&amp;BH13+0.01)),BH13))</f>
        <v>9942.6503831579</v>
      </c>
      <c r="BW13" s="92" t="n">
        <f aca="false">IF(AG13&gt;=BI13,0,IFERROR(BI13+SUMPRODUCT((AG$4:AG$503&gt;=BI$4:BI$503)*(AG$4:AG$503-BI$4:BI$503))/MAX(1,COUNTIF(AG$4:AG$503,"&lt;"&amp;BI13+0.01)),BI13))</f>
        <v>0</v>
      </c>
      <c r="BX13" s="92" t="n">
        <f aca="false">IF(AH13&gt;=BJ13,0,IFERROR(BJ13+SUMPRODUCT((AH$4:AH$503&gt;=BJ$4:BJ$503)*(AH$4:AH$503-BJ$4:BJ$503))/MAX(1,COUNTIF(AH$4:AH$503,"&lt;"&amp;BJ13+0.01)),BJ13))</f>
        <v>5621.50263448276</v>
      </c>
      <c r="BY13" s="92" t="n">
        <f aca="false">IF(AI13&gt;=BK13,0,IFERROR(BK13+SUMPRODUCT((AI$4:AI$503&gt;=BK$4:BK$503)*(AI$4:AI$503-BK$4:BK$503))/MAX(1,COUNTIF(AI$4:AI$503,"&lt;"&amp;BK13+0.01)),BK13))</f>
        <v>0</v>
      </c>
      <c r="BZ13" s="92" t="n">
        <f aca="false">IF(AJ13&gt;=BL13,0,IFERROR(BL13+SUMPRODUCT((AJ$4:AJ$503&gt;=BL$4:BL$503)*(AJ$4:AJ$503-BL$4:BL$503))/MAX(1,COUNTIF(AJ$4:AJ$503,"&lt;"&amp;BL13+0.01)),BL13))</f>
        <v>0</v>
      </c>
      <c r="CA13" s="92" t="n">
        <f aca="false">IF(AK13&gt;=BM13,0,IFERROR(BM13+SUMPRODUCT((AK$4:AK$503&gt;=BM$4:BM$503)*(AK$4:AK$503-BM$4:BM$503))/MAX(1,COUNTIF(AK$4:AK$503,"&lt;"&amp;BM13+0.01)),BM13))</f>
        <v>0</v>
      </c>
      <c r="CB13" s="93" t="n">
        <f aca="false">IF(AL13&gt;=BN13,0,IFERROR(BN13+SUMPRODUCT((AL$4:AL$503&gt;=BN$4:BN$503)*(AL$4:AL$503-BN$4:BN$503))/MAX(1,COUNTIF(AL$4:AL$503,"&lt;"&amp;BN13+0.01)),BN13))</f>
        <v>3597.2614925</v>
      </c>
      <c r="CC13" s="95" t="str">
        <f aca="false">IF(AO13="🟢","VERDE",IF(AO13="🟡","AMARELO",IF(AO13="🟠","VERMELHO",IF(AO13="🔴","VERMELHO","ROXO"))))</f>
        <v>VERMELHO</v>
      </c>
      <c r="CD13" s="96" t="s">
        <v>103</v>
      </c>
      <c r="CE13" s="96" t="s">
        <v>104</v>
      </c>
    </row>
    <row r="14" customFormat="false" ht="14.25" hidden="false" customHeight="true" outlineLevel="0" collapsed="false">
      <c r="A14" s="65" t="s">
        <v>141</v>
      </c>
      <c r="B14" s="66" t="s">
        <v>142</v>
      </c>
      <c r="C14" s="67" t="s">
        <v>107</v>
      </c>
      <c r="D14" s="68" t="s">
        <v>108</v>
      </c>
      <c r="E14" s="69" t="s">
        <v>139</v>
      </c>
      <c r="F14" s="70" t="n">
        <f aca="false">IFERROR(VLOOKUP(C14,$AS$3:$AT$10,2,FALSE()),IFERROR(VLOOKUP(C14,$AS$15:$AT$22,2,FALSE()),""))</f>
        <v>132</v>
      </c>
      <c r="G14" s="71" t="n">
        <f aca="false">IFERROR(VLOOKUP(C14,$AS$3:$AX$10,6,FALSE()),IFERROR(VLOOKUP(C14,$AS$15:$AX$22,6,FALSE()),""))</f>
        <v>0.468190175850689</v>
      </c>
      <c r="H14" s="72" t="str">
        <f aca="false">IFERROR(VLOOKUP(C14,$AS$3:$AY$10,7,FALSE()),IFERROR(VLOOKUP(C14,$AS$15:$AY$22,7,FALSE()),""))</f>
        <v>🟡 AMARELO</v>
      </c>
      <c r="I14" s="72" t="str">
        <f aca="false">IFERROR(VLOOKUP(C14,$AS$3:$AZ$10,8,FALSE()),IFERROR(VLOOKUP(C14,$AS$15:$AZ$22,8,FALSE()),""))</f>
        <v>Sell Out</v>
      </c>
      <c r="J14" s="73"/>
      <c r="K14" s="69" t="s">
        <v>107</v>
      </c>
      <c r="L14" s="74" t="n">
        <v>55925.26</v>
      </c>
      <c r="M14" s="75" t="n">
        <v>3930.04</v>
      </c>
      <c r="N14" s="75" t="n">
        <v>4106.75</v>
      </c>
      <c r="O14" s="75" t="n">
        <v>4205.7</v>
      </c>
      <c r="P14" s="75" t="n">
        <v>4315.26</v>
      </c>
      <c r="Q14" s="75" t="n">
        <v>4456.63</v>
      </c>
      <c r="R14" s="75" t="n">
        <v>4573.26</v>
      </c>
      <c r="S14" s="75" t="n">
        <v>4749.97</v>
      </c>
      <c r="T14" s="75" t="n">
        <v>4866.6</v>
      </c>
      <c r="U14" s="75" t="n">
        <v>4976.16</v>
      </c>
      <c r="V14" s="75" t="n">
        <v>5099.86</v>
      </c>
      <c r="W14" s="75" t="n">
        <v>5234.16</v>
      </c>
      <c r="X14" s="76" t="n">
        <v>5410.87</v>
      </c>
      <c r="Y14" s="77" t="s">
        <v>20</v>
      </c>
      <c r="Z14" s="78" t="n">
        <f aca="false">SUM(AA14:AL14)</f>
        <v>22963.56</v>
      </c>
      <c r="AA14" s="75"/>
      <c r="AB14" s="79" t="n">
        <v>1512</v>
      </c>
      <c r="AC14" s="75"/>
      <c r="AD14" s="79" t="n">
        <v>4899.73</v>
      </c>
      <c r="AE14" s="79" t="n">
        <v>2635.53</v>
      </c>
      <c r="AF14" s="75"/>
      <c r="AG14" s="75"/>
      <c r="AH14" s="79" t="n">
        <v>5094</v>
      </c>
      <c r="AI14" s="79" t="n">
        <v>1188.55</v>
      </c>
      <c r="AJ14" s="79" t="n">
        <v>3502.75</v>
      </c>
      <c r="AK14" s="75"/>
      <c r="AL14" s="107" t="n">
        <v>4131</v>
      </c>
      <c r="AM14" s="56" t="s">
        <v>20</v>
      </c>
      <c r="AN14" s="80" t="n">
        <f aca="false">IF(L14=0,0,Z14/L14)</f>
        <v>0.410611591255901</v>
      </c>
      <c r="AO14" s="81" t="str">
        <f aca="false">IF(AN14="","",IF(AN14&gt;=0.9,"🟢",IF(AN14&gt;=0.7,"🟡",IF(AN14&gt;=0.5,"🟠","🔴"))))</f>
        <v>🔴</v>
      </c>
      <c r="AP14" s="82" t="n">
        <f aca="false">IF(L14=0,0,L14-Z14)</f>
        <v>32961.7</v>
      </c>
      <c r="AQ14" s="83" t="n">
        <f aca="false">IF(AP14=0,"",RANK(AP14,AP$4:AP$503,0))</f>
        <v>10</v>
      </c>
      <c r="AR14" s="84" t="s">
        <v>20</v>
      </c>
      <c r="AS14" s="108" t="s">
        <v>11</v>
      </c>
      <c r="AT14" s="108" t="s">
        <v>12</v>
      </c>
      <c r="AU14" s="109" t="s">
        <v>13</v>
      </c>
      <c r="AV14" s="108" t="s">
        <v>14</v>
      </c>
      <c r="AW14" s="108" t="s">
        <v>15</v>
      </c>
      <c r="AX14" s="108" t="s">
        <v>16</v>
      </c>
      <c r="AY14" s="110" t="s">
        <v>17</v>
      </c>
      <c r="AZ14" s="110" t="s">
        <v>18</v>
      </c>
      <c r="BA14" s="56" t="s">
        <v>20</v>
      </c>
      <c r="BB14" s="91" t="n">
        <f aca="false">SUM(L$4:L$503)/COUNTA(A$4:A$503)</f>
        <v>9494.39992</v>
      </c>
      <c r="BC14" s="92" t="n">
        <f aca="false">SUM(M$4:M$503)/COUNTA(A$4:A$503)</f>
        <v>667.20008</v>
      </c>
      <c r="BD14" s="92" t="n">
        <f aca="false">SUM(N$4:N$503)/COUNTA(A$4:A$503)</f>
        <v>697.19996</v>
      </c>
      <c r="BE14" s="92" t="n">
        <f aca="false">SUM(O$4:O$503)/COUNTA(A$4:A$503)</f>
        <v>713.9999</v>
      </c>
      <c r="BF14" s="92" t="n">
        <f aca="false">SUM(P$4:P$503)/COUNTA(A$4:A$503)</f>
        <v>732.59984</v>
      </c>
      <c r="BG14" s="92" t="n">
        <f aca="false">SUM(Q$4:Q$503)/COUNTA(A$4:A$503)</f>
        <v>756.59992</v>
      </c>
      <c r="BH14" s="92" t="n">
        <f aca="false">SUM(R$4:R$503)/COUNTA(A$4:A$503)</f>
        <v>776.40004</v>
      </c>
      <c r="BI14" s="92" t="n">
        <f aca="false">SUM(S$4:S$503)/COUNTA(A$4:A$503)</f>
        <v>806.40012</v>
      </c>
      <c r="BJ14" s="92" t="n">
        <f aca="false">SUM(T$4:T$503)/COUNTA(A$4:A$503)</f>
        <v>826.1999</v>
      </c>
      <c r="BK14" s="92" t="n">
        <f aca="false">SUM(U$4:U$503)/COUNTA(A$4:A$503)</f>
        <v>844.8002</v>
      </c>
      <c r="BL14" s="92" t="n">
        <f aca="false">SUM(V$4:V$503)/COUNTA(A$4:A$503)</f>
        <v>865.7998</v>
      </c>
      <c r="BM14" s="92" t="n">
        <f aca="false">SUM(W$4:W$503)/COUNTA(A$4:A$503)</f>
        <v>888.59982</v>
      </c>
      <c r="BN14" s="93" t="n">
        <f aca="false">SUM(X$4:X$503)/COUNTA(A$4:A$503)</f>
        <v>918.60034</v>
      </c>
      <c r="BO14" s="94" t="s">
        <v>20</v>
      </c>
      <c r="BP14" s="91" t="n">
        <f aca="false">IF(Z14&gt;=BB14,0,IFERROR(BB14+(SUMPRODUCT((Z$4:Z$503&gt;=BB$4:BB$503)*(Z$4:Z$503-BB$4:BB$503))/MAX(1,COUNTIF(Z$4:Z$503,"&lt;"&amp;BB14+0.01))),BB14))</f>
        <v>0</v>
      </c>
      <c r="BQ14" s="92" t="n">
        <f aca="false">IF(AA14&gt;=BC14,0,IFERROR(BC14+SUMPRODUCT((AA$4:AA$503&gt;=BC$4:BC$503)*(AA$4:AA$503-BC$4:BC$503))/MAX(1,COUNTIF(AA$4:AA$503,"&lt;"&amp;BC14+0.01)),BC14))</f>
        <v>2238.46589176471</v>
      </c>
      <c r="BR14" s="92" t="n">
        <f aca="false">IF(AB14&gt;=BD14,0,IFERROR(BD14+SUMPRODUCT((AB$4:AB$503&gt;=BD$4:BD$503)*(AB$4:AB$503-BD$4:BD$503))/MAX(1,COUNTIF(AB$4:AB$503,"&lt;"&amp;BD14+0.01)),BD14))</f>
        <v>0</v>
      </c>
      <c r="BS14" s="92" t="n">
        <f aca="false">IF(AC14&gt;=BE14,0,IFERROR(BE14+SUMPRODUCT((AC$4:AC$503&gt;=BE$4:BE$503)*(AC$4:AC$503-BE$4:BE$503))/MAX(1,COUNTIF(AC$4:AC$503,"&lt;"&amp;BE14+0.01)),BE14))</f>
        <v>6188.73352</v>
      </c>
      <c r="BT14" s="92" t="n">
        <f aca="false">IF(AD14&gt;=BF14,0,IFERROR(BF14+SUMPRODUCT((AD$4:AD$503&gt;=BF$4:BF$503)*(AD$4:AD$503-BF$4:BF$503))/MAX(1,COUNTIF(AD$4:AD$503,"&lt;"&amp;BF14+0.01)),BF14))</f>
        <v>0</v>
      </c>
      <c r="BU14" s="92" t="n">
        <f aca="false">IF(AE14&gt;=BG14,0,IFERROR(BG14+SUMPRODUCT((AE$4:AE$503&gt;=BG$4:BG$503)*(AE$4:AE$503-BG$4:BG$503))/MAX(1,COUNTIF(AE$4:AE$503,"&lt;"&amp;BG14+0.01)),BG14))</f>
        <v>0</v>
      </c>
      <c r="BV14" s="92" t="n">
        <f aca="false">IF(AF14&gt;=BH14,0,IFERROR(BH14+SUMPRODUCT((AF$4:AF$503&gt;=BH$4:BH$503)*(AF$4:AF$503-BH$4:BH$503))/MAX(1,COUNTIF(AF$4:AF$503,"&lt;"&amp;BH14+0.01)),BH14))</f>
        <v>9942.6503831579</v>
      </c>
      <c r="BW14" s="92" t="n">
        <f aca="false">IF(AG14&gt;=BI14,0,IFERROR(BI14+SUMPRODUCT((AG$4:AG$503&gt;=BI$4:BI$503)*(AG$4:AG$503-BI$4:BI$503))/MAX(1,COUNTIF(AG$4:AG$503,"&lt;"&amp;BI14+0.01)),BI14))</f>
        <v>9142.15870461538</v>
      </c>
      <c r="BX14" s="92" t="n">
        <f aca="false">IF(AH14&gt;=BJ14,0,IFERROR(BJ14+SUMPRODUCT((AH$4:AH$503&gt;=BJ$4:BJ$503)*(AH$4:AH$503-BJ$4:BJ$503))/MAX(1,COUNTIF(AH$4:AH$503,"&lt;"&amp;BJ14+0.01)),BJ14))</f>
        <v>0</v>
      </c>
      <c r="BY14" s="92" t="n">
        <f aca="false">IF(AI14&gt;=BK14,0,IFERROR(BK14+SUMPRODUCT((AI$4:AI$503&gt;=BK$4:BK$503)*(AI$4:AI$503-BK$4:BK$503))/MAX(1,COUNTIF(AI$4:AI$503,"&lt;"&amp;BK14+0.01)),BK14))</f>
        <v>0</v>
      </c>
      <c r="BZ14" s="92" t="n">
        <f aca="false">IF(AJ14&gt;=BL14,0,IFERROR(BL14+SUMPRODUCT((AJ$4:AJ$503&gt;=BL$4:BL$503)*(AJ$4:AJ$503-BL$4:BL$503))/MAX(1,COUNTIF(AJ$4:AJ$503,"&lt;"&amp;BL14+0.01)),BL14))</f>
        <v>0</v>
      </c>
      <c r="CA14" s="92" t="n">
        <f aca="false">IF(AK14&gt;=BM14,0,IFERROR(BM14+SUMPRODUCT((AK$4:AK$503&gt;=BM$4:BM$503)*(AK$4:AK$503-BM$4:BM$503))/MAX(1,COUNTIF(AK$4:AK$503,"&lt;"&amp;BM14+0.01)),BM14))</f>
        <v>7314.89836842105</v>
      </c>
      <c r="CB14" s="93" t="n">
        <f aca="false">IF(AL14&gt;=BN14,0,IFERROR(BN14+SUMPRODUCT((AL$4:AL$503&gt;=BN$4:BN$503)*(AL$4:AL$503-BN$4:BN$503))/MAX(1,COUNTIF(AL$4:AL$503,"&lt;"&amp;BN14+0.01)),BN14))</f>
        <v>0</v>
      </c>
      <c r="CC14" s="95" t="str">
        <f aca="false">IF(AO14="🟢","VERDE",IF(AO14="🟡","AMARELO",IF(AO14="🟠","VERMELHO",IF(AO14="🔴","VERMELHO","ROXO"))))</f>
        <v>VERMELHO</v>
      </c>
      <c r="CD14" s="96" t="s">
        <v>103</v>
      </c>
      <c r="CE14" s="96" t="s">
        <v>104</v>
      </c>
    </row>
    <row r="15" customFormat="false" ht="14.25" hidden="false" customHeight="true" outlineLevel="0" collapsed="false">
      <c r="A15" s="65" t="s">
        <v>143</v>
      </c>
      <c r="B15" s="66" t="s">
        <v>144</v>
      </c>
      <c r="C15" s="67" t="s">
        <v>145</v>
      </c>
      <c r="D15" s="68" t="s">
        <v>100</v>
      </c>
      <c r="E15" s="69" t="s">
        <v>146</v>
      </c>
      <c r="F15" s="70" t="n">
        <f aca="false">IFERROR(VLOOKUP(C15,$AS$3:$AT$10,2,FALSE()),IFERROR(VLOOKUP(C15,$AS$15:$AT$22,2,FALSE()),""))</f>
        <v>10</v>
      </c>
      <c r="G15" s="71" t="n">
        <f aca="false">IFERROR(VLOOKUP(C15,$AS$3:$AX$10,6,FALSE()),IFERROR(VLOOKUP(C15,$AS$15:$AX$22,6,FALSE()),""))</f>
        <v>0.45643525037644</v>
      </c>
      <c r="H15" s="72" t="str">
        <f aca="false">IFERROR(VLOOKUP(C15,$AS$3:$AY$10,7,FALSE()),IFERROR(VLOOKUP(C15,$AS$15:$AY$22,7,FALSE()),""))</f>
        <v>🟡 AMARELO</v>
      </c>
      <c r="I15" s="72" t="str">
        <f aca="false">IFERROR(VLOOKUP(C15,$AS$3:$AZ$10,8,FALSE()),IFERROR(VLOOKUP(C15,$AS$15:$AZ$22,8,FALSE()),""))</f>
        <v>Sell Out</v>
      </c>
      <c r="J15" s="73"/>
      <c r="K15" s="69" t="s">
        <v>145</v>
      </c>
      <c r="L15" s="74" t="n">
        <v>54236.21</v>
      </c>
      <c r="M15" s="75" t="n">
        <v>3811.34</v>
      </c>
      <c r="N15" s="75" t="n">
        <v>3982.72</v>
      </c>
      <c r="O15" s="75" t="n">
        <v>4078.68</v>
      </c>
      <c r="P15" s="75" t="n">
        <v>4184.94</v>
      </c>
      <c r="Q15" s="75" t="n">
        <v>4322.03</v>
      </c>
      <c r="R15" s="75" t="n">
        <v>4435.14</v>
      </c>
      <c r="S15" s="75" t="n">
        <v>4606.51</v>
      </c>
      <c r="T15" s="75" t="n">
        <v>4719.62</v>
      </c>
      <c r="U15" s="75" t="n">
        <v>4825.87</v>
      </c>
      <c r="V15" s="75" t="n">
        <v>4945.83</v>
      </c>
      <c r="W15" s="75" t="n">
        <v>5076.08</v>
      </c>
      <c r="X15" s="76" t="n">
        <v>5247.45</v>
      </c>
      <c r="Y15" s="77" t="s">
        <v>20</v>
      </c>
      <c r="Z15" s="78" t="n">
        <f aca="false">SUM(AA15:AL15)</f>
        <v>26817.41</v>
      </c>
      <c r="AA15" s="79" t="n">
        <v>5364.79</v>
      </c>
      <c r="AB15" s="75"/>
      <c r="AC15" s="79" t="n">
        <v>4625.46</v>
      </c>
      <c r="AD15" s="75"/>
      <c r="AE15" s="79" t="n">
        <v>2713</v>
      </c>
      <c r="AF15" s="79" t="n">
        <v>4506.85</v>
      </c>
      <c r="AG15" s="75"/>
      <c r="AH15" s="79" t="n">
        <v>3280.39</v>
      </c>
      <c r="AI15" s="79" t="n">
        <v>3792.14</v>
      </c>
      <c r="AJ15" s="75"/>
      <c r="AK15" s="79" t="n">
        <v>2534.78</v>
      </c>
      <c r="AL15" s="76"/>
      <c r="AM15" s="56" t="s">
        <v>20</v>
      </c>
      <c r="AN15" s="80" t="n">
        <f aca="false">IF(L15=0,0,Z15/L15)</f>
        <v>0.494455825729711</v>
      </c>
      <c r="AO15" s="81" t="str">
        <f aca="false">IF(AN15="","",IF(AN15&gt;=0.9,"🟢",IF(AN15&gt;=0.7,"🟡",IF(AN15&gt;=0.5,"🟠","🔴"))))</f>
        <v>🔴</v>
      </c>
      <c r="AP15" s="82" t="n">
        <f aca="false">IF(L15=0,0,L15-Z15)</f>
        <v>27418.8</v>
      </c>
      <c r="AQ15" s="83" t="n">
        <f aca="false">IF(AP15=0,"",RANK(AP15,AP$4:AP$503,0))</f>
        <v>11</v>
      </c>
      <c r="AR15" s="84" t="s">
        <v>20</v>
      </c>
      <c r="AS15" s="85" t="s">
        <v>107</v>
      </c>
      <c r="AT15" s="86" t="n">
        <f aca="false">COUNTIF(C$4:C$503,AS15)</f>
        <v>132</v>
      </c>
      <c r="AU15" s="87" t="n">
        <f aca="false">COUNTIFS(C$4:C$503,AS15,Z$4:Z$503,"&gt;0")</f>
        <v>131</v>
      </c>
      <c r="AV15" s="88" t="n">
        <f aca="false">SUMIF(C$4:C$503,AS15,L$4:L$503)</f>
        <v>1152066.57</v>
      </c>
      <c r="AW15" s="88" t="n">
        <f aca="false">SUMIF(C$4:C$503,AS15,Z$4:Z$503)</f>
        <v>539386.25</v>
      </c>
      <c r="AX15" s="89" t="n">
        <f aca="false">IF(AV15=0,0,AW15/AV15)</f>
        <v>0.468190175850689</v>
      </c>
      <c r="AY15" s="90" t="str">
        <f aca="false">IF(AX15&gt;=0.6,"🟢 VERDE",IF(AX15&gt;=0.4,"🟡 AMARELO",IF(AX15&gt;=0.01,"🔴 VERMELHO","🟣 ROXO")))</f>
        <v>🟡 AMARELO</v>
      </c>
      <c r="AZ15" s="90" t="str">
        <f aca="false">IF(AX15&gt;=0.6,"JBP",IF(AX15&gt;=0.4,"Sell Out",IF(AX15&gt;=0.1,"Positivação + Expandir",IF(AX15&gt;=0.01,"Ativar + Prospectar","Mapear + Prospectar"))))</f>
        <v>Sell Out</v>
      </c>
      <c r="BA15" s="56" t="s">
        <v>20</v>
      </c>
      <c r="BB15" s="91" t="n">
        <f aca="false">SUM(L$4:L$503)/COUNTA(A$4:A$503)</f>
        <v>9494.39992</v>
      </c>
      <c r="BC15" s="92" t="n">
        <f aca="false">SUM(M$4:M$503)/COUNTA(A$4:A$503)</f>
        <v>667.20008</v>
      </c>
      <c r="BD15" s="92" t="n">
        <f aca="false">SUM(N$4:N$503)/COUNTA(A$4:A$503)</f>
        <v>697.19996</v>
      </c>
      <c r="BE15" s="92" t="n">
        <f aca="false">SUM(O$4:O$503)/COUNTA(A$4:A$503)</f>
        <v>713.9999</v>
      </c>
      <c r="BF15" s="92" t="n">
        <f aca="false">SUM(P$4:P$503)/COUNTA(A$4:A$503)</f>
        <v>732.59984</v>
      </c>
      <c r="BG15" s="92" t="n">
        <f aca="false">SUM(Q$4:Q$503)/COUNTA(A$4:A$503)</f>
        <v>756.59992</v>
      </c>
      <c r="BH15" s="92" t="n">
        <f aca="false">SUM(R$4:R$503)/COUNTA(A$4:A$503)</f>
        <v>776.40004</v>
      </c>
      <c r="BI15" s="92" t="n">
        <f aca="false">SUM(S$4:S$503)/COUNTA(A$4:A$503)</f>
        <v>806.40012</v>
      </c>
      <c r="BJ15" s="92" t="n">
        <f aca="false">SUM(T$4:T$503)/COUNTA(A$4:A$503)</f>
        <v>826.1999</v>
      </c>
      <c r="BK15" s="92" t="n">
        <f aca="false">SUM(U$4:U$503)/COUNTA(A$4:A$503)</f>
        <v>844.8002</v>
      </c>
      <c r="BL15" s="92" t="n">
        <f aca="false">SUM(V$4:V$503)/COUNTA(A$4:A$503)</f>
        <v>865.7998</v>
      </c>
      <c r="BM15" s="92" t="n">
        <f aca="false">SUM(W$4:W$503)/COUNTA(A$4:A$503)</f>
        <v>888.59982</v>
      </c>
      <c r="BN15" s="93" t="n">
        <f aca="false">SUM(X$4:X$503)/COUNTA(A$4:A$503)</f>
        <v>918.60034</v>
      </c>
      <c r="BO15" s="94" t="s">
        <v>20</v>
      </c>
      <c r="BP15" s="91" t="n">
        <f aca="false">IF(Z15&gt;=BB15,0,IFERROR(BB15+(SUMPRODUCT((Z$4:Z$503&gt;=BB$4:BB$503)*(Z$4:Z$503-BB$4:BB$503))/MAX(1,COUNTIF(Z$4:Z$503,"&lt;"&amp;BB15+0.01))),BB15))</f>
        <v>0</v>
      </c>
      <c r="BQ15" s="92" t="n">
        <f aca="false">IF(AA15&gt;=BC15,0,IFERROR(BC15+SUMPRODUCT((AA$4:AA$503&gt;=BC$4:BC$503)*(AA$4:AA$503-BC$4:BC$503))/MAX(1,COUNTIF(AA$4:AA$503,"&lt;"&amp;BC15+0.01)),BC15))</f>
        <v>0</v>
      </c>
      <c r="BR15" s="92" t="n">
        <f aca="false">IF(AB15&gt;=BD15,0,IFERROR(BD15+SUMPRODUCT((AB$4:AB$503&gt;=BD$4:BD$503)*(AB$4:AB$503-BD$4:BD$503))/MAX(1,COUNTIF(AB$4:AB$503,"&lt;"&amp;BD15+0.01)),BD15))</f>
        <v>3335.2938</v>
      </c>
      <c r="BS15" s="92" t="n">
        <f aca="false">IF(AC15&gt;=BE15,0,IFERROR(BE15+SUMPRODUCT((AC$4:AC$503&gt;=BE$4:BE$503)*(AC$4:AC$503-BE$4:BE$503))/MAX(1,COUNTIF(AC$4:AC$503,"&lt;"&amp;BE15+0.01)),BE15))</f>
        <v>0</v>
      </c>
      <c r="BT15" s="92" t="n">
        <f aca="false">IF(AD15&gt;=BF15,0,IFERROR(BF15+SUMPRODUCT((AD$4:AD$503&gt;=BF$4:BF$503)*(AD$4:AD$503-BF$4:BF$503))/MAX(1,COUNTIF(AD$4:AD$503,"&lt;"&amp;BF15+0.01)),BF15))</f>
        <v>11354.35411</v>
      </c>
      <c r="BU15" s="92" t="n">
        <f aca="false">IF(AE15&gt;=BG15,0,IFERROR(BG15+SUMPRODUCT((AE$4:AE$503&gt;=BG$4:BG$503)*(AE$4:AE$503-BG$4:BG$503))/MAX(1,COUNTIF(AE$4:AE$503,"&lt;"&amp;BG15+0.01)),BG15))</f>
        <v>0</v>
      </c>
      <c r="BV15" s="92" t="n">
        <f aca="false">IF(AF15&gt;=BH15,0,IFERROR(BH15+SUMPRODUCT((AF$4:AF$503&gt;=BH$4:BH$503)*(AF$4:AF$503-BH$4:BH$503))/MAX(1,COUNTIF(AF$4:AF$503,"&lt;"&amp;BH15+0.01)),BH15))</f>
        <v>0</v>
      </c>
      <c r="BW15" s="92" t="n">
        <f aca="false">IF(AG15&gt;=BI15,0,IFERROR(BI15+SUMPRODUCT((AG$4:AG$503&gt;=BI$4:BI$503)*(AG$4:AG$503-BI$4:BI$503))/MAX(1,COUNTIF(AG$4:AG$503,"&lt;"&amp;BI15+0.01)),BI15))</f>
        <v>9142.15870461538</v>
      </c>
      <c r="BX15" s="92" t="n">
        <f aca="false">IF(AH15&gt;=BJ15,0,IFERROR(BJ15+SUMPRODUCT((AH$4:AH$503&gt;=BJ$4:BJ$503)*(AH$4:AH$503-BJ$4:BJ$503))/MAX(1,COUNTIF(AH$4:AH$503,"&lt;"&amp;BJ15+0.01)),BJ15))</f>
        <v>0</v>
      </c>
      <c r="BY15" s="92" t="n">
        <f aca="false">IF(AI15&gt;=BK15,0,IFERROR(BK15+SUMPRODUCT((AI$4:AI$503&gt;=BK$4:BK$503)*(AI$4:AI$503-BK$4:BK$503))/MAX(1,COUNTIF(AI$4:AI$503,"&lt;"&amp;BK15+0.01)),BK15))</f>
        <v>0</v>
      </c>
      <c r="BZ15" s="92" t="n">
        <f aca="false">IF(AJ15&gt;=BL15,0,IFERROR(BL15+SUMPRODUCT((AJ$4:AJ$503&gt;=BL$4:BL$503)*(AJ$4:AJ$503-BL$4:BL$503))/MAX(1,COUNTIF(AJ$4:AJ$503,"&lt;"&amp;BL15+0.01)),BL15))</f>
        <v>6710.03292307692</v>
      </c>
      <c r="CA15" s="92" t="n">
        <f aca="false">IF(AK15&gt;=BM15,0,IFERROR(BM15+SUMPRODUCT((AK$4:AK$503&gt;=BM$4:BM$503)*(AK$4:AK$503-BM$4:BM$503))/MAX(1,COUNTIF(AK$4:AK$503,"&lt;"&amp;BM15+0.01)),BM15))</f>
        <v>0</v>
      </c>
      <c r="CB15" s="93" t="n">
        <f aca="false">IF(AL15&gt;=BN15,0,IFERROR(BN15+SUMPRODUCT((AL$4:AL$503&gt;=BN$4:BN$503)*(AL$4:AL$503-BN$4:BN$503))/MAX(1,COUNTIF(AL$4:AL$503,"&lt;"&amp;BN15+0.01)),BN15))</f>
        <v>3597.2614925</v>
      </c>
      <c r="CC15" s="95" t="str">
        <f aca="false">IF(AO15="🟢","VERDE",IF(AO15="🟡","AMARELO",IF(AO15="🟠","VERMELHO",IF(AO15="🔴","VERMELHO","ROXO"))))</f>
        <v>VERMELHO</v>
      </c>
      <c r="CD15" s="96" t="s">
        <v>103</v>
      </c>
      <c r="CE15" s="96" t="s">
        <v>104</v>
      </c>
    </row>
    <row r="16" customFormat="false" ht="14.25" hidden="false" customHeight="true" outlineLevel="0" collapsed="false">
      <c r="A16" s="65" t="s">
        <v>147</v>
      </c>
      <c r="B16" s="66" t="s">
        <v>148</v>
      </c>
      <c r="C16" s="67" t="s">
        <v>107</v>
      </c>
      <c r="D16" s="68" t="s">
        <v>108</v>
      </c>
      <c r="E16" s="69" t="s">
        <v>139</v>
      </c>
      <c r="F16" s="70" t="n">
        <f aca="false">IFERROR(VLOOKUP(C16,$AS$3:$AT$10,2,FALSE()),IFERROR(VLOOKUP(C16,$AS$15:$AT$22,2,FALSE()),""))</f>
        <v>132</v>
      </c>
      <c r="G16" s="71" t="n">
        <f aca="false">IFERROR(VLOOKUP(C16,$AS$3:$AX$10,6,FALSE()),IFERROR(VLOOKUP(C16,$AS$15:$AX$22,6,FALSE()),""))</f>
        <v>0.468190175850689</v>
      </c>
      <c r="H16" s="72" t="str">
        <f aca="false">IFERROR(VLOOKUP(C16,$AS$3:$AY$10,7,FALSE()),IFERROR(VLOOKUP(C16,$AS$15:$AY$22,7,FALSE()),""))</f>
        <v>🟡 AMARELO</v>
      </c>
      <c r="I16" s="72" t="str">
        <f aca="false">IFERROR(VLOOKUP(C16,$AS$3:$AZ$10,8,FALSE()),IFERROR(VLOOKUP(C16,$AS$15:$AZ$22,8,FALSE()),""))</f>
        <v>Sell Out</v>
      </c>
      <c r="J16" s="73"/>
      <c r="K16" s="69" t="s">
        <v>107</v>
      </c>
      <c r="L16" s="74" t="n">
        <v>53677.08</v>
      </c>
      <c r="M16" s="75" t="n">
        <v>3772.05</v>
      </c>
      <c r="N16" s="75" t="n">
        <v>3941.66</v>
      </c>
      <c r="O16" s="75" t="n">
        <v>4036.64</v>
      </c>
      <c r="P16" s="75" t="n">
        <v>4141.79</v>
      </c>
      <c r="Q16" s="75" t="n">
        <v>4277.48</v>
      </c>
      <c r="R16" s="75" t="n">
        <v>4389.42</v>
      </c>
      <c r="S16" s="75" t="n">
        <v>4559.02</v>
      </c>
      <c r="T16" s="75" t="n">
        <v>4670.96</v>
      </c>
      <c r="U16" s="75" t="n">
        <v>4776.12</v>
      </c>
      <c r="V16" s="75" t="n">
        <v>4894.84</v>
      </c>
      <c r="W16" s="75" t="n">
        <v>5023.75</v>
      </c>
      <c r="X16" s="76" t="n">
        <v>5193.35</v>
      </c>
      <c r="Y16" s="77" t="s">
        <v>20</v>
      </c>
      <c r="Z16" s="78" t="n">
        <f aca="false">SUM(AA16:AL16)</f>
        <v>26818.32</v>
      </c>
      <c r="AA16" s="75"/>
      <c r="AB16" s="75"/>
      <c r="AC16" s="75"/>
      <c r="AD16" s="75"/>
      <c r="AE16" s="79" t="n">
        <v>8607.14</v>
      </c>
      <c r="AF16" s="79" t="n">
        <v>12740.35</v>
      </c>
      <c r="AG16" s="79" t="n">
        <v>5470.83</v>
      </c>
      <c r="AH16" s="75"/>
      <c r="AI16" s="75"/>
      <c r="AJ16" s="75"/>
      <c r="AK16" s="75"/>
      <c r="AL16" s="76"/>
      <c r="AM16" s="56" t="s">
        <v>20</v>
      </c>
      <c r="AN16" s="80" t="n">
        <f aca="false">IF(L16=0,0,Z16/L16)</f>
        <v>0.499623302906939</v>
      </c>
      <c r="AO16" s="81" t="str">
        <f aca="false">IF(AN16="","",IF(AN16&gt;=0.9,"🟢",IF(AN16&gt;=0.7,"🟡",IF(AN16&gt;=0.5,"🟠","🔴"))))</f>
        <v>🔴</v>
      </c>
      <c r="AP16" s="82" t="n">
        <f aca="false">IF(L16=0,0,L16-Z16)</f>
        <v>26858.76</v>
      </c>
      <c r="AQ16" s="83" t="n">
        <f aca="false">IF(AP16=0,"",RANK(AP16,AP$4:AP$503,0))</f>
        <v>13</v>
      </c>
      <c r="AR16" s="84" t="s">
        <v>20</v>
      </c>
      <c r="AS16" s="85" t="s">
        <v>149</v>
      </c>
      <c r="AT16" s="86" t="n">
        <f aca="false">COUNTIF(C$4:C$503,AS16)</f>
        <v>29</v>
      </c>
      <c r="AU16" s="87" t="n">
        <f aca="false">COUNTIFS(C$4:C$503,AS16,Z$4:Z$503,"&gt;0")</f>
        <v>29</v>
      </c>
      <c r="AV16" s="88" t="n">
        <f aca="false">SUMIF(C$4:C$503,AS16,L$4:L$503)</f>
        <v>239355.48</v>
      </c>
      <c r="AW16" s="88" t="n">
        <f aca="false">SUMIF(C$4:C$503,AS16,Z$4:Z$503)</f>
        <v>101928.35</v>
      </c>
      <c r="AX16" s="89" t="n">
        <f aca="false">IF(AV16=0,0,AW16/AV16)</f>
        <v>0.425845065256079</v>
      </c>
      <c r="AY16" s="90" t="str">
        <f aca="false">IF(AX16&gt;=0.6,"🟢 VERDE",IF(AX16&gt;=0.4,"🟡 AMARELO",IF(AX16&gt;=0.01,"🔴 VERMELHO","🟣 ROXO")))</f>
        <v>🟡 AMARELO</v>
      </c>
      <c r="AZ16" s="90" t="str">
        <f aca="false">IF(AX16&gt;=0.6,"JBP",IF(AX16&gt;=0.4,"Sell Out",IF(AX16&gt;=0.1,"Positivação + Expandir",IF(AX16&gt;=0.01,"Ativar + Prospectar","Mapear + Prospectar"))))</f>
        <v>Sell Out</v>
      </c>
      <c r="BA16" s="56" t="s">
        <v>20</v>
      </c>
      <c r="BB16" s="91" t="n">
        <f aca="false">SUM(L$4:L$503)/COUNTA(A$4:A$503)</f>
        <v>9494.39992</v>
      </c>
      <c r="BC16" s="92" t="n">
        <f aca="false">SUM(M$4:M$503)/COUNTA(A$4:A$503)</f>
        <v>667.20008</v>
      </c>
      <c r="BD16" s="92" t="n">
        <f aca="false">SUM(N$4:N$503)/COUNTA(A$4:A$503)</f>
        <v>697.19996</v>
      </c>
      <c r="BE16" s="92" t="n">
        <f aca="false">SUM(O$4:O$503)/COUNTA(A$4:A$503)</f>
        <v>713.9999</v>
      </c>
      <c r="BF16" s="92" t="n">
        <f aca="false">SUM(P$4:P$503)/COUNTA(A$4:A$503)</f>
        <v>732.59984</v>
      </c>
      <c r="BG16" s="92" t="n">
        <f aca="false">SUM(Q$4:Q$503)/COUNTA(A$4:A$503)</f>
        <v>756.59992</v>
      </c>
      <c r="BH16" s="92" t="n">
        <f aca="false">SUM(R$4:R$503)/COUNTA(A$4:A$503)</f>
        <v>776.40004</v>
      </c>
      <c r="BI16" s="92" t="n">
        <f aca="false">SUM(S$4:S$503)/COUNTA(A$4:A$503)</f>
        <v>806.40012</v>
      </c>
      <c r="BJ16" s="92" t="n">
        <f aca="false">SUM(T$4:T$503)/COUNTA(A$4:A$503)</f>
        <v>826.1999</v>
      </c>
      <c r="BK16" s="92" t="n">
        <f aca="false">SUM(U$4:U$503)/COUNTA(A$4:A$503)</f>
        <v>844.8002</v>
      </c>
      <c r="BL16" s="92" t="n">
        <f aca="false">SUM(V$4:V$503)/COUNTA(A$4:A$503)</f>
        <v>865.7998</v>
      </c>
      <c r="BM16" s="92" t="n">
        <f aca="false">SUM(W$4:W$503)/COUNTA(A$4:A$503)</f>
        <v>888.59982</v>
      </c>
      <c r="BN16" s="93" t="n">
        <f aca="false">SUM(X$4:X$503)/COUNTA(A$4:A$503)</f>
        <v>918.60034</v>
      </c>
      <c r="BO16" s="94" t="s">
        <v>20</v>
      </c>
      <c r="BP16" s="91" t="n">
        <f aca="false">IF(Z16&gt;=BB16,0,IFERROR(BB16+(SUMPRODUCT((Z$4:Z$503&gt;=BB$4:BB$503)*(Z$4:Z$503-BB$4:BB$503))/MAX(1,COUNTIF(Z$4:Z$503,"&lt;"&amp;BB16+0.01))),BB16))</f>
        <v>0</v>
      </c>
      <c r="BQ16" s="92" t="n">
        <f aca="false">IF(AA16&gt;=BC16,0,IFERROR(BC16+SUMPRODUCT((AA$4:AA$503&gt;=BC$4:BC$503)*(AA$4:AA$503-BC$4:BC$503))/MAX(1,COUNTIF(AA$4:AA$503,"&lt;"&amp;BC16+0.01)),BC16))</f>
        <v>2238.46589176471</v>
      </c>
      <c r="BR16" s="92" t="n">
        <f aca="false">IF(AB16&gt;=BD16,0,IFERROR(BD16+SUMPRODUCT((AB$4:AB$503&gt;=BD$4:BD$503)*(AB$4:AB$503-BD$4:BD$503))/MAX(1,COUNTIF(AB$4:AB$503,"&lt;"&amp;BD16+0.01)),BD16))</f>
        <v>3335.2938</v>
      </c>
      <c r="BS16" s="92" t="n">
        <f aca="false">IF(AC16&gt;=BE16,0,IFERROR(BE16+SUMPRODUCT((AC$4:AC$503&gt;=BE$4:BE$503)*(AC$4:AC$503-BE$4:BE$503))/MAX(1,COUNTIF(AC$4:AC$503,"&lt;"&amp;BE16+0.01)),BE16))</f>
        <v>6188.73352</v>
      </c>
      <c r="BT16" s="92" t="n">
        <f aca="false">IF(AD16&gt;=BF16,0,IFERROR(BF16+SUMPRODUCT((AD$4:AD$503&gt;=BF$4:BF$503)*(AD$4:AD$503-BF$4:BF$503))/MAX(1,COUNTIF(AD$4:AD$503,"&lt;"&amp;BF16+0.01)),BF16))</f>
        <v>11354.35411</v>
      </c>
      <c r="BU16" s="92" t="n">
        <f aca="false">IF(AE16&gt;=BG16,0,IFERROR(BG16+SUMPRODUCT((AE$4:AE$503&gt;=BG$4:BG$503)*(AE$4:AE$503-BG$4:BG$503))/MAX(1,COUNTIF(AE$4:AE$503,"&lt;"&amp;BG16+0.01)),BG16))</f>
        <v>0</v>
      </c>
      <c r="BV16" s="92" t="n">
        <f aca="false">IF(AF16&gt;=BH16,0,IFERROR(BH16+SUMPRODUCT((AF$4:AF$503&gt;=BH$4:BH$503)*(AF$4:AF$503-BH$4:BH$503))/MAX(1,COUNTIF(AF$4:AF$503,"&lt;"&amp;BH16+0.01)),BH16))</f>
        <v>0</v>
      </c>
      <c r="BW16" s="92" t="n">
        <f aca="false">IF(AG16&gt;=BI16,0,IFERROR(BI16+SUMPRODUCT((AG$4:AG$503&gt;=BI$4:BI$503)*(AG$4:AG$503-BI$4:BI$503))/MAX(1,COUNTIF(AG$4:AG$503,"&lt;"&amp;BI16+0.01)),BI16))</f>
        <v>0</v>
      </c>
      <c r="BX16" s="92" t="n">
        <f aca="false">IF(AH16&gt;=BJ16,0,IFERROR(BJ16+SUMPRODUCT((AH$4:AH$503&gt;=BJ$4:BJ$503)*(AH$4:AH$503-BJ$4:BJ$503))/MAX(1,COUNTIF(AH$4:AH$503,"&lt;"&amp;BJ16+0.01)),BJ16))</f>
        <v>5621.50263448276</v>
      </c>
      <c r="BY16" s="92" t="n">
        <f aca="false">IF(AI16&gt;=BK16,0,IFERROR(BK16+SUMPRODUCT((AI$4:AI$503&gt;=BK$4:BK$503)*(AI$4:AI$503-BK$4:BK$503))/MAX(1,COUNTIF(AI$4:AI$503,"&lt;"&amp;BK16+0.01)),BK16))</f>
        <v>7878.25652380952</v>
      </c>
      <c r="BZ16" s="92" t="n">
        <f aca="false">IF(AJ16&gt;=BL16,0,IFERROR(BL16+SUMPRODUCT((AJ$4:AJ$503&gt;=BL$4:BL$503)*(AJ$4:AJ$503-BL$4:BL$503))/MAX(1,COUNTIF(AJ$4:AJ$503,"&lt;"&amp;BL16+0.01)),BL16))</f>
        <v>6710.03292307692</v>
      </c>
      <c r="CA16" s="92" t="n">
        <f aca="false">IF(AK16&gt;=BM16,0,IFERROR(BM16+SUMPRODUCT((AK$4:AK$503&gt;=BM$4:BM$503)*(AK$4:AK$503-BM$4:BM$503))/MAX(1,COUNTIF(AK$4:AK$503,"&lt;"&amp;BM16+0.01)),BM16))</f>
        <v>7314.89836842105</v>
      </c>
      <c r="CB16" s="93" t="n">
        <f aca="false">IF(AL16&gt;=BN16,0,IFERROR(BN16+SUMPRODUCT((AL$4:AL$503&gt;=BN$4:BN$503)*(AL$4:AL$503-BN$4:BN$503))/MAX(1,COUNTIF(AL$4:AL$503,"&lt;"&amp;BN16+0.01)),BN16))</f>
        <v>3597.2614925</v>
      </c>
      <c r="CC16" s="95" t="str">
        <f aca="false">IF(AO16="🟢","VERDE",IF(AO16="🟡","AMARELO",IF(AO16="🟠","VERMELHO",IF(AO16="🔴","VERMELHO","ROXO"))))</f>
        <v>VERMELHO</v>
      </c>
      <c r="CD16" s="96" t="s">
        <v>103</v>
      </c>
      <c r="CE16" s="96" t="s">
        <v>104</v>
      </c>
    </row>
    <row r="17" customFormat="false" ht="14.25" hidden="false" customHeight="true" outlineLevel="0" collapsed="false">
      <c r="A17" s="65" t="s">
        <v>150</v>
      </c>
      <c r="B17" s="66" t="s">
        <v>151</v>
      </c>
      <c r="C17" s="67" t="s">
        <v>107</v>
      </c>
      <c r="D17" s="68" t="s">
        <v>108</v>
      </c>
      <c r="E17" s="69" t="s">
        <v>109</v>
      </c>
      <c r="F17" s="70" t="n">
        <f aca="false">IFERROR(VLOOKUP(C17,$AS$3:$AT$10,2,FALSE()),IFERROR(VLOOKUP(C17,$AS$15:$AT$22,2,FALSE()),""))</f>
        <v>132</v>
      </c>
      <c r="G17" s="71" t="n">
        <f aca="false">IFERROR(VLOOKUP(C17,$AS$3:$AX$10,6,FALSE()),IFERROR(VLOOKUP(C17,$AS$15:$AX$22,6,FALSE()),""))</f>
        <v>0.468190175850689</v>
      </c>
      <c r="H17" s="72" t="str">
        <f aca="false">IFERROR(VLOOKUP(C17,$AS$3:$AY$10,7,FALSE()),IFERROR(VLOOKUP(C17,$AS$15:$AY$22,7,FALSE()),""))</f>
        <v>🟡 AMARELO</v>
      </c>
      <c r="I17" s="72" t="str">
        <f aca="false">IFERROR(VLOOKUP(C17,$AS$3:$AZ$10,8,FALSE()),IFERROR(VLOOKUP(C17,$AS$15:$AZ$22,8,FALSE()),""))</f>
        <v>Sell Out</v>
      </c>
      <c r="J17" s="73"/>
      <c r="K17" s="69" t="s">
        <v>107</v>
      </c>
      <c r="L17" s="74" t="n">
        <v>45011.85</v>
      </c>
      <c r="M17" s="75" t="n">
        <v>3163.12</v>
      </c>
      <c r="N17" s="75" t="n">
        <v>3305.34</v>
      </c>
      <c r="O17" s="75" t="n">
        <v>3384.99</v>
      </c>
      <c r="P17" s="75" t="n">
        <v>3473.17</v>
      </c>
      <c r="Q17" s="75" t="n">
        <v>3586.95</v>
      </c>
      <c r="R17" s="75" t="n">
        <v>3680.82</v>
      </c>
      <c r="S17" s="75" t="n">
        <v>3823.05</v>
      </c>
      <c r="T17" s="75" t="n">
        <v>3916.92</v>
      </c>
      <c r="U17" s="75" t="n">
        <v>4005.1</v>
      </c>
      <c r="V17" s="75" t="n">
        <v>4104.66</v>
      </c>
      <c r="W17" s="75" t="n">
        <v>4212.75</v>
      </c>
      <c r="X17" s="76" t="n">
        <v>4354.98</v>
      </c>
      <c r="Y17" s="77" t="s">
        <v>20</v>
      </c>
      <c r="Z17" s="78" t="n">
        <f aca="false">SUM(AA17:AL17)</f>
        <v>18101.56</v>
      </c>
      <c r="AA17" s="75"/>
      <c r="AB17" s="79" t="n">
        <v>2831.96</v>
      </c>
      <c r="AC17" s="75"/>
      <c r="AD17" s="79" t="n">
        <v>2297.2</v>
      </c>
      <c r="AE17" s="79" t="n">
        <v>2297.2</v>
      </c>
      <c r="AF17" s="75"/>
      <c r="AG17" s="79" t="n">
        <v>2001.6</v>
      </c>
      <c r="AH17" s="79" t="n">
        <v>2001.6</v>
      </c>
      <c r="AI17" s="79" t="n">
        <v>3336</v>
      </c>
      <c r="AJ17" s="79" t="n">
        <v>3336</v>
      </c>
      <c r="AK17" s="75"/>
      <c r="AL17" s="76"/>
      <c r="AM17" s="56" t="s">
        <v>20</v>
      </c>
      <c r="AN17" s="80" t="n">
        <f aca="false">IF(L17=0,0,Z17/L17)</f>
        <v>0.402150989128418</v>
      </c>
      <c r="AO17" s="81" t="str">
        <f aca="false">IF(AN17="","",IF(AN17&gt;=0.9,"🟢",IF(AN17&gt;=0.7,"🟡",IF(AN17&gt;=0.5,"🟠","🔴"))))</f>
        <v>🔴</v>
      </c>
      <c r="AP17" s="82" t="n">
        <f aca="false">IF(L17=0,0,L17-Z17)</f>
        <v>26910.29</v>
      </c>
      <c r="AQ17" s="83" t="n">
        <f aca="false">IF(AP17=0,"",RANK(AP17,AP$4:AP$503,0))</f>
        <v>12</v>
      </c>
      <c r="AR17" s="84" t="s">
        <v>20</v>
      </c>
      <c r="AS17" s="85" t="s">
        <v>118</v>
      </c>
      <c r="AT17" s="86" t="n">
        <f aca="false">COUNTIF(C$4:C$503,AS17)</f>
        <v>42</v>
      </c>
      <c r="AU17" s="87" t="n">
        <f aca="false">COUNTIFS(C$4:C$503,AS17,Z$4:Z$503,"&gt;0")</f>
        <v>42</v>
      </c>
      <c r="AV17" s="88" t="n">
        <f aca="false">SUMIF(C$4:C$503,AS17,L$4:L$503)</f>
        <v>438148.58</v>
      </c>
      <c r="AW17" s="88" t="n">
        <f aca="false">SUMIF(C$4:C$503,AS17,Z$4:Z$503)</f>
        <v>186157.1</v>
      </c>
      <c r="AX17" s="89" t="n">
        <f aca="false">IF(AV17=0,0,AW17/AV17)</f>
        <v>0.424872083346704</v>
      </c>
      <c r="AY17" s="90" t="str">
        <f aca="false">IF(AX17&gt;=0.6,"🟢 VERDE",IF(AX17&gt;=0.4,"🟡 AMARELO",IF(AX17&gt;=0.01,"🔴 VERMELHO","🟣 ROXO")))</f>
        <v>🟡 AMARELO</v>
      </c>
      <c r="AZ17" s="90" t="str">
        <f aca="false">IF(AX17&gt;=0.6,"JBP",IF(AX17&gt;=0.4,"Sell Out",IF(AX17&gt;=0.1,"Positivação + Expandir",IF(AX17&gt;=0.01,"Ativar + Prospectar","Mapear + Prospectar"))))</f>
        <v>Sell Out</v>
      </c>
      <c r="BA17" s="56" t="s">
        <v>20</v>
      </c>
      <c r="BB17" s="91" t="n">
        <f aca="false">SUM(L$4:L$503)/COUNTA(A$4:A$503)</f>
        <v>9494.39992</v>
      </c>
      <c r="BC17" s="92" t="n">
        <f aca="false">SUM(M$4:M$503)/COUNTA(A$4:A$503)</f>
        <v>667.20008</v>
      </c>
      <c r="BD17" s="92" t="n">
        <f aca="false">SUM(N$4:N$503)/COUNTA(A$4:A$503)</f>
        <v>697.19996</v>
      </c>
      <c r="BE17" s="92" t="n">
        <f aca="false">SUM(O$4:O$503)/COUNTA(A$4:A$503)</f>
        <v>713.9999</v>
      </c>
      <c r="BF17" s="92" t="n">
        <f aca="false">SUM(P$4:P$503)/COUNTA(A$4:A$503)</f>
        <v>732.59984</v>
      </c>
      <c r="BG17" s="92" t="n">
        <f aca="false">SUM(Q$4:Q$503)/COUNTA(A$4:A$503)</f>
        <v>756.59992</v>
      </c>
      <c r="BH17" s="92" t="n">
        <f aca="false">SUM(R$4:R$503)/COUNTA(A$4:A$503)</f>
        <v>776.40004</v>
      </c>
      <c r="BI17" s="92" t="n">
        <f aca="false">SUM(S$4:S$503)/COUNTA(A$4:A$503)</f>
        <v>806.40012</v>
      </c>
      <c r="BJ17" s="92" t="n">
        <f aca="false">SUM(T$4:T$503)/COUNTA(A$4:A$503)</f>
        <v>826.1999</v>
      </c>
      <c r="BK17" s="92" t="n">
        <f aca="false">SUM(U$4:U$503)/COUNTA(A$4:A$503)</f>
        <v>844.8002</v>
      </c>
      <c r="BL17" s="92" t="n">
        <f aca="false">SUM(V$4:V$503)/COUNTA(A$4:A$503)</f>
        <v>865.7998</v>
      </c>
      <c r="BM17" s="92" t="n">
        <f aca="false">SUM(W$4:W$503)/COUNTA(A$4:A$503)</f>
        <v>888.59982</v>
      </c>
      <c r="BN17" s="93" t="n">
        <f aca="false">SUM(X$4:X$503)/COUNTA(A$4:A$503)</f>
        <v>918.60034</v>
      </c>
      <c r="BO17" s="94" t="s">
        <v>20</v>
      </c>
      <c r="BP17" s="91" t="n">
        <f aca="false">IF(Z17&gt;=BB17,0,IFERROR(BB17+(SUMPRODUCT((Z$4:Z$503&gt;=BB$4:BB$503)*(Z$4:Z$503-BB$4:BB$503))/MAX(1,COUNTIF(Z$4:Z$503,"&lt;"&amp;BB17+0.01))),BB17))</f>
        <v>0</v>
      </c>
      <c r="BQ17" s="92" t="n">
        <f aca="false">IF(AA17&gt;=BC17,0,IFERROR(BC17+SUMPRODUCT((AA$4:AA$503&gt;=BC$4:BC$503)*(AA$4:AA$503-BC$4:BC$503))/MAX(1,COUNTIF(AA$4:AA$503,"&lt;"&amp;BC17+0.01)),BC17))</f>
        <v>2238.46589176471</v>
      </c>
      <c r="BR17" s="92" t="n">
        <f aca="false">IF(AB17&gt;=BD17,0,IFERROR(BD17+SUMPRODUCT((AB$4:AB$503&gt;=BD$4:BD$503)*(AB$4:AB$503-BD$4:BD$503))/MAX(1,COUNTIF(AB$4:AB$503,"&lt;"&amp;BD17+0.01)),BD17))</f>
        <v>0</v>
      </c>
      <c r="BS17" s="92" t="n">
        <f aca="false">IF(AC17&gt;=BE17,0,IFERROR(BE17+SUMPRODUCT((AC$4:AC$503&gt;=BE$4:BE$503)*(AC$4:AC$503-BE$4:BE$503))/MAX(1,COUNTIF(AC$4:AC$503,"&lt;"&amp;BE17+0.01)),BE17))</f>
        <v>6188.73352</v>
      </c>
      <c r="BT17" s="92" t="n">
        <f aca="false">IF(AD17&gt;=BF17,0,IFERROR(BF17+SUMPRODUCT((AD$4:AD$503&gt;=BF$4:BF$503)*(AD$4:AD$503-BF$4:BF$503))/MAX(1,COUNTIF(AD$4:AD$503,"&lt;"&amp;BF17+0.01)),BF17))</f>
        <v>0</v>
      </c>
      <c r="BU17" s="92" t="n">
        <f aca="false">IF(AE17&gt;=BG17,0,IFERROR(BG17+SUMPRODUCT((AE$4:AE$503&gt;=BG$4:BG$503)*(AE$4:AE$503-BG$4:BG$503))/MAX(1,COUNTIF(AE$4:AE$503,"&lt;"&amp;BG17+0.01)),BG17))</f>
        <v>0</v>
      </c>
      <c r="BV17" s="92" t="n">
        <f aca="false">IF(AF17&gt;=BH17,0,IFERROR(BH17+SUMPRODUCT((AF$4:AF$503&gt;=BH$4:BH$503)*(AF$4:AF$503-BH$4:BH$503))/MAX(1,COUNTIF(AF$4:AF$503,"&lt;"&amp;BH17+0.01)),BH17))</f>
        <v>9942.6503831579</v>
      </c>
      <c r="BW17" s="92" t="n">
        <f aca="false">IF(AG17&gt;=BI17,0,IFERROR(BI17+SUMPRODUCT((AG$4:AG$503&gt;=BI$4:BI$503)*(AG$4:AG$503-BI$4:BI$503))/MAX(1,COUNTIF(AG$4:AG$503,"&lt;"&amp;BI17+0.01)),BI17))</f>
        <v>0</v>
      </c>
      <c r="BX17" s="92" t="n">
        <f aca="false">IF(AH17&gt;=BJ17,0,IFERROR(BJ17+SUMPRODUCT((AH$4:AH$503&gt;=BJ$4:BJ$503)*(AH$4:AH$503-BJ$4:BJ$503))/MAX(1,COUNTIF(AH$4:AH$503,"&lt;"&amp;BJ17+0.01)),BJ17))</f>
        <v>0</v>
      </c>
      <c r="BY17" s="92" t="n">
        <f aca="false">IF(AI17&gt;=BK17,0,IFERROR(BK17+SUMPRODUCT((AI$4:AI$503&gt;=BK$4:BK$503)*(AI$4:AI$503-BK$4:BK$503))/MAX(1,COUNTIF(AI$4:AI$503,"&lt;"&amp;BK17+0.01)),BK17))</f>
        <v>0</v>
      </c>
      <c r="BZ17" s="92" t="n">
        <f aca="false">IF(AJ17&gt;=BL17,0,IFERROR(BL17+SUMPRODUCT((AJ$4:AJ$503&gt;=BL$4:BL$503)*(AJ$4:AJ$503-BL$4:BL$503))/MAX(1,COUNTIF(AJ$4:AJ$503,"&lt;"&amp;BL17+0.01)),BL17))</f>
        <v>0</v>
      </c>
      <c r="CA17" s="92" t="n">
        <f aca="false">IF(AK17&gt;=BM17,0,IFERROR(BM17+SUMPRODUCT((AK$4:AK$503&gt;=BM$4:BM$503)*(AK$4:AK$503-BM$4:BM$503))/MAX(1,COUNTIF(AK$4:AK$503,"&lt;"&amp;BM17+0.01)),BM17))</f>
        <v>7314.89836842105</v>
      </c>
      <c r="CB17" s="93" t="n">
        <f aca="false">IF(AL17&gt;=BN17,0,IFERROR(BN17+SUMPRODUCT((AL$4:AL$503&gt;=BN$4:BN$503)*(AL$4:AL$503-BN$4:BN$503))/MAX(1,COUNTIF(AL$4:AL$503,"&lt;"&amp;BN17+0.01)),BN17))</f>
        <v>3597.2614925</v>
      </c>
      <c r="CC17" s="95" t="str">
        <f aca="false">IF(AO17="🟢","VERDE",IF(AO17="🟡","AMARELO",IF(AO17="🟠","VERMELHO",IF(AO17="🔴","VERMELHO","ROXO"))))</f>
        <v>VERMELHO</v>
      </c>
      <c r="CD17" s="96" t="s">
        <v>103</v>
      </c>
      <c r="CE17" s="96" t="s">
        <v>104</v>
      </c>
    </row>
    <row r="18" customFormat="false" ht="14.25" hidden="false" customHeight="true" outlineLevel="0" collapsed="false">
      <c r="A18" s="65" t="s">
        <v>152</v>
      </c>
      <c r="B18" s="66" t="s">
        <v>153</v>
      </c>
      <c r="C18" s="67" t="s">
        <v>118</v>
      </c>
      <c r="D18" s="68" t="s">
        <v>100</v>
      </c>
      <c r="E18" s="69" t="s">
        <v>119</v>
      </c>
      <c r="F18" s="70" t="n">
        <f aca="false">IFERROR(VLOOKUP(C18,$AS$3:$AT$10,2,FALSE()),IFERROR(VLOOKUP(C18,$AS$15:$AT$22,2,FALSE()),""))</f>
        <v>42</v>
      </c>
      <c r="G18" s="71" t="n">
        <f aca="false">IFERROR(VLOOKUP(C18,$AS$3:$AX$10,6,FALSE()),IFERROR(VLOOKUP(C18,$AS$15:$AX$22,6,FALSE()),""))</f>
        <v>0.424872083346704</v>
      </c>
      <c r="H18" s="72" t="str">
        <f aca="false">IFERROR(VLOOKUP(C18,$AS$3:$AY$10,7,FALSE()),IFERROR(VLOOKUP(C18,$AS$15:$AY$22,7,FALSE()),""))</f>
        <v>🟡 AMARELO</v>
      </c>
      <c r="I18" s="72" t="str">
        <f aca="false">IFERROR(VLOOKUP(C18,$AS$3:$AZ$10,8,FALSE()),IFERROR(VLOOKUP(C18,$AS$15:$AZ$22,8,FALSE()),""))</f>
        <v>Sell Out</v>
      </c>
      <c r="J18" s="73"/>
      <c r="K18" s="69" t="s">
        <v>118</v>
      </c>
      <c r="L18" s="74" t="n">
        <v>43421.47</v>
      </c>
      <c r="M18" s="75" t="n">
        <v>3051.36</v>
      </c>
      <c r="N18" s="75" t="n">
        <v>3188.56</v>
      </c>
      <c r="O18" s="75" t="n">
        <v>3265.39</v>
      </c>
      <c r="P18" s="75" t="n">
        <v>3350.46</v>
      </c>
      <c r="Q18" s="75" t="n">
        <v>3460.22</v>
      </c>
      <c r="R18" s="75" t="n">
        <v>3550.77</v>
      </c>
      <c r="S18" s="75" t="n">
        <v>3687.97</v>
      </c>
      <c r="T18" s="75" t="n">
        <v>3778.52</v>
      </c>
      <c r="U18" s="75" t="n">
        <v>3863.59</v>
      </c>
      <c r="V18" s="75" t="n">
        <v>3959.63</v>
      </c>
      <c r="W18" s="75" t="n">
        <v>4063.9</v>
      </c>
      <c r="X18" s="76" t="n">
        <v>4201.1</v>
      </c>
      <c r="Y18" s="77" t="s">
        <v>20</v>
      </c>
      <c r="Z18" s="78" t="n">
        <f aca="false">SUM(AA18:AL18)</f>
        <v>18175.27</v>
      </c>
      <c r="AA18" s="75"/>
      <c r="AB18" s="75"/>
      <c r="AC18" s="75"/>
      <c r="AD18" s="75"/>
      <c r="AE18" s="79" t="n">
        <v>1710.88</v>
      </c>
      <c r="AF18" s="79" t="n">
        <v>4099.8</v>
      </c>
      <c r="AG18" s="79" t="n">
        <v>7115.96</v>
      </c>
      <c r="AH18" s="75"/>
      <c r="AI18" s="75"/>
      <c r="AJ18" s="79" t="n">
        <v>3508.11</v>
      </c>
      <c r="AK18" s="75"/>
      <c r="AL18" s="107" t="n">
        <v>1740.52</v>
      </c>
      <c r="AM18" s="56" t="s">
        <v>20</v>
      </c>
      <c r="AN18" s="80" t="n">
        <f aca="false">IF(L18=0,0,Z18/L18)</f>
        <v>0.418577952335561</v>
      </c>
      <c r="AO18" s="81" t="str">
        <f aca="false">IF(AN18="","",IF(AN18&gt;=0.9,"🟢",IF(AN18&gt;=0.7,"🟡",IF(AN18&gt;=0.5,"🟠","🔴"))))</f>
        <v>🔴</v>
      </c>
      <c r="AP18" s="82" t="n">
        <f aca="false">IF(L18=0,0,L18-Z18)</f>
        <v>25246.2</v>
      </c>
      <c r="AQ18" s="83" t="n">
        <f aca="false">IF(AP18=0,"",RANK(AP18,AP$4:AP$503,0))</f>
        <v>14</v>
      </c>
      <c r="AR18" s="84" t="s">
        <v>20</v>
      </c>
      <c r="AS18" s="85" t="s">
        <v>113</v>
      </c>
      <c r="AT18" s="86" t="n">
        <f aca="false">COUNTIF(C$4:C$503,AS18)</f>
        <v>49</v>
      </c>
      <c r="AU18" s="86" t="n">
        <f aca="false">COUNTIFS(C$4:C$503,AS18,Z$4:Z$503,"&gt;0")</f>
        <v>46</v>
      </c>
      <c r="AV18" s="88" t="n">
        <f aca="false">SUMIF(C$4:C$503,AS18,L$4:L$503)</f>
        <v>494616.14</v>
      </c>
      <c r="AW18" s="88" t="n">
        <f aca="false">SUMIF(C$4:C$503,AS18,Z$4:Z$503)</f>
        <v>229484.62</v>
      </c>
      <c r="AX18" s="89" t="n">
        <f aca="false">IF(AV18=0,0,AW18/AV18)</f>
        <v>0.463965086137302</v>
      </c>
      <c r="AY18" s="90" t="str">
        <f aca="false">IF(AX18&gt;=0.6,"🟢 VERDE",IF(AX18&gt;=0.4,"🟡 AMARELO",IF(AX18&gt;=0.01,"🔴 VERMELHO","🟣 ROXO")))</f>
        <v>🟡 AMARELO</v>
      </c>
      <c r="AZ18" s="90" t="str">
        <f aca="false">IF(AX18&gt;=0.6,"JBP",IF(AX18&gt;=0.4,"Sell Out",IF(AX18&gt;=0.1,"Positivação + Expandir",IF(AX18&gt;=0.01,"Ativar + Prospectar","Mapear + Prospectar"))))</f>
        <v>Sell Out</v>
      </c>
      <c r="BA18" s="56" t="s">
        <v>20</v>
      </c>
      <c r="BB18" s="91" t="n">
        <f aca="false">SUM(L$4:L$503)/COUNTA(A$4:A$503)</f>
        <v>9494.39992</v>
      </c>
      <c r="BC18" s="92" t="n">
        <f aca="false">SUM(M$4:M$503)/COUNTA(A$4:A$503)</f>
        <v>667.20008</v>
      </c>
      <c r="BD18" s="92" t="n">
        <f aca="false">SUM(N$4:N$503)/COUNTA(A$4:A$503)</f>
        <v>697.19996</v>
      </c>
      <c r="BE18" s="92" t="n">
        <f aca="false">SUM(O$4:O$503)/COUNTA(A$4:A$503)</f>
        <v>713.9999</v>
      </c>
      <c r="BF18" s="92" t="n">
        <f aca="false">SUM(P$4:P$503)/COUNTA(A$4:A$503)</f>
        <v>732.59984</v>
      </c>
      <c r="BG18" s="92" t="n">
        <f aca="false">SUM(Q$4:Q$503)/COUNTA(A$4:A$503)</f>
        <v>756.59992</v>
      </c>
      <c r="BH18" s="92" t="n">
        <f aca="false">SUM(R$4:R$503)/COUNTA(A$4:A$503)</f>
        <v>776.40004</v>
      </c>
      <c r="BI18" s="92" t="n">
        <f aca="false">SUM(S$4:S$503)/COUNTA(A$4:A$503)</f>
        <v>806.40012</v>
      </c>
      <c r="BJ18" s="92" t="n">
        <f aca="false">SUM(T$4:T$503)/COUNTA(A$4:A$503)</f>
        <v>826.1999</v>
      </c>
      <c r="BK18" s="92" t="n">
        <f aca="false">SUM(U$4:U$503)/COUNTA(A$4:A$503)</f>
        <v>844.8002</v>
      </c>
      <c r="BL18" s="92" t="n">
        <f aca="false">SUM(V$4:V$503)/COUNTA(A$4:A$503)</f>
        <v>865.7998</v>
      </c>
      <c r="BM18" s="92" t="n">
        <f aca="false">SUM(W$4:W$503)/COUNTA(A$4:A$503)</f>
        <v>888.59982</v>
      </c>
      <c r="BN18" s="93" t="n">
        <f aca="false">SUM(X$4:X$503)/COUNTA(A$4:A$503)</f>
        <v>918.60034</v>
      </c>
      <c r="BO18" s="94" t="s">
        <v>20</v>
      </c>
      <c r="BP18" s="91" t="n">
        <f aca="false">IF(Z18&gt;=BB18,0,IFERROR(BB18+(SUMPRODUCT((Z$4:Z$503&gt;=BB$4:BB$503)*(Z$4:Z$503-BB$4:BB$503))/MAX(1,COUNTIF(Z$4:Z$503,"&lt;"&amp;BB18+0.01))),BB18))</f>
        <v>0</v>
      </c>
      <c r="BQ18" s="92" t="n">
        <f aca="false">IF(AA18&gt;=BC18,0,IFERROR(BC18+SUMPRODUCT((AA$4:AA$503&gt;=BC$4:BC$503)*(AA$4:AA$503-BC$4:BC$503))/MAX(1,COUNTIF(AA$4:AA$503,"&lt;"&amp;BC18+0.01)),BC18))</f>
        <v>2238.46589176471</v>
      </c>
      <c r="BR18" s="92" t="n">
        <f aca="false">IF(AB18&gt;=BD18,0,IFERROR(BD18+SUMPRODUCT((AB$4:AB$503&gt;=BD$4:BD$503)*(AB$4:AB$503-BD$4:BD$503))/MAX(1,COUNTIF(AB$4:AB$503,"&lt;"&amp;BD18+0.01)),BD18))</f>
        <v>3335.2938</v>
      </c>
      <c r="BS18" s="92" t="n">
        <f aca="false">IF(AC18&gt;=BE18,0,IFERROR(BE18+SUMPRODUCT((AC$4:AC$503&gt;=BE$4:BE$503)*(AC$4:AC$503-BE$4:BE$503))/MAX(1,COUNTIF(AC$4:AC$503,"&lt;"&amp;BE18+0.01)),BE18))</f>
        <v>6188.73352</v>
      </c>
      <c r="BT18" s="92" t="n">
        <f aca="false">IF(AD18&gt;=BF18,0,IFERROR(BF18+SUMPRODUCT((AD$4:AD$503&gt;=BF$4:BF$503)*(AD$4:AD$503-BF$4:BF$503))/MAX(1,COUNTIF(AD$4:AD$503,"&lt;"&amp;BF18+0.01)),BF18))</f>
        <v>11354.35411</v>
      </c>
      <c r="BU18" s="92" t="n">
        <f aca="false">IF(AE18&gt;=BG18,0,IFERROR(BG18+SUMPRODUCT((AE$4:AE$503&gt;=BG$4:BG$503)*(AE$4:AE$503-BG$4:BG$503))/MAX(1,COUNTIF(AE$4:AE$503,"&lt;"&amp;BG18+0.01)),BG18))</f>
        <v>0</v>
      </c>
      <c r="BV18" s="92" t="n">
        <f aca="false">IF(AF18&gt;=BH18,0,IFERROR(BH18+SUMPRODUCT((AF$4:AF$503&gt;=BH$4:BH$503)*(AF$4:AF$503-BH$4:BH$503))/MAX(1,COUNTIF(AF$4:AF$503,"&lt;"&amp;BH18+0.01)),BH18))</f>
        <v>0</v>
      </c>
      <c r="BW18" s="92" t="n">
        <f aca="false">IF(AG18&gt;=BI18,0,IFERROR(BI18+SUMPRODUCT((AG$4:AG$503&gt;=BI$4:BI$503)*(AG$4:AG$503-BI$4:BI$503))/MAX(1,COUNTIF(AG$4:AG$503,"&lt;"&amp;BI18+0.01)),BI18))</f>
        <v>0</v>
      </c>
      <c r="BX18" s="92" t="n">
        <f aca="false">IF(AH18&gt;=BJ18,0,IFERROR(BJ18+SUMPRODUCT((AH$4:AH$503&gt;=BJ$4:BJ$503)*(AH$4:AH$503-BJ$4:BJ$503))/MAX(1,COUNTIF(AH$4:AH$503,"&lt;"&amp;BJ18+0.01)),BJ18))</f>
        <v>5621.50263448276</v>
      </c>
      <c r="BY18" s="92" t="n">
        <f aca="false">IF(AI18&gt;=BK18,0,IFERROR(BK18+SUMPRODUCT((AI$4:AI$503&gt;=BK$4:BK$503)*(AI$4:AI$503-BK$4:BK$503))/MAX(1,COUNTIF(AI$4:AI$503,"&lt;"&amp;BK18+0.01)),BK18))</f>
        <v>7878.25652380952</v>
      </c>
      <c r="BZ18" s="92" t="n">
        <f aca="false">IF(AJ18&gt;=BL18,0,IFERROR(BL18+SUMPRODUCT((AJ$4:AJ$503&gt;=BL$4:BL$503)*(AJ$4:AJ$503-BL$4:BL$503))/MAX(1,COUNTIF(AJ$4:AJ$503,"&lt;"&amp;BL18+0.01)),BL18))</f>
        <v>0</v>
      </c>
      <c r="CA18" s="92" t="n">
        <f aca="false">IF(AK18&gt;=BM18,0,IFERROR(BM18+SUMPRODUCT((AK$4:AK$503&gt;=BM$4:BM$503)*(AK$4:AK$503-BM$4:BM$503))/MAX(1,COUNTIF(AK$4:AK$503,"&lt;"&amp;BM18+0.01)),BM18))</f>
        <v>7314.89836842105</v>
      </c>
      <c r="CB18" s="93" t="n">
        <f aca="false">IF(AL18&gt;=BN18,0,IFERROR(BN18+SUMPRODUCT((AL$4:AL$503&gt;=BN$4:BN$503)*(AL$4:AL$503-BN$4:BN$503))/MAX(1,COUNTIF(AL$4:AL$503,"&lt;"&amp;BN18+0.01)),BN18))</f>
        <v>0</v>
      </c>
      <c r="CC18" s="95" t="str">
        <f aca="false">IF(AO18="🟢","VERDE",IF(AO18="🟡","AMARELO",IF(AO18="🟠","VERMELHO",IF(AO18="🔴","VERMELHO","ROXO"))))</f>
        <v>VERMELHO</v>
      </c>
      <c r="CD18" s="96" t="s">
        <v>103</v>
      </c>
      <c r="CE18" s="96" t="s">
        <v>104</v>
      </c>
    </row>
    <row r="19" customFormat="false" ht="14.25" hidden="false" customHeight="true" outlineLevel="0" collapsed="false">
      <c r="A19" s="65" t="s">
        <v>154</v>
      </c>
      <c r="B19" s="66" t="s">
        <v>155</v>
      </c>
      <c r="C19" s="67" t="s">
        <v>123</v>
      </c>
      <c r="D19" s="68" t="s">
        <v>108</v>
      </c>
      <c r="E19" s="56" t="s">
        <v>20</v>
      </c>
      <c r="F19" s="70" t="n">
        <f aca="false">IFERROR(VLOOKUP(C19,$AS$3:$AT$10,2,FALSE()),IFERROR(VLOOKUP(C19,$AS$15:$AT$22,2,FALSE()),""))</f>
        <v>49</v>
      </c>
      <c r="G19" s="71" t="n">
        <f aca="false">IFERROR(VLOOKUP(C19,$AS$3:$AX$10,6,FALSE()),IFERROR(VLOOKUP(C19,$AS$15:$AX$22,6,FALSE()),""))</f>
        <v>0.436391353881959</v>
      </c>
      <c r="H19" s="72" t="str">
        <f aca="false">IFERROR(VLOOKUP(C19,$AS$3:$AY$10,7,FALSE()),IFERROR(VLOOKUP(C19,$AS$15:$AY$22,7,FALSE()),""))</f>
        <v>🟡 AMARELO</v>
      </c>
      <c r="I19" s="72" t="str">
        <f aca="false">IFERROR(VLOOKUP(C19,$AS$3:$AZ$10,8,FALSE()),IFERROR(VLOOKUP(C19,$AS$15:$AZ$22,8,FALSE()),""))</f>
        <v>Sell Out</v>
      </c>
      <c r="J19" s="73"/>
      <c r="K19" s="56" t="s">
        <v>20</v>
      </c>
      <c r="L19" s="74" t="n">
        <v>41090.39</v>
      </c>
      <c r="M19" s="75" t="n">
        <v>2887.54</v>
      </c>
      <c r="N19" s="75" t="n">
        <v>3017.38</v>
      </c>
      <c r="O19" s="75" t="n">
        <v>3090.09</v>
      </c>
      <c r="P19" s="75" t="n">
        <v>3170.59</v>
      </c>
      <c r="Q19" s="75" t="n">
        <v>3274.46</v>
      </c>
      <c r="R19" s="75" t="n">
        <v>3360.15</v>
      </c>
      <c r="S19" s="75" t="n">
        <v>3489.98</v>
      </c>
      <c r="T19" s="75" t="n">
        <v>3575.67</v>
      </c>
      <c r="U19" s="75" t="n">
        <v>3656.17</v>
      </c>
      <c r="V19" s="75" t="n">
        <v>3747.06</v>
      </c>
      <c r="W19" s="75" t="n">
        <v>3845.73</v>
      </c>
      <c r="X19" s="76" t="n">
        <v>3975.57</v>
      </c>
      <c r="Y19" s="77" t="s">
        <v>20</v>
      </c>
      <c r="Z19" s="78" t="n">
        <f aca="false">SUM(AA19:AL19)</f>
        <v>19357.05</v>
      </c>
      <c r="AA19" s="75"/>
      <c r="AB19" s="75"/>
      <c r="AC19" s="75"/>
      <c r="AD19" s="75"/>
      <c r="AE19" s="75"/>
      <c r="AF19" s="75"/>
      <c r="AG19" s="75" t="n">
        <v>3314.24</v>
      </c>
      <c r="AH19" s="75" t="n">
        <v>1148.79</v>
      </c>
      <c r="AI19" s="75" t="n">
        <v>5698.98</v>
      </c>
      <c r="AJ19" s="75" t="n">
        <v>2464.38</v>
      </c>
      <c r="AK19" s="75" t="n">
        <v>2024.55</v>
      </c>
      <c r="AL19" s="76" t="n">
        <v>4706.11</v>
      </c>
      <c r="AM19" s="56" t="s">
        <v>20</v>
      </c>
      <c r="AN19" s="80" t="n">
        <f aca="false">IF(L19=0,0,Z19/L19)</f>
        <v>0.471084601533351</v>
      </c>
      <c r="AO19" s="81" t="str">
        <f aca="false">IF(AN19="","",IF(AN19&gt;=0.9,"🟢",IF(AN19&gt;=0.7,"🟡",IF(AN19&gt;=0.5,"🟠","🔴"))))</f>
        <v>🔴</v>
      </c>
      <c r="AP19" s="82" t="n">
        <f aca="false">IF(L19=0,0,L19-Z19)</f>
        <v>21733.34</v>
      </c>
      <c r="AQ19" s="83" t="n">
        <f aca="false">IF(AP19=0,"",RANK(AP19,AP$4:AP$503,0))</f>
        <v>19</v>
      </c>
      <c r="AR19" s="84" t="s">
        <v>20</v>
      </c>
      <c r="AS19" s="85" t="s">
        <v>99</v>
      </c>
      <c r="AT19" s="86" t="n">
        <f aca="false">COUNTIF(C$4:C$503,AS19)</f>
        <v>33</v>
      </c>
      <c r="AU19" s="86" t="n">
        <f aca="false">COUNTIFS(C$4:C$503,AS19,Z$4:Z$503,"&gt;0")</f>
        <v>33</v>
      </c>
      <c r="AV19" s="88" t="n">
        <f aca="false">SUMIF(C$4:C$503,AS19,L$4:L$503)</f>
        <v>591578.79</v>
      </c>
      <c r="AW19" s="88" t="n">
        <f aca="false">SUMIF(C$4:C$503,AS19,Z$4:Z$503)</f>
        <v>202020.63</v>
      </c>
      <c r="AX19" s="89" t="n">
        <f aca="false">IF(AV19=0,0,AW19/AV19)</f>
        <v>0.341494038351172</v>
      </c>
      <c r="AY19" s="90" t="str">
        <f aca="false">IF(AX19&gt;=0.6,"🟢 VERDE",IF(AX19&gt;=0.4,"🟡 AMARELO",IF(AX19&gt;=0.01,"🔴 VERMELHO","🟣 ROXO")))</f>
        <v>🔴 VERMELHO</v>
      </c>
      <c r="AZ19" s="90" t="str">
        <f aca="false">IF(AX19&gt;=0.6,"JBP",IF(AX19&gt;=0.4,"Sell Out",IF(AX19&gt;=0.1,"Positivação + Expandir",IF(AX19&gt;=0.01,"Ativar + Prospectar","Mapear + Prospectar"))))</f>
        <v>Positivação + Expandir</v>
      </c>
      <c r="BA19" s="56" t="s">
        <v>20</v>
      </c>
      <c r="BB19" s="91" t="n">
        <f aca="false">SUM(L$4:L$503)/COUNTA(A$4:A$503)</f>
        <v>9494.39992</v>
      </c>
      <c r="BC19" s="92" t="n">
        <f aca="false">SUM(M$4:M$503)/COUNTA(A$4:A$503)</f>
        <v>667.20008</v>
      </c>
      <c r="BD19" s="92" t="n">
        <f aca="false">SUM(N$4:N$503)/COUNTA(A$4:A$503)</f>
        <v>697.19996</v>
      </c>
      <c r="BE19" s="92" t="n">
        <f aca="false">SUM(O$4:O$503)/COUNTA(A$4:A$503)</f>
        <v>713.9999</v>
      </c>
      <c r="BF19" s="92" t="n">
        <f aca="false">SUM(P$4:P$503)/COUNTA(A$4:A$503)</f>
        <v>732.59984</v>
      </c>
      <c r="BG19" s="92" t="n">
        <f aca="false">SUM(Q$4:Q$503)/COUNTA(A$4:A$503)</f>
        <v>756.59992</v>
      </c>
      <c r="BH19" s="92" t="n">
        <f aca="false">SUM(R$4:R$503)/COUNTA(A$4:A$503)</f>
        <v>776.40004</v>
      </c>
      <c r="BI19" s="92" t="n">
        <f aca="false">SUM(S$4:S$503)/COUNTA(A$4:A$503)</f>
        <v>806.40012</v>
      </c>
      <c r="BJ19" s="92" t="n">
        <f aca="false">SUM(T$4:T$503)/COUNTA(A$4:A$503)</f>
        <v>826.1999</v>
      </c>
      <c r="BK19" s="92" t="n">
        <f aca="false">SUM(U$4:U$503)/COUNTA(A$4:A$503)</f>
        <v>844.8002</v>
      </c>
      <c r="BL19" s="92" t="n">
        <f aca="false">SUM(V$4:V$503)/COUNTA(A$4:A$503)</f>
        <v>865.7998</v>
      </c>
      <c r="BM19" s="92" t="n">
        <f aca="false">SUM(W$4:W$503)/COUNTA(A$4:A$503)</f>
        <v>888.59982</v>
      </c>
      <c r="BN19" s="93" t="n">
        <f aca="false">SUM(X$4:X$503)/COUNTA(A$4:A$503)</f>
        <v>918.60034</v>
      </c>
      <c r="BO19" s="94" t="s">
        <v>20</v>
      </c>
      <c r="BP19" s="91" t="n">
        <f aca="false">IF(Z19&gt;=BB19,0,IFERROR(BB19+(SUMPRODUCT((Z$4:Z$503&gt;=BB$4:BB$503)*(Z$4:Z$503-BB$4:BB$503))/MAX(1,COUNTIF(Z$4:Z$503,"&lt;"&amp;BB19+0.01))),BB19))</f>
        <v>0</v>
      </c>
      <c r="BQ19" s="92" t="n">
        <f aca="false">IF(AA19&gt;=BC19,0,IFERROR(BC19+SUMPRODUCT((AA$4:AA$503&gt;=BC$4:BC$503)*(AA$4:AA$503-BC$4:BC$503))/MAX(1,COUNTIF(AA$4:AA$503,"&lt;"&amp;BC19+0.01)),BC19))</f>
        <v>2238.46589176471</v>
      </c>
      <c r="BR19" s="92" t="n">
        <f aca="false">IF(AB19&gt;=BD19,0,IFERROR(BD19+SUMPRODUCT((AB$4:AB$503&gt;=BD$4:BD$503)*(AB$4:AB$503-BD$4:BD$503))/MAX(1,COUNTIF(AB$4:AB$503,"&lt;"&amp;BD19+0.01)),BD19))</f>
        <v>3335.2938</v>
      </c>
      <c r="BS19" s="92" t="n">
        <f aca="false">IF(AC19&gt;=BE19,0,IFERROR(BE19+SUMPRODUCT((AC$4:AC$503&gt;=BE$4:BE$503)*(AC$4:AC$503-BE$4:BE$503))/MAX(1,COUNTIF(AC$4:AC$503,"&lt;"&amp;BE19+0.01)),BE19))</f>
        <v>6188.73352</v>
      </c>
      <c r="BT19" s="92" t="n">
        <f aca="false">IF(AD19&gt;=BF19,0,IFERROR(BF19+SUMPRODUCT((AD$4:AD$503&gt;=BF$4:BF$503)*(AD$4:AD$503-BF$4:BF$503))/MAX(1,COUNTIF(AD$4:AD$503,"&lt;"&amp;BF19+0.01)),BF19))</f>
        <v>11354.35411</v>
      </c>
      <c r="BU19" s="92" t="n">
        <f aca="false">IF(AE19&gt;=BG19,0,IFERROR(BG19+SUMPRODUCT((AE$4:AE$503&gt;=BG$4:BG$503)*(AE$4:AE$503-BG$4:BG$503))/MAX(1,COUNTIF(AE$4:AE$503,"&lt;"&amp;BG19+0.01)),BG19))</f>
        <v>7704.85920380952</v>
      </c>
      <c r="BV19" s="92" t="n">
        <f aca="false">IF(AF19&gt;=BH19,0,IFERROR(BH19+SUMPRODUCT((AF$4:AF$503&gt;=BH$4:BH$503)*(AF$4:AF$503-BH$4:BH$503))/MAX(1,COUNTIF(AF$4:AF$503,"&lt;"&amp;BH19+0.01)),BH19))</f>
        <v>9942.6503831579</v>
      </c>
      <c r="BW19" s="92" t="n">
        <f aca="false">IF(AG19&gt;=BI19,0,IFERROR(BI19+SUMPRODUCT((AG$4:AG$503&gt;=BI$4:BI$503)*(AG$4:AG$503-BI$4:BI$503))/MAX(1,COUNTIF(AG$4:AG$503,"&lt;"&amp;BI19+0.01)),BI19))</f>
        <v>0</v>
      </c>
      <c r="BX19" s="92" t="n">
        <f aca="false">IF(AH19&gt;=BJ19,0,IFERROR(BJ19+SUMPRODUCT((AH$4:AH$503&gt;=BJ$4:BJ$503)*(AH$4:AH$503-BJ$4:BJ$503))/MAX(1,COUNTIF(AH$4:AH$503,"&lt;"&amp;BJ19+0.01)),BJ19))</f>
        <v>0</v>
      </c>
      <c r="BY19" s="92" t="n">
        <f aca="false">IF(AI19&gt;=BK19,0,IFERROR(BK19+SUMPRODUCT((AI$4:AI$503&gt;=BK$4:BK$503)*(AI$4:AI$503-BK$4:BK$503))/MAX(1,COUNTIF(AI$4:AI$503,"&lt;"&amp;BK19+0.01)),BK19))</f>
        <v>0</v>
      </c>
      <c r="BZ19" s="92" t="n">
        <f aca="false">IF(AJ19&gt;=BL19,0,IFERROR(BL19+SUMPRODUCT((AJ$4:AJ$503&gt;=BL$4:BL$503)*(AJ$4:AJ$503-BL$4:BL$503))/MAX(1,COUNTIF(AJ$4:AJ$503,"&lt;"&amp;BL19+0.01)),BL19))</f>
        <v>0</v>
      </c>
      <c r="CA19" s="92" t="n">
        <f aca="false">IF(AK19&gt;=BM19,0,IFERROR(BM19+SUMPRODUCT((AK$4:AK$503&gt;=BM$4:BM$503)*(AK$4:AK$503-BM$4:BM$503))/MAX(1,COUNTIF(AK$4:AK$503,"&lt;"&amp;BM19+0.01)),BM19))</f>
        <v>0</v>
      </c>
      <c r="CB19" s="93" t="n">
        <f aca="false">IF(AL19&gt;=BN19,0,IFERROR(BN19+SUMPRODUCT((AL$4:AL$503&gt;=BN$4:BN$503)*(AL$4:AL$503-BN$4:BN$503))/MAX(1,COUNTIF(AL$4:AL$503,"&lt;"&amp;BN19+0.01)),BN19))</f>
        <v>0</v>
      </c>
      <c r="CC19" s="95" t="str">
        <f aca="false">IF(AO19="🟢","VERDE",IF(AO19="🟡","AMARELO",IF(AO19="🟠","VERMELHO",IF(AO19="🔴","VERMELHO","ROXO"))))</f>
        <v>VERMELHO</v>
      </c>
      <c r="CD19" s="96" t="s">
        <v>103</v>
      </c>
      <c r="CE19" s="96" t="s">
        <v>104</v>
      </c>
    </row>
    <row r="20" customFormat="false" ht="14.25" hidden="false" customHeight="true" outlineLevel="0" collapsed="false">
      <c r="A20" s="65" t="s">
        <v>156</v>
      </c>
      <c r="B20" s="66" t="s">
        <v>157</v>
      </c>
      <c r="C20" s="67" t="s">
        <v>118</v>
      </c>
      <c r="D20" s="68" t="s">
        <v>100</v>
      </c>
      <c r="E20" s="69" t="s">
        <v>119</v>
      </c>
      <c r="F20" s="70" t="n">
        <f aca="false">IFERROR(VLOOKUP(C20,$AS$3:$AT$10,2,FALSE()),IFERROR(VLOOKUP(C20,$AS$15:$AT$22,2,FALSE()),""))</f>
        <v>42</v>
      </c>
      <c r="G20" s="71" t="n">
        <f aca="false">IFERROR(VLOOKUP(C20,$AS$3:$AX$10,6,FALSE()),IFERROR(VLOOKUP(C20,$AS$15:$AX$22,6,FALSE()),""))</f>
        <v>0.424872083346704</v>
      </c>
      <c r="H20" s="72" t="str">
        <f aca="false">IFERROR(VLOOKUP(C20,$AS$3:$AY$10,7,FALSE()),IFERROR(VLOOKUP(C20,$AS$15:$AY$22,7,FALSE()),""))</f>
        <v>🟡 AMARELO</v>
      </c>
      <c r="I20" s="72" t="str">
        <f aca="false">IFERROR(VLOOKUP(C20,$AS$3:$AZ$10,8,FALSE()),IFERROR(VLOOKUP(C20,$AS$15:$AZ$22,8,FALSE()),""))</f>
        <v>Sell Out</v>
      </c>
      <c r="J20" s="73"/>
      <c r="K20" s="69" t="s">
        <v>118</v>
      </c>
      <c r="L20" s="74" t="n">
        <v>40182.04</v>
      </c>
      <c r="M20" s="75" t="n">
        <v>2823.71</v>
      </c>
      <c r="N20" s="75" t="n">
        <v>2950.68</v>
      </c>
      <c r="O20" s="75" t="n">
        <v>3021.78</v>
      </c>
      <c r="P20" s="75" t="n">
        <v>3100.5</v>
      </c>
      <c r="Q20" s="75" t="n">
        <v>3202.07</v>
      </c>
      <c r="R20" s="75" t="n">
        <v>3285.87</v>
      </c>
      <c r="S20" s="75" t="n">
        <v>3412.83</v>
      </c>
      <c r="T20" s="75" t="n">
        <v>3496.63</v>
      </c>
      <c r="U20" s="75" t="n">
        <v>3575.35</v>
      </c>
      <c r="V20" s="75" t="n">
        <v>3664.22</v>
      </c>
      <c r="W20" s="75" t="n">
        <v>3760.72</v>
      </c>
      <c r="X20" s="76" t="n">
        <v>3887.68</v>
      </c>
      <c r="Y20" s="77" t="s">
        <v>20</v>
      </c>
      <c r="Z20" s="78" t="n">
        <f aca="false">SUM(AA20:AL20)</f>
        <v>17607.36</v>
      </c>
      <c r="AA20" s="75"/>
      <c r="AB20" s="75"/>
      <c r="AC20" s="75"/>
      <c r="AD20" s="79" t="n">
        <v>4357.86</v>
      </c>
      <c r="AE20" s="79" t="n">
        <v>5371.12</v>
      </c>
      <c r="AF20" s="79" t="n">
        <v>2564.4</v>
      </c>
      <c r="AG20" s="79" t="n">
        <v>2406.47</v>
      </c>
      <c r="AH20" s="75"/>
      <c r="AI20" s="79" t="n">
        <v>1879.39</v>
      </c>
      <c r="AJ20" s="75"/>
      <c r="AK20" s="75"/>
      <c r="AL20" s="107" t="n">
        <v>1028.12</v>
      </c>
      <c r="AM20" s="56" t="s">
        <v>20</v>
      </c>
      <c r="AN20" s="80" t="n">
        <f aca="false">IF(L20=0,0,Z20/L20)</f>
        <v>0.438189798228263</v>
      </c>
      <c r="AO20" s="81" t="str">
        <f aca="false">IF(AN20="","",IF(AN20&gt;=0.9,"🟢",IF(AN20&gt;=0.7,"🟡",IF(AN20&gt;=0.5,"🟠","🔴"))))</f>
        <v>🔴</v>
      </c>
      <c r="AP20" s="82" t="n">
        <f aca="false">IF(L20=0,0,L20-Z20)</f>
        <v>22574.68</v>
      </c>
      <c r="AQ20" s="83" t="n">
        <f aca="false">IF(AP20=0,"",RANK(AP20,AP$4:AP$503,0))</f>
        <v>15</v>
      </c>
      <c r="AR20" s="84" t="s">
        <v>20</v>
      </c>
      <c r="AS20" s="85" t="s">
        <v>158</v>
      </c>
      <c r="AT20" s="90" t="n">
        <f aca="false">COUNTIF(C$4:C$503,AS20)</f>
        <v>29</v>
      </c>
      <c r="AU20" s="90" t="n">
        <f aca="false">COUNTIFS(C$4:C$503,AS20,Z$4:Z$503,"&gt;0")</f>
        <v>29</v>
      </c>
      <c r="AV20" s="88" t="n">
        <f aca="false">SUMIF(C$4:C$503,AS20,L$4:L$503)</f>
        <v>239240.09</v>
      </c>
      <c r="AW20" s="88" t="n">
        <f aca="false">SUMIF(C$4:C$503,AS20,Z$4:Z$503)</f>
        <v>109706.91</v>
      </c>
      <c r="AX20" s="89" t="n">
        <f aca="false">IF(AV20=0,0,AW20/AV20)</f>
        <v>0.458564072601712</v>
      </c>
      <c r="AY20" s="90" t="str">
        <f aca="false">IF(AX20&gt;=0.6,"🟢 VERDE",IF(AX20&gt;=0.4,"🟡 AMARELO",IF(AX20&gt;=0.01,"🔴 VERMELHO","🟣 ROXO")))</f>
        <v>🟡 AMARELO</v>
      </c>
      <c r="AZ20" s="90" t="str">
        <f aca="false">IF(AX20&gt;=0.6,"JBP",IF(AX20&gt;=0.4,"Sell Out",IF(AX20&gt;=0.1,"Positivação + Expandir",IF(AX20&gt;=0.01,"Ativar + Prospectar","Mapear + Prospectar"))))</f>
        <v>Sell Out</v>
      </c>
      <c r="BA20" s="56" t="s">
        <v>20</v>
      </c>
      <c r="BB20" s="91" t="n">
        <f aca="false">SUM(L$4:L$503)/COUNTA(A$4:A$503)</f>
        <v>9494.39992</v>
      </c>
      <c r="BC20" s="92" t="n">
        <f aca="false">SUM(M$4:M$503)/COUNTA(A$4:A$503)</f>
        <v>667.20008</v>
      </c>
      <c r="BD20" s="92" t="n">
        <f aca="false">SUM(N$4:N$503)/COUNTA(A$4:A$503)</f>
        <v>697.19996</v>
      </c>
      <c r="BE20" s="92" t="n">
        <f aca="false">SUM(O$4:O$503)/COUNTA(A$4:A$503)</f>
        <v>713.9999</v>
      </c>
      <c r="BF20" s="92" t="n">
        <f aca="false">SUM(P$4:P$503)/COUNTA(A$4:A$503)</f>
        <v>732.59984</v>
      </c>
      <c r="BG20" s="92" t="n">
        <f aca="false">SUM(Q$4:Q$503)/COUNTA(A$4:A$503)</f>
        <v>756.59992</v>
      </c>
      <c r="BH20" s="92" t="n">
        <f aca="false">SUM(R$4:R$503)/COUNTA(A$4:A$503)</f>
        <v>776.40004</v>
      </c>
      <c r="BI20" s="92" t="n">
        <f aca="false">SUM(S$4:S$503)/COUNTA(A$4:A$503)</f>
        <v>806.40012</v>
      </c>
      <c r="BJ20" s="92" t="n">
        <f aca="false">SUM(T$4:T$503)/COUNTA(A$4:A$503)</f>
        <v>826.1999</v>
      </c>
      <c r="BK20" s="92" t="n">
        <f aca="false">SUM(U$4:U$503)/COUNTA(A$4:A$503)</f>
        <v>844.8002</v>
      </c>
      <c r="BL20" s="92" t="n">
        <f aca="false">SUM(V$4:V$503)/COUNTA(A$4:A$503)</f>
        <v>865.7998</v>
      </c>
      <c r="BM20" s="92" t="n">
        <f aca="false">SUM(W$4:W$503)/COUNTA(A$4:A$503)</f>
        <v>888.59982</v>
      </c>
      <c r="BN20" s="93" t="n">
        <f aca="false">SUM(X$4:X$503)/COUNTA(A$4:A$503)</f>
        <v>918.60034</v>
      </c>
      <c r="BO20" s="94" t="s">
        <v>20</v>
      </c>
      <c r="BP20" s="91" t="n">
        <f aca="false">IF(Z20&gt;=BB20,0,IFERROR(BB20+(SUMPRODUCT((Z$4:Z$503&gt;=BB$4:BB$503)*(Z$4:Z$503-BB$4:BB$503))/MAX(1,COUNTIF(Z$4:Z$503,"&lt;"&amp;BB20+0.01))),BB20))</f>
        <v>0</v>
      </c>
      <c r="BQ20" s="92" t="n">
        <f aca="false">IF(AA20&gt;=BC20,0,IFERROR(BC20+SUMPRODUCT((AA$4:AA$503&gt;=BC$4:BC$503)*(AA$4:AA$503-BC$4:BC$503))/MAX(1,COUNTIF(AA$4:AA$503,"&lt;"&amp;BC20+0.01)),BC20))</f>
        <v>2238.46589176471</v>
      </c>
      <c r="BR20" s="92" t="n">
        <f aca="false">IF(AB20&gt;=BD20,0,IFERROR(BD20+SUMPRODUCT((AB$4:AB$503&gt;=BD$4:BD$503)*(AB$4:AB$503-BD$4:BD$503))/MAX(1,COUNTIF(AB$4:AB$503,"&lt;"&amp;BD20+0.01)),BD20))</f>
        <v>3335.2938</v>
      </c>
      <c r="BS20" s="92" t="n">
        <f aca="false">IF(AC20&gt;=BE20,0,IFERROR(BE20+SUMPRODUCT((AC$4:AC$503&gt;=BE$4:BE$503)*(AC$4:AC$503-BE$4:BE$503))/MAX(1,COUNTIF(AC$4:AC$503,"&lt;"&amp;BE20+0.01)),BE20))</f>
        <v>6188.73352</v>
      </c>
      <c r="BT20" s="92" t="n">
        <f aca="false">IF(AD20&gt;=BF20,0,IFERROR(BF20+SUMPRODUCT((AD$4:AD$503&gt;=BF$4:BF$503)*(AD$4:AD$503-BF$4:BF$503))/MAX(1,COUNTIF(AD$4:AD$503,"&lt;"&amp;BF20+0.01)),BF20))</f>
        <v>0</v>
      </c>
      <c r="BU20" s="92" t="n">
        <f aca="false">IF(AE20&gt;=BG20,0,IFERROR(BG20+SUMPRODUCT((AE$4:AE$503&gt;=BG$4:BG$503)*(AE$4:AE$503-BG$4:BG$503))/MAX(1,COUNTIF(AE$4:AE$503,"&lt;"&amp;BG20+0.01)),BG20))</f>
        <v>0</v>
      </c>
      <c r="BV20" s="92" t="n">
        <f aca="false">IF(AF20&gt;=BH20,0,IFERROR(BH20+SUMPRODUCT((AF$4:AF$503&gt;=BH$4:BH$503)*(AF$4:AF$503-BH$4:BH$503))/MAX(1,COUNTIF(AF$4:AF$503,"&lt;"&amp;BH20+0.01)),BH20))</f>
        <v>0</v>
      </c>
      <c r="BW20" s="92" t="n">
        <f aca="false">IF(AG20&gt;=BI20,0,IFERROR(BI20+SUMPRODUCT((AG$4:AG$503&gt;=BI$4:BI$503)*(AG$4:AG$503-BI$4:BI$503))/MAX(1,COUNTIF(AG$4:AG$503,"&lt;"&amp;BI20+0.01)),BI20))</f>
        <v>0</v>
      </c>
      <c r="BX20" s="92" t="n">
        <f aca="false">IF(AH20&gt;=BJ20,0,IFERROR(BJ20+SUMPRODUCT((AH$4:AH$503&gt;=BJ$4:BJ$503)*(AH$4:AH$503-BJ$4:BJ$503))/MAX(1,COUNTIF(AH$4:AH$503,"&lt;"&amp;BJ20+0.01)),BJ20))</f>
        <v>5621.50263448276</v>
      </c>
      <c r="BY20" s="92" t="n">
        <f aca="false">IF(AI20&gt;=BK20,0,IFERROR(BK20+SUMPRODUCT((AI$4:AI$503&gt;=BK$4:BK$503)*(AI$4:AI$503-BK$4:BK$503))/MAX(1,COUNTIF(AI$4:AI$503,"&lt;"&amp;BK20+0.01)),BK20))</f>
        <v>0</v>
      </c>
      <c r="BZ20" s="92" t="n">
        <f aca="false">IF(AJ20&gt;=BL20,0,IFERROR(BL20+SUMPRODUCT((AJ$4:AJ$503&gt;=BL$4:BL$503)*(AJ$4:AJ$503-BL$4:BL$503))/MAX(1,COUNTIF(AJ$4:AJ$503,"&lt;"&amp;BL20+0.01)),BL20))</f>
        <v>6710.03292307692</v>
      </c>
      <c r="CA20" s="92" t="n">
        <f aca="false">IF(AK20&gt;=BM20,0,IFERROR(BM20+SUMPRODUCT((AK$4:AK$503&gt;=BM$4:BM$503)*(AK$4:AK$503-BM$4:BM$503))/MAX(1,COUNTIF(AK$4:AK$503,"&lt;"&amp;BM20+0.01)),BM20))</f>
        <v>7314.89836842105</v>
      </c>
      <c r="CB20" s="93" t="n">
        <f aca="false">IF(AL20&gt;=BN20,0,IFERROR(BN20+SUMPRODUCT((AL$4:AL$503&gt;=BN$4:BN$503)*(AL$4:AL$503-BN$4:BN$503))/MAX(1,COUNTIF(AL$4:AL$503,"&lt;"&amp;BN20+0.01)),BN20))</f>
        <v>0</v>
      </c>
      <c r="CC20" s="95" t="str">
        <f aca="false">IF(AO20="🟢","VERDE",IF(AO20="🟡","AMARELO",IF(AO20="🟠","VERMELHO",IF(AO20="🔴","VERMELHO","ROXO"))))</f>
        <v>VERMELHO</v>
      </c>
      <c r="CD20" s="96" t="s">
        <v>103</v>
      </c>
      <c r="CE20" s="96" t="s">
        <v>104</v>
      </c>
    </row>
    <row r="21" customFormat="false" ht="14.25" hidden="false" customHeight="true" outlineLevel="0" collapsed="false">
      <c r="A21" s="65" t="s">
        <v>159</v>
      </c>
      <c r="B21" s="66" t="s">
        <v>160</v>
      </c>
      <c r="C21" s="67" t="s">
        <v>123</v>
      </c>
      <c r="D21" s="68" t="s">
        <v>100</v>
      </c>
      <c r="E21" s="56" t="s">
        <v>20</v>
      </c>
      <c r="F21" s="70" t="n">
        <f aca="false">IFERROR(VLOOKUP(C21,$AS$3:$AT$10,2,FALSE()),IFERROR(VLOOKUP(C21,$AS$15:$AT$22,2,FALSE()),""))</f>
        <v>49</v>
      </c>
      <c r="G21" s="71" t="n">
        <f aca="false">IFERROR(VLOOKUP(C21,$AS$3:$AX$10,6,FALSE()),IFERROR(VLOOKUP(C21,$AS$15:$AX$22,6,FALSE()),""))</f>
        <v>0.436391353881959</v>
      </c>
      <c r="H21" s="72" t="str">
        <f aca="false">IFERROR(VLOOKUP(C21,$AS$3:$AY$10,7,FALSE()),IFERROR(VLOOKUP(C21,$AS$15:$AY$22,7,FALSE()),""))</f>
        <v>🟡 AMARELO</v>
      </c>
      <c r="I21" s="72" t="str">
        <f aca="false">IFERROR(VLOOKUP(C21,$AS$3:$AZ$10,8,FALSE()),IFERROR(VLOOKUP(C21,$AS$15:$AZ$22,8,FALSE()),""))</f>
        <v>Sell Out</v>
      </c>
      <c r="J21" s="73"/>
      <c r="K21" s="56" t="s">
        <v>20</v>
      </c>
      <c r="L21" s="74" t="n">
        <v>38724.51</v>
      </c>
      <c r="M21" s="75" t="n">
        <v>2721.29</v>
      </c>
      <c r="N21" s="75" t="n">
        <v>2843.65</v>
      </c>
      <c r="O21" s="75" t="n">
        <v>2912.17</v>
      </c>
      <c r="P21" s="75" t="n">
        <v>2988.03</v>
      </c>
      <c r="Q21" s="75" t="n">
        <v>3085.92</v>
      </c>
      <c r="R21" s="75" t="n">
        <v>3166.68</v>
      </c>
      <c r="S21" s="75" t="n">
        <v>3289.04</v>
      </c>
      <c r="T21" s="75" t="n">
        <v>3369.8</v>
      </c>
      <c r="U21" s="75" t="n">
        <v>3445.66</v>
      </c>
      <c r="V21" s="75" t="n">
        <v>3531.31</v>
      </c>
      <c r="W21" s="75" t="n">
        <v>3624.3</v>
      </c>
      <c r="X21" s="76" t="n">
        <v>3746.66</v>
      </c>
      <c r="Y21" s="77" t="s">
        <v>20</v>
      </c>
      <c r="Z21" s="78" t="n">
        <f aca="false">SUM(AA21:AL21)</f>
        <v>16230.4</v>
      </c>
      <c r="AA21" s="75"/>
      <c r="AB21" s="75"/>
      <c r="AC21" s="75"/>
      <c r="AD21" s="75"/>
      <c r="AE21" s="75"/>
      <c r="AF21" s="75"/>
      <c r="AG21" s="75"/>
      <c r="AH21" s="75"/>
      <c r="AI21" s="75" t="n">
        <v>16230.4</v>
      </c>
      <c r="AJ21" s="75"/>
      <c r="AK21" s="75"/>
      <c r="AL21" s="76"/>
      <c r="AM21" s="56" t="s">
        <v>20</v>
      </c>
      <c r="AN21" s="80" t="n">
        <f aca="false">IF(L21=0,0,Z21/L21)</f>
        <v>0.419124735212918</v>
      </c>
      <c r="AO21" s="81" t="str">
        <f aca="false">IF(AN21="","",IF(AN21&gt;=0.9,"🟢",IF(AN21&gt;=0.7,"🟡",IF(AN21&gt;=0.5,"🟠","🔴"))))</f>
        <v>🔴</v>
      </c>
      <c r="AP21" s="82" t="n">
        <f aca="false">IF(L21=0,0,L21-Z21)</f>
        <v>22494.11</v>
      </c>
      <c r="AQ21" s="83" t="n">
        <f aca="false">IF(AP21=0,"",RANK(AP21,AP$4:AP$503,0))</f>
        <v>16</v>
      </c>
      <c r="AR21" s="84" t="s">
        <v>20</v>
      </c>
      <c r="AS21" s="85" t="s">
        <v>145</v>
      </c>
      <c r="AT21" s="90" t="n">
        <f aca="false">COUNTIF(C$4:C$503,AS21)</f>
        <v>10</v>
      </c>
      <c r="AU21" s="90" t="n">
        <f aca="false">COUNTIFS(C$4:C$503,AS21,Z$4:Z$503,"&gt;0")</f>
        <v>10</v>
      </c>
      <c r="AV21" s="88" t="n">
        <f aca="false">SUMIF(C$4:C$503,AS21,L$4:L$503)</f>
        <v>146882.63</v>
      </c>
      <c r="AW21" s="111" t="n">
        <f aca="false">SUMIF(C$4:C$503,AS21,Z$4:Z$503)</f>
        <v>67042.41</v>
      </c>
      <c r="AX21" s="112" t="n">
        <f aca="false">IF(AV21=0,0,AW21/AV21)</f>
        <v>0.45643525037644</v>
      </c>
      <c r="AY21" s="113" t="str">
        <f aca="false">IF(AX21&gt;=0.6,"🟢 VERDE",IF(AX21&gt;=0.4,"🟡 AMARELO",IF(AX21&gt;=0.01,"🔴 VERMELHO","🟣 ROXO")))</f>
        <v>🟡 AMARELO</v>
      </c>
      <c r="AZ21" s="90" t="str">
        <f aca="false">IF(AX21&gt;=0.6,"JBP",IF(AX21&gt;=0.4,"Sell Out",IF(AX21&gt;=0.1,"Positivação + Expandir",IF(AX21&gt;=0.01,"Ativar + Prospectar","Mapear + Prospectar"))))</f>
        <v>Sell Out</v>
      </c>
      <c r="BA21" s="56" t="s">
        <v>20</v>
      </c>
      <c r="BB21" s="91" t="n">
        <f aca="false">SUM(L$4:L$503)/COUNTA(A$4:A$503)</f>
        <v>9494.39992</v>
      </c>
      <c r="BC21" s="92" t="n">
        <f aca="false">SUM(M$4:M$503)/COUNTA(A$4:A$503)</f>
        <v>667.20008</v>
      </c>
      <c r="BD21" s="92" t="n">
        <f aca="false">SUM(N$4:N$503)/COUNTA(A$4:A$503)</f>
        <v>697.19996</v>
      </c>
      <c r="BE21" s="92" t="n">
        <f aca="false">SUM(O$4:O$503)/COUNTA(A$4:A$503)</f>
        <v>713.9999</v>
      </c>
      <c r="BF21" s="92" t="n">
        <f aca="false">SUM(P$4:P$503)/COUNTA(A$4:A$503)</f>
        <v>732.59984</v>
      </c>
      <c r="BG21" s="92" t="n">
        <f aca="false">SUM(Q$4:Q$503)/COUNTA(A$4:A$503)</f>
        <v>756.59992</v>
      </c>
      <c r="BH21" s="92" t="n">
        <f aca="false">SUM(R$4:R$503)/COUNTA(A$4:A$503)</f>
        <v>776.40004</v>
      </c>
      <c r="BI21" s="92" t="n">
        <f aca="false">SUM(S$4:S$503)/COUNTA(A$4:A$503)</f>
        <v>806.40012</v>
      </c>
      <c r="BJ21" s="92" t="n">
        <f aca="false">SUM(T$4:T$503)/COUNTA(A$4:A$503)</f>
        <v>826.1999</v>
      </c>
      <c r="BK21" s="92" t="n">
        <f aca="false">SUM(U$4:U$503)/COUNTA(A$4:A$503)</f>
        <v>844.8002</v>
      </c>
      <c r="BL21" s="92" t="n">
        <f aca="false">SUM(V$4:V$503)/COUNTA(A$4:A$503)</f>
        <v>865.7998</v>
      </c>
      <c r="BM21" s="92" t="n">
        <f aca="false">SUM(W$4:W$503)/COUNTA(A$4:A$503)</f>
        <v>888.59982</v>
      </c>
      <c r="BN21" s="93" t="n">
        <f aca="false">SUM(X$4:X$503)/COUNTA(A$4:A$503)</f>
        <v>918.60034</v>
      </c>
      <c r="BO21" s="94" t="s">
        <v>20</v>
      </c>
      <c r="BP21" s="91" t="n">
        <f aca="false">IF(Z21&gt;=BB21,0,IFERROR(BB21+(SUMPRODUCT((Z$4:Z$503&gt;=BB$4:BB$503)*(Z$4:Z$503-BB$4:BB$503))/MAX(1,COUNTIF(Z$4:Z$503,"&lt;"&amp;BB21+0.01))),BB21))</f>
        <v>0</v>
      </c>
      <c r="BQ21" s="92" t="n">
        <f aca="false">IF(AA21&gt;=BC21,0,IFERROR(BC21+SUMPRODUCT((AA$4:AA$503&gt;=BC$4:BC$503)*(AA$4:AA$503-BC$4:BC$503))/MAX(1,COUNTIF(AA$4:AA$503,"&lt;"&amp;BC21+0.01)),BC21))</f>
        <v>2238.46589176471</v>
      </c>
      <c r="BR21" s="92" t="n">
        <f aca="false">IF(AB21&gt;=BD21,0,IFERROR(BD21+SUMPRODUCT((AB$4:AB$503&gt;=BD$4:BD$503)*(AB$4:AB$503-BD$4:BD$503))/MAX(1,COUNTIF(AB$4:AB$503,"&lt;"&amp;BD21+0.01)),BD21))</f>
        <v>3335.2938</v>
      </c>
      <c r="BS21" s="92" t="n">
        <f aca="false">IF(AC21&gt;=BE21,0,IFERROR(BE21+SUMPRODUCT((AC$4:AC$503&gt;=BE$4:BE$503)*(AC$4:AC$503-BE$4:BE$503))/MAX(1,COUNTIF(AC$4:AC$503,"&lt;"&amp;BE21+0.01)),BE21))</f>
        <v>6188.73352</v>
      </c>
      <c r="BT21" s="92" t="n">
        <f aca="false">IF(AD21&gt;=BF21,0,IFERROR(BF21+SUMPRODUCT((AD$4:AD$503&gt;=BF$4:BF$503)*(AD$4:AD$503-BF$4:BF$503))/MAX(1,COUNTIF(AD$4:AD$503,"&lt;"&amp;BF21+0.01)),BF21))</f>
        <v>11354.35411</v>
      </c>
      <c r="BU21" s="92" t="n">
        <f aca="false">IF(AE21&gt;=BG21,0,IFERROR(BG21+SUMPRODUCT((AE$4:AE$503&gt;=BG$4:BG$503)*(AE$4:AE$503-BG$4:BG$503))/MAX(1,COUNTIF(AE$4:AE$503,"&lt;"&amp;BG21+0.01)),BG21))</f>
        <v>7704.85920380952</v>
      </c>
      <c r="BV21" s="92" t="n">
        <f aca="false">IF(AF21&gt;=BH21,0,IFERROR(BH21+SUMPRODUCT((AF$4:AF$503&gt;=BH$4:BH$503)*(AF$4:AF$503-BH$4:BH$503))/MAX(1,COUNTIF(AF$4:AF$503,"&lt;"&amp;BH21+0.01)),BH21))</f>
        <v>9942.6503831579</v>
      </c>
      <c r="BW21" s="92" t="n">
        <f aca="false">IF(AG21&gt;=BI21,0,IFERROR(BI21+SUMPRODUCT((AG$4:AG$503&gt;=BI$4:BI$503)*(AG$4:AG$503-BI$4:BI$503))/MAX(1,COUNTIF(AG$4:AG$503,"&lt;"&amp;BI21+0.01)),BI21))</f>
        <v>9142.15870461538</v>
      </c>
      <c r="BX21" s="92" t="n">
        <f aca="false">IF(AH21&gt;=BJ21,0,IFERROR(BJ21+SUMPRODUCT((AH$4:AH$503&gt;=BJ$4:BJ$503)*(AH$4:AH$503-BJ$4:BJ$503))/MAX(1,COUNTIF(AH$4:AH$503,"&lt;"&amp;BJ21+0.01)),BJ21))</f>
        <v>5621.50263448276</v>
      </c>
      <c r="BY21" s="92" t="n">
        <f aca="false">IF(AI21&gt;=BK21,0,IFERROR(BK21+SUMPRODUCT((AI$4:AI$503&gt;=BK$4:BK$503)*(AI$4:AI$503-BK$4:BK$503))/MAX(1,COUNTIF(AI$4:AI$503,"&lt;"&amp;BK21+0.01)),BK21))</f>
        <v>0</v>
      </c>
      <c r="BZ21" s="92" t="n">
        <f aca="false">IF(AJ21&gt;=BL21,0,IFERROR(BL21+SUMPRODUCT((AJ$4:AJ$503&gt;=BL$4:BL$503)*(AJ$4:AJ$503-BL$4:BL$503))/MAX(1,COUNTIF(AJ$4:AJ$503,"&lt;"&amp;BL21+0.01)),BL21))</f>
        <v>6710.03292307692</v>
      </c>
      <c r="CA21" s="92" t="n">
        <f aca="false">IF(AK21&gt;=BM21,0,IFERROR(BM21+SUMPRODUCT((AK$4:AK$503&gt;=BM$4:BM$503)*(AK$4:AK$503-BM$4:BM$503))/MAX(1,COUNTIF(AK$4:AK$503,"&lt;"&amp;BM21+0.01)),BM21))</f>
        <v>7314.89836842105</v>
      </c>
      <c r="CB21" s="93" t="n">
        <f aca="false">IF(AL21&gt;=BN21,0,IFERROR(BN21+SUMPRODUCT((AL$4:AL$503&gt;=BN$4:BN$503)*(AL$4:AL$503-BN$4:BN$503))/MAX(1,COUNTIF(AL$4:AL$503,"&lt;"&amp;BN21+0.01)),BN21))</f>
        <v>3597.2614925</v>
      </c>
      <c r="CC21" s="95" t="str">
        <f aca="false">IF(AO21="🟢","VERDE",IF(AO21="🟡","AMARELO",IF(AO21="🟠","VERMELHO",IF(AO21="🔴","VERMELHO","ROXO"))))</f>
        <v>VERMELHO</v>
      </c>
      <c r="CD21" s="96" t="s">
        <v>103</v>
      </c>
      <c r="CE21" s="96" t="s">
        <v>104</v>
      </c>
    </row>
    <row r="22" customFormat="false" ht="14.25" hidden="false" customHeight="true" outlineLevel="0" collapsed="false">
      <c r="A22" s="65" t="s">
        <v>161</v>
      </c>
      <c r="B22" s="66" t="s">
        <v>162</v>
      </c>
      <c r="C22" s="67" t="s">
        <v>149</v>
      </c>
      <c r="D22" s="68" t="s">
        <v>100</v>
      </c>
      <c r="E22" s="69" t="s">
        <v>119</v>
      </c>
      <c r="F22" s="70" t="n">
        <f aca="false">IFERROR(VLOOKUP(C22,$AS$3:$AT$10,2,FALSE()),IFERROR(VLOOKUP(C22,$AS$15:$AT$22,2,FALSE()),""))</f>
        <v>29</v>
      </c>
      <c r="G22" s="71" t="n">
        <f aca="false">IFERROR(VLOOKUP(C22,$AS$3:$AX$10,6,FALSE()),IFERROR(VLOOKUP(C22,$AS$15:$AX$22,6,FALSE()),""))</f>
        <v>0.425845065256079</v>
      </c>
      <c r="H22" s="72" t="str">
        <f aca="false">IFERROR(VLOOKUP(C22,$AS$3:$AY$10,7,FALSE()),IFERROR(VLOOKUP(C22,$AS$15:$AY$22,7,FALSE()),""))</f>
        <v>🟡 AMARELO</v>
      </c>
      <c r="I22" s="72" t="str">
        <f aca="false">IFERROR(VLOOKUP(C22,$AS$3:$AZ$10,8,FALSE()),IFERROR(VLOOKUP(C22,$AS$15:$AZ$22,8,FALSE()),""))</f>
        <v>Sell Out</v>
      </c>
      <c r="J22" s="73"/>
      <c r="K22" s="69" t="s">
        <v>149</v>
      </c>
      <c r="L22" s="74" t="n">
        <v>37991.86</v>
      </c>
      <c r="M22" s="75" t="n">
        <v>2669.8</v>
      </c>
      <c r="N22" s="75" t="n">
        <v>2789.85</v>
      </c>
      <c r="O22" s="75" t="n">
        <v>2857.07</v>
      </c>
      <c r="P22" s="75" t="n">
        <v>2931.5</v>
      </c>
      <c r="Q22" s="75" t="n">
        <v>3027.54</v>
      </c>
      <c r="R22" s="75" t="n">
        <v>3106.77</v>
      </c>
      <c r="S22" s="75" t="n">
        <v>3226.81</v>
      </c>
      <c r="T22" s="75" t="n">
        <v>3306.04</v>
      </c>
      <c r="U22" s="75" t="n">
        <v>3380.47</v>
      </c>
      <c r="V22" s="75" t="n">
        <v>3464.5</v>
      </c>
      <c r="W22" s="75" t="n">
        <v>3555.73</v>
      </c>
      <c r="X22" s="76" t="n">
        <v>3675.78</v>
      </c>
      <c r="Y22" s="77" t="s">
        <v>20</v>
      </c>
      <c r="Z22" s="78" t="n">
        <f aca="false">SUM(AA22:AL22)</f>
        <v>16082.67</v>
      </c>
      <c r="AA22" s="75"/>
      <c r="AB22" s="75"/>
      <c r="AC22" s="75"/>
      <c r="AD22" s="75"/>
      <c r="AE22" s="75"/>
      <c r="AF22" s="75"/>
      <c r="AG22" s="79" t="n">
        <v>2058.07</v>
      </c>
      <c r="AH22" s="79" t="n">
        <v>3448</v>
      </c>
      <c r="AI22" s="79" t="n">
        <v>3231.74</v>
      </c>
      <c r="AJ22" s="79" t="n">
        <v>3672.43</v>
      </c>
      <c r="AK22" s="75"/>
      <c r="AL22" s="107" t="n">
        <v>3672.43</v>
      </c>
      <c r="AM22" s="56" t="s">
        <v>20</v>
      </c>
      <c r="AN22" s="80" t="n">
        <f aca="false">IF(L22=0,0,Z22/L22)</f>
        <v>0.423318837245663</v>
      </c>
      <c r="AO22" s="81" t="str">
        <f aca="false">IF(AN22="","",IF(AN22&gt;=0.9,"🟢",IF(AN22&gt;=0.7,"🟡",IF(AN22&gt;=0.5,"🟠","🔴"))))</f>
        <v>🔴</v>
      </c>
      <c r="AP22" s="82" t="n">
        <f aca="false">IF(L22=0,0,L22-Z22)</f>
        <v>21909.19</v>
      </c>
      <c r="AQ22" s="83" t="n">
        <f aca="false">IF(AP22=0,"",RANK(AP22,AP$4:AP$503,0))</f>
        <v>18</v>
      </c>
      <c r="AR22" s="84" t="s">
        <v>20</v>
      </c>
      <c r="AS22" s="85" t="s">
        <v>123</v>
      </c>
      <c r="AT22" s="90" t="n">
        <f aca="false">COUNTIF(C$4:C$503,AS22)</f>
        <v>49</v>
      </c>
      <c r="AU22" s="90" t="n">
        <f aca="false">COUNTIFS(C$4:C$503,AS22,Z$4:Z$503,"&gt;0")</f>
        <v>49</v>
      </c>
      <c r="AV22" s="88" t="n">
        <f aca="false">SUMIF(C$4:C$503,AS22,L$4:L$503)</f>
        <v>652295.05</v>
      </c>
      <c r="AW22" s="111" t="n">
        <f aca="false">SUMIF(C$4:C$503,AS22,Z$4:Z$503)</f>
        <v>284655.92</v>
      </c>
      <c r="AX22" s="112" t="n">
        <f aca="false">IF(AV22=0,0,AW22/AV22)</f>
        <v>0.436391353881959</v>
      </c>
      <c r="AY22" s="113" t="str">
        <f aca="false">IF(AX22&gt;=0.6,"🟢 VERDE",IF(AX22&gt;=0.4,"🟡 AMARELO",IF(AX22&gt;=0.01,"🔴 VERMELHO","🟣 ROXO")))</f>
        <v>🟡 AMARELO</v>
      </c>
      <c r="AZ22" s="90" t="str">
        <f aca="false">IF(AX22&gt;=0.6,"JBP",IF(AX22&gt;=0.4,"Sell Out",IF(AX22&gt;=0.1,"Positivação + Expandir",IF(AX22&gt;=0.01,"Ativar + Prospectar","Mapear + Prospectar"))))</f>
        <v>Sell Out</v>
      </c>
      <c r="BA22" s="56" t="s">
        <v>20</v>
      </c>
      <c r="BB22" s="91" t="n">
        <f aca="false">SUM(L$4:L$503)/COUNTA(A$4:A$503)</f>
        <v>9494.39992</v>
      </c>
      <c r="BC22" s="92" t="n">
        <f aca="false">SUM(M$4:M$503)/COUNTA(A$4:A$503)</f>
        <v>667.20008</v>
      </c>
      <c r="BD22" s="92" t="n">
        <f aca="false">SUM(N$4:N$503)/COUNTA(A$4:A$503)</f>
        <v>697.19996</v>
      </c>
      <c r="BE22" s="92" t="n">
        <f aca="false">SUM(O$4:O$503)/COUNTA(A$4:A$503)</f>
        <v>713.9999</v>
      </c>
      <c r="BF22" s="92" t="n">
        <f aca="false">SUM(P$4:P$503)/COUNTA(A$4:A$503)</f>
        <v>732.59984</v>
      </c>
      <c r="BG22" s="92" t="n">
        <f aca="false">SUM(Q$4:Q$503)/COUNTA(A$4:A$503)</f>
        <v>756.59992</v>
      </c>
      <c r="BH22" s="92" t="n">
        <f aca="false">SUM(R$4:R$503)/COUNTA(A$4:A$503)</f>
        <v>776.40004</v>
      </c>
      <c r="BI22" s="92" t="n">
        <f aca="false">SUM(S$4:S$503)/COUNTA(A$4:A$503)</f>
        <v>806.40012</v>
      </c>
      <c r="BJ22" s="92" t="n">
        <f aca="false">SUM(T$4:T$503)/COUNTA(A$4:A$503)</f>
        <v>826.1999</v>
      </c>
      <c r="BK22" s="92" t="n">
        <f aca="false">SUM(U$4:U$503)/COUNTA(A$4:A$503)</f>
        <v>844.8002</v>
      </c>
      <c r="BL22" s="92" t="n">
        <f aca="false">SUM(V$4:V$503)/COUNTA(A$4:A$503)</f>
        <v>865.7998</v>
      </c>
      <c r="BM22" s="92" t="n">
        <f aca="false">SUM(W$4:W$503)/COUNTA(A$4:A$503)</f>
        <v>888.59982</v>
      </c>
      <c r="BN22" s="93" t="n">
        <f aca="false">SUM(X$4:X$503)/COUNTA(A$4:A$503)</f>
        <v>918.60034</v>
      </c>
      <c r="BO22" s="94" t="s">
        <v>20</v>
      </c>
      <c r="BP22" s="91" t="n">
        <f aca="false">IF(Z22&gt;=BB22,0,IFERROR(BB22+(SUMPRODUCT((Z$4:Z$503&gt;=BB$4:BB$503)*(Z$4:Z$503-BB$4:BB$503))/MAX(1,COUNTIF(Z$4:Z$503,"&lt;"&amp;BB22+0.01))),BB22))</f>
        <v>0</v>
      </c>
      <c r="BQ22" s="92" t="n">
        <f aca="false">IF(AA22&gt;=BC22,0,IFERROR(BC22+SUMPRODUCT((AA$4:AA$503&gt;=BC$4:BC$503)*(AA$4:AA$503-BC$4:BC$503))/MAX(1,COUNTIF(AA$4:AA$503,"&lt;"&amp;BC22+0.01)),BC22))</f>
        <v>2238.46589176471</v>
      </c>
      <c r="BR22" s="92" t="n">
        <f aca="false">IF(AB22&gt;=BD22,0,IFERROR(BD22+SUMPRODUCT((AB$4:AB$503&gt;=BD$4:BD$503)*(AB$4:AB$503-BD$4:BD$503))/MAX(1,COUNTIF(AB$4:AB$503,"&lt;"&amp;BD22+0.01)),BD22))</f>
        <v>3335.2938</v>
      </c>
      <c r="BS22" s="92" t="n">
        <f aca="false">IF(AC22&gt;=BE22,0,IFERROR(BE22+SUMPRODUCT((AC$4:AC$503&gt;=BE$4:BE$503)*(AC$4:AC$503-BE$4:BE$503))/MAX(1,COUNTIF(AC$4:AC$503,"&lt;"&amp;BE22+0.01)),BE22))</f>
        <v>6188.73352</v>
      </c>
      <c r="BT22" s="92" t="n">
        <f aca="false">IF(AD22&gt;=BF22,0,IFERROR(BF22+SUMPRODUCT((AD$4:AD$503&gt;=BF$4:BF$503)*(AD$4:AD$503-BF$4:BF$503))/MAX(1,COUNTIF(AD$4:AD$503,"&lt;"&amp;BF22+0.01)),BF22))</f>
        <v>11354.35411</v>
      </c>
      <c r="BU22" s="92" t="n">
        <f aca="false">IF(AE22&gt;=BG22,0,IFERROR(BG22+SUMPRODUCT((AE$4:AE$503&gt;=BG$4:BG$503)*(AE$4:AE$503-BG$4:BG$503))/MAX(1,COUNTIF(AE$4:AE$503,"&lt;"&amp;BG22+0.01)),BG22))</f>
        <v>7704.85920380952</v>
      </c>
      <c r="BV22" s="92" t="n">
        <f aca="false">IF(AF22&gt;=BH22,0,IFERROR(BH22+SUMPRODUCT((AF$4:AF$503&gt;=BH$4:BH$503)*(AF$4:AF$503-BH$4:BH$503))/MAX(1,COUNTIF(AF$4:AF$503,"&lt;"&amp;BH22+0.01)),BH22))</f>
        <v>9942.6503831579</v>
      </c>
      <c r="BW22" s="92" t="n">
        <f aca="false">IF(AG22&gt;=BI22,0,IFERROR(BI22+SUMPRODUCT((AG$4:AG$503&gt;=BI$4:BI$503)*(AG$4:AG$503-BI$4:BI$503))/MAX(1,COUNTIF(AG$4:AG$503,"&lt;"&amp;BI22+0.01)),BI22))</f>
        <v>0</v>
      </c>
      <c r="BX22" s="92" t="n">
        <f aca="false">IF(AH22&gt;=BJ22,0,IFERROR(BJ22+SUMPRODUCT((AH$4:AH$503&gt;=BJ$4:BJ$503)*(AH$4:AH$503-BJ$4:BJ$503))/MAX(1,COUNTIF(AH$4:AH$503,"&lt;"&amp;BJ22+0.01)),BJ22))</f>
        <v>0</v>
      </c>
      <c r="BY22" s="92" t="n">
        <f aca="false">IF(AI22&gt;=BK22,0,IFERROR(BK22+SUMPRODUCT((AI$4:AI$503&gt;=BK$4:BK$503)*(AI$4:AI$503-BK$4:BK$503))/MAX(1,COUNTIF(AI$4:AI$503,"&lt;"&amp;BK22+0.01)),BK22))</f>
        <v>0</v>
      </c>
      <c r="BZ22" s="92" t="n">
        <f aca="false">IF(AJ22&gt;=BL22,0,IFERROR(BL22+SUMPRODUCT((AJ$4:AJ$503&gt;=BL$4:BL$503)*(AJ$4:AJ$503-BL$4:BL$503))/MAX(1,COUNTIF(AJ$4:AJ$503,"&lt;"&amp;BL22+0.01)),BL22))</f>
        <v>0</v>
      </c>
      <c r="CA22" s="92" t="n">
        <f aca="false">IF(AK22&gt;=BM22,0,IFERROR(BM22+SUMPRODUCT((AK$4:AK$503&gt;=BM$4:BM$503)*(AK$4:AK$503-BM$4:BM$503))/MAX(1,COUNTIF(AK$4:AK$503,"&lt;"&amp;BM22+0.01)),BM22))</f>
        <v>7314.89836842105</v>
      </c>
      <c r="CB22" s="93" t="n">
        <f aca="false">IF(AL22&gt;=BN22,0,IFERROR(BN22+SUMPRODUCT((AL$4:AL$503&gt;=BN$4:BN$503)*(AL$4:AL$503-BN$4:BN$503))/MAX(1,COUNTIF(AL$4:AL$503,"&lt;"&amp;BN22+0.01)),BN22))</f>
        <v>0</v>
      </c>
      <c r="CC22" s="95" t="str">
        <f aca="false">IF(AO22="🟢","VERDE",IF(AO22="🟡","AMARELO",IF(AO22="🟠","VERMELHO",IF(AO22="🔴","VERMELHO","ROXO"))))</f>
        <v>VERMELHO</v>
      </c>
      <c r="CD22" s="96" t="s">
        <v>103</v>
      </c>
      <c r="CE22" s="96" t="s">
        <v>104</v>
      </c>
    </row>
    <row r="23" customFormat="false" ht="14.25" hidden="false" customHeight="true" outlineLevel="0" collapsed="false">
      <c r="A23" s="65" t="s">
        <v>163</v>
      </c>
      <c r="B23" s="66" t="s">
        <v>164</v>
      </c>
      <c r="C23" s="67" t="s">
        <v>107</v>
      </c>
      <c r="D23" s="68" t="s">
        <v>108</v>
      </c>
      <c r="E23" s="69" t="s">
        <v>139</v>
      </c>
      <c r="F23" s="70" t="n">
        <f aca="false">IFERROR(VLOOKUP(C23,$AS$3:$AT$10,2,FALSE()),IFERROR(VLOOKUP(C23,$AS$15:$AT$22,2,FALSE()),""))</f>
        <v>132</v>
      </c>
      <c r="G23" s="71" t="n">
        <f aca="false">IFERROR(VLOOKUP(C23,$AS$3:$AX$10,6,FALSE()),IFERROR(VLOOKUP(C23,$AS$15:$AX$22,6,FALSE()),""))</f>
        <v>0.468190175850689</v>
      </c>
      <c r="H23" s="72" t="str">
        <f aca="false">IFERROR(VLOOKUP(C23,$AS$3:$AY$10,7,FALSE()),IFERROR(VLOOKUP(C23,$AS$15:$AY$22,7,FALSE()),""))</f>
        <v>🟡 AMARELO</v>
      </c>
      <c r="I23" s="72" t="str">
        <f aca="false">IFERROR(VLOOKUP(C23,$AS$3:$AZ$10,8,FALSE()),IFERROR(VLOOKUP(C23,$AS$15:$AZ$22,8,FALSE()),""))</f>
        <v>Sell Out</v>
      </c>
      <c r="J23" s="73"/>
      <c r="K23" s="69" t="s">
        <v>107</v>
      </c>
      <c r="L23" s="74" t="n">
        <v>37194.54</v>
      </c>
      <c r="M23" s="75" t="n">
        <v>2613.77</v>
      </c>
      <c r="N23" s="75" t="n">
        <v>2731.3</v>
      </c>
      <c r="O23" s="75" t="n">
        <v>2797.11</v>
      </c>
      <c r="P23" s="75" t="n">
        <v>2869.98</v>
      </c>
      <c r="Q23" s="75" t="n">
        <v>2964</v>
      </c>
      <c r="R23" s="75" t="n">
        <v>3041.57</v>
      </c>
      <c r="S23" s="75" t="n">
        <v>3159.09</v>
      </c>
      <c r="T23" s="75" t="n">
        <v>3236.66</v>
      </c>
      <c r="U23" s="75" t="n">
        <v>3309.52</v>
      </c>
      <c r="V23" s="75" t="n">
        <v>3391.79</v>
      </c>
      <c r="W23" s="75" t="n">
        <v>3481.11</v>
      </c>
      <c r="X23" s="76" t="n">
        <v>3598.64</v>
      </c>
      <c r="Y23" s="77" t="s">
        <v>20</v>
      </c>
      <c r="Z23" s="78" t="n">
        <f aca="false">SUM(AA23:AL23)</f>
        <v>16169.2</v>
      </c>
      <c r="AA23" s="75"/>
      <c r="AB23" s="75"/>
      <c r="AC23" s="75"/>
      <c r="AD23" s="75" t="n">
        <v>929.57</v>
      </c>
      <c r="AE23" s="79" t="n">
        <v>917.33</v>
      </c>
      <c r="AF23" s="79" t="n">
        <v>6483.44</v>
      </c>
      <c r="AG23" s="75"/>
      <c r="AH23" s="79" t="n">
        <v>7838.86</v>
      </c>
      <c r="AI23" s="75"/>
      <c r="AJ23" s="75"/>
      <c r="AK23" s="75"/>
      <c r="AL23" s="76"/>
      <c r="AM23" s="56" t="s">
        <v>20</v>
      </c>
      <c r="AN23" s="80" t="n">
        <f aca="false">IF(L23=0,0,Z23/L23)</f>
        <v>0.434719719614761</v>
      </c>
      <c r="AO23" s="81" t="str">
        <f aca="false">IF(AN23="","",IF(AN23&gt;=0.9,"🟢",IF(AN23&gt;=0.7,"🟡",IF(AN23&gt;=0.5,"🟠","🔴"))))</f>
        <v>🔴</v>
      </c>
      <c r="AP23" s="82" t="n">
        <f aca="false">IF(L23=0,0,L23-Z23)</f>
        <v>21025.34</v>
      </c>
      <c r="AQ23" s="83" t="n">
        <f aca="false">IF(AP23=0,"",RANK(AP23,AP$4:AP$503,0))</f>
        <v>21</v>
      </c>
      <c r="AR23" s="84" t="s">
        <v>20</v>
      </c>
      <c r="AS23" s="114" t="s">
        <v>165</v>
      </c>
      <c r="AT23" s="115"/>
      <c r="AU23" s="116" t="n">
        <f aca="false">SUM(AU15:AU22)</f>
        <v>369</v>
      </c>
      <c r="AV23" s="100" t="n">
        <f aca="false">SUM(AV15:AV22)</f>
        <v>3954183.33</v>
      </c>
      <c r="AW23" s="117" t="n">
        <f aca="false">SUM(AW15:AW22)</f>
        <v>1720382.19</v>
      </c>
      <c r="AX23" s="118" t="n">
        <f aca="false">IF(AV23=0,0,AW23/AV23)</f>
        <v>0.435079015418337</v>
      </c>
      <c r="AY23" s="119"/>
      <c r="AZ23" s="120"/>
      <c r="BA23" s="56" t="s">
        <v>20</v>
      </c>
      <c r="BB23" s="91" t="n">
        <f aca="false">SUM(L$4:L$503)/COUNTA(A$4:A$503)</f>
        <v>9494.39992</v>
      </c>
      <c r="BC23" s="92" t="n">
        <f aca="false">SUM(M$4:M$503)/COUNTA(A$4:A$503)</f>
        <v>667.20008</v>
      </c>
      <c r="BD23" s="92" t="n">
        <f aca="false">SUM(N$4:N$503)/COUNTA(A$4:A$503)</f>
        <v>697.19996</v>
      </c>
      <c r="BE23" s="92" t="n">
        <f aca="false">SUM(O$4:O$503)/COUNTA(A$4:A$503)</f>
        <v>713.9999</v>
      </c>
      <c r="BF23" s="92" t="n">
        <f aca="false">SUM(P$4:P$503)/COUNTA(A$4:A$503)</f>
        <v>732.59984</v>
      </c>
      <c r="BG23" s="92" t="n">
        <f aca="false">SUM(Q$4:Q$503)/COUNTA(A$4:A$503)</f>
        <v>756.59992</v>
      </c>
      <c r="BH23" s="92" t="n">
        <f aca="false">SUM(R$4:R$503)/COUNTA(A$4:A$503)</f>
        <v>776.40004</v>
      </c>
      <c r="BI23" s="92" t="n">
        <f aca="false">SUM(S$4:S$503)/COUNTA(A$4:A$503)</f>
        <v>806.40012</v>
      </c>
      <c r="BJ23" s="92" t="n">
        <f aca="false">SUM(T$4:T$503)/COUNTA(A$4:A$503)</f>
        <v>826.1999</v>
      </c>
      <c r="BK23" s="92" t="n">
        <f aca="false">SUM(U$4:U$503)/COUNTA(A$4:A$503)</f>
        <v>844.8002</v>
      </c>
      <c r="BL23" s="92" t="n">
        <f aca="false">SUM(V$4:V$503)/COUNTA(A$4:A$503)</f>
        <v>865.7998</v>
      </c>
      <c r="BM23" s="92" t="n">
        <f aca="false">SUM(W$4:W$503)/COUNTA(A$4:A$503)</f>
        <v>888.59982</v>
      </c>
      <c r="BN23" s="93" t="n">
        <f aca="false">SUM(X$4:X$503)/COUNTA(A$4:A$503)</f>
        <v>918.60034</v>
      </c>
      <c r="BO23" s="94" t="s">
        <v>20</v>
      </c>
      <c r="BP23" s="91" t="n">
        <f aca="false">IF(Z23&gt;=BB23,0,IFERROR(BB23+(SUMPRODUCT((Z$4:Z$503&gt;=BB$4:BB$503)*(Z$4:Z$503-BB$4:BB$503))/MAX(1,COUNTIF(Z$4:Z$503,"&lt;"&amp;BB23+0.01))),BB23))</f>
        <v>0</v>
      </c>
      <c r="BQ23" s="92" t="n">
        <f aca="false">IF(AA23&gt;=BC23,0,IFERROR(BC23+SUMPRODUCT((AA$4:AA$503&gt;=BC$4:BC$503)*(AA$4:AA$503-BC$4:BC$503))/MAX(1,COUNTIF(AA$4:AA$503,"&lt;"&amp;BC23+0.01)),BC23))</f>
        <v>2238.46589176471</v>
      </c>
      <c r="BR23" s="92" t="n">
        <f aca="false">IF(AB23&gt;=BD23,0,IFERROR(BD23+SUMPRODUCT((AB$4:AB$503&gt;=BD$4:BD$503)*(AB$4:AB$503-BD$4:BD$503))/MAX(1,COUNTIF(AB$4:AB$503,"&lt;"&amp;BD23+0.01)),BD23))</f>
        <v>3335.2938</v>
      </c>
      <c r="BS23" s="92" t="n">
        <f aca="false">IF(AC23&gt;=BE23,0,IFERROR(BE23+SUMPRODUCT((AC$4:AC$503&gt;=BE$4:BE$503)*(AC$4:AC$503-BE$4:BE$503))/MAX(1,COUNTIF(AC$4:AC$503,"&lt;"&amp;BE23+0.01)),BE23))</f>
        <v>6188.73352</v>
      </c>
      <c r="BT23" s="92" t="n">
        <f aca="false">IF(AD23&gt;=BF23,0,IFERROR(BF23+SUMPRODUCT((AD$4:AD$503&gt;=BF$4:BF$503)*(AD$4:AD$503-BF$4:BF$503))/MAX(1,COUNTIF(AD$4:AD$503,"&lt;"&amp;BF23+0.01)),BF23))</f>
        <v>0</v>
      </c>
      <c r="BU23" s="92" t="n">
        <f aca="false">IF(AE23&gt;=BG23,0,IFERROR(BG23+SUMPRODUCT((AE$4:AE$503&gt;=BG$4:BG$503)*(AE$4:AE$503-BG$4:BG$503))/MAX(1,COUNTIF(AE$4:AE$503,"&lt;"&amp;BG23+0.01)),BG23))</f>
        <v>0</v>
      </c>
      <c r="BV23" s="92" t="n">
        <f aca="false">IF(AF23&gt;=BH23,0,IFERROR(BH23+SUMPRODUCT((AF$4:AF$503&gt;=BH$4:BH$503)*(AF$4:AF$503-BH$4:BH$503))/MAX(1,COUNTIF(AF$4:AF$503,"&lt;"&amp;BH23+0.01)),BH23))</f>
        <v>0</v>
      </c>
      <c r="BW23" s="92" t="n">
        <f aca="false">IF(AG23&gt;=BI23,0,IFERROR(BI23+SUMPRODUCT((AG$4:AG$503&gt;=BI$4:BI$503)*(AG$4:AG$503-BI$4:BI$503))/MAX(1,COUNTIF(AG$4:AG$503,"&lt;"&amp;BI23+0.01)),BI23))</f>
        <v>9142.15870461538</v>
      </c>
      <c r="BX23" s="92" t="n">
        <f aca="false">IF(AH23&gt;=BJ23,0,IFERROR(BJ23+SUMPRODUCT((AH$4:AH$503&gt;=BJ$4:BJ$503)*(AH$4:AH$503-BJ$4:BJ$503))/MAX(1,COUNTIF(AH$4:AH$503,"&lt;"&amp;BJ23+0.01)),BJ23))</f>
        <v>0</v>
      </c>
      <c r="BY23" s="92" t="n">
        <f aca="false">IF(AI23&gt;=BK23,0,IFERROR(BK23+SUMPRODUCT((AI$4:AI$503&gt;=BK$4:BK$503)*(AI$4:AI$503-BK$4:BK$503))/MAX(1,COUNTIF(AI$4:AI$503,"&lt;"&amp;BK23+0.01)),BK23))</f>
        <v>7878.25652380952</v>
      </c>
      <c r="BZ23" s="92" t="n">
        <f aca="false">IF(AJ23&gt;=BL23,0,IFERROR(BL23+SUMPRODUCT((AJ$4:AJ$503&gt;=BL$4:BL$503)*(AJ$4:AJ$503-BL$4:BL$503))/MAX(1,COUNTIF(AJ$4:AJ$503,"&lt;"&amp;BL23+0.01)),BL23))</f>
        <v>6710.03292307692</v>
      </c>
      <c r="CA23" s="92" t="n">
        <f aca="false">IF(AK23&gt;=BM23,0,IFERROR(BM23+SUMPRODUCT((AK$4:AK$503&gt;=BM$4:BM$503)*(AK$4:AK$503-BM$4:BM$503))/MAX(1,COUNTIF(AK$4:AK$503,"&lt;"&amp;BM23+0.01)),BM23))</f>
        <v>7314.89836842105</v>
      </c>
      <c r="CB23" s="93" t="n">
        <f aca="false">IF(AL23&gt;=BN23,0,IFERROR(BN23+SUMPRODUCT((AL$4:AL$503&gt;=BN$4:BN$503)*(AL$4:AL$503-BN$4:BN$503))/MAX(1,COUNTIF(AL$4:AL$503,"&lt;"&amp;BN23+0.01)),BN23))</f>
        <v>3597.2614925</v>
      </c>
      <c r="CC23" s="95" t="str">
        <f aca="false">IF(AO23="🟢","VERDE",IF(AO23="🟡","AMARELO",IF(AO23="🟠","VERMELHO",IF(AO23="🔴","VERMELHO","ROXO"))))</f>
        <v>VERMELHO</v>
      </c>
      <c r="CD23" s="96" t="s">
        <v>103</v>
      </c>
      <c r="CE23" s="96" t="s">
        <v>104</v>
      </c>
    </row>
    <row r="24" customFormat="false" ht="14.25" hidden="false" customHeight="true" outlineLevel="0" collapsed="false">
      <c r="A24" s="65" t="s">
        <v>166</v>
      </c>
      <c r="B24" s="66" t="s">
        <v>167</v>
      </c>
      <c r="C24" s="67" t="s">
        <v>113</v>
      </c>
      <c r="D24" s="68" t="s">
        <v>100</v>
      </c>
      <c r="E24" s="69" t="s">
        <v>114</v>
      </c>
      <c r="F24" s="70" t="n">
        <f aca="false">IFERROR(VLOOKUP(C24,$AS$3:$AT$10,2,FALSE()),IFERROR(VLOOKUP(C24,$AS$15:$AT$22,2,FALSE()),""))</f>
        <v>49</v>
      </c>
      <c r="G24" s="71" t="n">
        <f aca="false">IFERROR(VLOOKUP(C24,$AS$3:$AX$10,6,FALSE()),IFERROR(VLOOKUP(C24,$AS$15:$AX$22,6,FALSE()),""))</f>
        <v>0.463965086137302</v>
      </c>
      <c r="H24" s="72" t="str">
        <f aca="false">IFERROR(VLOOKUP(C24,$AS$3:$AY$10,7,FALSE()),IFERROR(VLOOKUP(C24,$AS$15:$AY$22,7,FALSE()),""))</f>
        <v>🟡 AMARELO</v>
      </c>
      <c r="I24" s="72" t="str">
        <f aca="false">IFERROR(VLOOKUP(C24,$AS$3:$AZ$10,8,FALSE()),IFERROR(VLOOKUP(C24,$AS$15:$AZ$22,8,FALSE()),""))</f>
        <v>Sell Out</v>
      </c>
      <c r="J24" s="73"/>
      <c r="K24" s="69" t="s">
        <v>113</v>
      </c>
      <c r="L24" s="74" t="n">
        <v>34853.92</v>
      </c>
      <c r="M24" s="75" t="n">
        <v>2449.29</v>
      </c>
      <c r="N24" s="75" t="n">
        <v>2559.42</v>
      </c>
      <c r="O24" s="75" t="n">
        <v>2621.09</v>
      </c>
      <c r="P24" s="75" t="n">
        <v>2689.37</v>
      </c>
      <c r="Q24" s="75" t="n">
        <v>2777.48</v>
      </c>
      <c r="R24" s="75" t="n">
        <v>2850.16</v>
      </c>
      <c r="S24" s="75" t="n">
        <v>2960.29</v>
      </c>
      <c r="T24" s="75" t="n">
        <v>3032.98</v>
      </c>
      <c r="U24" s="75" t="n">
        <v>3101.26</v>
      </c>
      <c r="V24" s="75" t="n">
        <v>3178.35</v>
      </c>
      <c r="W24" s="75" t="n">
        <v>3262.05</v>
      </c>
      <c r="X24" s="76" t="n">
        <v>3372.18</v>
      </c>
      <c r="Y24" s="77" t="s">
        <v>20</v>
      </c>
      <c r="Z24" s="78" t="n">
        <f aca="false">SUM(AA24:AL24)</f>
        <v>16603.35</v>
      </c>
      <c r="AA24" s="79" t="n">
        <v>1253.39</v>
      </c>
      <c r="AB24" s="75"/>
      <c r="AC24" s="75"/>
      <c r="AD24" s="79" t="n">
        <v>3714.41</v>
      </c>
      <c r="AE24" s="75"/>
      <c r="AF24" s="75"/>
      <c r="AG24" s="75"/>
      <c r="AH24" s="79" t="n">
        <v>6768.79</v>
      </c>
      <c r="AI24" s="75"/>
      <c r="AJ24" s="75"/>
      <c r="AK24" s="79" t="n">
        <v>4866.76</v>
      </c>
      <c r="AL24" s="76"/>
      <c r="AM24" s="56" t="s">
        <v>20</v>
      </c>
      <c r="AN24" s="80" t="n">
        <f aca="false">IF(L24=0,0,Z24/L24)</f>
        <v>0.476369659424248</v>
      </c>
      <c r="AO24" s="81" t="str">
        <f aca="false">IF(AN24="","",IF(AN24&gt;=0.9,"🟢",IF(AN24&gt;=0.7,"🟡",IF(AN24&gt;=0.5,"🟠","🔴"))))</f>
        <v>🔴</v>
      </c>
      <c r="AP24" s="82" t="n">
        <f aca="false">IF(L24=0,0,L24-Z24)</f>
        <v>18250.57</v>
      </c>
      <c r="AQ24" s="83" t="n">
        <f aca="false">IF(AP24=0,"",RANK(AP24,AP$4:AP$503,0))</f>
        <v>27</v>
      </c>
      <c r="AR24" s="84" t="s">
        <v>20</v>
      </c>
      <c r="AS24" s="121"/>
      <c r="AT24" s="115"/>
      <c r="AU24" s="115"/>
      <c r="AV24" s="122"/>
      <c r="AW24" s="119"/>
      <c r="AX24" s="119"/>
      <c r="AY24" s="119"/>
      <c r="AZ24" s="120"/>
      <c r="BA24" s="56" t="s">
        <v>20</v>
      </c>
      <c r="BB24" s="91" t="n">
        <f aca="false">SUM(L$4:L$503)/COUNTA(A$4:A$503)</f>
        <v>9494.39992</v>
      </c>
      <c r="BC24" s="92" t="n">
        <f aca="false">SUM(M$4:M$503)/COUNTA(A$4:A$503)</f>
        <v>667.20008</v>
      </c>
      <c r="BD24" s="92" t="n">
        <f aca="false">SUM(N$4:N$503)/COUNTA(A$4:A$503)</f>
        <v>697.19996</v>
      </c>
      <c r="BE24" s="92" t="n">
        <f aca="false">SUM(O$4:O$503)/COUNTA(A$4:A$503)</f>
        <v>713.9999</v>
      </c>
      <c r="BF24" s="92" t="n">
        <f aca="false">SUM(P$4:P$503)/COUNTA(A$4:A$503)</f>
        <v>732.59984</v>
      </c>
      <c r="BG24" s="92" t="n">
        <f aca="false">SUM(Q$4:Q$503)/COUNTA(A$4:A$503)</f>
        <v>756.59992</v>
      </c>
      <c r="BH24" s="92" t="n">
        <f aca="false">SUM(R$4:R$503)/COUNTA(A$4:A$503)</f>
        <v>776.40004</v>
      </c>
      <c r="BI24" s="92" t="n">
        <f aca="false">SUM(S$4:S$503)/COUNTA(A$4:A$503)</f>
        <v>806.40012</v>
      </c>
      <c r="BJ24" s="92" t="n">
        <f aca="false">SUM(T$4:T$503)/COUNTA(A$4:A$503)</f>
        <v>826.1999</v>
      </c>
      <c r="BK24" s="92" t="n">
        <f aca="false">SUM(U$4:U$503)/COUNTA(A$4:A$503)</f>
        <v>844.8002</v>
      </c>
      <c r="BL24" s="92" t="n">
        <f aca="false">SUM(V$4:V$503)/COUNTA(A$4:A$503)</f>
        <v>865.7998</v>
      </c>
      <c r="BM24" s="92" t="n">
        <f aca="false">SUM(W$4:W$503)/COUNTA(A$4:A$503)</f>
        <v>888.59982</v>
      </c>
      <c r="BN24" s="93" t="n">
        <f aca="false">SUM(X$4:X$503)/COUNTA(A$4:A$503)</f>
        <v>918.60034</v>
      </c>
      <c r="BO24" s="94" t="s">
        <v>20</v>
      </c>
      <c r="BP24" s="91" t="n">
        <f aca="false">IF(Z24&gt;=BB24,0,IFERROR(BB24+(SUMPRODUCT((Z$4:Z$503&gt;=BB$4:BB$503)*(Z$4:Z$503-BB$4:BB$503))/MAX(1,COUNTIF(Z$4:Z$503,"&lt;"&amp;BB24+0.01))),BB24))</f>
        <v>0</v>
      </c>
      <c r="BQ24" s="92" t="n">
        <f aca="false">IF(AA24&gt;=BC24,0,IFERROR(BC24+SUMPRODUCT((AA$4:AA$503&gt;=BC$4:BC$503)*(AA$4:AA$503-BC$4:BC$503))/MAX(1,COUNTIF(AA$4:AA$503,"&lt;"&amp;BC24+0.01)),BC24))</f>
        <v>0</v>
      </c>
      <c r="BR24" s="92" t="n">
        <f aca="false">IF(AB24&gt;=BD24,0,IFERROR(BD24+SUMPRODUCT((AB$4:AB$503&gt;=BD$4:BD$503)*(AB$4:AB$503-BD$4:BD$503))/MAX(1,COUNTIF(AB$4:AB$503,"&lt;"&amp;BD24+0.01)),BD24))</f>
        <v>3335.2938</v>
      </c>
      <c r="BS24" s="92" t="n">
        <f aca="false">IF(AC24&gt;=BE24,0,IFERROR(BE24+SUMPRODUCT((AC$4:AC$503&gt;=BE$4:BE$503)*(AC$4:AC$503-BE$4:BE$503))/MAX(1,COUNTIF(AC$4:AC$503,"&lt;"&amp;BE24+0.01)),BE24))</f>
        <v>6188.73352</v>
      </c>
      <c r="BT24" s="92" t="n">
        <f aca="false">IF(AD24&gt;=BF24,0,IFERROR(BF24+SUMPRODUCT((AD$4:AD$503&gt;=BF$4:BF$503)*(AD$4:AD$503-BF$4:BF$503))/MAX(1,COUNTIF(AD$4:AD$503,"&lt;"&amp;BF24+0.01)),BF24))</f>
        <v>0</v>
      </c>
      <c r="BU24" s="92" t="n">
        <f aca="false">IF(AE24&gt;=BG24,0,IFERROR(BG24+SUMPRODUCT((AE$4:AE$503&gt;=BG$4:BG$503)*(AE$4:AE$503-BG$4:BG$503))/MAX(1,COUNTIF(AE$4:AE$503,"&lt;"&amp;BG24+0.01)),BG24))</f>
        <v>7704.85920380952</v>
      </c>
      <c r="BV24" s="92" t="n">
        <f aca="false">IF(AF24&gt;=BH24,0,IFERROR(BH24+SUMPRODUCT((AF$4:AF$503&gt;=BH$4:BH$503)*(AF$4:AF$503-BH$4:BH$503))/MAX(1,COUNTIF(AF$4:AF$503,"&lt;"&amp;BH24+0.01)),BH24))</f>
        <v>9942.6503831579</v>
      </c>
      <c r="BW24" s="92" t="n">
        <f aca="false">IF(AG24&gt;=BI24,0,IFERROR(BI24+SUMPRODUCT((AG$4:AG$503&gt;=BI$4:BI$503)*(AG$4:AG$503-BI$4:BI$503))/MAX(1,COUNTIF(AG$4:AG$503,"&lt;"&amp;BI24+0.01)),BI24))</f>
        <v>9142.15870461538</v>
      </c>
      <c r="BX24" s="92" t="n">
        <f aca="false">IF(AH24&gt;=BJ24,0,IFERROR(BJ24+SUMPRODUCT((AH$4:AH$503&gt;=BJ$4:BJ$503)*(AH$4:AH$503-BJ$4:BJ$503))/MAX(1,COUNTIF(AH$4:AH$503,"&lt;"&amp;BJ24+0.01)),BJ24))</f>
        <v>0</v>
      </c>
      <c r="BY24" s="92" t="n">
        <f aca="false">IF(AI24&gt;=BK24,0,IFERROR(BK24+SUMPRODUCT((AI$4:AI$503&gt;=BK$4:BK$503)*(AI$4:AI$503-BK$4:BK$503))/MAX(1,COUNTIF(AI$4:AI$503,"&lt;"&amp;BK24+0.01)),BK24))</f>
        <v>7878.25652380952</v>
      </c>
      <c r="BZ24" s="92" t="n">
        <f aca="false">IF(AJ24&gt;=BL24,0,IFERROR(BL24+SUMPRODUCT((AJ$4:AJ$503&gt;=BL$4:BL$503)*(AJ$4:AJ$503-BL$4:BL$503))/MAX(1,COUNTIF(AJ$4:AJ$503,"&lt;"&amp;BL24+0.01)),BL24))</f>
        <v>6710.03292307692</v>
      </c>
      <c r="CA24" s="92" t="n">
        <f aca="false">IF(AK24&gt;=BM24,0,IFERROR(BM24+SUMPRODUCT((AK$4:AK$503&gt;=BM$4:BM$503)*(AK$4:AK$503-BM$4:BM$503))/MAX(1,COUNTIF(AK$4:AK$503,"&lt;"&amp;BM24+0.01)),BM24))</f>
        <v>0</v>
      </c>
      <c r="CB24" s="93" t="n">
        <f aca="false">IF(AL24&gt;=BN24,0,IFERROR(BN24+SUMPRODUCT((AL$4:AL$503&gt;=BN$4:BN$503)*(AL$4:AL$503-BN$4:BN$503))/MAX(1,COUNTIF(AL$4:AL$503,"&lt;"&amp;BN24+0.01)),BN24))</f>
        <v>3597.2614925</v>
      </c>
      <c r="CC24" s="95" t="str">
        <f aca="false">IF(AO24="🟢","VERDE",IF(AO24="🟡","AMARELO",IF(AO24="🟠","VERMELHO",IF(AO24="🔴","VERMELHO","ROXO"))))</f>
        <v>VERMELHO</v>
      </c>
      <c r="CD24" s="96" t="s">
        <v>103</v>
      </c>
      <c r="CE24" s="96" t="s">
        <v>104</v>
      </c>
    </row>
    <row r="25" customFormat="false" ht="14.25" hidden="false" customHeight="true" outlineLevel="0" collapsed="false">
      <c r="A25" s="65" t="s">
        <v>168</v>
      </c>
      <c r="B25" s="66" t="s">
        <v>169</v>
      </c>
      <c r="C25" s="67" t="s">
        <v>149</v>
      </c>
      <c r="D25" s="68" t="s">
        <v>100</v>
      </c>
      <c r="E25" s="69" t="s">
        <v>119</v>
      </c>
      <c r="F25" s="70" t="n">
        <f aca="false">IFERROR(VLOOKUP(C25,$AS$3:$AT$10,2,FALSE()),IFERROR(VLOOKUP(C25,$AS$15:$AT$22,2,FALSE()),""))</f>
        <v>29</v>
      </c>
      <c r="G25" s="71" t="n">
        <f aca="false">IFERROR(VLOOKUP(C25,$AS$3:$AX$10,6,FALSE()),IFERROR(VLOOKUP(C25,$AS$15:$AX$22,6,FALSE()),""))</f>
        <v>0.425845065256079</v>
      </c>
      <c r="H25" s="72" t="str">
        <f aca="false">IFERROR(VLOOKUP(C25,$AS$3:$AY$10,7,FALSE()),IFERROR(VLOOKUP(C25,$AS$15:$AY$22,7,FALSE()),""))</f>
        <v>🟡 AMARELO</v>
      </c>
      <c r="I25" s="72" t="str">
        <f aca="false">IFERROR(VLOOKUP(C25,$AS$3:$AZ$10,8,FALSE()),IFERROR(VLOOKUP(C25,$AS$15:$AZ$22,8,FALSE()),""))</f>
        <v>Sell Out</v>
      </c>
      <c r="J25" s="73"/>
      <c r="K25" s="69" t="s">
        <v>149</v>
      </c>
      <c r="L25" s="74" t="n">
        <v>33886.15</v>
      </c>
      <c r="M25" s="75" t="n">
        <v>2381.28</v>
      </c>
      <c r="N25" s="75" t="n">
        <v>2488.35</v>
      </c>
      <c r="O25" s="75" t="n">
        <v>2548.31</v>
      </c>
      <c r="P25" s="75" t="n">
        <v>2614.7</v>
      </c>
      <c r="Q25" s="75" t="n">
        <v>2700.36</v>
      </c>
      <c r="R25" s="75" t="n">
        <v>2771.02</v>
      </c>
      <c r="S25" s="75" t="n">
        <v>2878.1</v>
      </c>
      <c r="T25" s="75" t="n">
        <v>2948.76</v>
      </c>
      <c r="U25" s="75" t="n">
        <v>3015.15</v>
      </c>
      <c r="V25" s="75" t="n">
        <v>3090.1</v>
      </c>
      <c r="W25" s="75" t="n">
        <v>3171.47</v>
      </c>
      <c r="X25" s="76" t="n">
        <v>3278.55</v>
      </c>
      <c r="Y25" s="77" t="s">
        <v>20</v>
      </c>
      <c r="Z25" s="78" t="n">
        <f aca="false">SUM(AA25:AL25)</f>
        <v>13627.53</v>
      </c>
      <c r="AA25" s="79" t="n">
        <v>5530.63</v>
      </c>
      <c r="AB25" s="75"/>
      <c r="AC25" s="79" t="n">
        <v>4586.52</v>
      </c>
      <c r="AD25" s="75"/>
      <c r="AE25" s="75"/>
      <c r="AF25" s="79" t="n">
        <v>3510.38</v>
      </c>
      <c r="AG25" s="75"/>
      <c r="AH25" s="75"/>
      <c r="AI25" s="75"/>
      <c r="AJ25" s="75"/>
      <c r="AK25" s="75"/>
      <c r="AL25" s="76"/>
      <c r="AM25" s="56" t="s">
        <v>20</v>
      </c>
      <c r="AN25" s="80" t="n">
        <f aca="false">IF(L25=0,0,Z25/L25)</f>
        <v>0.402156338208973</v>
      </c>
      <c r="AO25" s="81" t="str">
        <f aca="false">IF(AN25="","",IF(AN25&gt;=0.9,"🟢",IF(AN25&gt;=0.7,"🟡",IF(AN25&gt;=0.5,"🟠","🔴"))))</f>
        <v>🔴</v>
      </c>
      <c r="AP25" s="82" t="n">
        <f aca="false">IF(L25=0,0,L25-Z25)</f>
        <v>20258.62</v>
      </c>
      <c r="AQ25" s="83" t="n">
        <f aca="false">IF(AP25=0,"",RANK(AP25,AP$4:AP$503,0))</f>
        <v>22</v>
      </c>
      <c r="AR25" s="84" t="s">
        <v>20</v>
      </c>
      <c r="AS25" s="123" t="s">
        <v>170</v>
      </c>
      <c r="AT25" s="115"/>
      <c r="AU25" s="115"/>
      <c r="AV25" s="122"/>
      <c r="AW25" s="119"/>
      <c r="AX25" s="119"/>
      <c r="AY25" s="119"/>
      <c r="AZ25" s="120"/>
      <c r="BA25" s="56" t="s">
        <v>20</v>
      </c>
      <c r="BB25" s="91" t="n">
        <f aca="false">SUM(L$4:L$503)/COUNTA(A$4:A$503)</f>
        <v>9494.39992</v>
      </c>
      <c r="BC25" s="92" t="n">
        <f aca="false">SUM(M$4:M$503)/COUNTA(A$4:A$503)</f>
        <v>667.20008</v>
      </c>
      <c r="BD25" s="92" t="n">
        <f aca="false">SUM(N$4:N$503)/COUNTA(A$4:A$503)</f>
        <v>697.19996</v>
      </c>
      <c r="BE25" s="92" t="n">
        <f aca="false">SUM(O$4:O$503)/COUNTA(A$4:A$503)</f>
        <v>713.9999</v>
      </c>
      <c r="BF25" s="92" t="n">
        <f aca="false">SUM(P$4:P$503)/COUNTA(A$4:A$503)</f>
        <v>732.59984</v>
      </c>
      <c r="BG25" s="92" t="n">
        <f aca="false">SUM(Q$4:Q$503)/COUNTA(A$4:A$503)</f>
        <v>756.59992</v>
      </c>
      <c r="BH25" s="92" t="n">
        <f aca="false">SUM(R$4:R$503)/COUNTA(A$4:A$503)</f>
        <v>776.40004</v>
      </c>
      <c r="BI25" s="92" t="n">
        <f aca="false">SUM(S$4:S$503)/COUNTA(A$4:A$503)</f>
        <v>806.40012</v>
      </c>
      <c r="BJ25" s="92" t="n">
        <f aca="false">SUM(T$4:T$503)/COUNTA(A$4:A$503)</f>
        <v>826.1999</v>
      </c>
      <c r="BK25" s="92" t="n">
        <f aca="false">SUM(U$4:U$503)/COUNTA(A$4:A$503)</f>
        <v>844.8002</v>
      </c>
      <c r="BL25" s="92" t="n">
        <f aca="false">SUM(V$4:V$503)/COUNTA(A$4:A$503)</f>
        <v>865.7998</v>
      </c>
      <c r="BM25" s="92" t="n">
        <f aca="false">SUM(W$4:W$503)/COUNTA(A$4:A$503)</f>
        <v>888.59982</v>
      </c>
      <c r="BN25" s="93" t="n">
        <f aca="false">SUM(X$4:X$503)/COUNTA(A$4:A$503)</f>
        <v>918.60034</v>
      </c>
      <c r="BO25" s="94" t="s">
        <v>20</v>
      </c>
      <c r="BP25" s="91" t="n">
        <f aca="false">IF(Z25&gt;=BB25,0,IFERROR(BB25+(SUMPRODUCT((Z$4:Z$503&gt;=BB$4:BB$503)*(Z$4:Z$503-BB$4:BB$503))/MAX(1,COUNTIF(Z$4:Z$503,"&lt;"&amp;BB25+0.01))),BB25))</f>
        <v>0</v>
      </c>
      <c r="BQ25" s="92" t="n">
        <f aca="false">IF(AA25&gt;=BC25,0,IFERROR(BC25+SUMPRODUCT((AA$4:AA$503&gt;=BC$4:BC$503)*(AA$4:AA$503-BC$4:BC$503))/MAX(1,COUNTIF(AA$4:AA$503,"&lt;"&amp;BC25+0.01)),BC25))</f>
        <v>0</v>
      </c>
      <c r="BR25" s="92" t="n">
        <f aca="false">IF(AB25&gt;=BD25,0,IFERROR(BD25+SUMPRODUCT((AB$4:AB$503&gt;=BD$4:BD$503)*(AB$4:AB$503-BD$4:BD$503))/MAX(1,COUNTIF(AB$4:AB$503,"&lt;"&amp;BD25+0.01)),BD25))</f>
        <v>3335.2938</v>
      </c>
      <c r="BS25" s="92" t="n">
        <f aca="false">IF(AC25&gt;=BE25,0,IFERROR(BE25+SUMPRODUCT((AC$4:AC$503&gt;=BE$4:BE$503)*(AC$4:AC$503-BE$4:BE$503))/MAX(1,COUNTIF(AC$4:AC$503,"&lt;"&amp;BE25+0.01)),BE25))</f>
        <v>0</v>
      </c>
      <c r="BT25" s="92" t="n">
        <f aca="false">IF(AD25&gt;=BF25,0,IFERROR(BF25+SUMPRODUCT((AD$4:AD$503&gt;=BF$4:BF$503)*(AD$4:AD$503-BF$4:BF$503))/MAX(1,COUNTIF(AD$4:AD$503,"&lt;"&amp;BF25+0.01)),BF25))</f>
        <v>11354.35411</v>
      </c>
      <c r="BU25" s="92" t="n">
        <f aca="false">IF(AE25&gt;=BG25,0,IFERROR(BG25+SUMPRODUCT((AE$4:AE$503&gt;=BG$4:BG$503)*(AE$4:AE$503-BG$4:BG$503))/MAX(1,COUNTIF(AE$4:AE$503,"&lt;"&amp;BG25+0.01)),BG25))</f>
        <v>7704.85920380952</v>
      </c>
      <c r="BV25" s="92" t="n">
        <f aca="false">IF(AF25&gt;=BH25,0,IFERROR(BH25+SUMPRODUCT((AF$4:AF$503&gt;=BH$4:BH$503)*(AF$4:AF$503-BH$4:BH$503))/MAX(1,COUNTIF(AF$4:AF$503,"&lt;"&amp;BH25+0.01)),BH25))</f>
        <v>0</v>
      </c>
      <c r="BW25" s="92" t="n">
        <f aca="false">IF(AG25&gt;=BI25,0,IFERROR(BI25+SUMPRODUCT((AG$4:AG$503&gt;=BI$4:BI$503)*(AG$4:AG$503-BI$4:BI$503))/MAX(1,COUNTIF(AG$4:AG$503,"&lt;"&amp;BI25+0.01)),BI25))</f>
        <v>9142.15870461538</v>
      </c>
      <c r="BX25" s="92" t="n">
        <f aca="false">IF(AH25&gt;=BJ25,0,IFERROR(BJ25+SUMPRODUCT((AH$4:AH$503&gt;=BJ$4:BJ$503)*(AH$4:AH$503-BJ$4:BJ$503))/MAX(1,COUNTIF(AH$4:AH$503,"&lt;"&amp;BJ25+0.01)),BJ25))</f>
        <v>5621.50263448276</v>
      </c>
      <c r="BY25" s="92" t="n">
        <f aca="false">IF(AI25&gt;=BK25,0,IFERROR(BK25+SUMPRODUCT((AI$4:AI$503&gt;=BK$4:BK$503)*(AI$4:AI$503-BK$4:BK$503))/MAX(1,COUNTIF(AI$4:AI$503,"&lt;"&amp;BK25+0.01)),BK25))</f>
        <v>7878.25652380952</v>
      </c>
      <c r="BZ25" s="92" t="n">
        <f aca="false">IF(AJ25&gt;=BL25,0,IFERROR(BL25+SUMPRODUCT((AJ$4:AJ$503&gt;=BL$4:BL$503)*(AJ$4:AJ$503-BL$4:BL$503))/MAX(1,COUNTIF(AJ$4:AJ$503,"&lt;"&amp;BL25+0.01)),BL25))</f>
        <v>6710.03292307692</v>
      </c>
      <c r="CA25" s="92" t="n">
        <f aca="false">IF(AK25&gt;=BM25,0,IFERROR(BM25+SUMPRODUCT((AK$4:AK$503&gt;=BM$4:BM$503)*(AK$4:AK$503-BM$4:BM$503))/MAX(1,COUNTIF(AK$4:AK$503,"&lt;"&amp;BM25+0.01)),BM25))</f>
        <v>7314.89836842105</v>
      </c>
      <c r="CB25" s="93" t="n">
        <f aca="false">IF(AL25&gt;=BN25,0,IFERROR(BN25+SUMPRODUCT((AL$4:AL$503&gt;=BN$4:BN$503)*(AL$4:AL$503-BN$4:BN$503))/MAX(1,COUNTIF(AL$4:AL$503,"&lt;"&amp;BN25+0.01)),BN25))</f>
        <v>3597.2614925</v>
      </c>
      <c r="CC25" s="95" t="str">
        <f aca="false">IF(AO25="🟢","VERDE",IF(AO25="🟡","AMARELO",IF(AO25="🟠","VERMELHO",IF(AO25="🔴","VERMELHO","ROXO"))))</f>
        <v>VERMELHO</v>
      </c>
      <c r="CD25" s="96" t="s">
        <v>103</v>
      </c>
      <c r="CE25" s="96" t="s">
        <v>104</v>
      </c>
    </row>
    <row r="26" customFormat="false" ht="14.25" hidden="false" customHeight="true" outlineLevel="0" collapsed="false">
      <c r="A26" s="65" t="s">
        <v>171</v>
      </c>
      <c r="B26" s="66" t="s">
        <v>172</v>
      </c>
      <c r="C26" s="67" t="s">
        <v>118</v>
      </c>
      <c r="D26" s="68" t="s">
        <v>100</v>
      </c>
      <c r="E26" s="69" t="s">
        <v>119</v>
      </c>
      <c r="F26" s="70" t="n">
        <f aca="false">IFERROR(VLOOKUP(C26,$AS$3:$AT$10,2,FALSE()),IFERROR(VLOOKUP(C26,$AS$15:$AT$22,2,FALSE()),""))</f>
        <v>42</v>
      </c>
      <c r="G26" s="71" t="n">
        <f aca="false">IFERROR(VLOOKUP(C26,$AS$3:$AX$10,6,FALSE()),IFERROR(VLOOKUP(C26,$AS$15:$AX$22,6,FALSE()),""))</f>
        <v>0.424872083346704</v>
      </c>
      <c r="H26" s="72" t="str">
        <f aca="false">IFERROR(VLOOKUP(C26,$AS$3:$AY$10,7,FALSE()),IFERROR(VLOOKUP(C26,$AS$15:$AY$22,7,FALSE()),""))</f>
        <v>🟡 AMARELO</v>
      </c>
      <c r="I26" s="72" t="str">
        <f aca="false">IFERROR(VLOOKUP(C26,$AS$3:$AZ$10,8,FALSE()),IFERROR(VLOOKUP(C26,$AS$15:$AZ$22,8,FALSE()),""))</f>
        <v>Sell Out</v>
      </c>
      <c r="J26" s="73"/>
      <c r="K26" s="69" t="s">
        <v>118</v>
      </c>
      <c r="L26" s="74" t="n">
        <v>33248.35</v>
      </c>
      <c r="M26" s="75" t="n">
        <v>2336.46</v>
      </c>
      <c r="N26" s="75" t="n">
        <v>2441.52</v>
      </c>
      <c r="O26" s="75" t="n">
        <v>2500.35</v>
      </c>
      <c r="P26" s="75" t="n">
        <v>2565.48</v>
      </c>
      <c r="Q26" s="75" t="n">
        <v>2649.53</v>
      </c>
      <c r="R26" s="75" t="n">
        <v>2718.87</v>
      </c>
      <c r="S26" s="75" t="n">
        <v>2823.92</v>
      </c>
      <c r="T26" s="75" t="n">
        <v>2893.26</v>
      </c>
      <c r="U26" s="75" t="n">
        <v>2958.4</v>
      </c>
      <c r="V26" s="75" t="n">
        <v>3031.94</v>
      </c>
      <c r="W26" s="75" t="n">
        <v>3111.78</v>
      </c>
      <c r="X26" s="76" t="n">
        <v>3216.84</v>
      </c>
      <c r="Y26" s="77" t="s">
        <v>20</v>
      </c>
      <c r="Z26" s="78" t="n">
        <f aca="false">SUM(AA26:AL26)</f>
        <v>11839.47</v>
      </c>
      <c r="AA26" s="75"/>
      <c r="AB26" s="75"/>
      <c r="AC26" s="75"/>
      <c r="AD26" s="75"/>
      <c r="AE26" s="75"/>
      <c r="AF26" s="79" t="n">
        <v>838.52</v>
      </c>
      <c r="AG26" s="79" t="n">
        <v>3851.22</v>
      </c>
      <c r="AH26" s="79" t="n">
        <v>1068.6</v>
      </c>
      <c r="AI26" s="79" t="n">
        <v>1781.13</v>
      </c>
      <c r="AJ26" s="75"/>
      <c r="AK26" s="79" t="n">
        <v>4300</v>
      </c>
      <c r="AL26" s="76"/>
      <c r="AM26" s="56" t="s">
        <v>20</v>
      </c>
      <c r="AN26" s="80" t="n">
        <f aca="false">IF(L26=0,0,Z26/L26)</f>
        <v>0.356091956442951</v>
      </c>
      <c r="AO26" s="81" t="str">
        <f aca="false">IF(AN26="","",IF(AN26&gt;=0.9,"🟢",IF(AN26&gt;=0.7,"🟡",IF(AN26&gt;=0.5,"🟠","🔴"))))</f>
        <v>🔴</v>
      </c>
      <c r="AP26" s="82" t="n">
        <f aca="false">IF(L26=0,0,L26-Z26)</f>
        <v>21408.88</v>
      </c>
      <c r="AQ26" s="83" t="n">
        <f aca="false">IF(AP26=0,"",RANK(AP26,AP$4:AP$503,0))</f>
        <v>20</v>
      </c>
      <c r="AR26" s="84" t="s">
        <v>20</v>
      </c>
      <c r="AS26" s="124" t="s">
        <v>11</v>
      </c>
      <c r="AT26" s="125" t="s">
        <v>12</v>
      </c>
      <c r="AU26" s="125" t="s">
        <v>13</v>
      </c>
      <c r="AV26" s="126" t="s">
        <v>14</v>
      </c>
      <c r="AW26" s="124" t="s">
        <v>15</v>
      </c>
      <c r="AX26" s="124" t="s">
        <v>16</v>
      </c>
      <c r="AY26" s="124" t="s">
        <v>17</v>
      </c>
      <c r="AZ26" s="125" t="s">
        <v>18</v>
      </c>
      <c r="BA26" s="56" t="s">
        <v>20</v>
      </c>
      <c r="BB26" s="91" t="n">
        <f aca="false">SUM(L$4:L$503)/COUNTA(A$4:A$503)</f>
        <v>9494.39992</v>
      </c>
      <c r="BC26" s="92" t="n">
        <f aca="false">SUM(M$4:M$503)/COUNTA(A$4:A$503)</f>
        <v>667.20008</v>
      </c>
      <c r="BD26" s="92" t="n">
        <f aca="false">SUM(N$4:N$503)/COUNTA(A$4:A$503)</f>
        <v>697.19996</v>
      </c>
      <c r="BE26" s="92" t="n">
        <f aca="false">SUM(O$4:O$503)/COUNTA(A$4:A$503)</f>
        <v>713.9999</v>
      </c>
      <c r="BF26" s="92" t="n">
        <f aca="false">SUM(P$4:P$503)/COUNTA(A$4:A$503)</f>
        <v>732.59984</v>
      </c>
      <c r="BG26" s="92" t="n">
        <f aca="false">SUM(Q$4:Q$503)/COUNTA(A$4:A$503)</f>
        <v>756.59992</v>
      </c>
      <c r="BH26" s="92" t="n">
        <f aca="false">SUM(R$4:R$503)/COUNTA(A$4:A$503)</f>
        <v>776.40004</v>
      </c>
      <c r="BI26" s="92" t="n">
        <f aca="false">SUM(S$4:S$503)/COUNTA(A$4:A$503)</f>
        <v>806.40012</v>
      </c>
      <c r="BJ26" s="92" t="n">
        <f aca="false">SUM(T$4:T$503)/COUNTA(A$4:A$503)</f>
        <v>826.1999</v>
      </c>
      <c r="BK26" s="92" t="n">
        <f aca="false">SUM(U$4:U$503)/COUNTA(A$4:A$503)</f>
        <v>844.8002</v>
      </c>
      <c r="BL26" s="92" t="n">
        <f aca="false">SUM(V$4:V$503)/COUNTA(A$4:A$503)</f>
        <v>865.7998</v>
      </c>
      <c r="BM26" s="92" t="n">
        <f aca="false">SUM(W$4:W$503)/COUNTA(A$4:A$503)</f>
        <v>888.59982</v>
      </c>
      <c r="BN26" s="93" t="n">
        <f aca="false">SUM(X$4:X$503)/COUNTA(A$4:A$503)</f>
        <v>918.60034</v>
      </c>
      <c r="BO26" s="94" t="s">
        <v>20</v>
      </c>
      <c r="BP26" s="91" t="n">
        <f aca="false">IF(Z26&gt;=BB26,0,IFERROR(BB26+(SUMPRODUCT((Z$4:Z$503&gt;=BB$4:BB$503)*(Z$4:Z$503-BB$4:BB$503))/MAX(1,COUNTIF(Z$4:Z$503,"&lt;"&amp;BB26+0.01))),BB26))</f>
        <v>0</v>
      </c>
      <c r="BQ26" s="92" t="n">
        <f aca="false">IF(AA26&gt;=BC26,0,IFERROR(BC26+SUMPRODUCT((AA$4:AA$503&gt;=BC$4:BC$503)*(AA$4:AA$503-BC$4:BC$503))/MAX(1,COUNTIF(AA$4:AA$503,"&lt;"&amp;BC26+0.01)),BC26))</f>
        <v>2238.46589176471</v>
      </c>
      <c r="BR26" s="92" t="n">
        <f aca="false">IF(AB26&gt;=BD26,0,IFERROR(BD26+SUMPRODUCT((AB$4:AB$503&gt;=BD$4:BD$503)*(AB$4:AB$503-BD$4:BD$503))/MAX(1,COUNTIF(AB$4:AB$503,"&lt;"&amp;BD26+0.01)),BD26))</f>
        <v>3335.2938</v>
      </c>
      <c r="BS26" s="92" t="n">
        <f aca="false">IF(AC26&gt;=BE26,0,IFERROR(BE26+SUMPRODUCT((AC$4:AC$503&gt;=BE$4:BE$503)*(AC$4:AC$503-BE$4:BE$503))/MAX(1,COUNTIF(AC$4:AC$503,"&lt;"&amp;BE26+0.01)),BE26))</f>
        <v>6188.73352</v>
      </c>
      <c r="BT26" s="92" t="n">
        <f aca="false">IF(AD26&gt;=BF26,0,IFERROR(BF26+SUMPRODUCT((AD$4:AD$503&gt;=BF$4:BF$503)*(AD$4:AD$503-BF$4:BF$503))/MAX(1,COUNTIF(AD$4:AD$503,"&lt;"&amp;BF26+0.01)),BF26))</f>
        <v>11354.35411</v>
      </c>
      <c r="BU26" s="92" t="n">
        <f aca="false">IF(AE26&gt;=BG26,0,IFERROR(BG26+SUMPRODUCT((AE$4:AE$503&gt;=BG$4:BG$503)*(AE$4:AE$503-BG$4:BG$503))/MAX(1,COUNTIF(AE$4:AE$503,"&lt;"&amp;BG26+0.01)),BG26))</f>
        <v>7704.85920380952</v>
      </c>
      <c r="BV26" s="92" t="n">
        <f aca="false">IF(AF26&gt;=BH26,0,IFERROR(BH26+SUMPRODUCT((AF$4:AF$503&gt;=BH$4:BH$503)*(AF$4:AF$503-BH$4:BH$503))/MAX(1,COUNTIF(AF$4:AF$503,"&lt;"&amp;BH26+0.01)),BH26))</f>
        <v>0</v>
      </c>
      <c r="BW26" s="92" t="n">
        <f aca="false">IF(AG26&gt;=BI26,0,IFERROR(BI26+SUMPRODUCT((AG$4:AG$503&gt;=BI$4:BI$503)*(AG$4:AG$503-BI$4:BI$503))/MAX(1,COUNTIF(AG$4:AG$503,"&lt;"&amp;BI26+0.01)),BI26))</f>
        <v>0</v>
      </c>
      <c r="BX26" s="92" t="n">
        <f aca="false">IF(AH26&gt;=BJ26,0,IFERROR(BJ26+SUMPRODUCT((AH$4:AH$503&gt;=BJ$4:BJ$503)*(AH$4:AH$503-BJ$4:BJ$503))/MAX(1,COUNTIF(AH$4:AH$503,"&lt;"&amp;BJ26+0.01)),BJ26))</f>
        <v>0</v>
      </c>
      <c r="BY26" s="92" t="n">
        <f aca="false">IF(AI26&gt;=BK26,0,IFERROR(BK26+SUMPRODUCT((AI$4:AI$503&gt;=BK$4:BK$503)*(AI$4:AI$503-BK$4:BK$503))/MAX(1,COUNTIF(AI$4:AI$503,"&lt;"&amp;BK26+0.01)),BK26))</f>
        <v>0</v>
      </c>
      <c r="BZ26" s="92" t="n">
        <f aca="false">IF(AJ26&gt;=BL26,0,IFERROR(BL26+SUMPRODUCT((AJ$4:AJ$503&gt;=BL$4:BL$503)*(AJ$4:AJ$503-BL$4:BL$503))/MAX(1,COUNTIF(AJ$4:AJ$503,"&lt;"&amp;BL26+0.01)),BL26))</f>
        <v>6710.03292307692</v>
      </c>
      <c r="CA26" s="92" t="n">
        <f aca="false">IF(AK26&gt;=BM26,0,IFERROR(BM26+SUMPRODUCT((AK$4:AK$503&gt;=BM$4:BM$503)*(AK$4:AK$503-BM$4:BM$503))/MAX(1,COUNTIF(AK$4:AK$503,"&lt;"&amp;BM26+0.01)),BM26))</f>
        <v>0</v>
      </c>
      <c r="CB26" s="93" t="n">
        <f aca="false">IF(AL26&gt;=BN26,0,IFERROR(BN26+SUMPRODUCT((AL$4:AL$503&gt;=BN$4:BN$503)*(AL$4:AL$503-BN$4:BN$503))/MAX(1,COUNTIF(AL$4:AL$503,"&lt;"&amp;BN26+0.01)),BN26))</f>
        <v>3597.2614925</v>
      </c>
      <c r="CC26" s="95" t="str">
        <f aca="false">IF(AO26="🟢","VERDE",IF(AO26="🟡","AMARELO",IF(AO26="🟠","VERMELHO",IF(AO26="🔴","VERMELHO","ROXO"))))</f>
        <v>VERMELHO</v>
      </c>
      <c r="CD26" s="96" t="s">
        <v>103</v>
      </c>
      <c r="CE26" s="96" t="s">
        <v>104</v>
      </c>
    </row>
    <row r="27" customFormat="false" ht="14.25" hidden="false" customHeight="true" outlineLevel="0" collapsed="false">
      <c r="A27" s="65" t="s">
        <v>173</v>
      </c>
      <c r="B27" s="66" t="s">
        <v>174</v>
      </c>
      <c r="C27" s="66" t="s">
        <v>102</v>
      </c>
      <c r="D27" s="68" t="s">
        <v>175</v>
      </c>
      <c r="E27" s="69" t="s">
        <v>139</v>
      </c>
      <c r="F27" s="70" t="n">
        <f aca="false">IFERROR(VLOOKUP(C27,$AS$3:$AT$10,2,FALSE()),IFERROR(VLOOKUP(C27,$AS$15:$AT$22,2,FALSE()),""))</f>
        <v>21</v>
      </c>
      <c r="G27" s="71" t="n">
        <f aca="false">IFERROR(VLOOKUP(C27,$AS$3:$AX$10,6,FALSE()),IFERROR(VLOOKUP(C27,$AS$15:$AX$22,6,FALSE()),""))</f>
        <v>0.491514556258592</v>
      </c>
      <c r="H27" s="72" t="str">
        <f aca="false">IFERROR(VLOOKUP(C27,$AS$3:$AY$10,7,FALSE()),IFERROR(VLOOKUP(C27,$AS$15:$AY$22,7,FALSE()),""))</f>
        <v>🟡 AMARELO</v>
      </c>
      <c r="I27" s="72" t="str">
        <f aca="false">IFERROR(VLOOKUP(C27,$AS$3:$AZ$10,8,FALSE()),IFERROR(VLOOKUP(C27,$AS$15:$AZ$22,8,FALSE()),""))</f>
        <v>Sell Out</v>
      </c>
      <c r="J27" s="73"/>
      <c r="K27" s="69" t="s">
        <v>107</v>
      </c>
      <c r="L27" s="74" t="n">
        <v>33031.62</v>
      </c>
      <c r="M27" s="75" t="n">
        <v>2321.23</v>
      </c>
      <c r="N27" s="75" t="n">
        <v>2425.6</v>
      </c>
      <c r="O27" s="75" t="n">
        <v>2484.05</v>
      </c>
      <c r="P27" s="75" t="n">
        <v>2548.76</v>
      </c>
      <c r="Q27" s="75" t="n">
        <v>2632.26</v>
      </c>
      <c r="R27" s="75" t="n">
        <v>2701.15</v>
      </c>
      <c r="S27" s="75" t="n">
        <v>2805.52</v>
      </c>
      <c r="T27" s="75" t="n">
        <v>2874.4</v>
      </c>
      <c r="U27" s="75" t="n">
        <v>2939.11</v>
      </c>
      <c r="V27" s="75" t="n">
        <v>3012.17</v>
      </c>
      <c r="W27" s="75" t="n">
        <v>3091.5</v>
      </c>
      <c r="X27" s="76" t="n">
        <v>3195.87</v>
      </c>
      <c r="Y27" s="77" t="s">
        <v>20</v>
      </c>
      <c r="Z27" s="78" t="n">
        <f aca="false">SUM(AA27:AL27)</f>
        <v>13124.56</v>
      </c>
      <c r="AA27" s="79" t="n">
        <v>1360.8</v>
      </c>
      <c r="AB27" s="75"/>
      <c r="AC27" s="75"/>
      <c r="AD27" s="79" t="n">
        <v>4544.43</v>
      </c>
      <c r="AE27" s="75"/>
      <c r="AF27" s="79" t="n">
        <v>912.37</v>
      </c>
      <c r="AG27" s="79" t="n">
        <v>6306.96</v>
      </c>
      <c r="AH27" s="75"/>
      <c r="AI27" s="75"/>
      <c r="AJ27" s="75"/>
      <c r="AK27" s="75"/>
      <c r="AL27" s="76"/>
      <c r="AM27" s="56" t="s">
        <v>20</v>
      </c>
      <c r="AN27" s="80" t="n">
        <f aca="false">IF(L27=0,0,Z27/L27)</f>
        <v>0.397333221924931</v>
      </c>
      <c r="AO27" s="81" t="str">
        <f aca="false">IF(AN27="","",IF(AN27&gt;=0.9,"🟢",IF(AN27&gt;=0.7,"🟡",IF(AN27&gt;=0.5,"🟠","🔴"))))</f>
        <v>🔴</v>
      </c>
      <c r="AP27" s="82" t="n">
        <f aca="false">IF(L27=0,0,L27-Z27)</f>
        <v>19907.06</v>
      </c>
      <c r="AQ27" s="83" t="n">
        <f aca="false">IF(AP27=0,"",RANK(AP27,AP$4:AP$503,0))</f>
        <v>23</v>
      </c>
      <c r="AR27" s="84" t="s">
        <v>20</v>
      </c>
      <c r="AS27" s="85" t="s">
        <v>108</v>
      </c>
      <c r="AT27" s="90" t="n">
        <f aca="false">COUNTIF(D$4:D$503,AS27)</f>
        <v>170</v>
      </c>
      <c r="AU27" s="90" t="n">
        <f aca="false">COUNTIFS(D$4:D$503,AS27,Z$4:Z$503,"&gt;0")</f>
        <v>169</v>
      </c>
      <c r="AV27" s="88" t="n">
        <f aca="false">SUMIF(D$4:D$503,AS27,L$4:L$503)</f>
        <v>1552436.92</v>
      </c>
      <c r="AW27" s="111" t="n">
        <f aca="false">SUMIF(D$4:D$503,AS27,Z$4:Z$503)</f>
        <v>752403.06</v>
      </c>
      <c r="AX27" s="112" t="n">
        <f aca="false">IF(AV27=0,0,AW27/AV27)</f>
        <v>0.484659344484026</v>
      </c>
      <c r="AY27" s="113" t="str">
        <f aca="false">IF(AX27&gt;=0.6,"🟢 VERDE",IF(AX27&gt;=0.4,"🟡 AMARELO",IF(AX27&gt;=0.01,"🔴 VERMELHO","🟣 ROXO")))</f>
        <v>🟡 AMARELO</v>
      </c>
      <c r="AZ27" s="90" t="str">
        <f aca="false">IF(AX27&gt;=0.6,"JBP",IF(AX27&gt;=0.4,"Sell Out",IF(AX27&gt;=0.1,"Positivação + Expandir",IF(AX27&gt;=0.01,"Ativar + Prospectar","Mapear + Prospectar"))))</f>
        <v>Sell Out</v>
      </c>
      <c r="BA27" s="56" t="s">
        <v>20</v>
      </c>
      <c r="BB27" s="91" t="n">
        <f aca="false">SUM(L$4:L$503)/COUNTA(A$4:A$503)</f>
        <v>9494.39992</v>
      </c>
      <c r="BC27" s="92" t="n">
        <f aca="false">SUM(M$4:M$503)/COUNTA(A$4:A$503)</f>
        <v>667.20008</v>
      </c>
      <c r="BD27" s="92" t="n">
        <f aca="false">SUM(N$4:N$503)/COUNTA(A$4:A$503)</f>
        <v>697.19996</v>
      </c>
      <c r="BE27" s="92" t="n">
        <f aca="false">SUM(O$4:O$503)/COUNTA(A$4:A$503)</f>
        <v>713.9999</v>
      </c>
      <c r="BF27" s="92" t="n">
        <f aca="false">SUM(P$4:P$503)/COUNTA(A$4:A$503)</f>
        <v>732.59984</v>
      </c>
      <c r="BG27" s="92" t="n">
        <f aca="false">SUM(Q$4:Q$503)/COUNTA(A$4:A$503)</f>
        <v>756.59992</v>
      </c>
      <c r="BH27" s="92" t="n">
        <f aca="false">SUM(R$4:R$503)/COUNTA(A$4:A$503)</f>
        <v>776.40004</v>
      </c>
      <c r="BI27" s="92" t="n">
        <f aca="false">SUM(S$4:S$503)/COUNTA(A$4:A$503)</f>
        <v>806.40012</v>
      </c>
      <c r="BJ27" s="92" t="n">
        <f aca="false">SUM(T$4:T$503)/COUNTA(A$4:A$503)</f>
        <v>826.1999</v>
      </c>
      <c r="BK27" s="92" t="n">
        <f aca="false">SUM(U$4:U$503)/COUNTA(A$4:A$503)</f>
        <v>844.8002</v>
      </c>
      <c r="BL27" s="92" t="n">
        <f aca="false">SUM(V$4:V$503)/COUNTA(A$4:A$503)</f>
        <v>865.7998</v>
      </c>
      <c r="BM27" s="92" t="n">
        <f aca="false">SUM(W$4:W$503)/COUNTA(A$4:A$503)</f>
        <v>888.59982</v>
      </c>
      <c r="BN27" s="93" t="n">
        <f aca="false">SUM(X$4:X$503)/COUNTA(A$4:A$503)</f>
        <v>918.60034</v>
      </c>
      <c r="BO27" s="94" t="s">
        <v>20</v>
      </c>
      <c r="BP27" s="91" t="n">
        <f aca="false">IF(Z27&gt;=BB27,0,IFERROR(BB27+(SUMPRODUCT((Z$4:Z$503&gt;=BB$4:BB$503)*(Z$4:Z$503-BB$4:BB$503))/MAX(1,COUNTIF(Z$4:Z$503,"&lt;"&amp;BB27+0.01))),BB27))</f>
        <v>0</v>
      </c>
      <c r="BQ27" s="92" t="n">
        <f aca="false">IF(AA27&gt;=BC27,0,IFERROR(BC27+SUMPRODUCT((AA$4:AA$503&gt;=BC$4:BC$503)*(AA$4:AA$503-BC$4:BC$503))/MAX(1,COUNTIF(AA$4:AA$503,"&lt;"&amp;BC27+0.01)),BC27))</f>
        <v>0</v>
      </c>
      <c r="BR27" s="92" t="n">
        <f aca="false">IF(AB27&gt;=BD27,0,IFERROR(BD27+SUMPRODUCT((AB$4:AB$503&gt;=BD$4:BD$503)*(AB$4:AB$503-BD$4:BD$503))/MAX(1,COUNTIF(AB$4:AB$503,"&lt;"&amp;BD27+0.01)),BD27))</f>
        <v>3335.2938</v>
      </c>
      <c r="BS27" s="92" t="n">
        <f aca="false">IF(AC27&gt;=BE27,0,IFERROR(BE27+SUMPRODUCT((AC$4:AC$503&gt;=BE$4:BE$503)*(AC$4:AC$503-BE$4:BE$503))/MAX(1,COUNTIF(AC$4:AC$503,"&lt;"&amp;BE27+0.01)),BE27))</f>
        <v>6188.73352</v>
      </c>
      <c r="BT27" s="92" t="n">
        <f aca="false">IF(AD27&gt;=BF27,0,IFERROR(BF27+SUMPRODUCT((AD$4:AD$503&gt;=BF$4:BF$503)*(AD$4:AD$503-BF$4:BF$503))/MAX(1,COUNTIF(AD$4:AD$503,"&lt;"&amp;BF27+0.01)),BF27))</f>
        <v>0</v>
      </c>
      <c r="BU27" s="92" t="n">
        <f aca="false">IF(AE27&gt;=BG27,0,IFERROR(BG27+SUMPRODUCT((AE$4:AE$503&gt;=BG$4:BG$503)*(AE$4:AE$503-BG$4:BG$503))/MAX(1,COUNTIF(AE$4:AE$503,"&lt;"&amp;BG27+0.01)),BG27))</f>
        <v>7704.85920380952</v>
      </c>
      <c r="BV27" s="92" t="n">
        <f aca="false">IF(AF27&gt;=BH27,0,IFERROR(BH27+SUMPRODUCT((AF$4:AF$503&gt;=BH$4:BH$503)*(AF$4:AF$503-BH$4:BH$503))/MAX(1,COUNTIF(AF$4:AF$503,"&lt;"&amp;BH27+0.01)),BH27))</f>
        <v>0</v>
      </c>
      <c r="BW27" s="92" t="n">
        <f aca="false">IF(AG27&gt;=BI27,0,IFERROR(BI27+SUMPRODUCT((AG$4:AG$503&gt;=BI$4:BI$503)*(AG$4:AG$503-BI$4:BI$503))/MAX(1,COUNTIF(AG$4:AG$503,"&lt;"&amp;BI27+0.01)),BI27))</f>
        <v>0</v>
      </c>
      <c r="BX27" s="92" t="n">
        <f aca="false">IF(AH27&gt;=BJ27,0,IFERROR(BJ27+SUMPRODUCT((AH$4:AH$503&gt;=BJ$4:BJ$503)*(AH$4:AH$503-BJ$4:BJ$503))/MAX(1,COUNTIF(AH$4:AH$503,"&lt;"&amp;BJ27+0.01)),BJ27))</f>
        <v>5621.50263448276</v>
      </c>
      <c r="BY27" s="92" t="n">
        <f aca="false">IF(AI27&gt;=BK27,0,IFERROR(BK27+SUMPRODUCT((AI$4:AI$503&gt;=BK$4:BK$503)*(AI$4:AI$503-BK$4:BK$503))/MAX(1,COUNTIF(AI$4:AI$503,"&lt;"&amp;BK27+0.01)),BK27))</f>
        <v>7878.25652380952</v>
      </c>
      <c r="BZ27" s="92" t="n">
        <f aca="false">IF(AJ27&gt;=BL27,0,IFERROR(BL27+SUMPRODUCT((AJ$4:AJ$503&gt;=BL$4:BL$503)*(AJ$4:AJ$503-BL$4:BL$503))/MAX(1,COUNTIF(AJ$4:AJ$503,"&lt;"&amp;BL27+0.01)),BL27))</f>
        <v>6710.03292307692</v>
      </c>
      <c r="CA27" s="92" t="n">
        <f aca="false">IF(AK27&gt;=BM27,0,IFERROR(BM27+SUMPRODUCT((AK$4:AK$503&gt;=BM$4:BM$503)*(AK$4:AK$503-BM$4:BM$503))/MAX(1,COUNTIF(AK$4:AK$503,"&lt;"&amp;BM27+0.01)),BM27))</f>
        <v>7314.89836842105</v>
      </c>
      <c r="CB27" s="93" t="n">
        <f aca="false">IF(AL27&gt;=BN27,0,IFERROR(BN27+SUMPRODUCT((AL$4:AL$503&gt;=BN$4:BN$503)*(AL$4:AL$503-BN$4:BN$503))/MAX(1,COUNTIF(AL$4:AL$503,"&lt;"&amp;BN27+0.01)),BN27))</f>
        <v>3597.2614925</v>
      </c>
      <c r="CC27" s="95" t="str">
        <f aca="false">IF(AO27="🟢","VERDE",IF(AO27="🟡","AMARELO",IF(AO27="🟠","VERMELHO",IF(AO27="🔴","VERMELHO","ROXO"))))</f>
        <v>VERMELHO</v>
      </c>
      <c r="CD27" s="96" t="s">
        <v>176</v>
      </c>
      <c r="CE27" s="96" t="s">
        <v>102</v>
      </c>
    </row>
    <row r="28" customFormat="false" ht="14.25" hidden="false" customHeight="true" outlineLevel="0" collapsed="false">
      <c r="A28" s="65" t="s">
        <v>177</v>
      </c>
      <c r="B28" s="66" t="s">
        <v>178</v>
      </c>
      <c r="C28" s="67" t="s">
        <v>145</v>
      </c>
      <c r="D28" s="68" t="s">
        <v>100</v>
      </c>
      <c r="E28" s="69" t="s">
        <v>146</v>
      </c>
      <c r="F28" s="70" t="n">
        <f aca="false">IFERROR(VLOOKUP(C28,$AS$3:$AT$10,2,FALSE()),IFERROR(VLOOKUP(C28,$AS$15:$AT$22,2,FALSE()),""))</f>
        <v>10</v>
      </c>
      <c r="G28" s="71" t="n">
        <f aca="false">IFERROR(VLOOKUP(C28,$AS$3:$AX$10,6,FALSE()),IFERROR(VLOOKUP(C28,$AS$15:$AX$22,6,FALSE()),""))</f>
        <v>0.45643525037644</v>
      </c>
      <c r="H28" s="72" t="str">
        <f aca="false">IFERROR(VLOOKUP(C28,$AS$3:$AY$10,7,FALSE()),IFERROR(VLOOKUP(C28,$AS$15:$AY$22,7,FALSE()),""))</f>
        <v>🟡 AMARELO</v>
      </c>
      <c r="I28" s="72" t="str">
        <f aca="false">IFERROR(VLOOKUP(C28,$AS$3:$AZ$10,8,FALSE()),IFERROR(VLOOKUP(C28,$AS$15:$AZ$22,8,FALSE()),""))</f>
        <v>Sell Out</v>
      </c>
      <c r="J28" s="73"/>
      <c r="K28" s="69" t="s">
        <v>145</v>
      </c>
      <c r="L28" s="74" t="n">
        <v>32055.28</v>
      </c>
      <c r="M28" s="75" t="n">
        <v>2252.62</v>
      </c>
      <c r="N28" s="75" t="n">
        <v>2353.91</v>
      </c>
      <c r="O28" s="75" t="n">
        <v>2410.63</v>
      </c>
      <c r="P28" s="75" t="n">
        <v>2473.43</v>
      </c>
      <c r="Q28" s="75" t="n">
        <v>2554.46</v>
      </c>
      <c r="R28" s="75" t="n">
        <v>2621.3</v>
      </c>
      <c r="S28" s="75" t="n">
        <v>2722.59</v>
      </c>
      <c r="T28" s="75" t="n">
        <v>2789.44</v>
      </c>
      <c r="U28" s="75" t="n">
        <v>2852.24</v>
      </c>
      <c r="V28" s="75" t="n">
        <v>2923.14</v>
      </c>
      <c r="W28" s="75" t="n">
        <v>3000.12</v>
      </c>
      <c r="X28" s="76" t="n">
        <v>3101.4</v>
      </c>
      <c r="Y28" s="77" t="s">
        <v>20</v>
      </c>
      <c r="Z28" s="78" t="n">
        <f aca="false">SUM(AA28:AL28)</f>
        <v>12891.06</v>
      </c>
      <c r="AA28" s="75"/>
      <c r="AB28" s="75"/>
      <c r="AC28" s="79" t="n">
        <v>5836.68</v>
      </c>
      <c r="AD28" s="75"/>
      <c r="AE28" s="75"/>
      <c r="AF28" s="75"/>
      <c r="AG28" s="79" t="n">
        <v>7054.38</v>
      </c>
      <c r="AH28" s="75"/>
      <c r="AI28" s="75"/>
      <c r="AJ28" s="75"/>
      <c r="AK28" s="75"/>
      <c r="AL28" s="76"/>
      <c r="AM28" s="56" t="s">
        <v>20</v>
      </c>
      <c r="AN28" s="80" t="n">
        <f aca="false">IF(L28=0,0,Z28/L28)</f>
        <v>0.402150909304177</v>
      </c>
      <c r="AO28" s="81" t="str">
        <f aca="false">IF(AN28="","",IF(AN28&gt;=0.9,"🟢",IF(AN28&gt;=0.7,"🟡",IF(AN28&gt;=0.5,"🟠","🔴"))))</f>
        <v>🔴</v>
      </c>
      <c r="AP28" s="82" t="n">
        <f aca="false">IF(L28=0,0,L28-Z28)</f>
        <v>19164.22</v>
      </c>
      <c r="AQ28" s="83" t="n">
        <f aca="false">IF(AP28=0,"",RANK(AP28,AP$4:AP$503,0))</f>
        <v>24</v>
      </c>
      <c r="AR28" s="84" t="s">
        <v>20</v>
      </c>
      <c r="AS28" s="85" t="s">
        <v>100</v>
      </c>
      <c r="AT28" s="90" t="n">
        <f aca="false">COUNTIF(D$4:D$503,AS28)</f>
        <v>211</v>
      </c>
      <c r="AU28" s="90" t="n">
        <f aca="false">COUNTIFS(D$4:D$503,AS28,Z$4:Z$503,"&gt;0")</f>
        <v>208</v>
      </c>
      <c r="AV28" s="88" t="n">
        <f aca="false">SUMIF(D$4:D$503,AS28,L$4:L$503)</f>
        <v>2533145.52</v>
      </c>
      <c r="AW28" s="111" t="n">
        <f aca="false">SUMIF(D$4:D$503,AS28,Z$4:Z$503)</f>
        <v>1060743.31</v>
      </c>
      <c r="AX28" s="112" t="n">
        <f aca="false">IF(AV28=0,0,AW28/AV28)</f>
        <v>0.418745508943363</v>
      </c>
      <c r="AY28" s="113" t="str">
        <f aca="false">IF(AX28&gt;=0.6,"🟢 VERDE",IF(AX28&gt;=0.4,"🟡 AMARELO",IF(AX28&gt;=0.01,"🔴 VERMELHO","🟣 ROXO")))</f>
        <v>🟡 AMARELO</v>
      </c>
      <c r="AZ28" s="90" t="str">
        <f aca="false">IF(AX28&gt;=0.6,"JBP",IF(AX28&gt;=0.4,"Sell Out",IF(AX28&gt;=0.1,"Positivação + Expandir",IF(AX28&gt;=0.01,"Ativar + Prospectar","Mapear + Prospectar"))))</f>
        <v>Sell Out</v>
      </c>
      <c r="BA28" s="56" t="s">
        <v>20</v>
      </c>
      <c r="BB28" s="91" t="n">
        <f aca="false">SUM(L$4:L$503)/COUNTA(A$4:A$503)</f>
        <v>9494.39992</v>
      </c>
      <c r="BC28" s="92" t="n">
        <f aca="false">SUM(M$4:M$503)/COUNTA(A$4:A$503)</f>
        <v>667.20008</v>
      </c>
      <c r="BD28" s="92" t="n">
        <f aca="false">SUM(N$4:N$503)/COUNTA(A$4:A$503)</f>
        <v>697.19996</v>
      </c>
      <c r="BE28" s="92" t="n">
        <f aca="false">SUM(O$4:O$503)/COUNTA(A$4:A$503)</f>
        <v>713.9999</v>
      </c>
      <c r="BF28" s="92" t="n">
        <f aca="false">SUM(P$4:P$503)/COUNTA(A$4:A$503)</f>
        <v>732.59984</v>
      </c>
      <c r="BG28" s="92" t="n">
        <f aca="false">SUM(Q$4:Q$503)/COUNTA(A$4:A$503)</f>
        <v>756.59992</v>
      </c>
      <c r="BH28" s="92" t="n">
        <f aca="false">SUM(R$4:R$503)/COUNTA(A$4:A$503)</f>
        <v>776.40004</v>
      </c>
      <c r="BI28" s="92" t="n">
        <f aca="false">SUM(S$4:S$503)/COUNTA(A$4:A$503)</f>
        <v>806.40012</v>
      </c>
      <c r="BJ28" s="92" t="n">
        <f aca="false">SUM(T$4:T$503)/COUNTA(A$4:A$503)</f>
        <v>826.1999</v>
      </c>
      <c r="BK28" s="92" t="n">
        <f aca="false">SUM(U$4:U$503)/COUNTA(A$4:A$503)</f>
        <v>844.8002</v>
      </c>
      <c r="BL28" s="92" t="n">
        <f aca="false">SUM(V$4:V$503)/COUNTA(A$4:A$503)</f>
        <v>865.7998</v>
      </c>
      <c r="BM28" s="92" t="n">
        <f aca="false">SUM(W$4:W$503)/COUNTA(A$4:A$503)</f>
        <v>888.59982</v>
      </c>
      <c r="BN28" s="93" t="n">
        <f aca="false">SUM(X$4:X$503)/COUNTA(A$4:A$503)</f>
        <v>918.60034</v>
      </c>
      <c r="BO28" s="94" t="s">
        <v>20</v>
      </c>
      <c r="BP28" s="91" t="n">
        <f aca="false">IF(Z28&gt;=BB28,0,IFERROR(BB28+(SUMPRODUCT((Z$4:Z$503&gt;=BB$4:BB$503)*(Z$4:Z$503-BB$4:BB$503))/MAX(1,COUNTIF(Z$4:Z$503,"&lt;"&amp;BB28+0.01))),BB28))</f>
        <v>0</v>
      </c>
      <c r="BQ28" s="92" t="n">
        <f aca="false">IF(AA28&gt;=BC28,0,IFERROR(BC28+SUMPRODUCT((AA$4:AA$503&gt;=BC$4:BC$503)*(AA$4:AA$503-BC$4:BC$503))/MAX(1,COUNTIF(AA$4:AA$503,"&lt;"&amp;BC28+0.01)),BC28))</f>
        <v>2238.46589176471</v>
      </c>
      <c r="BR28" s="92" t="n">
        <f aca="false">IF(AB28&gt;=BD28,0,IFERROR(BD28+SUMPRODUCT((AB$4:AB$503&gt;=BD$4:BD$503)*(AB$4:AB$503-BD$4:BD$503))/MAX(1,COUNTIF(AB$4:AB$503,"&lt;"&amp;BD28+0.01)),BD28))</f>
        <v>3335.2938</v>
      </c>
      <c r="BS28" s="92" t="n">
        <f aca="false">IF(AC28&gt;=BE28,0,IFERROR(BE28+SUMPRODUCT((AC$4:AC$503&gt;=BE$4:BE$503)*(AC$4:AC$503-BE$4:BE$503))/MAX(1,COUNTIF(AC$4:AC$503,"&lt;"&amp;BE28+0.01)),BE28))</f>
        <v>0</v>
      </c>
      <c r="BT28" s="92" t="n">
        <f aca="false">IF(AD28&gt;=BF28,0,IFERROR(BF28+SUMPRODUCT((AD$4:AD$503&gt;=BF$4:BF$503)*(AD$4:AD$503-BF$4:BF$503))/MAX(1,COUNTIF(AD$4:AD$503,"&lt;"&amp;BF28+0.01)),BF28))</f>
        <v>11354.35411</v>
      </c>
      <c r="BU28" s="92" t="n">
        <f aca="false">IF(AE28&gt;=BG28,0,IFERROR(BG28+SUMPRODUCT((AE$4:AE$503&gt;=BG$4:BG$503)*(AE$4:AE$503-BG$4:BG$503))/MAX(1,COUNTIF(AE$4:AE$503,"&lt;"&amp;BG28+0.01)),BG28))</f>
        <v>7704.85920380952</v>
      </c>
      <c r="BV28" s="92" t="n">
        <f aca="false">IF(AF28&gt;=BH28,0,IFERROR(BH28+SUMPRODUCT((AF$4:AF$503&gt;=BH$4:BH$503)*(AF$4:AF$503-BH$4:BH$503))/MAX(1,COUNTIF(AF$4:AF$503,"&lt;"&amp;BH28+0.01)),BH28))</f>
        <v>9942.6503831579</v>
      </c>
      <c r="BW28" s="92" t="n">
        <f aca="false">IF(AG28&gt;=BI28,0,IFERROR(BI28+SUMPRODUCT((AG$4:AG$503&gt;=BI$4:BI$503)*(AG$4:AG$503-BI$4:BI$503))/MAX(1,COUNTIF(AG$4:AG$503,"&lt;"&amp;BI28+0.01)),BI28))</f>
        <v>0</v>
      </c>
      <c r="BX28" s="92" t="n">
        <f aca="false">IF(AH28&gt;=BJ28,0,IFERROR(BJ28+SUMPRODUCT((AH$4:AH$503&gt;=BJ$4:BJ$503)*(AH$4:AH$503-BJ$4:BJ$503))/MAX(1,COUNTIF(AH$4:AH$503,"&lt;"&amp;BJ28+0.01)),BJ28))</f>
        <v>5621.50263448276</v>
      </c>
      <c r="BY28" s="92" t="n">
        <f aca="false">IF(AI28&gt;=BK28,0,IFERROR(BK28+SUMPRODUCT((AI$4:AI$503&gt;=BK$4:BK$503)*(AI$4:AI$503-BK$4:BK$503))/MAX(1,COUNTIF(AI$4:AI$503,"&lt;"&amp;BK28+0.01)),BK28))</f>
        <v>7878.25652380952</v>
      </c>
      <c r="BZ28" s="92" t="n">
        <f aca="false">IF(AJ28&gt;=BL28,0,IFERROR(BL28+SUMPRODUCT((AJ$4:AJ$503&gt;=BL$4:BL$503)*(AJ$4:AJ$503-BL$4:BL$503))/MAX(1,COUNTIF(AJ$4:AJ$503,"&lt;"&amp;BL28+0.01)),BL28))</f>
        <v>6710.03292307692</v>
      </c>
      <c r="CA28" s="92" t="n">
        <f aca="false">IF(AK28&gt;=BM28,0,IFERROR(BM28+SUMPRODUCT((AK$4:AK$503&gt;=BM$4:BM$503)*(AK$4:AK$503-BM$4:BM$503))/MAX(1,COUNTIF(AK$4:AK$503,"&lt;"&amp;BM28+0.01)),BM28))</f>
        <v>7314.89836842105</v>
      </c>
      <c r="CB28" s="93" t="n">
        <f aca="false">IF(AL28&gt;=BN28,0,IFERROR(BN28+SUMPRODUCT((AL$4:AL$503&gt;=BN$4:BN$503)*(AL$4:AL$503-BN$4:BN$503))/MAX(1,COUNTIF(AL$4:AL$503,"&lt;"&amp;BN28+0.01)),BN28))</f>
        <v>3597.2614925</v>
      </c>
      <c r="CC28" s="95" t="str">
        <f aca="false">IF(AO28="🟢","VERDE",IF(AO28="🟡","AMARELO",IF(AO28="🟠","VERMELHO",IF(AO28="🔴","VERMELHO","ROXO"))))</f>
        <v>VERMELHO</v>
      </c>
      <c r="CD28" s="96" t="s">
        <v>103</v>
      </c>
      <c r="CE28" s="96" t="s">
        <v>104</v>
      </c>
    </row>
    <row r="29" customFormat="false" ht="14.25" hidden="false" customHeight="true" outlineLevel="0" collapsed="false">
      <c r="A29" s="65" t="s">
        <v>179</v>
      </c>
      <c r="B29" s="66" t="s">
        <v>180</v>
      </c>
      <c r="C29" s="67" t="s">
        <v>149</v>
      </c>
      <c r="D29" s="68" t="s">
        <v>100</v>
      </c>
      <c r="E29" s="69" t="s">
        <v>119</v>
      </c>
      <c r="F29" s="70" t="n">
        <f aca="false">IFERROR(VLOOKUP(C29,$AS$3:$AT$10,2,FALSE()),IFERROR(VLOOKUP(C29,$AS$15:$AT$22,2,FALSE()),""))</f>
        <v>29</v>
      </c>
      <c r="G29" s="71" t="n">
        <f aca="false">IFERROR(VLOOKUP(C29,$AS$3:$AX$10,6,FALSE()),IFERROR(VLOOKUP(C29,$AS$15:$AX$22,6,FALSE()),""))</f>
        <v>0.425845065256079</v>
      </c>
      <c r="H29" s="72" t="str">
        <f aca="false">IFERROR(VLOOKUP(C29,$AS$3:$AY$10,7,FALSE()),IFERROR(VLOOKUP(C29,$AS$15:$AY$22,7,FALSE()),""))</f>
        <v>🟡 AMARELO</v>
      </c>
      <c r="I29" s="72" t="str">
        <f aca="false">IFERROR(VLOOKUP(C29,$AS$3:$AZ$10,8,FALSE()),IFERROR(VLOOKUP(C29,$AS$15:$AZ$22,8,FALSE()),""))</f>
        <v>Sell Out</v>
      </c>
      <c r="J29" s="73"/>
      <c r="K29" s="69" t="s">
        <v>149</v>
      </c>
      <c r="L29" s="74" t="n">
        <v>31371.3</v>
      </c>
      <c r="M29" s="75" t="n">
        <v>2204.56</v>
      </c>
      <c r="N29" s="75" t="n">
        <v>2303.68</v>
      </c>
      <c r="O29" s="75" t="n">
        <v>2359.19</v>
      </c>
      <c r="P29" s="75" t="n">
        <v>2420.65</v>
      </c>
      <c r="Q29" s="75" t="n">
        <v>2499.95</v>
      </c>
      <c r="R29" s="75" t="n">
        <v>2565.37</v>
      </c>
      <c r="S29" s="75" t="n">
        <v>2664.5</v>
      </c>
      <c r="T29" s="75" t="n">
        <v>2729.92</v>
      </c>
      <c r="U29" s="75" t="n">
        <v>2791.38</v>
      </c>
      <c r="V29" s="75" t="n">
        <v>2860.77</v>
      </c>
      <c r="W29" s="75" t="n">
        <v>2936.1</v>
      </c>
      <c r="X29" s="76" t="n">
        <v>3035.23</v>
      </c>
      <c r="Y29" s="77" t="s">
        <v>20</v>
      </c>
      <c r="Z29" s="78" t="n">
        <f aca="false">SUM(AA29:AL29)</f>
        <v>12616</v>
      </c>
      <c r="AA29" s="79" t="n">
        <v>2760</v>
      </c>
      <c r="AB29" s="75"/>
      <c r="AC29" s="79" t="n">
        <v>1122</v>
      </c>
      <c r="AD29" s="75"/>
      <c r="AE29" s="79" t="n">
        <v>1734</v>
      </c>
      <c r="AF29" s="75"/>
      <c r="AG29" s="75"/>
      <c r="AH29" s="79" t="n">
        <v>2040</v>
      </c>
      <c r="AI29" s="75"/>
      <c r="AJ29" s="79" t="n">
        <v>1200</v>
      </c>
      <c r="AK29" s="79" t="n">
        <v>2760</v>
      </c>
      <c r="AL29" s="107" t="n">
        <v>1000</v>
      </c>
      <c r="AM29" s="56" t="s">
        <v>20</v>
      </c>
      <c r="AN29" s="80" t="n">
        <f aca="false">IF(L29=0,0,Z29/L29)</f>
        <v>0.402151010637111</v>
      </c>
      <c r="AO29" s="81" t="str">
        <f aca="false">IF(AN29="","",IF(AN29&gt;=0.9,"🟢",IF(AN29&gt;=0.7,"🟡",IF(AN29&gt;=0.5,"🟠","🔴"))))</f>
        <v>🔴</v>
      </c>
      <c r="AP29" s="82" t="n">
        <f aca="false">IF(L29=0,0,L29-Z29)</f>
        <v>18755.3</v>
      </c>
      <c r="AQ29" s="83" t="n">
        <f aca="false">IF(AP29=0,"",RANK(AP29,AP$4:AP$503,0))</f>
        <v>25</v>
      </c>
      <c r="AR29" s="84" t="s">
        <v>20</v>
      </c>
      <c r="AS29" s="85" t="s">
        <v>175</v>
      </c>
      <c r="AT29" s="90" t="n">
        <f aca="false">COUNTIF(D$4:D$503,AS29)</f>
        <v>65</v>
      </c>
      <c r="AU29" s="90" t="n">
        <f aca="false">COUNTIFS(D$4:D$503,AS29,Z$4:Z$503,"&gt;0")</f>
        <v>63</v>
      </c>
      <c r="AV29" s="88" t="n">
        <f aca="false">SUMIF(D$4:D$503,AS29,L$4:L$503)</f>
        <v>412013.91</v>
      </c>
      <c r="AW29" s="111" t="n">
        <f aca="false">SUMIF(D$4:D$503,AS29,Z$4:Z$503)</f>
        <v>204221.94</v>
      </c>
      <c r="AX29" s="112" t="n">
        <f aca="false">IF(AV29=0,0,AW29/AV29)</f>
        <v>0.495667585591953</v>
      </c>
      <c r="AY29" s="113" t="str">
        <f aca="false">IF(AX29&gt;=0.6,"🟢 VERDE",IF(AX29&gt;=0.4,"🟡 AMARELO",IF(AX29&gt;=0.01,"🔴 VERMELHO","🟣 ROXO")))</f>
        <v>🟡 AMARELO</v>
      </c>
      <c r="AZ29" s="90" t="str">
        <f aca="false">IF(AX29&gt;=0.6,"JBP",IF(AX29&gt;=0.4,"Sell Out",IF(AX29&gt;=0.1,"Positivação + Expandir",IF(AX29&gt;=0.01,"Ativar + Prospectar","Mapear + Prospectar"))))</f>
        <v>Sell Out</v>
      </c>
      <c r="BA29" s="56" t="s">
        <v>20</v>
      </c>
      <c r="BB29" s="91" t="n">
        <f aca="false">SUM(L$4:L$503)/COUNTA(A$4:A$503)</f>
        <v>9494.39992</v>
      </c>
      <c r="BC29" s="92" t="n">
        <f aca="false">SUM(M$4:M$503)/COUNTA(A$4:A$503)</f>
        <v>667.20008</v>
      </c>
      <c r="BD29" s="92" t="n">
        <f aca="false">SUM(N$4:N$503)/COUNTA(A$4:A$503)</f>
        <v>697.19996</v>
      </c>
      <c r="BE29" s="92" t="n">
        <f aca="false">SUM(O$4:O$503)/COUNTA(A$4:A$503)</f>
        <v>713.9999</v>
      </c>
      <c r="BF29" s="92" t="n">
        <f aca="false">SUM(P$4:P$503)/COUNTA(A$4:A$503)</f>
        <v>732.59984</v>
      </c>
      <c r="BG29" s="92" t="n">
        <f aca="false">SUM(Q$4:Q$503)/COUNTA(A$4:A$503)</f>
        <v>756.59992</v>
      </c>
      <c r="BH29" s="92" t="n">
        <f aca="false">SUM(R$4:R$503)/COUNTA(A$4:A$503)</f>
        <v>776.40004</v>
      </c>
      <c r="BI29" s="92" t="n">
        <f aca="false">SUM(S$4:S$503)/COUNTA(A$4:A$503)</f>
        <v>806.40012</v>
      </c>
      <c r="BJ29" s="92" t="n">
        <f aca="false">SUM(T$4:T$503)/COUNTA(A$4:A$503)</f>
        <v>826.1999</v>
      </c>
      <c r="BK29" s="92" t="n">
        <f aca="false">SUM(U$4:U$503)/COUNTA(A$4:A$503)</f>
        <v>844.8002</v>
      </c>
      <c r="BL29" s="92" t="n">
        <f aca="false">SUM(V$4:V$503)/COUNTA(A$4:A$503)</f>
        <v>865.7998</v>
      </c>
      <c r="BM29" s="92" t="n">
        <f aca="false">SUM(W$4:W$503)/COUNTA(A$4:A$503)</f>
        <v>888.59982</v>
      </c>
      <c r="BN29" s="93" t="n">
        <f aca="false">SUM(X$4:X$503)/COUNTA(A$4:A$503)</f>
        <v>918.60034</v>
      </c>
      <c r="BO29" s="94" t="s">
        <v>20</v>
      </c>
      <c r="BP29" s="91" t="n">
        <f aca="false">IF(Z29&gt;=BB29,0,IFERROR(BB29+(SUMPRODUCT((Z$4:Z$503&gt;=BB$4:BB$503)*(Z$4:Z$503-BB$4:BB$503))/MAX(1,COUNTIF(Z$4:Z$503,"&lt;"&amp;BB29+0.01))),BB29))</f>
        <v>0</v>
      </c>
      <c r="BQ29" s="92" t="n">
        <f aca="false">IF(AA29&gt;=BC29,0,IFERROR(BC29+SUMPRODUCT((AA$4:AA$503&gt;=BC$4:BC$503)*(AA$4:AA$503-BC$4:BC$503))/MAX(1,COUNTIF(AA$4:AA$503,"&lt;"&amp;BC29+0.01)),BC29))</f>
        <v>0</v>
      </c>
      <c r="BR29" s="92" t="n">
        <f aca="false">IF(AB29&gt;=BD29,0,IFERROR(BD29+SUMPRODUCT((AB$4:AB$503&gt;=BD$4:BD$503)*(AB$4:AB$503-BD$4:BD$503))/MAX(1,COUNTIF(AB$4:AB$503,"&lt;"&amp;BD29+0.01)),BD29))</f>
        <v>3335.2938</v>
      </c>
      <c r="BS29" s="92" t="n">
        <f aca="false">IF(AC29&gt;=BE29,0,IFERROR(BE29+SUMPRODUCT((AC$4:AC$503&gt;=BE$4:BE$503)*(AC$4:AC$503-BE$4:BE$503))/MAX(1,COUNTIF(AC$4:AC$503,"&lt;"&amp;BE29+0.01)),BE29))</f>
        <v>0</v>
      </c>
      <c r="BT29" s="92" t="n">
        <f aca="false">IF(AD29&gt;=BF29,0,IFERROR(BF29+SUMPRODUCT((AD$4:AD$503&gt;=BF$4:BF$503)*(AD$4:AD$503-BF$4:BF$503))/MAX(1,COUNTIF(AD$4:AD$503,"&lt;"&amp;BF29+0.01)),BF29))</f>
        <v>11354.35411</v>
      </c>
      <c r="BU29" s="92" t="n">
        <f aca="false">IF(AE29&gt;=BG29,0,IFERROR(BG29+SUMPRODUCT((AE$4:AE$503&gt;=BG$4:BG$503)*(AE$4:AE$503-BG$4:BG$503))/MAX(1,COUNTIF(AE$4:AE$503,"&lt;"&amp;BG29+0.01)),BG29))</f>
        <v>0</v>
      </c>
      <c r="BV29" s="92" t="n">
        <f aca="false">IF(AF29&gt;=BH29,0,IFERROR(BH29+SUMPRODUCT((AF$4:AF$503&gt;=BH$4:BH$503)*(AF$4:AF$503-BH$4:BH$503))/MAX(1,COUNTIF(AF$4:AF$503,"&lt;"&amp;BH29+0.01)),BH29))</f>
        <v>9942.6503831579</v>
      </c>
      <c r="BW29" s="92" t="n">
        <f aca="false">IF(AG29&gt;=BI29,0,IFERROR(BI29+SUMPRODUCT((AG$4:AG$503&gt;=BI$4:BI$503)*(AG$4:AG$503-BI$4:BI$503))/MAX(1,COUNTIF(AG$4:AG$503,"&lt;"&amp;BI29+0.01)),BI29))</f>
        <v>9142.15870461538</v>
      </c>
      <c r="BX29" s="92" t="n">
        <f aca="false">IF(AH29&gt;=BJ29,0,IFERROR(BJ29+SUMPRODUCT((AH$4:AH$503&gt;=BJ$4:BJ$503)*(AH$4:AH$503-BJ$4:BJ$503))/MAX(1,COUNTIF(AH$4:AH$503,"&lt;"&amp;BJ29+0.01)),BJ29))</f>
        <v>0</v>
      </c>
      <c r="BY29" s="92" t="n">
        <f aca="false">IF(AI29&gt;=BK29,0,IFERROR(BK29+SUMPRODUCT((AI$4:AI$503&gt;=BK$4:BK$503)*(AI$4:AI$503-BK$4:BK$503))/MAX(1,COUNTIF(AI$4:AI$503,"&lt;"&amp;BK29+0.01)),BK29))</f>
        <v>7878.25652380952</v>
      </c>
      <c r="BZ29" s="92" t="n">
        <f aca="false">IF(AJ29&gt;=BL29,0,IFERROR(BL29+SUMPRODUCT((AJ$4:AJ$503&gt;=BL$4:BL$503)*(AJ$4:AJ$503-BL$4:BL$503))/MAX(1,COUNTIF(AJ$4:AJ$503,"&lt;"&amp;BL29+0.01)),BL29))</f>
        <v>0</v>
      </c>
      <c r="CA29" s="92" t="n">
        <f aca="false">IF(AK29&gt;=BM29,0,IFERROR(BM29+SUMPRODUCT((AK$4:AK$503&gt;=BM$4:BM$503)*(AK$4:AK$503-BM$4:BM$503))/MAX(1,COUNTIF(AK$4:AK$503,"&lt;"&amp;BM29+0.01)),BM29))</f>
        <v>0</v>
      </c>
      <c r="CB29" s="93" t="n">
        <f aca="false">IF(AL29&gt;=BN29,0,IFERROR(BN29+SUMPRODUCT((AL$4:AL$503&gt;=BN$4:BN$503)*(AL$4:AL$503-BN$4:BN$503))/MAX(1,COUNTIF(AL$4:AL$503,"&lt;"&amp;BN29+0.01)),BN29))</f>
        <v>0</v>
      </c>
      <c r="CC29" s="95" t="str">
        <f aca="false">IF(AO29="🟢","VERDE",IF(AO29="🟡","AMARELO",IF(AO29="🟠","VERMELHO",IF(AO29="🔴","VERMELHO","ROXO"))))</f>
        <v>VERMELHO</v>
      </c>
      <c r="CD29" s="96" t="s">
        <v>103</v>
      </c>
      <c r="CE29" s="96" t="s">
        <v>104</v>
      </c>
    </row>
    <row r="30" customFormat="false" ht="14.25" hidden="false" customHeight="true" outlineLevel="0" collapsed="false">
      <c r="A30" s="65" t="s">
        <v>181</v>
      </c>
      <c r="B30" s="66" t="s">
        <v>182</v>
      </c>
      <c r="C30" s="66" t="s">
        <v>183</v>
      </c>
      <c r="D30" s="68" t="s">
        <v>108</v>
      </c>
      <c r="E30" s="56" t="s">
        <v>20</v>
      </c>
      <c r="F30" s="70" t="str">
        <f aca="false">IFERROR(VLOOKUP(C30,$AS$3:$AT$10,2,FALSE()),IFERROR(VLOOKUP(C30,$AS$15:$AT$22,2,FALSE()),""))</f>
        <v/>
      </c>
      <c r="G30" s="71" t="str">
        <f aca="false">IFERROR(VLOOKUP(C30,$AS$3:$AX$10,6,FALSE()),IFERROR(VLOOKUP(C30,$AS$15:$AX$22,6,FALSE()),""))</f>
        <v/>
      </c>
      <c r="H30" s="72" t="str">
        <f aca="false">IFERROR(VLOOKUP(C30,$AS$3:$AY$10,7,FALSE()),IFERROR(VLOOKUP(C30,$AS$15:$AY$22,7,FALSE()),""))</f>
        <v/>
      </c>
      <c r="I30" s="72" t="str">
        <f aca="false">IFERROR(VLOOKUP(C30,$AS$3:$AZ$10,8,FALSE()),IFERROR(VLOOKUP(C30,$AS$15:$AZ$22,8,FALSE()),""))</f>
        <v/>
      </c>
      <c r="J30" s="73"/>
      <c r="K30" s="56" t="s">
        <v>20</v>
      </c>
      <c r="L30" s="74" t="n">
        <v>30766.47</v>
      </c>
      <c r="M30" s="75" t="n">
        <v>2162.05</v>
      </c>
      <c r="N30" s="75" t="n">
        <v>2259.27</v>
      </c>
      <c r="O30" s="75" t="n">
        <v>2313.71</v>
      </c>
      <c r="P30" s="75" t="n">
        <v>2373.98</v>
      </c>
      <c r="Q30" s="75" t="n">
        <v>2451.75</v>
      </c>
      <c r="R30" s="75" t="n">
        <v>2515.91</v>
      </c>
      <c r="S30" s="75" t="n">
        <v>2613.13</v>
      </c>
      <c r="T30" s="75" t="n">
        <v>2677.29</v>
      </c>
      <c r="U30" s="75" t="n">
        <v>2737.56</v>
      </c>
      <c r="V30" s="75" t="n">
        <v>2805.61</v>
      </c>
      <c r="W30" s="75" t="n">
        <v>2879.5</v>
      </c>
      <c r="X30" s="76" t="n">
        <v>2976.71</v>
      </c>
      <c r="Y30" s="77" t="s">
        <v>20</v>
      </c>
      <c r="Z30" s="78" t="n">
        <f aca="false">SUM(AA30:AL30)</f>
        <v>12372.77</v>
      </c>
      <c r="AA30" s="75"/>
      <c r="AB30" s="75"/>
      <c r="AC30" s="75"/>
      <c r="AD30" s="75"/>
      <c r="AE30" s="75"/>
      <c r="AF30" s="75" t="n">
        <v>1133.54</v>
      </c>
      <c r="AG30" s="75"/>
      <c r="AH30" s="75" t="n">
        <v>5292.9</v>
      </c>
      <c r="AI30" s="75" t="n">
        <v>1217.95</v>
      </c>
      <c r="AJ30" s="75" t="n">
        <v>3585.58</v>
      </c>
      <c r="AK30" s="75"/>
      <c r="AL30" s="76" t="n">
        <v>1142.8</v>
      </c>
      <c r="AM30" s="56" t="s">
        <v>20</v>
      </c>
      <c r="AN30" s="80" t="n">
        <f aca="false">IF(L30=0,0,Z30/L30)</f>
        <v>0.402151108008166</v>
      </c>
      <c r="AO30" s="81" t="str">
        <f aca="false">IF(AN30="","",IF(AN30&gt;=0.9,"🟢",IF(AN30&gt;=0.7,"🟡",IF(AN30&gt;=0.5,"🟠","🔴"))))</f>
        <v>🔴</v>
      </c>
      <c r="AP30" s="82" t="n">
        <f aca="false">IF(L30=0,0,L30-Z30)</f>
        <v>18393.7</v>
      </c>
      <c r="AQ30" s="83" t="n">
        <f aca="false">IF(AP30=0,"",RANK(AP30,AP$4:AP$503,0))</f>
        <v>26</v>
      </c>
      <c r="AR30" s="84" t="s">
        <v>20</v>
      </c>
      <c r="AS30" s="85" t="s">
        <v>184</v>
      </c>
      <c r="AT30" s="90" t="n">
        <f aca="false">COUNTIF(D$4:D$503,AS30)</f>
        <v>54</v>
      </c>
      <c r="AU30" s="90" t="n">
        <f aca="false">COUNTIFS(D$4:D$503,AS30,Z$4:Z$503,"&gt;0")</f>
        <v>46</v>
      </c>
      <c r="AV30" s="88" t="n">
        <f aca="false">SUMIF(D$4:D$503,AS30,L$4:L$503)</f>
        <v>249603.61</v>
      </c>
      <c r="AW30" s="111" t="n">
        <f aca="false">SUMIF(D$4:D$503,AS30,Z$4:Z$503)</f>
        <v>132020.79</v>
      </c>
      <c r="AX30" s="112" t="n">
        <f aca="false">IF(AV30=0,0,AW30/AV30)</f>
        <v>0.52892179724484</v>
      </c>
      <c r="AY30" s="113" t="str">
        <f aca="false">IF(AX30&gt;=0.6,"🟢 VERDE",IF(AX30&gt;=0.4,"🟡 AMARELO",IF(AX30&gt;=0.01,"🔴 VERMELHO","🟣 ROXO")))</f>
        <v>🟡 AMARELO</v>
      </c>
      <c r="AZ30" s="90" t="str">
        <f aca="false">IF(AX30&gt;=0.6,"JBP",IF(AX30&gt;=0.4,"Sell Out",IF(AX30&gt;=0.1,"Positivação + Expandir",IF(AX30&gt;=0.01,"Ativar + Prospectar","Mapear + Prospectar"))))</f>
        <v>Sell Out</v>
      </c>
      <c r="BA30" s="56" t="s">
        <v>20</v>
      </c>
      <c r="BB30" s="91" t="n">
        <f aca="false">SUM(L$4:L$503)/COUNTA(A$4:A$503)</f>
        <v>9494.39992</v>
      </c>
      <c r="BC30" s="92" t="n">
        <f aca="false">SUM(M$4:M$503)/COUNTA(A$4:A$503)</f>
        <v>667.20008</v>
      </c>
      <c r="BD30" s="92" t="n">
        <f aca="false">SUM(N$4:N$503)/COUNTA(A$4:A$503)</f>
        <v>697.19996</v>
      </c>
      <c r="BE30" s="92" t="n">
        <f aca="false">SUM(O$4:O$503)/COUNTA(A$4:A$503)</f>
        <v>713.9999</v>
      </c>
      <c r="BF30" s="92" t="n">
        <f aca="false">SUM(P$4:P$503)/COUNTA(A$4:A$503)</f>
        <v>732.59984</v>
      </c>
      <c r="BG30" s="92" t="n">
        <f aca="false">SUM(Q$4:Q$503)/COUNTA(A$4:A$503)</f>
        <v>756.59992</v>
      </c>
      <c r="BH30" s="92" t="n">
        <f aca="false">SUM(R$4:R$503)/COUNTA(A$4:A$503)</f>
        <v>776.40004</v>
      </c>
      <c r="BI30" s="92" t="n">
        <f aca="false">SUM(S$4:S$503)/COUNTA(A$4:A$503)</f>
        <v>806.40012</v>
      </c>
      <c r="BJ30" s="92" t="n">
        <f aca="false">SUM(T$4:T$503)/COUNTA(A$4:A$503)</f>
        <v>826.1999</v>
      </c>
      <c r="BK30" s="92" t="n">
        <f aca="false">SUM(U$4:U$503)/COUNTA(A$4:A$503)</f>
        <v>844.8002</v>
      </c>
      <c r="BL30" s="92" t="n">
        <f aca="false">SUM(V$4:V$503)/COUNTA(A$4:A$503)</f>
        <v>865.7998</v>
      </c>
      <c r="BM30" s="92" t="n">
        <f aca="false">SUM(W$4:W$503)/COUNTA(A$4:A$503)</f>
        <v>888.59982</v>
      </c>
      <c r="BN30" s="93" t="n">
        <f aca="false">SUM(X$4:X$503)/COUNTA(A$4:A$503)</f>
        <v>918.60034</v>
      </c>
      <c r="BO30" s="94" t="s">
        <v>20</v>
      </c>
      <c r="BP30" s="91" t="n">
        <f aca="false">IF(Z30&gt;=BB30,0,IFERROR(BB30+(SUMPRODUCT((Z$4:Z$503&gt;=BB$4:BB$503)*(Z$4:Z$503-BB$4:BB$503))/MAX(1,COUNTIF(Z$4:Z$503,"&lt;"&amp;BB30+0.01))),BB30))</f>
        <v>0</v>
      </c>
      <c r="BQ30" s="92" t="n">
        <f aca="false">IF(AA30&gt;=BC30,0,IFERROR(BC30+SUMPRODUCT((AA$4:AA$503&gt;=BC$4:BC$503)*(AA$4:AA$503-BC$4:BC$503))/MAX(1,COUNTIF(AA$4:AA$503,"&lt;"&amp;BC30+0.01)),BC30))</f>
        <v>2238.46589176471</v>
      </c>
      <c r="BR30" s="92" t="n">
        <f aca="false">IF(AB30&gt;=BD30,0,IFERROR(BD30+SUMPRODUCT((AB$4:AB$503&gt;=BD$4:BD$503)*(AB$4:AB$503-BD$4:BD$503))/MAX(1,COUNTIF(AB$4:AB$503,"&lt;"&amp;BD30+0.01)),BD30))</f>
        <v>3335.2938</v>
      </c>
      <c r="BS30" s="92" t="n">
        <f aca="false">IF(AC30&gt;=BE30,0,IFERROR(BE30+SUMPRODUCT((AC$4:AC$503&gt;=BE$4:BE$503)*(AC$4:AC$503-BE$4:BE$503))/MAX(1,COUNTIF(AC$4:AC$503,"&lt;"&amp;BE30+0.01)),BE30))</f>
        <v>6188.73352</v>
      </c>
      <c r="BT30" s="92" t="n">
        <f aca="false">IF(AD30&gt;=BF30,0,IFERROR(BF30+SUMPRODUCT((AD$4:AD$503&gt;=BF$4:BF$503)*(AD$4:AD$503-BF$4:BF$503))/MAX(1,COUNTIF(AD$4:AD$503,"&lt;"&amp;BF30+0.01)),BF30))</f>
        <v>11354.35411</v>
      </c>
      <c r="BU30" s="92" t="n">
        <f aca="false">IF(AE30&gt;=BG30,0,IFERROR(BG30+SUMPRODUCT((AE$4:AE$503&gt;=BG$4:BG$503)*(AE$4:AE$503-BG$4:BG$503))/MAX(1,COUNTIF(AE$4:AE$503,"&lt;"&amp;BG30+0.01)),BG30))</f>
        <v>7704.85920380952</v>
      </c>
      <c r="BV30" s="92" t="n">
        <f aca="false">IF(AF30&gt;=BH30,0,IFERROR(BH30+SUMPRODUCT((AF$4:AF$503&gt;=BH$4:BH$503)*(AF$4:AF$503-BH$4:BH$503))/MAX(1,COUNTIF(AF$4:AF$503,"&lt;"&amp;BH30+0.01)),BH30))</f>
        <v>0</v>
      </c>
      <c r="BW30" s="92" t="n">
        <f aca="false">IF(AG30&gt;=BI30,0,IFERROR(BI30+SUMPRODUCT((AG$4:AG$503&gt;=BI$4:BI$503)*(AG$4:AG$503-BI$4:BI$503))/MAX(1,COUNTIF(AG$4:AG$503,"&lt;"&amp;BI30+0.01)),BI30))</f>
        <v>9142.15870461538</v>
      </c>
      <c r="BX30" s="92" t="n">
        <f aca="false">IF(AH30&gt;=BJ30,0,IFERROR(BJ30+SUMPRODUCT((AH$4:AH$503&gt;=BJ$4:BJ$503)*(AH$4:AH$503-BJ$4:BJ$503))/MAX(1,COUNTIF(AH$4:AH$503,"&lt;"&amp;BJ30+0.01)),BJ30))</f>
        <v>0</v>
      </c>
      <c r="BY30" s="92" t="n">
        <f aca="false">IF(AI30&gt;=BK30,0,IFERROR(BK30+SUMPRODUCT((AI$4:AI$503&gt;=BK$4:BK$503)*(AI$4:AI$503-BK$4:BK$503))/MAX(1,COUNTIF(AI$4:AI$503,"&lt;"&amp;BK30+0.01)),BK30))</f>
        <v>0</v>
      </c>
      <c r="BZ30" s="92" t="n">
        <f aca="false">IF(AJ30&gt;=BL30,0,IFERROR(BL30+SUMPRODUCT((AJ$4:AJ$503&gt;=BL$4:BL$503)*(AJ$4:AJ$503-BL$4:BL$503))/MAX(1,COUNTIF(AJ$4:AJ$503,"&lt;"&amp;BL30+0.01)),BL30))</f>
        <v>0</v>
      </c>
      <c r="CA30" s="92" t="n">
        <f aca="false">IF(AK30&gt;=BM30,0,IFERROR(BM30+SUMPRODUCT((AK$4:AK$503&gt;=BM$4:BM$503)*(AK$4:AK$503-BM$4:BM$503))/MAX(1,COUNTIF(AK$4:AK$503,"&lt;"&amp;BM30+0.01)),BM30))</f>
        <v>7314.89836842105</v>
      </c>
      <c r="CB30" s="93" t="n">
        <f aca="false">IF(AL30&gt;=BN30,0,IFERROR(BN30+SUMPRODUCT((AL$4:AL$503&gt;=BN$4:BN$503)*(AL$4:AL$503-BN$4:BN$503))/MAX(1,COUNTIF(AL$4:AL$503,"&lt;"&amp;BN30+0.01)),BN30))</f>
        <v>0</v>
      </c>
      <c r="CC30" s="95" t="str">
        <f aca="false">IF(AO30="🟢","VERDE",IF(AO30="🟡","AMARELO",IF(AO30="🟠","VERMELHO",IF(AO30="🔴","VERMELHO","ROXO"))))</f>
        <v>VERMELHO</v>
      </c>
      <c r="CD30" s="96" t="s">
        <v>176</v>
      </c>
      <c r="CE30" s="96" t="s">
        <v>183</v>
      </c>
    </row>
    <row r="31" customFormat="false" ht="14.25" hidden="false" customHeight="true" outlineLevel="0" collapsed="false">
      <c r="A31" s="65" t="s">
        <v>185</v>
      </c>
      <c r="B31" s="66" t="s">
        <v>186</v>
      </c>
      <c r="C31" s="67" t="s">
        <v>158</v>
      </c>
      <c r="D31" s="68" t="s">
        <v>100</v>
      </c>
      <c r="E31" s="69" t="s">
        <v>187</v>
      </c>
      <c r="F31" s="70" t="n">
        <f aca="false">IFERROR(VLOOKUP(C31,$AS$3:$AT$10,2,FALSE()),IFERROR(VLOOKUP(C31,$AS$15:$AT$22,2,FALSE()),""))</f>
        <v>29</v>
      </c>
      <c r="G31" s="71" t="n">
        <f aca="false">IFERROR(VLOOKUP(C31,$AS$3:$AX$10,6,FALSE()),IFERROR(VLOOKUP(C31,$AS$15:$AX$22,6,FALSE()),""))</f>
        <v>0.458564072601712</v>
      </c>
      <c r="H31" s="72" t="str">
        <f aca="false">IFERROR(VLOOKUP(C31,$AS$3:$AY$10,7,FALSE()),IFERROR(VLOOKUP(C31,$AS$15:$AY$22,7,FALSE()),""))</f>
        <v>🟡 AMARELO</v>
      </c>
      <c r="I31" s="72" t="str">
        <f aca="false">IFERROR(VLOOKUP(C31,$AS$3:$AZ$10,8,FALSE()),IFERROR(VLOOKUP(C31,$AS$15:$AZ$22,8,FALSE()),""))</f>
        <v>Sell Out</v>
      </c>
      <c r="J31" s="73"/>
      <c r="K31" s="69" t="s">
        <v>158</v>
      </c>
      <c r="L31" s="74" t="n">
        <v>30700.2</v>
      </c>
      <c r="M31" s="75" t="n">
        <v>2157.4</v>
      </c>
      <c r="N31" s="75" t="n">
        <v>2254.4</v>
      </c>
      <c r="O31" s="75" t="n">
        <v>2308.72</v>
      </c>
      <c r="P31" s="75" t="n">
        <v>2368.87</v>
      </c>
      <c r="Q31" s="75" t="n">
        <v>2446.47</v>
      </c>
      <c r="R31" s="75" t="n">
        <v>2510.49</v>
      </c>
      <c r="S31" s="75" t="n">
        <v>2607.5</v>
      </c>
      <c r="T31" s="75" t="n">
        <v>2671.52</v>
      </c>
      <c r="U31" s="75" t="n">
        <v>2731.67</v>
      </c>
      <c r="V31" s="75" t="n">
        <v>2799.57</v>
      </c>
      <c r="W31" s="75" t="n">
        <v>2873.29</v>
      </c>
      <c r="X31" s="76" t="n">
        <v>2970.3</v>
      </c>
      <c r="Y31" s="77" t="s">
        <v>20</v>
      </c>
      <c r="Z31" s="78" t="n">
        <f aca="false">SUM(AA31:AL31)</f>
        <v>15270.16</v>
      </c>
      <c r="AA31" s="75"/>
      <c r="AB31" s="75"/>
      <c r="AC31" s="79" t="n">
        <v>3097.52</v>
      </c>
      <c r="AD31" s="79" t="n">
        <v>3750.38</v>
      </c>
      <c r="AE31" s="79" t="n">
        <v>2607.9</v>
      </c>
      <c r="AF31" s="75"/>
      <c r="AG31" s="79" t="n">
        <v>2744.45</v>
      </c>
      <c r="AH31" s="75"/>
      <c r="AI31" s="75"/>
      <c r="AJ31" s="79" t="n">
        <v>3069.91</v>
      </c>
      <c r="AK31" s="75"/>
      <c r="AL31" s="76"/>
      <c r="AM31" s="56" t="s">
        <v>20</v>
      </c>
      <c r="AN31" s="80" t="n">
        <f aca="false">IF(L31=0,0,Z31/L31)</f>
        <v>0.497396108168676</v>
      </c>
      <c r="AO31" s="81" t="str">
        <f aca="false">IF(AN31="","",IF(AN31&gt;=0.9,"🟢",IF(AN31&gt;=0.7,"🟡",IF(AN31&gt;=0.5,"🟠","🔴"))))</f>
        <v>🔴</v>
      </c>
      <c r="AP31" s="82" t="n">
        <f aca="false">IF(L31=0,0,L31-Z31)</f>
        <v>15430.04</v>
      </c>
      <c r="AQ31" s="83" t="n">
        <f aca="false">IF(AP31=0,"",RANK(AP31,AP$4:AP$503,0))</f>
        <v>31</v>
      </c>
      <c r="AR31" s="84" t="s">
        <v>20</v>
      </c>
      <c r="AS31" s="127" t="s">
        <v>188</v>
      </c>
      <c r="AT31" s="115"/>
      <c r="AU31" s="116" t="n">
        <f aca="false">SUM(AU27:AU30)</f>
        <v>486</v>
      </c>
      <c r="AV31" s="100" t="n">
        <f aca="false">SUM(AV27:AV30)</f>
        <v>4747199.96</v>
      </c>
      <c r="AW31" s="117" t="n">
        <f aca="false">SUM(AW27:AW30)</f>
        <v>2149389.1</v>
      </c>
      <c r="AX31" s="118" t="n">
        <f aca="false">IF(AV31=0,0,AW31/AV31)</f>
        <v>0.452769868156133</v>
      </c>
      <c r="AY31" s="119"/>
      <c r="AZ31" s="120"/>
      <c r="BA31" s="56" t="s">
        <v>20</v>
      </c>
      <c r="BB31" s="91" t="n">
        <f aca="false">SUM(L$4:L$503)/COUNTA(A$4:A$503)</f>
        <v>9494.39992</v>
      </c>
      <c r="BC31" s="92" t="n">
        <f aca="false">SUM(M$4:M$503)/COUNTA(A$4:A$503)</f>
        <v>667.20008</v>
      </c>
      <c r="BD31" s="92" t="n">
        <f aca="false">SUM(N$4:N$503)/COUNTA(A$4:A$503)</f>
        <v>697.19996</v>
      </c>
      <c r="BE31" s="92" t="n">
        <f aca="false">SUM(O$4:O$503)/COUNTA(A$4:A$503)</f>
        <v>713.9999</v>
      </c>
      <c r="BF31" s="92" t="n">
        <f aca="false">SUM(P$4:P$503)/COUNTA(A$4:A$503)</f>
        <v>732.59984</v>
      </c>
      <c r="BG31" s="92" t="n">
        <f aca="false">SUM(Q$4:Q$503)/COUNTA(A$4:A$503)</f>
        <v>756.59992</v>
      </c>
      <c r="BH31" s="92" t="n">
        <f aca="false">SUM(R$4:R$503)/COUNTA(A$4:A$503)</f>
        <v>776.40004</v>
      </c>
      <c r="BI31" s="92" t="n">
        <f aca="false">SUM(S$4:S$503)/COUNTA(A$4:A$503)</f>
        <v>806.40012</v>
      </c>
      <c r="BJ31" s="92" t="n">
        <f aca="false">SUM(T$4:T$503)/COUNTA(A$4:A$503)</f>
        <v>826.1999</v>
      </c>
      <c r="BK31" s="92" t="n">
        <f aca="false">SUM(U$4:U$503)/COUNTA(A$4:A$503)</f>
        <v>844.8002</v>
      </c>
      <c r="BL31" s="92" t="n">
        <f aca="false">SUM(V$4:V$503)/COUNTA(A$4:A$503)</f>
        <v>865.7998</v>
      </c>
      <c r="BM31" s="92" t="n">
        <f aca="false">SUM(W$4:W$503)/COUNTA(A$4:A$503)</f>
        <v>888.59982</v>
      </c>
      <c r="BN31" s="93" t="n">
        <f aca="false">SUM(X$4:X$503)/COUNTA(A$4:A$503)</f>
        <v>918.60034</v>
      </c>
      <c r="BO31" s="94" t="s">
        <v>20</v>
      </c>
      <c r="BP31" s="91" t="n">
        <f aca="false">IF(Z31&gt;=BB31,0,IFERROR(BB31+(SUMPRODUCT((Z$4:Z$503&gt;=BB$4:BB$503)*(Z$4:Z$503-BB$4:BB$503))/MAX(1,COUNTIF(Z$4:Z$503,"&lt;"&amp;BB31+0.01))),BB31))</f>
        <v>0</v>
      </c>
      <c r="BQ31" s="92" t="n">
        <f aca="false">IF(AA31&gt;=BC31,0,IFERROR(BC31+SUMPRODUCT((AA$4:AA$503&gt;=BC$4:BC$503)*(AA$4:AA$503-BC$4:BC$503))/MAX(1,COUNTIF(AA$4:AA$503,"&lt;"&amp;BC31+0.01)),BC31))</f>
        <v>2238.46589176471</v>
      </c>
      <c r="BR31" s="92" t="n">
        <f aca="false">IF(AB31&gt;=BD31,0,IFERROR(BD31+SUMPRODUCT((AB$4:AB$503&gt;=BD$4:BD$503)*(AB$4:AB$503-BD$4:BD$503))/MAX(1,COUNTIF(AB$4:AB$503,"&lt;"&amp;BD31+0.01)),BD31))</f>
        <v>3335.2938</v>
      </c>
      <c r="BS31" s="92" t="n">
        <f aca="false">IF(AC31&gt;=BE31,0,IFERROR(BE31+SUMPRODUCT((AC$4:AC$503&gt;=BE$4:BE$503)*(AC$4:AC$503-BE$4:BE$503))/MAX(1,COUNTIF(AC$4:AC$503,"&lt;"&amp;BE31+0.01)),BE31))</f>
        <v>0</v>
      </c>
      <c r="BT31" s="92" t="n">
        <f aca="false">IF(AD31&gt;=BF31,0,IFERROR(BF31+SUMPRODUCT((AD$4:AD$503&gt;=BF$4:BF$503)*(AD$4:AD$503-BF$4:BF$503))/MAX(1,COUNTIF(AD$4:AD$503,"&lt;"&amp;BF31+0.01)),BF31))</f>
        <v>0</v>
      </c>
      <c r="BU31" s="92" t="n">
        <f aca="false">IF(AE31&gt;=BG31,0,IFERROR(BG31+SUMPRODUCT((AE$4:AE$503&gt;=BG$4:BG$503)*(AE$4:AE$503-BG$4:BG$503))/MAX(1,COUNTIF(AE$4:AE$503,"&lt;"&amp;BG31+0.01)),BG31))</f>
        <v>0</v>
      </c>
      <c r="BV31" s="92" t="n">
        <f aca="false">IF(AF31&gt;=BH31,0,IFERROR(BH31+SUMPRODUCT((AF$4:AF$503&gt;=BH$4:BH$503)*(AF$4:AF$503-BH$4:BH$503))/MAX(1,COUNTIF(AF$4:AF$503,"&lt;"&amp;BH31+0.01)),BH31))</f>
        <v>9942.6503831579</v>
      </c>
      <c r="BW31" s="92" t="n">
        <f aca="false">IF(AG31&gt;=BI31,0,IFERROR(BI31+SUMPRODUCT((AG$4:AG$503&gt;=BI$4:BI$503)*(AG$4:AG$503-BI$4:BI$503))/MAX(1,COUNTIF(AG$4:AG$503,"&lt;"&amp;BI31+0.01)),BI31))</f>
        <v>0</v>
      </c>
      <c r="BX31" s="92" t="n">
        <f aca="false">IF(AH31&gt;=BJ31,0,IFERROR(BJ31+SUMPRODUCT((AH$4:AH$503&gt;=BJ$4:BJ$503)*(AH$4:AH$503-BJ$4:BJ$503))/MAX(1,COUNTIF(AH$4:AH$503,"&lt;"&amp;BJ31+0.01)),BJ31))</f>
        <v>5621.50263448276</v>
      </c>
      <c r="BY31" s="92" t="n">
        <f aca="false">IF(AI31&gt;=BK31,0,IFERROR(BK31+SUMPRODUCT((AI$4:AI$503&gt;=BK$4:BK$503)*(AI$4:AI$503-BK$4:BK$503))/MAX(1,COUNTIF(AI$4:AI$503,"&lt;"&amp;BK31+0.01)),BK31))</f>
        <v>7878.25652380952</v>
      </c>
      <c r="BZ31" s="92" t="n">
        <f aca="false">IF(AJ31&gt;=BL31,0,IFERROR(BL31+SUMPRODUCT((AJ$4:AJ$503&gt;=BL$4:BL$503)*(AJ$4:AJ$503-BL$4:BL$503))/MAX(1,COUNTIF(AJ$4:AJ$503,"&lt;"&amp;BL31+0.01)),BL31))</f>
        <v>0</v>
      </c>
      <c r="CA31" s="92" t="n">
        <f aca="false">IF(AK31&gt;=BM31,0,IFERROR(BM31+SUMPRODUCT((AK$4:AK$503&gt;=BM$4:BM$503)*(AK$4:AK$503-BM$4:BM$503))/MAX(1,COUNTIF(AK$4:AK$503,"&lt;"&amp;BM31+0.01)),BM31))</f>
        <v>7314.89836842105</v>
      </c>
      <c r="CB31" s="93" t="n">
        <f aca="false">IF(AL31&gt;=BN31,0,IFERROR(BN31+SUMPRODUCT((AL$4:AL$503&gt;=BN$4:BN$503)*(AL$4:AL$503-BN$4:BN$503))/MAX(1,COUNTIF(AL$4:AL$503,"&lt;"&amp;BN31+0.01)),BN31))</f>
        <v>3597.2614925</v>
      </c>
      <c r="CC31" s="95" t="str">
        <f aca="false">IF(AO31="🟢","VERDE",IF(AO31="🟡","AMARELO",IF(AO31="🟠","VERMELHO",IF(AO31="🔴","VERMELHO","ROXO"))))</f>
        <v>VERMELHO</v>
      </c>
      <c r="CD31" s="96" t="s">
        <v>103</v>
      </c>
      <c r="CE31" s="96" t="s">
        <v>104</v>
      </c>
    </row>
    <row r="32" customFormat="false" ht="14.25" hidden="false" customHeight="true" outlineLevel="0" collapsed="false">
      <c r="A32" s="65" t="s">
        <v>189</v>
      </c>
      <c r="B32" s="66" t="s">
        <v>190</v>
      </c>
      <c r="C32" s="67" t="s">
        <v>107</v>
      </c>
      <c r="D32" s="68" t="s">
        <v>108</v>
      </c>
      <c r="E32" s="69" t="s">
        <v>109</v>
      </c>
      <c r="F32" s="70" t="n">
        <f aca="false">IFERROR(VLOOKUP(C32,$AS$3:$AT$10,2,FALSE()),IFERROR(VLOOKUP(C32,$AS$15:$AT$22,2,FALSE()),""))</f>
        <v>132</v>
      </c>
      <c r="G32" s="71" t="n">
        <f aca="false">IFERROR(VLOOKUP(C32,$AS$3:$AX$10,6,FALSE()),IFERROR(VLOOKUP(C32,$AS$15:$AX$22,6,FALSE()),""))</f>
        <v>0.468190175850689</v>
      </c>
      <c r="H32" s="72" t="str">
        <f aca="false">IFERROR(VLOOKUP(C32,$AS$3:$AY$10,7,FALSE()),IFERROR(VLOOKUP(C32,$AS$15:$AY$22,7,FALSE()),""))</f>
        <v>🟡 AMARELO</v>
      </c>
      <c r="I32" s="72" t="str">
        <f aca="false">IFERROR(VLOOKUP(C32,$AS$3:$AZ$10,8,FALSE()),IFERROR(VLOOKUP(C32,$AS$15:$AZ$22,8,FALSE()),""))</f>
        <v>Sell Out</v>
      </c>
      <c r="J32" s="73"/>
      <c r="K32" s="69" t="s">
        <v>107</v>
      </c>
      <c r="L32" s="74" t="n">
        <v>30595.29</v>
      </c>
      <c r="M32" s="75" t="n">
        <v>2150.02</v>
      </c>
      <c r="N32" s="75" t="n">
        <v>2246.7</v>
      </c>
      <c r="O32" s="75" t="n">
        <v>2300.83</v>
      </c>
      <c r="P32" s="75" t="n">
        <v>2360.77</v>
      </c>
      <c r="Q32" s="75" t="n">
        <v>2438.11</v>
      </c>
      <c r="R32" s="75" t="n">
        <v>2501.92</v>
      </c>
      <c r="S32" s="75" t="n">
        <v>2598.59</v>
      </c>
      <c r="T32" s="75" t="n">
        <v>2662.39</v>
      </c>
      <c r="U32" s="75" t="n">
        <v>2722.33</v>
      </c>
      <c r="V32" s="75" t="n">
        <v>2790</v>
      </c>
      <c r="W32" s="75" t="n">
        <v>2863.48</v>
      </c>
      <c r="X32" s="76" t="n">
        <v>2960.15</v>
      </c>
      <c r="Y32" s="77" t="s">
        <v>20</v>
      </c>
      <c r="Z32" s="78" t="n">
        <f aca="false">SUM(AA32:AL32)</f>
        <v>12542.07</v>
      </c>
      <c r="AA32" s="75"/>
      <c r="AB32" s="75"/>
      <c r="AC32" s="75"/>
      <c r="AD32" s="75"/>
      <c r="AE32" s="75" t="n">
        <v>6050.52</v>
      </c>
      <c r="AF32" s="75"/>
      <c r="AG32" s="79" t="n">
        <v>6491.55</v>
      </c>
      <c r="AH32" s="75"/>
      <c r="AI32" s="75"/>
      <c r="AJ32" s="75"/>
      <c r="AK32" s="75"/>
      <c r="AL32" s="76"/>
      <c r="AM32" s="56" t="s">
        <v>20</v>
      </c>
      <c r="AN32" s="80" t="n">
        <f aca="false">IF(L32=0,0,Z32/L32)</f>
        <v>0.40993466641434</v>
      </c>
      <c r="AO32" s="81" t="str">
        <f aca="false">IF(AN32="","",IF(AN32&gt;=0.9,"🟢",IF(AN32&gt;=0.7,"🟡",IF(AN32&gt;=0.5,"🟠","🔴"))))</f>
        <v>🔴</v>
      </c>
      <c r="AP32" s="82" t="n">
        <f aca="false">IF(L32=0,0,L32-Z32)</f>
        <v>18053.22</v>
      </c>
      <c r="AQ32" s="83" t="n">
        <f aca="false">IF(AP32=0,"",RANK(AP32,AP$4:AP$503,0))</f>
        <v>28</v>
      </c>
      <c r="AR32" s="84" t="s">
        <v>20</v>
      </c>
      <c r="AS32" s="121"/>
      <c r="AT32" s="115"/>
      <c r="AU32" s="115"/>
      <c r="AV32" s="122"/>
      <c r="AW32" s="119"/>
      <c r="AX32" s="119"/>
      <c r="AY32" s="119"/>
      <c r="AZ32" s="120"/>
      <c r="BA32" s="56" t="s">
        <v>20</v>
      </c>
      <c r="BB32" s="91" t="n">
        <f aca="false">SUM(L$4:L$503)/COUNTA(A$4:A$503)</f>
        <v>9494.39992</v>
      </c>
      <c r="BC32" s="92" t="n">
        <f aca="false">SUM(M$4:M$503)/COUNTA(A$4:A$503)</f>
        <v>667.20008</v>
      </c>
      <c r="BD32" s="92" t="n">
        <f aca="false">SUM(N$4:N$503)/COUNTA(A$4:A$503)</f>
        <v>697.19996</v>
      </c>
      <c r="BE32" s="92" t="n">
        <f aca="false">SUM(O$4:O$503)/COUNTA(A$4:A$503)</f>
        <v>713.9999</v>
      </c>
      <c r="BF32" s="92" t="n">
        <f aca="false">SUM(P$4:P$503)/COUNTA(A$4:A$503)</f>
        <v>732.59984</v>
      </c>
      <c r="BG32" s="92" t="n">
        <f aca="false">SUM(Q$4:Q$503)/COUNTA(A$4:A$503)</f>
        <v>756.59992</v>
      </c>
      <c r="BH32" s="92" t="n">
        <f aca="false">SUM(R$4:R$503)/COUNTA(A$4:A$503)</f>
        <v>776.40004</v>
      </c>
      <c r="BI32" s="92" t="n">
        <f aca="false">SUM(S$4:S$503)/COUNTA(A$4:A$503)</f>
        <v>806.40012</v>
      </c>
      <c r="BJ32" s="92" t="n">
        <f aca="false">SUM(T$4:T$503)/COUNTA(A$4:A$503)</f>
        <v>826.1999</v>
      </c>
      <c r="BK32" s="92" t="n">
        <f aca="false">SUM(U$4:U$503)/COUNTA(A$4:A$503)</f>
        <v>844.8002</v>
      </c>
      <c r="BL32" s="92" t="n">
        <f aca="false">SUM(V$4:V$503)/COUNTA(A$4:A$503)</f>
        <v>865.7998</v>
      </c>
      <c r="BM32" s="92" t="n">
        <f aca="false">SUM(W$4:W$503)/COUNTA(A$4:A$503)</f>
        <v>888.59982</v>
      </c>
      <c r="BN32" s="93" t="n">
        <f aca="false">SUM(X$4:X$503)/COUNTA(A$4:A$503)</f>
        <v>918.60034</v>
      </c>
      <c r="BO32" s="94" t="s">
        <v>20</v>
      </c>
      <c r="BP32" s="91" t="n">
        <f aca="false">IF(Z32&gt;=BB32,0,IFERROR(BB32+(SUMPRODUCT((Z$4:Z$503&gt;=BB$4:BB$503)*(Z$4:Z$503-BB$4:BB$503))/MAX(1,COUNTIF(Z$4:Z$503,"&lt;"&amp;BB32+0.01))),BB32))</f>
        <v>0</v>
      </c>
      <c r="BQ32" s="92" t="n">
        <f aca="false">IF(AA32&gt;=BC32,0,IFERROR(BC32+SUMPRODUCT((AA$4:AA$503&gt;=BC$4:BC$503)*(AA$4:AA$503-BC$4:BC$503))/MAX(1,COUNTIF(AA$4:AA$503,"&lt;"&amp;BC32+0.01)),BC32))</f>
        <v>2238.46589176471</v>
      </c>
      <c r="BR32" s="92" t="n">
        <f aca="false">IF(AB32&gt;=BD32,0,IFERROR(BD32+SUMPRODUCT((AB$4:AB$503&gt;=BD$4:BD$503)*(AB$4:AB$503-BD$4:BD$503))/MAX(1,COUNTIF(AB$4:AB$503,"&lt;"&amp;BD32+0.01)),BD32))</f>
        <v>3335.2938</v>
      </c>
      <c r="BS32" s="92" t="n">
        <f aca="false">IF(AC32&gt;=BE32,0,IFERROR(BE32+SUMPRODUCT((AC$4:AC$503&gt;=BE$4:BE$503)*(AC$4:AC$503-BE$4:BE$503))/MAX(1,COUNTIF(AC$4:AC$503,"&lt;"&amp;BE32+0.01)),BE32))</f>
        <v>6188.73352</v>
      </c>
      <c r="BT32" s="92" t="n">
        <f aca="false">IF(AD32&gt;=BF32,0,IFERROR(BF32+SUMPRODUCT((AD$4:AD$503&gt;=BF$4:BF$503)*(AD$4:AD$503-BF$4:BF$503))/MAX(1,COUNTIF(AD$4:AD$503,"&lt;"&amp;BF32+0.01)),BF32))</f>
        <v>11354.35411</v>
      </c>
      <c r="BU32" s="92" t="n">
        <f aca="false">IF(AE32&gt;=BG32,0,IFERROR(BG32+SUMPRODUCT((AE$4:AE$503&gt;=BG$4:BG$503)*(AE$4:AE$503-BG$4:BG$503))/MAX(1,COUNTIF(AE$4:AE$503,"&lt;"&amp;BG32+0.01)),BG32))</f>
        <v>0</v>
      </c>
      <c r="BV32" s="92" t="n">
        <f aca="false">IF(AF32&gt;=BH32,0,IFERROR(BH32+SUMPRODUCT((AF$4:AF$503&gt;=BH$4:BH$503)*(AF$4:AF$503-BH$4:BH$503))/MAX(1,COUNTIF(AF$4:AF$503,"&lt;"&amp;BH32+0.01)),BH32))</f>
        <v>9942.6503831579</v>
      </c>
      <c r="BW32" s="92" t="n">
        <f aca="false">IF(AG32&gt;=BI32,0,IFERROR(BI32+SUMPRODUCT((AG$4:AG$503&gt;=BI$4:BI$503)*(AG$4:AG$503-BI$4:BI$503))/MAX(1,COUNTIF(AG$4:AG$503,"&lt;"&amp;BI32+0.01)),BI32))</f>
        <v>0</v>
      </c>
      <c r="BX32" s="92" t="n">
        <f aca="false">IF(AH32&gt;=BJ32,0,IFERROR(BJ32+SUMPRODUCT((AH$4:AH$503&gt;=BJ$4:BJ$503)*(AH$4:AH$503-BJ$4:BJ$503))/MAX(1,COUNTIF(AH$4:AH$503,"&lt;"&amp;BJ32+0.01)),BJ32))</f>
        <v>5621.50263448276</v>
      </c>
      <c r="BY32" s="92" t="n">
        <f aca="false">IF(AI32&gt;=BK32,0,IFERROR(BK32+SUMPRODUCT((AI$4:AI$503&gt;=BK$4:BK$503)*(AI$4:AI$503-BK$4:BK$503))/MAX(1,COUNTIF(AI$4:AI$503,"&lt;"&amp;BK32+0.01)),BK32))</f>
        <v>7878.25652380952</v>
      </c>
      <c r="BZ32" s="92" t="n">
        <f aca="false">IF(AJ32&gt;=BL32,0,IFERROR(BL32+SUMPRODUCT((AJ$4:AJ$503&gt;=BL$4:BL$503)*(AJ$4:AJ$503-BL$4:BL$503))/MAX(1,COUNTIF(AJ$4:AJ$503,"&lt;"&amp;BL32+0.01)),BL32))</f>
        <v>6710.03292307692</v>
      </c>
      <c r="CA32" s="92" t="n">
        <f aca="false">IF(AK32&gt;=BM32,0,IFERROR(BM32+SUMPRODUCT((AK$4:AK$503&gt;=BM$4:BM$503)*(AK$4:AK$503-BM$4:BM$503))/MAX(1,COUNTIF(AK$4:AK$503,"&lt;"&amp;BM32+0.01)),BM32))</f>
        <v>7314.89836842105</v>
      </c>
      <c r="CB32" s="93" t="n">
        <f aca="false">IF(AL32&gt;=BN32,0,IFERROR(BN32+SUMPRODUCT((AL$4:AL$503&gt;=BN$4:BN$503)*(AL$4:AL$503-BN$4:BN$503))/MAX(1,COUNTIF(AL$4:AL$503,"&lt;"&amp;BN32+0.01)),BN32))</f>
        <v>3597.2614925</v>
      </c>
      <c r="CC32" s="95" t="str">
        <f aca="false">IF(AO32="🟢","VERDE",IF(AO32="🟡","AMARELO",IF(AO32="🟠","VERMELHO",IF(AO32="🔴","VERMELHO","ROXO"))))</f>
        <v>VERMELHO</v>
      </c>
      <c r="CD32" s="96" t="s">
        <v>103</v>
      </c>
      <c r="CE32" s="96" t="s">
        <v>104</v>
      </c>
    </row>
    <row r="33" customFormat="false" ht="14.25" hidden="false" customHeight="true" outlineLevel="0" collapsed="false">
      <c r="A33" s="65" t="s">
        <v>191</v>
      </c>
      <c r="B33" s="66" t="s">
        <v>192</v>
      </c>
      <c r="C33" s="67" t="s">
        <v>123</v>
      </c>
      <c r="D33" s="68" t="s">
        <v>108</v>
      </c>
      <c r="E33" s="56" t="s">
        <v>20</v>
      </c>
      <c r="F33" s="70" t="n">
        <f aca="false">IFERROR(VLOOKUP(C33,$AS$3:$AT$10,2,FALSE()),IFERROR(VLOOKUP(C33,$AS$15:$AT$22,2,FALSE()),""))</f>
        <v>49</v>
      </c>
      <c r="G33" s="71" t="n">
        <f aca="false">IFERROR(VLOOKUP(C33,$AS$3:$AX$10,6,FALSE()),IFERROR(VLOOKUP(C33,$AS$15:$AX$22,6,FALSE()),""))</f>
        <v>0.436391353881959</v>
      </c>
      <c r="H33" s="72" t="str">
        <f aca="false">IFERROR(VLOOKUP(C33,$AS$3:$AY$10,7,FALSE()),IFERROR(VLOOKUP(C33,$AS$15:$AY$22,7,FALSE()),""))</f>
        <v>🟡 AMARELO</v>
      </c>
      <c r="I33" s="72" t="str">
        <f aca="false">IFERROR(VLOOKUP(C33,$AS$3:$AZ$10,8,FALSE()),IFERROR(VLOOKUP(C33,$AS$15:$AZ$22,8,FALSE()),""))</f>
        <v>Sell Out</v>
      </c>
      <c r="J33" s="73"/>
      <c r="K33" s="56" t="s">
        <v>20</v>
      </c>
      <c r="L33" s="74" t="n">
        <v>29615.69</v>
      </c>
      <c r="M33" s="75" t="n">
        <v>2081.18</v>
      </c>
      <c r="N33" s="75" t="n">
        <v>2174.76</v>
      </c>
      <c r="O33" s="75" t="n">
        <v>2227.17</v>
      </c>
      <c r="P33" s="75" t="n">
        <v>2285.18</v>
      </c>
      <c r="Q33" s="75" t="n">
        <v>2360.05</v>
      </c>
      <c r="R33" s="75" t="n">
        <v>2421.81</v>
      </c>
      <c r="S33" s="75" t="n">
        <v>2515.39</v>
      </c>
      <c r="T33" s="75" t="n">
        <v>2577.15</v>
      </c>
      <c r="U33" s="75" t="n">
        <v>2635.17</v>
      </c>
      <c r="V33" s="75" t="n">
        <v>2700.67</v>
      </c>
      <c r="W33" s="75" t="n">
        <v>2771.79</v>
      </c>
      <c r="X33" s="76" t="n">
        <v>2865.37</v>
      </c>
      <c r="Y33" s="77" t="s">
        <v>20</v>
      </c>
      <c r="Z33" s="78" t="n">
        <f aca="false">SUM(AA33:AL33)</f>
        <v>11972.27</v>
      </c>
      <c r="AA33" s="75"/>
      <c r="AB33" s="75"/>
      <c r="AC33" s="75"/>
      <c r="AD33" s="75"/>
      <c r="AE33" s="75"/>
      <c r="AF33" s="75"/>
      <c r="AG33" s="75" t="n">
        <v>3416.95</v>
      </c>
      <c r="AH33" s="75" t="n">
        <v>1514.06</v>
      </c>
      <c r="AI33" s="75" t="n">
        <v>1824.33</v>
      </c>
      <c r="AJ33" s="75"/>
      <c r="AK33" s="75" t="n">
        <v>1871.82</v>
      </c>
      <c r="AL33" s="76" t="n">
        <v>3345.11</v>
      </c>
      <c r="AM33" s="56" t="s">
        <v>20</v>
      </c>
      <c r="AN33" s="80" t="n">
        <f aca="false">IF(L33=0,0,Z33/L33)</f>
        <v>0.404254298988138</v>
      </c>
      <c r="AO33" s="81" t="str">
        <f aca="false">IF(AN33="","",IF(AN33&gt;=0.9,"🟢",IF(AN33&gt;=0.7,"🟡",IF(AN33&gt;=0.5,"🟠","🔴"))))</f>
        <v>🔴</v>
      </c>
      <c r="AP33" s="82" t="n">
        <f aca="false">IF(L33=0,0,L33-Z33)</f>
        <v>17643.42</v>
      </c>
      <c r="AQ33" s="83" t="n">
        <f aca="false">IF(AP33=0,"",RANK(AP33,AP$4:AP$503,0))</f>
        <v>29</v>
      </c>
      <c r="AR33" s="84" t="s">
        <v>20</v>
      </c>
      <c r="AS33" s="128" t="s">
        <v>193</v>
      </c>
      <c r="AT33" s="129"/>
      <c r="AU33" s="129"/>
      <c r="AV33" s="130"/>
      <c r="AW33" s="130"/>
      <c r="AX33" s="130"/>
      <c r="AY33" s="129"/>
      <c r="AZ33" s="131"/>
      <c r="BA33" s="56" t="s">
        <v>20</v>
      </c>
      <c r="BB33" s="91" t="n">
        <f aca="false">SUM(L$4:L$503)/COUNTA(A$4:A$503)</f>
        <v>9494.39992</v>
      </c>
      <c r="BC33" s="92" t="n">
        <f aca="false">SUM(M$4:M$503)/COUNTA(A$4:A$503)</f>
        <v>667.20008</v>
      </c>
      <c r="BD33" s="92" t="n">
        <f aca="false">SUM(N$4:N$503)/COUNTA(A$4:A$503)</f>
        <v>697.19996</v>
      </c>
      <c r="BE33" s="92" t="n">
        <f aca="false">SUM(O$4:O$503)/COUNTA(A$4:A$503)</f>
        <v>713.9999</v>
      </c>
      <c r="BF33" s="92" t="n">
        <f aca="false">SUM(P$4:P$503)/COUNTA(A$4:A$503)</f>
        <v>732.59984</v>
      </c>
      <c r="BG33" s="92" t="n">
        <f aca="false">SUM(Q$4:Q$503)/COUNTA(A$4:A$503)</f>
        <v>756.59992</v>
      </c>
      <c r="BH33" s="92" t="n">
        <f aca="false">SUM(R$4:R$503)/COUNTA(A$4:A$503)</f>
        <v>776.40004</v>
      </c>
      <c r="BI33" s="92" t="n">
        <f aca="false">SUM(S$4:S$503)/COUNTA(A$4:A$503)</f>
        <v>806.40012</v>
      </c>
      <c r="BJ33" s="92" t="n">
        <f aca="false">SUM(T$4:T$503)/COUNTA(A$4:A$503)</f>
        <v>826.1999</v>
      </c>
      <c r="BK33" s="92" t="n">
        <f aca="false">SUM(U$4:U$503)/COUNTA(A$4:A$503)</f>
        <v>844.8002</v>
      </c>
      <c r="BL33" s="92" t="n">
        <f aca="false">SUM(V$4:V$503)/COUNTA(A$4:A$503)</f>
        <v>865.7998</v>
      </c>
      <c r="BM33" s="92" t="n">
        <f aca="false">SUM(W$4:W$503)/COUNTA(A$4:A$503)</f>
        <v>888.59982</v>
      </c>
      <c r="BN33" s="93" t="n">
        <f aca="false">SUM(X$4:X$503)/COUNTA(A$4:A$503)</f>
        <v>918.60034</v>
      </c>
      <c r="BO33" s="94" t="s">
        <v>20</v>
      </c>
      <c r="BP33" s="91" t="n">
        <f aca="false">IF(Z33&gt;=BB33,0,IFERROR(BB33+(SUMPRODUCT((Z$4:Z$503&gt;=BB$4:BB$503)*(Z$4:Z$503-BB$4:BB$503))/MAX(1,COUNTIF(Z$4:Z$503,"&lt;"&amp;BB33+0.01))),BB33))</f>
        <v>0</v>
      </c>
      <c r="BQ33" s="92" t="n">
        <f aca="false">IF(AA33&gt;=BC33,0,IFERROR(BC33+SUMPRODUCT((AA$4:AA$503&gt;=BC$4:BC$503)*(AA$4:AA$503-BC$4:BC$503))/MAX(1,COUNTIF(AA$4:AA$503,"&lt;"&amp;BC33+0.01)),BC33))</f>
        <v>2238.46589176471</v>
      </c>
      <c r="BR33" s="92" t="n">
        <f aca="false">IF(AB33&gt;=BD33,0,IFERROR(BD33+SUMPRODUCT((AB$4:AB$503&gt;=BD$4:BD$503)*(AB$4:AB$503-BD$4:BD$503))/MAX(1,COUNTIF(AB$4:AB$503,"&lt;"&amp;BD33+0.01)),BD33))</f>
        <v>3335.2938</v>
      </c>
      <c r="BS33" s="92" t="n">
        <f aca="false">IF(AC33&gt;=BE33,0,IFERROR(BE33+SUMPRODUCT((AC$4:AC$503&gt;=BE$4:BE$503)*(AC$4:AC$503-BE$4:BE$503))/MAX(1,COUNTIF(AC$4:AC$503,"&lt;"&amp;BE33+0.01)),BE33))</f>
        <v>6188.73352</v>
      </c>
      <c r="BT33" s="92" t="n">
        <f aca="false">IF(AD33&gt;=BF33,0,IFERROR(BF33+SUMPRODUCT((AD$4:AD$503&gt;=BF$4:BF$503)*(AD$4:AD$503-BF$4:BF$503))/MAX(1,COUNTIF(AD$4:AD$503,"&lt;"&amp;BF33+0.01)),BF33))</f>
        <v>11354.35411</v>
      </c>
      <c r="BU33" s="92" t="n">
        <f aca="false">IF(AE33&gt;=BG33,0,IFERROR(BG33+SUMPRODUCT((AE$4:AE$503&gt;=BG$4:BG$503)*(AE$4:AE$503-BG$4:BG$503))/MAX(1,COUNTIF(AE$4:AE$503,"&lt;"&amp;BG33+0.01)),BG33))</f>
        <v>7704.85920380952</v>
      </c>
      <c r="BV33" s="92" t="n">
        <f aca="false">IF(AF33&gt;=BH33,0,IFERROR(BH33+SUMPRODUCT((AF$4:AF$503&gt;=BH$4:BH$503)*(AF$4:AF$503-BH$4:BH$503))/MAX(1,COUNTIF(AF$4:AF$503,"&lt;"&amp;BH33+0.01)),BH33))</f>
        <v>9942.6503831579</v>
      </c>
      <c r="BW33" s="92" t="n">
        <f aca="false">IF(AG33&gt;=BI33,0,IFERROR(BI33+SUMPRODUCT((AG$4:AG$503&gt;=BI$4:BI$503)*(AG$4:AG$503-BI$4:BI$503))/MAX(1,COUNTIF(AG$4:AG$503,"&lt;"&amp;BI33+0.01)),BI33))</f>
        <v>0</v>
      </c>
      <c r="BX33" s="92" t="n">
        <f aca="false">IF(AH33&gt;=BJ33,0,IFERROR(BJ33+SUMPRODUCT((AH$4:AH$503&gt;=BJ$4:BJ$503)*(AH$4:AH$503-BJ$4:BJ$503))/MAX(1,COUNTIF(AH$4:AH$503,"&lt;"&amp;BJ33+0.01)),BJ33))</f>
        <v>0</v>
      </c>
      <c r="BY33" s="92" t="n">
        <f aca="false">IF(AI33&gt;=BK33,0,IFERROR(BK33+SUMPRODUCT((AI$4:AI$503&gt;=BK$4:BK$503)*(AI$4:AI$503-BK$4:BK$503))/MAX(1,COUNTIF(AI$4:AI$503,"&lt;"&amp;BK33+0.01)),BK33))</f>
        <v>0</v>
      </c>
      <c r="BZ33" s="92" t="n">
        <f aca="false">IF(AJ33&gt;=BL33,0,IFERROR(BL33+SUMPRODUCT((AJ$4:AJ$503&gt;=BL$4:BL$503)*(AJ$4:AJ$503-BL$4:BL$503))/MAX(1,COUNTIF(AJ$4:AJ$503,"&lt;"&amp;BL33+0.01)),BL33))</f>
        <v>6710.03292307692</v>
      </c>
      <c r="CA33" s="92" t="n">
        <f aca="false">IF(AK33&gt;=BM33,0,IFERROR(BM33+SUMPRODUCT((AK$4:AK$503&gt;=BM$4:BM$503)*(AK$4:AK$503-BM$4:BM$503))/MAX(1,COUNTIF(AK$4:AK$503,"&lt;"&amp;BM33+0.01)),BM33))</f>
        <v>0</v>
      </c>
      <c r="CB33" s="93" t="n">
        <f aca="false">IF(AL33&gt;=BN33,0,IFERROR(BN33+SUMPRODUCT((AL$4:AL$503&gt;=BN$4:BN$503)*(AL$4:AL$503-BN$4:BN$503))/MAX(1,COUNTIF(AL$4:AL$503,"&lt;"&amp;BN33+0.01)),BN33))</f>
        <v>0</v>
      </c>
      <c r="CC33" s="95" t="str">
        <f aca="false">IF(AO33="🟢","VERDE",IF(AO33="🟡","AMARELO",IF(AO33="🟠","VERMELHO",IF(AO33="🔴","VERMELHO","ROXO"))))</f>
        <v>VERMELHO</v>
      </c>
      <c r="CD33" s="96" t="s">
        <v>103</v>
      </c>
      <c r="CE33" s="96" t="s">
        <v>104</v>
      </c>
    </row>
    <row r="34" customFormat="false" ht="14.25" hidden="false" customHeight="true" outlineLevel="0" collapsed="false">
      <c r="A34" s="65" t="s">
        <v>194</v>
      </c>
      <c r="B34" s="66" t="s">
        <v>195</v>
      </c>
      <c r="C34" s="66" t="s">
        <v>110</v>
      </c>
      <c r="D34" s="68" t="s">
        <v>184</v>
      </c>
      <c r="E34" s="69" t="s">
        <v>196</v>
      </c>
      <c r="F34" s="70" t="n">
        <f aca="false">IFERROR(VLOOKUP(C34,$AS$3:$AT$10,2,FALSE()),IFERROR(VLOOKUP(C34,$AS$15:$AT$22,2,FALSE()),""))</f>
        <v>15</v>
      </c>
      <c r="G34" s="71" t="n">
        <f aca="false">IFERROR(VLOOKUP(C34,$AS$3:$AX$10,6,FALSE()),IFERROR(VLOOKUP(C34,$AS$15:$AX$22,6,FALSE()),""))</f>
        <v>0.621111876107332</v>
      </c>
      <c r="H34" s="72" t="str">
        <f aca="false">IFERROR(VLOOKUP(C34,$AS$3:$AY$10,7,FALSE()),IFERROR(VLOOKUP(C34,$AS$15:$AY$22,7,FALSE()),""))</f>
        <v>🟢 VERDE</v>
      </c>
      <c r="I34" s="72" t="str">
        <f aca="false">IFERROR(VLOOKUP(C34,$AS$3:$AZ$10,8,FALSE()),IFERROR(VLOOKUP(C34,$AS$15:$AZ$22,8,FALSE()),""))</f>
        <v>JBP</v>
      </c>
      <c r="J34" s="73"/>
      <c r="K34" s="69" t="s">
        <v>107</v>
      </c>
      <c r="L34" s="74" t="n">
        <v>29329.53</v>
      </c>
      <c r="M34" s="75" t="n">
        <v>2061.07</v>
      </c>
      <c r="N34" s="75" t="n">
        <v>2153.75</v>
      </c>
      <c r="O34" s="75" t="n">
        <v>2205.65</v>
      </c>
      <c r="P34" s="75" t="n">
        <v>2263.1</v>
      </c>
      <c r="Q34" s="75" t="n">
        <v>2337.24</v>
      </c>
      <c r="R34" s="75" t="n">
        <v>2398.41</v>
      </c>
      <c r="S34" s="75" t="n">
        <v>2491.08</v>
      </c>
      <c r="T34" s="75" t="n">
        <v>2552.25</v>
      </c>
      <c r="U34" s="75" t="n">
        <v>2609.71</v>
      </c>
      <c r="V34" s="75" t="n">
        <v>2674.58</v>
      </c>
      <c r="W34" s="75" t="n">
        <v>2745.01</v>
      </c>
      <c r="X34" s="76" t="n">
        <v>2837.68</v>
      </c>
      <c r="Y34" s="77" t="s">
        <v>20</v>
      </c>
      <c r="Z34" s="78" t="n">
        <f aca="false">SUM(AA34:AL34)</f>
        <v>20602.15</v>
      </c>
      <c r="AA34" s="75"/>
      <c r="AB34" s="75"/>
      <c r="AC34" s="75"/>
      <c r="AD34" s="75"/>
      <c r="AE34" s="75"/>
      <c r="AF34" s="75"/>
      <c r="AG34" s="75"/>
      <c r="AH34" s="75"/>
      <c r="AI34" s="79" t="n">
        <v>4972.49</v>
      </c>
      <c r="AJ34" s="75" t="n">
        <v>7929.84</v>
      </c>
      <c r="AK34" s="79" t="n">
        <v>7699.82</v>
      </c>
      <c r="AL34" s="76"/>
      <c r="AM34" s="56" t="s">
        <v>20</v>
      </c>
      <c r="AN34" s="80" t="n">
        <f aca="false">IF(L34=0,0,Z34/L34)</f>
        <v>0.70243710008309</v>
      </c>
      <c r="AO34" s="81" t="str">
        <f aca="false">IF(AN34="","",IF(AN34&gt;=0.9,"🟢",IF(AN34&gt;=0.7,"🟡",IF(AN34&gt;=0.5,"🟠","🔴"))))</f>
        <v>🟡</v>
      </c>
      <c r="AP34" s="82" t="n">
        <f aca="false">IF(L34=0,0,L34-Z34)</f>
        <v>8727.38</v>
      </c>
      <c r="AQ34" s="83" t="n">
        <f aca="false">IF(AP34=0,"",RANK(AP34,AP$4:AP$503,0))</f>
        <v>69</v>
      </c>
      <c r="AR34" s="84" t="s">
        <v>20</v>
      </c>
      <c r="AS34" s="132" t="s">
        <v>197</v>
      </c>
      <c r="AT34" s="119"/>
      <c r="AU34" s="119"/>
      <c r="AV34" s="119"/>
      <c r="AW34" s="119"/>
      <c r="AX34" s="119"/>
      <c r="AY34" s="133"/>
      <c r="AZ34" s="133"/>
      <c r="BA34" s="56" t="s">
        <v>20</v>
      </c>
      <c r="BB34" s="91" t="n">
        <f aca="false">SUM(L$4:L$503)/COUNTA(A$4:A$503)</f>
        <v>9494.39992</v>
      </c>
      <c r="BC34" s="92" t="n">
        <f aca="false">SUM(M$4:M$503)/COUNTA(A$4:A$503)</f>
        <v>667.20008</v>
      </c>
      <c r="BD34" s="92" t="n">
        <f aca="false">SUM(N$4:N$503)/COUNTA(A$4:A$503)</f>
        <v>697.19996</v>
      </c>
      <c r="BE34" s="92" t="n">
        <f aca="false">SUM(O$4:O$503)/COUNTA(A$4:A$503)</f>
        <v>713.9999</v>
      </c>
      <c r="BF34" s="92" t="n">
        <f aca="false">SUM(P$4:P$503)/COUNTA(A$4:A$503)</f>
        <v>732.59984</v>
      </c>
      <c r="BG34" s="92" t="n">
        <f aca="false">SUM(Q$4:Q$503)/COUNTA(A$4:A$503)</f>
        <v>756.59992</v>
      </c>
      <c r="BH34" s="92" t="n">
        <f aca="false">SUM(R$4:R$503)/COUNTA(A$4:A$503)</f>
        <v>776.40004</v>
      </c>
      <c r="BI34" s="92" t="n">
        <f aca="false">SUM(S$4:S$503)/COUNTA(A$4:A$503)</f>
        <v>806.40012</v>
      </c>
      <c r="BJ34" s="92" t="n">
        <f aca="false">SUM(T$4:T$503)/COUNTA(A$4:A$503)</f>
        <v>826.1999</v>
      </c>
      <c r="BK34" s="92" t="n">
        <f aca="false">SUM(U$4:U$503)/COUNTA(A$4:A$503)</f>
        <v>844.8002</v>
      </c>
      <c r="BL34" s="92" t="n">
        <f aca="false">SUM(V$4:V$503)/COUNTA(A$4:A$503)</f>
        <v>865.7998</v>
      </c>
      <c r="BM34" s="92" t="n">
        <f aca="false">SUM(W$4:W$503)/COUNTA(A$4:A$503)</f>
        <v>888.59982</v>
      </c>
      <c r="BN34" s="93" t="n">
        <f aca="false">SUM(X$4:X$503)/COUNTA(A$4:A$503)</f>
        <v>918.60034</v>
      </c>
      <c r="BO34" s="94" t="s">
        <v>20</v>
      </c>
      <c r="BP34" s="91" t="n">
        <f aca="false">IF(Z34&gt;=BB34,0,IFERROR(BB34+(SUMPRODUCT((Z$4:Z$503&gt;=BB$4:BB$503)*(Z$4:Z$503-BB$4:BB$503))/MAX(1,COUNTIF(Z$4:Z$503,"&lt;"&amp;BB34+0.01))),BB34))</f>
        <v>0</v>
      </c>
      <c r="BQ34" s="92" t="n">
        <f aca="false">IF(AA34&gt;=BC34,0,IFERROR(BC34+SUMPRODUCT((AA$4:AA$503&gt;=BC$4:BC$503)*(AA$4:AA$503-BC$4:BC$503))/MAX(1,COUNTIF(AA$4:AA$503,"&lt;"&amp;BC34+0.01)),BC34))</f>
        <v>2238.46589176471</v>
      </c>
      <c r="BR34" s="92" t="n">
        <f aca="false">IF(AB34&gt;=BD34,0,IFERROR(BD34+SUMPRODUCT((AB$4:AB$503&gt;=BD$4:BD$503)*(AB$4:AB$503-BD$4:BD$503))/MAX(1,COUNTIF(AB$4:AB$503,"&lt;"&amp;BD34+0.01)),BD34))</f>
        <v>3335.2938</v>
      </c>
      <c r="BS34" s="92" t="n">
        <f aca="false">IF(AC34&gt;=BE34,0,IFERROR(BE34+SUMPRODUCT((AC$4:AC$503&gt;=BE$4:BE$503)*(AC$4:AC$503-BE$4:BE$503))/MAX(1,COUNTIF(AC$4:AC$503,"&lt;"&amp;BE34+0.01)),BE34))</f>
        <v>6188.73352</v>
      </c>
      <c r="BT34" s="92" t="n">
        <f aca="false">IF(AD34&gt;=BF34,0,IFERROR(BF34+SUMPRODUCT((AD$4:AD$503&gt;=BF$4:BF$503)*(AD$4:AD$503-BF$4:BF$503))/MAX(1,COUNTIF(AD$4:AD$503,"&lt;"&amp;BF34+0.01)),BF34))</f>
        <v>11354.35411</v>
      </c>
      <c r="BU34" s="92" t="n">
        <f aca="false">IF(AE34&gt;=BG34,0,IFERROR(BG34+SUMPRODUCT((AE$4:AE$503&gt;=BG$4:BG$503)*(AE$4:AE$503-BG$4:BG$503))/MAX(1,COUNTIF(AE$4:AE$503,"&lt;"&amp;BG34+0.01)),BG34))</f>
        <v>7704.85920380952</v>
      </c>
      <c r="BV34" s="92" t="n">
        <f aca="false">IF(AF34&gt;=BH34,0,IFERROR(BH34+SUMPRODUCT((AF$4:AF$503&gt;=BH$4:BH$503)*(AF$4:AF$503-BH$4:BH$503))/MAX(1,COUNTIF(AF$4:AF$503,"&lt;"&amp;BH34+0.01)),BH34))</f>
        <v>9942.6503831579</v>
      </c>
      <c r="BW34" s="92" t="n">
        <f aca="false">IF(AG34&gt;=BI34,0,IFERROR(BI34+SUMPRODUCT((AG$4:AG$503&gt;=BI$4:BI$503)*(AG$4:AG$503-BI$4:BI$503))/MAX(1,COUNTIF(AG$4:AG$503,"&lt;"&amp;BI34+0.01)),BI34))</f>
        <v>9142.15870461538</v>
      </c>
      <c r="BX34" s="92" t="n">
        <f aca="false">IF(AH34&gt;=BJ34,0,IFERROR(BJ34+SUMPRODUCT((AH$4:AH$503&gt;=BJ$4:BJ$503)*(AH$4:AH$503-BJ$4:BJ$503))/MAX(1,COUNTIF(AH$4:AH$503,"&lt;"&amp;BJ34+0.01)),BJ34))</f>
        <v>5621.50263448276</v>
      </c>
      <c r="BY34" s="92" t="n">
        <f aca="false">IF(AI34&gt;=BK34,0,IFERROR(BK34+SUMPRODUCT((AI$4:AI$503&gt;=BK$4:BK$503)*(AI$4:AI$503-BK$4:BK$503))/MAX(1,COUNTIF(AI$4:AI$503,"&lt;"&amp;BK34+0.01)),BK34))</f>
        <v>0</v>
      </c>
      <c r="BZ34" s="92" t="n">
        <f aca="false">IF(AJ34&gt;=BL34,0,IFERROR(BL34+SUMPRODUCT((AJ$4:AJ$503&gt;=BL$4:BL$503)*(AJ$4:AJ$503-BL$4:BL$503))/MAX(1,COUNTIF(AJ$4:AJ$503,"&lt;"&amp;BL34+0.01)),BL34))</f>
        <v>0</v>
      </c>
      <c r="CA34" s="92" t="n">
        <f aca="false">IF(AK34&gt;=BM34,0,IFERROR(BM34+SUMPRODUCT((AK$4:AK$503&gt;=BM$4:BM$503)*(AK$4:AK$503-BM$4:BM$503))/MAX(1,COUNTIF(AK$4:AK$503,"&lt;"&amp;BM34+0.01)),BM34))</f>
        <v>0</v>
      </c>
      <c r="CB34" s="93" t="n">
        <f aca="false">IF(AL34&gt;=BN34,0,IFERROR(BN34+SUMPRODUCT((AL$4:AL$503&gt;=BN$4:BN$503)*(AL$4:AL$503-BN$4:BN$503))/MAX(1,COUNTIF(AL$4:AL$503,"&lt;"&amp;BN34+0.01)),BN34))</f>
        <v>3597.2614925</v>
      </c>
      <c r="CC34" s="95" t="str">
        <f aca="false">IF(AO34="🟢","VERDE",IF(AO34="🟡","AMARELO",IF(AO34="🟠","VERMELHO",IF(AO34="🔴","VERMELHO","ROXO"))))</f>
        <v>AMARELO</v>
      </c>
      <c r="CD34" s="96" t="s">
        <v>176</v>
      </c>
      <c r="CE34" s="96" t="s">
        <v>110</v>
      </c>
    </row>
    <row r="35" customFormat="false" ht="14.25" hidden="false" customHeight="true" outlineLevel="0" collapsed="false">
      <c r="A35" s="65" t="s">
        <v>198</v>
      </c>
      <c r="B35" s="66" t="s">
        <v>199</v>
      </c>
      <c r="C35" s="67" t="s">
        <v>123</v>
      </c>
      <c r="D35" s="68" t="s">
        <v>100</v>
      </c>
      <c r="E35" s="56" t="s">
        <v>20</v>
      </c>
      <c r="F35" s="70" t="n">
        <f aca="false">IFERROR(VLOOKUP(C35,$AS$3:$AT$10,2,FALSE()),IFERROR(VLOOKUP(C35,$AS$15:$AT$22,2,FALSE()),""))</f>
        <v>49</v>
      </c>
      <c r="G35" s="71" t="n">
        <f aca="false">IFERROR(VLOOKUP(C35,$AS$3:$AX$10,6,FALSE()),IFERROR(VLOOKUP(C35,$AS$15:$AX$22,6,FALSE()),""))</f>
        <v>0.436391353881959</v>
      </c>
      <c r="H35" s="72" t="str">
        <f aca="false">IFERROR(VLOOKUP(C35,$AS$3:$AY$10,7,FALSE()),IFERROR(VLOOKUP(C35,$AS$15:$AY$22,7,FALSE()),""))</f>
        <v>🟡 AMARELO</v>
      </c>
      <c r="I35" s="72" t="str">
        <f aca="false">IFERROR(VLOOKUP(C35,$AS$3:$AZ$10,8,FALSE()),IFERROR(VLOOKUP(C35,$AS$15:$AZ$22,8,FALSE()),""))</f>
        <v>Sell Out</v>
      </c>
      <c r="J35" s="73"/>
      <c r="K35" s="56" t="s">
        <v>20</v>
      </c>
      <c r="L35" s="74" t="n">
        <v>28008.92</v>
      </c>
      <c r="M35" s="75" t="n">
        <v>1968.27</v>
      </c>
      <c r="N35" s="75" t="n">
        <v>2056.77</v>
      </c>
      <c r="O35" s="75" t="n">
        <v>2106.33</v>
      </c>
      <c r="P35" s="75" t="n">
        <v>2161.2</v>
      </c>
      <c r="Q35" s="75" t="n">
        <v>2232.01</v>
      </c>
      <c r="R35" s="75" t="n">
        <v>2290.42</v>
      </c>
      <c r="S35" s="75" t="n">
        <v>2378.92</v>
      </c>
      <c r="T35" s="75" t="n">
        <v>2437.33</v>
      </c>
      <c r="U35" s="75" t="n">
        <v>2492.2</v>
      </c>
      <c r="V35" s="75" t="n">
        <v>2554.15</v>
      </c>
      <c r="W35" s="75" t="n">
        <v>2621.41</v>
      </c>
      <c r="X35" s="76" t="n">
        <v>2709.91</v>
      </c>
      <c r="Y35" s="77" t="s">
        <v>20</v>
      </c>
      <c r="Z35" s="78" t="n">
        <f aca="false">SUM(AA35:AL35)</f>
        <v>11806.55</v>
      </c>
      <c r="AA35" s="75"/>
      <c r="AB35" s="75" t="n">
        <v>2467.18</v>
      </c>
      <c r="AC35" s="75" t="n">
        <v>1269.48</v>
      </c>
      <c r="AD35" s="75" t="n">
        <v>1209.18</v>
      </c>
      <c r="AE35" s="75"/>
      <c r="AF35" s="75" t="n">
        <v>1343.43</v>
      </c>
      <c r="AG35" s="75" t="n">
        <v>1821.6</v>
      </c>
      <c r="AH35" s="75"/>
      <c r="AI35" s="75" t="n">
        <v>1215.54</v>
      </c>
      <c r="AJ35" s="75" t="n">
        <v>1173.83</v>
      </c>
      <c r="AK35" s="75" t="n">
        <v>1306.31</v>
      </c>
      <c r="AL35" s="76"/>
      <c r="AM35" s="56" t="s">
        <v>20</v>
      </c>
      <c r="AN35" s="80" t="n">
        <f aca="false">IF(L35=0,0,Z35/L35)</f>
        <v>0.421528213154952</v>
      </c>
      <c r="AO35" s="81" t="str">
        <f aca="false">IF(AN35="","",IF(AN35&gt;=0.9,"🟢",IF(AN35&gt;=0.7,"🟡",IF(AN35&gt;=0.5,"🟠","🔴"))))</f>
        <v>🔴</v>
      </c>
      <c r="AP35" s="82" t="n">
        <f aca="false">IF(L35=0,0,L35-Z35)</f>
        <v>16202.37</v>
      </c>
      <c r="AQ35" s="83" t="n">
        <f aca="false">IF(AP35=0,"",RANK(AP35,AP$4:AP$503,0))</f>
        <v>30</v>
      </c>
      <c r="AR35" s="84" t="s">
        <v>20</v>
      </c>
      <c r="AS35" s="132" t="s">
        <v>200</v>
      </c>
      <c r="AT35" s="119"/>
      <c r="AU35" s="119"/>
      <c r="AV35" s="119"/>
      <c r="AW35" s="119"/>
      <c r="AX35" s="119"/>
      <c r="AY35" s="133"/>
      <c r="AZ35" s="133"/>
      <c r="BA35" s="56" t="s">
        <v>20</v>
      </c>
      <c r="BB35" s="91" t="n">
        <f aca="false">SUM(L$4:L$503)/COUNTA(A$4:A$503)</f>
        <v>9494.39992</v>
      </c>
      <c r="BC35" s="92" t="n">
        <f aca="false">SUM(M$4:M$503)/COUNTA(A$4:A$503)</f>
        <v>667.20008</v>
      </c>
      <c r="BD35" s="92" t="n">
        <f aca="false">SUM(N$4:N$503)/COUNTA(A$4:A$503)</f>
        <v>697.19996</v>
      </c>
      <c r="BE35" s="92" t="n">
        <f aca="false">SUM(O$4:O$503)/COUNTA(A$4:A$503)</f>
        <v>713.9999</v>
      </c>
      <c r="BF35" s="92" t="n">
        <f aca="false">SUM(P$4:P$503)/COUNTA(A$4:A$503)</f>
        <v>732.59984</v>
      </c>
      <c r="BG35" s="92" t="n">
        <f aca="false">SUM(Q$4:Q$503)/COUNTA(A$4:A$503)</f>
        <v>756.59992</v>
      </c>
      <c r="BH35" s="92" t="n">
        <f aca="false">SUM(R$4:R$503)/COUNTA(A$4:A$503)</f>
        <v>776.40004</v>
      </c>
      <c r="BI35" s="92" t="n">
        <f aca="false">SUM(S$4:S$503)/COUNTA(A$4:A$503)</f>
        <v>806.40012</v>
      </c>
      <c r="BJ35" s="92" t="n">
        <f aca="false">SUM(T$4:T$503)/COUNTA(A$4:A$503)</f>
        <v>826.1999</v>
      </c>
      <c r="BK35" s="92" t="n">
        <f aca="false">SUM(U$4:U$503)/COUNTA(A$4:A$503)</f>
        <v>844.8002</v>
      </c>
      <c r="BL35" s="92" t="n">
        <f aca="false">SUM(V$4:V$503)/COUNTA(A$4:A$503)</f>
        <v>865.7998</v>
      </c>
      <c r="BM35" s="92" t="n">
        <f aca="false">SUM(W$4:W$503)/COUNTA(A$4:A$503)</f>
        <v>888.59982</v>
      </c>
      <c r="BN35" s="93" t="n">
        <f aca="false">SUM(X$4:X$503)/COUNTA(A$4:A$503)</f>
        <v>918.60034</v>
      </c>
      <c r="BO35" s="94" t="s">
        <v>20</v>
      </c>
      <c r="BP35" s="91" t="n">
        <f aca="false">IF(Z35&gt;=BB35,0,IFERROR(BB35+(SUMPRODUCT((Z$4:Z$503&gt;=BB$4:BB$503)*(Z$4:Z$503-BB$4:BB$503))/MAX(1,COUNTIF(Z$4:Z$503,"&lt;"&amp;BB35+0.01))),BB35))</f>
        <v>0</v>
      </c>
      <c r="BQ35" s="92" t="n">
        <f aca="false">IF(AA35&gt;=BC35,0,IFERROR(BC35+SUMPRODUCT((AA$4:AA$503&gt;=BC$4:BC$503)*(AA$4:AA$503-BC$4:BC$503))/MAX(1,COUNTIF(AA$4:AA$503,"&lt;"&amp;BC35+0.01)),BC35))</f>
        <v>2238.46589176471</v>
      </c>
      <c r="BR35" s="92" t="n">
        <f aca="false">IF(AB35&gt;=BD35,0,IFERROR(BD35+SUMPRODUCT((AB$4:AB$503&gt;=BD$4:BD$503)*(AB$4:AB$503-BD$4:BD$503))/MAX(1,COUNTIF(AB$4:AB$503,"&lt;"&amp;BD35+0.01)),BD35))</f>
        <v>0</v>
      </c>
      <c r="BS35" s="92" t="n">
        <f aca="false">IF(AC35&gt;=BE35,0,IFERROR(BE35+SUMPRODUCT((AC$4:AC$503&gt;=BE$4:BE$503)*(AC$4:AC$503-BE$4:BE$503))/MAX(1,COUNTIF(AC$4:AC$503,"&lt;"&amp;BE35+0.01)),BE35))</f>
        <v>0</v>
      </c>
      <c r="BT35" s="92" t="n">
        <f aca="false">IF(AD35&gt;=BF35,0,IFERROR(BF35+SUMPRODUCT((AD$4:AD$503&gt;=BF$4:BF$503)*(AD$4:AD$503-BF$4:BF$503))/MAX(1,COUNTIF(AD$4:AD$503,"&lt;"&amp;BF35+0.01)),BF35))</f>
        <v>0</v>
      </c>
      <c r="BU35" s="92" t="n">
        <f aca="false">IF(AE35&gt;=BG35,0,IFERROR(BG35+SUMPRODUCT((AE$4:AE$503&gt;=BG$4:BG$503)*(AE$4:AE$503-BG$4:BG$503))/MAX(1,COUNTIF(AE$4:AE$503,"&lt;"&amp;BG35+0.01)),BG35))</f>
        <v>7704.85920380952</v>
      </c>
      <c r="BV35" s="92" t="n">
        <f aca="false">IF(AF35&gt;=BH35,0,IFERROR(BH35+SUMPRODUCT((AF$4:AF$503&gt;=BH$4:BH$503)*(AF$4:AF$503-BH$4:BH$503))/MAX(1,COUNTIF(AF$4:AF$503,"&lt;"&amp;BH35+0.01)),BH35))</f>
        <v>0</v>
      </c>
      <c r="BW35" s="92" t="n">
        <f aca="false">IF(AG35&gt;=BI35,0,IFERROR(BI35+SUMPRODUCT((AG$4:AG$503&gt;=BI$4:BI$503)*(AG$4:AG$503-BI$4:BI$503))/MAX(1,COUNTIF(AG$4:AG$503,"&lt;"&amp;BI35+0.01)),BI35))</f>
        <v>0</v>
      </c>
      <c r="BX35" s="92" t="n">
        <f aca="false">IF(AH35&gt;=BJ35,0,IFERROR(BJ35+SUMPRODUCT((AH$4:AH$503&gt;=BJ$4:BJ$503)*(AH$4:AH$503-BJ$4:BJ$503))/MAX(1,COUNTIF(AH$4:AH$503,"&lt;"&amp;BJ35+0.01)),BJ35))</f>
        <v>5621.50263448276</v>
      </c>
      <c r="BY35" s="92" t="n">
        <f aca="false">IF(AI35&gt;=BK35,0,IFERROR(BK35+SUMPRODUCT((AI$4:AI$503&gt;=BK$4:BK$503)*(AI$4:AI$503-BK$4:BK$503))/MAX(1,COUNTIF(AI$4:AI$503,"&lt;"&amp;BK35+0.01)),BK35))</f>
        <v>0</v>
      </c>
      <c r="BZ35" s="92" t="n">
        <f aca="false">IF(AJ35&gt;=BL35,0,IFERROR(BL35+SUMPRODUCT((AJ$4:AJ$503&gt;=BL$4:BL$503)*(AJ$4:AJ$503-BL$4:BL$503))/MAX(1,COUNTIF(AJ$4:AJ$503,"&lt;"&amp;BL35+0.01)),BL35))</f>
        <v>0</v>
      </c>
      <c r="CA35" s="92" t="n">
        <f aca="false">IF(AK35&gt;=BM35,0,IFERROR(BM35+SUMPRODUCT((AK$4:AK$503&gt;=BM$4:BM$503)*(AK$4:AK$503-BM$4:BM$503))/MAX(1,COUNTIF(AK$4:AK$503,"&lt;"&amp;BM35+0.01)),BM35))</f>
        <v>0</v>
      </c>
      <c r="CB35" s="93" t="n">
        <f aca="false">IF(AL35&gt;=BN35,0,IFERROR(BN35+SUMPRODUCT((AL$4:AL$503&gt;=BN$4:BN$503)*(AL$4:AL$503-BN$4:BN$503))/MAX(1,COUNTIF(AL$4:AL$503,"&lt;"&amp;BN35+0.01)),BN35))</f>
        <v>3597.2614925</v>
      </c>
      <c r="CC35" s="95" t="str">
        <f aca="false">IF(AO35="🟢","VERDE",IF(AO35="🟡","AMARELO",IF(AO35="🟠","VERMELHO",IF(AO35="🔴","VERMELHO","ROXO"))))</f>
        <v>VERMELHO</v>
      </c>
      <c r="CD35" s="96" t="s">
        <v>103</v>
      </c>
      <c r="CE35" s="96" t="s">
        <v>104</v>
      </c>
    </row>
    <row r="36" customFormat="false" ht="14.25" hidden="false" customHeight="true" outlineLevel="0" collapsed="false">
      <c r="A36" s="65" t="s">
        <v>201</v>
      </c>
      <c r="B36" s="66" t="s">
        <v>202</v>
      </c>
      <c r="C36" s="66" t="s">
        <v>66</v>
      </c>
      <c r="D36" s="68" t="s">
        <v>175</v>
      </c>
      <c r="E36" s="69" t="s">
        <v>139</v>
      </c>
      <c r="F36" s="70" t="n">
        <f aca="false">IFERROR(VLOOKUP(C36,$AS$3:$AT$10,2,FALSE()),IFERROR(VLOOKUP(C36,$AS$15:$AT$22,2,FALSE()),""))</f>
        <v>44</v>
      </c>
      <c r="G36" s="71" t="n">
        <f aca="false">IFERROR(VLOOKUP(C36,$AS$3:$AX$10,6,FALSE()),IFERROR(VLOOKUP(C36,$AS$15:$AX$22,6,FALSE()),""))</f>
        <v>0.496839506257363</v>
      </c>
      <c r="H36" s="72" t="str">
        <f aca="false">IFERROR(VLOOKUP(C36,$AS$3:$AY$10,7,FALSE()),IFERROR(VLOOKUP(C36,$AS$15:$AY$22,7,FALSE()),""))</f>
        <v>🟡 AMARELO</v>
      </c>
      <c r="I36" s="72" t="str">
        <f aca="false">IFERROR(VLOOKUP(C36,$AS$3:$AZ$10,8,FALSE()),IFERROR(VLOOKUP(C36,$AS$15:$AZ$22,8,FALSE()),""))</f>
        <v>Sell Out</v>
      </c>
      <c r="J36" s="73"/>
      <c r="K36" s="69" t="s">
        <v>107</v>
      </c>
      <c r="L36" s="74" t="n">
        <v>26747.07</v>
      </c>
      <c r="M36" s="75" t="n">
        <v>1879.6</v>
      </c>
      <c r="N36" s="75" t="n">
        <v>1964.11</v>
      </c>
      <c r="O36" s="75" t="n">
        <v>2011.44</v>
      </c>
      <c r="P36" s="75" t="n">
        <v>2063.84</v>
      </c>
      <c r="Q36" s="75" t="n">
        <v>2131.45</v>
      </c>
      <c r="R36" s="75" t="n">
        <v>2187.23</v>
      </c>
      <c r="S36" s="75" t="n">
        <v>2271.74</v>
      </c>
      <c r="T36" s="75" t="n">
        <v>2327.52</v>
      </c>
      <c r="U36" s="75" t="n">
        <v>2379.92</v>
      </c>
      <c r="V36" s="75" t="n">
        <v>2439.08</v>
      </c>
      <c r="W36" s="75" t="n">
        <v>2503.31</v>
      </c>
      <c r="X36" s="76" t="n">
        <v>2587.83</v>
      </c>
      <c r="Y36" s="77" t="s">
        <v>20</v>
      </c>
      <c r="Z36" s="78" t="n">
        <f aca="false">SUM(AA36:AL36)</f>
        <v>13868</v>
      </c>
      <c r="AA36" s="75"/>
      <c r="AB36" s="75"/>
      <c r="AC36" s="75"/>
      <c r="AD36" s="75"/>
      <c r="AE36" s="75"/>
      <c r="AF36" s="79" t="n">
        <v>2643.25</v>
      </c>
      <c r="AG36" s="79" t="n">
        <v>1678.98</v>
      </c>
      <c r="AH36" s="79" t="n">
        <v>4220.08</v>
      </c>
      <c r="AI36" s="75" t="n">
        <v>2074.89</v>
      </c>
      <c r="AJ36" s="79" t="n">
        <v>2035.8</v>
      </c>
      <c r="AK36" s="79" t="n">
        <v>1215</v>
      </c>
      <c r="AL36" s="76"/>
      <c r="AM36" s="56" t="s">
        <v>20</v>
      </c>
      <c r="AN36" s="80" t="n">
        <f aca="false">IF(L36=0,0,Z36/L36)</f>
        <v>0.51848669779531</v>
      </c>
      <c r="AO36" s="81" t="str">
        <f aca="false">IF(AN36="","",IF(AN36&gt;=0.9,"🟢",IF(AN36&gt;=0.7,"🟡",IF(AN36&gt;=0.5,"🟠","🔴"))))</f>
        <v>🟠</v>
      </c>
      <c r="AP36" s="82" t="n">
        <f aca="false">IF(L36=0,0,L36-Z36)</f>
        <v>12879.07</v>
      </c>
      <c r="AQ36" s="83" t="n">
        <f aca="false">IF(AP36=0,"",RANK(AP36,AP$4:AP$503,0))</f>
        <v>40</v>
      </c>
      <c r="AR36" s="84" t="s">
        <v>20</v>
      </c>
      <c r="AS36" s="134" t="s">
        <v>203</v>
      </c>
      <c r="AT36" s="135"/>
      <c r="AU36" s="135"/>
      <c r="AV36" s="135"/>
      <c r="AW36" s="135"/>
      <c r="AX36" s="135"/>
      <c r="AY36" s="136"/>
      <c r="AZ36" s="137"/>
      <c r="BA36" s="56" t="s">
        <v>20</v>
      </c>
      <c r="BB36" s="91" t="n">
        <f aca="false">SUM(L$4:L$503)/COUNTA(A$4:A$503)</f>
        <v>9494.39992</v>
      </c>
      <c r="BC36" s="92" t="n">
        <f aca="false">SUM(M$4:M$503)/COUNTA(A$4:A$503)</f>
        <v>667.20008</v>
      </c>
      <c r="BD36" s="92" t="n">
        <f aca="false">SUM(N$4:N$503)/COUNTA(A$4:A$503)</f>
        <v>697.19996</v>
      </c>
      <c r="BE36" s="92" t="n">
        <f aca="false">SUM(O$4:O$503)/COUNTA(A$4:A$503)</f>
        <v>713.9999</v>
      </c>
      <c r="BF36" s="92" t="n">
        <f aca="false">SUM(P$4:P$503)/COUNTA(A$4:A$503)</f>
        <v>732.59984</v>
      </c>
      <c r="BG36" s="92" t="n">
        <f aca="false">SUM(Q$4:Q$503)/COUNTA(A$4:A$503)</f>
        <v>756.59992</v>
      </c>
      <c r="BH36" s="92" t="n">
        <f aca="false">SUM(R$4:R$503)/COUNTA(A$4:A$503)</f>
        <v>776.40004</v>
      </c>
      <c r="BI36" s="92" t="n">
        <f aca="false">SUM(S$4:S$503)/COUNTA(A$4:A$503)</f>
        <v>806.40012</v>
      </c>
      <c r="BJ36" s="92" t="n">
        <f aca="false">SUM(T$4:T$503)/COUNTA(A$4:A$503)</f>
        <v>826.1999</v>
      </c>
      <c r="BK36" s="92" t="n">
        <f aca="false">SUM(U$4:U$503)/COUNTA(A$4:A$503)</f>
        <v>844.8002</v>
      </c>
      <c r="BL36" s="92" t="n">
        <f aca="false">SUM(V$4:V$503)/COUNTA(A$4:A$503)</f>
        <v>865.7998</v>
      </c>
      <c r="BM36" s="92" t="n">
        <f aca="false">SUM(W$4:W$503)/COUNTA(A$4:A$503)</f>
        <v>888.59982</v>
      </c>
      <c r="BN36" s="93" t="n">
        <f aca="false">SUM(X$4:X$503)/COUNTA(A$4:A$503)</f>
        <v>918.60034</v>
      </c>
      <c r="BO36" s="94" t="s">
        <v>20</v>
      </c>
      <c r="BP36" s="91" t="n">
        <f aca="false">IF(Z36&gt;=BB36,0,IFERROR(BB36+(SUMPRODUCT((Z$4:Z$503&gt;=BB$4:BB$503)*(Z$4:Z$503-BB$4:BB$503))/MAX(1,COUNTIF(Z$4:Z$503,"&lt;"&amp;BB36+0.01))),BB36))</f>
        <v>0</v>
      </c>
      <c r="BQ36" s="92" t="n">
        <f aca="false">IF(AA36&gt;=BC36,0,IFERROR(BC36+SUMPRODUCT((AA$4:AA$503&gt;=BC$4:BC$503)*(AA$4:AA$503-BC$4:BC$503))/MAX(1,COUNTIF(AA$4:AA$503,"&lt;"&amp;BC36+0.01)),BC36))</f>
        <v>2238.46589176471</v>
      </c>
      <c r="BR36" s="92" t="n">
        <f aca="false">IF(AB36&gt;=BD36,0,IFERROR(BD36+SUMPRODUCT((AB$4:AB$503&gt;=BD$4:BD$503)*(AB$4:AB$503-BD$4:BD$503))/MAX(1,COUNTIF(AB$4:AB$503,"&lt;"&amp;BD36+0.01)),BD36))</f>
        <v>3335.2938</v>
      </c>
      <c r="BS36" s="92" t="n">
        <f aca="false">IF(AC36&gt;=BE36,0,IFERROR(BE36+SUMPRODUCT((AC$4:AC$503&gt;=BE$4:BE$503)*(AC$4:AC$503-BE$4:BE$503))/MAX(1,COUNTIF(AC$4:AC$503,"&lt;"&amp;BE36+0.01)),BE36))</f>
        <v>6188.73352</v>
      </c>
      <c r="BT36" s="92" t="n">
        <f aca="false">IF(AD36&gt;=BF36,0,IFERROR(BF36+SUMPRODUCT((AD$4:AD$503&gt;=BF$4:BF$503)*(AD$4:AD$503-BF$4:BF$503))/MAX(1,COUNTIF(AD$4:AD$503,"&lt;"&amp;BF36+0.01)),BF36))</f>
        <v>11354.35411</v>
      </c>
      <c r="BU36" s="92" t="n">
        <f aca="false">IF(AE36&gt;=BG36,0,IFERROR(BG36+SUMPRODUCT((AE$4:AE$503&gt;=BG$4:BG$503)*(AE$4:AE$503-BG$4:BG$503))/MAX(1,COUNTIF(AE$4:AE$503,"&lt;"&amp;BG36+0.01)),BG36))</f>
        <v>7704.85920380952</v>
      </c>
      <c r="BV36" s="92" t="n">
        <f aca="false">IF(AF36&gt;=BH36,0,IFERROR(BH36+SUMPRODUCT((AF$4:AF$503&gt;=BH$4:BH$503)*(AF$4:AF$503-BH$4:BH$503))/MAX(1,COUNTIF(AF$4:AF$503,"&lt;"&amp;BH36+0.01)),BH36))</f>
        <v>0</v>
      </c>
      <c r="BW36" s="92" t="n">
        <f aca="false">IF(AG36&gt;=BI36,0,IFERROR(BI36+SUMPRODUCT((AG$4:AG$503&gt;=BI$4:BI$503)*(AG$4:AG$503-BI$4:BI$503))/MAX(1,COUNTIF(AG$4:AG$503,"&lt;"&amp;BI36+0.01)),BI36))</f>
        <v>0</v>
      </c>
      <c r="BX36" s="92" t="n">
        <f aca="false">IF(AH36&gt;=BJ36,0,IFERROR(BJ36+SUMPRODUCT((AH$4:AH$503&gt;=BJ$4:BJ$503)*(AH$4:AH$503-BJ$4:BJ$503))/MAX(1,COUNTIF(AH$4:AH$503,"&lt;"&amp;BJ36+0.01)),BJ36))</f>
        <v>0</v>
      </c>
      <c r="BY36" s="92" t="n">
        <f aca="false">IF(AI36&gt;=BK36,0,IFERROR(BK36+SUMPRODUCT((AI$4:AI$503&gt;=BK$4:BK$503)*(AI$4:AI$503-BK$4:BK$503))/MAX(1,COUNTIF(AI$4:AI$503,"&lt;"&amp;BK36+0.01)),BK36))</f>
        <v>0</v>
      </c>
      <c r="BZ36" s="92" t="n">
        <f aca="false">IF(AJ36&gt;=BL36,0,IFERROR(BL36+SUMPRODUCT((AJ$4:AJ$503&gt;=BL$4:BL$503)*(AJ$4:AJ$503-BL$4:BL$503))/MAX(1,COUNTIF(AJ$4:AJ$503,"&lt;"&amp;BL36+0.01)),BL36))</f>
        <v>0</v>
      </c>
      <c r="CA36" s="92" t="n">
        <f aca="false">IF(AK36&gt;=BM36,0,IFERROR(BM36+SUMPRODUCT((AK$4:AK$503&gt;=BM$4:BM$503)*(AK$4:AK$503-BM$4:BM$503))/MAX(1,COUNTIF(AK$4:AK$503,"&lt;"&amp;BM36+0.01)),BM36))</f>
        <v>0</v>
      </c>
      <c r="CB36" s="93" t="n">
        <f aca="false">IF(AL36&gt;=BN36,0,IFERROR(BN36+SUMPRODUCT((AL$4:AL$503&gt;=BN$4:BN$503)*(AL$4:AL$503-BN$4:BN$503))/MAX(1,COUNTIF(AL$4:AL$503,"&lt;"&amp;BN36+0.01)),BN36))</f>
        <v>3597.2614925</v>
      </c>
      <c r="CC36" s="95" t="str">
        <f aca="false">IF(AO36="🟢","VERDE",IF(AO36="🟡","AMARELO",IF(AO36="🟠","VERMELHO",IF(AO36="🔴","VERMELHO","ROXO"))))</f>
        <v>VERMELHO</v>
      </c>
      <c r="CD36" s="96" t="s">
        <v>176</v>
      </c>
      <c r="CE36" s="96" t="s">
        <v>66</v>
      </c>
    </row>
    <row r="37" customFormat="false" ht="14.25" hidden="false" customHeight="true" outlineLevel="0" collapsed="false">
      <c r="A37" s="65" t="s">
        <v>204</v>
      </c>
      <c r="B37" s="66" t="s">
        <v>205</v>
      </c>
      <c r="C37" s="66" t="s">
        <v>66</v>
      </c>
      <c r="D37" s="68" t="s">
        <v>175</v>
      </c>
      <c r="E37" s="69" t="s">
        <v>139</v>
      </c>
      <c r="F37" s="70" t="n">
        <f aca="false">IFERROR(VLOOKUP(C37,$AS$3:$AT$10,2,FALSE()),IFERROR(VLOOKUP(C37,$AS$15:$AT$22,2,FALSE()),""))</f>
        <v>44</v>
      </c>
      <c r="G37" s="71" t="n">
        <f aca="false">IFERROR(VLOOKUP(C37,$AS$3:$AX$10,6,FALSE()),IFERROR(VLOOKUP(C37,$AS$15:$AX$22,6,FALSE()),""))</f>
        <v>0.496839506257363</v>
      </c>
      <c r="H37" s="72" t="str">
        <f aca="false">IFERROR(VLOOKUP(C37,$AS$3:$AY$10,7,FALSE()),IFERROR(VLOOKUP(C37,$AS$15:$AY$22,7,FALSE()),""))</f>
        <v>🟡 AMARELO</v>
      </c>
      <c r="I37" s="72" t="str">
        <f aca="false">IFERROR(VLOOKUP(C37,$AS$3:$AZ$10,8,FALSE()),IFERROR(VLOOKUP(C37,$AS$15:$AZ$22,8,FALSE()),""))</f>
        <v>Sell Out</v>
      </c>
      <c r="J37" s="73"/>
      <c r="K37" s="69" t="s">
        <v>107</v>
      </c>
      <c r="L37" s="74" t="n">
        <v>26033.3</v>
      </c>
      <c r="M37" s="75" t="n">
        <v>1829.44</v>
      </c>
      <c r="N37" s="75" t="n">
        <v>1911.7</v>
      </c>
      <c r="O37" s="75" t="n">
        <v>1957.76</v>
      </c>
      <c r="P37" s="75" t="n">
        <v>2008.76</v>
      </c>
      <c r="Q37" s="75" t="n">
        <v>2074.57</v>
      </c>
      <c r="R37" s="75" t="n">
        <v>2128.86</v>
      </c>
      <c r="S37" s="75" t="n">
        <v>2211.12</v>
      </c>
      <c r="T37" s="75" t="n">
        <v>2265.41</v>
      </c>
      <c r="U37" s="75" t="n">
        <v>2316.41</v>
      </c>
      <c r="V37" s="75" t="n">
        <v>2373.99</v>
      </c>
      <c r="W37" s="75" t="n">
        <v>2436.51</v>
      </c>
      <c r="X37" s="76" t="n">
        <v>2518.77</v>
      </c>
      <c r="Y37" s="77" t="s">
        <v>20</v>
      </c>
      <c r="Z37" s="78" t="n">
        <f aca="false">SUM(AA37:AL37)</f>
        <v>10628.53</v>
      </c>
      <c r="AA37" s="75"/>
      <c r="AB37" s="75"/>
      <c r="AC37" s="79" t="n">
        <v>2366.06</v>
      </c>
      <c r="AD37" s="75"/>
      <c r="AE37" s="79" t="n">
        <v>686.12</v>
      </c>
      <c r="AF37" s="75"/>
      <c r="AG37" s="75" t="n">
        <v>1437.64</v>
      </c>
      <c r="AH37" s="79" t="n">
        <v>906.11</v>
      </c>
      <c r="AI37" s="79" t="n">
        <v>2748.6</v>
      </c>
      <c r="AJ37" s="79" t="n">
        <v>2484</v>
      </c>
      <c r="AK37" s="75"/>
      <c r="AL37" s="76"/>
      <c r="AM37" s="56" t="s">
        <v>20</v>
      </c>
      <c r="AN37" s="80" t="n">
        <f aca="false">IF(L37=0,0,Z37/L37)</f>
        <v>0.40826671993178</v>
      </c>
      <c r="AO37" s="81" t="str">
        <f aca="false">IF(AN37="","",IF(AN37&gt;=0.9,"🟢",IF(AN37&gt;=0.7,"🟡",IF(AN37&gt;=0.5,"🟠","🔴"))))</f>
        <v>🔴</v>
      </c>
      <c r="AP37" s="82" t="n">
        <f aca="false">IF(L37=0,0,L37-Z37)</f>
        <v>15404.77</v>
      </c>
      <c r="AQ37" s="83" t="n">
        <f aca="false">IF(AP37=0,"",RANK(AP37,AP$4:AP$503,0))</f>
        <v>32</v>
      </c>
      <c r="AR37" s="84" t="s">
        <v>20</v>
      </c>
      <c r="AS37" s="138" t="s">
        <v>206</v>
      </c>
      <c r="AT37" s="119"/>
      <c r="AU37" s="119"/>
      <c r="AV37" s="119"/>
      <c r="AW37" s="119"/>
      <c r="AX37" s="119"/>
      <c r="AY37" s="119"/>
      <c r="AZ37" s="120"/>
      <c r="BA37" s="56" t="s">
        <v>20</v>
      </c>
      <c r="BB37" s="91" t="n">
        <f aca="false">SUM(L$4:L$503)/COUNTA(A$4:A$503)</f>
        <v>9494.39992</v>
      </c>
      <c r="BC37" s="92" t="n">
        <f aca="false">SUM(M$4:M$503)/COUNTA(A$4:A$503)</f>
        <v>667.20008</v>
      </c>
      <c r="BD37" s="92" t="n">
        <f aca="false">SUM(N$4:N$503)/COUNTA(A$4:A$503)</f>
        <v>697.19996</v>
      </c>
      <c r="BE37" s="92" t="n">
        <f aca="false">SUM(O$4:O$503)/COUNTA(A$4:A$503)</f>
        <v>713.9999</v>
      </c>
      <c r="BF37" s="92" t="n">
        <f aca="false">SUM(P$4:P$503)/COUNTA(A$4:A$503)</f>
        <v>732.59984</v>
      </c>
      <c r="BG37" s="92" t="n">
        <f aca="false">SUM(Q$4:Q$503)/COUNTA(A$4:A$503)</f>
        <v>756.59992</v>
      </c>
      <c r="BH37" s="92" t="n">
        <f aca="false">SUM(R$4:R$503)/COUNTA(A$4:A$503)</f>
        <v>776.40004</v>
      </c>
      <c r="BI37" s="92" t="n">
        <f aca="false">SUM(S$4:S$503)/COUNTA(A$4:A$503)</f>
        <v>806.40012</v>
      </c>
      <c r="BJ37" s="92" t="n">
        <f aca="false">SUM(T$4:T$503)/COUNTA(A$4:A$503)</f>
        <v>826.1999</v>
      </c>
      <c r="BK37" s="92" t="n">
        <f aca="false">SUM(U$4:U$503)/COUNTA(A$4:A$503)</f>
        <v>844.8002</v>
      </c>
      <c r="BL37" s="92" t="n">
        <f aca="false">SUM(V$4:V$503)/COUNTA(A$4:A$503)</f>
        <v>865.7998</v>
      </c>
      <c r="BM37" s="92" t="n">
        <f aca="false">SUM(W$4:W$503)/COUNTA(A$4:A$503)</f>
        <v>888.59982</v>
      </c>
      <c r="BN37" s="93" t="n">
        <f aca="false">SUM(X$4:X$503)/COUNTA(A$4:A$503)</f>
        <v>918.60034</v>
      </c>
      <c r="BO37" s="94" t="s">
        <v>20</v>
      </c>
      <c r="BP37" s="91" t="n">
        <f aca="false">IF(Z37&gt;=BB37,0,IFERROR(BB37+(SUMPRODUCT((Z$4:Z$503&gt;=BB$4:BB$503)*(Z$4:Z$503-BB$4:BB$503))/MAX(1,COUNTIF(Z$4:Z$503,"&lt;"&amp;BB37+0.01))),BB37))</f>
        <v>0</v>
      </c>
      <c r="BQ37" s="92" t="n">
        <f aca="false">IF(AA37&gt;=BC37,0,IFERROR(BC37+SUMPRODUCT((AA$4:AA$503&gt;=BC$4:BC$503)*(AA$4:AA$503-BC$4:BC$503))/MAX(1,COUNTIF(AA$4:AA$503,"&lt;"&amp;BC37+0.01)),BC37))</f>
        <v>2238.46589176471</v>
      </c>
      <c r="BR37" s="92" t="n">
        <f aca="false">IF(AB37&gt;=BD37,0,IFERROR(BD37+SUMPRODUCT((AB$4:AB$503&gt;=BD$4:BD$503)*(AB$4:AB$503-BD$4:BD$503))/MAX(1,COUNTIF(AB$4:AB$503,"&lt;"&amp;BD37+0.01)),BD37))</f>
        <v>3335.2938</v>
      </c>
      <c r="BS37" s="92" t="n">
        <f aca="false">IF(AC37&gt;=BE37,0,IFERROR(BE37+SUMPRODUCT((AC$4:AC$503&gt;=BE$4:BE$503)*(AC$4:AC$503-BE$4:BE$503))/MAX(1,COUNTIF(AC$4:AC$503,"&lt;"&amp;BE37+0.01)),BE37))</f>
        <v>0</v>
      </c>
      <c r="BT37" s="92" t="n">
        <f aca="false">IF(AD37&gt;=BF37,0,IFERROR(BF37+SUMPRODUCT((AD$4:AD$503&gt;=BF$4:BF$503)*(AD$4:AD$503-BF$4:BF$503))/MAX(1,COUNTIF(AD$4:AD$503,"&lt;"&amp;BF37+0.01)),BF37))</f>
        <v>11354.35411</v>
      </c>
      <c r="BU37" s="92" t="n">
        <f aca="false">IF(AE37&gt;=BG37,0,IFERROR(BG37+SUMPRODUCT((AE$4:AE$503&gt;=BG$4:BG$503)*(AE$4:AE$503-BG$4:BG$503))/MAX(1,COUNTIF(AE$4:AE$503,"&lt;"&amp;BG37+0.01)),BG37))</f>
        <v>7704.85920380952</v>
      </c>
      <c r="BV37" s="92" t="n">
        <f aca="false">IF(AF37&gt;=BH37,0,IFERROR(BH37+SUMPRODUCT((AF$4:AF$503&gt;=BH$4:BH$503)*(AF$4:AF$503-BH$4:BH$503))/MAX(1,COUNTIF(AF$4:AF$503,"&lt;"&amp;BH37+0.01)),BH37))</f>
        <v>9942.6503831579</v>
      </c>
      <c r="BW37" s="92" t="n">
        <f aca="false">IF(AG37&gt;=BI37,0,IFERROR(BI37+SUMPRODUCT((AG$4:AG$503&gt;=BI$4:BI$503)*(AG$4:AG$503-BI$4:BI$503))/MAX(1,COUNTIF(AG$4:AG$503,"&lt;"&amp;BI37+0.01)),BI37))</f>
        <v>0</v>
      </c>
      <c r="BX37" s="92" t="n">
        <f aca="false">IF(AH37&gt;=BJ37,0,IFERROR(BJ37+SUMPRODUCT((AH$4:AH$503&gt;=BJ$4:BJ$503)*(AH$4:AH$503-BJ$4:BJ$503))/MAX(1,COUNTIF(AH$4:AH$503,"&lt;"&amp;BJ37+0.01)),BJ37))</f>
        <v>0</v>
      </c>
      <c r="BY37" s="92" t="n">
        <f aca="false">IF(AI37&gt;=BK37,0,IFERROR(BK37+SUMPRODUCT((AI$4:AI$503&gt;=BK$4:BK$503)*(AI$4:AI$503-BK$4:BK$503))/MAX(1,COUNTIF(AI$4:AI$503,"&lt;"&amp;BK37+0.01)),BK37))</f>
        <v>0</v>
      </c>
      <c r="BZ37" s="92" t="n">
        <f aca="false">IF(AJ37&gt;=BL37,0,IFERROR(BL37+SUMPRODUCT((AJ$4:AJ$503&gt;=BL$4:BL$503)*(AJ$4:AJ$503-BL$4:BL$503))/MAX(1,COUNTIF(AJ$4:AJ$503,"&lt;"&amp;BL37+0.01)),BL37))</f>
        <v>0</v>
      </c>
      <c r="CA37" s="92" t="n">
        <f aca="false">IF(AK37&gt;=BM37,0,IFERROR(BM37+SUMPRODUCT((AK$4:AK$503&gt;=BM$4:BM$503)*(AK$4:AK$503-BM$4:BM$503))/MAX(1,COUNTIF(AK$4:AK$503,"&lt;"&amp;BM37+0.01)),BM37))</f>
        <v>7314.89836842105</v>
      </c>
      <c r="CB37" s="93" t="n">
        <f aca="false">IF(AL37&gt;=BN37,0,IFERROR(BN37+SUMPRODUCT((AL$4:AL$503&gt;=BN$4:BN$503)*(AL$4:AL$503-BN$4:BN$503))/MAX(1,COUNTIF(AL$4:AL$503,"&lt;"&amp;BN37+0.01)),BN37))</f>
        <v>3597.2614925</v>
      </c>
      <c r="CC37" s="95" t="str">
        <f aca="false">IF(AO37="🟢","VERDE",IF(AO37="🟡","AMARELO",IF(AO37="🟠","VERMELHO",IF(AO37="🔴","VERMELHO","ROXO"))))</f>
        <v>VERMELHO</v>
      </c>
      <c r="CD37" s="96" t="s">
        <v>176</v>
      </c>
      <c r="CE37" s="96" t="s">
        <v>66</v>
      </c>
    </row>
    <row r="38" customFormat="false" ht="14.25" hidden="false" customHeight="true" outlineLevel="0" collapsed="false">
      <c r="A38" s="65" t="s">
        <v>207</v>
      </c>
      <c r="B38" s="66" t="s">
        <v>208</v>
      </c>
      <c r="C38" s="66" t="s">
        <v>66</v>
      </c>
      <c r="D38" s="68" t="s">
        <v>175</v>
      </c>
      <c r="E38" s="69" t="s">
        <v>139</v>
      </c>
      <c r="F38" s="70" t="n">
        <f aca="false">IFERROR(VLOOKUP(C38,$AS$3:$AT$10,2,FALSE()),IFERROR(VLOOKUP(C38,$AS$15:$AT$22,2,FALSE()),""))</f>
        <v>44</v>
      </c>
      <c r="G38" s="71" t="n">
        <f aca="false">IFERROR(VLOOKUP(C38,$AS$3:$AX$10,6,FALSE()),IFERROR(VLOOKUP(C38,$AS$15:$AX$22,6,FALSE()),""))</f>
        <v>0.496839506257363</v>
      </c>
      <c r="H38" s="72" t="str">
        <f aca="false">IFERROR(VLOOKUP(C38,$AS$3:$AY$10,7,FALSE()),IFERROR(VLOOKUP(C38,$AS$15:$AY$22,7,FALSE()),""))</f>
        <v>🟡 AMARELO</v>
      </c>
      <c r="I38" s="72" t="str">
        <f aca="false">IFERROR(VLOOKUP(C38,$AS$3:$AZ$10,8,FALSE()),IFERROR(VLOOKUP(C38,$AS$15:$AZ$22,8,FALSE()),""))</f>
        <v>Sell Out</v>
      </c>
      <c r="J38" s="73"/>
      <c r="K38" s="69" t="s">
        <v>107</v>
      </c>
      <c r="L38" s="74" t="n">
        <v>25876</v>
      </c>
      <c r="M38" s="75" t="n">
        <v>1818.38</v>
      </c>
      <c r="N38" s="75" t="n">
        <v>1900.15</v>
      </c>
      <c r="O38" s="75" t="n">
        <v>1945.93</v>
      </c>
      <c r="P38" s="75" t="n">
        <v>1996.63</v>
      </c>
      <c r="Q38" s="75" t="n">
        <v>2062.03</v>
      </c>
      <c r="R38" s="75" t="n">
        <v>2116</v>
      </c>
      <c r="S38" s="75" t="n">
        <v>2197.76</v>
      </c>
      <c r="T38" s="75" t="n">
        <v>2251.72</v>
      </c>
      <c r="U38" s="75" t="n">
        <v>2302.41</v>
      </c>
      <c r="V38" s="75" t="n">
        <v>2359.65</v>
      </c>
      <c r="W38" s="75" t="n">
        <v>2421.79</v>
      </c>
      <c r="X38" s="76" t="n">
        <v>2503.55</v>
      </c>
      <c r="Y38" s="77" t="s">
        <v>20</v>
      </c>
      <c r="Z38" s="78" t="n">
        <f aca="false">SUM(AA38:AL38)</f>
        <v>10742.12</v>
      </c>
      <c r="AA38" s="75"/>
      <c r="AB38" s="75"/>
      <c r="AC38" s="75"/>
      <c r="AD38" s="75"/>
      <c r="AE38" s="75"/>
      <c r="AF38" s="79" t="n">
        <v>2643.25</v>
      </c>
      <c r="AG38" s="79" t="n">
        <v>1867.12</v>
      </c>
      <c r="AH38" s="79" t="n">
        <v>2176.64</v>
      </c>
      <c r="AI38" s="75" t="n">
        <v>1347.96</v>
      </c>
      <c r="AJ38" s="79" t="n">
        <v>1558.71</v>
      </c>
      <c r="AK38" s="75"/>
      <c r="AL38" s="76" t="n">
        <v>1148.44</v>
      </c>
      <c r="AM38" s="56" t="s">
        <v>20</v>
      </c>
      <c r="AN38" s="80" t="n">
        <f aca="false">IF(L38=0,0,Z38/L38)</f>
        <v>0.41513835214098</v>
      </c>
      <c r="AO38" s="81" t="str">
        <f aca="false">IF(AN38="","",IF(AN38&gt;=0.9,"🟢",IF(AN38&gt;=0.7,"🟡",IF(AN38&gt;=0.5,"🟠","🔴"))))</f>
        <v>🔴</v>
      </c>
      <c r="AP38" s="82" t="n">
        <f aca="false">IF(L38=0,0,L38-Z38)</f>
        <v>15133.88</v>
      </c>
      <c r="AQ38" s="83" t="n">
        <f aca="false">IF(AP38=0,"",RANK(AP38,AP$4:AP$503,0))</f>
        <v>33</v>
      </c>
      <c r="AR38" s="84" t="s">
        <v>20</v>
      </c>
      <c r="AS38" s="139"/>
      <c r="AT38" s="130"/>
      <c r="AU38" s="130"/>
      <c r="AV38" s="130"/>
      <c r="AW38" s="130"/>
      <c r="AX38" s="130"/>
      <c r="AY38" s="129"/>
      <c r="AZ38" s="131"/>
      <c r="BA38" s="56" t="s">
        <v>20</v>
      </c>
      <c r="BB38" s="91" t="n">
        <f aca="false">SUM(L$4:L$503)/COUNTA(A$4:A$503)</f>
        <v>9494.39992</v>
      </c>
      <c r="BC38" s="92" t="n">
        <f aca="false">SUM(M$4:M$503)/COUNTA(A$4:A$503)</f>
        <v>667.20008</v>
      </c>
      <c r="BD38" s="92" t="n">
        <f aca="false">SUM(N$4:N$503)/COUNTA(A$4:A$503)</f>
        <v>697.19996</v>
      </c>
      <c r="BE38" s="92" t="n">
        <f aca="false">SUM(O$4:O$503)/COUNTA(A$4:A$503)</f>
        <v>713.9999</v>
      </c>
      <c r="BF38" s="92" t="n">
        <f aca="false">SUM(P$4:P$503)/COUNTA(A$4:A$503)</f>
        <v>732.59984</v>
      </c>
      <c r="BG38" s="92" t="n">
        <f aca="false">SUM(Q$4:Q$503)/COUNTA(A$4:A$503)</f>
        <v>756.59992</v>
      </c>
      <c r="BH38" s="92" t="n">
        <f aca="false">SUM(R$4:R$503)/COUNTA(A$4:A$503)</f>
        <v>776.40004</v>
      </c>
      <c r="BI38" s="92" t="n">
        <f aca="false">SUM(S$4:S$503)/COUNTA(A$4:A$503)</f>
        <v>806.40012</v>
      </c>
      <c r="BJ38" s="92" t="n">
        <f aca="false">SUM(T$4:T$503)/COUNTA(A$4:A$503)</f>
        <v>826.1999</v>
      </c>
      <c r="BK38" s="92" t="n">
        <f aca="false">SUM(U$4:U$503)/COUNTA(A$4:A$503)</f>
        <v>844.8002</v>
      </c>
      <c r="BL38" s="92" t="n">
        <f aca="false">SUM(V$4:V$503)/COUNTA(A$4:A$503)</f>
        <v>865.7998</v>
      </c>
      <c r="BM38" s="92" t="n">
        <f aca="false">SUM(W$4:W$503)/COUNTA(A$4:A$503)</f>
        <v>888.59982</v>
      </c>
      <c r="BN38" s="93" t="n">
        <f aca="false">SUM(X$4:X$503)/COUNTA(A$4:A$503)</f>
        <v>918.60034</v>
      </c>
      <c r="BO38" s="94" t="s">
        <v>20</v>
      </c>
      <c r="BP38" s="91" t="n">
        <f aca="false">IF(Z38&gt;=BB38,0,IFERROR(BB38+(SUMPRODUCT((Z$4:Z$503&gt;=BB$4:BB$503)*(Z$4:Z$503-BB$4:BB$503))/MAX(1,COUNTIF(Z$4:Z$503,"&lt;"&amp;BB38+0.01))),BB38))</f>
        <v>0</v>
      </c>
      <c r="BQ38" s="92" t="n">
        <f aca="false">IF(AA38&gt;=BC38,0,IFERROR(BC38+SUMPRODUCT((AA$4:AA$503&gt;=BC$4:BC$503)*(AA$4:AA$503-BC$4:BC$503))/MAX(1,COUNTIF(AA$4:AA$503,"&lt;"&amp;BC38+0.01)),BC38))</f>
        <v>2238.46589176471</v>
      </c>
      <c r="BR38" s="92" t="n">
        <f aca="false">IF(AB38&gt;=BD38,0,IFERROR(BD38+SUMPRODUCT((AB$4:AB$503&gt;=BD$4:BD$503)*(AB$4:AB$503-BD$4:BD$503))/MAX(1,COUNTIF(AB$4:AB$503,"&lt;"&amp;BD38+0.01)),BD38))</f>
        <v>3335.2938</v>
      </c>
      <c r="BS38" s="92" t="n">
        <f aca="false">IF(AC38&gt;=BE38,0,IFERROR(BE38+SUMPRODUCT((AC$4:AC$503&gt;=BE$4:BE$503)*(AC$4:AC$503-BE$4:BE$503))/MAX(1,COUNTIF(AC$4:AC$503,"&lt;"&amp;BE38+0.01)),BE38))</f>
        <v>6188.73352</v>
      </c>
      <c r="BT38" s="92" t="n">
        <f aca="false">IF(AD38&gt;=BF38,0,IFERROR(BF38+SUMPRODUCT((AD$4:AD$503&gt;=BF$4:BF$503)*(AD$4:AD$503-BF$4:BF$503))/MAX(1,COUNTIF(AD$4:AD$503,"&lt;"&amp;BF38+0.01)),BF38))</f>
        <v>11354.35411</v>
      </c>
      <c r="BU38" s="92" t="n">
        <f aca="false">IF(AE38&gt;=BG38,0,IFERROR(BG38+SUMPRODUCT((AE$4:AE$503&gt;=BG$4:BG$503)*(AE$4:AE$503-BG$4:BG$503))/MAX(1,COUNTIF(AE$4:AE$503,"&lt;"&amp;BG38+0.01)),BG38))</f>
        <v>7704.85920380952</v>
      </c>
      <c r="BV38" s="92" t="n">
        <f aca="false">IF(AF38&gt;=BH38,0,IFERROR(BH38+SUMPRODUCT((AF$4:AF$503&gt;=BH$4:BH$503)*(AF$4:AF$503-BH$4:BH$503))/MAX(1,COUNTIF(AF$4:AF$503,"&lt;"&amp;BH38+0.01)),BH38))</f>
        <v>0</v>
      </c>
      <c r="BW38" s="92" t="n">
        <f aca="false">IF(AG38&gt;=BI38,0,IFERROR(BI38+SUMPRODUCT((AG$4:AG$503&gt;=BI$4:BI$503)*(AG$4:AG$503-BI$4:BI$503))/MAX(1,COUNTIF(AG$4:AG$503,"&lt;"&amp;BI38+0.01)),BI38))</f>
        <v>0</v>
      </c>
      <c r="BX38" s="92" t="n">
        <f aca="false">IF(AH38&gt;=BJ38,0,IFERROR(BJ38+SUMPRODUCT((AH$4:AH$503&gt;=BJ$4:BJ$503)*(AH$4:AH$503-BJ$4:BJ$503))/MAX(1,COUNTIF(AH$4:AH$503,"&lt;"&amp;BJ38+0.01)),BJ38))</f>
        <v>0</v>
      </c>
      <c r="BY38" s="92" t="n">
        <f aca="false">IF(AI38&gt;=BK38,0,IFERROR(BK38+SUMPRODUCT((AI$4:AI$503&gt;=BK$4:BK$503)*(AI$4:AI$503-BK$4:BK$503))/MAX(1,COUNTIF(AI$4:AI$503,"&lt;"&amp;BK38+0.01)),BK38))</f>
        <v>0</v>
      </c>
      <c r="BZ38" s="92" t="n">
        <f aca="false">IF(AJ38&gt;=BL38,0,IFERROR(BL38+SUMPRODUCT((AJ$4:AJ$503&gt;=BL$4:BL$503)*(AJ$4:AJ$503-BL$4:BL$503))/MAX(1,COUNTIF(AJ$4:AJ$503,"&lt;"&amp;BL38+0.01)),BL38))</f>
        <v>0</v>
      </c>
      <c r="CA38" s="92" t="n">
        <f aca="false">IF(AK38&gt;=BM38,0,IFERROR(BM38+SUMPRODUCT((AK$4:AK$503&gt;=BM$4:BM$503)*(AK$4:AK$503-BM$4:BM$503))/MAX(1,COUNTIF(AK$4:AK$503,"&lt;"&amp;BM38+0.01)),BM38))</f>
        <v>7314.89836842105</v>
      </c>
      <c r="CB38" s="93" t="n">
        <f aca="false">IF(AL38&gt;=BN38,0,IFERROR(BN38+SUMPRODUCT((AL$4:AL$503&gt;=BN$4:BN$503)*(AL$4:AL$503-BN$4:BN$503))/MAX(1,COUNTIF(AL$4:AL$503,"&lt;"&amp;BN38+0.01)),BN38))</f>
        <v>0</v>
      </c>
      <c r="CC38" s="95" t="str">
        <f aca="false">IF(AO38="🟢","VERDE",IF(AO38="🟡","AMARELO",IF(AO38="🟠","VERMELHO",IF(AO38="🔴","VERMELHO","ROXO"))))</f>
        <v>VERMELHO</v>
      </c>
      <c r="CD38" s="96" t="s">
        <v>176</v>
      </c>
      <c r="CE38" s="96" t="s">
        <v>66</v>
      </c>
    </row>
    <row r="39" customFormat="false" ht="14.25" hidden="false" customHeight="true" outlineLevel="0" collapsed="false">
      <c r="A39" s="65" t="s">
        <v>209</v>
      </c>
      <c r="B39" s="66" t="s">
        <v>210</v>
      </c>
      <c r="C39" s="66" t="s">
        <v>66</v>
      </c>
      <c r="D39" s="68" t="s">
        <v>175</v>
      </c>
      <c r="E39" s="69" t="s">
        <v>139</v>
      </c>
      <c r="F39" s="70" t="n">
        <f aca="false">IFERROR(VLOOKUP(C39,$AS$3:$AT$10,2,FALSE()),IFERROR(VLOOKUP(C39,$AS$15:$AT$22,2,FALSE()),""))</f>
        <v>44</v>
      </c>
      <c r="G39" s="71" t="n">
        <f aca="false">IFERROR(VLOOKUP(C39,$AS$3:$AX$10,6,FALSE()),IFERROR(VLOOKUP(C39,$AS$15:$AX$22,6,FALSE()),""))</f>
        <v>0.496839506257363</v>
      </c>
      <c r="H39" s="72" t="str">
        <f aca="false">IFERROR(VLOOKUP(C39,$AS$3:$AY$10,7,FALSE()),IFERROR(VLOOKUP(C39,$AS$15:$AY$22,7,FALSE()),""))</f>
        <v>🟡 AMARELO</v>
      </c>
      <c r="I39" s="72" t="str">
        <f aca="false">IFERROR(VLOOKUP(C39,$AS$3:$AZ$10,8,FALSE()),IFERROR(VLOOKUP(C39,$AS$15:$AZ$22,8,FALSE()),""))</f>
        <v>Sell Out</v>
      </c>
      <c r="J39" s="73"/>
      <c r="K39" s="69" t="s">
        <v>107</v>
      </c>
      <c r="L39" s="74" t="n">
        <v>25584.22</v>
      </c>
      <c r="M39" s="75" t="n">
        <v>1797.88</v>
      </c>
      <c r="N39" s="75" t="n">
        <v>1878.72</v>
      </c>
      <c r="O39" s="75" t="n">
        <v>1923.99</v>
      </c>
      <c r="P39" s="75" t="n">
        <v>1974.11</v>
      </c>
      <c r="Q39" s="75" t="n">
        <v>2038.78</v>
      </c>
      <c r="R39" s="75" t="n">
        <v>2092.14</v>
      </c>
      <c r="S39" s="75" t="n">
        <v>2172.98</v>
      </c>
      <c r="T39" s="75" t="n">
        <v>2226.33</v>
      </c>
      <c r="U39" s="75" t="n">
        <v>2276.45</v>
      </c>
      <c r="V39" s="75" t="n">
        <v>2333.04</v>
      </c>
      <c r="W39" s="75" t="n">
        <v>2394.48</v>
      </c>
      <c r="X39" s="76" t="n">
        <v>2475.32</v>
      </c>
      <c r="Y39" s="77" t="s">
        <v>20</v>
      </c>
      <c r="Z39" s="78" t="n">
        <f aca="false">SUM(AA39:AL39)</f>
        <v>10545.53</v>
      </c>
      <c r="AA39" s="79" t="n">
        <v>384.07</v>
      </c>
      <c r="AB39" s="75"/>
      <c r="AC39" s="75"/>
      <c r="AD39" s="75"/>
      <c r="AE39" s="75"/>
      <c r="AF39" s="79" t="n">
        <v>2643.25</v>
      </c>
      <c r="AG39" s="79" t="n">
        <v>3899.13</v>
      </c>
      <c r="AH39" s="75"/>
      <c r="AI39" s="75"/>
      <c r="AJ39" s="79" t="n">
        <v>1886.58</v>
      </c>
      <c r="AK39" s="75"/>
      <c r="AL39" s="107" t="n">
        <v>1732.5</v>
      </c>
      <c r="AM39" s="56" t="s">
        <v>20</v>
      </c>
      <c r="AN39" s="80" t="n">
        <f aca="false">IF(L39=0,0,Z39/L39)</f>
        <v>0.412188841403021</v>
      </c>
      <c r="AO39" s="81" t="str">
        <f aca="false">IF(AN39="","",IF(AN39&gt;=0.9,"🟢",IF(AN39&gt;=0.7,"🟡",IF(AN39&gt;=0.5,"🟠","🔴"))))</f>
        <v>🔴</v>
      </c>
      <c r="AP39" s="82" t="n">
        <f aca="false">IF(L39=0,0,L39-Z39)</f>
        <v>15038.69</v>
      </c>
      <c r="AQ39" s="83" t="n">
        <f aca="false">IF(AP39=0,"",RANK(AP39,AP$4:AP$503,0))</f>
        <v>34</v>
      </c>
      <c r="AR39" s="84" t="s">
        <v>20</v>
      </c>
      <c r="AS39" s="132" t="s">
        <v>211</v>
      </c>
      <c r="AT39" s="119"/>
      <c r="AU39" s="119"/>
      <c r="AV39" s="119"/>
      <c r="AW39" s="119"/>
      <c r="AX39" s="119"/>
      <c r="AY39" s="119"/>
      <c r="AZ39" s="119"/>
      <c r="BA39" s="56" t="s">
        <v>20</v>
      </c>
      <c r="BB39" s="91" t="n">
        <f aca="false">SUM(L$4:L$503)/COUNTA(A$4:A$503)</f>
        <v>9494.39992</v>
      </c>
      <c r="BC39" s="92" t="n">
        <f aca="false">SUM(M$4:M$503)/COUNTA(A$4:A$503)</f>
        <v>667.20008</v>
      </c>
      <c r="BD39" s="92" t="n">
        <f aca="false">SUM(N$4:N$503)/COUNTA(A$4:A$503)</f>
        <v>697.19996</v>
      </c>
      <c r="BE39" s="92" t="n">
        <f aca="false">SUM(O$4:O$503)/COUNTA(A$4:A$503)</f>
        <v>713.9999</v>
      </c>
      <c r="BF39" s="92" t="n">
        <f aca="false">SUM(P$4:P$503)/COUNTA(A$4:A$503)</f>
        <v>732.59984</v>
      </c>
      <c r="BG39" s="92" t="n">
        <f aca="false">SUM(Q$4:Q$503)/COUNTA(A$4:A$503)</f>
        <v>756.59992</v>
      </c>
      <c r="BH39" s="92" t="n">
        <f aca="false">SUM(R$4:R$503)/COUNTA(A$4:A$503)</f>
        <v>776.40004</v>
      </c>
      <c r="BI39" s="92" t="n">
        <f aca="false">SUM(S$4:S$503)/COUNTA(A$4:A$503)</f>
        <v>806.40012</v>
      </c>
      <c r="BJ39" s="92" t="n">
        <f aca="false">SUM(T$4:T$503)/COUNTA(A$4:A$503)</f>
        <v>826.1999</v>
      </c>
      <c r="BK39" s="92" t="n">
        <f aca="false">SUM(U$4:U$503)/COUNTA(A$4:A$503)</f>
        <v>844.8002</v>
      </c>
      <c r="BL39" s="92" t="n">
        <f aca="false">SUM(V$4:V$503)/COUNTA(A$4:A$503)</f>
        <v>865.7998</v>
      </c>
      <c r="BM39" s="92" t="n">
        <f aca="false">SUM(W$4:W$503)/COUNTA(A$4:A$503)</f>
        <v>888.59982</v>
      </c>
      <c r="BN39" s="93" t="n">
        <f aca="false">SUM(X$4:X$503)/COUNTA(A$4:A$503)</f>
        <v>918.60034</v>
      </c>
      <c r="BO39" s="94" t="s">
        <v>20</v>
      </c>
      <c r="BP39" s="91" t="n">
        <f aca="false">IF(Z39&gt;=BB39,0,IFERROR(BB39+(SUMPRODUCT((Z$4:Z$503&gt;=BB$4:BB$503)*(Z$4:Z$503-BB$4:BB$503))/MAX(1,COUNTIF(Z$4:Z$503,"&lt;"&amp;BB39+0.01))),BB39))</f>
        <v>0</v>
      </c>
      <c r="BQ39" s="92" t="n">
        <f aca="false">IF(AA39&gt;=BC39,0,IFERROR(BC39+SUMPRODUCT((AA$4:AA$503&gt;=BC$4:BC$503)*(AA$4:AA$503-BC$4:BC$503))/MAX(1,COUNTIF(AA$4:AA$503,"&lt;"&amp;BC39+0.01)),BC39))</f>
        <v>2238.46589176471</v>
      </c>
      <c r="BR39" s="92" t="n">
        <f aca="false">IF(AB39&gt;=BD39,0,IFERROR(BD39+SUMPRODUCT((AB$4:AB$503&gt;=BD$4:BD$503)*(AB$4:AB$503-BD$4:BD$503))/MAX(1,COUNTIF(AB$4:AB$503,"&lt;"&amp;BD39+0.01)),BD39))</f>
        <v>3335.2938</v>
      </c>
      <c r="BS39" s="92" t="n">
        <f aca="false">IF(AC39&gt;=BE39,0,IFERROR(BE39+SUMPRODUCT((AC$4:AC$503&gt;=BE$4:BE$503)*(AC$4:AC$503-BE$4:BE$503))/MAX(1,COUNTIF(AC$4:AC$503,"&lt;"&amp;BE39+0.01)),BE39))</f>
        <v>6188.73352</v>
      </c>
      <c r="BT39" s="92" t="n">
        <f aca="false">IF(AD39&gt;=BF39,0,IFERROR(BF39+SUMPRODUCT((AD$4:AD$503&gt;=BF$4:BF$503)*(AD$4:AD$503-BF$4:BF$503))/MAX(1,COUNTIF(AD$4:AD$503,"&lt;"&amp;BF39+0.01)),BF39))</f>
        <v>11354.35411</v>
      </c>
      <c r="BU39" s="92" t="n">
        <f aca="false">IF(AE39&gt;=BG39,0,IFERROR(BG39+SUMPRODUCT((AE$4:AE$503&gt;=BG$4:BG$503)*(AE$4:AE$503-BG$4:BG$503))/MAX(1,COUNTIF(AE$4:AE$503,"&lt;"&amp;BG39+0.01)),BG39))</f>
        <v>7704.85920380952</v>
      </c>
      <c r="BV39" s="92" t="n">
        <f aca="false">IF(AF39&gt;=BH39,0,IFERROR(BH39+SUMPRODUCT((AF$4:AF$503&gt;=BH$4:BH$503)*(AF$4:AF$503-BH$4:BH$503))/MAX(1,COUNTIF(AF$4:AF$503,"&lt;"&amp;BH39+0.01)),BH39))</f>
        <v>0</v>
      </c>
      <c r="BW39" s="92" t="n">
        <f aca="false">IF(AG39&gt;=BI39,0,IFERROR(BI39+SUMPRODUCT((AG$4:AG$503&gt;=BI$4:BI$503)*(AG$4:AG$503-BI$4:BI$503))/MAX(1,COUNTIF(AG$4:AG$503,"&lt;"&amp;BI39+0.01)),BI39))</f>
        <v>0</v>
      </c>
      <c r="BX39" s="92" t="n">
        <f aca="false">IF(AH39&gt;=BJ39,0,IFERROR(BJ39+SUMPRODUCT((AH$4:AH$503&gt;=BJ$4:BJ$503)*(AH$4:AH$503-BJ$4:BJ$503))/MAX(1,COUNTIF(AH$4:AH$503,"&lt;"&amp;BJ39+0.01)),BJ39))</f>
        <v>5621.50263448276</v>
      </c>
      <c r="BY39" s="92" t="n">
        <f aca="false">IF(AI39&gt;=BK39,0,IFERROR(BK39+SUMPRODUCT((AI$4:AI$503&gt;=BK$4:BK$503)*(AI$4:AI$503-BK$4:BK$503))/MAX(1,COUNTIF(AI$4:AI$503,"&lt;"&amp;BK39+0.01)),BK39))</f>
        <v>7878.25652380952</v>
      </c>
      <c r="BZ39" s="92" t="n">
        <f aca="false">IF(AJ39&gt;=BL39,0,IFERROR(BL39+SUMPRODUCT((AJ$4:AJ$503&gt;=BL$4:BL$503)*(AJ$4:AJ$503-BL$4:BL$503))/MAX(1,COUNTIF(AJ$4:AJ$503,"&lt;"&amp;BL39+0.01)),BL39))</f>
        <v>0</v>
      </c>
      <c r="CA39" s="92" t="n">
        <f aca="false">IF(AK39&gt;=BM39,0,IFERROR(BM39+SUMPRODUCT((AK$4:AK$503&gt;=BM$4:BM$503)*(AK$4:AK$503-BM$4:BM$503))/MAX(1,COUNTIF(AK$4:AK$503,"&lt;"&amp;BM39+0.01)),BM39))</f>
        <v>7314.89836842105</v>
      </c>
      <c r="CB39" s="93" t="n">
        <f aca="false">IF(AL39&gt;=BN39,0,IFERROR(BN39+SUMPRODUCT((AL$4:AL$503&gt;=BN$4:BN$503)*(AL$4:AL$503-BN$4:BN$503))/MAX(1,COUNTIF(AL$4:AL$503,"&lt;"&amp;BN39+0.01)),BN39))</f>
        <v>0</v>
      </c>
      <c r="CC39" s="95" t="str">
        <f aca="false">IF(AO39="🟢","VERDE",IF(AO39="🟡","AMARELO",IF(AO39="🟠","VERMELHO",IF(AO39="🔴","VERMELHO","ROXO"))))</f>
        <v>VERMELHO</v>
      </c>
      <c r="CD39" s="96" t="s">
        <v>176</v>
      </c>
      <c r="CE39" s="96" t="s">
        <v>66</v>
      </c>
    </row>
    <row r="40" customFormat="false" ht="14.25" hidden="false" customHeight="true" outlineLevel="0" collapsed="false">
      <c r="A40" s="65" t="s">
        <v>212</v>
      </c>
      <c r="B40" s="66" t="s">
        <v>213</v>
      </c>
      <c r="C40" s="67" t="s">
        <v>107</v>
      </c>
      <c r="D40" s="68" t="s">
        <v>108</v>
      </c>
      <c r="E40" s="69" t="s">
        <v>109</v>
      </c>
      <c r="F40" s="70" t="n">
        <f aca="false">IFERROR(VLOOKUP(C40,$AS$3:$AT$10,2,FALSE()),IFERROR(VLOOKUP(C40,$AS$15:$AT$22,2,FALSE()),""))</f>
        <v>132</v>
      </c>
      <c r="G40" s="71" t="n">
        <f aca="false">IFERROR(VLOOKUP(C40,$AS$3:$AX$10,6,FALSE()),IFERROR(VLOOKUP(C40,$AS$15:$AX$22,6,FALSE()),""))</f>
        <v>0.468190175850689</v>
      </c>
      <c r="H40" s="72" t="str">
        <f aca="false">IFERROR(VLOOKUP(C40,$AS$3:$AY$10,7,FALSE()),IFERROR(VLOOKUP(C40,$AS$15:$AY$22,7,FALSE()),""))</f>
        <v>🟡 AMARELO</v>
      </c>
      <c r="I40" s="72" t="str">
        <f aca="false">IFERROR(VLOOKUP(C40,$AS$3:$AZ$10,8,FALSE()),IFERROR(VLOOKUP(C40,$AS$15:$AZ$22,8,FALSE()),""))</f>
        <v>Sell Out</v>
      </c>
      <c r="J40" s="73"/>
      <c r="K40" s="69" t="s">
        <v>107</v>
      </c>
      <c r="L40" s="74" t="n">
        <v>25437.01</v>
      </c>
      <c r="M40" s="75" t="n">
        <v>1787.54</v>
      </c>
      <c r="N40" s="75" t="n">
        <v>1867.91</v>
      </c>
      <c r="O40" s="75" t="n">
        <v>1912.92</v>
      </c>
      <c r="P40" s="75" t="n">
        <v>1962.75</v>
      </c>
      <c r="Q40" s="75" t="n">
        <v>2027.05</v>
      </c>
      <c r="R40" s="75" t="n">
        <v>2080.1</v>
      </c>
      <c r="S40" s="75" t="n">
        <v>2160.47</v>
      </c>
      <c r="T40" s="75" t="n">
        <v>2213.52</v>
      </c>
      <c r="U40" s="75" t="n">
        <v>2263.35</v>
      </c>
      <c r="V40" s="75" t="n">
        <v>2319.62</v>
      </c>
      <c r="W40" s="75" t="n">
        <v>2380.7</v>
      </c>
      <c r="X40" s="76" t="n">
        <v>2461.08</v>
      </c>
      <c r="Y40" s="77" t="s">
        <v>20</v>
      </c>
      <c r="Z40" s="78" t="n">
        <f aca="false">SUM(AA40:AL40)</f>
        <v>11207.98</v>
      </c>
      <c r="AA40" s="75"/>
      <c r="AB40" s="79" t="n">
        <v>5053.32</v>
      </c>
      <c r="AC40" s="75"/>
      <c r="AD40" s="79" t="n">
        <v>5176.2</v>
      </c>
      <c r="AE40" s="75"/>
      <c r="AF40" s="75"/>
      <c r="AG40" s="75"/>
      <c r="AH40" s="75"/>
      <c r="AI40" s="75"/>
      <c r="AJ40" s="75"/>
      <c r="AK40" s="75"/>
      <c r="AL40" s="76" t="n">
        <v>978.46</v>
      </c>
      <c r="AM40" s="56" t="s">
        <v>20</v>
      </c>
      <c r="AN40" s="80" t="n">
        <f aca="false">IF(L40=0,0,Z40/L40)</f>
        <v>0.440617037930166</v>
      </c>
      <c r="AO40" s="81" t="str">
        <f aca="false">IF(AN40="","",IF(AN40&gt;=0.9,"🟢",IF(AN40&gt;=0.7,"🟡",IF(AN40&gt;=0.5,"🟠","🔴"))))</f>
        <v>🔴</v>
      </c>
      <c r="AP40" s="82" t="n">
        <f aca="false">IF(L40=0,0,L40-Z40)</f>
        <v>14229.03</v>
      </c>
      <c r="AQ40" s="83" t="n">
        <f aca="false">IF(AP40=0,"",RANK(AP40,AP$4:AP$503,0))</f>
        <v>36</v>
      </c>
      <c r="AR40" s="84" t="s">
        <v>20</v>
      </c>
      <c r="AS40" s="134" t="s">
        <v>214</v>
      </c>
      <c r="AT40" s="135"/>
      <c r="AU40" s="135"/>
      <c r="AV40" s="135"/>
      <c r="AW40" s="135"/>
      <c r="AX40" s="135"/>
      <c r="AY40" s="136"/>
      <c r="AZ40" s="137"/>
      <c r="BA40" s="56" t="s">
        <v>20</v>
      </c>
      <c r="BB40" s="91" t="n">
        <f aca="false">SUM(L$4:L$503)/COUNTA(A$4:A$503)</f>
        <v>9494.39992</v>
      </c>
      <c r="BC40" s="92" t="n">
        <f aca="false">SUM(M$4:M$503)/COUNTA(A$4:A$503)</f>
        <v>667.20008</v>
      </c>
      <c r="BD40" s="92" t="n">
        <f aca="false">SUM(N$4:N$503)/COUNTA(A$4:A$503)</f>
        <v>697.19996</v>
      </c>
      <c r="BE40" s="92" t="n">
        <f aca="false">SUM(O$4:O$503)/COUNTA(A$4:A$503)</f>
        <v>713.9999</v>
      </c>
      <c r="BF40" s="92" t="n">
        <f aca="false">SUM(P$4:P$503)/COUNTA(A$4:A$503)</f>
        <v>732.59984</v>
      </c>
      <c r="BG40" s="92" t="n">
        <f aca="false">SUM(Q$4:Q$503)/COUNTA(A$4:A$503)</f>
        <v>756.59992</v>
      </c>
      <c r="BH40" s="92" t="n">
        <f aca="false">SUM(R$4:R$503)/COUNTA(A$4:A$503)</f>
        <v>776.40004</v>
      </c>
      <c r="BI40" s="92" t="n">
        <f aca="false">SUM(S$4:S$503)/COUNTA(A$4:A$503)</f>
        <v>806.40012</v>
      </c>
      <c r="BJ40" s="92" t="n">
        <f aca="false">SUM(T$4:T$503)/COUNTA(A$4:A$503)</f>
        <v>826.1999</v>
      </c>
      <c r="BK40" s="92" t="n">
        <f aca="false">SUM(U$4:U$503)/COUNTA(A$4:A$503)</f>
        <v>844.8002</v>
      </c>
      <c r="BL40" s="92" t="n">
        <f aca="false">SUM(V$4:V$503)/COUNTA(A$4:A$503)</f>
        <v>865.7998</v>
      </c>
      <c r="BM40" s="92" t="n">
        <f aca="false">SUM(W$4:W$503)/COUNTA(A$4:A$503)</f>
        <v>888.59982</v>
      </c>
      <c r="BN40" s="93" t="n">
        <f aca="false">SUM(X$4:X$503)/COUNTA(A$4:A$503)</f>
        <v>918.60034</v>
      </c>
      <c r="BO40" s="94" t="s">
        <v>20</v>
      </c>
      <c r="BP40" s="91" t="n">
        <f aca="false">IF(Z40&gt;=BB40,0,IFERROR(BB40+(SUMPRODUCT((Z$4:Z$503&gt;=BB$4:BB$503)*(Z$4:Z$503-BB$4:BB$503))/MAX(1,COUNTIF(Z$4:Z$503,"&lt;"&amp;BB40+0.01))),BB40))</f>
        <v>0</v>
      </c>
      <c r="BQ40" s="92" t="n">
        <f aca="false">IF(AA40&gt;=BC40,0,IFERROR(BC40+SUMPRODUCT((AA$4:AA$503&gt;=BC$4:BC$503)*(AA$4:AA$503-BC$4:BC$503))/MAX(1,COUNTIF(AA$4:AA$503,"&lt;"&amp;BC40+0.01)),BC40))</f>
        <v>2238.46589176471</v>
      </c>
      <c r="BR40" s="92" t="n">
        <f aca="false">IF(AB40&gt;=BD40,0,IFERROR(BD40+SUMPRODUCT((AB$4:AB$503&gt;=BD$4:BD$503)*(AB$4:AB$503-BD$4:BD$503))/MAX(1,COUNTIF(AB$4:AB$503,"&lt;"&amp;BD40+0.01)),BD40))</f>
        <v>0</v>
      </c>
      <c r="BS40" s="92" t="n">
        <f aca="false">IF(AC40&gt;=BE40,0,IFERROR(BE40+SUMPRODUCT((AC$4:AC$503&gt;=BE$4:BE$503)*(AC$4:AC$503-BE$4:BE$503))/MAX(1,COUNTIF(AC$4:AC$503,"&lt;"&amp;BE40+0.01)),BE40))</f>
        <v>6188.73352</v>
      </c>
      <c r="BT40" s="92" t="n">
        <f aca="false">IF(AD40&gt;=BF40,0,IFERROR(BF40+SUMPRODUCT((AD$4:AD$503&gt;=BF$4:BF$503)*(AD$4:AD$503-BF$4:BF$503))/MAX(1,COUNTIF(AD$4:AD$503,"&lt;"&amp;BF40+0.01)),BF40))</f>
        <v>0</v>
      </c>
      <c r="BU40" s="92" t="n">
        <f aca="false">IF(AE40&gt;=BG40,0,IFERROR(BG40+SUMPRODUCT((AE$4:AE$503&gt;=BG$4:BG$503)*(AE$4:AE$503-BG$4:BG$503))/MAX(1,COUNTIF(AE$4:AE$503,"&lt;"&amp;BG40+0.01)),BG40))</f>
        <v>7704.85920380952</v>
      </c>
      <c r="BV40" s="92" t="n">
        <f aca="false">IF(AF40&gt;=BH40,0,IFERROR(BH40+SUMPRODUCT((AF$4:AF$503&gt;=BH$4:BH$503)*(AF$4:AF$503-BH$4:BH$503))/MAX(1,COUNTIF(AF$4:AF$503,"&lt;"&amp;BH40+0.01)),BH40))</f>
        <v>9942.6503831579</v>
      </c>
      <c r="BW40" s="92" t="n">
        <f aca="false">IF(AG40&gt;=BI40,0,IFERROR(BI40+SUMPRODUCT((AG$4:AG$503&gt;=BI$4:BI$503)*(AG$4:AG$503-BI$4:BI$503))/MAX(1,COUNTIF(AG$4:AG$503,"&lt;"&amp;BI40+0.01)),BI40))</f>
        <v>9142.15870461538</v>
      </c>
      <c r="BX40" s="92" t="n">
        <f aca="false">IF(AH40&gt;=BJ40,0,IFERROR(BJ40+SUMPRODUCT((AH$4:AH$503&gt;=BJ$4:BJ$503)*(AH$4:AH$503-BJ$4:BJ$503))/MAX(1,COUNTIF(AH$4:AH$503,"&lt;"&amp;BJ40+0.01)),BJ40))</f>
        <v>5621.50263448276</v>
      </c>
      <c r="BY40" s="92" t="n">
        <f aca="false">IF(AI40&gt;=BK40,0,IFERROR(BK40+SUMPRODUCT((AI$4:AI$503&gt;=BK$4:BK$503)*(AI$4:AI$503-BK$4:BK$503))/MAX(1,COUNTIF(AI$4:AI$503,"&lt;"&amp;BK40+0.01)),BK40))</f>
        <v>7878.25652380952</v>
      </c>
      <c r="BZ40" s="92" t="n">
        <f aca="false">IF(AJ40&gt;=BL40,0,IFERROR(BL40+SUMPRODUCT((AJ$4:AJ$503&gt;=BL$4:BL$503)*(AJ$4:AJ$503-BL$4:BL$503))/MAX(1,COUNTIF(AJ$4:AJ$503,"&lt;"&amp;BL40+0.01)),BL40))</f>
        <v>6710.03292307692</v>
      </c>
      <c r="CA40" s="92" t="n">
        <f aca="false">IF(AK40&gt;=BM40,0,IFERROR(BM40+SUMPRODUCT((AK$4:AK$503&gt;=BM$4:BM$503)*(AK$4:AK$503-BM$4:BM$503))/MAX(1,COUNTIF(AK$4:AK$503,"&lt;"&amp;BM40+0.01)),BM40))</f>
        <v>7314.89836842105</v>
      </c>
      <c r="CB40" s="93" t="n">
        <f aca="false">IF(AL40&gt;=BN40,0,IFERROR(BN40+SUMPRODUCT((AL$4:AL$503&gt;=BN$4:BN$503)*(AL$4:AL$503-BN$4:BN$503))/MAX(1,COUNTIF(AL$4:AL$503,"&lt;"&amp;BN40+0.01)),BN40))</f>
        <v>0</v>
      </c>
      <c r="CC40" s="95" t="str">
        <f aca="false">IF(AO40="🟢","VERDE",IF(AO40="🟡","AMARELO",IF(AO40="🟠","VERMELHO",IF(AO40="🔴","VERMELHO","ROXO"))))</f>
        <v>VERMELHO</v>
      </c>
      <c r="CD40" s="96" t="s">
        <v>103</v>
      </c>
      <c r="CE40" s="96" t="s">
        <v>104</v>
      </c>
    </row>
    <row r="41" customFormat="false" ht="14.25" hidden="false" customHeight="true" outlineLevel="0" collapsed="false">
      <c r="A41" s="65" t="s">
        <v>215</v>
      </c>
      <c r="B41" s="66" t="s">
        <v>216</v>
      </c>
      <c r="C41" s="67" t="s">
        <v>113</v>
      </c>
      <c r="D41" s="68" t="s">
        <v>100</v>
      </c>
      <c r="E41" s="69" t="s">
        <v>114</v>
      </c>
      <c r="F41" s="70" t="n">
        <f aca="false">IFERROR(VLOOKUP(C41,$AS$3:$AT$10,2,FALSE()),IFERROR(VLOOKUP(C41,$AS$15:$AT$22,2,FALSE()),""))</f>
        <v>49</v>
      </c>
      <c r="G41" s="71" t="n">
        <f aca="false">IFERROR(VLOOKUP(C41,$AS$3:$AX$10,6,FALSE()),IFERROR(VLOOKUP(C41,$AS$15:$AX$22,6,FALSE()),""))</f>
        <v>0.463965086137302</v>
      </c>
      <c r="H41" s="72" t="str">
        <f aca="false">IFERROR(VLOOKUP(C41,$AS$3:$AY$10,7,FALSE()),IFERROR(VLOOKUP(C41,$AS$15:$AY$22,7,FALSE()),""))</f>
        <v>🟡 AMARELO</v>
      </c>
      <c r="I41" s="72" t="str">
        <f aca="false">IFERROR(VLOOKUP(C41,$AS$3:$AZ$10,8,FALSE()),IFERROR(VLOOKUP(C41,$AS$15:$AZ$22,8,FALSE()),""))</f>
        <v>Sell Out</v>
      </c>
      <c r="J41" s="73"/>
      <c r="K41" s="69" t="s">
        <v>113</v>
      </c>
      <c r="L41" s="74" t="n">
        <v>24833.31</v>
      </c>
      <c r="M41" s="75" t="n">
        <v>1745.11</v>
      </c>
      <c r="N41" s="75" t="n">
        <v>1823.58</v>
      </c>
      <c r="O41" s="75" t="n">
        <v>1867.52</v>
      </c>
      <c r="P41" s="75" t="n">
        <v>1916.17</v>
      </c>
      <c r="Q41" s="75" t="n">
        <v>1978.94</v>
      </c>
      <c r="R41" s="75" t="n">
        <v>2030.73</v>
      </c>
      <c r="S41" s="75" t="n">
        <v>2109.2</v>
      </c>
      <c r="T41" s="75" t="n">
        <v>2160.99</v>
      </c>
      <c r="U41" s="75" t="n">
        <v>2209.64</v>
      </c>
      <c r="V41" s="75" t="n">
        <v>2264.56</v>
      </c>
      <c r="W41" s="75" t="n">
        <v>2324.2</v>
      </c>
      <c r="X41" s="76" t="n">
        <v>2402.67</v>
      </c>
      <c r="Y41" s="77" t="s">
        <v>20</v>
      </c>
      <c r="Z41" s="78" t="n">
        <f aca="false">SUM(AA41:AL41)</f>
        <v>11312.87</v>
      </c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9" t="n">
        <v>5953.14</v>
      </c>
      <c r="AL41" s="107" t="n">
        <v>5359.73</v>
      </c>
      <c r="AM41" s="56" t="s">
        <v>20</v>
      </c>
      <c r="AN41" s="80" t="n">
        <f aca="false">IF(L41=0,0,Z41/L41)</f>
        <v>0.455552240116199</v>
      </c>
      <c r="AO41" s="81" t="str">
        <f aca="false">IF(AN41="","",IF(AN41&gt;=0.9,"🟢",IF(AN41&gt;=0.7,"🟡",IF(AN41&gt;=0.5,"🟠","🔴"))))</f>
        <v>🔴</v>
      </c>
      <c r="AP41" s="82" t="n">
        <f aca="false">IF(L41=0,0,L41-Z41)</f>
        <v>13520.44</v>
      </c>
      <c r="AQ41" s="83" t="n">
        <f aca="false">IF(AP41=0,"",RANK(AP41,AP$4:AP$503,0))</f>
        <v>38</v>
      </c>
      <c r="AR41" s="84" t="s">
        <v>20</v>
      </c>
      <c r="AS41" s="138" t="s">
        <v>217</v>
      </c>
      <c r="AT41" s="119"/>
      <c r="AU41" s="119"/>
      <c r="AV41" s="119"/>
      <c r="AW41" s="119"/>
      <c r="AX41" s="119"/>
      <c r="AY41" s="119"/>
      <c r="AZ41" s="120"/>
      <c r="BA41" s="56" t="s">
        <v>20</v>
      </c>
      <c r="BB41" s="91" t="n">
        <f aca="false">SUM(L$4:L$503)/COUNTA(A$4:A$503)</f>
        <v>9494.39992</v>
      </c>
      <c r="BC41" s="92" t="n">
        <f aca="false">SUM(M$4:M$503)/COUNTA(A$4:A$503)</f>
        <v>667.20008</v>
      </c>
      <c r="BD41" s="92" t="n">
        <f aca="false">SUM(N$4:N$503)/COUNTA(A$4:A$503)</f>
        <v>697.19996</v>
      </c>
      <c r="BE41" s="92" t="n">
        <f aca="false">SUM(O$4:O$503)/COUNTA(A$4:A$503)</f>
        <v>713.9999</v>
      </c>
      <c r="BF41" s="92" t="n">
        <f aca="false">SUM(P$4:P$503)/COUNTA(A$4:A$503)</f>
        <v>732.59984</v>
      </c>
      <c r="BG41" s="92" t="n">
        <f aca="false">SUM(Q$4:Q$503)/COUNTA(A$4:A$503)</f>
        <v>756.59992</v>
      </c>
      <c r="BH41" s="92" t="n">
        <f aca="false">SUM(R$4:R$503)/COUNTA(A$4:A$503)</f>
        <v>776.40004</v>
      </c>
      <c r="BI41" s="92" t="n">
        <f aca="false">SUM(S$4:S$503)/COUNTA(A$4:A$503)</f>
        <v>806.40012</v>
      </c>
      <c r="BJ41" s="92" t="n">
        <f aca="false">SUM(T$4:T$503)/COUNTA(A$4:A$503)</f>
        <v>826.1999</v>
      </c>
      <c r="BK41" s="92" t="n">
        <f aca="false">SUM(U$4:U$503)/COUNTA(A$4:A$503)</f>
        <v>844.8002</v>
      </c>
      <c r="BL41" s="92" t="n">
        <f aca="false">SUM(V$4:V$503)/COUNTA(A$4:A$503)</f>
        <v>865.7998</v>
      </c>
      <c r="BM41" s="92" t="n">
        <f aca="false">SUM(W$4:W$503)/COUNTA(A$4:A$503)</f>
        <v>888.59982</v>
      </c>
      <c r="BN41" s="93" t="n">
        <f aca="false">SUM(X$4:X$503)/COUNTA(A$4:A$503)</f>
        <v>918.60034</v>
      </c>
      <c r="BO41" s="94" t="s">
        <v>20</v>
      </c>
      <c r="BP41" s="91" t="n">
        <f aca="false">IF(Z41&gt;=BB41,0,IFERROR(BB41+(SUMPRODUCT((Z$4:Z$503&gt;=BB$4:BB$503)*(Z$4:Z$503-BB$4:BB$503))/MAX(1,COUNTIF(Z$4:Z$503,"&lt;"&amp;BB41+0.01))),BB41))</f>
        <v>0</v>
      </c>
      <c r="BQ41" s="92" t="n">
        <f aca="false">IF(AA41&gt;=BC41,0,IFERROR(BC41+SUMPRODUCT((AA$4:AA$503&gt;=BC$4:BC$503)*(AA$4:AA$503-BC$4:BC$503))/MAX(1,COUNTIF(AA$4:AA$503,"&lt;"&amp;BC41+0.01)),BC41))</f>
        <v>2238.46589176471</v>
      </c>
      <c r="BR41" s="92" t="n">
        <f aca="false">IF(AB41&gt;=BD41,0,IFERROR(BD41+SUMPRODUCT((AB$4:AB$503&gt;=BD$4:BD$503)*(AB$4:AB$503-BD$4:BD$503))/MAX(1,COUNTIF(AB$4:AB$503,"&lt;"&amp;BD41+0.01)),BD41))</f>
        <v>3335.2938</v>
      </c>
      <c r="BS41" s="92" t="n">
        <f aca="false">IF(AC41&gt;=BE41,0,IFERROR(BE41+SUMPRODUCT((AC$4:AC$503&gt;=BE$4:BE$503)*(AC$4:AC$503-BE$4:BE$503))/MAX(1,COUNTIF(AC$4:AC$503,"&lt;"&amp;BE41+0.01)),BE41))</f>
        <v>6188.73352</v>
      </c>
      <c r="BT41" s="92" t="n">
        <f aca="false">IF(AD41&gt;=BF41,0,IFERROR(BF41+SUMPRODUCT((AD$4:AD$503&gt;=BF$4:BF$503)*(AD$4:AD$503-BF$4:BF$503))/MAX(1,COUNTIF(AD$4:AD$503,"&lt;"&amp;BF41+0.01)),BF41))</f>
        <v>11354.35411</v>
      </c>
      <c r="BU41" s="92" t="n">
        <f aca="false">IF(AE41&gt;=BG41,0,IFERROR(BG41+SUMPRODUCT((AE$4:AE$503&gt;=BG$4:BG$503)*(AE$4:AE$503-BG$4:BG$503))/MAX(1,COUNTIF(AE$4:AE$503,"&lt;"&amp;BG41+0.01)),BG41))</f>
        <v>7704.85920380952</v>
      </c>
      <c r="BV41" s="92" t="n">
        <f aca="false">IF(AF41&gt;=BH41,0,IFERROR(BH41+SUMPRODUCT((AF$4:AF$503&gt;=BH$4:BH$503)*(AF$4:AF$503-BH$4:BH$503))/MAX(1,COUNTIF(AF$4:AF$503,"&lt;"&amp;BH41+0.01)),BH41))</f>
        <v>9942.6503831579</v>
      </c>
      <c r="BW41" s="92" t="n">
        <f aca="false">IF(AG41&gt;=BI41,0,IFERROR(BI41+SUMPRODUCT((AG$4:AG$503&gt;=BI$4:BI$503)*(AG$4:AG$503-BI$4:BI$503))/MAX(1,COUNTIF(AG$4:AG$503,"&lt;"&amp;BI41+0.01)),BI41))</f>
        <v>9142.15870461538</v>
      </c>
      <c r="BX41" s="92" t="n">
        <f aca="false">IF(AH41&gt;=BJ41,0,IFERROR(BJ41+SUMPRODUCT((AH$4:AH$503&gt;=BJ$4:BJ$503)*(AH$4:AH$503-BJ$4:BJ$503))/MAX(1,COUNTIF(AH$4:AH$503,"&lt;"&amp;BJ41+0.01)),BJ41))</f>
        <v>5621.50263448276</v>
      </c>
      <c r="BY41" s="92" t="n">
        <f aca="false">IF(AI41&gt;=BK41,0,IFERROR(BK41+SUMPRODUCT((AI$4:AI$503&gt;=BK$4:BK$503)*(AI$4:AI$503-BK$4:BK$503))/MAX(1,COUNTIF(AI$4:AI$503,"&lt;"&amp;BK41+0.01)),BK41))</f>
        <v>7878.25652380952</v>
      </c>
      <c r="BZ41" s="92" t="n">
        <f aca="false">IF(AJ41&gt;=BL41,0,IFERROR(BL41+SUMPRODUCT((AJ$4:AJ$503&gt;=BL$4:BL$503)*(AJ$4:AJ$503-BL$4:BL$503))/MAX(1,COUNTIF(AJ$4:AJ$503,"&lt;"&amp;BL41+0.01)),BL41))</f>
        <v>6710.03292307692</v>
      </c>
      <c r="CA41" s="92" t="n">
        <f aca="false">IF(AK41&gt;=BM41,0,IFERROR(BM41+SUMPRODUCT((AK$4:AK$503&gt;=BM$4:BM$503)*(AK$4:AK$503-BM$4:BM$503))/MAX(1,COUNTIF(AK$4:AK$503,"&lt;"&amp;BM41+0.01)),BM41))</f>
        <v>0</v>
      </c>
      <c r="CB41" s="93" t="n">
        <f aca="false">IF(AL41&gt;=BN41,0,IFERROR(BN41+SUMPRODUCT((AL$4:AL$503&gt;=BN$4:BN$503)*(AL$4:AL$503-BN$4:BN$503))/MAX(1,COUNTIF(AL$4:AL$503,"&lt;"&amp;BN41+0.01)),BN41))</f>
        <v>0</v>
      </c>
      <c r="CC41" s="95" t="str">
        <f aca="false">IF(AO41="🟢","VERDE",IF(AO41="🟡","AMARELO",IF(AO41="🟠","VERMELHO",IF(AO41="🔴","VERMELHO","ROXO"))))</f>
        <v>VERMELHO</v>
      </c>
      <c r="CD41" s="96" t="s">
        <v>103</v>
      </c>
      <c r="CE41" s="96" t="s">
        <v>104</v>
      </c>
    </row>
    <row r="42" customFormat="false" ht="14.25" hidden="false" customHeight="true" outlineLevel="0" collapsed="false">
      <c r="A42" s="65" t="s">
        <v>218</v>
      </c>
      <c r="B42" s="66" t="s">
        <v>219</v>
      </c>
      <c r="C42" s="67" t="s">
        <v>113</v>
      </c>
      <c r="D42" s="68" t="s">
        <v>100</v>
      </c>
      <c r="E42" s="69" t="s">
        <v>114</v>
      </c>
      <c r="F42" s="70" t="n">
        <f aca="false">IFERROR(VLOOKUP(C42,$AS$3:$AT$10,2,FALSE()),IFERROR(VLOOKUP(C42,$AS$15:$AT$22,2,FALSE()),""))</f>
        <v>49</v>
      </c>
      <c r="G42" s="71" t="n">
        <f aca="false">IFERROR(VLOOKUP(C42,$AS$3:$AX$10,6,FALSE()),IFERROR(VLOOKUP(C42,$AS$15:$AX$22,6,FALSE()),""))</f>
        <v>0.463965086137302</v>
      </c>
      <c r="H42" s="72" t="str">
        <f aca="false">IFERROR(VLOOKUP(C42,$AS$3:$AY$10,7,FALSE()),IFERROR(VLOOKUP(C42,$AS$15:$AY$22,7,FALSE()),""))</f>
        <v>🟡 AMARELO</v>
      </c>
      <c r="I42" s="72" t="str">
        <f aca="false">IFERROR(VLOOKUP(C42,$AS$3:$AZ$10,8,FALSE()),IFERROR(VLOOKUP(C42,$AS$15:$AZ$22,8,FALSE()),""))</f>
        <v>Sell Out</v>
      </c>
      <c r="J42" s="73"/>
      <c r="K42" s="69" t="s">
        <v>113</v>
      </c>
      <c r="L42" s="74" t="n">
        <v>24609.98</v>
      </c>
      <c r="M42" s="75" t="n">
        <v>1729.42</v>
      </c>
      <c r="N42" s="75" t="n">
        <v>1807.18</v>
      </c>
      <c r="O42" s="75" t="n">
        <v>1850.72</v>
      </c>
      <c r="P42" s="75" t="n">
        <v>1898.94</v>
      </c>
      <c r="Q42" s="75" t="n">
        <v>1961.15</v>
      </c>
      <c r="R42" s="75" t="n">
        <v>2012.47</v>
      </c>
      <c r="S42" s="75" t="n">
        <v>2090.23</v>
      </c>
      <c r="T42" s="75" t="n">
        <v>2141.55</v>
      </c>
      <c r="U42" s="75" t="n">
        <v>2189.76</v>
      </c>
      <c r="V42" s="75" t="n">
        <v>2244.2</v>
      </c>
      <c r="W42" s="75" t="n">
        <v>2303.3</v>
      </c>
      <c r="X42" s="76" t="n">
        <v>2381.06</v>
      </c>
      <c r="Y42" s="77" t="s">
        <v>20</v>
      </c>
      <c r="Z42" s="78" t="n">
        <f aca="false">SUM(AA42:AL42)</f>
        <v>12725.16</v>
      </c>
      <c r="AA42" s="75"/>
      <c r="AB42" s="75"/>
      <c r="AC42" s="75"/>
      <c r="AD42" s="75"/>
      <c r="AE42" s="75" t="n">
        <v>1769.43</v>
      </c>
      <c r="AF42" s="79" t="n">
        <v>1656.12</v>
      </c>
      <c r="AG42" s="79" t="n">
        <v>3274.26</v>
      </c>
      <c r="AH42" s="79" t="n">
        <v>2426.28</v>
      </c>
      <c r="AI42" s="79" t="n">
        <v>1680.08</v>
      </c>
      <c r="AJ42" s="75"/>
      <c r="AK42" s="75"/>
      <c r="AL42" s="107" t="n">
        <v>1918.99</v>
      </c>
      <c r="AM42" s="56" t="s">
        <v>20</v>
      </c>
      <c r="AN42" s="80" t="n">
        <f aca="false">IF(L42=0,0,Z42/L42)</f>
        <v>0.517073154874567</v>
      </c>
      <c r="AO42" s="81" t="str">
        <f aca="false">IF(AN42="","",IF(AN42&gt;=0.9,"🟢",IF(AN42&gt;=0.7,"🟡",IF(AN42&gt;=0.5,"🟠","🔴"))))</f>
        <v>🟠</v>
      </c>
      <c r="AP42" s="82" t="n">
        <f aca="false">IF(L42=0,0,L42-Z42)</f>
        <v>11884.82</v>
      </c>
      <c r="AQ42" s="83" t="n">
        <f aca="false">IF(AP42=0,"",RANK(AP42,AP$4:AP$503,0))</f>
        <v>47</v>
      </c>
      <c r="AR42" s="84" t="s">
        <v>20</v>
      </c>
      <c r="AS42" s="121"/>
      <c r="AT42" s="119"/>
      <c r="AU42" s="119"/>
      <c r="AV42" s="119"/>
      <c r="AW42" s="119"/>
      <c r="AX42" s="119"/>
      <c r="AY42" s="119"/>
      <c r="AZ42" s="120"/>
      <c r="BA42" s="56" t="s">
        <v>20</v>
      </c>
      <c r="BB42" s="91" t="n">
        <f aca="false">SUM(L$4:L$503)/COUNTA(A$4:A$503)</f>
        <v>9494.39992</v>
      </c>
      <c r="BC42" s="92" t="n">
        <f aca="false">SUM(M$4:M$503)/COUNTA(A$4:A$503)</f>
        <v>667.20008</v>
      </c>
      <c r="BD42" s="92" t="n">
        <f aca="false">SUM(N$4:N$503)/COUNTA(A$4:A$503)</f>
        <v>697.19996</v>
      </c>
      <c r="BE42" s="92" t="n">
        <f aca="false">SUM(O$4:O$503)/COUNTA(A$4:A$503)</f>
        <v>713.9999</v>
      </c>
      <c r="BF42" s="92" t="n">
        <f aca="false">SUM(P$4:P$503)/COUNTA(A$4:A$503)</f>
        <v>732.59984</v>
      </c>
      <c r="BG42" s="92" t="n">
        <f aca="false">SUM(Q$4:Q$503)/COUNTA(A$4:A$503)</f>
        <v>756.59992</v>
      </c>
      <c r="BH42" s="92" t="n">
        <f aca="false">SUM(R$4:R$503)/COUNTA(A$4:A$503)</f>
        <v>776.40004</v>
      </c>
      <c r="BI42" s="92" t="n">
        <f aca="false">SUM(S$4:S$503)/COUNTA(A$4:A$503)</f>
        <v>806.40012</v>
      </c>
      <c r="BJ42" s="92" t="n">
        <f aca="false">SUM(T$4:T$503)/COUNTA(A$4:A$503)</f>
        <v>826.1999</v>
      </c>
      <c r="BK42" s="92" t="n">
        <f aca="false">SUM(U$4:U$503)/COUNTA(A$4:A$503)</f>
        <v>844.8002</v>
      </c>
      <c r="BL42" s="92" t="n">
        <f aca="false">SUM(V$4:V$503)/COUNTA(A$4:A$503)</f>
        <v>865.7998</v>
      </c>
      <c r="BM42" s="92" t="n">
        <f aca="false">SUM(W$4:W$503)/COUNTA(A$4:A$503)</f>
        <v>888.59982</v>
      </c>
      <c r="BN42" s="93" t="n">
        <f aca="false">SUM(X$4:X$503)/COUNTA(A$4:A$503)</f>
        <v>918.60034</v>
      </c>
      <c r="BO42" s="94" t="s">
        <v>20</v>
      </c>
      <c r="BP42" s="91" t="n">
        <f aca="false">IF(Z42&gt;=BB42,0,IFERROR(BB42+(SUMPRODUCT((Z$4:Z$503&gt;=BB$4:BB$503)*(Z$4:Z$503-BB$4:BB$503))/MAX(1,COUNTIF(Z$4:Z$503,"&lt;"&amp;BB42+0.01))),BB42))</f>
        <v>0</v>
      </c>
      <c r="BQ42" s="92" t="n">
        <f aca="false">IF(AA42&gt;=BC42,0,IFERROR(BC42+SUMPRODUCT((AA$4:AA$503&gt;=BC$4:BC$503)*(AA$4:AA$503-BC$4:BC$503))/MAX(1,COUNTIF(AA$4:AA$503,"&lt;"&amp;BC42+0.01)),BC42))</f>
        <v>2238.46589176471</v>
      </c>
      <c r="BR42" s="92" t="n">
        <f aca="false">IF(AB42&gt;=BD42,0,IFERROR(BD42+SUMPRODUCT((AB$4:AB$503&gt;=BD$4:BD$503)*(AB$4:AB$503-BD$4:BD$503))/MAX(1,COUNTIF(AB$4:AB$503,"&lt;"&amp;BD42+0.01)),BD42))</f>
        <v>3335.2938</v>
      </c>
      <c r="BS42" s="92" t="n">
        <f aca="false">IF(AC42&gt;=BE42,0,IFERROR(BE42+SUMPRODUCT((AC$4:AC$503&gt;=BE$4:BE$503)*(AC$4:AC$503-BE$4:BE$503))/MAX(1,COUNTIF(AC$4:AC$503,"&lt;"&amp;BE42+0.01)),BE42))</f>
        <v>6188.73352</v>
      </c>
      <c r="BT42" s="92" t="n">
        <f aca="false">IF(AD42&gt;=BF42,0,IFERROR(BF42+SUMPRODUCT((AD$4:AD$503&gt;=BF$4:BF$503)*(AD$4:AD$503-BF$4:BF$503))/MAX(1,COUNTIF(AD$4:AD$503,"&lt;"&amp;BF42+0.01)),BF42))</f>
        <v>11354.35411</v>
      </c>
      <c r="BU42" s="92" t="n">
        <f aca="false">IF(AE42&gt;=BG42,0,IFERROR(BG42+SUMPRODUCT((AE$4:AE$503&gt;=BG$4:BG$503)*(AE$4:AE$503-BG$4:BG$503))/MAX(1,COUNTIF(AE$4:AE$503,"&lt;"&amp;BG42+0.01)),BG42))</f>
        <v>0</v>
      </c>
      <c r="BV42" s="92" t="n">
        <f aca="false">IF(AF42&gt;=BH42,0,IFERROR(BH42+SUMPRODUCT((AF$4:AF$503&gt;=BH$4:BH$503)*(AF$4:AF$503-BH$4:BH$503))/MAX(1,COUNTIF(AF$4:AF$503,"&lt;"&amp;BH42+0.01)),BH42))</f>
        <v>0</v>
      </c>
      <c r="BW42" s="92" t="n">
        <f aca="false">IF(AG42&gt;=BI42,0,IFERROR(BI42+SUMPRODUCT((AG$4:AG$503&gt;=BI$4:BI$503)*(AG$4:AG$503-BI$4:BI$503))/MAX(1,COUNTIF(AG$4:AG$503,"&lt;"&amp;BI42+0.01)),BI42))</f>
        <v>0</v>
      </c>
      <c r="BX42" s="92" t="n">
        <f aca="false">IF(AH42&gt;=BJ42,0,IFERROR(BJ42+SUMPRODUCT((AH$4:AH$503&gt;=BJ$4:BJ$503)*(AH$4:AH$503-BJ$4:BJ$503))/MAX(1,COUNTIF(AH$4:AH$503,"&lt;"&amp;BJ42+0.01)),BJ42))</f>
        <v>0</v>
      </c>
      <c r="BY42" s="92" t="n">
        <f aca="false">IF(AI42&gt;=BK42,0,IFERROR(BK42+SUMPRODUCT((AI$4:AI$503&gt;=BK$4:BK$503)*(AI$4:AI$503-BK$4:BK$503))/MAX(1,COUNTIF(AI$4:AI$503,"&lt;"&amp;BK42+0.01)),BK42))</f>
        <v>0</v>
      </c>
      <c r="BZ42" s="92" t="n">
        <f aca="false">IF(AJ42&gt;=BL42,0,IFERROR(BL42+SUMPRODUCT((AJ$4:AJ$503&gt;=BL$4:BL$503)*(AJ$4:AJ$503-BL$4:BL$503))/MAX(1,COUNTIF(AJ$4:AJ$503,"&lt;"&amp;BL42+0.01)),BL42))</f>
        <v>6710.03292307692</v>
      </c>
      <c r="CA42" s="92" t="n">
        <f aca="false">IF(AK42&gt;=BM42,0,IFERROR(BM42+SUMPRODUCT((AK$4:AK$503&gt;=BM$4:BM$503)*(AK$4:AK$503-BM$4:BM$503))/MAX(1,COUNTIF(AK$4:AK$503,"&lt;"&amp;BM42+0.01)),BM42))</f>
        <v>7314.89836842105</v>
      </c>
      <c r="CB42" s="93" t="n">
        <f aca="false">IF(AL42&gt;=BN42,0,IFERROR(BN42+SUMPRODUCT((AL$4:AL$503&gt;=BN$4:BN$503)*(AL$4:AL$503-BN$4:BN$503))/MAX(1,COUNTIF(AL$4:AL$503,"&lt;"&amp;BN42+0.01)),BN42))</f>
        <v>0</v>
      </c>
      <c r="CC42" s="95" t="str">
        <f aca="false">IF(AO42="🟢","VERDE",IF(AO42="🟡","AMARELO",IF(AO42="🟠","VERMELHO",IF(AO42="🔴","VERMELHO","ROXO"))))</f>
        <v>VERMELHO</v>
      </c>
      <c r="CD42" s="96" t="s">
        <v>103</v>
      </c>
      <c r="CE42" s="96" t="s">
        <v>104</v>
      </c>
    </row>
    <row r="43" customFormat="false" ht="14.25" hidden="false" customHeight="true" outlineLevel="0" collapsed="false">
      <c r="A43" s="65" t="s">
        <v>220</v>
      </c>
      <c r="B43" s="66" t="s">
        <v>221</v>
      </c>
      <c r="C43" s="67" t="s">
        <v>99</v>
      </c>
      <c r="D43" s="68" t="s">
        <v>100</v>
      </c>
      <c r="E43" s="69" t="s">
        <v>127</v>
      </c>
      <c r="F43" s="70" t="n">
        <f aca="false">IFERROR(VLOOKUP(C43,$AS$3:$AT$10,2,FALSE()),IFERROR(VLOOKUP(C43,$AS$15:$AT$22,2,FALSE()),""))</f>
        <v>33</v>
      </c>
      <c r="G43" s="71" t="n">
        <f aca="false">IFERROR(VLOOKUP(C43,$AS$3:$AX$10,6,FALSE()),IFERROR(VLOOKUP(C43,$AS$15:$AX$22,6,FALSE()),""))</f>
        <v>0.341494038351172</v>
      </c>
      <c r="H43" s="72" t="str">
        <f aca="false">IFERROR(VLOOKUP(C43,$AS$3:$AY$10,7,FALSE()),IFERROR(VLOOKUP(C43,$AS$15:$AY$22,7,FALSE()),""))</f>
        <v>🔴 VERMELHO</v>
      </c>
      <c r="I43" s="72" t="str">
        <f aca="false">IFERROR(VLOOKUP(C43,$AS$3:$AZ$10,8,FALSE()),IFERROR(VLOOKUP(C43,$AS$15:$AZ$22,8,FALSE()),""))</f>
        <v>Positivação + Expandir</v>
      </c>
      <c r="J43" s="73"/>
      <c r="K43" s="69" t="s">
        <v>99</v>
      </c>
      <c r="L43" s="74" t="n">
        <v>24463.87</v>
      </c>
      <c r="M43" s="75" t="n">
        <v>1719.15</v>
      </c>
      <c r="N43" s="75" t="n">
        <v>1796.45</v>
      </c>
      <c r="O43" s="75" t="n">
        <v>1839.74</v>
      </c>
      <c r="P43" s="75" t="n">
        <v>1887.66</v>
      </c>
      <c r="Q43" s="75" t="n">
        <v>1949.5</v>
      </c>
      <c r="R43" s="75" t="n">
        <v>2000.52</v>
      </c>
      <c r="S43" s="75" t="n">
        <v>2077.82</v>
      </c>
      <c r="T43" s="75" t="n">
        <v>2128.84</v>
      </c>
      <c r="U43" s="75" t="n">
        <v>2176.77</v>
      </c>
      <c r="V43" s="75" t="n">
        <v>2230.88</v>
      </c>
      <c r="W43" s="75" t="n">
        <v>2289.62</v>
      </c>
      <c r="X43" s="76" t="n">
        <v>2366.92</v>
      </c>
      <c r="Y43" s="77" t="s">
        <v>20</v>
      </c>
      <c r="Z43" s="78" t="n">
        <f aca="false">SUM(AA43:AL43)</f>
        <v>13191.97</v>
      </c>
      <c r="AA43" s="75"/>
      <c r="AB43" s="75"/>
      <c r="AC43" s="75"/>
      <c r="AD43" s="79" t="n">
        <v>2185.57</v>
      </c>
      <c r="AE43" s="75"/>
      <c r="AF43" s="79" t="n">
        <v>2798.08</v>
      </c>
      <c r="AG43" s="75"/>
      <c r="AH43" s="79" t="n">
        <v>1859.19</v>
      </c>
      <c r="AI43" s="75"/>
      <c r="AJ43" s="75" t="n">
        <v>3150.05</v>
      </c>
      <c r="AK43" s="79" t="n">
        <v>3199.08</v>
      </c>
      <c r="AL43" s="76"/>
      <c r="AM43" s="56" t="s">
        <v>20</v>
      </c>
      <c r="AN43" s="80" t="n">
        <f aca="false">IF(L43=0,0,Z43/L43)</f>
        <v>0.539242973413446</v>
      </c>
      <c r="AO43" s="81" t="str">
        <f aca="false">IF(AN43="","",IF(AN43&gt;=0.9,"🟢",IF(AN43&gt;=0.7,"🟡",IF(AN43&gt;=0.5,"🟠","🔴"))))</f>
        <v>🟠</v>
      </c>
      <c r="AP43" s="82" t="n">
        <f aca="false">IF(L43=0,0,L43-Z43)</f>
        <v>11271.9</v>
      </c>
      <c r="AQ43" s="83" t="n">
        <f aca="false">IF(AP43=0,"",RANK(AP43,AP$4:AP$503,0))</f>
        <v>52</v>
      </c>
      <c r="AR43" s="84" t="s">
        <v>20</v>
      </c>
      <c r="AS43" s="121"/>
      <c r="AT43" s="119"/>
      <c r="AU43" s="119"/>
      <c r="AV43" s="119"/>
      <c r="AW43" s="119"/>
      <c r="AX43" s="119"/>
      <c r="AY43" s="119"/>
      <c r="AZ43" s="120"/>
      <c r="BA43" s="56" t="s">
        <v>20</v>
      </c>
      <c r="BB43" s="91" t="n">
        <f aca="false">SUM(L$4:L$503)/COUNTA(A$4:A$503)</f>
        <v>9494.39992</v>
      </c>
      <c r="BC43" s="92" t="n">
        <f aca="false">SUM(M$4:M$503)/COUNTA(A$4:A$503)</f>
        <v>667.20008</v>
      </c>
      <c r="BD43" s="92" t="n">
        <f aca="false">SUM(N$4:N$503)/COUNTA(A$4:A$503)</f>
        <v>697.19996</v>
      </c>
      <c r="BE43" s="92" t="n">
        <f aca="false">SUM(O$4:O$503)/COUNTA(A$4:A$503)</f>
        <v>713.9999</v>
      </c>
      <c r="BF43" s="92" t="n">
        <f aca="false">SUM(P$4:P$503)/COUNTA(A$4:A$503)</f>
        <v>732.59984</v>
      </c>
      <c r="BG43" s="92" t="n">
        <f aca="false">SUM(Q$4:Q$503)/COUNTA(A$4:A$503)</f>
        <v>756.59992</v>
      </c>
      <c r="BH43" s="92" t="n">
        <f aca="false">SUM(R$4:R$503)/COUNTA(A$4:A$503)</f>
        <v>776.40004</v>
      </c>
      <c r="BI43" s="92" t="n">
        <f aca="false">SUM(S$4:S$503)/COUNTA(A$4:A$503)</f>
        <v>806.40012</v>
      </c>
      <c r="BJ43" s="92" t="n">
        <f aca="false">SUM(T$4:T$503)/COUNTA(A$4:A$503)</f>
        <v>826.1999</v>
      </c>
      <c r="BK43" s="92" t="n">
        <f aca="false">SUM(U$4:U$503)/COUNTA(A$4:A$503)</f>
        <v>844.8002</v>
      </c>
      <c r="BL43" s="92" t="n">
        <f aca="false">SUM(V$4:V$503)/COUNTA(A$4:A$503)</f>
        <v>865.7998</v>
      </c>
      <c r="BM43" s="92" t="n">
        <f aca="false">SUM(W$4:W$503)/COUNTA(A$4:A$503)</f>
        <v>888.59982</v>
      </c>
      <c r="BN43" s="93" t="n">
        <f aca="false">SUM(X$4:X$503)/COUNTA(A$4:A$503)</f>
        <v>918.60034</v>
      </c>
      <c r="BO43" s="94" t="s">
        <v>20</v>
      </c>
      <c r="BP43" s="91" t="n">
        <f aca="false">IF(Z43&gt;=BB43,0,IFERROR(BB43+(SUMPRODUCT((Z$4:Z$503&gt;=BB$4:BB$503)*(Z$4:Z$503-BB$4:BB$503))/MAX(1,COUNTIF(Z$4:Z$503,"&lt;"&amp;BB43+0.01))),BB43))</f>
        <v>0</v>
      </c>
      <c r="BQ43" s="92" t="n">
        <f aca="false">IF(AA43&gt;=BC43,0,IFERROR(BC43+SUMPRODUCT((AA$4:AA$503&gt;=BC$4:BC$503)*(AA$4:AA$503-BC$4:BC$503))/MAX(1,COUNTIF(AA$4:AA$503,"&lt;"&amp;BC43+0.01)),BC43))</f>
        <v>2238.46589176471</v>
      </c>
      <c r="BR43" s="92" t="n">
        <f aca="false">IF(AB43&gt;=BD43,0,IFERROR(BD43+SUMPRODUCT((AB$4:AB$503&gt;=BD$4:BD$503)*(AB$4:AB$503-BD$4:BD$503))/MAX(1,COUNTIF(AB$4:AB$503,"&lt;"&amp;BD43+0.01)),BD43))</f>
        <v>3335.2938</v>
      </c>
      <c r="BS43" s="92" t="n">
        <f aca="false">IF(AC43&gt;=BE43,0,IFERROR(BE43+SUMPRODUCT((AC$4:AC$503&gt;=BE$4:BE$503)*(AC$4:AC$503-BE$4:BE$503))/MAX(1,COUNTIF(AC$4:AC$503,"&lt;"&amp;BE43+0.01)),BE43))</f>
        <v>6188.73352</v>
      </c>
      <c r="BT43" s="92" t="n">
        <f aca="false">IF(AD43&gt;=BF43,0,IFERROR(BF43+SUMPRODUCT((AD$4:AD$503&gt;=BF$4:BF$503)*(AD$4:AD$503-BF$4:BF$503))/MAX(1,COUNTIF(AD$4:AD$503,"&lt;"&amp;BF43+0.01)),BF43))</f>
        <v>0</v>
      </c>
      <c r="BU43" s="92" t="n">
        <f aca="false">IF(AE43&gt;=BG43,0,IFERROR(BG43+SUMPRODUCT((AE$4:AE$503&gt;=BG$4:BG$503)*(AE$4:AE$503-BG$4:BG$503))/MAX(1,COUNTIF(AE$4:AE$503,"&lt;"&amp;BG43+0.01)),BG43))</f>
        <v>7704.85920380952</v>
      </c>
      <c r="BV43" s="92" t="n">
        <f aca="false">IF(AF43&gt;=BH43,0,IFERROR(BH43+SUMPRODUCT((AF$4:AF$503&gt;=BH$4:BH$503)*(AF$4:AF$503-BH$4:BH$503))/MAX(1,COUNTIF(AF$4:AF$503,"&lt;"&amp;BH43+0.01)),BH43))</f>
        <v>0</v>
      </c>
      <c r="BW43" s="92" t="n">
        <f aca="false">IF(AG43&gt;=BI43,0,IFERROR(BI43+SUMPRODUCT((AG$4:AG$503&gt;=BI$4:BI$503)*(AG$4:AG$503-BI$4:BI$503))/MAX(1,COUNTIF(AG$4:AG$503,"&lt;"&amp;BI43+0.01)),BI43))</f>
        <v>9142.15870461538</v>
      </c>
      <c r="BX43" s="92" t="n">
        <f aca="false">IF(AH43&gt;=BJ43,0,IFERROR(BJ43+SUMPRODUCT((AH$4:AH$503&gt;=BJ$4:BJ$503)*(AH$4:AH$503-BJ$4:BJ$503))/MAX(1,COUNTIF(AH$4:AH$503,"&lt;"&amp;BJ43+0.01)),BJ43))</f>
        <v>0</v>
      </c>
      <c r="BY43" s="92" t="n">
        <f aca="false">IF(AI43&gt;=BK43,0,IFERROR(BK43+SUMPRODUCT((AI$4:AI$503&gt;=BK$4:BK$503)*(AI$4:AI$503-BK$4:BK$503))/MAX(1,COUNTIF(AI$4:AI$503,"&lt;"&amp;BK43+0.01)),BK43))</f>
        <v>7878.25652380952</v>
      </c>
      <c r="BZ43" s="92" t="n">
        <f aca="false">IF(AJ43&gt;=BL43,0,IFERROR(BL43+SUMPRODUCT((AJ$4:AJ$503&gt;=BL$4:BL$503)*(AJ$4:AJ$503-BL$4:BL$503))/MAX(1,COUNTIF(AJ$4:AJ$503,"&lt;"&amp;BL43+0.01)),BL43))</f>
        <v>0</v>
      </c>
      <c r="CA43" s="92" t="n">
        <f aca="false">IF(AK43&gt;=BM43,0,IFERROR(BM43+SUMPRODUCT((AK$4:AK$503&gt;=BM$4:BM$503)*(AK$4:AK$503-BM$4:BM$503))/MAX(1,COUNTIF(AK$4:AK$503,"&lt;"&amp;BM43+0.01)),BM43))</f>
        <v>0</v>
      </c>
      <c r="CB43" s="93" t="n">
        <f aca="false">IF(AL43&gt;=BN43,0,IFERROR(BN43+SUMPRODUCT((AL$4:AL$503&gt;=BN$4:BN$503)*(AL$4:AL$503-BN$4:BN$503))/MAX(1,COUNTIF(AL$4:AL$503,"&lt;"&amp;BN43+0.01)),BN43))</f>
        <v>3597.2614925</v>
      </c>
      <c r="CC43" s="95" t="str">
        <f aca="false">IF(AO43="🟢","VERDE",IF(AO43="🟡","AMARELO",IF(AO43="🟠","VERMELHO",IF(AO43="🔴","VERMELHO","ROXO"))))</f>
        <v>VERMELHO</v>
      </c>
      <c r="CD43" s="96" t="s">
        <v>103</v>
      </c>
      <c r="CE43" s="96" t="s">
        <v>104</v>
      </c>
    </row>
    <row r="44" customFormat="false" ht="14.25" hidden="false" customHeight="true" outlineLevel="0" collapsed="false">
      <c r="A44" s="65" t="s">
        <v>222</v>
      </c>
      <c r="B44" s="66" t="s">
        <v>223</v>
      </c>
      <c r="C44" s="67" t="s">
        <v>107</v>
      </c>
      <c r="D44" s="68" t="s">
        <v>108</v>
      </c>
      <c r="E44" s="69" t="s">
        <v>109</v>
      </c>
      <c r="F44" s="70" t="n">
        <f aca="false">IFERROR(VLOOKUP(C44,$AS$3:$AT$10,2,FALSE()),IFERROR(VLOOKUP(C44,$AS$15:$AT$22,2,FALSE()),""))</f>
        <v>132</v>
      </c>
      <c r="G44" s="71" t="n">
        <f aca="false">IFERROR(VLOOKUP(C44,$AS$3:$AX$10,6,FALSE()),IFERROR(VLOOKUP(C44,$AS$15:$AX$22,6,FALSE()),""))</f>
        <v>0.468190175850689</v>
      </c>
      <c r="H44" s="72" t="str">
        <f aca="false">IFERROR(VLOOKUP(C44,$AS$3:$AY$10,7,FALSE()),IFERROR(VLOOKUP(C44,$AS$15:$AY$22,7,FALSE()),""))</f>
        <v>🟡 AMARELO</v>
      </c>
      <c r="I44" s="72" t="str">
        <f aca="false">IFERROR(VLOOKUP(C44,$AS$3:$AZ$10,8,FALSE()),IFERROR(VLOOKUP(C44,$AS$15:$AZ$22,8,FALSE()),""))</f>
        <v>Sell Out</v>
      </c>
      <c r="J44" s="73"/>
      <c r="K44" s="69" t="s">
        <v>107</v>
      </c>
      <c r="L44" s="74" t="n">
        <v>24450.52</v>
      </c>
      <c r="M44" s="75" t="n">
        <v>1718.21</v>
      </c>
      <c r="N44" s="75" t="n">
        <v>1795.47</v>
      </c>
      <c r="O44" s="75" t="n">
        <v>1838.73</v>
      </c>
      <c r="P44" s="75" t="n">
        <v>1886.63</v>
      </c>
      <c r="Q44" s="75" t="n">
        <v>1948.44</v>
      </c>
      <c r="R44" s="75" t="n">
        <v>1999.43</v>
      </c>
      <c r="S44" s="75" t="n">
        <v>2076.69</v>
      </c>
      <c r="T44" s="75" t="n">
        <v>2127.68</v>
      </c>
      <c r="U44" s="75" t="n">
        <v>2175.58</v>
      </c>
      <c r="V44" s="75" t="n">
        <v>2229.66</v>
      </c>
      <c r="W44" s="75" t="n">
        <v>2288.37</v>
      </c>
      <c r="X44" s="76" t="n">
        <v>2365.63</v>
      </c>
      <c r="Y44" s="77" t="s">
        <v>20</v>
      </c>
      <c r="Z44" s="78" t="n">
        <f aca="false">SUM(AA44:AL44)</f>
        <v>10200.37</v>
      </c>
      <c r="AA44" s="75"/>
      <c r="AB44" s="75"/>
      <c r="AC44" s="75"/>
      <c r="AD44" s="75"/>
      <c r="AE44" s="75"/>
      <c r="AF44" s="79" t="n">
        <v>10200.37</v>
      </c>
      <c r="AG44" s="75"/>
      <c r="AH44" s="75"/>
      <c r="AI44" s="75"/>
      <c r="AJ44" s="75"/>
      <c r="AK44" s="75"/>
      <c r="AL44" s="76"/>
      <c r="AM44" s="56" t="s">
        <v>20</v>
      </c>
      <c r="AN44" s="80" t="n">
        <f aca="false">IF(L44=0,0,Z44/L44)</f>
        <v>0.417184174406107</v>
      </c>
      <c r="AO44" s="81" t="str">
        <f aca="false">IF(AN44="","",IF(AN44&gt;=0.9,"🟢",IF(AN44&gt;=0.7,"🟡",IF(AN44&gt;=0.5,"🟠","🔴"))))</f>
        <v>🔴</v>
      </c>
      <c r="AP44" s="82" t="n">
        <f aca="false">IF(L44=0,0,L44-Z44)</f>
        <v>14250.15</v>
      </c>
      <c r="AQ44" s="83" t="n">
        <f aca="false">IF(AP44=0,"",RANK(AP44,AP$4:AP$503,0))</f>
        <v>35</v>
      </c>
      <c r="AR44" s="84" t="s">
        <v>20</v>
      </c>
      <c r="AS44" s="140"/>
      <c r="AT44" s="130"/>
      <c r="AU44" s="130"/>
      <c r="AV44" s="130"/>
      <c r="AW44" s="130"/>
      <c r="AX44" s="130"/>
      <c r="AY44" s="129"/>
      <c r="AZ44" s="131"/>
      <c r="BA44" s="56" t="s">
        <v>20</v>
      </c>
      <c r="BB44" s="91" t="n">
        <f aca="false">SUM(L$4:L$503)/COUNTA(A$4:A$503)</f>
        <v>9494.39992</v>
      </c>
      <c r="BC44" s="92" t="n">
        <f aca="false">SUM(M$4:M$503)/COUNTA(A$4:A$503)</f>
        <v>667.20008</v>
      </c>
      <c r="BD44" s="92" t="n">
        <f aca="false">SUM(N$4:N$503)/COUNTA(A$4:A$503)</f>
        <v>697.19996</v>
      </c>
      <c r="BE44" s="92" t="n">
        <f aca="false">SUM(O$4:O$503)/COUNTA(A$4:A$503)</f>
        <v>713.9999</v>
      </c>
      <c r="BF44" s="92" t="n">
        <f aca="false">SUM(P$4:P$503)/COUNTA(A$4:A$503)</f>
        <v>732.59984</v>
      </c>
      <c r="BG44" s="92" t="n">
        <f aca="false">SUM(Q$4:Q$503)/COUNTA(A$4:A$503)</f>
        <v>756.59992</v>
      </c>
      <c r="BH44" s="92" t="n">
        <f aca="false">SUM(R$4:R$503)/COUNTA(A$4:A$503)</f>
        <v>776.40004</v>
      </c>
      <c r="BI44" s="92" t="n">
        <f aca="false">SUM(S$4:S$503)/COUNTA(A$4:A$503)</f>
        <v>806.40012</v>
      </c>
      <c r="BJ44" s="92" t="n">
        <f aca="false">SUM(T$4:T$503)/COUNTA(A$4:A$503)</f>
        <v>826.1999</v>
      </c>
      <c r="BK44" s="92" t="n">
        <f aca="false">SUM(U$4:U$503)/COUNTA(A$4:A$503)</f>
        <v>844.8002</v>
      </c>
      <c r="BL44" s="92" t="n">
        <f aca="false">SUM(V$4:V$503)/COUNTA(A$4:A$503)</f>
        <v>865.7998</v>
      </c>
      <c r="BM44" s="92" t="n">
        <f aca="false">SUM(W$4:W$503)/COUNTA(A$4:A$503)</f>
        <v>888.59982</v>
      </c>
      <c r="BN44" s="93" t="n">
        <f aca="false">SUM(X$4:X$503)/COUNTA(A$4:A$503)</f>
        <v>918.60034</v>
      </c>
      <c r="BO44" s="94" t="s">
        <v>20</v>
      </c>
      <c r="BP44" s="91" t="n">
        <f aca="false">IF(Z44&gt;=BB44,0,IFERROR(BB44+(SUMPRODUCT((Z$4:Z$503&gt;=BB$4:BB$503)*(Z$4:Z$503-BB$4:BB$503))/MAX(1,COUNTIF(Z$4:Z$503,"&lt;"&amp;BB44+0.01))),BB44))</f>
        <v>0</v>
      </c>
      <c r="BQ44" s="92" t="n">
        <f aca="false">IF(AA44&gt;=BC44,0,IFERROR(BC44+SUMPRODUCT((AA$4:AA$503&gt;=BC$4:BC$503)*(AA$4:AA$503-BC$4:BC$503))/MAX(1,COUNTIF(AA$4:AA$503,"&lt;"&amp;BC44+0.01)),BC44))</f>
        <v>2238.46589176471</v>
      </c>
      <c r="BR44" s="92" t="n">
        <f aca="false">IF(AB44&gt;=BD44,0,IFERROR(BD44+SUMPRODUCT((AB$4:AB$503&gt;=BD$4:BD$503)*(AB$4:AB$503-BD$4:BD$503))/MAX(1,COUNTIF(AB$4:AB$503,"&lt;"&amp;BD44+0.01)),BD44))</f>
        <v>3335.2938</v>
      </c>
      <c r="BS44" s="92" t="n">
        <f aca="false">IF(AC44&gt;=BE44,0,IFERROR(BE44+SUMPRODUCT((AC$4:AC$503&gt;=BE$4:BE$503)*(AC$4:AC$503-BE$4:BE$503))/MAX(1,COUNTIF(AC$4:AC$503,"&lt;"&amp;BE44+0.01)),BE44))</f>
        <v>6188.73352</v>
      </c>
      <c r="BT44" s="92" t="n">
        <f aca="false">IF(AD44&gt;=BF44,0,IFERROR(BF44+SUMPRODUCT((AD$4:AD$503&gt;=BF$4:BF$503)*(AD$4:AD$503-BF$4:BF$503))/MAX(1,COUNTIF(AD$4:AD$503,"&lt;"&amp;BF44+0.01)),BF44))</f>
        <v>11354.35411</v>
      </c>
      <c r="BU44" s="92" t="n">
        <f aca="false">IF(AE44&gt;=BG44,0,IFERROR(BG44+SUMPRODUCT((AE$4:AE$503&gt;=BG$4:BG$503)*(AE$4:AE$503-BG$4:BG$503))/MAX(1,COUNTIF(AE$4:AE$503,"&lt;"&amp;BG44+0.01)),BG44))</f>
        <v>7704.85920380952</v>
      </c>
      <c r="BV44" s="92" t="n">
        <f aca="false">IF(AF44&gt;=BH44,0,IFERROR(BH44+SUMPRODUCT((AF$4:AF$503&gt;=BH$4:BH$503)*(AF$4:AF$503-BH$4:BH$503))/MAX(1,COUNTIF(AF$4:AF$503,"&lt;"&amp;BH44+0.01)),BH44))</f>
        <v>0</v>
      </c>
      <c r="BW44" s="92" t="n">
        <f aca="false">IF(AG44&gt;=BI44,0,IFERROR(BI44+SUMPRODUCT((AG$4:AG$503&gt;=BI$4:BI$503)*(AG$4:AG$503-BI$4:BI$503))/MAX(1,COUNTIF(AG$4:AG$503,"&lt;"&amp;BI44+0.01)),BI44))</f>
        <v>9142.15870461538</v>
      </c>
      <c r="BX44" s="92" t="n">
        <f aca="false">IF(AH44&gt;=BJ44,0,IFERROR(BJ44+SUMPRODUCT((AH$4:AH$503&gt;=BJ$4:BJ$503)*(AH$4:AH$503-BJ$4:BJ$503))/MAX(1,COUNTIF(AH$4:AH$503,"&lt;"&amp;BJ44+0.01)),BJ44))</f>
        <v>5621.50263448276</v>
      </c>
      <c r="BY44" s="92" t="n">
        <f aca="false">IF(AI44&gt;=BK44,0,IFERROR(BK44+SUMPRODUCT((AI$4:AI$503&gt;=BK$4:BK$503)*(AI$4:AI$503-BK$4:BK$503))/MAX(1,COUNTIF(AI$4:AI$503,"&lt;"&amp;BK44+0.01)),BK44))</f>
        <v>7878.25652380952</v>
      </c>
      <c r="BZ44" s="92" t="n">
        <f aca="false">IF(AJ44&gt;=BL44,0,IFERROR(BL44+SUMPRODUCT((AJ$4:AJ$503&gt;=BL$4:BL$503)*(AJ$4:AJ$503-BL$4:BL$503))/MAX(1,COUNTIF(AJ$4:AJ$503,"&lt;"&amp;BL44+0.01)),BL44))</f>
        <v>6710.03292307692</v>
      </c>
      <c r="CA44" s="92" t="n">
        <f aca="false">IF(AK44&gt;=BM44,0,IFERROR(BM44+SUMPRODUCT((AK$4:AK$503&gt;=BM$4:BM$503)*(AK$4:AK$503-BM$4:BM$503))/MAX(1,COUNTIF(AK$4:AK$503,"&lt;"&amp;BM44+0.01)),BM44))</f>
        <v>7314.89836842105</v>
      </c>
      <c r="CB44" s="93" t="n">
        <f aca="false">IF(AL44&gt;=BN44,0,IFERROR(BN44+SUMPRODUCT((AL$4:AL$503&gt;=BN$4:BN$503)*(AL$4:AL$503-BN$4:BN$503))/MAX(1,COUNTIF(AL$4:AL$503,"&lt;"&amp;BN44+0.01)),BN44))</f>
        <v>3597.2614925</v>
      </c>
      <c r="CC44" s="95" t="str">
        <f aca="false">IF(AO44="🟢","VERDE",IF(AO44="🟡","AMARELO",IF(AO44="🟠","VERMELHO",IF(AO44="🔴","VERMELHO","ROXO"))))</f>
        <v>VERMELHO</v>
      </c>
      <c r="CD44" s="96" t="s">
        <v>103</v>
      </c>
      <c r="CE44" s="96" t="s">
        <v>104</v>
      </c>
    </row>
    <row r="45" customFormat="false" ht="14.25" hidden="false" customHeight="true" outlineLevel="0" collapsed="false">
      <c r="A45" s="65" t="s">
        <v>224</v>
      </c>
      <c r="B45" s="66" t="s">
        <v>225</v>
      </c>
      <c r="C45" s="67" t="s">
        <v>107</v>
      </c>
      <c r="D45" s="68" t="s">
        <v>108</v>
      </c>
      <c r="E45" s="69" t="s">
        <v>109</v>
      </c>
      <c r="F45" s="70" t="n">
        <f aca="false">IFERROR(VLOOKUP(C45,$AS$3:$AT$10,2,FALSE()),IFERROR(VLOOKUP(C45,$AS$15:$AT$22,2,FALSE()),""))</f>
        <v>132</v>
      </c>
      <c r="G45" s="71" t="n">
        <f aca="false">IFERROR(VLOOKUP(C45,$AS$3:$AX$10,6,FALSE()),IFERROR(VLOOKUP(C45,$AS$15:$AX$22,6,FALSE()),""))</f>
        <v>0.468190175850689</v>
      </c>
      <c r="H45" s="72" t="str">
        <f aca="false">IFERROR(VLOOKUP(C45,$AS$3:$AY$10,7,FALSE()),IFERROR(VLOOKUP(C45,$AS$15:$AY$22,7,FALSE()),""))</f>
        <v>🟡 AMARELO</v>
      </c>
      <c r="I45" s="72" t="str">
        <f aca="false">IFERROR(VLOOKUP(C45,$AS$3:$AZ$10,8,FALSE()),IFERROR(VLOOKUP(C45,$AS$15:$AZ$22,8,FALSE()),""))</f>
        <v>Sell Out</v>
      </c>
      <c r="J45" s="73"/>
      <c r="K45" s="69" t="s">
        <v>107</v>
      </c>
      <c r="L45" s="74" t="n">
        <v>24021.26</v>
      </c>
      <c r="M45" s="75" t="n">
        <v>1688.05</v>
      </c>
      <c r="N45" s="75" t="n">
        <v>1763.95</v>
      </c>
      <c r="O45" s="75" t="n">
        <v>1806.45</v>
      </c>
      <c r="P45" s="75" t="n">
        <v>1853.51</v>
      </c>
      <c r="Q45" s="75" t="n">
        <v>1914.23</v>
      </c>
      <c r="R45" s="75" t="n">
        <v>1964.33</v>
      </c>
      <c r="S45" s="75" t="n">
        <v>2040.23</v>
      </c>
      <c r="T45" s="75" t="n">
        <v>2090.32</v>
      </c>
      <c r="U45" s="75" t="n">
        <v>2137.38</v>
      </c>
      <c r="V45" s="75" t="n">
        <v>2190.51</v>
      </c>
      <c r="W45" s="75" t="n">
        <v>2248.2</v>
      </c>
      <c r="X45" s="76" t="n">
        <v>2324.1</v>
      </c>
      <c r="Y45" s="77" t="s">
        <v>20</v>
      </c>
      <c r="Z45" s="78" t="n">
        <f aca="false">SUM(AA45:AL45)</f>
        <v>11358.43</v>
      </c>
      <c r="AA45" s="75"/>
      <c r="AB45" s="75"/>
      <c r="AC45" s="75"/>
      <c r="AD45" s="75"/>
      <c r="AE45" s="75"/>
      <c r="AF45" s="79" t="n">
        <v>11358.43</v>
      </c>
      <c r="AG45" s="75"/>
      <c r="AH45" s="75"/>
      <c r="AI45" s="75"/>
      <c r="AJ45" s="75"/>
      <c r="AK45" s="75"/>
      <c r="AL45" s="76"/>
      <c r="AM45" s="56" t="s">
        <v>20</v>
      </c>
      <c r="AN45" s="80" t="n">
        <f aca="false">IF(L45=0,0,Z45/L45)</f>
        <v>0.472849051215465</v>
      </c>
      <c r="AO45" s="81" t="str">
        <f aca="false">IF(AN45="","",IF(AN45&gt;=0.9,"🟢",IF(AN45&gt;=0.7,"🟡",IF(AN45&gt;=0.5,"🟠","🔴"))))</f>
        <v>🔴</v>
      </c>
      <c r="AP45" s="82" t="n">
        <f aca="false">IF(L45=0,0,L45-Z45)</f>
        <v>12662.83</v>
      </c>
      <c r="AQ45" s="83" t="n">
        <f aca="false">IF(AP45=0,"",RANK(AP45,AP$4:AP$503,0))</f>
        <v>41</v>
      </c>
      <c r="AR45" s="84" t="s">
        <v>20</v>
      </c>
      <c r="AS45" s="119"/>
      <c r="AT45" s="119"/>
      <c r="AU45" s="119"/>
      <c r="AV45" s="119"/>
      <c r="AW45" s="119"/>
      <c r="AX45" s="119"/>
      <c r="AY45" s="133"/>
      <c r="AZ45" s="133"/>
      <c r="BA45" s="56" t="s">
        <v>20</v>
      </c>
      <c r="BB45" s="91" t="n">
        <f aca="false">SUM(L$4:L$503)/COUNTA(A$4:A$503)</f>
        <v>9494.39992</v>
      </c>
      <c r="BC45" s="92" t="n">
        <f aca="false">SUM(M$4:M$503)/COUNTA(A$4:A$503)</f>
        <v>667.20008</v>
      </c>
      <c r="BD45" s="92" t="n">
        <f aca="false">SUM(N$4:N$503)/COUNTA(A$4:A$503)</f>
        <v>697.19996</v>
      </c>
      <c r="BE45" s="92" t="n">
        <f aca="false">SUM(O$4:O$503)/COUNTA(A$4:A$503)</f>
        <v>713.9999</v>
      </c>
      <c r="BF45" s="92" t="n">
        <f aca="false">SUM(P$4:P$503)/COUNTA(A$4:A$503)</f>
        <v>732.59984</v>
      </c>
      <c r="BG45" s="92" t="n">
        <f aca="false">SUM(Q$4:Q$503)/COUNTA(A$4:A$503)</f>
        <v>756.59992</v>
      </c>
      <c r="BH45" s="92" t="n">
        <f aca="false">SUM(R$4:R$503)/COUNTA(A$4:A$503)</f>
        <v>776.40004</v>
      </c>
      <c r="BI45" s="92" t="n">
        <f aca="false">SUM(S$4:S$503)/COUNTA(A$4:A$503)</f>
        <v>806.40012</v>
      </c>
      <c r="BJ45" s="92" t="n">
        <f aca="false">SUM(T$4:T$503)/COUNTA(A$4:A$503)</f>
        <v>826.1999</v>
      </c>
      <c r="BK45" s="92" t="n">
        <f aca="false">SUM(U$4:U$503)/COUNTA(A$4:A$503)</f>
        <v>844.8002</v>
      </c>
      <c r="BL45" s="92" t="n">
        <f aca="false">SUM(V$4:V$503)/COUNTA(A$4:A$503)</f>
        <v>865.7998</v>
      </c>
      <c r="BM45" s="92" t="n">
        <f aca="false">SUM(W$4:W$503)/COUNTA(A$4:A$503)</f>
        <v>888.59982</v>
      </c>
      <c r="BN45" s="93" t="n">
        <f aca="false">SUM(X$4:X$503)/COUNTA(A$4:A$503)</f>
        <v>918.60034</v>
      </c>
      <c r="BO45" s="94" t="s">
        <v>20</v>
      </c>
      <c r="BP45" s="91" t="n">
        <f aca="false">IF(Z45&gt;=BB45,0,IFERROR(BB45+(SUMPRODUCT((Z$4:Z$503&gt;=BB$4:BB$503)*(Z$4:Z$503-BB$4:BB$503))/MAX(1,COUNTIF(Z$4:Z$503,"&lt;"&amp;BB45+0.01))),BB45))</f>
        <v>0</v>
      </c>
      <c r="BQ45" s="92" t="n">
        <f aca="false">IF(AA45&gt;=BC45,0,IFERROR(BC45+SUMPRODUCT((AA$4:AA$503&gt;=BC$4:BC$503)*(AA$4:AA$503-BC$4:BC$503))/MAX(1,COUNTIF(AA$4:AA$503,"&lt;"&amp;BC45+0.01)),BC45))</f>
        <v>2238.46589176471</v>
      </c>
      <c r="BR45" s="92" t="n">
        <f aca="false">IF(AB45&gt;=BD45,0,IFERROR(BD45+SUMPRODUCT((AB$4:AB$503&gt;=BD$4:BD$503)*(AB$4:AB$503-BD$4:BD$503))/MAX(1,COUNTIF(AB$4:AB$503,"&lt;"&amp;BD45+0.01)),BD45))</f>
        <v>3335.2938</v>
      </c>
      <c r="BS45" s="92" t="n">
        <f aca="false">IF(AC45&gt;=BE45,0,IFERROR(BE45+SUMPRODUCT((AC$4:AC$503&gt;=BE$4:BE$503)*(AC$4:AC$503-BE$4:BE$503))/MAX(1,COUNTIF(AC$4:AC$503,"&lt;"&amp;BE45+0.01)),BE45))</f>
        <v>6188.73352</v>
      </c>
      <c r="BT45" s="92" t="n">
        <f aca="false">IF(AD45&gt;=BF45,0,IFERROR(BF45+SUMPRODUCT((AD$4:AD$503&gt;=BF$4:BF$503)*(AD$4:AD$503-BF$4:BF$503))/MAX(1,COUNTIF(AD$4:AD$503,"&lt;"&amp;BF45+0.01)),BF45))</f>
        <v>11354.35411</v>
      </c>
      <c r="BU45" s="92" t="n">
        <f aca="false">IF(AE45&gt;=BG45,0,IFERROR(BG45+SUMPRODUCT((AE$4:AE$503&gt;=BG$4:BG$503)*(AE$4:AE$503-BG$4:BG$503))/MAX(1,COUNTIF(AE$4:AE$503,"&lt;"&amp;BG45+0.01)),BG45))</f>
        <v>7704.85920380952</v>
      </c>
      <c r="BV45" s="92" t="n">
        <f aca="false">IF(AF45&gt;=BH45,0,IFERROR(BH45+SUMPRODUCT((AF$4:AF$503&gt;=BH$4:BH$503)*(AF$4:AF$503-BH$4:BH$503))/MAX(1,COUNTIF(AF$4:AF$503,"&lt;"&amp;BH45+0.01)),BH45))</f>
        <v>0</v>
      </c>
      <c r="BW45" s="92" t="n">
        <f aca="false">IF(AG45&gt;=BI45,0,IFERROR(BI45+SUMPRODUCT((AG$4:AG$503&gt;=BI$4:BI$503)*(AG$4:AG$503-BI$4:BI$503))/MAX(1,COUNTIF(AG$4:AG$503,"&lt;"&amp;BI45+0.01)),BI45))</f>
        <v>9142.15870461538</v>
      </c>
      <c r="BX45" s="92" t="n">
        <f aca="false">IF(AH45&gt;=BJ45,0,IFERROR(BJ45+SUMPRODUCT((AH$4:AH$503&gt;=BJ$4:BJ$503)*(AH$4:AH$503-BJ$4:BJ$503))/MAX(1,COUNTIF(AH$4:AH$503,"&lt;"&amp;BJ45+0.01)),BJ45))</f>
        <v>5621.50263448276</v>
      </c>
      <c r="BY45" s="92" t="n">
        <f aca="false">IF(AI45&gt;=BK45,0,IFERROR(BK45+SUMPRODUCT((AI$4:AI$503&gt;=BK$4:BK$503)*(AI$4:AI$503-BK$4:BK$503))/MAX(1,COUNTIF(AI$4:AI$503,"&lt;"&amp;BK45+0.01)),BK45))</f>
        <v>7878.25652380952</v>
      </c>
      <c r="BZ45" s="92" t="n">
        <f aca="false">IF(AJ45&gt;=BL45,0,IFERROR(BL45+SUMPRODUCT((AJ$4:AJ$503&gt;=BL$4:BL$503)*(AJ$4:AJ$503-BL$4:BL$503))/MAX(1,COUNTIF(AJ$4:AJ$503,"&lt;"&amp;BL45+0.01)),BL45))</f>
        <v>6710.03292307692</v>
      </c>
      <c r="CA45" s="92" t="n">
        <f aca="false">IF(AK45&gt;=BM45,0,IFERROR(BM45+SUMPRODUCT((AK$4:AK$503&gt;=BM$4:BM$503)*(AK$4:AK$503-BM$4:BM$503))/MAX(1,COUNTIF(AK$4:AK$503,"&lt;"&amp;BM45+0.01)),BM45))</f>
        <v>7314.89836842105</v>
      </c>
      <c r="CB45" s="93" t="n">
        <f aca="false">IF(AL45&gt;=BN45,0,IFERROR(BN45+SUMPRODUCT((AL$4:AL$503&gt;=BN$4:BN$503)*(AL$4:AL$503-BN$4:BN$503))/MAX(1,COUNTIF(AL$4:AL$503,"&lt;"&amp;BN45+0.01)),BN45))</f>
        <v>3597.2614925</v>
      </c>
      <c r="CC45" s="95" t="str">
        <f aca="false">IF(AO45="🟢","VERDE",IF(AO45="🟡","AMARELO",IF(AO45="🟠","VERMELHO",IF(AO45="🔴","VERMELHO","ROXO"))))</f>
        <v>VERMELHO</v>
      </c>
      <c r="CD45" s="96" t="s">
        <v>103</v>
      </c>
      <c r="CE45" s="96" t="s">
        <v>104</v>
      </c>
    </row>
    <row r="46" customFormat="false" ht="14.25" hidden="false" customHeight="true" outlineLevel="0" collapsed="false">
      <c r="A46" s="65" t="s">
        <v>226</v>
      </c>
      <c r="B46" s="66" t="s">
        <v>227</v>
      </c>
      <c r="C46" s="67" t="s">
        <v>123</v>
      </c>
      <c r="D46" s="68" t="s">
        <v>108</v>
      </c>
      <c r="E46" s="56" t="s">
        <v>20</v>
      </c>
      <c r="F46" s="70" t="n">
        <f aca="false">IFERROR(VLOOKUP(C46,$AS$3:$AT$10,2,FALSE()),IFERROR(VLOOKUP(C46,$AS$15:$AT$22,2,FALSE()),""))</f>
        <v>49</v>
      </c>
      <c r="G46" s="71" t="n">
        <f aca="false">IFERROR(VLOOKUP(C46,$AS$3:$AX$10,6,FALSE()),IFERROR(VLOOKUP(C46,$AS$15:$AX$22,6,FALSE()),""))</f>
        <v>0.436391353881959</v>
      </c>
      <c r="H46" s="72" t="str">
        <f aca="false">IFERROR(VLOOKUP(C46,$AS$3:$AY$10,7,FALSE()),IFERROR(VLOOKUP(C46,$AS$15:$AY$22,7,FALSE()),""))</f>
        <v>🟡 AMARELO</v>
      </c>
      <c r="I46" s="72" t="str">
        <f aca="false">IFERROR(VLOOKUP(C46,$AS$3:$AZ$10,8,FALSE()),IFERROR(VLOOKUP(C46,$AS$15:$AZ$22,8,FALSE()),""))</f>
        <v>Sell Out</v>
      </c>
      <c r="J46" s="73"/>
      <c r="K46" s="56" t="s">
        <v>20</v>
      </c>
      <c r="L46" s="74" t="n">
        <v>23125.65</v>
      </c>
      <c r="M46" s="75" t="n">
        <v>1625.11</v>
      </c>
      <c r="N46" s="75" t="n">
        <v>1698.18</v>
      </c>
      <c r="O46" s="75" t="n">
        <v>1739.1</v>
      </c>
      <c r="P46" s="75" t="n">
        <v>1784.4</v>
      </c>
      <c r="Q46" s="75" t="n">
        <v>1842.86</v>
      </c>
      <c r="R46" s="75" t="n">
        <v>1891.09</v>
      </c>
      <c r="S46" s="75" t="n">
        <v>1964.16</v>
      </c>
      <c r="T46" s="75" t="n">
        <v>2012.39</v>
      </c>
      <c r="U46" s="75" t="n">
        <v>2057.69</v>
      </c>
      <c r="V46" s="75" t="n">
        <v>2108.84</v>
      </c>
      <c r="W46" s="75" t="n">
        <v>2164.38</v>
      </c>
      <c r="X46" s="76" t="n">
        <v>2237.45</v>
      </c>
      <c r="Y46" s="77" t="s">
        <v>20</v>
      </c>
      <c r="Z46" s="78" t="n">
        <f aca="false">SUM(AA46:AL46)</f>
        <v>9404.71</v>
      </c>
      <c r="AA46" s="75"/>
      <c r="AB46" s="75"/>
      <c r="AC46" s="75"/>
      <c r="AD46" s="75"/>
      <c r="AE46" s="75"/>
      <c r="AF46" s="75" t="n">
        <v>9404.71</v>
      </c>
      <c r="AG46" s="75"/>
      <c r="AH46" s="75"/>
      <c r="AI46" s="75"/>
      <c r="AJ46" s="75"/>
      <c r="AK46" s="75"/>
      <c r="AL46" s="76"/>
      <c r="AM46" s="56" t="s">
        <v>20</v>
      </c>
      <c r="AN46" s="80" t="n">
        <f aca="false">IF(L46=0,0,Z46/L46)</f>
        <v>0.406678731192421</v>
      </c>
      <c r="AO46" s="81" t="str">
        <f aca="false">IF(AN46="","",IF(AN46&gt;=0.9,"🟢",IF(AN46&gt;=0.7,"🟡",IF(AN46&gt;=0.5,"🟠","🔴"))))</f>
        <v>🔴</v>
      </c>
      <c r="AP46" s="82" t="n">
        <f aca="false">IF(L46=0,0,L46-Z46)</f>
        <v>13720.94</v>
      </c>
      <c r="AQ46" s="83" t="n">
        <f aca="false">IF(AP46=0,"",RANK(AP46,AP$4:AP$503,0))</f>
        <v>37</v>
      </c>
      <c r="AR46" s="84" t="s">
        <v>20</v>
      </c>
      <c r="AS46" s="119"/>
      <c r="AT46" s="119"/>
      <c r="AU46" s="119"/>
      <c r="AV46" s="119"/>
      <c r="AW46" s="119"/>
      <c r="AX46" s="119"/>
      <c r="AY46" s="133"/>
      <c r="AZ46" s="133"/>
      <c r="BA46" s="56" t="s">
        <v>20</v>
      </c>
      <c r="BB46" s="91" t="n">
        <f aca="false">SUM(L$4:L$503)/COUNTA(A$4:A$503)</f>
        <v>9494.39992</v>
      </c>
      <c r="BC46" s="92" t="n">
        <f aca="false">SUM(M$4:M$503)/COUNTA(A$4:A$503)</f>
        <v>667.20008</v>
      </c>
      <c r="BD46" s="92" t="n">
        <f aca="false">SUM(N$4:N$503)/COUNTA(A$4:A$503)</f>
        <v>697.19996</v>
      </c>
      <c r="BE46" s="92" t="n">
        <f aca="false">SUM(O$4:O$503)/COUNTA(A$4:A$503)</f>
        <v>713.9999</v>
      </c>
      <c r="BF46" s="92" t="n">
        <f aca="false">SUM(P$4:P$503)/COUNTA(A$4:A$503)</f>
        <v>732.59984</v>
      </c>
      <c r="BG46" s="92" t="n">
        <f aca="false">SUM(Q$4:Q$503)/COUNTA(A$4:A$503)</f>
        <v>756.59992</v>
      </c>
      <c r="BH46" s="92" t="n">
        <f aca="false">SUM(R$4:R$503)/COUNTA(A$4:A$503)</f>
        <v>776.40004</v>
      </c>
      <c r="BI46" s="92" t="n">
        <f aca="false">SUM(S$4:S$503)/COUNTA(A$4:A$503)</f>
        <v>806.40012</v>
      </c>
      <c r="BJ46" s="92" t="n">
        <f aca="false">SUM(T$4:T$503)/COUNTA(A$4:A$503)</f>
        <v>826.1999</v>
      </c>
      <c r="BK46" s="92" t="n">
        <f aca="false">SUM(U$4:U$503)/COUNTA(A$4:A$503)</f>
        <v>844.8002</v>
      </c>
      <c r="BL46" s="92" t="n">
        <f aca="false">SUM(V$4:V$503)/COUNTA(A$4:A$503)</f>
        <v>865.7998</v>
      </c>
      <c r="BM46" s="92" t="n">
        <f aca="false">SUM(W$4:W$503)/COUNTA(A$4:A$503)</f>
        <v>888.59982</v>
      </c>
      <c r="BN46" s="93" t="n">
        <f aca="false">SUM(X$4:X$503)/COUNTA(A$4:A$503)</f>
        <v>918.60034</v>
      </c>
      <c r="BO46" s="94" t="s">
        <v>20</v>
      </c>
      <c r="BP46" s="91" t="n">
        <f aca="false">IF(Z46&gt;=BB46,0,IFERROR(BB46+(SUMPRODUCT((Z$4:Z$503&gt;=BB$4:BB$503)*(Z$4:Z$503-BB$4:BB$503))/MAX(1,COUNTIF(Z$4:Z$503,"&lt;"&amp;BB46+0.01))),BB46))</f>
        <v>10695.5432177778</v>
      </c>
      <c r="BQ46" s="92" t="n">
        <f aca="false">IF(AA46&gt;=BC46,0,IFERROR(BC46+SUMPRODUCT((AA$4:AA$503&gt;=BC$4:BC$503)*(AA$4:AA$503-BC$4:BC$503))/MAX(1,COUNTIF(AA$4:AA$503,"&lt;"&amp;BC46+0.01)),BC46))</f>
        <v>2238.46589176471</v>
      </c>
      <c r="BR46" s="92" t="n">
        <f aca="false">IF(AB46&gt;=BD46,0,IFERROR(BD46+SUMPRODUCT((AB$4:AB$503&gt;=BD$4:BD$503)*(AB$4:AB$503-BD$4:BD$503))/MAX(1,COUNTIF(AB$4:AB$503,"&lt;"&amp;BD46+0.01)),BD46))</f>
        <v>3335.2938</v>
      </c>
      <c r="BS46" s="92" t="n">
        <f aca="false">IF(AC46&gt;=BE46,0,IFERROR(BE46+SUMPRODUCT((AC$4:AC$503&gt;=BE$4:BE$503)*(AC$4:AC$503-BE$4:BE$503))/MAX(1,COUNTIF(AC$4:AC$503,"&lt;"&amp;BE46+0.01)),BE46))</f>
        <v>6188.73352</v>
      </c>
      <c r="BT46" s="92" t="n">
        <f aca="false">IF(AD46&gt;=BF46,0,IFERROR(BF46+SUMPRODUCT((AD$4:AD$503&gt;=BF$4:BF$503)*(AD$4:AD$503-BF$4:BF$503))/MAX(1,COUNTIF(AD$4:AD$503,"&lt;"&amp;BF46+0.01)),BF46))</f>
        <v>11354.35411</v>
      </c>
      <c r="BU46" s="92" t="n">
        <f aca="false">IF(AE46&gt;=BG46,0,IFERROR(BG46+SUMPRODUCT((AE$4:AE$503&gt;=BG$4:BG$503)*(AE$4:AE$503-BG$4:BG$503))/MAX(1,COUNTIF(AE$4:AE$503,"&lt;"&amp;BG46+0.01)),BG46))</f>
        <v>7704.85920380952</v>
      </c>
      <c r="BV46" s="92" t="n">
        <f aca="false">IF(AF46&gt;=BH46,0,IFERROR(BH46+SUMPRODUCT((AF$4:AF$503&gt;=BH$4:BH$503)*(AF$4:AF$503-BH$4:BH$503))/MAX(1,COUNTIF(AF$4:AF$503,"&lt;"&amp;BH46+0.01)),BH46))</f>
        <v>0</v>
      </c>
      <c r="BW46" s="92" t="n">
        <f aca="false">IF(AG46&gt;=BI46,0,IFERROR(BI46+SUMPRODUCT((AG$4:AG$503&gt;=BI$4:BI$503)*(AG$4:AG$503-BI$4:BI$503))/MAX(1,COUNTIF(AG$4:AG$503,"&lt;"&amp;BI46+0.01)),BI46))</f>
        <v>9142.15870461538</v>
      </c>
      <c r="BX46" s="92" t="n">
        <f aca="false">IF(AH46&gt;=BJ46,0,IFERROR(BJ46+SUMPRODUCT((AH$4:AH$503&gt;=BJ$4:BJ$503)*(AH$4:AH$503-BJ$4:BJ$503))/MAX(1,COUNTIF(AH$4:AH$503,"&lt;"&amp;BJ46+0.01)),BJ46))</f>
        <v>5621.50263448276</v>
      </c>
      <c r="BY46" s="92" t="n">
        <f aca="false">IF(AI46&gt;=BK46,0,IFERROR(BK46+SUMPRODUCT((AI$4:AI$503&gt;=BK$4:BK$503)*(AI$4:AI$503-BK$4:BK$503))/MAX(1,COUNTIF(AI$4:AI$503,"&lt;"&amp;BK46+0.01)),BK46))</f>
        <v>7878.25652380952</v>
      </c>
      <c r="BZ46" s="92" t="n">
        <f aca="false">IF(AJ46&gt;=BL46,0,IFERROR(BL46+SUMPRODUCT((AJ$4:AJ$503&gt;=BL$4:BL$503)*(AJ$4:AJ$503-BL$4:BL$503))/MAX(1,COUNTIF(AJ$4:AJ$503,"&lt;"&amp;BL46+0.01)),BL46))</f>
        <v>6710.03292307692</v>
      </c>
      <c r="CA46" s="92" t="n">
        <f aca="false">IF(AK46&gt;=BM46,0,IFERROR(BM46+SUMPRODUCT((AK$4:AK$503&gt;=BM$4:BM$503)*(AK$4:AK$503-BM$4:BM$503))/MAX(1,COUNTIF(AK$4:AK$503,"&lt;"&amp;BM46+0.01)),BM46))</f>
        <v>7314.89836842105</v>
      </c>
      <c r="CB46" s="93" t="n">
        <f aca="false">IF(AL46&gt;=BN46,0,IFERROR(BN46+SUMPRODUCT((AL$4:AL$503&gt;=BN$4:BN$503)*(AL$4:AL$503-BN$4:BN$503))/MAX(1,COUNTIF(AL$4:AL$503,"&lt;"&amp;BN46+0.01)),BN46))</f>
        <v>3597.2614925</v>
      </c>
      <c r="CC46" s="95" t="str">
        <f aca="false">IF(AO46="🟢","VERDE",IF(AO46="🟡","AMARELO",IF(AO46="🟠","VERMELHO",IF(AO46="🔴","VERMELHO","ROXO"))))</f>
        <v>VERMELHO</v>
      </c>
      <c r="CD46" s="96" t="s">
        <v>103</v>
      </c>
      <c r="CE46" s="96" t="s">
        <v>104</v>
      </c>
    </row>
    <row r="47" customFormat="false" ht="14.25" hidden="false" customHeight="true" outlineLevel="0" collapsed="false">
      <c r="A47" s="65" t="s">
        <v>228</v>
      </c>
      <c r="B47" s="66" t="s">
        <v>229</v>
      </c>
      <c r="C47" s="67" t="s">
        <v>99</v>
      </c>
      <c r="D47" s="68" t="s">
        <v>100</v>
      </c>
      <c r="E47" s="69" t="s">
        <v>101</v>
      </c>
      <c r="F47" s="70" t="n">
        <f aca="false">IFERROR(VLOOKUP(C47,$AS$3:$AT$10,2,FALSE()),IFERROR(VLOOKUP(C47,$AS$15:$AT$22,2,FALSE()),""))</f>
        <v>33</v>
      </c>
      <c r="G47" s="71" t="n">
        <f aca="false">IFERROR(VLOOKUP(C47,$AS$3:$AX$10,6,FALSE()),IFERROR(VLOOKUP(C47,$AS$15:$AX$22,6,FALSE()),""))</f>
        <v>0.341494038351172</v>
      </c>
      <c r="H47" s="72" t="str">
        <f aca="false">IFERROR(VLOOKUP(C47,$AS$3:$AY$10,7,FALSE()),IFERROR(VLOOKUP(C47,$AS$15:$AY$22,7,FALSE()),""))</f>
        <v>🔴 VERMELHO</v>
      </c>
      <c r="I47" s="72" t="str">
        <f aca="false">IFERROR(VLOOKUP(C47,$AS$3:$AZ$10,8,FALSE()),IFERROR(VLOOKUP(C47,$AS$15:$AZ$22,8,FALSE()),""))</f>
        <v>Positivação + Expandir</v>
      </c>
      <c r="J47" s="73"/>
      <c r="K47" s="69" t="s">
        <v>99</v>
      </c>
      <c r="L47" s="74" t="n">
        <v>22066.5</v>
      </c>
      <c r="M47" s="75" t="n">
        <v>1550.68</v>
      </c>
      <c r="N47" s="75" t="n">
        <v>1620.4</v>
      </c>
      <c r="O47" s="75" t="n">
        <v>1659.45</v>
      </c>
      <c r="P47" s="75" t="n">
        <v>1702.68</v>
      </c>
      <c r="Q47" s="75" t="n">
        <v>1758.46</v>
      </c>
      <c r="R47" s="75" t="n">
        <v>1804.48</v>
      </c>
      <c r="S47" s="75" t="n">
        <v>1874.2</v>
      </c>
      <c r="T47" s="75" t="n">
        <v>1920.22</v>
      </c>
      <c r="U47" s="75" t="n">
        <v>1963.45</v>
      </c>
      <c r="V47" s="75" t="n">
        <v>2012.26</v>
      </c>
      <c r="W47" s="75" t="n">
        <v>2065.25</v>
      </c>
      <c r="X47" s="76" t="n">
        <v>2134.97</v>
      </c>
      <c r="Y47" s="77" t="s">
        <v>20</v>
      </c>
      <c r="Z47" s="78" t="n">
        <f aca="false">SUM(AA47:AL47)</f>
        <v>8874.06</v>
      </c>
      <c r="AA47" s="75"/>
      <c r="AB47" s="75"/>
      <c r="AC47" s="75"/>
      <c r="AD47" s="79" t="n">
        <v>5667.06</v>
      </c>
      <c r="AE47" s="75"/>
      <c r="AF47" s="75"/>
      <c r="AG47" s="79" t="n">
        <v>2232</v>
      </c>
      <c r="AH47" s="79" t="n">
        <v>975</v>
      </c>
      <c r="AI47" s="75"/>
      <c r="AJ47" s="75"/>
      <c r="AK47" s="75"/>
      <c r="AL47" s="76"/>
      <c r="AM47" s="56" t="s">
        <v>20</v>
      </c>
      <c r="AN47" s="80" t="n">
        <f aca="false">IF(L47=0,0,Z47/L47)</f>
        <v>0.402150771531507</v>
      </c>
      <c r="AO47" s="81" t="str">
        <f aca="false">IF(AN47="","",IF(AN47&gt;=0.9,"🟢",IF(AN47&gt;=0.7,"🟡",IF(AN47&gt;=0.5,"🟠","🔴"))))</f>
        <v>🔴</v>
      </c>
      <c r="AP47" s="82" t="n">
        <f aca="false">IF(L47=0,0,L47-Z47)</f>
        <v>13192.44</v>
      </c>
      <c r="AQ47" s="83" t="n">
        <f aca="false">IF(AP47=0,"",RANK(AP47,AP$4:AP$503,0))</f>
        <v>39</v>
      </c>
      <c r="AR47" s="84" t="s">
        <v>20</v>
      </c>
      <c r="AS47" s="119"/>
      <c r="AT47" s="119"/>
      <c r="AU47" s="119"/>
      <c r="AV47" s="119"/>
      <c r="AW47" s="119"/>
      <c r="AX47" s="119"/>
      <c r="AY47" s="133"/>
      <c r="AZ47" s="133"/>
      <c r="BA47" s="56" t="s">
        <v>20</v>
      </c>
      <c r="BB47" s="91" t="n">
        <f aca="false">SUM(L$4:L$503)/COUNTA(A$4:A$503)</f>
        <v>9494.39992</v>
      </c>
      <c r="BC47" s="92" t="n">
        <f aca="false">SUM(M$4:M$503)/COUNTA(A$4:A$503)</f>
        <v>667.20008</v>
      </c>
      <c r="BD47" s="92" t="n">
        <f aca="false">SUM(N$4:N$503)/COUNTA(A$4:A$503)</f>
        <v>697.19996</v>
      </c>
      <c r="BE47" s="92" t="n">
        <f aca="false">SUM(O$4:O$503)/COUNTA(A$4:A$503)</f>
        <v>713.9999</v>
      </c>
      <c r="BF47" s="92" t="n">
        <f aca="false">SUM(P$4:P$503)/COUNTA(A$4:A$503)</f>
        <v>732.59984</v>
      </c>
      <c r="BG47" s="92" t="n">
        <f aca="false">SUM(Q$4:Q$503)/COUNTA(A$4:A$503)</f>
        <v>756.59992</v>
      </c>
      <c r="BH47" s="92" t="n">
        <f aca="false">SUM(R$4:R$503)/COUNTA(A$4:A$503)</f>
        <v>776.40004</v>
      </c>
      <c r="BI47" s="92" t="n">
        <f aca="false">SUM(S$4:S$503)/COUNTA(A$4:A$503)</f>
        <v>806.40012</v>
      </c>
      <c r="BJ47" s="92" t="n">
        <f aca="false">SUM(T$4:T$503)/COUNTA(A$4:A$503)</f>
        <v>826.1999</v>
      </c>
      <c r="BK47" s="92" t="n">
        <f aca="false">SUM(U$4:U$503)/COUNTA(A$4:A$503)</f>
        <v>844.8002</v>
      </c>
      <c r="BL47" s="92" t="n">
        <f aca="false">SUM(V$4:V$503)/COUNTA(A$4:A$503)</f>
        <v>865.7998</v>
      </c>
      <c r="BM47" s="92" t="n">
        <f aca="false">SUM(W$4:W$503)/COUNTA(A$4:A$503)</f>
        <v>888.59982</v>
      </c>
      <c r="BN47" s="93" t="n">
        <f aca="false">SUM(X$4:X$503)/COUNTA(A$4:A$503)</f>
        <v>918.60034</v>
      </c>
      <c r="BO47" s="94" t="s">
        <v>20</v>
      </c>
      <c r="BP47" s="91" t="n">
        <f aca="false">IF(Z47&gt;=BB47,0,IFERROR(BB47+(SUMPRODUCT((Z$4:Z$503&gt;=BB$4:BB$503)*(Z$4:Z$503-BB$4:BB$503))/MAX(1,COUNTIF(Z$4:Z$503,"&lt;"&amp;BB47+0.01))),BB47))</f>
        <v>10695.5432177778</v>
      </c>
      <c r="BQ47" s="92" t="n">
        <f aca="false">IF(AA47&gt;=BC47,0,IFERROR(BC47+SUMPRODUCT((AA$4:AA$503&gt;=BC$4:BC$503)*(AA$4:AA$503-BC$4:BC$503))/MAX(1,COUNTIF(AA$4:AA$503,"&lt;"&amp;BC47+0.01)),BC47))</f>
        <v>2238.46589176471</v>
      </c>
      <c r="BR47" s="92" t="n">
        <f aca="false">IF(AB47&gt;=BD47,0,IFERROR(BD47+SUMPRODUCT((AB$4:AB$503&gt;=BD$4:BD$503)*(AB$4:AB$503-BD$4:BD$503))/MAX(1,COUNTIF(AB$4:AB$503,"&lt;"&amp;BD47+0.01)),BD47))</f>
        <v>3335.2938</v>
      </c>
      <c r="BS47" s="92" t="n">
        <f aca="false">IF(AC47&gt;=BE47,0,IFERROR(BE47+SUMPRODUCT((AC$4:AC$503&gt;=BE$4:BE$503)*(AC$4:AC$503-BE$4:BE$503))/MAX(1,COUNTIF(AC$4:AC$503,"&lt;"&amp;BE47+0.01)),BE47))</f>
        <v>6188.73352</v>
      </c>
      <c r="BT47" s="92" t="n">
        <f aca="false">IF(AD47&gt;=BF47,0,IFERROR(BF47+SUMPRODUCT((AD$4:AD$503&gt;=BF$4:BF$503)*(AD$4:AD$503-BF$4:BF$503))/MAX(1,COUNTIF(AD$4:AD$503,"&lt;"&amp;BF47+0.01)),BF47))</f>
        <v>0</v>
      </c>
      <c r="BU47" s="92" t="n">
        <f aca="false">IF(AE47&gt;=BG47,0,IFERROR(BG47+SUMPRODUCT((AE$4:AE$503&gt;=BG$4:BG$503)*(AE$4:AE$503-BG$4:BG$503))/MAX(1,COUNTIF(AE$4:AE$503,"&lt;"&amp;BG47+0.01)),BG47))</f>
        <v>7704.85920380952</v>
      </c>
      <c r="BV47" s="92" t="n">
        <f aca="false">IF(AF47&gt;=BH47,0,IFERROR(BH47+SUMPRODUCT((AF$4:AF$503&gt;=BH$4:BH$503)*(AF$4:AF$503-BH$4:BH$503))/MAX(1,COUNTIF(AF$4:AF$503,"&lt;"&amp;BH47+0.01)),BH47))</f>
        <v>9942.6503831579</v>
      </c>
      <c r="BW47" s="92" t="n">
        <f aca="false">IF(AG47&gt;=BI47,0,IFERROR(BI47+SUMPRODUCT((AG$4:AG$503&gt;=BI$4:BI$503)*(AG$4:AG$503-BI$4:BI$503))/MAX(1,COUNTIF(AG$4:AG$503,"&lt;"&amp;BI47+0.01)),BI47))</f>
        <v>0</v>
      </c>
      <c r="BX47" s="92" t="n">
        <f aca="false">IF(AH47&gt;=BJ47,0,IFERROR(BJ47+SUMPRODUCT((AH$4:AH$503&gt;=BJ$4:BJ$503)*(AH$4:AH$503-BJ$4:BJ$503))/MAX(1,COUNTIF(AH$4:AH$503,"&lt;"&amp;BJ47+0.01)),BJ47))</f>
        <v>0</v>
      </c>
      <c r="BY47" s="92" t="n">
        <f aca="false">IF(AI47&gt;=BK47,0,IFERROR(BK47+SUMPRODUCT((AI$4:AI$503&gt;=BK$4:BK$503)*(AI$4:AI$503-BK$4:BK$503))/MAX(1,COUNTIF(AI$4:AI$503,"&lt;"&amp;BK47+0.01)),BK47))</f>
        <v>7878.25652380952</v>
      </c>
      <c r="BZ47" s="92" t="n">
        <f aca="false">IF(AJ47&gt;=BL47,0,IFERROR(BL47+SUMPRODUCT((AJ$4:AJ$503&gt;=BL$4:BL$503)*(AJ$4:AJ$503-BL$4:BL$503))/MAX(1,COUNTIF(AJ$4:AJ$503,"&lt;"&amp;BL47+0.01)),BL47))</f>
        <v>6710.03292307692</v>
      </c>
      <c r="CA47" s="92" t="n">
        <f aca="false">IF(AK47&gt;=BM47,0,IFERROR(BM47+SUMPRODUCT((AK$4:AK$503&gt;=BM$4:BM$503)*(AK$4:AK$503-BM$4:BM$503))/MAX(1,COUNTIF(AK$4:AK$503,"&lt;"&amp;BM47+0.01)),BM47))</f>
        <v>7314.89836842105</v>
      </c>
      <c r="CB47" s="93" t="n">
        <f aca="false">IF(AL47&gt;=BN47,0,IFERROR(BN47+SUMPRODUCT((AL$4:AL$503&gt;=BN$4:BN$503)*(AL$4:AL$503-BN$4:BN$503))/MAX(1,COUNTIF(AL$4:AL$503,"&lt;"&amp;BN47+0.01)),BN47))</f>
        <v>3597.2614925</v>
      </c>
      <c r="CC47" s="95" t="str">
        <f aca="false">IF(AO47="🟢","VERDE",IF(AO47="🟡","AMARELO",IF(AO47="🟠","VERMELHO",IF(AO47="🔴","VERMELHO","ROXO"))))</f>
        <v>VERMELHO</v>
      </c>
      <c r="CD47" s="96" t="s">
        <v>103</v>
      </c>
      <c r="CE47" s="96" t="s">
        <v>104</v>
      </c>
    </row>
    <row r="48" customFormat="false" ht="14.25" hidden="false" customHeight="true" outlineLevel="0" collapsed="false">
      <c r="A48" s="65" t="s">
        <v>230</v>
      </c>
      <c r="B48" s="66" t="s">
        <v>231</v>
      </c>
      <c r="C48" s="67" t="s">
        <v>107</v>
      </c>
      <c r="D48" s="68" t="s">
        <v>108</v>
      </c>
      <c r="E48" s="69" t="s">
        <v>109</v>
      </c>
      <c r="F48" s="70" t="n">
        <f aca="false">IFERROR(VLOOKUP(C48,$AS$3:$AT$10,2,FALSE()),IFERROR(VLOOKUP(C48,$AS$15:$AT$22,2,FALSE()),""))</f>
        <v>132</v>
      </c>
      <c r="G48" s="71" t="n">
        <f aca="false">IFERROR(VLOOKUP(C48,$AS$3:$AX$10,6,FALSE()),IFERROR(VLOOKUP(C48,$AS$15:$AX$22,6,FALSE()),""))</f>
        <v>0.468190175850689</v>
      </c>
      <c r="H48" s="72" t="str">
        <f aca="false">IFERROR(VLOOKUP(C48,$AS$3:$AY$10,7,FALSE()),IFERROR(VLOOKUP(C48,$AS$15:$AY$22,7,FALSE()),""))</f>
        <v>🟡 AMARELO</v>
      </c>
      <c r="I48" s="72" t="str">
        <f aca="false">IFERROR(VLOOKUP(C48,$AS$3:$AZ$10,8,FALSE()),IFERROR(VLOOKUP(C48,$AS$15:$AZ$22,8,FALSE()),""))</f>
        <v>Sell Out</v>
      </c>
      <c r="J48" s="73"/>
      <c r="K48" s="69" t="s">
        <v>107</v>
      </c>
      <c r="L48" s="74" t="n">
        <v>21054.33</v>
      </c>
      <c r="M48" s="75" t="n">
        <v>1479.55</v>
      </c>
      <c r="N48" s="75" t="n">
        <v>1546.08</v>
      </c>
      <c r="O48" s="75" t="n">
        <v>1583.33</v>
      </c>
      <c r="P48" s="75" t="n">
        <v>1624.58</v>
      </c>
      <c r="Q48" s="75" t="n">
        <v>1677.8</v>
      </c>
      <c r="R48" s="75" t="n">
        <v>1721.71</v>
      </c>
      <c r="S48" s="75" t="n">
        <v>1788.23</v>
      </c>
      <c r="T48" s="75" t="n">
        <v>1832.14</v>
      </c>
      <c r="U48" s="75" t="n">
        <v>1873.39</v>
      </c>
      <c r="V48" s="75" t="n">
        <v>1919.96</v>
      </c>
      <c r="W48" s="75" t="n">
        <v>1970.52</v>
      </c>
      <c r="X48" s="76" t="n">
        <v>2037.04</v>
      </c>
      <c r="Y48" s="77" t="s">
        <v>20</v>
      </c>
      <c r="Z48" s="78" t="n">
        <f aca="false">SUM(AA48:AL48)</f>
        <v>10486.11</v>
      </c>
      <c r="AA48" s="75"/>
      <c r="AB48" s="75"/>
      <c r="AC48" s="75"/>
      <c r="AD48" s="79" t="n">
        <v>3522.82</v>
      </c>
      <c r="AE48" s="75"/>
      <c r="AF48" s="79" t="n">
        <v>757.99</v>
      </c>
      <c r="AG48" s="79" t="n">
        <v>1624.59</v>
      </c>
      <c r="AH48" s="79" t="n">
        <v>913.8</v>
      </c>
      <c r="AI48" s="75"/>
      <c r="AJ48" s="79" t="n">
        <v>3666.91</v>
      </c>
      <c r="AK48" s="75"/>
      <c r="AL48" s="76"/>
      <c r="AM48" s="56" t="s">
        <v>20</v>
      </c>
      <c r="AN48" s="80" t="n">
        <f aca="false">IF(L48=0,0,Z48/L48)</f>
        <v>0.498050044812635</v>
      </c>
      <c r="AO48" s="81" t="str">
        <f aca="false">IF(AN48="","",IF(AN48&gt;=0.9,"🟢",IF(AN48&gt;=0.7,"🟡",IF(AN48&gt;=0.5,"🟠","🔴"))))</f>
        <v>🔴</v>
      </c>
      <c r="AP48" s="82" t="n">
        <f aca="false">IF(L48=0,0,L48-Z48)</f>
        <v>10568.22</v>
      </c>
      <c r="AQ48" s="83" t="n">
        <f aca="false">IF(AP48=0,"",RANK(AP48,AP$4:AP$503,0))</f>
        <v>57</v>
      </c>
      <c r="AR48" s="84" t="s">
        <v>20</v>
      </c>
      <c r="AS48" s="119"/>
      <c r="AT48" s="119"/>
      <c r="AU48" s="119"/>
      <c r="AV48" s="119"/>
      <c r="AW48" s="119"/>
      <c r="AX48" s="119"/>
      <c r="AY48" s="133"/>
      <c r="AZ48" s="133"/>
      <c r="BA48" s="56" t="s">
        <v>20</v>
      </c>
      <c r="BB48" s="91" t="n">
        <f aca="false">SUM(L$4:L$503)/COUNTA(A$4:A$503)</f>
        <v>9494.39992</v>
      </c>
      <c r="BC48" s="92" t="n">
        <f aca="false">SUM(M$4:M$503)/COUNTA(A$4:A$503)</f>
        <v>667.20008</v>
      </c>
      <c r="BD48" s="92" t="n">
        <f aca="false">SUM(N$4:N$503)/COUNTA(A$4:A$503)</f>
        <v>697.19996</v>
      </c>
      <c r="BE48" s="92" t="n">
        <f aca="false">SUM(O$4:O$503)/COUNTA(A$4:A$503)</f>
        <v>713.9999</v>
      </c>
      <c r="BF48" s="92" t="n">
        <f aca="false">SUM(P$4:P$503)/COUNTA(A$4:A$503)</f>
        <v>732.59984</v>
      </c>
      <c r="BG48" s="92" t="n">
        <f aca="false">SUM(Q$4:Q$503)/COUNTA(A$4:A$503)</f>
        <v>756.59992</v>
      </c>
      <c r="BH48" s="92" t="n">
        <f aca="false">SUM(R$4:R$503)/COUNTA(A$4:A$503)</f>
        <v>776.40004</v>
      </c>
      <c r="BI48" s="92" t="n">
        <f aca="false">SUM(S$4:S$503)/COUNTA(A$4:A$503)</f>
        <v>806.40012</v>
      </c>
      <c r="BJ48" s="92" t="n">
        <f aca="false">SUM(T$4:T$503)/COUNTA(A$4:A$503)</f>
        <v>826.1999</v>
      </c>
      <c r="BK48" s="92" t="n">
        <f aca="false">SUM(U$4:U$503)/COUNTA(A$4:A$503)</f>
        <v>844.8002</v>
      </c>
      <c r="BL48" s="92" t="n">
        <f aca="false">SUM(V$4:V$503)/COUNTA(A$4:A$503)</f>
        <v>865.7998</v>
      </c>
      <c r="BM48" s="92" t="n">
        <f aca="false">SUM(W$4:W$503)/COUNTA(A$4:A$503)</f>
        <v>888.59982</v>
      </c>
      <c r="BN48" s="93" t="n">
        <f aca="false">SUM(X$4:X$503)/COUNTA(A$4:A$503)</f>
        <v>918.60034</v>
      </c>
      <c r="BO48" s="94" t="s">
        <v>20</v>
      </c>
      <c r="BP48" s="91" t="n">
        <f aca="false">IF(Z48&gt;=BB48,0,IFERROR(BB48+(SUMPRODUCT((Z$4:Z$503&gt;=BB$4:BB$503)*(Z$4:Z$503-BB$4:BB$503))/MAX(1,COUNTIF(Z$4:Z$503,"&lt;"&amp;BB48+0.01))),BB48))</f>
        <v>0</v>
      </c>
      <c r="BQ48" s="92" t="n">
        <f aca="false">IF(AA48&gt;=BC48,0,IFERROR(BC48+SUMPRODUCT((AA$4:AA$503&gt;=BC$4:BC$503)*(AA$4:AA$503-BC$4:BC$503))/MAX(1,COUNTIF(AA$4:AA$503,"&lt;"&amp;BC48+0.01)),BC48))</f>
        <v>2238.46589176471</v>
      </c>
      <c r="BR48" s="92" t="n">
        <f aca="false">IF(AB48&gt;=BD48,0,IFERROR(BD48+SUMPRODUCT((AB$4:AB$503&gt;=BD$4:BD$503)*(AB$4:AB$503-BD$4:BD$503))/MAX(1,COUNTIF(AB$4:AB$503,"&lt;"&amp;BD48+0.01)),BD48))</f>
        <v>3335.2938</v>
      </c>
      <c r="BS48" s="92" t="n">
        <f aca="false">IF(AC48&gt;=BE48,0,IFERROR(BE48+SUMPRODUCT((AC$4:AC$503&gt;=BE$4:BE$503)*(AC$4:AC$503-BE$4:BE$503))/MAX(1,COUNTIF(AC$4:AC$503,"&lt;"&amp;BE48+0.01)),BE48))</f>
        <v>6188.73352</v>
      </c>
      <c r="BT48" s="92" t="n">
        <f aca="false">IF(AD48&gt;=BF48,0,IFERROR(BF48+SUMPRODUCT((AD$4:AD$503&gt;=BF$4:BF$503)*(AD$4:AD$503-BF$4:BF$503))/MAX(1,COUNTIF(AD$4:AD$503,"&lt;"&amp;BF48+0.01)),BF48))</f>
        <v>0</v>
      </c>
      <c r="BU48" s="92" t="n">
        <f aca="false">IF(AE48&gt;=BG48,0,IFERROR(BG48+SUMPRODUCT((AE$4:AE$503&gt;=BG$4:BG$503)*(AE$4:AE$503-BG$4:BG$503))/MAX(1,COUNTIF(AE$4:AE$503,"&lt;"&amp;BG48+0.01)),BG48))</f>
        <v>7704.85920380952</v>
      </c>
      <c r="BV48" s="92" t="n">
        <f aca="false">IF(AF48&gt;=BH48,0,IFERROR(BH48+SUMPRODUCT((AF$4:AF$503&gt;=BH$4:BH$503)*(AF$4:AF$503-BH$4:BH$503))/MAX(1,COUNTIF(AF$4:AF$503,"&lt;"&amp;BH48+0.01)),BH48))</f>
        <v>9942.6503831579</v>
      </c>
      <c r="BW48" s="92" t="n">
        <f aca="false">IF(AG48&gt;=BI48,0,IFERROR(BI48+SUMPRODUCT((AG$4:AG$503&gt;=BI$4:BI$503)*(AG$4:AG$503-BI$4:BI$503))/MAX(1,COUNTIF(AG$4:AG$503,"&lt;"&amp;BI48+0.01)),BI48))</f>
        <v>0</v>
      </c>
      <c r="BX48" s="92" t="n">
        <f aca="false">IF(AH48&gt;=BJ48,0,IFERROR(BJ48+SUMPRODUCT((AH$4:AH$503&gt;=BJ$4:BJ$503)*(AH$4:AH$503-BJ$4:BJ$503))/MAX(1,COUNTIF(AH$4:AH$503,"&lt;"&amp;BJ48+0.01)),BJ48))</f>
        <v>0</v>
      </c>
      <c r="BY48" s="92" t="n">
        <f aca="false">IF(AI48&gt;=BK48,0,IFERROR(BK48+SUMPRODUCT((AI$4:AI$503&gt;=BK$4:BK$503)*(AI$4:AI$503-BK$4:BK$503))/MAX(1,COUNTIF(AI$4:AI$503,"&lt;"&amp;BK48+0.01)),BK48))</f>
        <v>7878.25652380952</v>
      </c>
      <c r="BZ48" s="92" t="n">
        <f aca="false">IF(AJ48&gt;=BL48,0,IFERROR(BL48+SUMPRODUCT((AJ$4:AJ$503&gt;=BL$4:BL$503)*(AJ$4:AJ$503-BL$4:BL$503))/MAX(1,COUNTIF(AJ$4:AJ$503,"&lt;"&amp;BL48+0.01)),BL48))</f>
        <v>0</v>
      </c>
      <c r="CA48" s="92" t="n">
        <f aca="false">IF(AK48&gt;=BM48,0,IFERROR(BM48+SUMPRODUCT((AK$4:AK$503&gt;=BM$4:BM$503)*(AK$4:AK$503-BM$4:BM$503))/MAX(1,COUNTIF(AK$4:AK$503,"&lt;"&amp;BM48+0.01)),BM48))</f>
        <v>7314.89836842105</v>
      </c>
      <c r="CB48" s="93" t="n">
        <f aca="false">IF(AL48&gt;=BN48,0,IFERROR(BN48+SUMPRODUCT((AL$4:AL$503&gt;=BN$4:BN$503)*(AL$4:AL$503-BN$4:BN$503))/MAX(1,COUNTIF(AL$4:AL$503,"&lt;"&amp;BN48+0.01)),BN48))</f>
        <v>3597.2614925</v>
      </c>
      <c r="CC48" s="95" t="str">
        <f aca="false">IF(AO48="🟢","VERDE",IF(AO48="🟡","AMARELO",IF(AO48="🟠","VERMELHO",IF(AO48="🔴","VERMELHO","ROXO"))))</f>
        <v>VERMELHO</v>
      </c>
      <c r="CD48" s="96" t="s">
        <v>103</v>
      </c>
      <c r="CE48" s="96" t="s">
        <v>104</v>
      </c>
    </row>
    <row r="49" customFormat="false" ht="14.25" hidden="false" customHeight="true" outlineLevel="0" collapsed="false">
      <c r="A49" s="65" t="s">
        <v>232</v>
      </c>
      <c r="B49" s="66" t="s">
        <v>182</v>
      </c>
      <c r="C49" s="66" t="s">
        <v>183</v>
      </c>
      <c r="D49" s="68" t="s">
        <v>108</v>
      </c>
      <c r="E49" s="56" t="s">
        <v>20</v>
      </c>
      <c r="F49" s="70" t="str">
        <f aca="false">IFERROR(VLOOKUP(C49,$AS$3:$AT$10,2,FALSE()),IFERROR(VLOOKUP(C49,$AS$15:$AT$22,2,FALSE()),""))</f>
        <v/>
      </c>
      <c r="G49" s="71" t="str">
        <f aca="false">IFERROR(VLOOKUP(C49,$AS$3:$AX$10,6,FALSE()),IFERROR(VLOOKUP(C49,$AS$15:$AX$22,6,FALSE()),""))</f>
        <v/>
      </c>
      <c r="H49" s="72" t="str">
        <f aca="false">IFERROR(VLOOKUP(C49,$AS$3:$AY$10,7,FALSE()),IFERROR(VLOOKUP(C49,$AS$15:$AY$22,7,FALSE()),""))</f>
        <v/>
      </c>
      <c r="I49" s="72" t="str">
        <f aca="false">IFERROR(VLOOKUP(C49,$AS$3:$AZ$10,8,FALSE()),IFERROR(VLOOKUP(C49,$AS$15:$AZ$22,8,FALSE()),""))</f>
        <v/>
      </c>
      <c r="J49" s="73"/>
      <c r="K49" s="56" t="s">
        <v>20</v>
      </c>
      <c r="L49" s="74" t="n">
        <v>21031.27</v>
      </c>
      <c r="M49" s="75" t="n">
        <v>1477.93</v>
      </c>
      <c r="N49" s="75" t="n">
        <v>1544.38</v>
      </c>
      <c r="O49" s="75" t="n">
        <v>1581.6</v>
      </c>
      <c r="P49" s="75" t="n">
        <v>1622.8</v>
      </c>
      <c r="Q49" s="75" t="n">
        <v>1675.96</v>
      </c>
      <c r="R49" s="75" t="n">
        <v>1719.82</v>
      </c>
      <c r="S49" s="75" t="n">
        <v>1786.28</v>
      </c>
      <c r="T49" s="75" t="n">
        <v>1830.14</v>
      </c>
      <c r="U49" s="75" t="n">
        <v>1871.34</v>
      </c>
      <c r="V49" s="75" t="n">
        <v>1917.85</v>
      </c>
      <c r="W49" s="75" t="n">
        <v>1968.36</v>
      </c>
      <c r="X49" s="76" t="n">
        <v>2034.81</v>
      </c>
      <c r="Y49" s="77" t="s">
        <v>20</v>
      </c>
      <c r="Z49" s="78" t="n">
        <f aca="false">SUM(AA49:AL49)</f>
        <v>8467.75</v>
      </c>
      <c r="AA49" s="75"/>
      <c r="AB49" s="75"/>
      <c r="AC49" s="75"/>
      <c r="AD49" s="75"/>
      <c r="AE49" s="75"/>
      <c r="AF49" s="75" t="n">
        <v>1321.01</v>
      </c>
      <c r="AG49" s="75"/>
      <c r="AH49" s="75" t="n">
        <v>3054.31</v>
      </c>
      <c r="AI49" s="75" t="n">
        <v>1562.38</v>
      </c>
      <c r="AJ49" s="75" t="n">
        <v>1658.12</v>
      </c>
      <c r="AK49" s="75"/>
      <c r="AL49" s="76" t="n">
        <v>871.93</v>
      </c>
      <c r="AM49" s="56" t="s">
        <v>20</v>
      </c>
      <c r="AN49" s="80" t="n">
        <f aca="false">IF(L49=0,0,Z49/L49)</f>
        <v>0.402626660206445</v>
      </c>
      <c r="AO49" s="81" t="str">
        <f aca="false">IF(AN49="","",IF(AN49&gt;=0.9,"🟢",IF(AN49&gt;=0.7,"🟡",IF(AN49&gt;=0.5,"🟠","🔴"))))</f>
        <v>🔴</v>
      </c>
      <c r="AP49" s="82" t="n">
        <f aca="false">IF(L49=0,0,L49-Z49)</f>
        <v>12563.52</v>
      </c>
      <c r="AQ49" s="83" t="n">
        <f aca="false">IF(AP49=0,"",RANK(AP49,AP$4:AP$503,0))</f>
        <v>42</v>
      </c>
      <c r="AR49" s="84" t="s">
        <v>20</v>
      </c>
      <c r="AS49" s="119"/>
      <c r="AT49" s="119"/>
      <c r="AU49" s="119"/>
      <c r="AV49" s="119"/>
      <c r="AW49" s="119"/>
      <c r="AX49" s="119"/>
      <c r="AY49" s="133"/>
      <c r="AZ49" s="133"/>
      <c r="BA49" s="56" t="s">
        <v>20</v>
      </c>
      <c r="BB49" s="91" t="n">
        <f aca="false">SUM(L$4:L$503)/COUNTA(A$4:A$503)</f>
        <v>9494.39992</v>
      </c>
      <c r="BC49" s="92" t="n">
        <f aca="false">SUM(M$4:M$503)/COUNTA(A$4:A$503)</f>
        <v>667.20008</v>
      </c>
      <c r="BD49" s="92" t="n">
        <f aca="false">SUM(N$4:N$503)/COUNTA(A$4:A$503)</f>
        <v>697.19996</v>
      </c>
      <c r="BE49" s="92" t="n">
        <f aca="false">SUM(O$4:O$503)/COUNTA(A$4:A$503)</f>
        <v>713.9999</v>
      </c>
      <c r="BF49" s="92" t="n">
        <f aca="false">SUM(P$4:P$503)/COUNTA(A$4:A$503)</f>
        <v>732.59984</v>
      </c>
      <c r="BG49" s="92" t="n">
        <f aca="false">SUM(Q$4:Q$503)/COUNTA(A$4:A$503)</f>
        <v>756.59992</v>
      </c>
      <c r="BH49" s="92" t="n">
        <f aca="false">SUM(R$4:R$503)/COUNTA(A$4:A$503)</f>
        <v>776.40004</v>
      </c>
      <c r="BI49" s="92" t="n">
        <f aca="false">SUM(S$4:S$503)/COUNTA(A$4:A$503)</f>
        <v>806.40012</v>
      </c>
      <c r="BJ49" s="92" t="n">
        <f aca="false">SUM(T$4:T$503)/COUNTA(A$4:A$503)</f>
        <v>826.1999</v>
      </c>
      <c r="BK49" s="92" t="n">
        <f aca="false">SUM(U$4:U$503)/COUNTA(A$4:A$503)</f>
        <v>844.8002</v>
      </c>
      <c r="BL49" s="92" t="n">
        <f aca="false">SUM(V$4:V$503)/COUNTA(A$4:A$503)</f>
        <v>865.7998</v>
      </c>
      <c r="BM49" s="92" t="n">
        <f aca="false">SUM(W$4:W$503)/COUNTA(A$4:A$503)</f>
        <v>888.59982</v>
      </c>
      <c r="BN49" s="93" t="n">
        <f aca="false">SUM(X$4:X$503)/COUNTA(A$4:A$503)</f>
        <v>918.60034</v>
      </c>
      <c r="BO49" s="94" t="s">
        <v>20</v>
      </c>
      <c r="BP49" s="91" t="n">
        <f aca="false">IF(Z49&gt;=BB49,0,IFERROR(BB49+(SUMPRODUCT((Z$4:Z$503&gt;=BB$4:BB$503)*(Z$4:Z$503-BB$4:BB$503))/MAX(1,COUNTIF(Z$4:Z$503,"&lt;"&amp;BB49+0.01))),BB49))</f>
        <v>10695.5432177778</v>
      </c>
      <c r="BQ49" s="92" t="n">
        <f aca="false">IF(AA49&gt;=BC49,0,IFERROR(BC49+SUMPRODUCT((AA$4:AA$503&gt;=BC$4:BC$503)*(AA$4:AA$503-BC$4:BC$503))/MAX(1,COUNTIF(AA$4:AA$503,"&lt;"&amp;BC49+0.01)),BC49))</f>
        <v>2238.46589176471</v>
      </c>
      <c r="BR49" s="92" t="n">
        <f aca="false">IF(AB49&gt;=BD49,0,IFERROR(BD49+SUMPRODUCT((AB$4:AB$503&gt;=BD$4:BD$503)*(AB$4:AB$503-BD$4:BD$503))/MAX(1,COUNTIF(AB$4:AB$503,"&lt;"&amp;BD49+0.01)),BD49))</f>
        <v>3335.2938</v>
      </c>
      <c r="BS49" s="92" t="n">
        <f aca="false">IF(AC49&gt;=BE49,0,IFERROR(BE49+SUMPRODUCT((AC$4:AC$503&gt;=BE$4:BE$503)*(AC$4:AC$503-BE$4:BE$503))/MAX(1,COUNTIF(AC$4:AC$503,"&lt;"&amp;BE49+0.01)),BE49))</f>
        <v>6188.73352</v>
      </c>
      <c r="BT49" s="92" t="n">
        <f aca="false">IF(AD49&gt;=BF49,0,IFERROR(BF49+SUMPRODUCT((AD$4:AD$503&gt;=BF$4:BF$503)*(AD$4:AD$503-BF$4:BF$503))/MAX(1,COUNTIF(AD$4:AD$503,"&lt;"&amp;BF49+0.01)),BF49))</f>
        <v>11354.35411</v>
      </c>
      <c r="BU49" s="92" t="n">
        <f aca="false">IF(AE49&gt;=BG49,0,IFERROR(BG49+SUMPRODUCT((AE$4:AE$503&gt;=BG$4:BG$503)*(AE$4:AE$503-BG$4:BG$503))/MAX(1,COUNTIF(AE$4:AE$503,"&lt;"&amp;BG49+0.01)),BG49))</f>
        <v>7704.85920380952</v>
      </c>
      <c r="BV49" s="92" t="n">
        <f aca="false">IF(AF49&gt;=BH49,0,IFERROR(BH49+SUMPRODUCT((AF$4:AF$503&gt;=BH$4:BH$503)*(AF$4:AF$503-BH$4:BH$503))/MAX(1,COUNTIF(AF$4:AF$503,"&lt;"&amp;BH49+0.01)),BH49))</f>
        <v>0</v>
      </c>
      <c r="BW49" s="92" t="n">
        <f aca="false">IF(AG49&gt;=BI49,0,IFERROR(BI49+SUMPRODUCT((AG$4:AG$503&gt;=BI$4:BI$503)*(AG$4:AG$503-BI$4:BI$503))/MAX(1,COUNTIF(AG$4:AG$503,"&lt;"&amp;BI49+0.01)),BI49))</f>
        <v>9142.15870461538</v>
      </c>
      <c r="BX49" s="92" t="n">
        <f aca="false">IF(AH49&gt;=BJ49,0,IFERROR(BJ49+SUMPRODUCT((AH$4:AH$503&gt;=BJ$4:BJ$503)*(AH$4:AH$503-BJ$4:BJ$503))/MAX(1,COUNTIF(AH$4:AH$503,"&lt;"&amp;BJ49+0.01)),BJ49))</f>
        <v>0</v>
      </c>
      <c r="BY49" s="92" t="n">
        <f aca="false">IF(AI49&gt;=BK49,0,IFERROR(BK49+SUMPRODUCT((AI$4:AI$503&gt;=BK$4:BK$503)*(AI$4:AI$503-BK$4:BK$503))/MAX(1,COUNTIF(AI$4:AI$503,"&lt;"&amp;BK49+0.01)),BK49))</f>
        <v>0</v>
      </c>
      <c r="BZ49" s="92" t="n">
        <f aca="false">IF(AJ49&gt;=BL49,0,IFERROR(BL49+SUMPRODUCT((AJ$4:AJ$503&gt;=BL$4:BL$503)*(AJ$4:AJ$503-BL$4:BL$503))/MAX(1,COUNTIF(AJ$4:AJ$503,"&lt;"&amp;BL49+0.01)),BL49))</f>
        <v>0</v>
      </c>
      <c r="CA49" s="92" t="n">
        <f aca="false">IF(AK49&gt;=BM49,0,IFERROR(BM49+SUMPRODUCT((AK$4:AK$503&gt;=BM$4:BM$503)*(AK$4:AK$503-BM$4:BM$503))/MAX(1,COUNTIF(AK$4:AK$503,"&lt;"&amp;BM49+0.01)),BM49))</f>
        <v>7314.89836842105</v>
      </c>
      <c r="CB49" s="93" t="n">
        <f aca="false">IF(AL49&gt;=BN49,0,IFERROR(BN49+SUMPRODUCT((AL$4:AL$503&gt;=BN$4:BN$503)*(AL$4:AL$503-BN$4:BN$503))/MAX(1,COUNTIF(AL$4:AL$503,"&lt;"&amp;BN49+0.01)),BN49))</f>
        <v>3597.2614925</v>
      </c>
      <c r="CC49" s="95" t="str">
        <f aca="false">IF(AO49="🟢","VERDE",IF(AO49="🟡","AMARELO",IF(AO49="🟠","VERMELHO",IF(AO49="🔴","VERMELHO","ROXO"))))</f>
        <v>VERMELHO</v>
      </c>
      <c r="CD49" s="96" t="s">
        <v>176</v>
      </c>
      <c r="CE49" s="96" t="s">
        <v>183</v>
      </c>
    </row>
    <row r="50" customFormat="false" ht="14.25" hidden="false" customHeight="true" outlineLevel="0" collapsed="false">
      <c r="A50" s="65" t="s">
        <v>233</v>
      </c>
      <c r="B50" s="66" t="s">
        <v>234</v>
      </c>
      <c r="C50" s="66" t="s">
        <v>66</v>
      </c>
      <c r="D50" s="68" t="s">
        <v>175</v>
      </c>
      <c r="E50" s="69" t="s">
        <v>139</v>
      </c>
      <c r="F50" s="70" t="n">
        <f aca="false">IFERROR(VLOOKUP(C50,$AS$3:$AT$10,2,FALSE()),IFERROR(VLOOKUP(C50,$AS$15:$AT$22,2,FALSE()),""))</f>
        <v>44</v>
      </c>
      <c r="G50" s="71" t="n">
        <f aca="false">IFERROR(VLOOKUP(C50,$AS$3:$AX$10,6,FALSE()),IFERROR(VLOOKUP(C50,$AS$15:$AX$22,6,FALSE()),""))</f>
        <v>0.496839506257363</v>
      </c>
      <c r="H50" s="72" t="str">
        <f aca="false">IFERROR(VLOOKUP(C50,$AS$3:$AY$10,7,FALSE()),IFERROR(VLOOKUP(C50,$AS$15:$AY$22,7,FALSE()),""))</f>
        <v>🟡 AMARELO</v>
      </c>
      <c r="I50" s="72" t="str">
        <f aca="false">IFERROR(VLOOKUP(C50,$AS$3:$AZ$10,8,FALSE()),IFERROR(VLOOKUP(C50,$AS$15:$AZ$22,8,FALSE()),""))</f>
        <v>Sell Out</v>
      </c>
      <c r="J50" s="73"/>
      <c r="K50" s="69" t="s">
        <v>107</v>
      </c>
      <c r="L50" s="74" t="n">
        <v>20559.44</v>
      </c>
      <c r="M50" s="75" t="n">
        <v>1444.77</v>
      </c>
      <c r="N50" s="75" t="n">
        <v>1509.74</v>
      </c>
      <c r="O50" s="75" t="n">
        <v>1546.12</v>
      </c>
      <c r="P50" s="75" t="n">
        <v>1586.39</v>
      </c>
      <c r="Q50" s="75" t="n">
        <v>1638.36</v>
      </c>
      <c r="R50" s="75" t="n">
        <v>1681.24</v>
      </c>
      <c r="S50" s="75" t="n">
        <v>1746.2</v>
      </c>
      <c r="T50" s="75" t="n">
        <v>1789.08</v>
      </c>
      <c r="U50" s="75" t="n">
        <v>1829.35</v>
      </c>
      <c r="V50" s="75" t="n">
        <v>1874.83</v>
      </c>
      <c r="W50" s="75" t="n">
        <v>1924.2</v>
      </c>
      <c r="X50" s="76" t="n">
        <v>1989.16</v>
      </c>
      <c r="Y50" s="77" t="s">
        <v>20</v>
      </c>
      <c r="Z50" s="78" t="n">
        <f aca="false">SUM(AA50:AL50)</f>
        <v>8547.05</v>
      </c>
      <c r="AA50" s="75"/>
      <c r="AB50" s="75"/>
      <c r="AC50" s="75"/>
      <c r="AD50" s="75"/>
      <c r="AE50" s="75"/>
      <c r="AF50" s="79" t="n">
        <v>1889.7</v>
      </c>
      <c r="AG50" s="75"/>
      <c r="AH50" s="75"/>
      <c r="AI50" s="79" t="n">
        <v>2126.48</v>
      </c>
      <c r="AJ50" s="79" t="n">
        <v>2829.87</v>
      </c>
      <c r="AK50" s="75"/>
      <c r="AL50" s="107" t="n">
        <v>1701</v>
      </c>
      <c r="AM50" s="56" t="s">
        <v>20</v>
      </c>
      <c r="AN50" s="80" t="n">
        <f aca="false">IF(L50=0,0,Z50/L50)</f>
        <v>0.415723871856432</v>
      </c>
      <c r="AO50" s="81" t="str">
        <f aca="false">IF(AN50="","",IF(AN50&gt;=0.9,"🟢",IF(AN50&gt;=0.7,"🟡",IF(AN50&gt;=0.5,"🟠","🔴"))))</f>
        <v>🔴</v>
      </c>
      <c r="AP50" s="82" t="n">
        <f aca="false">IF(L50=0,0,L50-Z50)</f>
        <v>12012.39</v>
      </c>
      <c r="AQ50" s="83" t="n">
        <f aca="false">IF(AP50=0,"",RANK(AP50,AP$4:AP$503,0))</f>
        <v>44</v>
      </c>
      <c r="AR50" s="84" t="s">
        <v>20</v>
      </c>
      <c r="AS50" s="119"/>
      <c r="AT50" s="119"/>
      <c r="AU50" s="119"/>
      <c r="AV50" s="119"/>
      <c r="AW50" s="119"/>
      <c r="AX50" s="119"/>
      <c r="AY50" s="133"/>
      <c r="AZ50" s="133"/>
      <c r="BA50" s="56" t="s">
        <v>20</v>
      </c>
      <c r="BB50" s="91" t="n">
        <f aca="false">SUM(L$4:L$503)/COUNTA(A$4:A$503)</f>
        <v>9494.39992</v>
      </c>
      <c r="BC50" s="92" t="n">
        <f aca="false">SUM(M$4:M$503)/COUNTA(A$4:A$503)</f>
        <v>667.20008</v>
      </c>
      <c r="BD50" s="92" t="n">
        <f aca="false">SUM(N$4:N$503)/COUNTA(A$4:A$503)</f>
        <v>697.19996</v>
      </c>
      <c r="BE50" s="92" t="n">
        <f aca="false">SUM(O$4:O$503)/COUNTA(A$4:A$503)</f>
        <v>713.9999</v>
      </c>
      <c r="BF50" s="92" t="n">
        <f aca="false">SUM(P$4:P$503)/COUNTA(A$4:A$503)</f>
        <v>732.59984</v>
      </c>
      <c r="BG50" s="92" t="n">
        <f aca="false">SUM(Q$4:Q$503)/COUNTA(A$4:A$503)</f>
        <v>756.59992</v>
      </c>
      <c r="BH50" s="92" t="n">
        <f aca="false">SUM(R$4:R$503)/COUNTA(A$4:A$503)</f>
        <v>776.40004</v>
      </c>
      <c r="BI50" s="92" t="n">
        <f aca="false">SUM(S$4:S$503)/COUNTA(A$4:A$503)</f>
        <v>806.40012</v>
      </c>
      <c r="BJ50" s="92" t="n">
        <f aca="false">SUM(T$4:T$503)/COUNTA(A$4:A$503)</f>
        <v>826.1999</v>
      </c>
      <c r="BK50" s="92" t="n">
        <f aca="false">SUM(U$4:U$503)/COUNTA(A$4:A$503)</f>
        <v>844.8002</v>
      </c>
      <c r="BL50" s="92" t="n">
        <f aca="false">SUM(V$4:V$503)/COUNTA(A$4:A$503)</f>
        <v>865.7998</v>
      </c>
      <c r="BM50" s="92" t="n">
        <f aca="false">SUM(W$4:W$503)/COUNTA(A$4:A$503)</f>
        <v>888.59982</v>
      </c>
      <c r="BN50" s="93" t="n">
        <f aca="false">SUM(X$4:X$503)/COUNTA(A$4:A$503)</f>
        <v>918.60034</v>
      </c>
      <c r="BO50" s="94" t="s">
        <v>20</v>
      </c>
      <c r="BP50" s="91" t="n">
        <f aca="false">IF(Z50&gt;=BB50,0,IFERROR(BB50+(SUMPRODUCT((Z$4:Z$503&gt;=BB$4:BB$503)*(Z$4:Z$503-BB$4:BB$503))/MAX(1,COUNTIF(Z$4:Z$503,"&lt;"&amp;BB50+0.01))),BB50))</f>
        <v>10695.5432177778</v>
      </c>
      <c r="BQ50" s="92" t="n">
        <f aca="false">IF(AA50&gt;=BC50,0,IFERROR(BC50+SUMPRODUCT((AA$4:AA$503&gt;=BC$4:BC$503)*(AA$4:AA$503-BC$4:BC$503))/MAX(1,COUNTIF(AA$4:AA$503,"&lt;"&amp;BC50+0.01)),BC50))</f>
        <v>2238.46589176471</v>
      </c>
      <c r="BR50" s="92" t="n">
        <f aca="false">IF(AB50&gt;=BD50,0,IFERROR(BD50+SUMPRODUCT((AB$4:AB$503&gt;=BD$4:BD$503)*(AB$4:AB$503-BD$4:BD$503))/MAX(1,COUNTIF(AB$4:AB$503,"&lt;"&amp;BD50+0.01)),BD50))</f>
        <v>3335.2938</v>
      </c>
      <c r="BS50" s="92" t="n">
        <f aca="false">IF(AC50&gt;=BE50,0,IFERROR(BE50+SUMPRODUCT((AC$4:AC$503&gt;=BE$4:BE$503)*(AC$4:AC$503-BE$4:BE$503))/MAX(1,COUNTIF(AC$4:AC$503,"&lt;"&amp;BE50+0.01)),BE50))</f>
        <v>6188.73352</v>
      </c>
      <c r="BT50" s="92" t="n">
        <f aca="false">IF(AD50&gt;=BF50,0,IFERROR(BF50+SUMPRODUCT((AD$4:AD$503&gt;=BF$4:BF$503)*(AD$4:AD$503-BF$4:BF$503))/MAX(1,COUNTIF(AD$4:AD$503,"&lt;"&amp;BF50+0.01)),BF50))</f>
        <v>11354.35411</v>
      </c>
      <c r="BU50" s="92" t="n">
        <f aca="false">IF(AE50&gt;=BG50,0,IFERROR(BG50+SUMPRODUCT((AE$4:AE$503&gt;=BG$4:BG$503)*(AE$4:AE$503-BG$4:BG$503))/MAX(1,COUNTIF(AE$4:AE$503,"&lt;"&amp;BG50+0.01)),BG50))</f>
        <v>7704.85920380952</v>
      </c>
      <c r="BV50" s="92" t="n">
        <f aca="false">IF(AF50&gt;=BH50,0,IFERROR(BH50+SUMPRODUCT((AF$4:AF$503&gt;=BH$4:BH$503)*(AF$4:AF$503-BH$4:BH$503))/MAX(1,COUNTIF(AF$4:AF$503,"&lt;"&amp;BH50+0.01)),BH50))</f>
        <v>0</v>
      </c>
      <c r="BW50" s="92" t="n">
        <f aca="false">IF(AG50&gt;=BI50,0,IFERROR(BI50+SUMPRODUCT((AG$4:AG$503&gt;=BI$4:BI$503)*(AG$4:AG$503-BI$4:BI$503))/MAX(1,COUNTIF(AG$4:AG$503,"&lt;"&amp;BI50+0.01)),BI50))</f>
        <v>9142.15870461538</v>
      </c>
      <c r="BX50" s="92" t="n">
        <f aca="false">IF(AH50&gt;=BJ50,0,IFERROR(BJ50+SUMPRODUCT((AH$4:AH$503&gt;=BJ$4:BJ$503)*(AH$4:AH$503-BJ$4:BJ$503))/MAX(1,COUNTIF(AH$4:AH$503,"&lt;"&amp;BJ50+0.01)),BJ50))</f>
        <v>5621.50263448276</v>
      </c>
      <c r="BY50" s="92" t="n">
        <f aca="false">IF(AI50&gt;=BK50,0,IFERROR(BK50+SUMPRODUCT((AI$4:AI$503&gt;=BK$4:BK$503)*(AI$4:AI$503-BK$4:BK$503))/MAX(1,COUNTIF(AI$4:AI$503,"&lt;"&amp;BK50+0.01)),BK50))</f>
        <v>0</v>
      </c>
      <c r="BZ50" s="92" t="n">
        <f aca="false">IF(AJ50&gt;=BL50,0,IFERROR(BL50+SUMPRODUCT((AJ$4:AJ$503&gt;=BL$4:BL$503)*(AJ$4:AJ$503-BL$4:BL$503))/MAX(1,COUNTIF(AJ$4:AJ$503,"&lt;"&amp;BL50+0.01)),BL50))</f>
        <v>0</v>
      </c>
      <c r="CA50" s="92" t="n">
        <f aca="false">IF(AK50&gt;=BM50,0,IFERROR(BM50+SUMPRODUCT((AK$4:AK$503&gt;=BM$4:BM$503)*(AK$4:AK$503-BM$4:BM$503))/MAX(1,COUNTIF(AK$4:AK$503,"&lt;"&amp;BM50+0.01)),BM50))</f>
        <v>7314.89836842105</v>
      </c>
      <c r="CB50" s="93" t="n">
        <f aca="false">IF(AL50&gt;=BN50,0,IFERROR(BN50+SUMPRODUCT((AL$4:AL$503&gt;=BN$4:BN$503)*(AL$4:AL$503-BN$4:BN$503))/MAX(1,COUNTIF(AL$4:AL$503,"&lt;"&amp;BN50+0.01)),BN50))</f>
        <v>0</v>
      </c>
      <c r="CC50" s="95" t="str">
        <f aca="false">IF(AO50="🟢","VERDE",IF(AO50="🟡","AMARELO",IF(AO50="🟠","VERMELHO",IF(AO50="🔴","VERMELHO","ROXO"))))</f>
        <v>VERMELHO</v>
      </c>
      <c r="CD50" s="96" t="s">
        <v>176</v>
      </c>
      <c r="CE50" s="96" t="s">
        <v>66</v>
      </c>
    </row>
    <row r="51" customFormat="false" ht="14.25" hidden="false" customHeight="true" outlineLevel="0" collapsed="false">
      <c r="A51" s="65" t="s">
        <v>235</v>
      </c>
      <c r="B51" s="66" t="s">
        <v>236</v>
      </c>
      <c r="C51" s="67" t="s">
        <v>123</v>
      </c>
      <c r="D51" s="68" t="s">
        <v>100</v>
      </c>
      <c r="E51" s="56" t="s">
        <v>20</v>
      </c>
      <c r="F51" s="70" t="n">
        <f aca="false">IFERROR(VLOOKUP(C51,$AS$3:$AT$10,2,FALSE()),IFERROR(VLOOKUP(C51,$AS$15:$AT$22,2,FALSE()),""))</f>
        <v>49</v>
      </c>
      <c r="G51" s="71" t="n">
        <f aca="false">IFERROR(VLOOKUP(C51,$AS$3:$AX$10,6,FALSE()),IFERROR(VLOOKUP(C51,$AS$15:$AX$22,6,FALSE()),""))</f>
        <v>0.436391353881959</v>
      </c>
      <c r="H51" s="72" t="str">
        <f aca="false">IFERROR(VLOOKUP(C51,$AS$3:$AY$10,7,FALSE()),IFERROR(VLOOKUP(C51,$AS$15:$AY$22,7,FALSE()),""))</f>
        <v>🟡 AMARELO</v>
      </c>
      <c r="I51" s="72" t="str">
        <f aca="false">IFERROR(VLOOKUP(C51,$AS$3:$AZ$10,8,FALSE()),IFERROR(VLOOKUP(C51,$AS$15:$AZ$22,8,FALSE()),""))</f>
        <v>Sell Out</v>
      </c>
      <c r="J51" s="73"/>
      <c r="K51" s="56" t="s">
        <v>20</v>
      </c>
      <c r="L51" s="74" t="n">
        <v>20487.34</v>
      </c>
      <c r="M51" s="75" t="n">
        <v>1439.71</v>
      </c>
      <c r="N51" s="75" t="n">
        <v>1504.44</v>
      </c>
      <c r="O51" s="75" t="n">
        <v>1540.69</v>
      </c>
      <c r="P51" s="75" t="n">
        <v>1580.83</v>
      </c>
      <c r="Q51" s="75" t="n">
        <v>1632.62</v>
      </c>
      <c r="R51" s="75" t="n">
        <v>1675.34</v>
      </c>
      <c r="S51" s="75" t="n">
        <v>1740.08</v>
      </c>
      <c r="T51" s="75" t="n">
        <v>1782.8</v>
      </c>
      <c r="U51" s="75" t="n">
        <v>1822.94</v>
      </c>
      <c r="V51" s="75" t="n">
        <v>1868.25</v>
      </c>
      <c r="W51" s="75" t="n">
        <v>1917.45</v>
      </c>
      <c r="X51" s="76" t="n">
        <v>1982.19</v>
      </c>
      <c r="Y51" s="77" t="s">
        <v>20</v>
      </c>
      <c r="Z51" s="78" t="n">
        <f aca="false">SUM(AA51:AL51)</f>
        <v>8524</v>
      </c>
      <c r="AA51" s="75"/>
      <c r="AB51" s="75"/>
      <c r="AC51" s="75" t="n">
        <v>1197.28</v>
      </c>
      <c r="AD51" s="75"/>
      <c r="AE51" s="75" t="n">
        <v>1681.04</v>
      </c>
      <c r="AF51" s="75"/>
      <c r="AG51" s="75" t="n">
        <v>1500</v>
      </c>
      <c r="AH51" s="75" t="n">
        <v>1742.36</v>
      </c>
      <c r="AI51" s="75"/>
      <c r="AJ51" s="75" t="n">
        <v>2403.32</v>
      </c>
      <c r="AK51" s="75"/>
      <c r="AL51" s="76"/>
      <c r="AM51" s="56" t="s">
        <v>20</v>
      </c>
      <c r="AN51" s="80" t="n">
        <f aca="false">IF(L51=0,0,Z51/L51)</f>
        <v>0.416061821593238</v>
      </c>
      <c r="AO51" s="81" t="str">
        <f aca="false">IF(AN51="","",IF(AN51&gt;=0.9,"🟢",IF(AN51&gt;=0.7,"🟡",IF(AN51&gt;=0.5,"🟠","🔴"))))</f>
        <v>🔴</v>
      </c>
      <c r="AP51" s="82" t="n">
        <f aca="false">IF(L51=0,0,L51-Z51)</f>
        <v>11963.34</v>
      </c>
      <c r="AQ51" s="83" t="n">
        <f aca="false">IF(AP51=0,"",RANK(AP51,AP$4:AP$503,0))</f>
        <v>45</v>
      </c>
      <c r="AR51" s="84" t="s">
        <v>20</v>
      </c>
      <c r="AS51" s="119"/>
      <c r="AT51" s="119"/>
      <c r="AU51" s="119"/>
      <c r="AV51" s="119"/>
      <c r="AW51" s="119"/>
      <c r="AX51" s="119"/>
      <c r="AY51" s="133"/>
      <c r="AZ51" s="133"/>
      <c r="BA51" s="56" t="s">
        <v>20</v>
      </c>
      <c r="BB51" s="91" t="n">
        <f aca="false">SUM(L$4:L$503)/COUNTA(A$4:A$503)</f>
        <v>9494.39992</v>
      </c>
      <c r="BC51" s="92" t="n">
        <f aca="false">SUM(M$4:M$503)/COUNTA(A$4:A$503)</f>
        <v>667.20008</v>
      </c>
      <c r="BD51" s="92" t="n">
        <f aca="false">SUM(N$4:N$503)/COUNTA(A$4:A$503)</f>
        <v>697.19996</v>
      </c>
      <c r="BE51" s="92" t="n">
        <f aca="false">SUM(O$4:O$503)/COUNTA(A$4:A$503)</f>
        <v>713.9999</v>
      </c>
      <c r="BF51" s="92" t="n">
        <f aca="false">SUM(P$4:P$503)/COUNTA(A$4:A$503)</f>
        <v>732.59984</v>
      </c>
      <c r="BG51" s="92" t="n">
        <f aca="false">SUM(Q$4:Q$503)/COUNTA(A$4:A$503)</f>
        <v>756.59992</v>
      </c>
      <c r="BH51" s="92" t="n">
        <f aca="false">SUM(R$4:R$503)/COUNTA(A$4:A$503)</f>
        <v>776.40004</v>
      </c>
      <c r="BI51" s="92" t="n">
        <f aca="false">SUM(S$4:S$503)/COUNTA(A$4:A$503)</f>
        <v>806.40012</v>
      </c>
      <c r="BJ51" s="92" t="n">
        <f aca="false">SUM(T$4:T$503)/COUNTA(A$4:A$503)</f>
        <v>826.1999</v>
      </c>
      <c r="BK51" s="92" t="n">
        <f aca="false">SUM(U$4:U$503)/COUNTA(A$4:A$503)</f>
        <v>844.8002</v>
      </c>
      <c r="BL51" s="92" t="n">
        <f aca="false">SUM(V$4:V$503)/COUNTA(A$4:A$503)</f>
        <v>865.7998</v>
      </c>
      <c r="BM51" s="92" t="n">
        <f aca="false">SUM(W$4:W$503)/COUNTA(A$4:A$503)</f>
        <v>888.59982</v>
      </c>
      <c r="BN51" s="93" t="n">
        <f aca="false">SUM(X$4:X$503)/COUNTA(A$4:A$503)</f>
        <v>918.60034</v>
      </c>
      <c r="BO51" s="94" t="s">
        <v>20</v>
      </c>
      <c r="BP51" s="91" t="n">
        <f aca="false">IF(Z51&gt;=BB51,0,IFERROR(BB51+(SUMPRODUCT((Z$4:Z$503&gt;=BB$4:BB$503)*(Z$4:Z$503-BB$4:BB$503))/MAX(1,COUNTIF(Z$4:Z$503,"&lt;"&amp;BB51+0.01))),BB51))</f>
        <v>10695.5432177778</v>
      </c>
      <c r="BQ51" s="92" t="n">
        <f aca="false">IF(AA51&gt;=BC51,0,IFERROR(BC51+SUMPRODUCT((AA$4:AA$503&gt;=BC$4:BC$503)*(AA$4:AA$503-BC$4:BC$503))/MAX(1,COUNTIF(AA$4:AA$503,"&lt;"&amp;BC51+0.01)),BC51))</f>
        <v>2238.46589176471</v>
      </c>
      <c r="BR51" s="92" t="n">
        <f aca="false">IF(AB51&gt;=BD51,0,IFERROR(BD51+SUMPRODUCT((AB$4:AB$503&gt;=BD$4:BD$503)*(AB$4:AB$503-BD$4:BD$503))/MAX(1,COUNTIF(AB$4:AB$503,"&lt;"&amp;BD51+0.01)),BD51))</f>
        <v>3335.2938</v>
      </c>
      <c r="BS51" s="92" t="n">
        <f aca="false">IF(AC51&gt;=BE51,0,IFERROR(BE51+SUMPRODUCT((AC$4:AC$503&gt;=BE$4:BE$503)*(AC$4:AC$503-BE$4:BE$503))/MAX(1,COUNTIF(AC$4:AC$503,"&lt;"&amp;BE51+0.01)),BE51))</f>
        <v>0</v>
      </c>
      <c r="BT51" s="92" t="n">
        <f aca="false">IF(AD51&gt;=BF51,0,IFERROR(BF51+SUMPRODUCT((AD$4:AD$503&gt;=BF$4:BF$503)*(AD$4:AD$503-BF$4:BF$503))/MAX(1,COUNTIF(AD$4:AD$503,"&lt;"&amp;BF51+0.01)),BF51))</f>
        <v>11354.35411</v>
      </c>
      <c r="BU51" s="92" t="n">
        <f aca="false">IF(AE51&gt;=BG51,0,IFERROR(BG51+SUMPRODUCT((AE$4:AE$503&gt;=BG$4:BG$503)*(AE$4:AE$503-BG$4:BG$503))/MAX(1,COUNTIF(AE$4:AE$503,"&lt;"&amp;BG51+0.01)),BG51))</f>
        <v>0</v>
      </c>
      <c r="BV51" s="92" t="n">
        <f aca="false">IF(AF51&gt;=BH51,0,IFERROR(BH51+SUMPRODUCT((AF$4:AF$503&gt;=BH$4:BH$503)*(AF$4:AF$503-BH$4:BH$503))/MAX(1,COUNTIF(AF$4:AF$503,"&lt;"&amp;BH51+0.01)),BH51))</f>
        <v>9942.6503831579</v>
      </c>
      <c r="BW51" s="92" t="n">
        <f aca="false">IF(AG51&gt;=BI51,0,IFERROR(BI51+SUMPRODUCT((AG$4:AG$503&gt;=BI$4:BI$503)*(AG$4:AG$503-BI$4:BI$503))/MAX(1,COUNTIF(AG$4:AG$503,"&lt;"&amp;BI51+0.01)),BI51))</f>
        <v>0</v>
      </c>
      <c r="BX51" s="92" t="n">
        <f aca="false">IF(AH51&gt;=BJ51,0,IFERROR(BJ51+SUMPRODUCT((AH$4:AH$503&gt;=BJ$4:BJ$503)*(AH$4:AH$503-BJ$4:BJ$503))/MAX(1,COUNTIF(AH$4:AH$503,"&lt;"&amp;BJ51+0.01)),BJ51))</f>
        <v>0</v>
      </c>
      <c r="BY51" s="92" t="n">
        <f aca="false">IF(AI51&gt;=BK51,0,IFERROR(BK51+SUMPRODUCT((AI$4:AI$503&gt;=BK$4:BK$503)*(AI$4:AI$503-BK$4:BK$503))/MAX(1,COUNTIF(AI$4:AI$503,"&lt;"&amp;BK51+0.01)),BK51))</f>
        <v>7878.25652380952</v>
      </c>
      <c r="BZ51" s="92" t="n">
        <f aca="false">IF(AJ51&gt;=BL51,0,IFERROR(BL51+SUMPRODUCT((AJ$4:AJ$503&gt;=BL$4:BL$503)*(AJ$4:AJ$503-BL$4:BL$503))/MAX(1,COUNTIF(AJ$4:AJ$503,"&lt;"&amp;BL51+0.01)),BL51))</f>
        <v>0</v>
      </c>
      <c r="CA51" s="92" t="n">
        <f aca="false">IF(AK51&gt;=BM51,0,IFERROR(BM51+SUMPRODUCT((AK$4:AK$503&gt;=BM$4:BM$503)*(AK$4:AK$503-BM$4:BM$503))/MAX(1,COUNTIF(AK$4:AK$503,"&lt;"&amp;BM51+0.01)),BM51))</f>
        <v>7314.89836842105</v>
      </c>
      <c r="CB51" s="93" t="n">
        <f aca="false">IF(AL51&gt;=BN51,0,IFERROR(BN51+SUMPRODUCT((AL$4:AL$503&gt;=BN$4:BN$503)*(AL$4:AL$503-BN$4:BN$503))/MAX(1,COUNTIF(AL$4:AL$503,"&lt;"&amp;BN51+0.01)),BN51))</f>
        <v>3597.2614925</v>
      </c>
      <c r="CC51" s="95" t="str">
        <f aca="false">IF(AO51="🟢","VERDE",IF(AO51="🟡","AMARELO",IF(AO51="🟠","VERMELHO",IF(AO51="🔴","VERMELHO","ROXO"))))</f>
        <v>VERMELHO</v>
      </c>
      <c r="CD51" s="96" t="s">
        <v>103</v>
      </c>
      <c r="CE51" s="96" t="s">
        <v>104</v>
      </c>
    </row>
    <row r="52" customFormat="false" ht="14.25" hidden="false" customHeight="true" outlineLevel="0" collapsed="false">
      <c r="A52" s="65" t="s">
        <v>237</v>
      </c>
      <c r="B52" s="66" t="s">
        <v>238</v>
      </c>
      <c r="C52" s="67" t="s">
        <v>149</v>
      </c>
      <c r="D52" s="68" t="s">
        <v>100</v>
      </c>
      <c r="E52" s="69" t="s">
        <v>119</v>
      </c>
      <c r="F52" s="70" t="n">
        <f aca="false">IFERROR(VLOOKUP(C52,$AS$3:$AT$10,2,FALSE()),IFERROR(VLOOKUP(C52,$AS$15:$AT$22,2,FALSE()),""))</f>
        <v>29</v>
      </c>
      <c r="G52" s="71" t="n">
        <f aca="false">IFERROR(VLOOKUP(C52,$AS$3:$AX$10,6,FALSE()),IFERROR(VLOOKUP(C52,$AS$15:$AX$22,6,FALSE()),""))</f>
        <v>0.425845065256079</v>
      </c>
      <c r="H52" s="72" t="str">
        <f aca="false">IFERROR(VLOOKUP(C52,$AS$3:$AY$10,7,FALSE()),IFERROR(VLOOKUP(C52,$AS$15:$AY$22,7,FALSE()),""))</f>
        <v>🟡 AMARELO</v>
      </c>
      <c r="I52" s="72" t="str">
        <f aca="false">IFERROR(VLOOKUP(C52,$AS$3:$AZ$10,8,FALSE()),IFERROR(VLOOKUP(C52,$AS$15:$AZ$22,8,FALSE()),""))</f>
        <v>Sell Out</v>
      </c>
      <c r="J52" s="73"/>
      <c r="K52" s="69" t="s">
        <v>149</v>
      </c>
      <c r="L52" s="74" t="n">
        <v>20475.4</v>
      </c>
      <c r="M52" s="75" t="n">
        <v>1438.87</v>
      </c>
      <c r="N52" s="75" t="n">
        <v>1503.56</v>
      </c>
      <c r="O52" s="75" t="n">
        <v>1539.8</v>
      </c>
      <c r="P52" s="75" t="n">
        <v>1579.91</v>
      </c>
      <c r="Q52" s="75" t="n">
        <v>1631.67</v>
      </c>
      <c r="R52" s="75" t="n">
        <v>1674.37</v>
      </c>
      <c r="S52" s="75" t="n">
        <v>1739.06</v>
      </c>
      <c r="T52" s="75" t="n">
        <v>1781.76</v>
      </c>
      <c r="U52" s="75" t="n">
        <v>1821.88</v>
      </c>
      <c r="V52" s="75" t="n">
        <v>1867.16</v>
      </c>
      <c r="W52" s="75" t="n">
        <v>1916.33</v>
      </c>
      <c r="X52" s="76" t="n">
        <v>1981.03</v>
      </c>
      <c r="Y52" s="77" t="s">
        <v>20</v>
      </c>
      <c r="Z52" s="78" t="n">
        <f aca="false">SUM(AA52:AL52)</f>
        <v>8234.2</v>
      </c>
      <c r="AA52" s="79" t="n">
        <v>1721.4</v>
      </c>
      <c r="AB52" s="75"/>
      <c r="AC52" s="79" t="n">
        <v>1630.8</v>
      </c>
      <c r="AD52" s="75"/>
      <c r="AE52" s="79" t="n">
        <v>3311</v>
      </c>
      <c r="AF52" s="75"/>
      <c r="AG52" s="75"/>
      <c r="AH52" s="75"/>
      <c r="AI52" s="75"/>
      <c r="AJ52" s="79" t="n">
        <v>1571</v>
      </c>
      <c r="AK52" s="75"/>
      <c r="AL52" s="76"/>
      <c r="AM52" s="56" t="s">
        <v>20</v>
      </c>
      <c r="AN52" s="80" t="n">
        <f aca="false">IF(L52=0,0,Z52/L52)</f>
        <v>0.402150873731405</v>
      </c>
      <c r="AO52" s="81" t="str">
        <f aca="false">IF(AN52="","",IF(AN52&gt;=0.9,"🟢",IF(AN52&gt;=0.7,"🟡",IF(AN52&gt;=0.5,"🟠","🔴"))))</f>
        <v>🔴</v>
      </c>
      <c r="AP52" s="82" t="n">
        <f aca="false">IF(L52=0,0,L52-Z52)</f>
        <v>12241.2</v>
      </c>
      <c r="AQ52" s="83" t="n">
        <f aca="false">IF(AP52=0,"",RANK(AP52,AP$4:AP$503,0))</f>
        <v>43</v>
      </c>
      <c r="AR52" s="84" t="s">
        <v>20</v>
      </c>
      <c r="AS52" s="119"/>
      <c r="AT52" s="119"/>
      <c r="AU52" s="119"/>
      <c r="AV52" s="119"/>
      <c r="AW52" s="119"/>
      <c r="AX52" s="119"/>
      <c r="AY52" s="133"/>
      <c r="AZ52" s="133"/>
      <c r="BA52" s="56" t="s">
        <v>20</v>
      </c>
      <c r="BB52" s="91" t="n">
        <f aca="false">SUM(L$4:L$503)/COUNTA(A$4:A$503)</f>
        <v>9494.39992</v>
      </c>
      <c r="BC52" s="92" t="n">
        <f aca="false">SUM(M$4:M$503)/COUNTA(A$4:A$503)</f>
        <v>667.20008</v>
      </c>
      <c r="BD52" s="92" t="n">
        <f aca="false">SUM(N$4:N$503)/COUNTA(A$4:A$503)</f>
        <v>697.19996</v>
      </c>
      <c r="BE52" s="92" t="n">
        <f aca="false">SUM(O$4:O$503)/COUNTA(A$4:A$503)</f>
        <v>713.9999</v>
      </c>
      <c r="BF52" s="92" t="n">
        <f aca="false">SUM(P$4:P$503)/COUNTA(A$4:A$503)</f>
        <v>732.59984</v>
      </c>
      <c r="BG52" s="92" t="n">
        <f aca="false">SUM(Q$4:Q$503)/COUNTA(A$4:A$503)</f>
        <v>756.59992</v>
      </c>
      <c r="BH52" s="92" t="n">
        <f aca="false">SUM(R$4:R$503)/COUNTA(A$4:A$503)</f>
        <v>776.40004</v>
      </c>
      <c r="BI52" s="92" t="n">
        <f aca="false">SUM(S$4:S$503)/COUNTA(A$4:A$503)</f>
        <v>806.40012</v>
      </c>
      <c r="BJ52" s="92" t="n">
        <f aca="false">SUM(T$4:T$503)/COUNTA(A$4:A$503)</f>
        <v>826.1999</v>
      </c>
      <c r="BK52" s="92" t="n">
        <f aca="false">SUM(U$4:U$503)/COUNTA(A$4:A$503)</f>
        <v>844.8002</v>
      </c>
      <c r="BL52" s="92" t="n">
        <f aca="false">SUM(V$4:V$503)/COUNTA(A$4:A$503)</f>
        <v>865.7998</v>
      </c>
      <c r="BM52" s="92" t="n">
        <f aca="false">SUM(W$4:W$503)/COUNTA(A$4:A$503)</f>
        <v>888.59982</v>
      </c>
      <c r="BN52" s="93" t="n">
        <f aca="false">SUM(X$4:X$503)/COUNTA(A$4:A$503)</f>
        <v>918.60034</v>
      </c>
      <c r="BO52" s="94" t="s">
        <v>20</v>
      </c>
      <c r="BP52" s="91" t="n">
        <f aca="false">IF(Z52&gt;=BB52,0,IFERROR(BB52+(SUMPRODUCT((Z$4:Z$503&gt;=BB$4:BB$503)*(Z$4:Z$503-BB$4:BB$503))/MAX(1,COUNTIF(Z$4:Z$503,"&lt;"&amp;BB52+0.01))),BB52))</f>
        <v>10695.5432177778</v>
      </c>
      <c r="BQ52" s="92" t="n">
        <f aca="false">IF(AA52&gt;=BC52,0,IFERROR(BC52+SUMPRODUCT((AA$4:AA$503&gt;=BC$4:BC$503)*(AA$4:AA$503-BC$4:BC$503))/MAX(1,COUNTIF(AA$4:AA$503,"&lt;"&amp;BC52+0.01)),BC52))</f>
        <v>0</v>
      </c>
      <c r="BR52" s="92" t="n">
        <f aca="false">IF(AB52&gt;=BD52,0,IFERROR(BD52+SUMPRODUCT((AB$4:AB$503&gt;=BD$4:BD$503)*(AB$4:AB$503-BD$4:BD$503))/MAX(1,COUNTIF(AB$4:AB$503,"&lt;"&amp;BD52+0.01)),BD52))</f>
        <v>3335.2938</v>
      </c>
      <c r="BS52" s="92" t="n">
        <f aca="false">IF(AC52&gt;=BE52,0,IFERROR(BE52+SUMPRODUCT((AC$4:AC$503&gt;=BE$4:BE$503)*(AC$4:AC$503-BE$4:BE$503))/MAX(1,COUNTIF(AC$4:AC$503,"&lt;"&amp;BE52+0.01)),BE52))</f>
        <v>0</v>
      </c>
      <c r="BT52" s="92" t="n">
        <f aca="false">IF(AD52&gt;=BF52,0,IFERROR(BF52+SUMPRODUCT((AD$4:AD$503&gt;=BF$4:BF$503)*(AD$4:AD$503-BF$4:BF$503))/MAX(1,COUNTIF(AD$4:AD$503,"&lt;"&amp;BF52+0.01)),BF52))</f>
        <v>11354.35411</v>
      </c>
      <c r="BU52" s="92" t="n">
        <f aca="false">IF(AE52&gt;=BG52,0,IFERROR(BG52+SUMPRODUCT((AE$4:AE$503&gt;=BG$4:BG$503)*(AE$4:AE$503-BG$4:BG$503))/MAX(1,COUNTIF(AE$4:AE$503,"&lt;"&amp;BG52+0.01)),BG52))</f>
        <v>0</v>
      </c>
      <c r="BV52" s="92" t="n">
        <f aca="false">IF(AF52&gt;=BH52,0,IFERROR(BH52+SUMPRODUCT((AF$4:AF$503&gt;=BH$4:BH$503)*(AF$4:AF$503-BH$4:BH$503))/MAX(1,COUNTIF(AF$4:AF$503,"&lt;"&amp;BH52+0.01)),BH52))</f>
        <v>9942.6503831579</v>
      </c>
      <c r="BW52" s="92" t="n">
        <f aca="false">IF(AG52&gt;=BI52,0,IFERROR(BI52+SUMPRODUCT((AG$4:AG$503&gt;=BI$4:BI$503)*(AG$4:AG$503-BI$4:BI$503))/MAX(1,COUNTIF(AG$4:AG$503,"&lt;"&amp;BI52+0.01)),BI52))</f>
        <v>9142.15870461538</v>
      </c>
      <c r="BX52" s="92" t="n">
        <f aca="false">IF(AH52&gt;=BJ52,0,IFERROR(BJ52+SUMPRODUCT((AH$4:AH$503&gt;=BJ$4:BJ$503)*(AH$4:AH$503-BJ$4:BJ$503))/MAX(1,COUNTIF(AH$4:AH$503,"&lt;"&amp;BJ52+0.01)),BJ52))</f>
        <v>5621.50263448276</v>
      </c>
      <c r="BY52" s="92" t="n">
        <f aca="false">IF(AI52&gt;=BK52,0,IFERROR(BK52+SUMPRODUCT((AI$4:AI$503&gt;=BK$4:BK$503)*(AI$4:AI$503-BK$4:BK$503))/MAX(1,COUNTIF(AI$4:AI$503,"&lt;"&amp;BK52+0.01)),BK52))</f>
        <v>7878.25652380952</v>
      </c>
      <c r="BZ52" s="92" t="n">
        <f aca="false">IF(AJ52&gt;=BL52,0,IFERROR(BL52+SUMPRODUCT((AJ$4:AJ$503&gt;=BL$4:BL$503)*(AJ$4:AJ$503-BL$4:BL$503))/MAX(1,COUNTIF(AJ$4:AJ$503,"&lt;"&amp;BL52+0.01)),BL52))</f>
        <v>0</v>
      </c>
      <c r="CA52" s="92" t="n">
        <f aca="false">IF(AK52&gt;=BM52,0,IFERROR(BM52+SUMPRODUCT((AK$4:AK$503&gt;=BM$4:BM$503)*(AK$4:AK$503-BM$4:BM$503))/MAX(1,COUNTIF(AK$4:AK$503,"&lt;"&amp;BM52+0.01)),BM52))</f>
        <v>7314.89836842105</v>
      </c>
      <c r="CB52" s="93" t="n">
        <f aca="false">IF(AL52&gt;=BN52,0,IFERROR(BN52+SUMPRODUCT((AL$4:AL$503&gt;=BN$4:BN$503)*(AL$4:AL$503-BN$4:BN$503))/MAX(1,COUNTIF(AL$4:AL$503,"&lt;"&amp;BN52+0.01)),BN52))</f>
        <v>3597.2614925</v>
      </c>
      <c r="CC52" s="95" t="str">
        <f aca="false">IF(AO52="🟢","VERDE",IF(AO52="🟡","AMARELO",IF(AO52="🟠","VERMELHO",IF(AO52="🔴","VERMELHO","ROXO"))))</f>
        <v>VERMELHO</v>
      </c>
      <c r="CD52" s="96" t="s">
        <v>103</v>
      </c>
      <c r="CE52" s="96" t="s">
        <v>104</v>
      </c>
    </row>
    <row r="53" customFormat="false" ht="14.25" hidden="false" customHeight="true" outlineLevel="0" collapsed="false">
      <c r="A53" s="65" t="s">
        <v>239</v>
      </c>
      <c r="B53" s="66" t="s">
        <v>240</v>
      </c>
      <c r="C53" s="67" t="s">
        <v>113</v>
      </c>
      <c r="D53" s="68" t="s">
        <v>100</v>
      </c>
      <c r="E53" s="69" t="s">
        <v>114</v>
      </c>
      <c r="F53" s="70" t="n">
        <f aca="false">IFERROR(VLOOKUP(C53,$AS$3:$AT$10,2,FALSE()),IFERROR(VLOOKUP(C53,$AS$15:$AT$22,2,FALSE()),""))</f>
        <v>49</v>
      </c>
      <c r="G53" s="71" t="n">
        <f aca="false">IFERROR(VLOOKUP(C53,$AS$3:$AX$10,6,FALSE()),IFERROR(VLOOKUP(C53,$AS$15:$AX$22,6,FALSE()),""))</f>
        <v>0.463965086137302</v>
      </c>
      <c r="H53" s="72" t="str">
        <f aca="false">IFERROR(VLOOKUP(C53,$AS$3:$AY$10,7,FALSE()),IFERROR(VLOOKUP(C53,$AS$15:$AY$22,7,FALSE()),""))</f>
        <v>🟡 AMARELO</v>
      </c>
      <c r="I53" s="72" t="str">
        <f aca="false">IFERROR(VLOOKUP(C53,$AS$3:$AZ$10,8,FALSE()),IFERROR(VLOOKUP(C53,$AS$15:$AZ$22,8,FALSE()),""))</f>
        <v>Sell Out</v>
      </c>
      <c r="J53" s="73"/>
      <c r="K53" s="69" t="s">
        <v>113</v>
      </c>
      <c r="L53" s="74" t="n">
        <v>20181.87</v>
      </c>
      <c r="M53" s="75" t="n">
        <v>1418.24</v>
      </c>
      <c r="N53" s="75" t="n">
        <v>1482.01</v>
      </c>
      <c r="O53" s="75" t="n">
        <v>1517.72</v>
      </c>
      <c r="P53" s="75" t="n">
        <v>1557.26</v>
      </c>
      <c r="Q53" s="75" t="n">
        <v>1608.28</v>
      </c>
      <c r="R53" s="75" t="n">
        <v>1650.36</v>
      </c>
      <c r="S53" s="75" t="n">
        <v>1714.13</v>
      </c>
      <c r="T53" s="75" t="n">
        <v>1756.22</v>
      </c>
      <c r="U53" s="75" t="n">
        <v>1795.76</v>
      </c>
      <c r="V53" s="75" t="n">
        <v>1840.4</v>
      </c>
      <c r="W53" s="75" t="n">
        <v>1888.86</v>
      </c>
      <c r="X53" s="76" t="n">
        <v>1952.63</v>
      </c>
      <c r="Y53" s="77" t="s">
        <v>20</v>
      </c>
      <c r="Z53" s="78" t="n">
        <f aca="false">SUM(AA53:AL53)</f>
        <v>8808.36</v>
      </c>
      <c r="AA53" s="75"/>
      <c r="AB53" s="75"/>
      <c r="AC53" s="79" t="n">
        <v>5098.15</v>
      </c>
      <c r="AD53" s="75"/>
      <c r="AE53" s="75"/>
      <c r="AF53" s="79" t="n">
        <v>1593.85</v>
      </c>
      <c r="AG53" s="75"/>
      <c r="AH53" s="79" t="n">
        <v>2116.36</v>
      </c>
      <c r="AI53" s="75"/>
      <c r="AJ53" s="75"/>
      <c r="AK53" s="75"/>
      <c r="AL53" s="76"/>
      <c r="AM53" s="56" t="s">
        <v>20</v>
      </c>
      <c r="AN53" s="80" t="n">
        <f aca="false">IF(L53=0,0,Z53/L53)</f>
        <v>0.436449149657589</v>
      </c>
      <c r="AO53" s="81" t="str">
        <f aca="false">IF(AN53="","",IF(AN53&gt;=0.9,"🟢",IF(AN53&gt;=0.7,"🟡",IF(AN53&gt;=0.5,"🟠","🔴"))))</f>
        <v>🔴</v>
      </c>
      <c r="AP53" s="82" t="n">
        <f aca="false">IF(L53=0,0,L53-Z53)</f>
        <v>11373.51</v>
      </c>
      <c r="AQ53" s="83" t="n">
        <f aca="false">IF(AP53=0,"",RANK(AP53,AP$4:AP$503,0))</f>
        <v>51</v>
      </c>
      <c r="AR53" s="84" t="s">
        <v>20</v>
      </c>
      <c r="AS53" s="119"/>
      <c r="AT53" s="119"/>
      <c r="AU53" s="119"/>
      <c r="AV53" s="119"/>
      <c r="AW53" s="119"/>
      <c r="AX53" s="119"/>
      <c r="AY53" s="133"/>
      <c r="AZ53" s="133"/>
      <c r="BA53" s="56" t="s">
        <v>20</v>
      </c>
      <c r="BB53" s="91" t="n">
        <f aca="false">SUM(L$4:L$503)/COUNTA(A$4:A$503)</f>
        <v>9494.39992</v>
      </c>
      <c r="BC53" s="92" t="n">
        <f aca="false">SUM(M$4:M$503)/COUNTA(A$4:A$503)</f>
        <v>667.20008</v>
      </c>
      <c r="BD53" s="92" t="n">
        <f aca="false">SUM(N$4:N$503)/COUNTA(A$4:A$503)</f>
        <v>697.19996</v>
      </c>
      <c r="BE53" s="92" t="n">
        <f aca="false">SUM(O$4:O$503)/COUNTA(A$4:A$503)</f>
        <v>713.9999</v>
      </c>
      <c r="BF53" s="92" t="n">
        <f aca="false">SUM(P$4:P$503)/COUNTA(A$4:A$503)</f>
        <v>732.59984</v>
      </c>
      <c r="BG53" s="92" t="n">
        <f aca="false">SUM(Q$4:Q$503)/COUNTA(A$4:A$503)</f>
        <v>756.59992</v>
      </c>
      <c r="BH53" s="92" t="n">
        <f aca="false">SUM(R$4:R$503)/COUNTA(A$4:A$503)</f>
        <v>776.40004</v>
      </c>
      <c r="BI53" s="92" t="n">
        <f aca="false">SUM(S$4:S$503)/COUNTA(A$4:A$503)</f>
        <v>806.40012</v>
      </c>
      <c r="BJ53" s="92" t="n">
        <f aca="false">SUM(T$4:T$503)/COUNTA(A$4:A$503)</f>
        <v>826.1999</v>
      </c>
      <c r="BK53" s="92" t="n">
        <f aca="false">SUM(U$4:U$503)/COUNTA(A$4:A$503)</f>
        <v>844.8002</v>
      </c>
      <c r="BL53" s="92" t="n">
        <f aca="false">SUM(V$4:V$503)/COUNTA(A$4:A$503)</f>
        <v>865.7998</v>
      </c>
      <c r="BM53" s="92" t="n">
        <f aca="false">SUM(W$4:W$503)/COUNTA(A$4:A$503)</f>
        <v>888.59982</v>
      </c>
      <c r="BN53" s="93" t="n">
        <f aca="false">SUM(X$4:X$503)/COUNTA(A$4:A$503)</f>
        <v>918.60034</v>
      </c>
      <c r="BO53" s="94" t="s">
        <v>20</v>
      </c>
      <c r="BP53" s="91" t="n">
        <f aca="false">IF(Z53&gt;=BB53,0,IFERROR(BB53+(SUMPRODUCT((Z$4:Z$503&gt;=BB$4:BB$503)*(Z$4:Z$503-BB$4:BB$503))/MAX(1,COUNTIF(Z$4:Z$503,"&lt;"&amp;BB53+0.01))),BB53))</f>
        <v>10695.5432177778</v>
      </c>
      <c r="BQ53" s="92" t="n">
        <f aca="false">IF(AA53&gt;=BC53,0,IFERROR(BC53+SUMPRODUCT((AA$4:AA$503&gt;=BC$4:BC$503)*(AA$4:AA$503-BC$4:BC$503))/MAX(1,COUNTIF(AA$4:AA$503,"&lt;"&amp;BC53+0.01)),BC53))</f>
        <v>2238.46589176471</v>
      </c>
      <c r="BR53" s="92" t="n">
        <f aca="false">IF(AB53&gt;=BD53,0,IFERROR(BD53+SUMPRODUCT((AB$4:AB$503&gt;=BD$4:BD$503)*(AB$4:AB$503-BD$4:BD$503))/MAX(1,COUNTIF(AB$4:AB$503,"&lt;"&amp;BD53+0.01)),BD53))</f>
        <v>3335.2938</v>
      </c>
      <c r="BS53" s="92" t="n">
        <f aca="false">IF(AC53&gt;=BE53,0,IFERROR(BE53+SUMPRODUCT((AC$4:AC$503&gt;=BE$4:BE$503)*(AC$4:AC$503-BE$4:BE$503))/MAX(1,COUNTIF(AC$4:AC$503,"&lt;"&amp;BE53+0.01)),BE53))</f>
        <v>0</v>
      </c>
      <c r="BT53" s="92" t="n">
        <f aca="false">IF(AD53&gt;=BF53,0,IFERROR(BF53+SUMPRODUCT((AD$4:AD$503&gt;=BF$4:BF$503)*(AD$4:AD$503-BF$4:BF$503))/MAX(1,COUNTIF(AD$4:AD$503,"&lt;"&amp;BF53+0.01)),BF53))</f>
        <v>11354.35411</v>
      </c>
      <c r="BU53" s="92" t="n">
        <f aca="false">IF(AE53&gt;=BG53,0,IFERROR(BG53+SUMPRODUCT((AE$4:AE$503&gt;=BG$4:BG$503)*(AE$4:AE$503-BG$4:BG$503))/MAX(1,COUNTIF(AE$4:AE$503,"&lt;"&amp;BG53+0.01)),BG53))</f>
        <v>7704.85920380952</v>
      </c>
      <c r="BV53" s="92" t="n">
        <f aca="false">IF(AF53&gt;=BH53,0,IFERROR(BH53+SUMPRODUCT((AF$4:AF$503&gt;=BH$4:BH$503)*(AF$4:AF$503-BH$4:BH$503))/MAX(1,COUNTIF(AF$4:AF$503,"&lt;"&amp;BH53+0.01)),BH53))</f>
        <v>0</v>
      </c>
      <c r="BW53" s="92" t="n">
        <f aca="false">IF(AG53&gt;=BI53,0,IFERROR(BI53+SUMPRODUCT((AG$4:AG$503&gt;=BI$4:BI$503)*(AG$4:AG$503-BI$4:BI$503))/MAX(1,COUNTIF(AG$4:AG$503,"&lt;"&amp;BI53+0.01)),BI53))</f>
        <v>9142.15870461538</v>
      </c>
      <c r="BX53" s="92" t="n">
        <f aca="false">IF(AH53&gt;=BJ53,0,IFERROR(BJ53+SUMPRODUCT((AH$4:AH$503&gt;=BJ$4:BJ$503)*(AH$4:AH$503-BJ$4:BJ$503))/MAX(1,COUNTIF(AH$4:AH$503,"&lt;"&amp;BJ53+0.01)),BJ53))</f>
        <v>0</v>
      </c>
      <c r="BY53" s="92" t="n">
        <f aca="false">IF(AI53&gt;=BK53,0,IFERROR(BK53+SUMPRODUCT((AI$4:AI$503&gt;=BK$4:BK$503)*(AI$4:AI$503-BK$4:BK$503))/MAX(1,COUNTIF(AI$4:AI$503,"&lt;"&amp;BK53+0.01)),BK53))</f>
        <v>7878.25652380952</v>
      </c>
      <c r="BZ53" s="92" t="n">
        <f aca="false">IF(AJ53&gt;=BL53,0,IFERROR(BL53+SUMPRODUCT((AJ$4:AJ$503&gt;=BL$4:BL$503)*(AJ$4:AJ$503-BL$4:BL$503))/MAX(1,COUNTIF(AJ$4:AJ$503,"&lt;"&amp;BL53+0.01)),BL53))</f>
        <v>6710.03292307692</v>
      </c>
      <c r="CA53" s="92" t="n">
        <f aca="false">IF(AK53&gt;=BM53,0,IFERROR(BM53+SUMPRODUCT((AK$4:AK$503&gt;=BM$4:BM$503)*(AK$4:AK$503-BM$4:BM$503))/MAX(1,COUNTIF(AK$4:AK$503,"&lt;"&amp;BM53+0.01)),BM53))</f>
        <v>7314.89836842105</v>
      </c>
      <c r="CB53" s="93" t="n">
        <f aca="false">IF(AL53&gt;=BN53,0,IFERROR(BN53+SUMPRODUCT((AL$4:AL$503&gt;=BN$4:BN$503)*(AL$4:AL$503-BN$4:BN$503))/MAX(1,COUNTIF(AL$4:AL$503,"&lt;"&amp;BN53+0.01)),BN53))</f>
        <v>3597.2614925</v>
      </c>
      <c r="CC53" s="95" t="str">
        <f aca="false">IF(AO53="🟢","VERDE",IF(AO53="🟡","AMARELO",IF(AO53="🟠","VERMELHO",IF(AO53="🔴","VERMELHO","ROXO"))))</f>
        <v>VERMELHO</v>
      </c>
      <c r="CD53" s="96" t="s">
        <v>103</v>
      </c>
      <c r="CE53" s="96" t="s">
        <v>104</v>
      </c>
    </row>
    <row r="54" customFormat="false" ht="14.25" hidden="false" customHeight="true" outlineLevel="0" collapsed="false">
      <c r="A54" s="65" t="s">
        <v>241</v>
      </c>
      <c r="B54" s="66" t="s">
        <v>242</v>
      </c>
      <c r="C54" s="67" t="s">
        <v>158</v>
      </c>
      <c r="D54" s="68" t="s">
        <v>100</v>
      </c>
      <c r="E54" s="69" t="s">
        <v>243</v>
      </c>
      <c r="F54" s="70" t="n">
        <f aca="false">IFERROR(VLOOKUP(C54,$AS$3:$AT$10,2,FALSE()),IFERROR(VLOOKUP(C54,$AS$15:$AT$22,2,FALSE()),""))</f>
        <v>29</v>
      </c>
      <c r="G54" s="71" t="n">
        <f aca="false">IFERROR(VLOOKUP(C54,$AS$3:$AX$10,6,FALSE()),IFERROR(VLOOKUP(C54,$AS$15:$AX$22,6,FALSE()),""))</f>
        <v>0.458564072601712</v>
      </c>
      <c r="H54" s="72" t="str">
        <f aca="false">IFERROR(VLOOKUP(C54,$AS$3:$AY$10,7,FALSE()),IFERROR(VLOOKUP(C54,$AS$15:$AY$22,7,FALSE()),""))</f>
        <v>🟡 AMARELO</v>
      </c>
      <c r="I54" s="72" t="str">
        <f aca="false">IFERROR(VLOOKUP(C54,$AS$3:$AZ$10,8,FALSE()),IFERROR(VLOOKUP(C54,$AS$15:$AZ$22,8,FALSE()),""))</f>
        <v>Sell Out</v>
      </c>
      <c r="J54" s="73"/>
      <c r="K54" s="69" t="s">
        <v>158</v>
      </c>
      <c r="L54" s="74" t="n">
        <v>19979.22</v>
      </c>
      <c r="M54" s="75" t="n">
        <v>1404</v>
      </c>
      <c r="N54" s="75" t="n">
        <v>1467.13</v>
      </c>
      <c r="O54" s="75" t="n">
        <v>1502.48</v>
      </c>
      <c r="P54" s="75" t="n">
        <v>1541.62</v>
      </c>
      <c r="Q54" s="75" t="n">
        <v>1592.13</v>
      </c>
      <c r="R54" s="75" t="n">
        <v>1633.79</v>
      </c>
      <c r="S54" s="75" t="n">
        <v>1696.92</v>
      </c>
      <c r="T54" s="75" t="n">
        <v>1738.59</v>
      </c>
      <c r="U54" s="75" t="n">
        <v>1777.73</v>
      </c>
      <c r="V54" s="75" t="n">
        <v>1821.92</v>
      </c>
      <c r="W54" s="75" t="n">
        <v>1869.89</v>
      </c>
      <c r="X54" s="76" t="n">
        <v>1933.02</v>
      </c>
      <c r="Y54" s="77" t="s">
        <v>20</v>
      </c>
      <c r="Z54" s="78" t="n">
        <f aca="false">SUM(AA54:AL54)</f>
        <v>8034.66</v>
      </c>
      <c r="AA54" s="79" t="n">
        <v>4212.18</v>
      </c>
      <c r="AB54" s="75"/>
      <c r="AC54" s="75"/>
      <c r="AD54" s="75"/>
      <c r="AE54" s="75"/>
      <c r="AF54" s="75"/>
      <c r="AG54" s="75"/>
      <c r="AH54" s="75"/>
      <c r="AI54" s="79" t="n">
        <v>3822.48</v>
      </c>
      <c r="AJ54" s="75"/>
      <c r="AK54" s="75"/>
      <c r="AL54" s="76"/>
      <c r="AM54" s="56" t="s">
        <v>20</v>
      </c>
      <c r="AN54" s="80" t="n">
        <f aca="false">IF(L54=0,0,Z54/L54)</f>
        <v>0.402150834717271</v>
      </c>
      <c r="AO54" s="81" t="str">
        <f aca="false">IF(AN54="","",IF(AN54&gt;=0.9,"🟢",IF(AN54&gt;=0.7,"🟡",IF(AN54&gt;=0.5,"🟠","🔴"))))</f>
        <v>🔴</v>
      </c>
      <c r="AP54" s="82" t="n">
        <f aca="false">IF(L54=0,0,L54-Z54)</f>
        <v>11944.56</v>
      </c>
      <c r="AQ54" s="83" t="n">
        <f aca="false">IF(AP54=0,"",RANK(AP54,AP$4:AP$503,0))</f>
        <v>46</v>
      </c>
      <c r="AR54" s="84" t="s">
        <v>20</v>
      </c>
      <c r="AS54" s="119"/>
      <c r="AT54" s="119"/>
      <c r="AU54" s="119"/>
      <c r="AV54" s="119"/>
      <c r="AW54" s="119"/>
      <c r="AX54" s="119"/>
      <c r="AY54" s="133"/>
      <c r="AZ54" s="133"/>
      <c r="BA54" s="56" t="s">
        <v>20</v>
      </c>
      <c r="BB54" s="91" t="n">
        <f aca="false">SUM(L$4:L$503)/COUNTA(A$4:A$503)</f>
        <v>9494.39992</v>
      </c>
      <c r="BC54" s="92" t="n">
        <f aca="false">SUM(M$4:M$503)/COUNTA(A$4:A$503)</f>
        <v>667.20008</v>
      </c>
      <c r="BD54" s="92" t="n">
        <f aca="false">SUM(N$4:N$503)/COUNTA(A$4:A$503)</f>
        <v>697.19996</v>
      </c>
      <c r="BE54" s="92" t="n">
        <f aca="false">SUM(O$4:O$503)/COUNTA(A$4:A$503)</f>
        <v>713.9999</v>
      </c>
      <c r="BF54" s="92" t="n">
        <f aca="false">SUM(P$4:P$503)/COUNTA(A$4:A$503)</f>
        <v>732.59984</v>
      </c>
      <c r="BG54" s="92" t="n">
        <f aca="false">SUM(Q$4:Q$503)/COUNTA(A$4:A$503)</f>
        <v>756.59992</v>
      </c>
      <c r="BH54" s="92" t="n">
        <f aca="false">SUM(R$4:R$503)/COUNTA(A$4:A$503)</f>
        <v>776.40004</v>
      </c>
      <c r="BI54" s="92" t="n">
        <f aca="false">SUM(S$4:S$503)/COUNTA(A$4:A$503)</f>
        <v>806.40012</v>
      </c>
      <c r="BJ54" s="92" t="n">
        <f aca="false">SUM(T$4:T$503)/COUNTA(A$4:A$503)</f>
        <v>826.1999</v>
      </c>
      <c r="BK54" s="92" t="n">
        <f aca="false">SUM(U$4:U$503)/COUNTA(A$4:A$503)</f>
        <v>844.8002</v>
      </c>
      <c r="BL54" s="92" t="n">
        <f aca="false">SUM(V$4:V$503)/COUNTA(A$4:A$503)</f>
        <v>865.7998</v>
      </c>
      <c r="BM54" s="92" t="n">
        <f aca="false">SUM(W$4:W$503)/COUNTA(A$4:A$503)</f>
        <v>888.59982</v>
      </c>
      <c r="BN54" s="93" t="n">
        <f aca="false">SUM(X$4:X$503)/COUNTA(A$4:A$503)</f>
        <v>918.60034</v>
      </c>
      <c r="BO54" s="94" t="s">
        <v>20</v>
      </c>
      <c r="BP54" s="91" t="n">
        <f aca="false">IF(Z54&gt;=BB54,0,IFERROR(BB54+(SUMPRODUCT((Z$4:Z$503&gt;=BB$4:BB$503)*(Z$4:Z$503-BB$4:BB$503))/MAX(1,COUNTIF(Z$4:Z$503,"&lt;"&amp;BB54+0.01))),BB54))</f>
        <v>10695.5432177778</v>
      </c>
      <c r="BQ54" s="92" t="n">
        <f aca="false">IF(AA54&gt;=BC54,0,IFERROR(BC54+SUMPRODUCT((AA$4:AA$503&gt;=BC$4:BC$503)*(AA$4:AA$503-BC$4:BC$503))/MAX(1,COUNTIF(AA$4:AA$503,"&lt;"&amp;BC54+0.01)),BC54))</f>
        <v>0</v>
      </c>
      <c r="BR54" s="92" t="n">
        <f aca="false">IF(AB54&gt;=BD54,0,IFERROR(BD54+SUMPRODUCT((AB$4:AB$503&gt;=BD$4:BD$503)*(AB$4:AB$503-BD$4:BD$503))/MAX(1,COUNTIF(AB$4:AB$503,"&lt;"&amp;BD54+0.01)),BD54))</f>
        <v>3335.2938</v>
      </c>
      <c r="BS54" s="92" t="n">
        <f aca="false">IF(AC54&gt;=BE54,0,IFERROR(BE54+SUMPRODUCT((AC$4:AC$503&gt;=BE$4:BE$503)*(AC$4:AC$503-BE$4:BE$503))/MAX(1,COUNTIF(AC$4:AC$503,"&lt;"&amp;BE54+0.01)),BE54))</f>
        <v>6188.73352</v>
      </c>
      <c r="BT54" s="92" t="n">
        <f aca="false">IF(AD54&gt;=BF54,0,IFERROR(BF54+SUMPRODUCT((AD$4:AD$503&gt;=BF$4:BF$503)*(AD$4:AD$503-BF$4:BF$503))/MAX(1,COUNTIF(AD$4:AD$503,"&lt;"&amp;BF54+0.01)),BF54))</f>
        <v>11354.35411</v>
      </c>
      <c r="BU54" s="92" t="n">
        <f aca="false">IF(AE54&gt;=BG54,0,IFERROR(BG54+SUMPRODUCT((AE$4:AE$503&gt;=BG$4:BG$503)*(AE$4:AE$503-BG$4:BG$503))/MAX(1,COUNTIF(AE$4:AE$503,"&lt;"&amp;BG54+0.01)),BG54))</f>
        <v>7704.85920380952</v>
      </c>
      <c r="BV54" s="92" t="n">
        <f aca="false">IF(AF54&gt;=BH54,0,IFERROR(BH54+SUMPRODUCT((AF$4:AF$503&gt;=BH$4:BH$503)*(AF$4:AF$503-BH$4:BH$503))/MAX(1,COUNTIF(AF$4:AF$503,"&lt;"&amp;BH54+0.01)),BH54))</f>
        <v>9942.6503831579</v>
      </c>
      <c r="BW54" s="92" t="n">
        <f aca="false">IF(AG54&gt;=BI54,0,IFERROR(BI54+SUMPRODUCT((AG$4:AG$503&gt;=BI$4:BI$503)*(AG$4:AG$503-BI$4:BI$503))/MAX(1,COUNTIF(AG$4:AG$503,"&lt;"&amp;BI54+0.01)),BI54))</f>
        <v>9142.15870461538</v>
      </c>
      <c r="BX54" s="92" t="n">
        <f aca="false">IF(AH54&gt;=BJ54,0,IFERROR(BJ54+SUMPRODUCT((AH$4:AH$503&gt;=BJ$4:BJ$503)*(AH$4:AH$503-BJ$4:BJ$503))/MAX(1,COUNTIF(AH$4:AH$503,"&lt;"&amp;BJ54+0.01)),BJ54))</f>
        <v>5621.50263448276</v>
      </c>
      <c r="BY54" s="92" t="n">
        <f aca="false">IF(AI54&gt;=BK54,0,IFERROR(BK54+SUMPRODUCT((AI$4:AI$503&gt;=BK$4:BK$503)*(AI$4:AI$503-BK$4:BK$503))/MAX(1,COUNTIF(AI$4:AI$503,"&lt;"&amp;BK54+0.01)),BK54))</f>
        <v>0</v>
      </c>
      <c r="BZ54" s="92" t="n">
        <f aca="false">IF(AJ54&gt;=BL54,0,IFERROR(BL54+SUMPRODUCT((AJ$4:AJ$503&gt;=BL$4:BL$503)*(AJ$4:AJ$503-BL$4:BL$503))/MAX(1,COUNTIF(AJ$4:AJ$503,"&lt;"&amp;BL54+0.01)),BL54))</f>
        <v>6710.03292307692</v>
      </c>
      <c r="CA54" s="92" t="n">
        <f aca="false">IF(AK54&gt;=BM54,0,IFERROR(BM54+SUMPRODUCT((AK$4:AK$503&gt;=BM$4:BM$503)*(AK$4:AK$503-BM$4:BM$503))/MAX(1,COUNTIF(AK$4:AK$503,"&lt;"&amp;BM54+0.01)),BM54))</f>
        <v>7314.89836842105</v>
      </c>
      <c r="CB54" s="93" t="n">
        <f aca="false">IF(AL54&gt;=BN54,0,IFERROR(BN54+SUMPRODUCT((AL$4:AL$503&gt;=BN$4:BN$503)*(AL$4:AL$503-BN$4:BN$503))/MAX(1,COUNTIF(AL$4:AL$503,"&lt;"&amp;BN54+0.01)),BN54))</f>
        <v>3597.2614925</v>
      </c>
      <c r="CC54" s="95" t="str">
        <f aca="false">IF(AO54="🟢","VERDE",IF(AO54="🟡","AMARELO",IF(AO54="🟠","VERMELHO",IF(AO54="🔴","VERMELHO","ROXO"))))</f>
        <v>VERMELHO</v>
      </c>
      <c r="CD54" s="96" t="s">
        <v>103</v>
      </c>
      <c r="CE54" s="96" t="s">
        <v>104</v>
      </c>
    </row>
    <row r="55" customFormat="false" ht="14.25" hidden="false" customHeight="true" outlineLevel="0" collapsed="false">
      <c r="A55" s="65" t="s">
        <v>244</v>
      </c>
      <c r="B55" s="66" t="s">
        <v>245</v>
      </c>
      <c r="C55" s="67" t="s">
        <v>107</v>
      </c>
      <c r="D55" s="68" t="s">
        <v>108</v>
      </c>
      <c r="E55" s="69" t="s">
        <v>109</v>
      </c>
      <c r="F55" s="70" t="n">
        <f aca="false">IFERROR(VLOOKUP(C55,$AS$3:$AT$10,2,FALSE()),IFERROR(VLOOKUP(C55,$AS$15:$AT$22,2,FALSE()),""))</f>
        <v>132</v>
      </c>
      <c r="G55" s="71" t="n">
        <f aca="false">IFERROR(VLOOKUP(C55,$AS$3:$AX$10,6,FALSE()),IFERROR(VLOOKUP(C55,$AS$15:$AX$22,6,FALSE()),""))</f>
        <v>0.468190175850689</v>
      </c>
      <c r="H55" s="72" t="str">
        <f aca="false">IFERROR(VLOOKUP(C55,$AS$3:$AY$10,7,FALSE()),IFERROR(VLOOKUP(C55,$AS$15:$AY$22,7,FALSE()),""))</f>
        <v>🟡 AMARELO</v>
      </c>
      <c r="I55" s="72" t="str">
        <f aca="false">IFERROR(VLOOKUP(C55,$AS$3:$AZ$10,8,FALSE()),IFERROR(VLOOKUP(C55,$AS$15:$AZ$22,8,FALSE()),""))</f>
        <v>Sell Out</v>
      </c>
      <c r="J55" s="73"/>
      <c r="K55" s="69" t="s">
        <v>107</v>
      </c>
      <c r="L55" s="74" t="n">
        <v>19757.5</v>
      </c>
      <c r="M55" s="75" t="n">
        <v>1388.42</v>
      </c>
      <c r="N55" s="75" t="n">
        <v>1450.85</v>
      </c>
      <c r="O55" s="75" t="n">
        <v>1485.81</v>
      </c>
      <c r="P55" s="75" t="n">
        <v>1524.51</v>
      </c>
      <c r="Q55" s="75" t="n">
        <v>1574.46</v>
      </c>
      <c r="R55" s="75" t="n">
        <v>1615.66</v>
      </c>
      <c r="S55" s="75" t="n">
        <v>1678.09</v>
      </c>
      <c r="T55" s="75" t="n">
        <v>1719.29</v>
      </c>
      <c r="U55" s="75" t="n">
        <v>1758</v>
      </c>
      <c r="V55" s="75" t="n">
        <v>1801.7</v>
      </c>
      <c r="W55" s="75" t="n">
        <v>1849.14</v>
      </c>
      <c r="X55" s="76" t="n">
        <v>1911.57</v>
      </c>
      <c r="Y55" s="77" t="s">
        <v>20</v>
      </c>
      <c r="Z55" s="78" t="n">
        <f aca="false">SUM(AA55:AL55)</f>
        <v>7945.5</v>
      </c>
      <c r="AA55" s="75"/>
      <c r="AB55" s="75"/>
      <c r="AC55" s="79" t="n">
        <v>2907</v>
      </c>
      <c r="AD55" s="79" t="n">
        <v>678.58</v>
      </c>
      <c r="AE55" s="79" t="n">
        <v>1308.24</v>
      </c>
      <c r="AF55" s="79" t="n">
        <v>1107.76</v>
      </c>
      <c r="AG55" s="75"/>
      <c r="AH55" s="79" t="n">
        <v>990</v>
      </c>
      <c r="AI55" s="75"/>
      <c r="AJ55" s="75"/>
      <c r="AK55" s="75"/>
      <c r="AL55" s="107" t="n">
        <v>953.92</v>
      </c>
      <c r="AM55" s="56" t="s">
        <v>20</v>
      </c>
      <c r="AN55" s="80" t="n">
        <f aca="false">IF(L55=0,0,Z55/L55)</f>
        <v>0.402151081867645</v>
      </c>
      <c r="AO55" s="81" t="str">
        <f aca="false">IF(AN55="","",IF(AN55&gt;=0.9,"🟢",IF(AN55&gt;=0.7,"🟡",IF(AN55&gt;=0.5,"🟠","🔴"))))</f>
        <v>🔴</v>
      </c>
      <c r="AP55" s="82" t="n">
        <f aca="false">IF(L55=0,0,L55-Z55)</f>
        <v>11812</v>
      </c>
      <c r="AQ55" s="83" t="n">
        <f aca="false">IF(AP55=0,"",RANK(AP55,AP$4:AP$503,0))</f>
        <v>48</v>
      </c>
      <c r="AR55" s="84" t="s">
        <v>20</v>
      </c>
      <c r="AS55" s="119"/>
      <c r="AT55" s="119"/>
      <c r="AU55" s="119"/>
      <c r="AV55" s="119"/>
      <c r="AW55" s="119"/>
      <c r="AX55" s="119"/>
      <c r="AY55" s="133"/>
      <c r="AZ55" s="133"/>
      <c r="BA55" s="56" t="s">
        <v>20</v>
      </c>
      <c r="BB55" s="91" t="n">
        <f aca="false">SUM(L$4:L$503)/COUNTA(A$4:A$503)</f>
        <v>9494.39992</v>
      </c>
      <c r="BC55" s="92" t="n">
        <f aca="false">SUM(M$4:M$503)/COUNTA(A$4:A$503)</f>
        <v>667.20008</v>
      </c>
      <c r="BD55" s="92" t="n">
        <f aca="false">SUM(N$4:N$503)/COUNTA(A$4:A$503)</f>
        <v>697.19996</v>
      </c>
      <c r="BE55" s="92" t="n">
        <f aca="false">SUM(O$4:O$503)/COUNTA(A$4:A$503)</f>
        <v>713.9999</v>
      </c>
      <c r="BF55" s="92" t="n">
        <f aca="false">SUM(P$4:P$503)/COUNTA(A$4:A$503)</f>
        <v>732.59984</v>
      </c>
      <c r="BG55" s="92" t="n">
        <f aca="false">SUM(Q$4:Q$503)/COUNTA(A$4:A$503)</f>
        <v>756.59992</v>
      </c>
      <c r="BH55" s="92" t="n">
        <f aca="false">SUM(R$4:R$503)/COUNTA(A$4:A$503)</f>
        <v>776.40004</v>
      </c>
      <c r="BI55" s="92" t="n">
        <f aca="false">SUM(S$4:S$503)/COUNTA(A$4:A$503)</f>
        <v>806.40012</v>
      </c>
      <c r="BJ55" s="92" t="n">
        <f aca="false">SUM(T$4:T$503)/COUNTA(A$4:A$503)</f>
        <v>826.1999</v>
      </c>
      <c r="BK55" s="92" t="n">
        <f aca="false">SUM(U$4:U$503)/COUNTA(A$4:A$503)</f>
        <v>844.8002</v>
      </c>
      <c r="BL55" s="92" t="n">
        <f aca="false">SUM(V$4:V$503)/COUNTA(A$4:A$503)</f>
        <v>865.7998</v>
      </c>
      <c r="BM55" s="92" t="n">
        <f aca="false">SUM(W$4:W$503)/COUNTA(A$4:A$503)</f>
        <v>888.59982</v>
      </c>
      <c r="BN55" s="93" t="n">
        <f aca="false">SUM(X$4:X$503)/COUNTA(A$4:A$503)</f>
        <v>918.60034</v>
      </c>
      <c r="BO55" s="94" t="s">
        <v>20</v>
      </c>
      <c r="BP55" s="91" t="n">
        <f aca="false">IF(Z55&gt;=BB55,0,IFERROR(BB55+(SUMPRODUCT((Z$4:Z$503&gt;=BB$4:BB$503)*(Z$4:Z$503-BB$4:BB$503))/MAX(1,COUNTIF(Z$4:Z$503,"&lt;"&amp;BB55+0.01))),BB55))</f>
        <v>10695.5432177778</v>
      </c>
      <c r="BQ55" s="92" t="n">
        <f aca="false">IF(AA55&gt;=BC55,0,IFERROR(BC55+SUMPRODUCT((AA$4:AA$503&gt;=BC$4:BC$503)*(AA$4:AA$503-BC$4:BC$503))/MAX(1,COUNTIF(AA$4:AA$503,"&lt;"&amp;BC55+0.01)),BC55))</f>
        <v>2238.46589176471</v>
      </c>
      <c r="BR55" s="92" t="n">
        <f aca="false">IF(AB55&gt;=BD55,0,IFERROR(BD55+SUMPRODUCT((AB$4:AB$503&gt;=BD$4:BD$503)*(AB$4:AB$503-BD$4:BD$503))/MAX(1,COUNTIF(AB$4:AB$503,"&lt;"&amp;BD55+0.01)),BD55))</f>
        <v>3335.2938</v>
      </c>
      <c r="BS55" s="92" t="n">
        <f aca="false">IF(AC55&gt;=BE55,0,IFERROR(BE55+SUMPRODUCT((AC$4:AC$503&gt;=BE$4:BE$503)*(AC$4:AC$503-BE$4:BE$503))/MAX(1,COUNTIF(AC$4:AC$503,"&lt;"&amp;BE55+0.01)),BE55))</f>
        <v>0</v>
      </c>
      <c r="BT55" s="92" t="n">
        <f aca="false">IF(AD55&gt;=BF55,0,IFERROR(BF55+SUMPRODUCT((AD$4:AD$503&gt;=BF$4:BF$503)*(AD$4:AD$503-BF$4:BF$503))/MAX(1,COUNTIF(AD$4:AD$503,"&lt;"&amp;BF55+0.01)),BF55))</f>
        <v>11354.35411</v>
      </c>
      <c r="BU55" s="92" t="n">
        <f aca="false">IF(AE55&gt;=BG55,0,IFERROR(BG55+SUMPRODUCT((AE$4:AE$503&gt;=BG$4:BG$503)*(AE$4:AE$503-BG$4:BG$503))/MAX(1,COUNTIF(AE$4:AE$503,"&lt;"&amp;BG55+0.01)),BG55))</f>
        <v>0</v>
      </c>
      <c r="BV55" s="92" t="n">
        <f aca="false">IF(AF55&gt;=BH55,0,IFERROR(BH55+SUMPRODUCT((AF$4:AF$503&gt;=BH$4:BH$503)*(AF$4:AF$503-BH$4:BH$503))/MAX(1,COUNTIF(AF$4:AF$503,"&lt;"&amp;BH55+0.01)),BH55))</f>
        <v>0</v>
      </c>
      <c r="BW55" s="92" t="n">
        <f aca="false">IF(AG55&gt;=BI55,0,IFERROR(BI55+SUMPRODUCT((AG$4:AG$503&gt;=BI$4:BI$503)*(AG$4:AG$503-BI$4:BI$503))/MAX(1,COUNTIF(AG$4:AG$503,"&lt;"&amp;BI55+0.01)),BI55))</f>
        <v>9142.15870461538</v>
      </c>
      <c r="BX55" s="92" t="n">
        <f aca="false">IF(AH55&gt;=BJ55,0,IFERROR(BJ55+SUMPRODUCT((AH$4:AH$503&gt;=BJ$4:BJ$503)*(AH$4:AH$503-BJ$4:BJ$503))/MAX(1,COUNTIF(AH$4:AH$503,"&lt;"&amp;BJ55+0.01)),BJ55))</f>
        <v>0</v>
      </c>
      <c r="BY55" s="92" t="n">
        <f aca="false">IF(AI55&gt;=BK55,0,IFERROR(BK55+SUMPRODUCT((AI$4:AI$503&gt;=BK$4:BK$503)*(AI$4:AI$503-BK$4:BK$503))/MAX(1,COUNTIF(AI$4:AI$503,"&lt;"&amp;BK55+0.01)),BK55))</f>
        <v>7878.25652380952</v>
      </c>
      <c r="BZ55" s="92" t="n">
        <f aca="false">IF(AJ55&gt;=BL55,0,IFERROR(BL55+SUMPRODUCT((AJ$4:AJ$503&gt;=BL$4:BL$503)*(AJ$4:AJ$503-BL$4:BL$503))/MAX(1,COUNTIF(AJ$4:AJ$503,"&lt;"&amp;BL55+0.01)),BL55))</f>
        <v>6710.03292307692</v>
      </c>
      <c r="CA55" s="92" t="n">
        <f aca="false">IF(AK55&gt;=BM55,0,IFERROR(BM55+SUMPRODUCT((AK$4:AK$503&gt;=BM$4:BM$503)*(AK$4:AK$503-BM$4:BM$503))/MAX(1,COUNTIF(AK$4:AK$503,"&lt;"&amp;BM55+0.01)),BM55))</f>
        <v>7314.89836842105</v>
      </c>
      <c r="CB55" s="93" t="n">
        <f aca="false">IF(AL55&gt;=BN55,0,IFERROR(BN55+SUMPRODUCT((AL$4:AL$503&gt;=BN$4:BN$503)*(AL$4:AL$503-BN$4:BN$503))/MAX(1,COUNTIF(AL$4:AL$503,"&lt;"&amp;BN55+0.01)),BN55))</f>
        <v>0</v>
      </c>
      <c r="CC55" s="95" t="str">
        <f aca="false">IF(AO55="🟢","VERDE",IF(AO55="🟡","AMARELO",IF(AO55="🟠","VERMELHO",IF(AO55="🔴","VERMELHO","ROXO"))))</f>
        <v>VERMELHO</v>
      </c>
      <c r="CD55" s="96" t="s">
        <v>103</v>
      </c>
      <c r="CE55" s="96" t="s">
        <v>104</v>
      </c>
    </row>
    <row r="56" customFormat="false" ht="14.25" hidden="false" customHeight="true" outlineLevel="0" collapsed="false">
      <c r="A56" s="65" t="s">
        <v>246</v>
      </c>
      <c r="B56" s="66" t="s">
        <v>247</v>
      </c>
      <c r="C56" s="67" t="s">
        <v>145</v>
      </c>
      <c r="D56" s="68" t="s">
        <v>100</v>
      </c>
      <c r="E56" s="69" t="s">
        <v>146</v>
      </c>
      <c r="F56" s="70" t="n">
        <f aca="false">IFERROR(VLOOKUP(C56,$AS$3:$AT$10,2,FALSE()),IFERROR(VLOOKUP(C56,$AS$15:$AT$22,2,FALSE()),""))</f>
        <v>10</v>
      </c>
      <c r="G56" s="71" t="n">
        <f aca="false">IFERROR(VLOOKUP(C56,$AS$3:$AX$10,6,FALSE()),IFERROR(VLOOKUP(C56,$AS$15:$AX$22,6,FALSE()),""))</f>
        <v>0.45643525037644</v>
      </c>
      <c r="H56" s="72" t="str">
        <f aca="false">IFERROR(VLOOKUP(C56,$AS$3:$AY$10,7,FALSE()),IFERROR(VLOOKUP(C56,$AS$15:$AY$22,7,FALSE()),""))</f>
        <v>🟡 AMARELO</v>
      </c>
      <c r="I56" s="72" t="str">
        <f aca="false">IFERROR(VLOOKUP(C56,$AS$3:$AZ$10,8,FALSE()),IFERROR(VLOOKUP(C56,$AS$15:$AZ$22,8,FALSE()),""))</f>
        <v>Sell Out</v>
      </c>
      <c r="J56" s="73"/>
      <c r="K56" s="69" t="s">
        <v>145</v>
      </c>
      <c r="L56" s="74" t="n">
        <v>19606.89</v>
      </c>
      <c r="M56" s="75" t="n">
        <v>1377.84</v>
      </c>
      <c r="N56" s="75" t="n">
        <v>1439.79</v>
      </c>
      <c r="O56" s="75" t="n">
        <v>1474.48</v>
      </c>
      <c r="P56" s="75" t="n">
        <v>1512.89</v>
      </c>
      <c r="Q56" s="75" t="n">
        <v>1562.45</v>
      </c>
      <c r="R56" s="75" t="n">
        <v>1603.34</v>
      </c>
      <c r="S56" s="75" t="n">
        <v>1665.3</v>
      </c>
      <c r="T56" s="75" t="n">
        <v>1706.19</v>
      </c>
      <c r="U56" s="75" t="n">
        <v>1744.6</v>
      </c>
      <c r="V56" s="75" t="n">
        <v>1787.96</v>
      </c>
      <c r="W56" s="75" t="n">
        <v>1835.05</v>
      </c>
      <c r="X56" s="76" t="n">
        <v>1897</v>
      </c>
      <c r="Y56" s="77" t="s">
        <v>20</v>
      </c>
      <c r="Z56" s="78" t="n">
        <f aca="false">SUM(AA56:AL56)</f>
        <v>7914.17</v>
      </c>
      <c r="AA56" s="75"/>
      <c r="AB56" s="75"/>
      <c r="AC56" s="79" t="n">
        <v>3228.92</v>
      </c>
      <c r="AD56" s="75"/>
      <c r="AE56" s="79" t="n">
        <v>1755.03</v>
      </c>
      <c r="AF56" s="75"/>
      <c r="AG56" s="79" t="n">
        <v>2930.22</v>
      </c>
      <c r="AH56" s="75"/>
      <c r="AI56" s="75"/>
      <c r="AJ56" s="75"/>
      <c r="AK56" s="75"/>
      <c r="AL56" s="76"/>
      <c r="AM56" s="56" t="s">
        <v>20</v>
      </c>
      <c r="AN56" s="80" t="n">
        <f aca="false">IF(L56=0,0,Z56/L56)</f>
        <v>0.403642291051768</v>
      </c>
      <c r="AO56" s="81" t="str">
        <f aca="false">IF(AN56="","",IF(AN56&gt;=0.9,"🟢",IF(AN56&gt;=0.7,"🟡",IF(AN56&gt;=0.5,"🟠","🔴"))))</f>
        <v>🔴</v>
      </c>
      <c r="AP56" s="82" t="n">
        <f aca="false">IF(L56=0,0,L56-Z56)</f>
        <v>11692.72</v>
      </c>
      <c r="AQ56" s="83" t="n">
        <f aca="false">IF(AP56=0,"",RANK(AP56,AP$4:AP$503,0))</f>
        <v>49</v>
      </c>
      <c r="AR56" s="84" t="s">
        <v>20</v>
      </c>
      <c r="AS56" s="119"/>
      <c r="AT56" s="119"/>
      <c r="AU56" s="119"/>
      <c r="AV56" s="119"/>
      <c r="AW56" s="119"/>
      <c r="AX56" s="119"/>
      <c r="AY56" s="133"/>
      <c r="AZ56" s="133"/>
      <c r="BA56" s="56" t="s">
        <v>20</v>
      </c>
      <c r="BB56" s="91" t="n">
        <f aca="false">SUM(L$4:L$503)/COUNTA(A$4:A$503)</f>
        <v>9494.39992</v>
      </c>
      <c r="BC56" s="92" t="n">
        <f aca="false">SUM(M$4:M$503)/COUNTA(A$4:A$503)</f>
        <v>667.20008</v>
      </c>
      <c r="BD56" s="92" t="n">
        <f aca="false">SUM(N$4:N$503)/COUNTA(A$4:A$503)</f>
        <v>697.19996</v>
      </c>
      <c r="BE56" s="92" t="n">
        <f aca="false">SUM(O$4:O$503)/COUNTA(A$4:A$503)</f>
        <v>713.9999</v>
      </c>
      <c r="BF56" s="92" t="n">
        <f aca="false">SUM(P$4:P$503)/COUNTA(A$4:A$503)</f>
        <v>732.59984</v>
      </c>
      <c r="BG56" s="92" t="n">
        <f aca="false">SUM(Q$4:Q$503)/COUNTA(A$4:A$503)</f>
        <v>756.59992</v>
      </c>
      <c r="BH56" s="92" t="n">
        <f aca="false">SUM(R$4:R$503)/COUNTA(A$4:A$503)</f>
        <v>776.40004</v>
      </c>
      <c r="BI56" s="92" t="n">
        <f aca="false">SUM(S$4:S$503)/COUNTA(A$4:A$503)</f>
        <v>806.40012</v>
      </c>
      <c r="BJ56" s="92" t="n">
        <f aca="false">SUM(T$4:T$503)/COUNTA(A$4:A$503)</f>
        <v>826.1999</v>
      </c>
      <c r="BK56" s="92" t="n">
        <f aca="false">SUM(U$4:U$503)/COUNTA(A$4:A$503)</f>
        <v>844.8002</v>
      </c>
      <c r="BL56" s="92" t="n">
        <f aca="false">SUM(V$4:V$503)/COUNTA(A$4:A$503)</f>
        <v>865.7998</v>
      </c>
      <c r="BM56" s="92" t="n">
        <f aca="false">SUM(W$4:W$503)/COUNTA(A$4:A$503)</f>
        <v>888.59982</v>
      </c>
      <c r="BN56" s="93" t="n">
        <f aca="false">SUM(X$4:X$503)/COUNTA(A$4:A$503)</f>
        <v>918.60034</v>
      </c>
      <c r="BO56" s="94" t="s">
        <v>20</v>
      </c>
      <c r="BP56" s="91" t="n">
        <f aca="false">IF(Z56&gt;=BB56,0,IFERROR(BB56+(SUMPRODUCT((Z$4:Z$503&gt;=BB$4:BB$503)*(Z$4:Z$503-BB$4:BB$503))/MAX(1,COUNTIF(Z$4:Z$503,"&lt;"&amp;BB56+0.01))),BB56))</f>
        <v>10695.5432177778</v>
      </c>
      <c r="BQ56" s="92" t="n">
        <f aca="false">IF(AA56&gt;=BC56,0,IFERROR(BC56+SUMPRODUCT((AA$4:AA$503&gt;=BC$4:BC$503)*(AA$4:AA$503-BC$4:BC$503))/MAX(1,COUNTIF(AA$4:AA$503,"&lt;"&amp;BC56+0.01)),BC56))</f>
        <v>2238.46589176471</v>
      </c>
      <c r="BR56" s="92" t="n">
        <f aca="false">IF(AB56&gt;=BD56,0,IFERROR(BD56+SUMPRODUCT((AB$4:AB$503&gt;=BD$4:BD$503)*(AB$4:AB$503-BD$4:BD$503))/MAX(1,COUNTIF(AB$4:AB$503,"&lt;"&amp;BD56+0.01)),BD56))</f>
        <v>3335.2938</v>
      </c>
      <c r="BS56" s="92" t="n">
        <f aca="false">IF(AC56&gt;=BE56,0,IFERROR(BE56+SUMPRODUCT((AC$4:AC$503&gt;=BE$4:BE$503)*(AC$4:AC$503-BE$4:BE$503))/MAX(1,COUNTIF(AC$4:AC$503,"&lt;"&amp;BE56+0.01)),BE56))</f>
        <v>0</v>
      </c>
      <c r="BT56" s="92" t="n">
        <f aca="false">IF(AD56&gt;=BF56,0,IFERROR(BF56+SUMPRODUCT((AD$4:AD$503&gt;=BF$4:BF$503)*(AD$4:AD$503-BF$4:BF$503))/MAX(1,COUNTIF(AD$4:AD$503,"&lt;"&amp;BF56+0.01)),BF56))</f>
        <v>11354.35411</v>
      </c>
      <c r="BU56" s="92" t="n">
        <f aca="false">IF(AE56&gt;=BG56,0,IFERROR(BG56+SUMPRODUCT((AE$4:AE$503&gt;=BG$4:BG$503)*(AE$4:AE$503-BG$4:BG$503))/MAX(1,COUNTIF(AE$4:AE$503,"&lt;"&amp;BG56+0.01)),BG56))</f>
        <v>0</v>
      </c>
      <c r="BV56" s="92" t="n">
        <f aca="false">IF(AF56&gt;=BH56,0,IFERROR(BH56+SUMPRODUCT((AF$4:AF$503&gt;=BH$4:BH$503)*(AF$4:AF$503-BH$4:BH$503))/MAX(1,COUNTIF(AF$4:AF$503,"&lt;"&amp;BH56+0.01)),BH56))</f>
        <v>9942.6503831579</v>
      </c>
      <c r="BW56" s="92" t="n">
        <f aca="false">IF(AG56&gt;=BI56,0,IFERROR(BI56+SUMPRODUCT((AG$4:AG$503&gt;=BI$4:BI$503)*(AG$4:AG$503-BI$4:BI$503))/MAX(1,COUNTIF(AG$4:AG$503,"&lt;"&amp;BI56+0.01)),BI56))</f>
        <v>0</v>
      </c>
      <c r="BX56" s="92" t="n">
        <f aca="false">IF(AH56&gt;=BJ56,0,IFERROR(BJ56+SUMPRODUCT((AH$4:AH$503&gt;=BJ$4:BJ$503)*(AH$4:AH$503-BJ$4:BJ$503))/MAX(1,COUNTIF(AH$4:AH$503,"&lt;"&amp;BJ56+0.01)),BJ56))</f>
        <v>5621.50263448276</v>
      </c>
      <c r="BY56" s="92" t="n">
        <f aca="false">IF(AI56&gt;=BK56,0,IFERROR(BK56+SUMPRODUCT((AI$4:AI$503&gt;=BK$4:BK$503)*(AI$4:AI$503-BK$4:BK$503))/MAX(1,COUNTIF(AI$4:AI$503,"&lt;"&amp;BK56+0.01)),BK56))</f>
        <v>7878.25652380952</v>
      </c>
      <c r="BZ56" s="92" t="n">
        <f aca="false">IF(AJ56&gt;=BL56,0,IFERROR(BL56+SUMPRODUCT((AJ$4:AJ$503&gt;=BL$4:BL$503)*(AJ$4:AJ$503-BL$4:BL$503))/MAX(1,COUNTIF(AJ$4:AJ$503,"&lt;"&amp;BL56+0.01)),BL56))</f>
        <v>6710.03292307692</v>
      </c>
      <c r="CA56" s="92" t="n">
        <f aca="false">IF(AK56&gt;=BM56,0,IFERROR(BM56+SUMPRODUCT((AK$4:AK$503&gt;=BM$4:BM$503)*(AK$4:AK$503-BM$4:BM$503))/MAX(1,COUNTIF(AK$4:AK$503,"&lt;"&amp;BM56+0.01)),BM56))</f>
        <v>7314.89836842105</v>
      </c>
      <c r="CB56" s="93" t="n">
        <f aca="false">IF(AL56&gt;=BN56,0,IFERROR(BN56+SUMPRODUCT((AL$4:AL$503&gt;=BN$4:BN$503)*(AL$4:AL$503-BN$4:BN$503))/MAX(1,COUNTIF(AL$4:AL$503,"&lt;"&amp;BN56+0.01)),BN56))</f>
        <v>3597.2614925</v>
      </c>
      <c r="CC56" s="95" t="str">
        <f aca="false">IF(AO56="🟢","VERDE",IF(AO56="🟡","AMARELO",IF(AO56="🟠","VERMELHO",IF(AO56="🔴","VERMELHO","ROXO"))))</f>
        <v>VERMELHO</v>
      </c>
      <c r="CD56" s="96" t="s">
        <v>103</v>
      </c>
      <c r="CE56" s="96" t="s">
        <v>104</v>
      </c>
    </row>
    <row r="57" customFormat="false" ht="14.25" hidden="false" customHeight="true" outlineLevel="0" collapsed="false">
      <c r="A57" s="65" t="s">
        <v>248</v>
      </c>
      <c r="B57" s="66" t="s">
        <v>249</v>
      </c>
      <c r="C57" s="67" t="s">
        <v>113</v>
      </c>
      <c r="D57" s="68" t="s">
        <v>100</v>
      </c>
      <c r="E57" s="69" t="s">
        <v>250</v>
      </c>
      <c r="F57" s="70" t="n">
        <f aca="false">IFERROR(VLOOKUP(C57,$AS$3:$AT$10,2,FALSE()),IFERROR(VLOOKUP(C57,$AS$15:$AT$22,2,FALSE()),""))</f>
        <v>49</v>
      </c>
      <c r="G57" s="71" t="n">
        <f aca="false">IFERROR(VLOOKUP(C57,$AS$3:$AX$10,6,FALSE()),IFERROR(VLOOKUP(C57,$AS$15:$AX$22,6,FALSE()),""))</f>
        <v>0.463965086137302</v>
      </c>
      <c r="H57" s="72" t="str">
        <f aca="false">IFERROR(VLOOKUP(C57,$AS$3:$AY$10,7,FALSE()),IFERROR(VLOOKUP(C57,$AS$15:$AY$22,7,FALSE()),""))</f>
        <v>🟡 AMARELO</v>
      </c>
      <c r="I57" s="72" t="str">
        <f aca="false">IFERROR(VLOOKUP(C57,$AS$3:$AZ$10,8,FALSE()),IFERROR(VLOOKUP(C57,$AS$15:$AZ$22,8,FALSE()),""))</f>
        <v>Sell Out</v>
      </c>
      <c r="J57" s="73"/>
      <c r="K57" s="69" t="s">
        <v>113</v>
      </c>
      <c r="L57" s="74" t="n">
        <v>19515.27</v>
      </c>
      <c r="M57" s="75" t="n">
        <v>1371.4</v>
      </c>
      <c r="N57" s="75" t="n">
        <v>1433.06</v>
      </c>
      <c r="O57" s="75" t="n">
        <v>1467.59</v>
      </c>
      <c r="P57" s="75" t="n">
        <v>1505.82</v>
      </c>
      <c r="Q57" s="75" t="n">
        <v>1555.15</v>
      </c>
      <c r="R57" s="75" t="n">
        <v>1595.85</v>
      </c>
      <c r="S57" s="75" t="n">
        <v>1657.52</v>
      </c>
      <c r="T57" s="75" t="n">
        <v>1698.21</v>
      </c>
      <c r="U57" s="75" t="n">
        <v>1736.45</v>
      </c>
      <c r="V57" s="75" t="n">
        <v>1779.61</v>
      </c>
      <c r="W57" s="75" t="n">
        <v>1826.47</v>
      </c>
      <c r="X57" s="76" t="n">
        <v>1888.14</v>
      </c>
      <c r="Y57" s="77" t="s">
        <v>20</v>
      </c>
      <c r="Z57" s="78" t="n">
        <f aca="false">SUM(AA57:AL57)</f>
        <v>13378.31</v>
      </c>
      <c r="AA57" s="75"/>
      <c r="AB57" s="75"/>
      <c r="AC57" s="75"/>
      <c r="AD57" s="75"/>
      <c r="AE57" s="75"/>
      <c r="AF57" s="75"/>
      <c r="AG57" s="75"/>
      <c r="AH57" s="75"/>
      <c r="AI57" s="75"/>
      <c r="AJ57" s="79" t="n">
        <v>6770.44</v>
      </c>
      <c r="AK57" s="79" t="n">
        <v>4978.27</v>
      </c>
      <c r="AL57" s="107" t="n">
        <v>1629.6</v>
      </c>
      <c r="AM57" s="56" t="s">
        <v>20</v>
      </c>
      <c r="AN57" s="80" t="n">
        <f aca="false">IF(L57=0,0,Z57/L57)</f>
        <v>0.685530356484947</v>
      </c>
      <c r="AO57" s="81" t="str">
        <f aca="false">IF(AN57="","",IF(AN57&gt;=0.9,"🟢",IF(AN57&gt;=0.7,"🟡",IF(AN57&gt;=0.5,"🟠","🔴"))))</f>
        <v>🟠</v>
      </c>
      <c r="AP57" s="82" t="n">
        <f aca="false">IF(L57=0,0,L57-Z57)</f>
        <v>6136.96</v>
      </c>
      <c r="AQ57" s="83" t="n">
        <f aca="false">IF(AP57=0,"",RANK(AP57,AP$4:AP$503,0))</f>
        <v>102</v>
      </c>
      <c r="AR57" s="84" t="s">
        <v>20</v>
      </c>
      <c r="AS57" s="119"/>
      <c r="AT57" s="119"/>
      <c r="AU57" s="119"/>
      <c r="AV57" s="119"/>
      <c r="AW57" s="119"/>
      <c r="AX57" s="119"/>
      <c r="AY57" s="133"/>
      <c r="AZ57" s="133"/>
      <c r="BA57" s="56" t="s">
        <v>20</v>
      </c>
      <c r="BB57" s="91" t="n">
        <f aca="false">SUM(L$4:L$503)/COUNTA(A$4:A$503)</f>
        <v>9494.39992</v>
      </c>
      <c r="BC57" s="92" t="n">
        <f aca="false">SUM(M$4:M$503)/COUNTA(A$4:A$503)</f>
        <v>667.20008</v>
      </c>
      <c r="BD57" s="92" t="n">
        <f aca="false">SUM(N$4:N$503)/COUNTA(A$4:A$503)</f>
        <v>697.19996</v>
      </c>
      <c r="BE57" s="92" t="n">
        <f aca="false">SUM(O$4:O$503)/COUNTA(A$4:A$503)</f>
        <v>713.9999</v>
      </c>
      <c r="BF57" s="92" t="n">
        <f aca="false">SUM(P$4:P$503)/COUNTA(A$4:A$503)</f>
        <v>732.59984</v>
      </c>
      <c r="BG57" s="92" t="n">
        <f aca="false">SUM(Q$4:Q$503)/COUNTA(A$4:A$503)</f>
        <v>756.59992</v>
      </c>
      <c r="BH57" s="92" t="n">
        <f aca="false">SUM(R$4:R$503)/COUNTA(A$4:A$503)</f>
        <v>776.40004</v>
      </c>
      <c r="BI57" s="92" t="n">
        <f aca="false">SUM(S$4:S$503)/COUNTA(A$4:A$503)</f>
        <v>806.40012</v>
      </c>
      <c r="BJ57" s="92" t="n">
        <f aca="false">SUM(T$4:T$503)/COUNTA(A$4:A$503)</f>
        <v>826.1999</v>
      </c>
      <c r="BK57" s="92" t="n">
        <f aca="false">SUM(U$4:U$503)/COUNTA(A$4:A$503)</f>
        <v>844.8002</v>
      </c>
      <c r="BL57" s="92" t="n">
        <f aca="false">SUM(V$4:V$503)/COUNTA(A$4:A$503)</f>
        <v>865.7998</v>
      </c>
      <c r="BM57" s="92" t="n">
        <f aca="false">SUM(W$4:W$503)/COUNTA(A$4:A$503)</f>
        <v>888.59982</v>
      </c>
      <c r="BN57" s="93" t="n">
        <f aca="false">SUM(X$4:X$503)/COUNTA(A$4:A$503)</f>
        <v>918.60034</v>
      </c>
      <c r="BO57" s="94" t="s">
        <v>20</v>
      </c>
      <c r="BP57" s="91" t="n">
        <f aca="false">IF(Z57&gt;=BB57,0,IFERROR(BB57+(SUMPRODUCT((Z$4:Z$503&gt;=BB$4:BB$503)*(Z$4:Z$503-BB$4:BB$503))/MAX(1,COUNTIF(Z$4:Z$503,"&lt;"&amp;BB57+0.01))),BB57))</f>
        <v>0</v>
      </c>
      <c r="BQ57" s="92" t="n">
        <f aca="false">IF(AA57&gt;=BC57,0,IFERROR(BC57+SUMPRODUCT((AA$4:AA$503&gt;=BC$4:BC$503)*(AA$4:AA$503-BC$4:BC$503))/MAX(1,COUNTIF(AA$4:AA$503,"&lt;"&amp;BC57+0.01)),BC57))</f>
        <v>2238.46589176471</v>
      </c>
      <c r="BR57" s="92" t="n">
        <f aca="false">IF(AB57&gt;=BD57,0,IFERROR(BD57+SUMPRODUCT((AB$4:AB$503&gt;=BD$4:BD$503)*(AB$4:AB$503-BD$4:BD$503))/MAX(1,COUNTIF(AB$4:AB$503,"&lt;"&amp;BD57+0.01)),BD57))</f>
        <v>3335.2938</v>
      </c>
      <c r="BS57" s="92" t="n">
        <f aca="false">IF(AC57&gt;=BE57,0,IFERROR(BE57+SUMPRODUCT((AC$4:AC$503&gt;=BE$4:BE$503)*(AC$4:AC$503-BE$4:BE$503))/MAX(1,COUNTIF(AC$4:AC$503,"&lt;"&amp;BE57+0.01)),BE57))</f>
        <v>6188.73352</v>
      </c>
      <c r="BT57" s="92" t="n">
        <f aca="false">IF(AD57&gt;=BF57,0,IFERROR(BF57+SUMPRODUCT((AD$4:AD$503&gt;=BF$4:BF$503)*(AD$4:AD$503-BF$4:BF$503))/MAX(1,COUNTIF(AD$4:AD$503,"&lt;"&amp;BF57+0.01)),BF57))</f>
        <v>11354.35411</v>
      </c>
      <c r="BU57" s="92" t="n">
        <f aca="false">IF(AE57&gt;=BG57,0,IFERROR(BG57+SUMPRODUCT((AE$4:AE$503&gt;=BG$4:BG$503)*(AE$4:AE$503-BG$4:BG$503))/MAX(1,COUNTIF(AE$4:AE$503,"&lt;"&amp;BG57+0.01)),BG57))</f>
        <v>7704.85920380952</v>
      </c>
      <c r="BV57" s="92" t="n">
        <f aca="false">IF(AF57&gt;=BH57,0,IFERROR(BH57+SUMPRODUCT((AF$4:AF$503&gt;=BH$4:BH$503)*(AF$4:AF$503-BH$4:BH$503))/MAX(1,COUNTIF(AF$4:AF$503,"&lt;"&amp;BH57+0.01)),BH57))</f>
        <v>9942.6503831579</v>
      </c>
      <c r="BW57" s="92" t="n">
        <f aca="false">IF(AG57&gt;=BI57,0,IFERROR(BI57+SUMPRODUCT((AG$4:AG$503&gt;=BI$4:BI$503)*(AG$4:AG$503-BI$4:BI$503))/MAX(1,COUNTIF(AG$4:AG$503,"&lt;"&amp;BI57+0.01)),BI57))</f>
        <v>9142.15870461538</v>
      </c>
      <c r="BX57" s="92" t="n">
        <f aca="false">IF(AH57&gt;=BJ57,0,IFERROR(BJ57+SUMPRODUCT((AH$4:AH$503&gt;=BJ$4:BJ$503)*(AH$4:AH$503-BJ$4:BJ$503))/MAX(1,COUNTIF(AH$4:AH$503,"&lt;"&amp;BJ57+0.01)),BJ57))</f>
        <v>5621.50263448276</v>
      </c>
      <c r="BY57" s="92" t="n">
        <f aca="false">IF(AI57&gt;=BK57,0,IFERROR(BK57+SUMPRODUCT((AI$4:AI$503&gt;=BK$4:BK$503)*(AI$4:AI$503-BK$4:BK$503))/MAX(1,COUNTIF(AI$4:AI$503,"&lt;"&amp;BK57+0.01)),BK57))</f>
        <v>7878.25652380952</v>
      </c>
      <c r="BZ57" s="92" t="n">
        <f aca="false">IF(AJ57&gt;=BL57,0,IFERROR(BL57+SUMPRODUCT((AJ$4:AJ$503&gt;=BL$4:BL$503)*(AJ$4:AJ$503-BL$4:BL$503))/MAX(1,COUNTIF(AJ$4:AJ$503,"&lt;"&amp;BL57+0.01)),BL57))</f>
        <v>0</v>
      </c>
      <c r="CA57" s="92" t="n">
        <f aca="false">IF(AK57&gt;=BM57,0,IFERROR(BM57+SUMPRODUCT((AK$4:AK$503&gt;=BM$4:BM$503)*(AK$4:AK$503-BM$4:BM$503))/MAX(1,COUNTIF(AK$4:AK$503,"&lt;"&amp;BM57+0.01)),BM57))</f>
        <v>0</v>
      </c>
      <c r="CB57" s="93" t="n">
        <f aca="false">IF(AL57&gt;=BN57,0,IFERROR(BN57+SUMPRODUCT((AL$4:AL$503&gt;=BN$4:BN$503)*(AL$4:AL$503-BN$4:BN$503))/MAX(1,COUNTIF(AL$4:AL$503,"&lt;"&amp;BN57+0.01)),BN57))</f>
        <v>0</v>
      </c>
      <c r="CC57" s="95" t="str">
        <f aca="false">IF(AO57="🟢","VERDE",IF(AO57="🟡","AMARELO",IF(AO57="🟠","VERMELHO",IF(AO57="🔴","VERMELHO","ROXO"))))</f>
        <v>VERMELHO</v>
      </c>
      <c r="CD57" s="96" t="s">
        <v>103</v>
      </c>
      <c r="CE57" s="96" t="s">
        <v>104</v>
      </c>
    </row>
    <row r="58" customFormat="false" ht="14.25" hidden="false" customHeight="true" outlineLevel="0" collapsed="false">
      <c r="A58" s="65" t="s">
        <v>251</v>
      </c>
      <c r="B58" s="66" t="s">
        <v>252</v>
      </c>
      <c r="C58" s="67" t="s">
        <v>123</v>
      </c>
      <c r="D58" s="68" t="s">
        <v>100</v>
      </c>
      <c r="E58" s="56" t="s">
        <v>20</v>
      </c>
      <c r="F58" s="70" t="n">
        <f aca="false">IFERROR(VLOOKUP(C58,$AS$3:$AT$10,2,FALSE()),IFERROR(VLOOKUP(C58,$AS$15:$AT$22,2,FALSE()),""))</f>
        <v>49</v>
      </c>
      <c r="G58" s="71" t="n">
        <f aca="false">IFERROR(VLOOKUP(C58,$AS$3:$AX$10,6,FALSE()),IFERROR(VLOOKUP(C58,$AS$15:$AX$22,6,FALSE()),""))</f>
        <v>0.436391353881959</v>
      </c>
      <c r="H58" s="72" t="str">
        <f aca="false">IFERROR(VLOOKUP(C58,$AS$3:$AY$10,7,FALSE()),IFERROR(VLOOKUP(C58,$AS$15:$AY$22,7,FALSE()),""))</f>
        <v>🟡 AMARELO</v>
      </c>
      <c r="I58" s="72" t="str">
        <f aca="false">IFERROR(VLOOKUP(C58,$AS$3:$AZ$10,8,FALSE()),IFERROR(VLOOKUP(C58,$AS$15:$AZ$22,8,FALSE()),""))</f>
        <v>Sell Out</v>
      </c>
      <c r="J58" s="73"/>
      <c r="K58" s="56" t="s">
        <v>20</v>
      </c>
      <c r="L58" s="74" t="n">
        <v>19392.92</v>
      </c>
      <c r="M58" s="75" t="n">
        <v>1362.8</v>
      </c>
      <c r="N58" s="75" t="n">
        <v>1424.08</v>
      </c>
      <c r="O58" s="75" t="n">
        <v>1458.39</v>
      </c>
      <c r="P58" s="75" t="n">
        <v>1496.38</v>
      </c>
      <c r="Q58" s="75" t="n">
        <v>1545.4</v>
      </c>
      <c r="R58" s="75" t="n">
        <v>1585.85</v>
      </c>
      <c r="S58" s="75" t="n">
        <v>1647.12</v>
      </c>
      <c r="T58" s="75" t="n">
        <v>1687.57</v>
      </c>
      <c r="U58" s="75" t="n">
        <v>1725.56</v>
      </c>
      <c r="V58" s="75" t="n">
        <v>1768.45</v>
      </c>
      <c r="W58" s="75" t="n">
        <v>1815.02</v>
      </c>
      <c r="X58" s="76" t="n">
        <v>1876.3</v>
      </c>
      <c r="Y58" s="77" t="s">
        <v>20</v>
      </c>
      <c r="Z58" s="78" t="n">
        <f aca="false">SUM(AA58:AL58)</f>
        <v>8012.52</v>
      </c>
      <c r="AA58" s="75"/>
      <c r="AB58" s="75"/>
      <c r="AC58" s="75" t="n">
        <v>2873.64</v>
      </c>
      <c r="AD58" s="75"/>
      <c r="AE58" s="75"/>
      <c r="AF58" s="75" t="n">
        <v>2134.26</v>
      </c>
      <c r="AG58" s="75"/>
      <c r="AH58" s="75"/>
      <c r="AI58" s="75" t="n">
        <v>1542.37</v>
      </c>
      <c r="AJ58" s="75"/>
      <c r="AK58" s="75" t="n">
        <v>1462.25</v>
      </c>
      <c r="AL58" s="76"/>
      <c r="AM58" s="56" t="s">
        <v>20</v>
      </c>
      <c r="AN58" s="80" t="n">
        <f aca="false">IF(L58=0,0,Z58/L58)</f>
        <v>0.413167279605134</v>
      </c>
      <c r="AO58" s="81" t="str">
        <f aca="false">IF(AN58="","",IF(AN58&gt;=0.9,"🟢",IF(AN58&gt;=0.7,"🟡",IF(AN58&gt;=0.5,"🟠","🔴"))))</f>
        <v>🔴</v>
      </c>
      <c r="AP58" s="82" t="n">
        <f aca="false">IF(L58=0,0,L58-Z58)</f>
        <v>11380.4</v>
      </c>
      <c r="AQ58" s="83" t="n">
        <f aca="false">IF(AP58=0,"",RANK(AP58,AP$4:AP$503,0))</f>
        <v>50</v>
      </c>
      <c r="AR58" s="84" t="s">
        <v>20</v>
      </c>
      <c r="AS58" s="119"/>
      <c r="AT58" s="119"/>
      <c r="AU58" s="119"/>
      <c r="AV58" s="119"/>
      <c r="AW58" s="119"/>
      <c r="AX58" s="119"/>
      <c r="AY58" s="133"/>
      <c r="AZ58" s="133"/>
      <c r="BA58" s="56" t="s">
        <v>20</v>
      </c>
      <c r="BB58" s="91" t="n">
        <f aca="false">SUM(L$4:L$503)/COUNTA(A$4:A$503)</f>
        <v>9494.39992</v>
      </c>
      <c r="BC58" s="92" t="n">
        <f aca="false">SUM(M$4:M$503)/COUNTA(A$4:A$503)</f>
        <v>667.20008</v>
      </c>
      <c r="BD58" s="92" t="n">
        <f aca="false">SUM(N$4:N$503)/COUNTA(A$4:A$503)</f>
        <v>697.19996</v>
      </c>
      <c r="BE58" s="92" t="n">
        <f aca="false">SUM(O$4:O$503)/COUNTA(A$4:A$503)</f>
        <v>713.9999</v>
      </c>
      <c r="BF58" s="92" t="n">
        <f aca="false">SUM(P$4:P$503)/COUNTA(A$4:A$503)</f>
        <v>732.59984</v>
      </c>
      <c r="BG58" s="92" t="n">
        <f aca="false">SUM(Q$4:Q$503)/COUNTA(A$4:A$503)</f>
        <v>756.59992</v>
      </c>
      <c r="BH58" s="92" t="n">
        <f aca="false">SUM(R$4:R$503)/COUNTA(A$4:A$503)</f>
        <v>776.40004</v>
      </c>
      <c r="BI58" s="92" t="n">
        <f aca="false">SUM(S$4:S$503)/COUNTA(A$4:A$503)</f>
        <v>806.40012</v>
      </c>
      <c r="BJ58" s="92" t="n">
        <f aca="false">SUM(T$4:T$503)/COUNTA(A$4:A$503)</f>
        <v>826.1999</v>
      </c>
      <c r="BK58" s="92" t="n">
        <f aca="false">SUM(U$4:U$503)/COUNTA(A$4:A$503)</f>
        <v>844.8002</v>
      </c>
      <c r="BL58" s="92" t="n">
        <f aca="false">SUM(V$4:V$503)/COUNTA(A$4:A$503)</f>
        <v>865.7998</v>
      </c>
      <c r="BM58" s="92" t="n">
        <f aca="false">SUM(W$4:W$503)/COUNTA(A$4:A$503)</f>
        <v>888.59982</v>
      </c>
      <c r="BN58" s="93" t="n">
        <f aca="false">SUM(X$4:X$503)/COUNTA(A$4:A$503)</f>
        <v>918.60034</v>
      </c>
      <c r="BO58" s="94" t="s">
        <v>20</v>
      </c>
      <c r="BP58" s="91" t="n">
        <f aca="false">IF(Z58&gt;=BB58,0,IFERROR(BB58+(SUMPRODUCT((Z$4:Z$503&gt;=BB$4:BB$503)*(Z$4:Z$503-BB$4:BB$503))/MAX(1,COUNTIF(Z$4:Z$503,"&lt;"&amp;BB58+0.01))),BB58))</f>
        <v>10695.5432177778</v>
      </c>
      <c r="BQ58" s="92" t="n">
        <f aca="false">IF(AA58&gt;=BC58,0,IFERROR(BC58+SUMPRODUCT((AA$4:AA$503&gt;=BC$4:BC$503)*(AA$4:AA$503-BC$4:BC$503))/MAX(1,COUNTIF(AA$4:AA$503,"&lt;"&amp;BC58+0.01)),BC58))</f>
        <v>2238.46589176471</v>
      </c>
      <c r="BR58" s="92" t="n">
        <f aca="false">IF(AB58&gt;=BD58,0,IFERROR(BD58+SUMPRODUCT((AB$4:AB$503&gt;=BD$4:BD$503)*(AB$4:AB$503-BD$4:BD$503))/MAX(1,COUNTIF(AB$4:AB$503,"&lt;"&amp;BD58+0.01)),BD58))</f>
        <v>3335.2938</v>
      </c>
      <c r="BS58" s="92" t="n">
        <f aca="false">IF(AC58&gt;=BE58,0,IFERROR(BE58+SUMPRODUCT((AC$4:AC$503&gt;=BE$4:BE$503)*(AC$4:AC$503-BE$4:BE$503))/MAX(1,COUNTIF(AC$4:AC$503,"&lt;"&amp;BE58+0.01)),BE58))</f>
        <v>0</v>
      </c>
      <c r="BT58" s="92" t="n">
        <f aca="false">IF(AD58&gt;=BF58,0,IFERROR(BF58+SUMPRODUCT((AD$4:AD$503&gt;=BF$4:BF$503)*(AD$4:AD$503-BF$4:BF$503))/MAX(1,COUNTIF(AD$4:AD$503,"&lt;"&amp;BF58+0.01)),BF58))</f>
        <v>11354.35411</v>
      </c>
      <c r="BU58" s="92" t="n">
        <f aca="false">IF(AE58&gt;=BG58,0,IFERROR(BG58+SUMPRODUCT((AE$4:AE$503&gt;=BG$4:BG$503)*(AE$4:AE$503-BG$4:BG$503))/MAX(1,COUNTIF(AE$4:AE$503,"&lt;"&amp;BG58+0.01)),BG58))</f>
        <v>7704.85920380952</v>
      </c>
      <c r="BV58" s="92" t="n">
        <f aca="false">IF(AF58&gt;=BH58,0,IFERROR(BH58+SUMPRODUCT((AF$4:AF$503&gt;=BH$4:BH$503)*(AF$4:AF$503-BH$4:BH$503))/MAX(1,COUNTIF(AF$4:AF$503,"&lt;"&amp;BH58+0.01)),BH58))</f>
        <v>0</v>
      </c>
      <c r="BW58" s="92" t="n">
        <f aca="false">IF(AG58&gt;=BI58,0,IFERROR(BI58+SUMPRODUCT((AG$4:AG$503&gt;=BI$4:BI$503)*(AG$4:AG$503-BI$4:BI$503))/MAX(1,COUNTIF(AG$4:AG$503,"&lt;"&amp;BI58+0.01)),BI58))</f>
        <v>9142.15870461538</v>
      </c>
      <c r="BX58" s="92" t="n">
        <f aca="false">IF(AH58&gt;=BJ58,0,IFERROR(BJ58+SUMPRODUCT((AH$4:AH$503&gt;=BJ$4:BJ$503)*(AH$4:AH$503-BJ$4:BJ$503))/MAX(1,COUNTIF(AH$4:AH$503,"&lt;"&amp;BJ58+0.01)),BJ58))</f>
        <v>5621.50263448276</v>
      </c>
      <c r="BY58" s="92" t="n">
        <f aca="false">IF(AI58&gt;=BK58,0,IFERROR(BK58+SUMPRODUCT((AI$4:AI$503&gt;=BK$4:BK$503)*(AI$4:AI$503-BK$4:BK$503))/MAX(1,COUNTIF(AI$4:AI$503,"&lt;"&amp;BK58+0.01)),BK58))</f>
        <v>0</v>
      </c>
      <c r="BZ58" s="92" t="n">
        <f aca="false">IF(AJ58&gt;=BL58,0,IFERROR(BL58+SUMPRODUCT((AJ$4:AJ$503&gt;=BL$4:BL$503)*(AJ$4:AJ$503-BL$4:BL$503))/MAX(1,COUNTIF(AJ$4:AJ$503,"&lt;"&amp;BL58+0.01)),BL58))</f>
        <v>6710.03292307692</v>
      </c>
      <c r="CA58" s="92" t="n">
        <f aca="false">IF(AK58&gt;=BM58,0,IFERROR(BM58+SUMPRODUCT((AK$4:AK$503&gt;=BM$4:BM$503)*(AK$4:AK$503-BM$4:BM$503))/MAX(1,COUNTIF(AK$4:AK$503,"&lt;"&amp;BM58+0.01)),BM58))</f>
        <v>0</v>
      </c>
      <c r="CB58" s="93" t="n">
        <f aca="false">IF(AL58&gt;=BN58,0,IFERROR(BN58+SUMPRODUCT((AL$4:AL$503&gt;=BN$4:BN$503)*(AL$4:AL$503-BN$4:BN$503))/MAX(1,COUNTIF(AL$4:AL$503,"&lt;"&amp;BN58+0.01)),BN58))</f>
        <v>3597.2614925</v>
      </c>
      <c r="CC58" s="95" t="str">
        <f aca="false">IF(AO58="🟢","VERDE",IF(AO58="🟡","AMARELO",IF(AO58="🟠","VERMELHO",IF(AO58="🔴","VERMELHO","ROXO"))))</f>
        <v>VERMELHO</v>
      </c>
      <c r="CD58" s="96" t="s">
        <v>103</v>
      </c>
      <c r="CE58" s="96" t="s">
        <v>104</v>
      </c>
    </row>
    <row r="59" customFormat="false" ht="14.25" hidden="false" customHeight="true" outlineLevel="0" collapsed="false">
      <c r="A59" s="65" t="s">
        <v>253</v>
      </c>
      <c r="B59" s="66" t="s">
        <v>254</v>
      </c>
      <c r="C59" s="66" t="s">
        <v>255</v>
      </c>
      <c r="D59" s="68" t="s">
        <v>108</v>
      </c>
      <c r="E59" s="69" t="s">
        <v>196</v>
      </c>
      <c r="F59" s="70" t="str">
        <f aca="false">IFERROR(VLOOKUP(C59,$AS$3:$AT$10,2,FALSE()),IFERROR(VLOOKUP(C59,$AS$15:$AT$22,2,FALSE()),""))</f>
        <v/>
      </c>
      <c r="G59" s="71" t="str">
        <f aca="false">IFERROR(VLOOKUP(C59,$AS$3:$AX$10,6,FALSE()),IFERROR(VLOOKUP(C59,$AS$15:$AX$22,6,FALSE()),""))</f>
        <v/>
      </c>
      <c r="H59" s="72" t="str">
        <f aca="false">IFERROR(VLOOKUP(C59,$AS$3:$AY$10,7,FALSE()),IFERROR(VLOOKUP(C59,$AS$15:$AY$22,7,FALSE()),""))</f>
        <v/>
      </c>
      <c r="I59" s="72" t="str">
        <f aca="false">IFERROR(VLOOKUP(C59,$AS$3:$AZ$10,8,FALSE()),IFERROR(VLOOKUP(C59,$AS$15:$AZ$22,8,FALSE()),""))</f>
        <v/>
      </c>
      <c r="J59" s="73"/>
      <c r="K59" s="69" t="s">
        <v>107</v>
      </c>
      <c r="L59" s="74" t="n">
        <v>18594.78</v>
      </c>
      <c r="M59" s="75" t="n">
        <v>1306.71</v>
      </c>
      <c r="N59" s="75" t="n">
        <v>1365.47</v>
      </c>
      <c r="O59" s="75" t="n">
        <v>1398.37</v>
      </c>
      <c r="P59" s="75" t="n">
        <v>1434.8</v>
      </c>
      <c r="Q59" s="75" t="n">
        <v>1481.8</v>
      </c>
      <c r="R59" s="75" t="n">
        <v>1520.58</v>
      </c>
      <c r="S59" s="75" t="n">
        <v>1579.33</v>
      </c>
      <c r="T59" s="75" t="n">
        <v>1618.11</v>
      </c>
      <c r="U59" s="75" t="n">
        <v>1654.54</v>
      </c>
      <c r="V59" s="75" t="n">
        <v>1695.67</v>
      </c>
      <c r="W59" s="75" t="n">
        <v>1740.32</v>
      </c>
      <c r="X59" s="76" t="n">
        <v>1799.08</v>
      </c>
      <c r="Y59" s="77" t="s">
        <v>20</v>
      </c>
      <c r="Z59" s="78" t="n">
        <f aca="false">SUM(AA59:AL59)</f>
        <v>7764.21</v>
      </c>
      <c r="AA59" s="75"/>
      <c r="AB59" s="75"/>
      <c r="AC59" s="79" t="n">
        <v>1008</v>
      </c>
      <c r="AD59" s="79" t="n">
        <v>1716.3</v>
      </c>
      <c r="AE59" s="75"/>
      <c r="AF59" s="75"/>
      <c r="AG59" s="75"/>
      <c r="AH59" s="79" t="n">
        <v>1547.8</v>
      </c>
      <c r="AI59" s="75"/>
      <c r="AJ59" s="79" t="n">
        <v>3492.11</v>
      </c>
      <c r="AK59" s="75"/>
      <c r="AL59" s="76"/>
      <c r="AM59" s="56" t="s">
        <v>20</v>
      </c>
      <c r="AN59" s="80" t="n">
        <f aca="false">IF(L59=0,0,Z59/L59)</f>
        <v>0.417547827938809</v>
      </c>
      <c r="AO59" s="81" t="str">
        <f aca="false">IF(AN59="","",IF(AN59&gt;=0.9,"🟢",IF(AN59&gt;=0.7,"🟡",IF(AN59&gt;=0.5,"🟠","🔴"))))</f>
        <v>🔴</v>
      </c>
      <c r="AP59" s="82" t="n">
        <f aca="false">IF(L59=0,0,L59-Z59)</f>
        <v>10830.57</v>
      </c>
      <c r="AQ59" s="83" t="n">
        <f aca="false">IF(AP59=0,"",RANK(AP59,AP$4:AP$503,0))</f>
        <v>53</v>
      </c>
      <c r="AR59" s="84" t="s">
        <v>20</v>
      </c>
      <c r="AS59" s="119"/>
      <c r="AT59" s="119"/>
      <c r="AU59" s="119"/>
      <c r="AV59" s="119"/>
      <c r="AW59" s="119"/>
      <c r="AX59" s="119"/>
      <c r="AY59" s="133"/>
      <c r="AZ59" s="133"/>
      <c r="BA59" s="56" t="s">
        <v>20</v>
      </c>
      <c r="BB59" s="91" t="n">
        <f aca="false">SUM(L$4:L$503)/COUNTA(A$4:A$503)</f>
        <v>9494.39992</v>
      </c>
      <c r="BC59" s="92" t="n">
        <f aca="false">SUM(M$4:M$503)/COUNTA(A$4:A$503)</f>
        <v>667.20008</v>
      </c>
      <c r="BD59" s="92" t="n">
        <f aca="false">SUM(N$4:N$503)/COUNTA(A$4:A$503)</f>
        <v>697.19996</v>
      </c>
      <c r="BE59" s="92" t="n">
        <f aca="false">SUM(O$4:O$503)/COUNTA(A$4:A$503)</f>
        <v>713.9999</v>
      </c>
      <c r="BF59" s="92" t="n">
        <f aca="false">SUM(P$4:P$503)/COUNTA(A$4:A$503)</f>
        <v>732.59984</v>
      </c>
      <c r="BG59" s="92" t="n">
        <f aca="false">SUM(Q$4:Q$503)/COUNTA(A$4:A$503)</f>
        <v>756.59992</v>
      </c>
      <c r="BH59" s="92" t="n">
        <f aca="false">SUM(R$4:R$503)/COUNTA(A$4:A$503)</f>
        <v>776.40004</v>
      </c>
      <c r="BI59" s="92" t="n">
        <f aca="false">SUM(S$4:S$503)/COUNTA(A$4:A$503)</f>
        <v>806.40012</v>
      </c>
      <c r="BJ59" s="92" t="n">
        <f aca="false">SUM(T$4:T$503)/COUNTA(A$4:A$503)</f>
        <v>826.1999</v>
      </c>
      <c r="BK59" s="92" t="n">
        <f aca="false">SUM(U$4:U$503)/COUNTA(A$4:A$503)</f>
        <v>844.8002</v>
      </c>
      <c r="BL59" s="92" t="n">
        <f aca="false">SUM(V$4:V$503)/COUNTA(A$4:A$503)</f>
        <v>865.7998</v>
      </c>
      <c r="BM59" s="92" t="n">
        <f aca="false">SUM(W$4:W$503)/COUNTA(A$4:A$503)</f>
        <v>888.59982</v>
      </c>
      <c r="BN59" s="93" t="n">
        <f aca="false">SUM(X$4:X$503)/COUNTA(A$4:A$503)</f>
        <v>918.60034</v>
      </c>
      <c r="BO59" s="94" t="s">
        <v>20</v>
      </c>
      <c r="BP59" s="91" t="n">
        <f aca="false">IF(Z59&gt;=BB59,0,IFERROR(BB59+(SUMPRODUCT((Z$4:Z$503&gt;=BB$4:BB$503)*(Z$4:Z$503-BB$4:BB$503))/MAX(1,COUNTIF(Z$4:Z$503,"&lt;"&amp;BB59+0.01))),BB59))</f>
        <v>10695.5432177778</v>
      </c>
      <c r="BQ59" s="92" t="n">
        <f aca="false">IF(AA59&gt;=BC59,0,IFERROR(BC59+SUMPRODUCT((AA$4:AA$503&gt;=BC$4:BC$503)*(AA$4:AA$503-BC$4:BC$503))/MAX(1,COUNTIF(AA$4:AA$503,"&lt;"&amp;BC59+0.01)),BC59))</f>
        <v>2238.46589176471</v>
      </c>
      <c r="BR59" s="92" t="n">
        <f aca="false">IF(AB59&gt;=BD59,0,IFERROR(BD59+SUMPRODUCT((AB$4:AB$503&gt;=BD$4:BD$503)*(AB$4:AB$503-BD$4:BD$503))/MAX(1,COUNTIF(AB$4:AB$503,"&lt;"&amp;BD59+0.01)),BD59))</f>
        <v>3335.2938</v>
      </c>
      <c r="BS59" s="92" t="n">
        <f aca="false">IF(AC59&gt;=BE59,0,IFERROR(BE59+SUMPRODUCT((AC$4:AC$503&gt;=BE$4:BE$503)*(AC$4:AC$503-BE$4:BE$503))/MAX(1,COUNTIF(AC$4:AC$503,"&lt;"&amp;BE59+0.01)),BE59))</f>
        <v>0</v>
      </c>
      <c r="BT59" s="92" t="n">
        <f aca="false">IF(AD59&gt;=BF59,0,IFERROR(BF59+SUMPRODUCT((AD$4:AD$503&gt;=BF$4:BF$503)*(AD$4:AD$503-BF$4:BF$503))/MAX(1,COUNTIF(AD$4:AD$503,"&lt;"&amp;BF59+0.01)),BF59))</f>
        <v>0</v>
      </c>
      <c r="BU59" s="92" t="n">
        <f aca="false">IF(AE59&gt;=BG59,0,IFERROR(BG59+SUMPRODUCT((AE$4:AE$503&gt;=BG$4:BG$503)*(AE$4:AE$503-BG$4:BG$503))/MAX(1,COUNTIF(AE$4:AE$503,"&lt;"&amp;BG59+0.01)),BG59))</f>
        <v>7704.85920380952</v>
      </c>
      <c r="BV59" s="92" t="n">
        <f aca="false">IF(AF59&gt;=BH59,0,IFERROR(BH59+SUMPRODUCT((AF$4:AF$503&gt;=BH$4:BH$503)*(AF$4:AF$503-BH$4:BH$503))/MAX(1,COUNTIF(AF$4:AF$503,"&lt;"&amp;BH59+0.01)),BH59))</f>
        <v>9942.6503831579</v>
      </c>
      <c r="BW59" s="92" t="n">
        <f aca="false">IF(AG59&gt;=BI59,0,IFERROR(BI59+SUMPRODUCT((AG$4:AG$503&gt;=BI$4:BI$503)*(AG$4:AG$503-BI$4:BI$503))/MAX(1,COUNTIF(AG$4:AG$503,"&lt;"&amp;BI59+0.01)),BI59))</f>
        <v>9142.15870461538</v>
      </c>
      <c r="BX59" s="92" t="n">
        <f aca="false">IF(AH59&gt;=BJ59,0,IFERROR(BJ59+SUMPRODUCT((AH$4:AH$503&gt;=BJ$4:BJ$503)*(AH$4:AH$503-BJ$4:BJ$503))/MAX(1,COUNTIF(AH$4:AH$503,"&lt;"&amp;BJ59+0.01)),BJ59))</f>
        <v>0</v>
      </c>
      <c r="BY59" s="92" t="n">
        <f aca="false">IF(AI59&gt;=BK59,0,IFERROR(BK59+SUMPRODUCT((AI$4:AI$503&gt;=BK$4:BK$503)*(AI$4:AI$503-BK$4:BK$503))/MAX(1,COUNTIF(AI$4:AI$503,"&lt;"&amp;BK59+0.01)),BK59))</f>
        <v>7878.25652380952</v>
      </c>
      <c r="BZ59" s="92" t="n">
        <f aca="false">IF(AJ59&gt;=BL59,0,IFERROR(BL59+SUMPRODUCT((AJ$4:AJ$503&gt;=BL$4:BL$503)*(AJ$4:AJ$503-BL$4:BL$503))/MAX(1,COUNTIF(AJ$4:AJ$503,"&lt;"&amp;BL59+0.01)),BL59))</f>
        <v>0</v>
      </c>
      <c r="CA59" s="92" t="n">
        <f aca="false">IF(AK59&gt;=BM59,0,IFERROR(BM59+SUMPRODUCT((AK$4:AK$503&gt;=BM$4:BM$503)*(AK$4:AK$503-BM$4:BM$503))/MAX(1,COUNTIF(AK$4:AK$503,"&lt;"&amp;BM59+0.01)),BM59))</f>
        <v>7314.89836842105</v>
      </c>
      <c r="CB59" s="93" t="n">
        <f aca="false">IF(AL59&gt;=BN59,0,IFERROR(BN59+SUMPRODUCT((AL$4:AL$503&gt;=BN$4:BN$503)*(AL$4:AL$503-BN$4:BN$503))/MAX(1,COUNTIF(AL$4:AL$503,"&lt;"&amp;BN59+0.01)),BN59))</f>
        <v>3597.2614925</v>
      </c>
      <c r="CC59" s="95" t="str">
        <f aca="false">IF(AO59="🟢","VERDE",IF(AO59="🟡","AMARELO",IF(AO59="🟠","VERMELHO",IF(AO59="🔴","VERMELHO","ROXO"))))</f>
        <v>VERMELHO</v>
      </c>
      <c r="CD59" s="96" t="s">
        <v>176</v>
      </c>
      <c r="CE59" s="96" t="s">
        <v>255</v>
      </c>
    </row>
    <row r="60" customFormat="false" ht="14.25" hidden="false" customHeight="true" outlineLevel="0" collapsed="false">
      <c r="A60" s="65" t="s">
        <v>256</v>
      </c>
      <c r="B60" s="66" t="s">
        <v>257</v>
      </c>
      <c r="C60" s="66" t="s">
        <v>128</v>
      </c>
      <c r="D60" s="68" t="s">
        <v>184</v>
      </c>
      <c r="E60" s="69" t="s">
        <v>196</v>
      </c>
      <c r="F60" s="70" t="n">
        <f aca="false">IFERROR(VLOOKUP(C60,$AS$3:$AT$10,2,FALSE()),IFERROR(VLOOKUP(C60,$AS$15:$AT$22,2,FALSE()),""))</f>
        <v>3</v>
      </c>
      <c r="G60" s="71" t="n">
        <f aca="false">IFERROR(VLOOKUP(C60,$AS$3:$AX$10,6,FALSE()),IFERROR(VLOOKUP(C60,$AS$15:$AX$22,6,FALSE()),""))</f>
        <v>0.414897665958825</v>
      </c>
      <c r="H60" s="72" t="str">
        <f aca="false">IFERROR(VLOOKUP(C60,$AS$3:$AY$10,7,FALSE()),IFERROR(VLOOKUP(C60,$AS$15:$AY$22,7,FALSE()),""))</f>
        <v>🟡 AMARELO</v>
      </c>
      <c r="I60" s="72" t="str">
        <f aca="false">IFERROR(VLOOKUP(C60,$AS$3:$AZ$10,8,FALSE()),IFERROR(VLOOKUP(C60,$AS$15:$AZ$22,8,FALSE()),""))</f>
        <v>Sell Out</v>
      </c>
      <c r="J60" s="73"/>
      <c r="K60" s="69" t="s">
        <v>107</v>
      </c>
      <c r="L60" s="74" t="n">
        <v>18540.85</v>
      </c>
      <c r="M60" s="75" t="n">
        <v>1302.92</v>
      </c>
      <c r="N60" s="75" t="n">
        <v>1361.51</v>
      </c>
      <c r="O60" s="75" t="n">
        <v>1394.31</v>
      </c>
      <c r="P60" s="75" t="n">
        <v>1430.64</v>
      </c>
      <c r="Q60" s="75" t="n">
        <v>1477.5</v>
      </c>
      <c r="R60" s="75" t="n">
        <v>1516.17</v>
      </c>
      <c r="S60" s="75" t="n">
        <v>1574.75</v>
      </c>
      <c r="T60" s="75" t="n">
        <v>1613.42</v>
      </c>
      <c r="U60" s="75" t="n">
        <v>1649.74</v>
      </c>
      <c r="V60" s="75" t="n">
        <v>1690.75</v>
      </c>
      <c r="W60" s="75" t="n">
        <v>1735.28</v>
      </c>
      <c r="X60" s="76" t="n">
        <v>1793.86</v>
      </c>
      <c r="Y60" s="77" t="s">
        <v>20</v>
      </c>
      <c r="Z60" s="78" t="n">
        <f aca="false">SUM(AA60:AL60)</f>
        <v>7719.8</v>
      </c>
      <c r="AA60" s="75"/>
      <c r="AB60" s="75"/>
      <c r="AC60" s="75"/>
      <c r="AD60" s="75"/>
      <c r="AE60" s="75"/>
      <c r="AF60" s="75"/>
      <c r="AG60" s="75"/>
      <c r="AH60" s="79" t="n">
        <v>2797.4</v>
      </c>
      <c r="AI60" s="79" t="n">
        <v>2088.7</v>
      </c>
      <c r="AJ60" s="79" t="n">
        <v>1740.66</v>
      </c>
      <c r="AK60" s="75"/>
      <c r="AL60" s="107" t="n">
        <v>1093.04</v>
      </c>
      <c r="AM60" s="56" t="s">
        <v>20</v>
      </c>
      <c r="AN60" s="80" t="n">
        <f aca="false">IF(L60=0,0,Z60/L60)</f>
        <v>0.4163671029106</v>
      </c>
      <c r="AO60" s="81" t="str">
        <f aca="false">IF(AN60="","",IF(AN60&gt;=0.9,"🟢",IF(AN60&gt;=0.7,"🟡",IF(AN60&gt;=0.5,"🟠","🔴"))))</f>
        <v>🔴</v>
      </c>
      <c r="AP60" s="82" t="n">
        <f aca="false">IF(L60=0,0,L60-Z60)</f>
        <v>10821.05</v>
      </c>
      <c r="AQ60" s="83" t="n">
        <f aca="false">IF(AP60=0,"",RANK(AP60,AP$4:AP$503,0))</f>
        <v>54</v>
      </c>
      <c r="AR60" s="84" t="s">
        <v>20</v>
      </c>
      <c r="AS60" s="141"/>
      <c r="AT60" s="141"/>
      <c r="AU60" s="141"/>
      <c r="AV60" s="141"/>
      <c r="AW60" s="141"/>
      <c r="AX60" s="141"/>
      <c r="AY60" s="142"/>
      <c r="AZ60" s="142"/>
      <c r="BA60" s="56" t="s">
        <v>20</v>
      </c>
      <c r="BB60" s="91" t="n">
        <f aca="false">SUM(L$4:L$503)/COUNTA(A$4:A$503)</f>
        <v>9494.39992</v>
      </c>
      <c r="BC60" s="92" t="n">
        <f aca="false">SUM(M$4:M$503)/COUNTA(A$4:A$503)</f>
        <v>667.20008</v>
      </c>
      <c r="BD60" s="92" t="n">
        <f aca="false">SUM(N$4:N$503)/COUNTA(A$4:A$503)</f>
        <v>697.19996</v>
      </c>
      <c r="BE60" s="92" t="n">
        <f aca="false">SUM(O$4:O$503)/COUNTA(A$4:A$503)</f>
        <v>713.9999</v>
      </c>
      <c r="BF60" s="92" t="n">
        <f aca="false">SUM(P$4:P$503)/COUNTA(A$4:A$503)</f>
        <v>732.59984</v>
      </c>
      <c r="BG60" s="92" t="n">
        <f aca="false">SUM(Q$4:Q$503)/COUNTA(A$4:A$503)</f>
        <v>756.59992</v>
      </c>
      <c r="BH60" s="92" t="n">
        <f aca="false">SUM(R$4:R$503)/COUNTA(A$4:A$503)</f>
        <v>776.40004</v>
      </c>
      <c r="BI60" s="92" t="n">
        <f aca="false">SUM(S$4:S$503)/COUNTA(A$4:A$503)</f>
        <v>806.40012</v>
      </c>
      <c r="BJ60" s="92" t="n">
        <f aca="false">SUM(T$4:T$503)/COUNTA(A$4:A$503)</f>
        <v>826.1999</v>
      </c>
      <c r="BK60" s="92" t="n">
        <f aca="false">SUM(U$4:U$503)/COUNTA(A$4:A$503)</f>
        <v>844.8002</v>
      </c>
      <c r="BL60" s="92" t="n">
        <f aca="false">SUM(V$4:V$503)/COUNTA(A$4:A$503)</f>
        <v>865.7998</v>
      </c>
      <c r="BM60" s="92" t="n">
        <f aca="false">SUM(W$4:W$503)/COUNTA(A$4:A$503)</f>
        <v>888.59982</v>
      </c>
      <c r="BN60" s="93" t="n">
        <f aca="false">SUM(X$4:X$503)/COUNTA(A$4:A$503)</f>
        <v>918.60034</v>
      </c>
      <c r="BO60" s="94" t="s">
        <v>20</v>
      </c>
      <c r="BP60" s="91" t="n">
        <f aca="false">IF(Z60&gt;=BB60,0,IFERROR(BB60+(SUMPRODUCT((Z$4:Z$503&gt;=BB$4:BB$503)*(Z$4:Z$503-BB$4:BB$503))/MAX(1,COUNTIF(Z$4:Z$503,"&lt;"&amp;BB60+0.01))),BB60))</f>
        <v>10695.5432177778</v>
      </c>
      <c r="BQ60" s="92" t="n">
        <f aca="false">IF(AA60&gt;=BC60,0,IFERROR(BC60+SUMPRODUCT((AA$4:AA$503&gt;=BC$4:BC$503)*(AA$4:AA$503-BC$4:BC$503))/MAX(1,COUNTIF(AA$4:AA$503,"&lt;"&amp;BC60+0.01)),BC60))</f>
        <v>2238.46589176471</v>
      </c>
      <c r="BR60" s="92" t="n">
        <f aca="false">IF(AB60&gt;=BD60,0,IFERROR(BD60+SUMPRODUCT((AB$4:AB$503&gt;=BD$4:BD$503)*(AB$4:AB$503-BD$4:BD$503))/MAX(1,COUNTIF(AB$4:AB$503,"&lt;"&amp;BD60+0.01)),BD60))</f>
        <v>3335.2938</v>
      </c>
      <c r="BS60" s="92" t="n">
        <f aca="false">IF(AC60&gt;=BE60,0,IFERROR(BE60+SUMPRODUCT((AC$4:AC$503&gt;=BE$4:BE$503)*(AC$4:AC$503-BE$4:BE$503))/MAX(1,COUNTIF(AC$4:AC$503,"&lt;"&amp;BE60+0.01)),BE60))</f>
        <v>6188.73352</v>
      </c>
      <c r="BT60" s="92" t="n">
        <f aca="false">IF(AD60&gt;=BF60,0,IFERROR(BF60+SUMPRODUCT((AD$4:AD$503&gt;=BF$4:BF$503)*(AD$4:AD$503-BF$4:BF$503))/MAX(1,COUNTIF(AD$4:AD$503,"&lt;"&amp;BF60+0.01)),BF60))</f>
        <v>11354.35411</v>
      </c>
      <c r="BU60" s="92" t="n">
        <f aca="false">IF(AE60&gt;=BG60,0,IFERROR(BG60+SUMPRODUCT((AE$4:AE$503&gt;=BG$4:BG$503)*(AE$4:AE$503-BG$4:BG$503))/MAX(1,COUNTIF(AE$4:AE$503,"&lt;"&amp;BG60+0.01)),BG60))</f>
        <v>7704.85920380952</v>
      </c>
      <c r="BV60" s="92" t="n">
        <f aca="false">IF(AF60&gt;=BH60,0,IFERROR(BH60+SUMPRODUCT((AF$4:AF$503&gt;=BH$4:BH$503)*(AF$4:AF$503-BH$4:BH$503))/MAX(1,COUNTIF(AF$4:AF$503,"&lt;"&amp;BH60+0.01)),BH60))</f>
        <v>9942.6503831579</v>
      </c>
      <c r="BW60" s="92" t="n">
        <f aca="false">IF(AG60&gt;=BI60,0,IFERROR(BI60+SUMPRODUCT((AG$4:AG$503&gt;=BI$4:BI$503)*(AG$4:AG$503-BI$4:BI$503))/MAX(1,COUNTIF(AG$4:AG$503,"&lt;"&amp;BI60+0.01)),BI60))</f>
        <v>9142.15870461538</v>
      </c>
      <c r="BX60" s="92" t="n">
        <f aca="false">IF(AH60&gt;=BJ60,0,IFERROR(BJ60+SUMPRODUCT((AH$4:AH$503&gt;=BJ$4:BJ$503)*(AH$4:AH$503-BJ$4:BJ$503))/MAX(1,COUNTIF(AH$4:AH$503,"&lt;"&amp;BJ60+0.01)),BJ60))</f>
        <v>0</v>
      </c>
      <c r="BY60" s="92" t="n">
        <f aca="false">IF(AI60&gt;=BK60,0,IFERROR(BK60+SUMPRODUCT((AI$4:AI$503&gt;=BK$4:BK$503)*(AI$4:AI$503-BK$4:BK$503))/MAX(1,COUNTIF(AI$4:AI$503,"&lt;"&amp;BK60+0.01)),BK60))</f>
        <v>0</v>
      </c>
      <c r="BZ60" s="92" t="n">
        <f aca="false">IF(AJ60&gt;=BL60,0,IFERROR(BL60+SUMPRODUCT((AJ$4:AJ$503&gt;=BL$4:BL$503)*(AJ$4:AJ$503-BL$4:BL$503))/MAX(1,COUNTIF(AJ$4:AJ$503,"&lt;"&amp;BL60+0.01)),BL60))</f>
        <v>0</v>
      </c>
      <c r="CA60" s="92" t="n">
        <f aca="false">IF(AK60&gt;=BM60,0,IFERROR(BM60+SUMPRODUCT((AK$4:AK$503&gt;=BM$4:BM$503)*(AK$4:AK$503-BM$4:BM$503))/MAX(1,COUNTIF(AK$4:AK$503,"&lt;"&amp;BM60+0.01)),BM60))</f>
        <v>7314.89836842105</v>
      </c>
      <c r="CB60" s="93" t="n">
        <f aca="false">IF(AL60&gt;=BN60,0,IFERROR(BN60+SUMPRODUCT((AL$4:AL$503&gt;=BN$4:BN$503)*(AL$4:AL$503-BN$4:BN$503))/MAX(1,COUNTIF(AL$4:AL$503,"&lt;"&amp;BN60+0.01)),BN60))</f>
        <v>0</v>
      </c>
      <c r="CC60" s="95" t="str">
        <f aca="false">IF(AO60="🟢","VERDE",IF(AO60="🟡","AMARELO",IF(AO60="🟠","VERMELHO",IF(AO60="🔴","VERMELHO","ROXO"))))</f>
        <v>VERMELHO</v>
      </c>
      <c r="CD60" s="96" t="s">
        <v>176</v>
      </c>
      <c r="CE60" s="96" t="s">
        <v>128</v>
      </c>
    </row>
    <row r="61" customFormat="false" ht="14.25" hidden="false" customHeight="true" outlineLevel="0" collapsed="false">
      <c r="A61" s="65" t="s">
        <v>258</v>
      </c>
      <c r="B61" s="66" t="s">
        <v>259</v>
      </c>
      <c r="C61" s="67" t="s">
        <v>113</v>
      </c>
      <c r="D61" s="68" t="s">
        <v>100</v>
      </c>
      <c r="E61" s="69" t="s">
        <v>260</v>
      </c>
      <c r="F61" s="70" t="n">
        <f aca="false">IFERROR(VLOOKUP(C61,$AS$3:$AT$10,2,FALSE()),IFERROR(VLOOKUP(C61,$AS$15:$AT$22,2,FALSE()),""))</f>
        <v>49</v>
      </c>
      <c r="G61" s="71" t="n">
        <f aca="false">IFERROR(VLOOKUP(C61,$AS$3:$AX$10,6,FALSE()),IFERROR(VLOOKUP(C61,$AS$15:$AX$22,6,FALSE()),""))</f>
        <v>0.463965086137302</v>
      </c>
      <c r="H61" s="72" t="str">
        <f aca="false">IFERROR(VLOOKUP(C61,$AS$3:$AY$10,7,FALSE()),IFERROR(VLOOKUP(C61,$AS$15:$AY$22,7,FALSE()),""))</f>
        <v>🟡 AMARELO</v>
      </c>
      <c r="I61" s="72" t="str">
        <f aca="false">IFERROR(VLOOKUP(C61,$AS$3:$AZ$10,8,FALSE()),IFERROR(VLOOKUP(C61,$AS$15:$AZ$22,8,FALSE()),""))</f>
        <v>Sell Out</v>
      </c>
      <c r="J61" s="73"/>
      <c r="K61" s="69" t="s">
        <v>113</v>
      </c>
      <c r="L61" s="74" t="n">
        <v>18434.16</v>
      </c>
      <c r="M61" s="75" t="n">
        <v>1295.42</v>
      </c>
      <c r="N61" s="75" t="n">
        <v>1353.67</v>
      </c>
      <c r="O61" s="75" t="n">
        <v>1386.29</v>
      </c>
      <c r="P61" s="75" t="n">
        <v>1422.4</v>
      </c>
      <c r="Q61" s="75" t="n">
        <v>1469</v>
      </c>
      <c r="R61" s="75" t="n">
        <v>1507.45</v>
      </c>
      <c r="S61" s="75" t="n">
        <v>1565.69</v>
      </c>
      <c r="T61" s="75" t="n">
        <v>1604.14</v>
      </c>
      <c r="U61" s="75" t="n">
        <v>1640.25</v>
      </c>
      <c r="V61" s="75" t="n">
        <v>1681.02</v>
      </c>
      <c r="W61" s="75" t="n">
        <v>1725.29</v>
      </c>
      <c r="X61" s="76" t="n">
        <v>1783.54</v>
      </c>
      <c r="Y61" s="77" t="s">
        <v>20</v>
      </c>
      <c r="Z61" s="78" t="n">
        <f aca="false">SUM(AA61:AL61)</f>
        <v>8096.3</v>
      </c>
      <c r="AA61" s="75"/>
      <c r="AB61" s="75"/>
      <c r="AC61" s="75"/>
      <c r="AD61" s="75"/>
      <c r="AE61" s="79" t="n">
        <v>2995.76</v>
      </c>
      <c r="AF61" s="75"/>
      <c r="AG61" s="79" t="n">
        <v>2925.82</v>
      </c>
      <c r="AH61" s="75"/>
      <c r="AI61" s="79" t="n">
        <v>2174.72</v>
      </c>
      <c r="AJ61" s="75"/>
      <c r="AK61" s="75"/>
      <c r="AL61" s="76"/>
      <c r="AM61" s="56" t="s">
        <v>20</v>
      </c>
      <c r="AN61" s="80" t="n">
        <f aca="false">IF(L61=0,0,Z61/L61)</f>
        <v>0.439200918295165</v>
      </c>
      <c r="AO61" s="81" t="str">
        <f aca="false">IF(AN61="","",IF(AN61&gt;=0.9,"🟢",IF(AN61&gt;=0.7,"🟡",IF(AN61&gt;=0.5,"🟠","🔴"))))</f>
        <v>🔴</v>
      </c>
      <c r="AP61" s="82" t="n">
        <f aca="false">IF(L61=0,0,L61-Z61)</f>
        <v>10337.86</v>
      </c>
      <c r="AQ61" s="83" t="n">
        <f aca="false">IF(AP61=0,"",RANK(AP61,AP$4:AP$503,0))</f>
        <v>58</v>
      </c>
      <c r="AR61" s="84" t="s">
        <v>20</v>
      </c>
      <c r="AS61" s="141"/>
      <c r="AT61" s="141"/>
      <c r="AU61" s="141"/>
      <c r="AV61" s="141"/>
      <c r="AW61" s="141"/>
      <c r="AX61" s="141"/>
      <c r="AY61" s="142"/>
      <c r="AZ61" s="142"/>
      <c r="BA61" s="56" t="s">
        <v>20</v>
      </c>
      <c r="BB61" s="91" t="n">
        <f aca="false">SUM(L$4:L$503)/COUNTA(A$4:A$503)</f>
        <v>9494.39992</v>
      </c>
      <c r="BC61" s="92" t="n">
        <f aca="false">SUM(M$4:M$503)/COUNTA(A$4:A$503)</f>
        <v>667.20008</v>
      </c>
      <c r="BD61" s="92" t="n">
        <f aca="false">SUM(N$4:N$503)/COUNTA(A$4:A$503)</f>
        <v>697.19996</v>
      </c>
      <c r="BE61" s="92" t="n">
        <f aca="false">SUM(O$4:O$503)/COUNTA(A$4:A$503)</f>
        <v>713.9999</v>
      </c>
      <c r="BF61" s="92" t="n">
        <f aca="false">SUM(P$4:P$503)/COUNTA(A$4:A$503)</f>
        <v>732.59984</v>
      </c>
      <c r="BG61" s="92" t="n">
        <f aca="false">SUM(Q$4:Q$503)/COUNTA(A$4:A$503)</f>
        <v>756.59992</v>
      </c>
      <c r="BH61" s="92" t="n">
        <f aca="false">SUM(R$4:R$503)/COUNTA(A$4:A$503)</f>
        <v>776.40004</v>
      </c>
      <c r="BI61" s="92" t="n">
        <f aca="false">SUM(S$4:S$503)/COUNTA(A$4:A$503)</f>
        <v>806.40012</v>
      </c>
      <c r="BJ61" s="92" t="n">
        <f aca="false">SUM(T$4:T$503)/COUNTA(A$4:A$503)</f>
        <v>826.1999</v>
      </c>
      <c r="BK61" s="92" t="n">
        <f aca="false">SUM(U$4:U$503)/COUNTA(A$4:A$503)</f>
        <v>844.8002</v>
      </c>
      <c r="BL61" s="92" t="n">
        <f aca="false">SUM(V$4:V$503)/COUNTA(A$4:A$503)</f>
        <v>865.7998</v>
      </c>
      <c r="BM61" s="92" t="n">
        <f aca="false">SUM(W$4:W$503)/COUNTA(A$4:A$503)</f>
        <v>888.59982</v>
      </c>
      <c r="BN61" s="93" t="n">
        <f aca="false">SUM(X$4:X$503)/COUNTA(A$4:A$503)</f>
        <v>918.60034</v>
      </c>
      <c r="BO61" s="94" t="s">
        <v>20</v>
      </c>
      <c r="BP61" s="91" t="n">
        <f aca="false">IF(Z61&gt;=BB61,0,IFERROR(BB61+(SUMPRODUCT((Z$4:Z$503&gt;=BB$4:BB$503)*(Z$4:Z$503-BB$4:BB$503))/MAX(1,COUNTIF(Z$4:Z$503,"&lt;"&amp;BB61+0.01))),BB61))</f>
        <v>10695.5432177778</v>
      </c>
      <c r="BQ61" s="92" t="n">
        <f aca="false">IF(AA61&gt;=BC61,0,IFERROR(BC61+SUMPRODUCT((AA$4:AA$503&gt;=BC$4:BC$503)*(AA$4:AA$503-BC$4:BC$503))/MAX(1,COUNTIF(AA$4:AA$503,"&lt;"&amp;BC61+0.01)),BC61))</f>
        <v>2238.46589176471</v>
      </c>
      <c r="BR61" s="92" t="n">
        <f aca="false">IF(AB61&gt;=BD61,0,IFERROR(BD61+SUMPRODUCT((AB$4:AB$503&gt;=BD$4:BD$503)*(AB$4:AB$503-BD$4:BD$503))/MAX(1,COUNTIF(AB$4:AB$503,"&lt;"&amp;BD61+0.01)),BD61))</f>
        <v>3335.2938</v>
      </c>
      <c r="BS61" s="92" t="n">
        <f aca="false">IF(AC61&gt;=BE61,0,IFERROR(BE61+SUMPRODUCT((AC$4:AC$503&gt;=BE$4:BE$503)*(AC$4:AC$503-BE$4:BE$503))/MAX(1,COUNTIF(AC$4:AC$503,"&lt;"&amp;BE61+0.01)),BE61))</f>
        <v>6188.73352</v>
      </c>
      <c r="BT61" s="92" t="n">
        <f aca="false">IF(AD61&gt;=BF61,0,IFERROR(BF61+SUMPRODUCT((AD$4:AD$503&gt;=BF$4:BF$503)*(AD$4:AD$503-BF$4:BF$503))/MAX(1,COUNTIF(AD$4:AD$503,"&lt;"&amp;BF61+0.01)),BF61))</f>
        <v>11354.35411</v>
      </c>
      <c r="BU61" s="92" t="n">
        <f aca="false">IF(AE61&gt;=BG61,0,IFERROR(BG61+SUMPRODUCT((AE$4:AE$503&gt;=BG$4:BG$503)*(AE$4:AE$503-BG$4:BG$503))/MAX(1,COUNTIF(AE$4:AE$503,"&lt;"&amp;BG61+0.01)),BG61))</f>
        <v>0</v>
      </c>
      <c r="BV61" s="92" t="n">
        <f aca="false">IF(AF61&gt;=BH61,0,IFERROR(BH61+SUMPRODUCT((AF$4:AF$503&gt;=BH$4:BH$503)*(AF$4:AF$503-BH$4:BH$503))/MAX(1,COUNTIF(AF$4:AF$503,"&lt;"&amp;BH61+0.01)),BH61))</f>
        <v>9942.6503831579</v>
      </c>
      <c r="BW61" s="92" t="n">
        <f aca="false">IF(AG61&gt;=BI61,0,IFERROR(BI61+SUMPRODUCT((AG$4:AG$503&gt;=BI$4:BI$503)*(AG$4:AG$503-BI$4:BI$503))/MAX(1,COUNTIF(AG$4:AG$503,"&lt;"&amp;BI61+0.01)),BI61))</f>
        <v>0</v>
      </c>
      <c r="BX61" s="92" t="n">
        <f aca="false">IF(AH61&gt;=BJ61,0,IFERROR(BJ61+SUMPRODUCT((AH$4:AH$503&gt;=BJ$4:BJ$503)*(AH$4:AH$503-BJ$4:BJ$503))/MAX(1,COUNTIF(AH$4:AH$503,"&lt;"&amp;BJ61+0.01)),BJ61))</f>
        <v>5621.50263448276</v>
      </c>
      <c r="BY61" s="92" t="n">
        <f aca="false">IF(AI61&gt;=BK61,0,IFERROR(BK61+SUMPRODUCT((AI$4:AI$503&gt;=BK$4:BK$503)*(AI$4:AI$503-BK$4:BK$503))/MAX(1,COUNTIF(AI$4:AI$503,"&lt;"&amp;BK61+0.01)),BK61))</f>
        <v>0</v>
      </c>
      <c r="BZ61" s="92" t="n">
        <f aca="false">IF(AJ61&gt;=BL61,0,IFERROR(BL61+SUMPRODUCT((AJ$4:AJ$503&gt;=BL$4:BL$503)*(AJ$4:AJ$503-BL$4:BL$503))/MAX(1,COUNTIF(AJ$4:AJ$503,"&lt;"&amp;BL61+0.01)),BL61))</f>
        <v>6710.03292307692</v>
      </c>
      <c r="CA61" s="92" t="n">
        <f aca="false">IF(AK61&gt;=BM61,0,IFERROR(BM61+SUMPRODUCT((AK$4:AK$503&gt;=BM$4:BM$503)*(AK$4:AK$503-BM$4:BM$503))/MAX(1,COUNTIF(AK$4:AK$503,"&lt;"&amp;BM61+0.01)),BM61))</f>
        <v>7314.89836842105</v>
      </c>
      <c r="CB61" s="93" t="n">
        <f aca="false">IF(AL61&gt;=BN61,0,IFERROR(BN61+SUMPRODUCT((AL$4:AL$503&gt;=BN$4:BN$503)*(AL$4:AL$503-BN$4:BN$503))/MAX(1,COUNTIF(AL$4:AL$503,"&lt;"&amp;BN61+0.01)),BN61))</f>
        <v>3597.2614925</v>
      </c>
      <c r="CC61" s="95" t="str">
        <f aca="false">IF(AO61="🟢","VERDE",IF(AO61="🟡","AMARELO",IF(AO61="🟠","VERMELHO",IF(AO61="🔴","VERMELHO","ROXO"))))</f>
        <v>VERMELHO</v>
      </c>
      <c r="CD61" s="96" t="s">
        <v>103</v>
      </c>
      <c r="CE61" s="96" t="s">
        <v>104</v>
      </c>
    </row>
    <row r="62" customFormat="false" ht="14.25" hidden="false" customHeight="true" outlineLevel="0" collapsed="false">
      <c r="A62" s="65" t="s">
        <v>261</v>
      </c>
      <c r="B62" s="66" t="s">
        <v>262</v>
      </c>
      <c r="C62" s="67" t="s">
        <v>99</v>
      </c>
      <c r="D62" s="68" t="s">
        <v>100</v>
      </c>
      <c r="E62" s="69" t="s">
        <v>263</v>
      </c>
      <c r="F62" s="70" t="n">
        <f aca="false">IFERROR(VLOOKUP(C62,$AS$3:$AT$10,2,FALSE()),IFERROR(VLOOKUP(C62,$AS$15:$AT$22,2,FALSE()),""))</f>
        <v>33</v>
      </c>
      <c r="G62" s="71" t="n">
        <f aca="false">IFERROR(VLOOKUP(C62,$AS$3:$AX$10,6,FALSE()),IFERROR(VLOOKUP(C62,$AS$15:$AX$22,6,FALSE()),""))</f>
        <v>0.341494038351172</v>
      </c>
      <c r="H62" s="72" t="str">
        <f aca="false">IFERROR(VLOOKUP(C62,$AS$3:$AY$10,7,FALSE()),IFERROR(VLOOKUP(C62,$AS$15:$AY$22,7,FALSE()),""))</f>
        <v>🔴 VERMELHO</v>
      </c>
      <c r="I62" s="72" t="str">
        <f aca="false">IFERROR(VLOOKUP(C62,$AS$3:$AZ$10,8,FALSE()),IFERROR(VLOOKUP(C62,$AS$15:$AZ$22,8,FALSE()),""))</f>
        <v>Positivação + Expandir</v>
      </c>
      <c r="J62" s="73"/>
      <c r="K62" s="69" t="s">
        <v>99</v>
      </c>
      <c r="L62" s="74" t="n">
        <v>18056.5</v>
      </c>
      <c r="M62" s="75" t="n">
        <v>1268.88</v>
      </c>
      <c r="N62" s="75" t="n">
        <v>1325.94</v>
      </c>
      <c r="O62" s="75" t="n">
        <v>1357.89</v>
      </c>
      <c r="P62" s="75" t="n">
        <v>1393.26</v>
      </c>
      <c r="Q62" s="75" t="n">
        <v>1438.91</v>
      </c>
      <c r="R62" s="75" t="n">
        <v>1476.56</v>
      </c>
      <c r="S62" s="75" t="n">
        <v>1533.62</v>
      </c>
      <c r="T62" s="75" t="n">
        <v>1571.27</v>
      </c>
      <c r="U62" s="75" t="n">
        <v>1606.65</v>
      </c>
      <c r="V62" s="75" t="n">
        <v>1646.58</v>
      </c>
      <c r="W62" s="75" t="n">
        <v>1689.94</v>
      </c>
      <c r="X62" s="76" t="n">
        <v>1747</v>
      </c>
      <c r="Y62" s="77" t="s">
        <v>20</v>
      </c>
      <c r="Z62" s="78" t="n">
        <f aca="false">SUM(AA62:AL62)</f>
        <v>7427.45</v>
      </c>
      <c r="AA62" s="75"/>
      <c r="AB62" s="75"/>
      <c r="AC62" s="75"/>
      <c r="AD62" s="79" t="n">
        <v>3043.77</v>
      </c>
      <c r="AE62" s="75"/>
      <c r="AF62" s="75"/>
      <c r="AG62" s="75"/>
      <c r="AH62" s="79" t="n">
        <v>2363.33</v>
      </c>
      <c r="AI62" s="75"/>
      <c r="AJ62" s="75"/>
      <c r="AK62" s="75"/>
      <c r="AL62" s="107" t="n">
        <v>2020.35</v>
      </c>
      <c r="AM62" s="56" t="s">
        <v>20</v>
      </c>
      <c r="AN62" s="80" t="n">
        <f aca="false">IF(L62=0,0,Z62/L62)</f>
        <v>0.411344945033644</v>
      </c>
      <c r="AO62" s="81" t="str">
        <f aca="false">IF(AN62="","",IF(AN62&gt;=0.9,"🟢",IF(AN62&gt;=0.7,"🟡",IF(AN62&gt;=0.5,"🟠","🔴"))))</f>
        <v>🔴</v>
      </c>
      <c r="AP62" s="82" t="n">
        <f aca="false">IF(L62=0,0,L62-Z62)</f>
        <v>10629.05</v>
      </c>
      <c r="AQ62" s="83" t="n">
        <f aca="false">IF(AP62=0,"",RANK(AP62,AP$4:AP$503,0))</f>
        <v>56</v>
      </c>
      <c r="AR62" s="84" t="s">
        <v>20</v>
      </c>
      <c r="AS62" s="141"/>
      <c r="AT62" s="141"/>
      <c r="AU62" s="141"/>
      <c r="AV62" s="141"/>
      <c r="AW62" s="141"/>
      <c r="AX62" s="141"/>
      <c r="AY62" s="142"/>
      <c r="AZ62" s="142"/>
      <c r="BA62" s="56" t="s">
        <v>20</v>
      </c>
      <c r="BB62" s="91" t="n">
        <f aca="false">SUM(L$4:L$503)/COUNTA(A$4:A$503)</f>
        <v>9494.39992</v>
      </c>
      <c r="BC62" s="92" t="n">
        <f aca="false">SUM(M$4:M$503)/COUNTA(A$4:A$503)</f>
        <v>667.20008</v>
      </c>
      <c r="BD62" s="92" t="n">
        <f aca="false">SUM(N$4:N$503)/COUNTA(A$4:A$503)</f>
        <v>697.19996</v>
      </c>
      <c r="BE62" s="92" t="n">
        <f aca="false">SUM(O$4:O$503)/COUNTA(A$4:A$503)</f>
        <v>713.9999</v>
      </c>
      <c r="BF62" s="92" t="n">
        <f aca="false">SUM(P$4:P$503)/COUNTA(A$4:A$503)</f>
        <v>732.59984</v>
      </c>
      <c r="BG62" s="92" t="n">
        <f aca="false">SUM(Q$4:Q$503)/COUNTA(A$4:A$503)</f>
        <v>756.59992</v>
      </c>
      <c r="BH62" s="92" t="n">
        <f aca="false">SUM(R$4:R$503)/COUNTA(A$4:A$503)</f>
        <v>776.40004</v>
      </c>
      <c r="BI62" s="92" t="n">
        <f aca="false">SUM(S$4:S$503)/COUNTA(A$4:A$503)</f>
        <v>806.40012</v>
      </c>
      <c r="BJ62" s="92" t="n">
        <f aca="false">SUM(T$4:T$503)/COUNTA(A$4:A$503)</f>
        <v>826.1999</v>
      </c>
      <c r="BK62" s="92" t="n">
        <f aca="false">SUM(U$4:U$503)/COUNTA(A$4:A$503)</f>
        <v>844.8002</v>
      </c>
      <c r="BL62" s="92" t="n">
        <f aca="false">SUM(V$4:V$503)/COUNTA(A$4:A$503)</f>
        <v>865.7998</v>
      </c>
      <c r="BM62" s="92" t="n">
        <f aca="false">SUM(W$4:W$503)/COUNTA(A$4:A$503)</f>
        <v>888.59982</v>
      </c>
      <c r="BN62" s="93" t="n">
        <f aca="false">SUM(X$4:X$503)/COUNTA(A$4:A$503)</f>
        <v>918.60034</v>
      </c>
      <c r="BO62" s="94" t="s">
        <v>20</v>
      </c>
      <c r="BP62" s="91" t="n">
        <f aca="false">IF(Z62&gt;=BB62,0,IFERROR(BB62+(SUMPRODUCT((Z$4:Z$503&gt;=BB$4:BB$503)*(Z$4:Z$503-BB$4:BB$503))/MAX(1,COUNTIF(Z$4:Z$503,"&lt;"&amp;BB62+0.01))),BB62))</f>
        <v>10695.5432177778</v>
      </c>
      <c r="BQ62" s="92" t="n">
        <f aca="false">IF(AA62&gt;=BC62,0,IFERROR(BC62+SUMPRODUCT((AA$4:AA$503&gt;=BC$4:BC$503)*(AA$4:AA$503-BC$4:BC$503))/MAX(1,COUNTIF(AA$4:AA$503,"&lt;"&amp;BC62+0.01)),BC62))</f>
        <v>2238.46589176471</v>
      </c>
      <c r="BR62" s="92" t="n">
        <f aca="false">IF(AB62&gt;=BD62,0,IFERROR(BD62+SUMPRODUCT((AB$4:AB$503&gt;=BD$4:BD$503)*(AB$4:AB$503-BD$4:BD$503))/MAX(1,COUNTIF(AB$4:AB$503,"&lt;"&amp;BD62+0.01)),BD62))</f>
        <v>3335.2938</v>
      </c>
      <c r="BS62" s="92" t="n">
        <f aca="false">IF(AC62&gt;=BE62,0,IFERROR(BE62+SUMPRODUCT((AC$4:AC$503&gt;=BE$4:BE$503)*(AC$4:AC$503-BE$4:BE$503))/MAX(1,COUNTIF(AC$4:AC$503,"&lt;"&amp;BE62+0.01)),BE62))</f>
        <v>6188.73352</v>
      </c>
      <c r="BT62" s="92" t="n">
        <f aca="false">IF(AD62&gt;=BF62,0,IFERROR(BF62+SUMPRODUCT((AD$4:AD$503&gt;=BF$4:BF$503)*(AD$4:AD$503-BF$4:BF$503))/MAX(1,COUNTIF(AD$4:AD$503,"&lt;"&amp;BF62+0.01)),BF62))</f>
        <v>0</v>
      </c>
      <c r="BU62" s="92" t="n">
        <f aca="false">IF(AE62&gt;=BG62,0,IFERROR(BG62+SUMPRODUCT((AE$4:AE$503&gt;=BG$4:BG$503)*(AE$4:AE$503-BG$4:BG$503))/MAX(1,COUNTIF(AE$4:AE$503,"&lt;"&amp;BG62+0.01)),BG62))</f>
        <v>7704.85920380952</v>
      </c>
      <c r="BV62" s="92" t="n">
        <f aca="false">IF(AF62&gt;=BH62,0,IFERROR(BH62+SUMPRODUCT((AF$4:AF$503&gt;=BH$4:BH$503)*(AF$4:AF$503-BH$4:BH$503))/MAX(1,COUNTIF(AF$4:AF$503,"&lt;"&amp;BH62+0.01)),BH62))</f>
        <v>9942.6503831579</v>
      </c>
      <c r="BW62" s="92" t="n">
        <f aca="false">IF(AG62&gt;=BI62,0,IFERROR(BI62+SUMPRODUCT((AG$4:AG$503&gt;=BI$4:BI$503)*(AG$4:AG$503-BI$4:BI$503))/MAX(1,COUNTIF(AG$4:AG$503,"&lt;"&amp;BI62+0.01)),BI62))</f>
        <v>9142.15870461538</v>
      </c>
      <c r="BX62" s="92" t="n">
        <f aca="false">IF(AH62&gt;=BJ62,0,IFERROR(BJ62+SUMPRODUCT((AH$4:AH$503&gt;=BJ$4:BJ$503)*(AH$4:AH$503-BJ$4:BJ$503))/MAX(1,COUNTIF(AH$4:AH$503,"&lt;"&amp;BJ62+0.01)),BJ62))</f>
        <v>0</v>
      </c>
      <c r="BY62" s="92" t="n">
        <f aca="false">IF(AI62&gt;=BK62,0,IFERROR(BK62+SUMPRODUCT((AI$4:AI$503&gt;=BK$4:BK$503)*(AI$4:AI$503-BK$4:BK$503))/MAX(1,COUNTIF(AI$4:AI$503,"&lt;"&amp;BK62+0.01)),BK62))</f>
        <v>7878.25652380952</v>
      </c>
      <c r="BZ62" s="92" t="n">
        <f aca="false">IF(AJ62&gt;=BL62,0,IFERROR(BL62+SUMPRODUCT((AJ$4:AJ$503&gt;=BL$4:BL$503)*(AJ$4:AJ$503-BL$4:BL$503))/MAX(1,COUNTIF(AJ$4:AJ$503,"&lt;"&amp;BL62+0.01)),BL62))</f>
        <v>6710.03292307692</v>
      </c>
      <c r="CA62" s="92" t="n">
        <f aca="false">IF(AK62&gt;=BM62,0,IFERROR(BM62+SUMPRODUCT((AK$4:AK$503&gt;=BM$4:BM$503)*(AK$4:AK$503-BM$4:BM$503))/MAX(1,COUNTIF(AK$4:AK$503,"&lt;"&amp;BM62+0.01)),BM62))</f>
        <v>7314.89836842105</v>
      </c>
      <c r="CB62" s="93" t="n">
        <f aca="false">IF(AL62&gt;=BN62,0,IFERROR(BN62+SUMPRODUCT((AL$4:AL$503&gt;=BN$4:BN$503)*(AL$4:AL$503-BN$4:BN$503))/MAX(1,COUNTIF(AL$4:AL$503,"&lt;"&amp;BN62+0.01)),BN62))</f>
        <v>0</v>
      </c>
      <c r="CC62" s="95" t="str">
        <f aca="false">IF(AO62="🟢","VERDE",IF(AO62="🟡","AMARELO",IF(AO62="🟠","VERMELHO",IF(AO62="🔴","VERMELHO","ROXO"))))</f>
        <v>VERMELHO</v>
      </c>
      <c r="CD62" s="96" t="s">
        <v>103</v>
      </c>
      <c r="CE62" s="96" t="s">
        <v>104</v>
      </c>
    </row>
    <row r="63" customFormat="false" ht="14.25" hidden="false" customHeight="true" outlineLevel="0" collapsed="false">
      <c r="A63" s="65" t="s">
        <v>264</v>
      </c>
      <c r="B63" s="66" t="s">
        <v>265</v>
      </c>
      <c r="C63" s="67" t="s">
        <v>158</v>
      </c>
      <c r="D63" s="68" t="s">
        <v>100</v>
      </c>
      <c r="E63" s="69" t="s">
        <v>187</v>
      </c>
      <c r="F63" s="70" t="n">
        <f aca="false">IFERROR(VLOOKUP(C63,$AS$3:$AT$10,2,FALSE()),IFERROR(VLOOKUP(C63,$AS$15:$AT$22,2,FALSE()),""))</f>
        <v>29</v>
      </c>
      <c r="G63" s="71" t="n">
        <f aca="false">IFERROR(VLOOKUP(C63,$AS$3:$AX$10,6,FALSE()),IFERROR(VLOOKUP(C63,$AS$15:$AX$22,6,FALSE()),""))</f>
        <v>0.458564072601712</v>
      </c>
      <c r="H63" s="72" t="str">
        <f aca="false">IFERROR(VLOOKUP(C63,$AS$3:$AY$10,7,FALSE()),IFERROR(VLOOKUP(C63,$AS$15:$AY$22,7,FALSE()),""))</f>
        <v>🟡 AMARELO</v>
      </c>
      <c r="I63" s="72" t="str">
        <f aca="false">IFERROR(VLOOKUP(C63,$AS$3:$AZ$10,8,FALSE()),IFERROR(VLOOKUP(C63,$AS$15:$AZ$22,8,FALSE()),""))</f>
        <v>Sell Out</v>
      </c>
      <c r="J63" s="73"/>
      <c r="K63" s="69" t="s">
        <v>158</v>
      </c>
      <c r="L63" s="74" t="n">
        <v>17942.38</v>
      </c>
      <c r="M63" s="75" t="n">
        <v>1260.86</v>
      </c>
      <c r="N63" s="75" t="n">
        <v>1317.56</v>
      </c>
      <c r="O63" s="75" t="n">
        <v>1349.31</v>
      </c>
      <c r="P63" s="75" t="n">
        <v>1384.46</v>
      </c>
      <c r="Q63" s="75" t="n">
        <v>1429.81</v>
      </c>
      <c r="R63" s="75" t="n">
        <v>1467.23</v>
      </c>
      <c r="S63" s="75" t="n">
        <v>1523.92</v>
      </c>
      <c r="T63" s="75" t="n">
        <v>1561.34</v>
      </c>
      <c r="U63" s="75" t="n">
        <v>1596.49</v>
      </c>
      <c r="V63" s="75" t="n">
        <v>1636.18</v>
      </c>
      <c r="W63" s="75" t="n">
        <v>1679.26</v>
      </c>
      <c r="X63" s="76" t="n">
        <v>1735.96</v>
      </c>
      <c r="Y63" s="77" t="s">
        <v>20</v>
      </c>
      <c r="Z63" s="78" t="n">
        <f aca="false">SUM(AA63:AL63)</f>
        <v>7215.54</v>
      </c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107" t="n">
        <v>7215.54</v>
      </c>
      <c r="AM63" s="56" t="s">
        <v>20</v>
      </c>
      <c r="AN63" s="80" t="n">
        <f aca="false">IF(L63=0,0,Z63/L63)</f>
        <v>0.40215066228672</v>
      </c>
      <c r="AO63" s="81" t="str">
        <f aca="false">IF(AN63="","",IF(AN63&gt;=0.9,"🟢",IF(AN63&gt;=0.7,"🟡",IF(AN63&gt;=0.5,"🟠","🔴"))))</f>
        <v>🔴</v>
      </c>
      <c r="AP63" s="82" t="n">
        <f aca="false">IF(L63=0,0,L63-Z63)</f>
        <v>10726.84</v>
      </c>
      <c r="AQ63" s="83" t="n">
        <f aca="false">IF(AP63=0,"",RANK(AP63,AP$4:AP$503,0))</f>
        <v>55</v>
      </c>
      <c r="AR63" s="84" t="s">
        <v>20</v>
      </c>
      <c r="AS63" s="141"/>
      <c r="AT63" s="141"/>
      <c r="AU63" s="141"/>
      <c r="AV63" s="141"/>
      <c r="AW63" s="141"/>
      <c r="AX63" s="141"/>
      <c r="AY63" s="142"/>
      <c r="AZ63" s="142"/>
      <c r="BA63" s="56" t="s">
        <v>20</v>
      </c>
      <c r="BB63" s="91" t="n">
        <f aca="false">SUM(L$4:L$503)/COUNTA(A$4:A$503)</f>
        <v>9494.39992</v>
      </c>
      <c r="BC63" s="92" t="n">
        <f aca="false">SUM(M$4:M$503)/COUNTA(A$4:A$503)</f>
        <v>667.20008</v>
      </c>
      <c r="BD63" s="92" t="n">
        <f aca="false">SUM(N$4:N$503)/COUNTA(A$4:A$503)</f>
        <v>697.19996</v>
      </c>
      <c r="BE63" s="92" t="n">
        <f aca="false">SUM(O$4:O$503)/COUNTA(A$4:A$503)</f>
        <v>713.9999</v>
      </c>
      <c r="BF63" s="92" t="n">
        <f aca="false">SUM(P$4:P$503)/COUNTA(A$4:A$503)</f>
        <v>732.59984</v>
      </c>
      <c r="BG63" s="92" t="n">
        <f aca="false">SUM(Q$4:Q$503)/COUNTA(A$4:A$503)</f>
        <v>756.59992</v>
      </c>
      <c r="BH63" s="92" t="n">
        <f aca="false">SUM(R$4:R$503)/COUNTA(A$4:A$503)</f>
        <v>776.40004</v>
      </c>
      <c r="BI63" s="92" t="n">
        <f aca="false">SUM(S$4:S$503)/COUNTA(A$4:A$503)</f>
        <v>806.40012</v>
      </c>
      <c r="BJ63" s="92" t="n">
        <f aca="false">SUM(T$4:T$503)/COUNTA(A$4:A$503)</f>
        <v>826.1999</v>
      </c>
      <c r="BK63" s="92" t="n">
        <f aca="false">SUM(U$4:U$503)/COUNTA(A$4:A$503)</f>
        <v>844.8002</v>
      </c>
      <c r="BL63" s="92" t="n">
        <f aca="false">SUM(V$4:V$503)/COUNTA(A$4:A$503)</f>
        <v>865.7998</v>
      </c>
      <c r="BM63" s="92" t="n">
        <f aca="false">SUM(W$4:W$503)/COUNTA(A$4:A$503)</f>
        <v>888.59982</v>
      </c>
      <c r="BN63" s="93" t="n">
        <f aca="false">SUM(X$4:X$503)/COUNTA(A$4:A$503)</f>
        <v>918.60034</v>
      </c>
      <c r="BO63" s="94" t="s">
        <v>20</v>
      </c>
      <c r="BP63" s="91" t="n">
        <f aca="false">IF(Z63&gt;=BB63,0,IFERROR(BB63+(SUMPRODUCT((Z$4:Z$503&gt;=BB$4:BB$503)*(Z$4:Z$503-BB$4:BB$503))/MAX(1,COUNTIF(Z$4:Z$503,"&lt;"&amp;BB63+0.01))),BB63))</f>
        <v>10695.5432177778</v>
      </c>
      <c r="BQ63" s="92" t="n">
        <f aca="false">IF(AA63&gt;=BC63,0,IFERROR(BC63+SUMPRODUCT((AA$4:AA$503&gt;=BC$4:BC$503)*(AA$4:AA$503-BC$4:BC$503))/MAX(1,COUNTIF(AA$4:AA$503,"&lt;"&amp;BC63+0.01)),BC63))</f>
        <v>2238.46589176471</v>
      </c>
      <c r="BR63" s="92" t="n">
        <f aca="false">IF(AB63&gt;=BD63,0,IFERROR(BD63+SUMPRODUCT((AB$4:AB$503&gt;=BD$4:BD$503)*(AB$4:AB$503-BD$4:BD$503))/MAX(1,COUNTIF(AB$4:AB$503,"&lt;"&amp;BD63+0.01)),BD63))</f>
        <v>3335.2938</v>
      </c>
      <c r="BS63" s="92" t="n">
        <f aca="false">IF(AC63&gt;=BE63,0,IFERROR(BE63+SUMPRODUCT((AC$4:AC$503&gt;=BE$4:BE$503)*(AC$4:AC$503-BE$4:BE$503))/MAX(1,COUNTIF(AC$4:AC$503,"&lt;"&amp;BE63+0.01)),BE63))</f>
        <v>6188.73352</v>
      </c>
      <c r="BT63" s="92" t="n">
        <f aca="false">IF(AD63&gt;=BF63,0,IFERROR(BF63+SUMPRODUCT((AD$4:AD$503&gt;=BF$4:BF$503)*(AD$4:AD$503-BF$4:BF$503))/MAX(1,COUNTIF(AD$4:AD$503,"&lt;"&amp;BF63+0.01)),BF63))</f>
        <v>11354.35411</v>
      </c>
      <c r="BU63" s="92" t="n">
        <f aca="false">IF(AE63&gt;=BG63,0,IFERROR(BG63+SUMPRODUCT((AE$4:AE$503&gt;=BG$4:BG$503)*(AE$4:AE$503-BG$4:BG$503))/MAX(1,COUNTIF(AE$4:AE$503,"&lt;"&amp;BG63+0.01)),BG63))</f>
        <v>7704.85920380952</v>
      </c>
      <c r="BV63" s="92" t="n">
        <f aca="false">IF(AF63&gt;=BH63,0,IFERROR(BH63+SUMPRODUCT((AF$4:AF$503&gt;=BH$4:BH$503)*(AF$4:AF$503-BH$4:BH$503))/MAX(1,COUNTIF(AF$4:AF$503,"&lt;"&amp;BH63+0.01)),BH63))</f>
        <v>9942.6503831579</v>
      </c>
      <c r="BW63" s="92" t="n">
        <f aca="false">IF(AG63&gt;=BI63,0,IFERROR(BI63+SUMPRODUCT((AG$4:AG$503&gt;=BI$4:BI$503)*(AG$4:AG$503-BI$4:BI$503))/MAX(1,COUNTIF(AG$4:AG$503,"&lt;"&amp;BI63+0.01)),BI63))</f>
        <v>9142.15870461538</v>
      </c>
      <c r="BX63" s="92" t="n">
        <f aca="false">IF(AH63&gt;=BJ63,0,IFERROR(BJ63+SUMPRODUCT((AH$4:AH$503&gt;=BJ$4:BJ$503)*(AH$4:AH$503-BJ$4:BJ$503))/MAX(1,COUNTIF(AH$4:AH$503,"&lt;"&amp;BJ63+0.01)),BJ63))</f>
        <v>5621.50263448276</v>
      </c>
      <c r="BY63" s="92" t="n">
        <f aca="false">IF(AI63&gt;=BK63,0,IFERROR(BK63+SUMPRODUCT((AI$4:AI$503&gt;=BK$4:BK$503)*(AI$4:AI$503-BK$4:BK$503))/MAX(1,COUNTIF(AI$4:AI$503,"&lt;"&amp;BK63+0.01)),BK63))</f>
        <v>7878.25652380952</v>
      </c>
      <c r="BZ63" s="92" t="n">
        <f aca="false">IF(AJ63&gt;=BL63,0,IFERROR(BL63+SUMPRODUCT((AJ$4:AJ$503&gt;=BL$4:BL$503)*(AJ$4:AJ$503-BL$4:BL$503))/MAX(1,COUNTIF(AJ$4:AJ$503,"&lt;"&amp;BL63+0.01)),BL63))</f>
        <v>6710.03292307692</v>
      </c>
      <c r="CA63" s="92" t="n">
        <f aca="false">IF(AK63&gt;=BM63,0,IFERROR(BM63+SUMPRODUCT((AK$4:AK$503&gt;=BM$4:BM$503)*(AK$4:AK$503-BM$4:BM$503))/MAX(1,COUNTIF(AK$4:AK$503,"&lt;"&amp;BM63+0.01)),BM63))</f>
        <v>7314.89836842105</v>
      </c>
      <c r="CB63" s="93" t="n">
        <f aca="false">IF(AL63&gt;=BN63,0,IFERROR(BN63+SUMPRODUCT((AL$4:AL$503&gt;=BN$4:BN$503)*(AL$4:AL$503-BN$4:BN$503))/MAX(1,COUNTIF(AL$4:AL$503,"&lt;"&amp;BN63+0.01)),BN63))</f>
        <v>0</v>
      </c>
      <c r="CC63" s="95" t="str">
        <f aca="false">IF(AO63="🟢","VERDE",IF(AO63="🟡","AMARELO",IF(AO63="🟠","VERMELHO",IF(AO63="🔴","VERMELHO","ROXO"))))</f>
        <v>VERMELHO</v>
      </c>
      <c r="CD63" s="96" t="s">
        <v>103</v>
      </c>
      <c r="CE63" s="96" t="s">
        <v>104</v>
      </c>
    </row>
    <row r="64" customFormat="false" ht="14.25" hidden="false" customHeight="true" outlineLevel="0" collapsed="false">
      <c r="A64" s="65" t="s">
        <v>266</v>
      </c>
      <c r="B64" s="66" t="s">
        <v>267</v>
      </c>
      <c r="C64" s="67" t="s">
        <v>123</v>
      </c>
      <c r="D64" s="68" t="s">
        <v>100</v>
      </c>
      <c r="E64" s="56" t="s">
        <v>20</v>
      </c>
      <c r="F64" s="70" t="n">
        <f aca="false">IFERROR(VLOOKUP(C64,$AS$3:$AT$10,2,FALSE()),IFERROR(VLOOKUP(C64,$AS$15:$AT$22,2,FALSE()),""))</f>
        <v>49</v>
      </c>
      <c r="G64" s="71" t="n">
        <f aca="false">IFERROR(VLOOKUP(C64,$AS$3:$AX$10,6,FALSE()),IFERROR(VLOOKUP(C64,$AS$15:$AX$22,6,FALSE()),""))</f>
        <v>0.436391353881959</v>
      </c>
      <c r="H64" s="72" t="str">
        <f aca="false">IFERROR(VLOOKUP(C64,$AS$3:$AY$10,7,FALSE()),IFERROR(VLOOKUP(C64,$AS$15:$AY$22,7,FALSE()),""))</f>
        <v>🟡 AMARELO</v>
      </c>
      <c r="I64" s="72" t="str">
        <f aca="false">IFERROR(VLOOKUP(C64,$AS$3:$AZ$10,8,FALSE()),IFERROR(VLOOKUP(C64,$AS$15:$AZ$22,8,FALSE()),""))</f>
        <v>Sell Out</v>
      </c>
      <c r="J64" s="73"/>
      <c r="K64" s="56" t="s">
        <v>20</v>
      </c>
      <c r="L64" s="74" t="n">
        <v>17700.42</v>
      </c>
      <c r="M64" s="75" t="n">
        <v>1243.86</v>
      </c>
      <c r="N64" s="75" t="n">
        <v>1299.79</v>
      </c>
      <c r="O64" s="75" t="n">
        <v>1331.11</v>
      </c>
      <c r="P64" s="75" t="n">
        <v>1365.79</v>
      </c>
      <c r="Q64" s="75" t="n">
        <v>1410.53</v>
      </c>
      <c r="R64" s="75" t="n">
        <v>1447.44</v>
      </c>
      <c r="S64" s="75" t="n">
        <v>1503.37</v>
      </c>
      <c r="T64" s="75" t="n">
        <v>1540.29</v>
      </c>
      <c r="U64" s="75" t="n">
        <v>1574.96</v>
      </c>
      <c r="V64" s="75" t="n">
        <v>1614.11</v>
      </c>
      <c r="W64" s="75" t="n">
        <v>1656.62</v>
      </c>
      <c r="X64" s="76" t="n">
        <v>1712.55</v>
      </c>
      <c r="Y64" s="77" t="s">
        <v>20</v>
      </c>
      <c r="Z64" s="78" t="n">
        <f aca="false">SUM(AA64:AL64)</f>
        <v>9627.2</v>
      </c>
      <c r="AA64" s="75"/>
      <c r="AB64" s="75"/>
      <c r="AC64" s="75"/>
      <c r="AD64" s="75"/>
      <c r="AE64" s="75"/>
      <c r="AF64" s="75" t="n">
        <v>1961.6</v>
      </c>
      <c r="AG64" s="75"/>
      <c r="AH64" s="75" t="n">
        <v>2596.83</v>
      </c>
      <c r="AI64" s="75"/>
      <c r="AJ64" s="75" t="n">
        <v>2541.41</v>
      </c>
      <c r="AK64" s="75" t="n">
        <v>2527.36</v>
      </c>
      <c r="AL64" s="76"/>
      <c r="AM64" s="56" t="s">
        <v>20</v>
      </c>
      <c r="AN64" s="80" t="n">
        <f aca="false">IF(L64=0,0,Z64/L64)</f>
        <v>0.54389669849642</v>
      </c>
      <c r="AO64" s="81" t="str">
        <f aca="false">IF(AN64="","",IF(AN64&gt;=0.9,"🟢",IF(AN64&gt;=0.7,"🟡",IF(AN64&gt;=0.5,"🟠","🔴"))))</f>
        <v>🟠</v>
      </c>
      <c r="AP64" s="82" t="n">
        <f aca="false">IF(L64=0,0,L64-Z64)</f>
        <v>8073.22</v>
      </c>
      <c r="AQ64" s="83" t="n">
        <f aca="false">IF(AP64=0,"",RANK(AP64,AP$4:AP$503,0))</f>
        <v>75</v>
      </c>
      <c r="AR64" s="84" t="s">
        <v>20</v>
      </c>
      <c r="AS64" s="141"/>
      <c r="AT64" s="141"/>
      <c r="AU64" s="141"/>
      <c r="AV64" s="141"/>
      <c r="AW64" s="141"/>
      <c r="AX64" s="141"/>
      <c r="AY64" s="142"/>
      <c r="AZ64" s="142"/>
      <c r="BA64" s="56" t="s">
        <v>20</v>
      </c>
      <c r="BB64" s="91" t="n">
        <f aca="false">SUM(L$4:L$503)/COUNTA(A$4:A$503)</f>
        <v>9494.39992</v>
      </c>
      <c r="BC64" s="92" t="n">
        <f aca="false">SUM(M$4:M$503)/COUNTA(A$4:A$503)</f>
        <v>667.20008</v>
      </c>
      <c r="BD64" s="92" t="n">
        <f aca="false">SUM(N$4:N$503)/COUNTA(A$4:A$503)</f>
        <v>697.19996</v>
      </c>
      <c r="BE64" s="92" t="n">
        <f aca="false">SUM(O$4:O$503)/COUNTA(A$4:A$503)</f>
        <v>713.9999</v>
      </c>
      <c r="BF64" s="92" t="n">
        <f aca="false">SUM(P$4:P$503)/COUNTA(A$4:A$503)</f>
        <v>732.59984</v>
      </c>
      <c r="BG64" s="92" t="n">
        <f aca="false">SUM(Q$4:Q$503)/COUNTA(A$4:A$503)</f>
        <v>756.59992</v>
      </c>
      <c r="BH64" s="92" t="n">
        <f aca="false">SUM(R$4:R$503)/COUNTA(A$4:A$503)</f>
        <v>776.40004</v>
      </c>
      <c r="BI64" s="92" t="n">
        <f aca="false">SUM(S$4:S$503)/COUNTA(A$4:A$503)</f>
        <v>806.40012</v>
      </c>
      <c r="BJ64" s="92" t="n">
        <f aca="false">SUM(T$4:T$503)/COUNTA(A$4:A$503)</f>
        <v>826.1999</v>
      </c>
      <c r="BK64" s="92" t="n">
        <f aca="false">SUM(U$4:U$503)/COUNTA(A$4:A$503)</f>
        <v>844.8002</v>
      </c>
      <c r="BL64" s="92" t="n">
        <f aca="false">SUM(V$4:V$503)/COUNTA(A$4:A$503)</f>
        <v>865.7998</v>
      </c>
      <c r="BM64" s="92" t="n">
        <f aca="false">SUM(W$4:W$503)/COUNTA(A$4:A$503)</f>
        <v>888.59982</v>
      </c>
      <c r="BN64" s="93" t="n">
        <f aca="false">SUM(X$4:X$503)/COUNTA(A$4:A$503)</f>
        <v>918.60034</v>
      </c>
      <c r="BO64" s="94" t="s">
        <v>20</v>
      </c>
      <c r="BP64" s="91" t="n">
        <f aca="false">IF(Z64&gt;=BB64,0,IFERROR(BB64+(SUMPRODUCT((Z$4:Z$503&gt;=BB$4:BB$503)*(Z$4:Z$503-BB$4:BB$503))/MAX(1,COUNTIF(Z$4:Z$503,"&lt;"&amp;BB64+0.01))),BB64))</f>
        <v>0</v>
      </c>
      <c r="BQ64" s="92" t="n">
        <f aca="false">IF(AA64&gt;=BC64,0,IFERROR(BC64+SUMPRODUCT((AA$4:AA$503&gt;=BC$4:BC$503)*(AA$4:AA$503-BC$4:BC$503))/MAX(1,COUNTIF(AA$4:AA$503,"&lt;"&amp;BC64+0.01)),BC64))</f>
        <v>2238.46589176471</v>
      </c>
      <c r="BR64" s="92" t="n">
        <f aca="false">IF(AB64&gt;=BD64,0,IFERROR(BD64+SUMPRODUCT((AB$4:AB$503&gt;=BD$4:BD$503)*(AB$4:AB$503-BD$4:BD$503))/MAX(1,COUNTIF(AB$4:AB$503,"&lt;"&amp;BD64+0.01)),BD64))</f>
        <v>3335.2938</v>
      </c>
      <c r="BS64" s="92" t="n">
        <f aca="false">IF(AC64&gt;=BE64,0,IFERROR(BE64+SUMPRODUCT((AC$4:AC$503&gt;=BE$4:BE$503)*(AC$4:AC$503-BE$4:BE$503))/MAX(1,COUNTIF(AC$4:AC$503,"&lt;"&amp;BE64+0.01)),BE64))</f>
        <v>6188.73352</v>
      </c>
      <c r="BT64" s="92" t="n">
        <f aca="false">IF(AD64&gt;=BF64,0,IFERROR(BF64+SUMPRODUCT((AD$4:AD$503&gt;=BF$4:BF$503)*(AD$4:AD$503-BF$4:BF$503))/MAX(1,COUNTIF(AD$4:AD$503,"&lt;"&amp;BF64+0.01)),BF64))</f>
        <v>11354.35411</v>
      </c>
      <c r="BU64" s="92" t="n">
        <f aca="false">IF(AE64&gt;=BG64,0,IFERROR(BG64+SUMPRODUCT((AE$4:AE$503&gt;=BG$4:BG$503)*(AE$4:AE$503-BG$4:BG$503))/MAX(1,COUNTIF(AE$4:AE$503,"&lt;"&amp;BG64+0.01)),BG64))</f>
        <v>7704.85920380952</v>
      </c>
      <c r="BV64" s="92" t="n">
        <f aca="false">IF(AF64&gt;=BH64,0,IFERROR(BH64+SUMPRODUCT((AF$4:AF$503&gt;=BH$4:BH$503)*(AF$4:AF$503-BH$4:BH$503))/MAX(1,COUNTIF(AF$4:AF$503,"&lt;"&amp;BH64+0.01)),BH64))</f>
        <v>0</v>
      </c>
      <c r="BW64" s="92" t="n">
        <f aca="false">IF(AG64&gt;=BI64,0,IFERROR(BI64+SUMPRODUCT((AG$4:AG$503&gt;=BI$4:BI$503)*(AG$4:AG$503-BI$4:BI$503))/MAX(1,COUNTIF(AG$4:AG$503,"&lt;"&amp;BI64+0.01)),BI64))</f>
        <v>9142.15870461538</v>
      </c>
      <c r="BX64" s="92" t="n">
        <f aca="false">IF(AH64&gt;=BJ64,0,IFERROR(BJ64+SUMPRODUCT((AH$4:AH$503&gt;=BJ$4:BJ$503)*(AH$4:AH$503-BJ$4:BJ$503))/MAX(1,COUNTIF(AH$4:AH$503,"&lt;"&amp;BJ64+0.01)),BJ64))</f>
        <v>0</v>
      </c>
      <c r="BY64" s="92" t="n">
        <f aca="false">IF(AI64&gt;=BK64,0,IFERROR(BK64+SUMPRODUCT((AI$4:AI$503&gt;=BK$4:BK$503)*(AI$4:AI$503-BK$4:BK$503))/MAX(1,COUNTIF(AI$4:AI$503,"&lt;"&amp;BK64+0.01)),BK64))</f>
        <v>7878.25652380952</v>
      </c>
      <c r="BZ64" s="92" t="n">
        <f aca="false">IF(AJ64&gt;=BL64,0,IFERROR(BL64+SUMPRODUCT((AJ$4:AJ$503&gt;=BL$4:BL$503)*(AJ$4:AJ$503-BL$4:BL$503))/MAX(1,COUNTIF(AJ$4:AJ$503,"&lt;"&amp;BL64+0.01)),BL64))</f>
        <v>0</v>
      </c>
      <c r="CA64" s="92" t="n">
        <f aca="false">IF(AK64&gt;=BM64,0,IFERROR(BM64+SUMPRODUCT((AK$4:AK$503&gt;=BM$4:BM$503)*(AK$4:AK$503-BM$4:BM$503))/MAX(1,COUNTIF(AK$4:AK$503,"&lt;"&amp;BM64+0.01)),BM64))</f>
        <v>0</v>
      </c>
      <c r="CB64" s="93" t="n">
        <f aca="false">IF(AL64&gt;=BN64,0,IFERROR(BN64+SUMPRODUCT((AL$4:AL$503&gt;=BN$4:BN$503)*(AL$4:AL$503-BN$4:BN$503))/MAX(1,COUNTIF(AL$4:AL$503,"&lt;"&amp;BN64+0.01)),BN64))</f>
        <v>3597.2614925</v>
      </c>
      <c r="CC64" s="95" t="str">
        <f aca="false">IF(AO64="🟢","VERDE",IF(AO64="🟡","AMARELO",IF(AO64="🟠","VERMELHO",IF(AO64="🔴","VERMELHO","ROXO"))))</f>
        <v>VERMELHO</v>
      </c>
      <c r="CD64" s="96" t="s">
        <v>103</v>
      </c>
      <c r="CE64" s="96" t="s">
        <v>104</v>
      </c>
    </row>
    <row r="65" customFormat="false" ht="14.25" hidden="false" customHeight="true" outlineLevel="0" collapsed="false">
      <c r="A65" s="65" t="s">
        <v>268</v>
      </c>
      <c r="B65" s="66" t="s">
        <v>269</v>
      </c>
      <c r="C65" s="67" t="s">
        <v>107</v>
      </c>
      <c r="D65" s="68" t="s">
        <v>108</v>
      </c>
      <c r="E65" s="69" t="s">
        <v>139</v>
      </c>
      <c r="F65" s="70" t="n">
        <f aca="false">IFERROR(VLOOKUP(C65,$AS$3:$AT$10,2,FALSE()),IFERROR(VLOOKUP(C65,$AS$15:$AT$22,2,FALSE()),""))</f>
        <v>132</v>
      </c>
      <c r="G65" s="71" t="n">
        <f aca="false">IFERROR(VLOOKUP(C65,$AS$3:$AX$10,6,FALSE()),IFERROR(VLOOKUP(C65,$AS$15:$AX$22,6,FALSE()),""))</f>
        <v>0.468190175850689</v>
      </c>
      <c r="H65" s="72" t="str">
        <f aca="false">IFERROR(VLOOKUP(C65,$AS$3:$AY$10,7,FALSE()),IFERROR(VLOOKUP(C65,$AS$15:$AY$22,7,FALSE()),""))</f>
        <v>🟡 AMARELO</v>
      </c>
      <c r="I65" s="72" t="str">
        <f aca="false">IFERROR(VLOOKUP(C65,$AS$3:$AZ$10,8,FALSE()),IFERROR(VLOOKUP(C65,$AS$15:$AZ$22,8,FALSE()),""))</f>
        <v>Sell Out</v>
      </c>
      <c r="J65" s="73"/>
      <c r="K65" s="69" t="s">
        <v>107</v>
      </c>
      <c r="L65" s="74" t="n">
        <v>17597.87</v>
      </c>
      <c r="M65" s="75" t="n">
        <v>1236.66</v>
      </c>
      <c r="N65" s="75" t="n">
        <v>1292.26</v>
      </c>
      <c r="O65" s="75" t="n">
        <v>1323.4</v>
      </c>
      <c r="P65" s="75" t="n">
        <v>1357.87</v>
      </c>
      <c r="Q65" s="75" t="n">
        <v>1402.36</v>
      </c>
      <c r="R65" s="75" t="n">
        <v>1439.06</v>
      </c>
      <c r="S65" s="75" t="n">
        <v>1494.66</v>
      </c>
      <c r="T65" s="75" t="n">
        <v>1531.36</v>
      </c>
      <c r="U65" s="75" t="n">
        <v>1565.84</v>
      </c>
      <c r="V65" s="75" t="n">
        <v>1604.76</v>
      </c>
      <c r="W65" s="75" t="n">
        <v>1647.02</v>
      </c>
      <c r="X65" s="76" t="n">
        <v>1702.62</v>
      </c>
      <c r="Y65" s="77" t="s">
        <v>20</v>
      </c>
      <c r="Z65" s="78" t="n">
        <f aca="false">SUM(AA65:AL65)</f>
        <v>7520.08</v>
      </c>
      <c r="AA65" s="75"/>
      <c r="AB65" s="75"/>
      <c r="AC65" s="75"/>
      <c r="AD65" s="75"/>
      <c r="AE65" s="75"/>
      <c r="AF65" s="75"/>
      <c r="AG65" s="75"/>
      <c r="AH65" s="79" t="n">
        <v>674.68</v>
      </c>
      <c r="AI65" s="79" t="n">
        <v>1354.15</v>
      </c>
      <c r="AJ65" s="79" t="n">
        <v>2191.25</v>
      </c>
      <c r="AK65" s="79" t="n">
        <v>2100</v>
      </c>
      <c r="AL65" s="107" t="n">
        <v>1200</v>
      </c>
      <c r="AM65" s="56" t="s">
        <v>20</v>
      </c>
      <c r="AN65" s="80" t="n">
        <f aca="false">IF(L65=0,0,Z65/L65)</f>
        <v>0.427328989246994</v>
      </c>
      <c r="AO65" s="81" t="str">
        <f aca="false">IF(AN65="","",IF(AN65&gt;=0.9,"🟢",IF(AN65&gt;=0.7,"🟡",IF(AN65&gt;=0.5,"🟠","🔴"))))</f>
        <v>🔴</v>
      </c>
      <c r="AP65" s="82" t="n">
        <f aca="false">IF(L65=0,0,L65-Z65)</f>
        <v>10077.79</v>
      </c>
      <c r="AQ65" s="83" t="n">
        <f aca="false">IF(AP65=0,"",RANK(AP65,AP$4:AP$503,0))</f>
        <v>60</v>
      </c>
      <c r="AR65" s="84" t="s">
        <v>20</v>
      </c>
      <c r="AS65" s="141"/>
      <c r="AT65" s="141"/>
      <c r="AU65" s="141"/>
      <c r="AV65" s="141"/>
      <c r="AW65" s="141"/>
      <c r="AX65" s="141"/>
      <c r="AY65" s="142"/>
      <c r="AZ65" s="142"/>
      <c r="BA65" s="56" t="s">
        <v>20</v>
      </c>
      <c r="BB65" s="91" t="n">
        <f aca="false">SUM(L$4:L$503)/COUNTA(A$4:A$503)</f>
        <v>9494.39992</v>
      </c>
      <c r="BC65" s="92" t="n">
        <f aca="false">SUM(M$4:M$503)/COUNTA(A$4:A$503)</f>
        <v>667.20008</v>
      </c>
      <c r="BD65" s="92" t="n">
        <f aca="false">SUM(N$4:N$503)/COUNTA(A$4:A$503)</f>
        <v>697.19996</v>
      </c>
      <c r="BE65" s="92" t="n">
        <f aca="false">SUM(O$4:O$503)/COUNTA(A$4:A$503)</f>
        <v>713.9999</v>
      </c>
      <c r="BF65" s="92" t="n">
        <f aca="false">SUM(P$4:P$503)/COUNTA(A$4:A$503)</f>
        <v>732.59984</v>
      </c>
      <c r="BG65" s="92" t="n">
        <f aca="false">SUM(Q$4:Q$503)/COUNTA(A$4:A$503)</f>
        <v>756.59992</v>
      </c>
      <c r="BH65" s="92" t="n">
        <f aca="false">SUM(R$4:R$503)/COUNTA(A$4:A$503)</f>
        <v>776.40004</v>
      </c>
      <c r="BI65" s="92" t="n">
        <f aca="false">SUM(S$4:S$503)/COUNTA(A$4:A$503)</f>
        <v>806.40012</v>
      </c>
      <c r="BJ65" s="92" t="n">
        <f aca="false">SUM(T$4:T$503)/COUNTA(A$4:A$503)</f>
        <v>826.1999</v>
      </c>
      <c r="BK65" s="92" t="n">
        <f aca="false">SUM(U$4:U$503)/COUNTA(A$4:A$503)</f>
        <v>844.8002</v>
      </c>
      <c r="BL65" s="92" t="n">
        <f aca="false">SUM(V$4:V$503)/COUNTA(A$4:A$503)</f>
        <v>865.7998</v>
      </c>
      <c r="BM65" s="92" t="n">
        <f aca="false">SUM(W$4:W$503)/COUNTA(A$4:A$503)</f>
        <v>888.59982</v>
      </c>
      <c r="BN65" s="93" t="n">
        <f aca="false">SUM(X$4:X$503)/COUNTA(A$4:A$503)</f>
        <v>918.60034</v>
      </c>
      <c r="BO65" s="94" t="s">
        <v>20</v>
      </c>
      <c r="BP65" s="91" t="n">
        <f aca="false">IF(Z65&gt;=BB65,0,IFERROR(BB65+(SUMPRODUCT((Z$4:Z$503&gt;=BB$4:BB$503)*(Z$4:Z$503-BB$4:BB$503))/MAX(1,COUNTIF(Z$4:Z$503,"&lt;"&amp;BB65+0.01))),BB65))</f>
        <v>10695.5432177778</v>
      </c>
      <c r="BQ65" s="92" t="n">
        <f aca="false">IF(AA65&gt;=BC65,0,IFERROR(BC65+SUMPRODUCT((AA$4:AA$503&gt;=BC$4:BC$503)*(AA$4:AA$503-BC$4:BC$503))/MAX(1,COUNTIF(AA$4:AA$503,"&lt;"&amp;BC65+0.01)),BC65))</f>
        <v>2238.46589176471</v>
      </c>
      <c r="BR65" s="92" t="n">
        <f aca="false">IF(AB65&gt;=BD65,0,IFERROR(BD65+SUMPRODUCT((AB$4:AB$503&gt;=BD$4:BD$503)*(AB$4:AB$503-BD$4:BD$503))/MAX(1,COUNTIF(AB$4:AB$503,"&lt;"&amp;BD65+0.01)),BD65))</f>
        <v>3335.2938</v>
      </c>
      <c r="BS65" s="92" t="n">
        <f aca="false">IF(AC65&gt;=BE65,0,IFERROR(BE65+SUMPRODUCT((AC$4:AC$503&gt;=BE$4:BE$503)*(AC$4:AC$503-BE$4:BE$503))/MAX(1,COUNTIF(AC$4:AC$503,"&lt;"&amp;BE65+0.01)),BE65))</f>
        <v>6188.73352</v>
      </c>
      <c r="BT65" s="92" t="n">
        <f aca="false">IF(AD65&gt;=BF65,0,IFERROR(BF65+SUMPRODUCT((AD$4:AD$503&gt;=BF$4:BF$503)*(AD$4:AD$503-BF$4:BF$503))/MAX(1,COUNTIF(AD$4:AD$503,"&lt;"&amp;BF65+0.01)),BF65))</f>
        <v>11354.35411</v>
      </c>
      <c r="BU65" s="92" t="n">
        <f aca="false">IF(AE65&gt;=BG65,0,IFERROR(BG65+SUMPRODUCT((AE$4:AE$503&gt;=BG$4:BG$503)*(AE$4:AE$503-BG$4:BG$503))/MAX(1,COUNTIF(AE$4:AE$503,"&lt;"&amp;BG65+0.01)),BG65))</f>
        <v>7704.85920380952</v>
      </c>
      <c r="BV65" s="92" t="n">
        <f aca="false">IF(AF65&gt;=BH65,0,IFERROR(BH65+SUMPRODUCT((AF$4:AF$503&gt;=BH$4:BH$503)*(AF$4:AF$503-BH$4:BH$503))/MAX(1,COUNTIF(AF$4:AF$503,"&lt;"&amp;BH65+0.01)),BH65))</f>
        <v>9942.6503831579</v>
      </c>
      <c r="BW65" s="92" t="n">
        <f aca="false">IF(AG65&gt;=BI65,0,IFERROR(BI65+SUMPRODUCT((AG$4:AG$503&gt;=BI$4:BI$503)*(AG$4:AG$503-BI$4:BI$503))/MAX(1,COUNTIF(AG$4:AG$503,"&lt;"&amp;BI65+0.01)),BI65))</f>
        <v>9142.15870461538</v>
      </c>
      <c r="BX65" s="92" t="n">
        <f aca="false">IF(AH65&gt;=BJ65,0,IFERROR(BJ65+SUMPRODUCT((AH$4:AH$503&gt;=BJ$4:BJ$503)*(AH$4:AH$503-BJ$4:BJ$503))/MAX(1,COUNTIF(AH$4:AH$503,"&lt;"&amp;BJ65+0.01)),BJ65))</f>
        <v>5621.50263448276</v>
      </c>
      <c r="BY65" s="92" t="n">
        <f aca="false">IF(AI65&gt;=BK65,0,IFERROR(BK65+SUMPRODUCT((AI$4:AI$503&gt;=BK$4:BK$503)*(AI$4:AI$503-BK$4:BK$503))/MAX(1,COUNTIF(AI$4:AI$503,"&lt;"&amp;BK65+0.01)),BK65))</f>
        <v>0</v>
      </c>
      <c r="BZ65" s="92" t="n">
        <f aca="false">IF(AJ65&gt;=BL65,0,IFERROR(BL65+SUMPRODUCT((AJ$4:AJ$503&gt;=BL$4:BL$503)*(AJ$4:AJ$503-BL$4:BL$503))/MAX(1,COUNTIF(AJ$4:AJ$503,"&lt;"&amp;BL65+0.01)),BL65))</f>
        <v>0</v>
      </c>
      <c r="CA65" s="92" t="n">
        <f aca="false">IF(AK65&gt;=BM65,0,IFERROR(BM65+SUMPRODUCT((AK$4:AK$503&gt;=BM$4:BM$503)*(AK$4:AK$503-BM$4:BM$503))/MAX(1,COUNTIF(AK$4:AK$503,"&lt;"&amp;BM65+0.01)),BM65))</f>
        <v>0</v>
      </c>
      <c r="CB65" s="93" t="n">
        <f aca="false">IF(AL65&gt;=BN65,0,IFERROR(BN65+SUMPRODUCT((AL$4:AL$503&gt;=BN$4:BN$503)*(AL$4:AL$503-BN$4:BN$503))/MAX(1,COUNTIF(AL$4:AL$503,"&lt;"&amp;BN65+0.01)),BN65))</f>
        <v>0</v>
      </c>
      <c r="CC65" s="95" t="str">
        <f aca="false">IF(AO65="🟢","VERDE",IF(AO65="🟡","AMARELO",IF(AO65="🟠","VERMELHO",IF(AO65="🔴","VERMELHO","ROXO"))))</f>
        <v>VERMELHO</v>
      </c>
      <c r="CD65" s="96" t="s">
        <v>103</v>
      </c>
      <c r="CE65" s="96" t="s">
        <v>104</v>
      </c>
    </row>
    <row r="66" customFormat="false" ht="14.25" hidden="false" customHeight="true" outlineLevel="0" collapsed="false">
      <c r="A66" s="65" t="s">
        <v>270</v>
      </c>
      <c r="B66" s="66" t="s">
        <v>271</v>
      </c>
      <c r="C66" s="67" t="s">
        <v>123</v>
      </c>
      <c r="D66" s="68" t="s">
        <v>108</v>
      </c>
      <c r="E66" s="56" t="s">
        <v>20</v>
      </c>
      <c r="F66" s="70" t="n">
        <f aca="false">IFERROR(VLOOKUP(C66,$AS$3:$AT$10,2,FALSE()),IFERROR(VLOOKUP(C66,$AS$15:$AT$22,2,FALSE()),""))</f>
        <v>49</v>
      </c>
      <c r="G66" s="71" t="n">
        <f aca="false">IFERROR(VLOOKUP(C66,$AS$3:$AX$10,6,FALSE()),IFERROR(VLOOKUP(C66,$AS$15:$AX$22,6,FALSE()),""))</f>
        <v>0.436391353881959</v>
      </c>
      <c r="H66" s="72" t="str">
        <f aca="false">IFERROR(VLOOKUP(C66,$AS$3:$AY$10,7,FALSE()),IFERROR(VLOOKUP(C66,$AS$15:$AY$22,7,FALSE()),""))</f>
        <v>🟡 AMARELO</v>
      </c>
      <c r="I66" s="72" t="str">
        <f aca="false">IFERROR(VLOOKUP(C66,$AS$3:$AZ$10,8,FALSE()),IFERROR(VLOOKUP(C66,$AS$15:$AZ$22,8,FALSE()),""))</f>
        <v>Sell Out</v>
      </c>
      <c r="J66" s="73"/>
      <c r="K66" s="56" t="s">
        <v>20</v>
      </c>
      <c r="L66" s="74" t="n">
        <v>17257.2</v>
      </c>
      <c r="M66" s="75" t="n">
        <v>1212.72</v>
      </c>
      <c r="N66" s="75" t="n">
        <v>1267.24</v>
      </c>
      <c r="O66" s="75" t="n">
        <v>1297.78</v>
      </c>
      <c r="P66" s="75" t="n">
        <v>1331.59</v>
      </c>
      <c r="Q66" s="75" t="n">
        <v>1375.21</v>
      </c>
      <c r="R66" s="75" t="n">
        <v>1411.2</v>
      </c>
      <c r="S66" s="75" t="n">
        <v>1465.73</v>
      </c>
      <c r="T66" s="75" t="n">
        <v>1501.72</v>
      </c>
      <c r="U66" s="75" t="n">
        <v>1535.52</v>
      </c>
      <c r="V66" s="75" t="n">
        <v>1573.69</v>
      </c>
      <c r="W66" s="75" t="n">
        <v>1615.14</v>
      </c>
      <c r="X66" s="76" t="n">
        <v>1669.66</v>
      </c>
      <c r="Y66" s="77" t="s">
        <v>20</v>
      </c>
      <c r="Z66" s="78" t="n">
        <f aca="false">SUM(AA66:AL66)</f>
        <v>6940</v>
      </c>
      <c r="AA66" s="75"/>
      <c r="AB66" s="75"/>
      <c r="AC66" s="75" t="n">
        <v>2680</v>
      </c>
      <c r="AD66" s="75"/>
      <c r="AE66" s="75"/>
      <c r="AF66" s="75" t="n">
        <v>4260</v>
      </c>
      <c r="AG66" s="75"/>
      <c r="AH66" s="75"/>
      <c r="AI66" s="75"/>
      <c r="AJ66" s="75"/>
      <c r="AK66" s="75"/>
      <c r="AL66" s="76"/>
      <c r="AM66" s="56" t="s">
        <v>20</v>
      </c>
      <c r="AN66" s="80" t="n">
        <f aca="false">IF(L66=0,0,Z66/L66)</f>
        <v>0.402150986255012</v>
      </c>
      <c r="AO66" s="81" t="str">
        <f aca="false">IF(AN66="","",IF(AN66&gt;=0.9,"🟢",IF(AN66&gt;=0.7,"🟡",IF(AN66&gt;=0.5,"🟠","🔴"))))</f>
        <v>🔴</v>
      </c>
      <c r="AP66" s="82" t="n">
        <f aca="false">IF(L66=0,0,L66-Z66)</f>
        <v>10317.2</v>
      </c>
      <c r="AQ66" s="83" t="n">
        <f aca="false">IF(AP66=0,"",RANK(AP66,AP$4:AP$503,0))</f>
        <v>59</v>
      </c>
      <c r="AR66" s="84" t="s">
        <v>20</v>
      </c>
      <c r="AS66" s="141"/>
      <c r="AT66" s="141"/>
      <c r="AU66" s="141"/>
      <c r="AV66" s="141"/>
      <c r="AW66" s="141"/>
      <c r="AX66" s="141"/>
      <c r="AY66" s="142"/>
      <c r="AZ66" s="142"/>
      <c r="BA66" s="56" t="s">
        <v>20</v>
      </c>
      <c r="BB66" s="91" t="n">
        <f aca="false">SUM(L$4:L$503)/COUNTA(A$4:A$503)</f>
        <v>9494.39992</v>
      </c>
      <c r="BC66" s="92" t="n">
        <f aca="false">SUM(M$4:M$503)/COUNTA(A$4:A$503)</f>
        <v>667.20008</v>
      </c>
      <c r="BD66" s="92" t="n">
        <f aca="false">SUM(N$4:N$503)/COUNTA(A$4:A$503)</f>
        <v>697.19996</v>
      </c>
      <c r="BE66" s="92" t="n">
        <f aca="false">SUM(O$4:O$503)/COUNTA(A$4:A$503)</f>
        <v>713.9999</v>
      </c>
      <c r="BF66" s="92" t="n">
        <f aca="false">SUM(P$4:P$503)/COUNTA(A$4:A$503)</f>
        <v>732.59984</v>
      </c>
      <c r="BG66" s="92" t="n">
        <f aca="false">SUM(Q$4:Q$503)/COUNTA(A$4:A$503)</f>
        <v>756.59992</v>
      </c>
      <c r="BH66" s="92" t="n">
        <f aca="false">SUM(R$4:R$503)/COUNTA(A$4:A$503)</f>
        <v>776.40004</v>
      </c>
      <c r="BI66" s="92" t="n">
        <f aca="false">SUM(S$4:S$503)/COUNTA(A$4:A$503)</f>
        <v>806.40012</v>
      </c>
      <c r="BJ66" s="92" t="n">
        <f aca="false">SUM(T$4:T$503)/COUNTA(A$4:A$503)</f>
        <v>826.1999</v>
      </c>
      <c r="BK66" s="92" t="n">
        <f aca="false">SUM(U$4:U$503)/COUNTA(A$4:A$503)</f>
        <v>844.8002</v>
      </c>
      <c r="BL66" s="92" t="n">
        <f aca="false">SUM(V$4:V$503)/COUNTA(A$4:A$503)</f>
        <v>865.7998</v>
      </c>
      <c r="BM66" s="92" t="n">
        <f aca="false">SUM(W$4:W$503)/COUNTA(A$4:A$503)</f>
        <v>888.59982</v>
      </c>
      <c r="BN66" s="93" t="n">
        <f aca="false">SUM(X$4:X$503)/COUNTA(A$4:A$503)</f>
        <v>918.60034</v>
      </c>
      <c r="BO66" s="94" t="s">
        <v>20</v>
      </c>
      <c r="BP66" s="91" t="n">
        <f aca="false">IF(Z66&gt;=BB66,0,IFERROR(BB66+(SUMPRODUCT((Z$4:Z$503&gt;=BB$4:BB$503)*(Z$4:Z$503-BB$4:BB$503))/MAX(1,COUNTIF(Z$4:Z$503,"&lt;"&amp;BB66+0.01))),BB66))</f>
        <v>10695.5432177778</v>
      </c>
      <c r="BQ66" s="92" t="n">
        <f aca="false">IF(AA66&gt;=BC66,0,IFERROR(BC66+SUMPRODUCT((AA$4:AA$503&gt;=BC$4:BC$503)*(AA$4:AA$503-BC$4:BC$503))/MAX(1,COUNTIF(AA$4:AA$503,"&lt;"&amp;BC66+0.01)),BC66))</f>
        <v>2238.46589176471</v>
      </c>
      <c r="BR66" s="92" t="n">
        <f aca="false">IF(AB66&gt;=BD66,0,IFERROR(BD66+SUMPRODUCT((AB$4:AB$503&gt;=BD$4:BD$503)*(AB$4:AB$503-BD$4:BD$503))/MAX(1,COUNTIF(AB$4:AB$503,"&lt;"&amp;BD66+0.01)),BD66))</f>
        <v>3335.2938</v>
      </c>
      <c r="BS66" s="92" t="n">
        <f aca="false">IF(AC66&gt;=BE66,0,IFERROR(BE66+SUMPRODUCT((AC$4:AC$503&gt;=BE$4:BE$503)*(AC$4:AC$503-BE$4:BE$503))/MAX(1,COUNTIF(AC$4:AC$503,"&lt;"&amp;BE66+0.01)),BE66))</f>
        <v>0</v>
      </c>
      <c r="BT66" s="92" t="n">
        <f aca="false">IF(AD66&gt;=BF66,0,IFERROR(BF66+SUMPRODUCT((AD$4:AD$503&gt;=BF$4:BF$503)*(AD$4:AD$503-BF$4:BF$503))/MAX(1,COUNTIF(AD$4:AD$503,"&lt;"&amp;BF66+0.01)),BF66))</f>
        <v>11354.35411</v>
      </c>
      <c r="BU66" s="92" t="n">
        <f aca="false">IF(AE66&gt;=BG66,0,IFERROR(BG66+SUMPRODUCT((AE$4:AE$503&gt;=BG$4:BG$503)*(AE$4:AE$503-BG$4:BG$503))/MAX(1,COUNTIF(AE$4:AE$503,"&lt;"&amp;BG66+0.01)),BG66))</f>
        <v>7704.85920380952</v>
      </c>
      <c r="BV66" s="92" t="n">
        <f aca="false">IF(AF66&gt;=BH66,0,IFERROR(BH66+SUMPRODUCT((AF$4:AF$503&gt;=BH$4:BH$503)*(AF$4:AF$503-BH$4:BH$503))/MAX(1,COUNTIF(AF$4:AF$503,"&lt;"&amp;BH66+0.01)),BH66))</f>
        <v>0</v>
      </c>
      <c r="BW66" s="92" t="n">
        <f aca="false">IF(AG66&gt;=BI66,0,IFERROR(BI66+SUMPRODUCT((AG$4:AG$503&gt;=BI$4:BI$503)*(AG$4:AG$503-BI$4:BI$503))/MAX(1,COUNTIF(AG$4:AG$503,"&lt;"&amp;BI66+0.01)),BI66))</f>
        <v>9142.15870461538</v>
      </c>
      <c r="BX66" s="92" t="n">
        <f aca="false">IF(AH66&gt;=BJ66,0,IFERROR(BJ66+SUMPRODUCT((AH$4:AH$503&gt;=BJ$4:BJ$503)*(AH$4:AH$503-BJ$4:BJ$503))/MAX(1,COUNTIF(AH$4:AH$503,"&lt;"&amp;BJ66+0.01)),BJ66))</f>
        <v>5621.50263448276</v>
      </c>
      <c r="BY66" s="92" t="n">
        <f aca="false">IF(AI66&gt;=BK66,0,IFERROR(BK66+SUMPRODUCT((AI$4:AI$503&gt;=BK$4:BK$503)*(AI$4:AI$503-BK$4:BK$503))/MAX(1,COUNTIF(AI$4:AI$503,"&lt;"&amp;BK66+0.01)),BK66))</f>
        <v>7878.25652380952</v>
      </c>
      <c r="BZ66" s="92" t="n">
        <f aca="false">IF(AJ66&gt;=BL66,0,IFERROR(BL66+SUMPRODUCT((AJ$4:AJ$503&gt;=BL$4:BL$503)*(AJ$4:AJ$503-BL$4:BL$503))/MAX(1,COUNTIF(AJ$4:AJ$503,"&lt;"&amp;BL66+0.01)),BL66))</f>
        <v>6710.03292307692</v>
      </c>
      <c r="CA66" s="92" t="n">
        <f aca="false">IF(AK66&gt;=BM66,0,IFERROR(BM66+SUMPRODUCT((AK$4:AK$503&gt;=BM$4:BM$503)*(AK$4:AK$503-BM$4:BM$503))/MAX(1,COUNTIF(AK$4:AK$503,"&lt;"&amp;BM66+0.01)),BM66))</f>
        <v>7314.89836842105</v>
      </c>
      <c r="CB66" s="93" t="n">
        <f aca="false">IF(AL66&gt;=BN66,0,IFERROR(BN66+SUMPRODUCT((AL$4:AL$503&gt;=BN$4:BN$503)*(AL$4:AL$503-BN$4:BN$503))/MAX(1,COUNTIF(AL$4:AL$503,"&lt;"&amp;BN66+0.01)),BN66))</f>
        <v>3597.2614925</v>
      </c>
      <c r="CC66" s="95" t="str">
        <f aca="false">IF(AO66="🟢","VERDE",IF(AO66="🟡","AMARELO",IF(AO66="🟠","VERMELHO",IF(AO66="🔴","VERMELHO","ROXO"))))</f>
        <v>VERMELHO</v>
      </c>
      <c r="CD66" s="96" t="s">
        <v>103</v>
      </c>
      <c r="CE66" s="96" t="s">
        <v>104</v>
      </c>
    </row>
    <row r="67" customFormat="false" ht="14.25" hidden="false" customHeight="true" outlineLevel="0" collapsed="false">
      <c r="A67" s="65" t="s">
        <v>272</v>
      </c>
      <c r="B67" s="66" t="s">
        <v>273</v>
      </c>
      <c r="C67" s="67" t="s">
        <v>107</v>
      </c>
      <c r="D67" s="68" t="s">
        <v>108</v>
      </c>
      <c r="E67" s="69" t="s">
        <v>139</v>
      </c>
      <c r="F67" s="70" t="n">
        <f aca="false">IFERROR(VLOOKUP(C67,$AS$3:$AT$10,2,FALSE()),IFERROR(VLOOKUP(C67,$AS$15:$AT$22,2,FALSE()),""))</f>
        <v>132</v>
      </c>
      <c r="G67" s="71" t="n">
        <f aca="false">IFERROR(VLOOKUP(C67,$AS$3:$AX$10,6,FALSE()),IFERROR(VLOOKUP(C67,$AS$15:$AX$22,6,FALSE()),""))</f>
        <v>0.468190175850689</v>
      </c>
      <c r="H67" s="72" t="str">
        <f aca="false">IFERROR(VLOOKUP(C67,$AS$3:$AY$10,7,FALSE()),IFERROR(VLOOKUP(C67,$AS$15:$AY$22,7,FALSE()),""))</f>
        <v>🟡 AMARELO</v>
      </c>
      <c r="I67" s="72" t="str">
        <f aca="false">IFERROR(VLOOKUP(C67,$AS$3:$AZ$10,8,FALSE()),IFERROR(VLOOKUP(C67,$AS$15:$AZ$22,8,FALSE()),""))</f>
        <v>Sell Out</v>
      </c>
      <c r="J67" s="73"/>
      <c r="K67" s="69" t="s">
        <v>107</v>
      </c>
      <c r="L67" s="74" t="n">
        <v>16824.53</v>
      </c>
      <c r="M67" s="75" t="n">
        <v>1182.31</v>
      </c>
      <c r="N67" s="75" t="n">
        <v>1235.47</v>
      </c>
      <c r="O67" s="75" t="n">
        <v>1265.24</v>
      </c>
      <c r="P67" s="75" t="n">
        <v>1298.2</v>
      </c>
      <c r="Q67" s="75" t="n">
        <v>1340.73</v>
      </c>
      <c r="R67" s="75" t="n">
        <v>1375.82</v>
      </c>
      <c r="S67" s="75" t="n">
        <v>1428.98</v>
      </c>
      <c r="T67" s="75" t="n">
        <v>1464.07</v>
      </c>
      <c r="U67" s="75" t="n">
        <v>1497.03</v>
      </c>
      <c r="V67" s="75" t="n">
        <v>1534.24</v>
      </c>
      <c r="W67" s="75" t="n">
        <v>1574.64</v>
      </c>
      <c r="X67" s="76" t="n">
        <v>1627.8</v>
      </c>
      <c r="Y67" s="77" t="s">
        <v>20</v>
      </c>
      <c r="Z67" s="78" t="n">
        <f aca="false">SUM(AA67:AL67)</f>
        <v>6875.27</v>
      </c>
      <c r="AA67" s="75"/>
      <c r="AB67" s="75"/>
      <c r="AC67" s="75"/>
      <c r="AD67" s="75"/>
      <c r="AE67" s="75"/>
      <c r="AF67" s="75"/>
      <c r="AG67" s="75"/>
      <c r="AH67" s="75"/>
      <c r="AI67" s="75"/>
      <c r="AJ67" s="79" t="n">
        <v>3492.27</v>
      </c>
      <c r="AK67" s="75"/>
      <c r="AL67" s="107" t="n">
        <v>3383</v>
      </c>
      <c r="AM67" s="56" t="s">
        <v>20</v>
      </c>
      <c r="AN67" s="80" t="n">
        <f aca="false">IF(L67=0,0,Z67/L67)</f>
        <v>0.408645590694064</v>
      </c>
      <c r="AO67" s="81" t="str">
        <f aca="false">IF(AN67="","",IF(AN67&gt;=0.9,"🟢",IF(AN67&gt;=0.7,"🟡",IF(AN67&gt;=0.5,"🟠","🔴"))))</f>
        <v>🔴</v>
      </c>
      <c r="AP67" s="82" t="n">
        <f aca="false">IF(L67=0,0,L67-Z67)</f>
        <v>9949.26</v>
      </c>
      <c r="AQ67" s="83" t="n">
        <f aca="false">IF(AP67=0,"",RANK(AP67,AP$4:AP$503,0))</f>
        <v>61</v>
      </c>
      <c r="AR67" s="84" t="s">
        <v>20</v>
      </c>
      <c r="AS67" s="141"/>
      <c r="AT67" s="141"/>
      <c r="AU67" s="141"/>
      <c r="AV67" s="141"/>
      <c r="AW67" s="141"/>
      <c r="AX67" s="141"/>
      <c r="AY67" s="142"/>
      <c r="AZ67" s="142"/>
      <c r="BA67" s="56" t="s">
        <v>20</v>
      </c>
      <c r="BB67" s="91" t="n">
        <f aca="false">SUM(L$4:L$503)/COUNTA(A$4:A$503)</f>
        <v>9494.39992</v>
      </c>
      <c r="BC67" s="92" t="n">
        <f aca="false">SUM(M$4:M$503)/COUNTA(A$4:A$503)</f>
        <v>667.20008</v>
      </c>
      <c r="BD67" s="92" t="n">
        <f aca="false">SUM(N$4:N$503)/COUNTA(A$4:A$503)</f>
        <v>697.19996</v>
      </c>
      <c r="BE67" s="92" t="n">
        <f aca="false">SUM(O$4:O$503)/COUNTA(A$4:A$503)</f>
        <v>713.9999</v>
      </c>
      <c r="BF67" s="92" t="n">
        <f aca="false">SUM(P$4:P$503)/COUNTA(A$4:A$503)</f>
        <v>732.59984</v>
      </c>
      <c r="BG67" s="92" t="n">
        <f aca="false">SUM(Q$4:Q$503)/COUNTA(A$4:A$503)</f>
        <v>756.59992</v>
      </c>
      <c r="BH67" s="92" t="n">
        <f aca="false">SUM(R$4:R$503)/COUNTA(A$4:A$503)</f>
        <v>776.40004</v>
      </c>
      <c r="BI67" s="92" t="n">
        <f aca="false">SUM(S$4:S$503)/COUNTA(A$4:A$503)</f>
        <v>806.40012</v>
      </c>
      <c r="BJ67" s="92" t="n">
        <f aca="false">SUM(T$4:T$503)/COUNTA(A$4:A$503)</f>
        <v>826.1999</v>
      </c>
      <c r="BK67" s="92" t="n">
        <f aca="false">SUM(U$4:U$503)/COUNTA(A$4:A$503)</f>
        <v>844.8002</v>
      </c>
      <c r="BL67" s="92" t="n">
        <f aca="false">SUM(V$4:V$503)/COUNTA(A$4:A$503)</f>
        <v>865.7998</v>
      </c>
      <c r="BM67" s="92" t="n">
        <f aca="false">SUM(W$4:W$503)/COUNTA(A$4:A$503)</f>
        <v>888.59982</v>
      </c>
      <c r="BN67" s="93" t="n">
        <f aca="false">SUM(X$4:X$503)/COUNTA(A$4:A$503)</f>
        <v>918.60034</v>
      </c>
      <c r="BO67" s="94" t="s">
        <v>20</v>
      </c>
      <c r="BP67" s="91" t="n">
        <f aca="false">IF(Z67&gt;=BB67,0,IFERROR(BB67+(SUMPRODUCT((Z$4:Z$503&gt;=BB$4:BB$503)*(Z$4:Z$503-BB$4:BB$503))/MAX(1,COUNTIF(Z$4:Z$503,"&lt;"&amp;BB67+0.01))),BB67))</f>
        <v>10695.5432177778</v>
      </c>
      <c r="BQ67" s="92" t="n">
        <f aca="false">IF(AA67&gt;=BC67,0,IFERROR(BC67+SUMPRODUCT((AA$4:AA$503&gt;=BC$4:BC$503)*(AA$4:AA$503-BC$4:BC$503))/MAX(1,COUNTIF(AA$4:AA$503,"&lt;"&amp;BC67+0.01)),BC67))</f>
        <v>2238.46589176471</v>
      </c>
      <c r="BR67" s="92" t="n">
        <f aca="false">IF(AB67&gt;=BD67,0,IFERROR(BD67+SUMPRODUCT((AB$4:AB$503&gt;=BD$4:BD$503)*(AB$4:AB$503-BD$4:BD$503))/MAX(1,COUNTIF(AB$4:AB$503,"&lt;"&amp;BD67+0.01)),BD67))</f>
        <v>3335.2938</v>
      </c>
      <c r="BS67" s="92" t="n">
        <f aca="false">IF(AC67&gt;=BE67,0,IFERROR(BE67+SUMPRODUCT((AC$4:AC$503&gt;=BE$4:BE$503)*(AC$4:AC$503-BE$4:BE$503))/MAX(1,COUNTIF(AC$4:AC$503,"&lt;"&amp;BE67+0.01)),BE67))</f>
        <v>6188.73352</v>
      </c>
      <c r="BT67" s="92" t="n">
        <f aca="false">IF(AD67&gt;=BF67,0,IFERROR(BF67+SUMPRODUCT((AD$4:AD$503&gt;=BF$4:BF$503)*(AD$4:AD$503-BF$4:BF$503))/MAX(1,COUNTIF(AD$4:AD$503,"&lt;"&amp;BF67+0.01)),BF67))</f>
        <v>11354.35411</v>
      </c>
      <c r="BU67" s="92" t="n">
        <f aca="false">IF(AE67&gt;=BG67,0,IFERROR(BG67+SUMPRODUCT((AE$4:AE$503&gt;=BG$4:BG$503)*(AE$4:AE$503-BG$4:BG$503))/MAX(1,COUNTIF(AE$4:AE$503,"&lt;"&amp;BG67+0.01)),BG67))</f>
        <v>7704.85920380952</v>
      </c>
      <c r="BV67" s="92" t="n">
        <f aca="false">IF(AF67&gt;=BH67,0,IFERROR(BH67+SUMPRODUCT((AF$4:AF$503&gt;=BH$4:BH$503)*(AF$4:AF$503-BH$4:BH$503))/MAX(1,COUNTIF(AF$4:AF$503,"&lt;"&amp;BH67+0.01)),BH67))</f>
        <v>9942.6503831579</v>
      </c>
      <c r="BW67" s="92" t="n">
        <f aca="false">IF(AG67&gt;=BI67,0,IFERROR(BI67+SUMPRODUCT((AG$4:AG$503&gt;=BI$4:BI$503)*(AG$4:AG$503-BI$4:BI$503))/MAX(1,COUNTIF(AG$4:AG$503,"&lt;"&amp;BI67+0.01)),BI67))</f>
        <v>9142.15870461538</v>
      </c>
      <c r="BX67" s="92" t="n">
        <f aca="false">IF(AH67&gt;=BJ67,0,IFERROR(BJ67+SUMPRODUCT((AH$4:AH$503&gt;=BJ$4:BJ$503)*(AH$4:AH$503-BJ$4:BJ$503))/MAX(1,COUNTIF(AH$4:AH$503,"&lt;"&amp;BJ67+0.01)),BJ67))</f>
        <v>5621.50263448276</v>
      </c>
      <c r="BY67" s="92" t="n">
        <f aca="false">IF(AI67&gt;=BK67,0,IFERROR(BK67+SUMPRODUCT((AI$4:AI$503&gt;=BK$4:BK$503)*(AI$4:AI$503-BK$4:BK$503))/MAX(1,COUNTIF(AI$4:AI$503,"&lt;"&amp;BK67+0.01)),BK67))</f>
        <v>7878.25652380952</v>
      </c>
      <c r="BZ67" s="92" t="n">
        <f aca="false">IF(AJ67&gt;=BL67,0,IFERROR(BL67+SUMPRODUCT((AJ$4:AJ$503&gt;=BL$4:BL$503)*(AJ$4:AJ$503-BL$4:BL$503))/MAX(1,COUNTIF(AJ$4:AJ$503,"&lt;"&amp;BL67+0.01)),BL67))</f>
        <v>0</v>
      </c>
      <c r="CA67" s="92" t="n">
        <f aca="false">IF(AK67&gt;=BM67,0,IFERROR(BM67+SUMPRODUCT((AK$4:AK$503&gt;=BM$4:BM$503)*(AK$4:AK$503-BM$4:BM$503))/MAX(1,COUNTIF(AK$4:AK$503,"&lt;"&amp;BM67+0.01)),BM67))</f>
        <v>7314.89836842105</v>
      </c>
      <c r="CB67" s="93" t="n">
        <f aca="false">IF(AL67&gt;=BN67,0,IFERROR(BN67+SUMPRODUCT((AL$4:AL$503&gt;=BN$4:BN$503)*(AL$4:AL$503-BN$4:BN$503))/MAX(1,COUNTIF(AL$4:AL$503,"&lt;"&amp;BN67+0.01)),BN67))</f>
        <v>0</v>
      </c>
      <c r="CC67" s="95" t="str">
        <f aca="false">IF(AO67="🟢","VERDE",IF(AO67="🟡","AMARELO",IF(AO67="🟠","VERMELHO",IF(AO67="🔴","VERMELHO","ROXO"))))</f>
        <v>VERMELHO</v>
      </c>
      <c r="CD67" s="96" t="s">
        <v>103</v>
      </c>
      <c r="CE67" s="96" t="s">
        <v>104</v>
      </c>
    </row>
    <row r="68" customFormat="false" ht="14.25" hidden="false" customHeight="true" outlineLevel="0" collapsed="false">
      <c r="A68" s="65" t="s">
        <v>274</v>
      </c>
      <c r="B68" s="66" t="s">
        <v>275</v>
      </c>
      <c r="C68" s="66" t="s">
        <v>276</v>
      </c>
      <c r="D68" s="68" t="s">
        <v>108</v>
      </c>
      <c r="E68" s="69" t="s">
        <v>109</v>
      </c>
      <c r="F68" s="70" t="str">
        <f aca="false">IFERROR(VLOOKUP(C68,$AS$3:$AT$10,2,FALSE()),IFERROR(VLOOKUP(C68,$AS$15:$AT$22,2,FALSE()),""))</f>
        <v/>
      </c>
      <c r="G68" s="71" t="str">
        <f aca="false">IFERROR(VLOOKUP(C68,$AS$3:$AX$10,6,FALSE()),IFERROR(VLOOKUP(C68,$AS$15:$AX$22,6,FALSE()),""))</f>
        <v/>
      </c>
      <c r="H68" s="72" t="str">
        <f aca="false">IFERROR(VLOOKUP(C68,$AS$3:$AY$10,7,FALSE()),IFERROR(VLOOKUP(C68,$AS$15:$AY$22,7,FALSE()),""))</f>
        <v/>
      </c>
      <c r="I68" s="72" t="str">
        <f aca="false">IFERROR(VLOOKUP(C68,$AS$3:$AZ$10,8,FALSE()),IFERROR(VLOOKUP(C68,$AS$15:$AZ$22,8,FALSE()),""))</f>
        <v/>
      </c>
      <c r="J68" s="73"/>
      <c r="K68" s="69" t="s">
        <v>107</v>
      </c>
      <c r="L68" s="74" t="n">
        <v>16536.56</v>
      </c>
      <c r="M68" s="75" t="n">
        <v>1162.07</v>
      </c>
      <c r="N68" s="75" t="n">
        <v>1214.33</v>
      </c>
      <c r="O68" s="75" t="n">
        <v>1243.59</v>
      </c>
      <c r="P68" s="75" t="n">
        <v>1275.98</v>
      </c>
      <c r="Q68" s="75" t="n">
        <v>1317.78</v>
      </c>
      <c r="R68" s="75" t="n">
        <v>1352.27</v>
      </c>
      <c r="S68" s="75" t="n">
        <v>1404.52</v>
      </c>
      <c r="T68" s="75" t="n">
        <v>1439.01</v>
      </c>
      <c r="U68" s="75" t="n">
        <v>1471.4</v>
      </c>
      <c r="V68" s="75" t="n">
        <v>1507.98</v>
      </c>
      <c r="W68" s="75" t="n">
        <v>1547.69</v>
      </c>
      <c r="X68" s="76" t="n">
        <v>1599.94</v>
      </c>
      <c r="Y68" s="77" t="s">
        <v>20</v>
      </c>
      <c r="Z68" s="78" t="n">
        <f aca="false">SUM(AA68:AL68)</f>
        <v>7148.79</v>
      </c>
      <c r="AA68" s="75"/>
      <c r="AB68" s="75"/>
      <c r="AC68" s="75"/>
      <c r="AD68" s="75"/>
      <c r="AE68" s="79" t="n">
        <v>7148.79</v>
      </c>
      <c r="AF68" s="75"/>
      <c r="AG68" s="75"/>
      <c r="AH68" s="75"/>
      <c r="AI68" s="75"/>
      <c r="AJ68" s="75"/>
      <c r="AK68" s="75"/>
      <c r="AL68" s="76"/>
      <c r="AM68" s="56" t="s">
        <v>20</v>
      </c>
      <c r="AN68" s="80" t="n">
        <f aca="false">IF(L68=0,0,Z68/L68)</f>
        <v>0.432302123295292</v>
      </c>
      <c r="AO68" s="81" t="str">
        <f aca="false">IF(AN68="","",IF(AN68&gt;=0.9,"🟢",IF(AN68&gt;=0.7,"🟡",IF(AN68&gt;=0.5,"🟠","🔴"))))</f>
        <v>🔴</v>
      </c>
      <c r="AP68" s="82" t="n">
        <f aca="false">IF(L68=0,0,L68-Z68)</f>
        <v>9387.77</v>
      </c>
      <c r="AQ68" s="83" t="n">
        <f aca="false">IF(AP68=0,"",RANK(AP68,AP$4:AP$503,0))</f>
        <v>64</v>
      </c>
      <c r="AR68" s="84" t="s">
        <v>20</v>
      </c>
      <c r="AS68" s="141"/>
      <c r="AT68" s="141"/>
      <c r="AU68" s="141"/>
      <c r="AV68" s="141"/>
      <c r="AW68" s="141"/>
      <c r="AX68" s="141"/>
      <c r="AY68" s="142"/>
      <c r="AZ68" s="142"/>
      <c r="BA68" s="56" t="s">
        <v>20</v>
      </c>
      <c r="BB68" s="91" t="n">
        <f aca="false">SUM(L$4:L$503)/COUNTA(A$4:A$503)</f>
        <v>9494.39992</v>
      </c>
      <c r="BC68" s="92" t="n">
        <f aca="false">SUM(M$4:M$503)/COUNTA(A$4:A$503)</f>
        <v>667.20008</v>
      </c>
      <c r="BD68" s="92" t="n">
        <f aca="false">SUM(N$4:N$503)/COUNTA(A$4:A$503)</f>
        <v>697.19996</v>
      </c>
      <c r="BE68" s="92" t="n">
        <f aca="false">SUM(O$4:O$503)/COUNTA(A$4:A$503)</f>
        <v>713.9999</v>
      </c>
      <c r="BF68" s="92" t="n">
        <f aca="false">SUM(P$4:P$503)/COUNTA(A$4:A$503)</f>
        <v>732.59984</v>
      </c>
      <c r="BG68" s="92" t="n">
        <f aca="false">SUM(Q$4:Q$503)/COUNTA(A$4:A$503)</f>
        <v>756.59992</v>
      </c>
      <c r="BH68" s="92" t="n">
        <f aca="false">SUM(R$4:R$503)/COUNTA(A$4:A$503)</f>
        <v>776.40004</v>
      </c>
      <c r="BI68" s="92" t="n">
        <f aca="false">SUM(S$4:S$503)/COUNTA(A$4:A$503)</f>
        <v>806.40012</v>
      </c>
      <c r="BJ68" s="92" t="n">
        <f aca="false">SUM(T$4:T$503)/COUNTA(A$4:A$503)</f>
        <v>826.1999</v>
      </c>
      <c r="BK68" s="92" t="n">
        <f aca="false">SUM(U$4:U$503)/COUNTA(A$4:A$503)</f>
        <v>844.8002</v>
      </c>
      <c r="BL68" s="92" t="n">
        <f aca="false">SUM(V$4:V$503)/COUNTA(A$4:A$503)</f>
        <v>865.7998</v>
      </c>
      <c r="BM68" s="92" t="n">
        <f aca="false">SUM(W$4:W$503)/COUNTA(A$4:A$503)</f>
        <v>888.59982</v>
      </c>
      <c r="BN68" s="93" t="n">
        <f aca="false">SUM(X$4:X$503)/COUNTA(A$4:A$503)</f>
        <v>918.60034</v>
      </c>
      <c r="BO68" s="94" t="s">
        <v>20</v>
      </c>
      <c r="BP68" s="91" t="n">
        <f aca="false">IF(Z68&gt;=BB68,0,IFERROR(BB68+(SUMPRODUCT((Z$4:Z$503&gt;=BB$4:BB$503)*(Z$4:Z$503-BB$4:BB$503))/MAX(1,COUNTIF(Z$4:Z$503,"&lt;"&amp;BB68+0.01))),BB68))</f>
        <v>10695.5432177778</v>
      </c>
      <c r="BQ68" s="92" t="n">
        <f aca="false">IF(AA68&gt;=BC68,0,IFERROR(BC68+SUMPRODUCT((AA$4:AA$503&gt;=BC$4:BC$503)*(AA$4:AA$503-BC$4:BC$503))/MAX(1,COUNTIF(AA$4:AA$503,"&lt;"&amp;BC68+0.01)),BC68))</f>
        <v>2238.46589176471</v>
      </c>
      <c r="BR68" s="92" t="n">
        <f aca="false">IF(AB68&gt;=BD68,0,IFERROR(BD68+SUMPRODUCT((AB$4:AB$503&gt;=BD$4:BD$503)*(AB$4:AB$503-BD$4:BD$503))/MAX(1,COUNTIF(AB$4:AB$503,"&lt;"&amp;BD68+0.01)),BD68))</f>
        <v>3335.2938</v>
      </c>
      <c r="BS68" s="92" t="n">
        <f aca="false">IF(AC68&gt;=BE68,0,IFERROR(BE68+SUMPRODUCT((AC$4:AC$503&gt;=BE$4:BE$503)*(AC$4:AC$503-BE$4:BE$503))/MAX(1,COUNTIF(AC$4:AC$503,"&lt;"&amp;BE68+0.01)),BE68))</f>
        <v>6188.73352</v>
      </c>
      <c r="BT68" s="92" t="n">
        <f aca="false">IF(AD68&gt;=BF68,0,IFERROR(BF68+SUMPRODUCT((AD$4:AD$503&gt;=BF$4:BF$503)*(AD$4:AD$503-BF$4:BF$503))/MAX(1,COUNTIF(AD$4:AD$503,"&lt;"&amp;BF68+0.01)),BF68))</f>
        <v>11354.35411</v>
      </c>
      <c r="BU68" s="92" t="n">
        <f aca="false">IF(AE68&gt;=BG68,0,IFERROR(BG68+SUMPRODUCT((AE$4:AE$503&gt;=BG$4:BG$503)*(AE$4:AE$503-BG$4:BG$503))/MAX(1,COUNTIF(AE$4:AE$503,"&lt;"&amp;BG68+0.01)),BG68))</f>
        <v>0</v>
      </c>
      <c r="BV68" s="92" t="n">
        <f aca="false">IF(AF68&gt;=BH68,0,IFERROR(BH68+SUMPRODUCT((AF$4:AF$503&gt;=BH$4:BH$503)*(AF$4:AF$503-BH$4:BH$503))/MAX(1,COUNTIF(AF$4:AF$503,"&lt;"&amp;BH68+0.01)),BH68))</f>
        <v>9942.6503831579</v>
      </c>
      <c r="BW68" s="92" t="n">
        <f aca="false">IF(AG68&gt;=BI68,0,IFERROR(BI68+SUMPRODUCT((AG$4:AG$503&gt;=BI$4:BI$503)*(AG$4:AG$503-BI$4:BI$503))/MAX(1,COUNTIF(AG$4:AG$503,"&lt;"&amp;BI68+0.01)),BI68))</f>
        <v>9142.15870461538</v>
      </c>
      <c r="BX68" s="92" t="n">
        <f aca="false">IF(AH68&gt;=BJ68,0,IFERROR(BJ68+SUMPRODUCT((AH$4:AH$503&gt;=BJ$4:BJ$503)*(AH$4:AH$503-BJ$4:BJ$503))/MAX(1,COUNTIF(AH$4:AH$503,"&lt;"&amp;BJ68+0.01)),BJ68))</f>
        <v>5621.50263448276</v>
      </c>
      <c r="BY68" s="92" t="n">
        <f aca="false">IF(AI68&gt;=BK68,0,IFERROR(BK68+SUMPRODUCT((AI$4:AI$503&gt;=BK$4:BK$503)*(AI$4:AI$503-BK$4:BK$503))/MAX(1,COUNTIF(AI$4:AI$503,"&lt;"&amp;BK68+0.01)),BK68))</f>
        <v>7878.25652380952</v>
      </c>
      <c r="BZ68" s="92" t="n">
        <f aca="false">IF(AJ68&gt;=BL68,0,IFERROR(BL68+SUMPRODUCT((AJ$4:AJ$503&gt;=BL$4:BL$503)*(AJ$4:AJ$503-BL$4:BL$503))/MAX(1,COUNTIF(AJ$4:AJ$503,"&lt;"&amp;BL68+0.01)),BL68))</f>
        <v>6710.03292307692</v>
      </c>
      <c r="CA68" s="92" t="n">
        <f aca="false">IF(AK68&gt;=BM68,0,IFERROR(BM68+SUMPRODUCT((AK$4:AK$503&gt;=BM$4:BM$503)*(AK$4:AK$503-BM$4:BM$503))/MAX(1,COUNTIF(AK$4:AK$503,"&lt;"&amp;BM68+0.01)),BM68))</f>
        <v>7314.89836842105</v>
      </c>
      <c r="CB68" s="93" t="n">
        <f aca="false">IF(AL68&gt;=BN68,0,IFERROR(BN68+SUMPRODUCT((AL$4:AL$503&gt;=BN$4:BN$503)*(AL$4:AL$503-BN$4:BN$503))/MAX(1,COUNTIF(AL$4:AL$503,"&lt;"&amp;BN68+0.01)),BN68))</f>
        <v>3597.2614925</v>
      </c>
      <c r="CC68" s="95" t="str">
        <f aca="false">IF(AO68="🟢","VERDE",IF(AO68="🟡","AMARELO",IF(AO68="🟠","VERMELHO",IF(AO68="🔴","VERMELHO","ROXO"))))</f>
        <v>VERMELHO</v>
      </c>
      <c r="CD68" s="96" t="s">
        <v>176</v>
      </c>
      <c r="CE68" s="96" t="s">
        <v>276</v>
      </c>
    </row>
    <row r="69" customFormat="false" ht="14.25" hidden="false" customHeight="true" outlineLevel="0" collapsed="false">
      <c r="A69" s="65" t="s">
        <v>277</v>
      </c>
      <c r="B69" s="66" t="s">
        <v>278</v>
      </c>
      <c r="C69" s="67" t="s">
        <v>158</v>
      </c>
      <c r="D69" s="68" t="s">
        <v>100</v>
      </c>
      <c r="E69" s="69" t="s">
        <v>187</v>
      </c>
      <c r="F69" s="70" t="n">
        <f aca="false">IFERROR(VLOOKUP(C69,$AS$3:$AT$10,2,FALSE()),IFERROR(VLOOKUP(C69,$AS$15:$AT$22,2,FALSE()),""))</f>
        <v>29</v>
      </c>
      <c r="G69" s="71" t="n">
        <f aca="false">IFERROR(VLOOKUP(C69,$AS$3:$AX$10,6,FALSE()),IFERROR(VLOOKUP(C69,$AS$15:$AX$22,6,FALSE()),""))</f>
        <v>0.458564072601712</v>
      </c>
      <c r="H69" s="72" t="str">
        <f aca="false">IFERROR(VLOOKUP(C69,$AS$3:$AY$10,7,FALSE()),IFERROR(VLOOKUP(C69,$AS$15:$AY$22,7,FALSE()),""))</f>
        <v>🟡 AMARELO</v>
      </c>
      <c r="I69" s="72" t="str">
        <f aca="false">IFERROR(VLOOKUP(C69,$AS$3:$AZ$10,8,FALSE()),IFERROR(VLOOKUP(C69,$AS$15:$AZ$22,8,FALSE()),""))</f>
        <v>Sell Out</v>
      </c>
      <c r="J69" s="73"/>
      <c r="K69" s="69" t="s">
        <v>158</v>
      </c>
      <c r="L69" s="74" t="n">
        <v>16420.37</v>
      </c>
      <c r="M69" s="75" t="n">
        <v>1153.91</v>
      </c>
      <c r="N69" s="75" t="n">
        <v>1205.79</v>
      </c>
      <c r="O69" s="75" t="n">
        <v>1234.85</v>
      </c>
      <c r="P69" s="75" t="n">
        <v>1267.02</v>
      </c>
      <c r="Q69" s="75" t="n">
        <v>1308.52</v>
      </c>
      <c r="R69" s="75" t="n">
        <v>1342.77</v>
      </c>
      <c r="S69" s="75" t="n">
        <v>1394.65</v>
      </c>
      <c r="T69" s="75" t="n">
        <v>1428.9</v>
      </c>
      <c r="U69" s="75" t="n">
        <v>1461.06</v>
      </c>
      <c r="V69" s="75" t="n">
        <v>1497.38</v>
      </c>
      <c r="W69" s="75" t="n">
        <v>1536.82</v>
      </c>
      <c r="X69" s="76" t="n">
        <v>1588.7</v>
      </c>
      <c r="Y69" s="77" t="s">
        <v>20</v>
      </c>
      <c r="Z69" s="78" t="n">
        <f aca="false">SUM(AA69:AL69)</f>
        <v>6828.93</v>
      </c>
      <c r="AA69" s="75"/>
      <c r="AB69" s="75"/>
      <c r="AC69" s="75"/>
      <c r="AD69" s="75"/>
      <c r="AE69" s="75"/>
      <c r="AF69" s="75"/>
      <c r="AG69" s="79" t="n">
        <v>2015.4</v>
      </c>
      <c r="AH69" s="79" t="n">
        <v>2046.8</v>
      </c>
      <c r="AI69" s="75"/>
      <c r="AJ69" s="79" t="n">
        <v>2766.73</v>
      </c>
      <c r="AK69" s="75"/>
      <c r="AL69" s="76"/>
      <c r="AM69" s="56" t="s">
        <v>20</v>
      </c>
      <c r="AN69" s="80" t="n">
        <f aca="false">IF(L69=0,0,Z69/L69)</f>
        <v>0.415881615335099</v>
      </c>
      <c r="AO69" s="81" t="str">
        <f aca="false">IF(AN69="","",IF(AN69&gt;=0.9,"🟢",IF(AN69&gt;=0.7,"🟡",IF(AN69&gt;=0.5,"🟠","🔴"))))</f>
        <v>🔴</v>
      </c>
      <c r="AP69" s="82" t="n">
        <f aca="false">IF(L69=0,0,L69-Z69)</f>
        <v>9591.44</v>
      </c>
      <c r="AQ69" s="83" t="n">
        <f aca="false">IF(AP69=0,"",RANK(AP69,AP$4:AP$503,0))</f>
        <v>62</v>
      </c>
      <c r="AR69" s="84" t="s">
        <v>20</v>
      </c>
      <c r="AS69" s="141"/>
      <c r="AT69" s="141"/>
      <c r="AU69" s="141"/>
      <c r="AV69" s="141"/>
      <c r="AW69" s="141"/>
      <c r="AX69" s="141"/>
      <c r="AY69" s="142"/>
      <c r="AZ69" s="142"/>
      <c r="BA69" s="56" t="s">
        <v>20</v>
      </c>
      <c r="BB69" s="91" t="n">
        <f aca="false">SUM(L$4:L$503)/COUNTA(A$4:A$503)</f>
        <v>9494.39992</v>
      </c>
      <c r="BC69" s="92" t="n">
        <f aca="false">SUM(M$4:M$503)/COUNTA(A$4:A$503)</f>
        <v>667.20008</v>
      </c>
      <c r="BD69" s="92" t="n">
        <f aca="false">SUM(N$4:N$503)/COUNTA(A$4:A$503)</f>
        <v>697.19996</v>
      </c>
      <c r="BE69" s="92" t="n">
        <f aca="false">SUM(O$4:O$503)/COUNTA(A$4:A$503)</f>
        <v>713.9999</v>
      </c>
      <c r="BF69" s="92" t="n">
        <f aca="false">SUM(P$4:P$503)/COUNTA(A$4:A$503)</f>
        <v>732.59984</v>
      </c>
      <c r="BG69" s="92" t="n">
        <f aca="false">SUM(Q$4:Q$503)/COUNTA(A$4:A$503)</f>
        <v>756.59992</v>
      </c>
      <c r="BH69" s="92" t="n">
        <f aca="false">SUM(R$4:R$503)/COUNTA(A$4:A$503)</f>
        <v>776.40004</v>
      </c>
      <c r="BI69" s="92" t="n">
        <f aca="false">SUM(S$4:S$503)/COUNTA(A$4:A$503)</f>
        <v>806.40012</v>
      </c>
      <c r="BJ69" s="92" t="n">
        <f aca="false">SUM(T$4:T$503)/COUNTA(A$4:A$503)</f>
        <v>826.1999</v>
      </c>
      <c r="BK69" s="92" t="n">
        <f aca="false">SUM(U$4:U$503)/COUNTA(A$4:A$503)</f>
        <v>844.8002</v>
      </c>
      <c r="BL69" s="92" t="n">
        <f aca="false">SUM(V$4:V$503)/COUNTA(A$4:A$503)</f>
        <v>865.7998</v>
      </c>
      <c r="BM69" s="92" t="n">
        <f aca="false">SUM(W$4:W$503)/COUNTA(A$4:A$503)</f>
        <v>888.59982</v>
      </c>
      <c r="BN69" s="93" t="n">
        <f aca="false">SUM(X$4:X$503)/COUNTA(A$4:A$503)</f>
        <v>918.60034</v>
      </c>
      <c r="BO69" s="94" t="s">
        <v>20</v>
      </c>
      <c r="BP69" s="91" t="n">
        <f aca="false">IF(Z69&gt;=BB69,0,IFERROR(BB69+(SUMPRODUCT((Z$4:Z$503&gt;=BB$4:BB$503)*(Z$4:Z$503-BB$4:BB$503))/MAX(1,COUNTIF(Z$4:Z$503,"&lt;"&amp;BB69+0.01))),BB69))</f>
        <v>10695.5432177778</v>
      </c>
      <c r="BQ69" s="92" t="n">
        <f aca="false">IF(AA69&gt;=BC69,0,IFERROR(BC69+SUMPRODUCT((AA$4:AA$503&gt;=BC$4:BC$503)*(AA$4:AA$503-BC$4:BC$503))/MAX(1,COUNTIF(AA$4:AA$503,"&lt;"&amp;BC69+0.01)),BC69))</f>
        <v>2238.46589176471</v>
      </c>
      <c r="BR69" s="92" t="n">
        <f aca="false">IF(AB69&gt;=BD69,0,IFERROR(BD69+SUMPRODUCT((AB$4:AB$503&gt;=BD$4:BD$503)*(AB$4:AB$503-BD$4:BD$503))/MAX(1,COUNTIF(AB$4:AB$503,"&lt;"&amp;BD69+0.01)),BD69))</f>
        <v>3335.2938</v>
      </c>
      <c r="BS69" s="92" t="n">
        <f aca="false">IF(AC69&gt;=BE69,0,IFERROR(BE69+SUMPRODUCT((AC$4:AC$503&gt;=BE$4:BE$503)*(AC$4:AC$503-BE$4:BE$503))/MAX(1,COUNTIF(AC$4:AC$503,"&lt;"&amp;BE69+0.01)),BE69))</f>
        <v>6188.73352</v>
      </c>
      <c r="BT69" s="92" t="n">
        <f aca="false">IF(AD69&gt;=BF69,0,IFERROR(BF69+SUMPRODUCT((AD$4:AD$503&gt;=BF$4:BF$503)*(AD$4:AD$503-BF$4:BF$503))/MAX(1,COUNTIF(AD$4:AD$503,"&lt;"&amp;BF69+0.01)),BF69))</f>
        <v>11354.35411</v>
      </c>
      <c r="BU69" s="92" t="n">
        <f aca="false">IF(AE69&gt;=BG69,0,IFERROR(BG69+SUMPRODUCT((AE$4:AE$503&gt;=BG$4:BG$503)*(AE$4:AE$503-BG$4:BG$503))/MAX(1,COUNTIF(AE$4:AE$503,"&lt;"&amp;BG69+0.01)),BG69))</f>
        <v>7704.85920380952</v>
      </c>
      <c r="BV69" s="92" t="n">
        <f aca="false">IF(AF69&gt;=BH69,0,IFERROR(BH69+SUMPRODUCT((AF$4:AF$503&gt;=BH$4:BH$503)*(AF$4:AF$503-BH$4:BH$503))/MAX(1,COUNTIF(AF$4:AF$503,"&lt;"&amp;BH69+0.01)),BH69))</f>
        <v>9942.6503831579</v>
      </c>
      <c r="BW69" s="92" t="n">
        <f aca="false">IF(AG69&gt;=BI69,0,IFERROR(BI69+SUMPRODUCT((AG$4:AG$503&gt;=BI$4:BI$503)*(AG$4:AG$503-BI$4:BI$503))/MAX(1,COUNTIF(AG$4:AG$503,"&lt;"&amp;BI69+0.01)),BI69))</f>
        <v>0</v>
      </c>
      <c r="BX69" s="92" t="n">
        <f aca="false">IF(AH69&gt;=BJ69,0,IFERROR(BJ69+SUMPRODUCT((AH$4:AH$503&gt;=BJ$4:BJ$503)*(AH$4:AH$503-BJ$4:BJ$503))/MAX(1,COUNTIF(AH$4:AH$503,"&lt;"&amp;BJ69+0.01)),BJ69))</f>
        <v>0</v>
      </c>
      <c r="BY69" s="92" t="n">
        <f aca="false">IF(AI69&gt;=BK69,0,IFERROR(BK69+SUMPRODUCT((AI$4:AI$503&gt;=BK$4:BK$503)*(AI$4:AI$503-BK$4:BK$503))/MAX(1,COUNTIF(AI$4:AI$503,"&lt;"&amp;BK69+0.01)),BK69))</f>
        <v>7878.25652380952</v>
      </c>
      <c r="BZ69" s="92" t="n">
        <f aca="false">IF(AJ69&gt;=BL69,0,IFERROR(BL69+SUMPRODUCT((AJ$4:AJ$503&gt;=BL$4:BL$503)*(AJ$4:AJ$503-BL$4:BL$503))/MAX(1,COUNTIF(AJ$4:AJ$503,"&lt;"&amp;BL69+0.01)),BL69))</f>
        <v>0</v>
      </c>
      <c r="CA69" s="92" t="n">
        <f aca="false">IF(AK69&gt;=BM69,0,IFERROR(BM69+SUMPRODUCT((AK$4:AK$503&gt;=BM$4:BM$503)*(AK$4:AK$503-BM$4:BM$503))/MAX(1,COUNTIF(AK$4:AK$503,"&lt;"&amp;BM69+0.01)),BM69))</f>
        <v>7314.89836842105</v>
      </c>
      <c r="CB69" s="93" t="n">
        <f aca="false">IF(AL69&gt;=BN69,0,IFERROR(BN69+SUMPRODUCT((AL$4:AL$503&gt;=BN$4:BN$503)*(AL$4:AL$503-BN$4:BN$503))/MAX(1,COUNTIF(AL$4:AL$503,"&lt;"&amp;BN69+0.01)),BN69))</f>
        <v>3597.2614925</v>
      </c>
      <c r="CC69" s="95" t="str">
        <f aca="false">IF(AO69="🟢","VERDE",IF(AO69="🟡","AMARELO",IF(AO69="🟠","VERMELHO",IF(AO69="🔴","VERMELHO","ROXO"))))</f>
        <v>VERMELHO</v>
      </c>
      <c r="CD69" s="96" t="s">
        <v>103</v>
      </c>
      <c r="CE69" s="96" t="s">
        <v>104</v>
      </c>
    </row>
    <row r="70" customFormat="false" ht="14.25" hidden="false" customHeight="true" outlineLevel="0" collapsed="false">
      <c r="A70" s="65" t="s">
        <v>279</v>
      </c>
      <c r="B70" s="66" t="s">
        <v>280</v>
      </c>
      <c r="C70" s="67" t="s">
        <v>99</v>
      </c>
      <c r="D70" s="68" t="s">
        <v>100</v>
      </c>
      <c r="E70" s="69" t="s">
        <v>281</v>
      </c>
      <c r="F70" s="70" t="n">
        <f aca="false">IFERROR(VLOOKUP(C70,$AS$3:$AT$10,2,FALSE()),IFERROR(VLOOKUP(C70,$AS$15:$AT$22,2,FALSE()),""))</f>
        <v>33</v>
      </c>
      <c r="G70" s="71" t="n">
        <f aca="false">IFERROR(VLOOKUP(C70,$AS$3:$AX$10,6,FALSE()),IFERROR(VLOOKUP(C70,$AS$15:$AX$22,6,FALSE()),""))</f>
        <v>0.341494038351172</v>
      </c>
      <c r="H70" s="72" t="str">
        <f aca="false">IFERROR(VLOOKUP(C70,$AS$3:$AY$10,7,FALSE()),IFERROR(VLOOKUP(C70,$AS$15:$AY$22,7,FALSE()),""))</f>
        <v>🔴 VERMELHO</v>
      </c>
      <c r="I70" s="72" t="str">
        <f aca="false">IFERROR(VLOOKUP(C70,$AS$3:$AZ$10,8,FALSE()),IFERROR(VLOOKUP(C70,$AS$15:$AZ$22,8,FALSE()),""))</f>
        <v>Positivação + Expandir</v>
      </c>
      <c r="J70" s="73"/>
      <c r="K70" s="69" t="s">
        <v>99</v>
      </c>
      <c r="L70" s="74" t="n">
        <v>16110.67</v>
      </c>
      <c r="M70" s="75" t="n">
        <v>1132.14</v>
      </c>
      <c r="N70" s="75" t="n">
        <v>1183.05</v>
      </c>
      <c r="O70" s="75" t="n">
        <v>1211.56</v>
      </c>
      <c r="P70" s="75" t="n">
        <v>1243.12</v>
      </c>
      <c r="Q70" s="75" t="n">
        <v>1283.84</v>
      </c>
      <c r="R70" s="75" t="n">
        <v>1317.44</v>
      </c>
      <c r="S70" s="75" t="n">
        <v>1368.35</v>
      </c>
      <c r="T70" s="75" t="n">
        <v>1401.95</v>
      </c>
      <c r="U70" s="75" t="n">
        <v>1433.51</v>
      </c>
      <c r="V70" s="75" t="n">
        <v>1469.14</v>
      </c>
      <c r="W70" s="75" t="n">
        <v>1507.83</v>
      </c>
      <c r="X70" s="76" t="n">
        <v>1558.74</v>
      </c>
      <c r="Y70" s="77" t="s">
        <v>20</v>
      </c>
      <c r="Z70" s="78" t="n">
        <f aca="false">SUM(AA70:AL70)</f>
        <v>7357.32</v>
      </c>
      <c r="AA70" s="75"/>
      <c r="AB70" s="75"/>
      <c r="AC70" s="79" t="n">
        <v>3550.17</v>
      </c>
      <c r="AD70" s="75"/>
      <c r="AE70" s="75"/>
      <c r="AF70" s="79" t="n">
        <v>1793.17</v>
      </c>
      <c r="AG70" s="75"/>
      <c r="AH70" s="75"/>
      <c r="AI70" s="79" t="n">
        <v>2013.98</v>
      </c>
      <c r="AJ70" s="75"/>
      <c r="AK70" s="75"/>
      <c r="AL70" s="76"/>
      <c r="AM70" s="56" t="s">
        <v>20</v>
      </c>
      <c r="AN70" s="80" t="n">
        <f aca="false">IF(L70=0,0,Z70/L70)</f>
        <v>0.456673744791495</v>
      </c>
      <c r="AO70" s="81" t="str">
        <f aca="false">IF(AN70="","",IF(AN70&gt;=0.9,"🟢",IF(AN70&gt;=0.7,"🟡",IF(AN70&gt;=0.5,"🟠","🔴"))))</f>
        <v>🔴</v>
      </c>
      <c r="AP70" s="82" t="n">
        <f aca="false">IF(L70=0,0,L70-Z70)</f>
        <v>8753.35</v>
      </c>
      <c r="AQ70" s="83" t="n">
        <f aca="false">IF(AP70=0,"",RANK(AP70,AP$4:AP$503,0))</f>
        <v>68</v>
      </c>
      <c r="AR70" s="84" t="s">
        <v>20</v>
      </c>
      <c r="AS70" s="141"/>
      <c r="AT70" s="141"/>
      <c r="AU70" s="141"/>
      <c r="AV70" s="141"/>
      <c r="AW70" s="141"/>
      <c r="AX70" s="141"/>
      <c r="AY70" s="142"/>
      <c r="AZ70" s="142"/>
      <c r="BA70" s="56" t="s">
        <v>20</v>
      </c>
      <c r="BB70" s="91" t="n">
        <f aca="false">SUM(L$4:L$503)/COUNTA(A$4:A$503)</f>
        <v>9494.39992</v>
      </c>
      <c r="BC70" s="92" t="n">
        <f aca="false">SUM(M$4:M$503)/COUNTA(A$4:A$503)</f>
        <v>667.20008</v>
      </c>
      <c r="BD70" s="92" t="n">
        <f aca="false">SUM(N$4:N$503)/COUNTA(A$4:A$503)</f>
        <v>697.19996</v>
      </c>
      <c r="BE70" s="92" t="n">
        <f aca="false">SUM(O$4:O$503)/COUNTA(A$4:A$503)</f>
        <v>713.9999</v>
      </c>
      <c r="BF70" s="92" t="n">
        <f aca="false">SUM(P$4:P$503)/COUNTA(A$4:A$503)</f>
        <v>732.59984</v>
      </c>
      <c r="BG70" s="92" t="n">
        <f aca="false">SUM(Q$4:Q$503)/COUNTA(A$4:A$503)</f>
        <v>756.59992</v>
      </c>
      <c r="BH70" s="92" t="n">
        <f aca="false">SUM(R$4:R$503)/COUNTA(A$4:A$503)</f>
        <v>776.40004</v>
      </c>
      <c r="BI70" s="92" t="n">
        <f aca="false">SUM(S$4:S$503)/COUNTA(A$4:A$503)</f>
        <v>806.40012</v>
      </c>
      <c r="BJ70" s="92" t="n">
        <f aca="false">SUM(T$4:T$503)/COUNTA(A$4:A$503)</f>
        <v>826.1999</v>
      </c>
      <c r="BK70" s="92" t="n">
        <f aca="false">SUM(U$4:U$503)/COUNTA(A$4:A$503)</f>
        <v>844.8002</v>
      </c>
      <c r="BL70" s="92" t="n">
        <f aca="false">SUM(V$4:V$503)/COUNTA(A$4:A$503)</f>
        <v>865.7998</v>
      </c>
      <c r="BM70" s="92" t="n">
        <f aca="false">SUM(W$4:W$503)/COUNTA(A$4:A$503)</f>
        <v>888.59982</v>
      </c>
      <c r="BN70" s="93" t="n">
        <f aca="false">SUM(X$4:X$503)/COUNTA(A$4:A$503)</f>
        <v>918.60034</v>
      </c>
      <c r="BO70" s="94" t="s">
        <v>20</v>
      </c>
      <c r="BP70" s="91" t="n">
        <f aca="false">IF(Z70&gt;=BB70,0,IFERROR(BB70+(SUMPRODUCT((Z$4:Z$503&gt;=BB$4:BB$503)*(Z$4:Z$503-BB$4:BB$503))/MAX(1,COUNTIF(Z$4:Z$503,"&lt;"&amp;BB70+0.01))),BB70))</f>
        <v>10695.5432177778</v>
      </c>
      <c r="BQ70" s="92" t="n">
        <f aca="false">IF(AA70&gt;=BC70,0,IFERROR(BC70+SUMPRODUCT((AA$4:AA$503&gt;=BC$4:BC$503)*(AA$4:AA$503-BC$4:BC$503))/MAX(1,COUNTIF(AA$4:AA$503,"&lt;"&amp;BC70+0.01)),BC70))</f>
        <v>2238.46589176471</v>
      </c>
      <c r="BR70" s="92" t="n">
        <f aca="false">IF(AB70&gt;=BD70,0,IFERROR(BD70+SUMPRODUCT((AB$4:AB$503&gt;=BD$4:BD$503)*(AB$4:AB$503-BD$4:BD$503))/MAX(1,COUNTIF(AB$4:AB$503,"&lt;"&amp;BD70+0.01)),BD70))</f>
        <v>3335.2938</v>
      </c>
      <c r="BS70" s="92" t="n">
        <f aca="false">IF(AC70&gt;=BE70,0,IFERROR(BE70+SUMPRODUCT((AC$4:AC$503&gt;=BE$4:BE$503)*(AC$4:AC$503-BE$4:BE$503))/MAX(1,COUNTIF(AC$4:AC$503,"&lt;"&amp;BE70+0.01)),BE70))</f>
        <v>0</v>
      </c>
      <c r="BT70" s="92" t="n">
        <f aca="false">IF(AD70&gt;=BF70,0,IFERROR(BF70+SUMPRODUCT((AD$4:AD$503&gt;=BF$4:BF$503)*(AD$4:AD$503-BF$4:BF$503))/MAX(1,COUNTIF(AD$4:AD$503,"&lt;"&amp;BF70+0.01)),BF70))</f>
        <v>11354.35411</v>
      </c>
      <c r="BU70" s="92" t="n">
        <f aca="false">IF(AE70&gt;=BG70,0,IFERROR(BG70+SUMPRODUCT((AE$4:AE$503&gt;=BG$4:BG$503)*(AE$4:AE$503-BG$4:BG$503))/MAX(1,COUNTIF(AE$4:AE$503,"&lt;"&amp;BG70+0.01)),BG70))</f>
        <v>7704.85920380952</v>
      </c>
      <c r="BV70" s="92" t="n">
        <f aca="false">IF(AF70&gt;=BH70,0,IFERROR(BH70+SUMPRODUCT((AF$4:AF$503&gt;=BH$4:BH$503)*(AF$4:AF$503-BH$4:BH$503))/MAX(1,COUNTIF(AF$4:AF$503,"&lt;"&amp;BH70+0.01)),BH70))</f>
        <v>0</v>
      </c>
      <c r="BW70" s="92" t="n">
        <f aca="false">IF(AG70&gt;=BI70,0,IFERROR(BI70+SUMPRODUCT((AG$4:AG$503&gt;=BI$4:BI$503)*(AG$4:AG$503-BI$4:BI$503))/MAX(1,COUNTIF(AG$4:AG$503,"&lt;"&amp;BI70+0.01)),BI70))</f>
        <v>9142.15870461538</v>
      </c>
      <c r="BX70" s="92" t="n">
        <f aca="false">IF(AH70&gt;=BJ70,0,IFERROR(BJ70+SUMPRODUCT((AH$4:AH$503&gt;=BJ$4:BJ$503)*(AH$4:AH$503-BJ$4:BJ$503))/MAX(1,COUNTIF(AH$4:AH$503,"&lt;"&amp;BJ70+0.01)),BJ70))</f>
        <v>5621.50263448276</v>
      </c>
      <c r="BY70" s="92" t="n">
        <f aca="false">IF(AI70&gt;=BK70,0,IFERROR(BK70+SUMPRODUCT((AI$4:AI$503&gt;=BK$4:BK$503)*(AI$4:AI$503-BK$4:BK$503))/MAX(1,COUNTIF(AI$4:AI$503,"&lt;"&amp;BK70+0.01)),BK70))</f>
        <v>0</v>
      </c>
      <c r="BZ70" s="92" t="n">
        <f aca="false">IF(AJ70&gt;=BL70,0,IFERROR(BL70+SUMPRODUCT((AJ$4:AJ$503&gt;=BL$4:BL$503)*(AJ$4:AJ$503-BL$4:BL$503))/MAX(1,COUNTIF(AJ$4:AJ$503,"&lt;"&amp;BL70+0.01)),BL70))</f>
        <v>6710.03292307692</v>
      </c>
      <c r="CA70" s="92" t="n">
        <f aca="false">IF(AK70&gt;=BM70,0,IFERROR(BM70+SUMPRODUCT((AK$4:AK$503&gt;=BM$4:BM$503)*(AK$4:AK$503-BM$4:BM$503))/MAX(1,COUNTIF(AK$4:AK$503,"&lt;"&amp;BM70+0.01)),BM70))</f>
        <v>7314.89836842105</v>
      </c>
      <c r="CB70" s="93" t="n">
        <f aca="false">IF(AL70&gt;=BN70,0,IFERROR(BN70+SUMPRODUCT((AL$4:AL$503&gt;=BN$4:BN$503)*(AL$4:AL$503-BN$4:BN$503))/MAX(1,COUNTIF(AL$4:AL$503,"&lt;"&amp;BN70+0.01)),BN70))</f>
        <v>3597.2614925</v>
      </c>
      <c r="CC70" s="95" t="str">
        <f aca="false">IF(AO70="🟢","VERDE",IF(AO70="🟡","AMARELO",IF(AO70="🟠","VERMELHO",IF(AO70="🔴","VERMELHO","ROXO"))))</f>
        <v>VERMELHO</v>
      </c>
      <c r="CD70" s="96" t="s">
        <v>103</v>
      </c>
      <c r="CE70" s="96" t="s">
        <v>104</v>
      </c>
    </row>
    <row r="71" customFormat="false" ht="14.25" hidden="false" customHeight="true" outlineLevel="0" collapsed="false">
      <c r="A71" s="65" t="s">
        <v>282</v>
      </c>
      <c r="B71" s="66" t="s">
        <v>283</v>
      </c>
      <c r="C71" s="67" t="s">
        <v>113</v>
      </c>
      <c r="D71" s="68" t="s">
        <v>100</v>
      </c>
      <c r="E71" s="69" t="s">
        <v>250</v>
      </c>
      <c r="F71" s="70" t="n">
        <f aca="false">IFERROR(VLOOKUP(C71,$AS$3:$AT$10,2,FALSE()),IFERROR(VLOOKUP(C71,$AS$15:$AT$22,2,FALSE()),""))</f>
        <v>49</v>
      </c>
      <c r="G71" s="71" t="n">
        <f aca="false">IFERROR(VLOOKUP(C71,$AS$3:$AX$10,6,FALSE()),IFERROR(VLOOKUP(C71,$AS$15:$AX$22,6,FALSE()),""))</f>
        <v>0.463965086137302</v>
      </c>
      <c r="H71" s="72" t="str">
        <f aca="false">IFERROR(VLOOKUP(C71,$AS$3:$AY$10,7,FALSE()),IFERROR(VLOOKUP(C71,$AS$15:$AY$22,7,FALSE()),""))</f>
        <v>🟡 AMARELO</v>
      </c>
      <c r="I71" s="72" t="str">
        <f aca="false">IFERROR(VLOOKUP(C71,$AS$3:$AZ$10,8,FALSE()),IFERROR(VLOOKUP(C71,$AS$15:$AZ$22,8,FALSE()),""))</f>
        <v>Sell Out</v>
      </c>
      <c r="J71" s="73"/>
      <c r="K71" s="69" t="s">
        <v>113</v>
      </c>
      <c r="L71" s="74" t="n">
        <v>15962.67</v>
      </c>
      <c r="M71" s="75" t="n">
        <v>1121.74</v>
      </c>
      <c r="N71" s="75" t="n">
        <v>1172.18</v>
      </c>
      <c r="O71" s="75" t="n">
        <v>1200.43</v>
      </c>
      <c r="P71" s="75" t="n">
        <v>1231.7</v>
      </c>
      <c r="Q71" s="75" t="n">
        <v>1272.05</v>
      </c>
      <c r="R71" s="75" t="n">
        <v>1305.34</v>
      </c>
      <c r="S71" s="75" t="n">
        <v>1355.78</v>
      </c>
      <c r="T71" s="75" t="n">
        <v>1389.07</v>
      </c>
      <c r="U71" s="75" t="n">
        <v>1420.34</v>
      </c>
      <c r="V71" s="75" t="n">
        <v>1455.64</v>
      </c>
      <c r="W71" s="75" t="n">
        <v>1493.98</v>
      </c>
      <c r="X71" s="76" t="n">
        <v>1544.42</v>
      </c>
      <c r="Y71" s="77" t="s">
        <v>20</v>
      </c>
      <c r="Z71" s="78" t="n">
        <f aca="false">SUM(AA71:AL71)</f>
        <v>6552.24</v>
      </c>
      <c r="AA71" s="75"/>
      <c r="AB71" s="75"/>
      <c r="AC71" s="79" t="n">
        <v>696.46</v>
      </c>
      <c r="AD71" s="75"/>
      <c r="AE71" s="79" t="n">
        <v>1222.97</v>
      </c>
      <c r="AF71" s="75"/>
      <c r="AG71" s="79" t="n">
        <v>1267.05</v>
      </c>
      <c r="AH71" s="75"/>
      <c r="AI71" s="79" t="n">
        <v>1572.57</v>
      </c>
      <c r="AJ71" s="79" t="n">
        <v>1793.19</v>
      </c>
      <c r="AK71" s="75"/>
      <c r="AL71" s="76"/>
      <c r="AM71" s="56" t="s">
        <v>20</v>
      </c>
      <c r="AN71" s="80" t="n">
        <f aca="false">IF(L71=0,0,Z71/L71)</f>
        <v>0.410472684081047</v>
      </c>
      <c r="AO71" s="81" t="str">
        <f aca="false">IF(AN71="","",IF(AN71&gt;=0.9,"🟢",IF(AN71&gt;=0.7,"🟡",IF(AN71&gt;=0.5,"🟠","🔴"))))</f>
        <v>🔴</v>
      </c>
      <c r="AP71" s="82" t="n">
        <f aca="false">IF(L71=0,0,L71-Z71)</f>
        <v>9410.43</v>
      </c>
      <c r="AQ71" s="83" t="n">
        <f aca="false">IF(AP71=0,"",RANK(AP71,AP$4:AP$503,0))</f>
        <v>63</v>
      </c>
      <c r="AR71" s="84" t="s">
        <v>20</v>
      </c>
      <c r="AS71" s="141"/>
      <c r="AT71" s="141"/>
      <c r="AU71" s="141"/>
      <c r="AV71" s="141"/>
      <c r="AW71" s="141"/>
      <c r="AX71" s="141"/>
      <c r="AY71" s="142"/>
      <c r="AZ71" s="142"/>
      <c r="BA71" s="56" t="s">
        <v>20</v>
      </c>
      <c r="BB71" s="91" t="n">
        <f aca="false">SUM(L$4:L$503)/COUNTA(A$4:A$503)</f>
        <v>9494.39992</v>
      </c>
      <c r="BC71" s="92" t="n">
        <f aca="false">SUM(M$4:M$503)/COUNTA(A$4:A$503)</f>
        <v>667.20008</v>
      </c>
      <c r="BD71" s="92" t="n">
        <f aca="false">SUM(N$4:N$503)/COUNTA(A$4:A$503)</f>
        <v>697.19996</v>
      </c>
      <c r="BE71" s="92" t="n">
        <f aca="false">SUM(O$4:O$503)/COUNTA(A$4:A$503)</f>
        <v>713.9999</v>
      </c>
      <c r="BF71" s="92" t="n">
        <f aca="false">SUM(P$4:P$503)/COUNTA(A$4:A$503)</f>
        <v>732.59984</v>
      </c>
      <c r="BG71" s="92" t="n">
        <f aca="false">SUM(Q$4:Q$503)/COUNTA(A$4:A$503)</f>
        <v>756.59992</v>
      </c>
      <c r="BH71" s="92" t="n">
        <f aca="false">SUM(R$4:R$503)/COUNTA(A$4:A$503)</f>
        <v>776.40004</v>
      </c>
      <c r="BI71" s="92" t="n">
        <f aca="false">SUM(S$4:S$503)/COUNTA(A$4:A$503)</f>
        <v>806.40012</v>
      </c>
      <c r="BJ71" s="92" t="n">
        <f aca="false">SUM(T$4:T$503)/COUNTA(A$4:A$503)</f>
        <v>826.1999</v>
      </c>
      <c r="BK71" s="92" t="n">
        <f aca="false">SUM(U$4:U$503)/COUNTA(A$4:A$503)</f>
        <v>844.8002</v>
      </c>
      <c r="BL71" s="92" t="n">
        <f aca="false">SUM(V$4:V$503)/COUNTA(A$4:A$503)</f>
        <v>865.7998</v>
      </c>
      <c r="BM71" s="92" t="n">
        <f aca="false">SUM(W$4:W$503)/COUNTA(A$4:A$503)</f>
        <v>888.59982</v>
      </c>
      <c r="BN71" s="93" t="n">
        <f aca="false">SUM(X$4:X$503)/COUNTA(A$4:A$503)</f>
        <v>918.60034</v>
      </c>
      <c r="BO71" s="94" t="s">
        <v>20</v>
      </c>
      <c r="BP71" s="91" t="n">
        <f aca="false">IF(Z71&gt;=BB71,0,IFERROR(BB71+(SUMPRODUCT((Z$4:Z$503&gt;=BB$4:BB$503)*(Z$4:Z$503-BB$4:BB$503))/MAX(1,COUNTIF(Z$4:Z$503,"&lt;"&amp;BB71+0.01))),BB71))</f>
        <v>10695.5432177778</v>
      </c>
      <c r="BQ71" s="92" t="n">
        <f aca="false">IF(AA71&gt;=BC71,0,IFERROR(BC71+SUMPRODUCT((AA$4:AA$503&gt;=BC$4:BC$503)*(AA$4:AA$503-BC$4:BC$503))/MAX(1,COUNTIF(AA$4:AA$503,"&lt;"&amp;BC71+0.01)),BC71))</f>
        <v>2238.46589176471</v>
      </c>
      <c r="BR71" s="92" t="n">
        <f aca="false">IF(AB71&gt;=BD71,0,IFERROR(BD71+SUMPRODUCT((AB$4:AB$503&gt;=BD$4:BD$503)*(AB$4:AB$503-BD$4:BD$503))/MAX(1,COUNTIF(AB$4:AB$503,"&lt;"&amp;BD71+0.01)),BD71))</f>
        <v>3335.2938</v>
      </c>
      <c r="BS71" s="92" t="n">
        <f aca="false">IF(AC71&gt;=BE71,0,IFERROR(BE71+SUMPRODUCT((AC$4:AC$503&gt;=BE$4:BE$503)*(AC$4:AC$503-BE$4:BE$503))/MAX(1,COUNTIF(AC$4:AC$503,"&lt;"&amp;BE71+0.01)),BE71))</f>
        <v>6188.73352</v>
      </c>
      <c r="BT71" s="92" t="n">
        <f aca="false">IF(AD71&gt;=BF71,0,IFERROR(BF71+SUMPRODUCT((AD$4:AD$503&gt;=BF$4:BF$503)*(AD$4:AD$503-BF$4:BF$503))/MAX(1,COUNTIF(AD$4:AD$503,"&lt;"&amp;BF71+0.01)),BF71))</f>
        <v>11354.35411</v>
      </c>
      <c r="BU71" s="92" t="n">
        <f aca="false">IF(AE71&gt;=BG71,0,IFERROR(BG71+SUMPRODUCT((AE$4:AE$503&gt;=BG$4:BG$503)*(AE$4:AE$503-BG$4:BG$503))/MAX(1,COUNTIF(AE$4:AE$503,"&lt;"&amp;BG71+0.01)),BG71))</f>
        <v>0</v>
      </c>
      <c r="BV71" s="92" t="n">
        <f aca="false">IF(AF71&gt;=BH71,0,IFERROR(BH71+SUMPRODUCT((AF$4:AF$503&gt;=BH$4:BH$503)*(AF$4:AF$503-BH$4:BH$503))/MAX(1,COUNTIF(AF$4:AF$503,"&lt;"&amp;BH71+0.01)),BH71))</f>
        <v>9942.6503831579</v>
      </c>
      <c r="BW71" s="92" t="n">
        <f aca="false">IF(AG71&gt;=BI71,0,IFERROR(BI71+SUMPRODUCT((AG$4:AG$503&gt;=BI$4:BI$503)*(AG$4:AG$503-BI$4:BI$503))/MAX(1,COUNTIF(AG$4:AG$503,"&lt;"&amp;BI71+0.01)),BI71))</f>
        <v>0</v>
      </c>
      <c r="BX71" s="92" t="n">
        <f aca="false">IF(AH71&gt;=BJ71,0,IFERROR(BJ71+SUMPRODUCT((AH$4:AH$503&gt;=BJ$4:BJ$503)*(AH$4:AH$503-BJ$4:BJ$503))/MAX(1,COUNTIF(AH$4:AH$503,"&lt;"&amp;BJ71+0.01)),BJ71))</f>
        <v>5621.50263448276</v>
      </c>
      <c r="BY71" s="92" t="n">
        <f aca="false">IF(AI71&gt;=BK71,0,IFERROR(BK71+SUMPRODUCT((AI$4:AI$503&gt;=BK$4:BK$503)*(AI$4:AI$503-BK$4:BK$503))/MAX(1,COUNTIF(AI$4:AI$503,"&lt;"&amp;BK71+0.01)),BK71))</f>
        <v>0</v>
      </c>
      <c r="BZ71" s="92" t="n">
        <f aca="false">IF(AJ71&gt;=BL71,0,IFERROR(BL71+SUMPRODUCT((AJ$4:AJ$503&gt;=BL$4:BL$503)*(AJ$4:AJ$503-BL$4:BL$503))/MAX(1,COUNTIF(AJ$4:AJ$503,"&lt;"&amp;BL71+0.01)),BL71))</f>
        <v>0</v>
      </c>
      <c r="CA71" s="92" t="n">
        <f aca="false">IF(AK71&gt;=BM71,0,IFERROR(BM71+SUMPRODUCT((AK$4:AK$503&gt;=BM$4:BM$503)*(AK$4:AK$503-BM$4:BM$503))/MAX(1,COUNTIF(AK$4:AK$503,"&lt;"&amp;BM71+0.01)),BM71))</f>
        <v>7314.89836842105</v>
      </c>
      <c r="CB71" s="93" t="n">
        <f aca="false">IF(AL71&gt;=BN71,0,IFERROR(BN71+SUMPRODUCT((AL$4:AL$503&gt;=BN$4:BN$503)*(AL$4:AL$503-BN$4:BN$503))/MAX(1,COUNTIF(AL$4:AL$503,"&lt;"&amp;BN71+0.01)),BN71))</f>
        <v>3597.2614925</v>
      </c>
      <c r="CC71" s="95" t="str">
        <f aca="false">IF(AO71="🟢","VERDE",IF(AO71="🟡","AMARELO",IF(AO71="🟠","VERMELHO",IF(AO71="🔴","VERMELHO","ROXO"))))</f>
        <v>VERMELHO</v>
      </c>
      <c r="CD71" s="96" t="s">
        <v>103</v>
      </c>
      <c r="CE71" s="96" t="s">
        <v>104</v>
      </c>
    </row>
    <row r="72" customFormat="false" ht="14.25" hidden="false" customHeight="true" outlineLevel="0" collapsed="false">
      <c r="A72" s="65" t="s">
        <v>284</v>
      </c>
      <c r="B72" s="66" t="s">
        <v>242</v>
      </c>
      <c r="C72" s="67" t="s">
        <v>158</v>
      </c>
      <c r="D72" s="68" t="s">
        <v>100</v>
      </c>
      <c r="E72" s="69" t="s">
        <v>243</v>
      </c>
      <c r="F72" s="70" t="n">
        <f aca="false">IFERROR(VLOOKUP(C72,$AS$3:$AT$10,2,FALSE()),IFERROR(VLOOKUP(C72,$AS$15:$AT$22,2,FALSE()),""))</f>
        <v>29</v>
      </c>
      <c r="G72" s="71" t="n">
        <f aca="false">IFERROR(VLOOKUP(C72,$AS$3:$AX$10,6,FALSE()),IFERROR(VLOOKUP(C72,$AS$15:$AX$22,6,FALSE()),""))</f>
        <v>0.458564072601712</v>
      </c>
      <c r="H72" s="72" t="str">
        <f aca="false">IFERROR(VLOOKUP(C72,$AS$3:$AY$10,7,FALSE()),IFERROR(VLOOKUP(C72,$AS$15:$AY$22,7,FALSE()),""))</f>
        <v>🟡 AMARELO</v>
      </c>
      <c r="I72" s="72" t="str">
        <f aca="false">IFERROR(VLOOKUP(C72,$AS$3:$AZ$10,8,FALSE()),IFERROR(VLOOKUP(C72,$AS$15:$AZ$22,8,FALSE()),""))</f>
        <v>Sell Out</v>
      </c>
      <c r="J72" s="73"/>
      <c r="K72" s="69" t="s">
        <v>158</v>
      </c>
      <c r="L72" s="74" t="n">
        <v>15690.36</v>
      </c>
      <c r="M72" s="75" t="n">
        <v>1102.61</v>
      </c>
      <c r="N72" s="75" t="n">
        <v>1152.19</v>
      </c>
      <c r="O72" s="75" t="n">
        <v>1179.95</v>
      </c>
      <c r="P72" s="75" t="n">
        <v>1210.69</v>
      </c>
      <c r="Q72" s="75" t="n">
        <v>1250.35</v>
      </c>
      <c r="R72" s="75" t="n">
        <v>1283.07</v>
      </c>
      <c r="S72" s="75" t="n">
        <v>1332.65</v>
      </c>
      <c r="T72" s="75" t="n">
        <v>1365.37</v>
      </c>
      <c r="U72" s="75" t="n">
        <v>1396.11</v>
      </c>
      <c r="V72" s="75" t="n">
        <v>1430.81</v>
      </c>
      <c r="W72" s="75" t="n">
        <v>1468.49</v>
      </c>
      <c r="X72" s="76" t="n">
        <v>1518.07</v>
      </c>
      <c r="Y72" s="77" t="s">
        <v>20</v>
      </c>
      <c r="Z72" s="78" t="n">
        <f aca="false">SUM(AA72:AL72)</f>
        <v>10213.57</v>
      </c>
      <c r="AA72" s="79" t="n">
        <v>3007.07</v>
      </c>
      <c r="AB72" s="75"/>
      <c r="AC72" s="75"/>
      <c r="AD72" s="75"/>
      <c r="AE72" s="75"/>
      <c r="AF72" s="75"/>
      <c r="AG72" s="75"/>
      <c r="AH72" s="75"/>
      <c r="AI72" s="79" t="n">
        <v>7206.5</v>
      </c>
      <c r="AJ72" s="75"/>
      <c r="AK72" s="75"/>
      <c r="AL72" s="76"/>
      <c r="AM72" s="56" t="s">
        <v>20</v>
      </c>
      <c r="AN72" s="80" t="n">
        <f aca="false">IF(L72=0,0,Z72/L72)</f>
        <v>0.650945548731833</v>
      </c>
      <c r="AO72" s="81" t="str">
        <f aca="false">IF(AN72="","",IF(AN72&gt;=0.9,"🟢",IF(AN72&gt;=0.7,"🟡",IF(AN72&gt;=0.5,"🟠","🔴"))))</f>
        <v>🟠</v>
      </c>
      <c r="AP72" s="82" t="n">
        <f aca="false">IF(L72=0,0,L72-Z72)</f>
        <v>5476.79</v>
      </c>
      <c r="AQ72" s="83" t="n">
        <f aca="false">IF(AP72=0,"",RANK(AP72,AP$4:AP$503,0))</f>
        <v>116</v>
      </c>
      <c r="AR72" s="84" t="s">
        <v>20</v>
      </c>
      <c r="AS72" s="141"/>
      <c r="AT72" s="141"/>
      <c r="AU72" s="141"/>
      <c r="AV72" s="141"/>
      <c r="AW72" s="141"/>
      <c r="AX72" s="141"/>
      <c r="AY72" s="142"/>
      <c r="AZ72" s="142"/>
      <c r="BA72" s="56" t="s">
        <v>20</v>
      </c>
      <c r="BB72" s="91" t="n">
        <f aca="false">SUM(L$4:L$503)/COUNTA(A$4:A$503)</f>
        <v>9494.39992</v>
      </c>
      <c r="BC72" s="92" t="n">
        <f aca="false">SUM(M$4:M$503)/COUNTA(A$4:A$503)</f>
        <v>667.20008</v>
      </c>
      <c r="BD72" s="92" t="n">
        <f aca="false">SUM(N$4:N$503)/COUNTA(A$4:A$503)</f>
        <v>697.19996</v>
      </c>
      <c r="BE72" s="92" t="n">
        <f aca="false">SUM(O$4:O$503)/COUNTA(A$4:A$503)</f>
        <v>713.9999</v>
      </c>
      <c r="BF72" s="92" t="n">
        <f aca="false">SUM(P$4:P$503)/COUNTA(A$4:A$503)</f>
        <v>732.59984</v>
      </c>
      <c r="BG72" s="92" t="n">
        <f aca="false">SUM(Q$4:Q$503)/COUNTA(A$4:A$503)</f>
        <v>756.59992</v>
      </c>
      <c r="BH72" s="92" t="n">
        <f aca="false">SUM(R$4:R$503)/COUNTA(A$4:A$503)</f>
        <v>776.40004</v>
      </c>
      <c r="BI72" s="92" t="n">
        <f aca="false">SUM(S$4:S$503)/COUNTA(A$4:A$503)</f>
        <v>806.40012</v>
      </c>
      <c r="BJ72" s="92" t="n">
        <f aca="false">SUM(T$4:T$503)/COUNTA(A$4:A$503)</f>
        <v>826.1999</v>
      </c>
      <c r="BK72" s="92" t="n">
        <f aca="false">SUM(U$4:U$503)/COUNTA(A$4:A$503)</f>
        <v>844.8002</v>
      </c>
      <c r="BL72" s="92" t="n">
        <f aca="false">SUM(V$4:V$503)/COUNTA(A$4:A$503)</f>
        <v>865.7998</v>
      </c>
      <c r="BM72" s="92" t="n">
        <f aca="false">SUM(W$4:W$503)/COUNTA(A$4:A$503)</f>
        <v>888.59982</v>
      </c>
      <c r="BN72" s="93" t="n">
        <f aca="false">SUM(X$4:X$503)/COUNTA(A$4:A$503)</f>
        <v>918.60034</v>
      </c>
      <c r="BO72" s="94" t="s">
        <v>20</v>
      </c>
      <c r="BP72" s="91" t="n">
        <f aca="false">IF(Z72&gt;=BB72,0,IFERROR(BB72+(SUMPRODUCT((Z$4:Z$503&gt;=BB$4:BB$503)*(Z$4:Z$503-BB$4:BB$503))/MAX(1,COUNTIF(Z$4:Z$503,"&lt;"&amp;BB72+0.01))),BB72))</f>
        <v>0</v>
      </c>
      <c r="BQ72" s="92" t="n">
        <f aca="false">IF(AA72&gt;=BC72,0,IFERROR(BC72+SUMPRODUCT((AA$4:AA$503&gt;=BC$4:BC$503)*(AA$4:AA$503-BC$4:BC$503))/MAX(1,COUNTIF(AA$4:AA$503,"&lt;"&amp;BC72+0.01)),BC72))</f>
        <v>0</v>
      </c>
      <c r="BR72" s="92" t="n">
        <f aca="false">IF(AB72&gt;=BD72,0,IFERROR(BD72+SUMPRODUCT((AB$4:AB$503&gt;=BD$4:BD$503)*(AB$4:AB$503-BD$4:BD$503))/MAX(1,COUNTIF(AB$4:AB$503,"&lt;"&amp;BD72+0.01)),BD72))</f>
        <v>3335.2938</v>
      </c>
      <c r="BS72" s="92" t="n">
        <f aca="false">IF(AC72&gt;=BE72,0,IFERROR(BE72+SUMPRODUCT((AC$4:AC$503&gt;=BE$4:BE$503)*(AC$4:AC$503-BE$4:BE$503))/MAX(1,COUNTIF(AC$4:AC$503,"&lt;"&amp;BE72+0.01)),BE72))</f>
        <v>6188.73352</v>
      </c>
      <c r="BT72" s="92" t="n">
        <f aca="false">IF(AD72&gt;=BF72,0,IFERROR(BF72+SUMPRODUCT((AD$4:AD$503&gt;=BF$4:BF$503)*(AD$4:AD$503-BF$4:BF$503))/MAX(1,COUNTIF(AD$4:AD$503,"&lt;"&amp;BF72+0.01)),BF72))</f>
        <v>11354.35411</v>
      </c>
      <c r="BU72" s="92" t="n">
        <f aca="false">IF(AE72&gt;=BG72,0,IFERROR(BG72+SUMPRODUCT((AE$4:AE$503&gt;=BG$4:BG$503)*(AE$4:AE$503-BG$4:BG$503))/MAX(1,COUNTIF(AE$4:AE$503,"&lt;"&amp;BG72+0.01)),BG72))</f>
        <v>7704.85920380952</v>
      </c>
      <c r="BV72" s="92" t="n">
        <f aca="false">IF(AF72&gt;=BH72,0,IFERROR(BH72+SUMPRODUCT((AF$4:AF$503&gt;=BH$4:BH$503)*(AF$4:AF$503-BH$4:BH$503))/MAX(1,COUNTIF(AF$4:AF$503,"&lt;"&amp;BH72+0.01)),BH72))</f>
        <v>9942.6503831579</v>
      </c>
      <c r="BW72" s="92" t="n">
        <f aca="false">IF(AG72&gt;=BI72,0,IFERROR(BI72+SUMPRODUCT((AG$4:AG$503&gt;=BI$4:BI$503)*(AG$4:AG$503-BI$4:BI$503))/MAX(1,COUNTIF(AG$4:AG$503,"&lt;"&amp;BI72+0.01)),BI72))</f>
        <v>9142.15870461538</v>
      </c>
      <c r="BX72" s="92" t="n">
        <f aca="false">IF(AH72&gt;=BJ72,0,IFERROR(BJ72+SUMPRODUCT((AH$4:AH$503&gt;=BJ$4:BJ$503)*(AH$4:AH$503-BJ$4:BJ$503))/MAX(1,COUNTIF(AH$4:AH$503,"&lt;"&amp;BJ72+0.01)),BJ72))</f>
        <v>5621.50263448276</v>
      </c>
      <c r="BY72" s="92" t="n">
        <f aca="false">IF(AI72&gt;=BK72,0,IFERROR(BK72+SUMPRODUCT((AI$4:AI$503&gt;=BK$4:BK$503)*(AI$4:AI$503-BK$4:BK$503))/MAX(1,COUNTIF(AI$4:AI$503,"&lt;"&amp;BK72+0.01)),BK72))</f>
        <v>0</v>
      </c>
      <c r="BZ72" s="92" t="n">
        <f aca="false">IF(AJ72&gt;=BL72,0,IFERROR(BL72+SUMPRODUCT((AJ$4:AJ$503&gt;=BL$4:BL$503)*(AJ$4:AJ$503-BL$4:BL$503))/MAX(1,COUNTIF(AJ$4:AJ$503,"&lt;"&amp;BL72+0.01)),BL72))</f>
        <v>6710.03292307692</v>
      </c>
      <c r="CA72" s="92" t="n">
        <f aca="false">IF(AK72&gt;=BM72,0,IFERROR(BM72+SUMPRODUCT((AK$4:AK$503&gt;=BM$4:BM$503)*(AK$4:AK$503-BM$4:BM$503))/MAX(1,COUNTIF(AK$4:AK$503,"&lt;"&amp;BM72+0.01)),BM72))</f>
        <v>7314.89836842105</v>
      </c>
      <c r="CB72" s="93" t="n">
        <f aca="false">IF(AL72&gt;=BN72,0,IFERROR(BN72+SUMPRODUCT((AL$4:AL$503&gt;=BN$4:BN$503)*(AL$4:AL$503-BN$4:BN$503))/MAX(1,COUNTIF(AL$4:AL$503,"&lt;"&amp;BN72+0.01)),BN72))</f>
        <v>3597.2614925</v>
      </c>
      <c r="CC72" s="95" t="str">
        <f aca="false">IF(AO72="🟢","VERDE",IF(AO72="🟡","AMARELO",IF(AO72="🟠","VERMELHO",IF(AO72="🔴","VERMELHO","ROXO"))))</f>
        <v>VERMELHO</v>
      </c>
      <c r="CD72" s="96" t="s">
        <v>103</v>
      </c>
      <c r="CE72" s="96" t="s">
        <v>104</v>
      </c>
    </row>
    <row r="73" customFormat="false" ht="14.25" hidden="false" customHeight="true" outlineLevel="0" collapsed="false">
      <c r="A73" s="65" t="s">
        <v>285</v>
      </c>
      <c r="B73" s="66" t="s">
        <v>286</v>
      </c>
      <c r="C73" s="67" t="s">
        <v>158</v>
      </c>
      <c r="D73" s="68" t="s">
        <v>100</v>
      </c>
      <c r="E73" s="69" t="s">
        <v>187</v>
      </c>
      <c r="F73" s="70" t="n">
        <f aca="false">IFERROR(VLOOKUP(C73,$AS$3:$AT$10,2,FALSE()),IFERROR(VLOOKUP(C73,$AS$15:$AT$22,2,FALSE()),""))</f>
        <v>29</v>
      </c>
      <c r="G73" s="71" t="n">
        <f aca="false">IFERROR(VLOOKUP(C73,$AS$3:$AX$10,6,FALSE()),IFERROR(VLOOKUP(C73,$AS$15:$AX$22,6,FALSE()),""))</f>
        <v>0.458564072601712</v>
      </c>
      <c r="H73" s="72" t="str">
        <f aca="false">IFERROR(VLOOKUP(C73,$AS$3:$AY$10,7,FALSE()),IFERROR(VLOOKUP(C73,$AS$15:$AY$22,7,FALSE()),""))</f>
        <v>🟡 AMARELO</v>
      </c>
      <c r="I73" s="72" t="str">
        <f aca="false">IFERROR(VLOOKUP(C73,$AS$3:$AZ$10,8,FALSE()),IFERROR(VLOOKUP(C73,$AS$15:$AZ$22,8,FALSE()),""))</f>
        <v>Sell Out</v>
      </c>
      <c r="J73" s="73"/>
      <c r="K73" s="69" t="s">
        <v>158</v>
      </c>
      <c r="L73" s="74" t="n">
        <v>15459.55</v>
      </c>
      <c r="M73" s="75" t="n">
        <v>1086.39</v>
      </c>
      <c r="N73" s="75" t="n">
        <v>1135.24</v>
      </c>
      <c r="O73" s="75" t="n">
        <v>1162.59</v>
      </c>
      <c r="P73" s="75" t="n">
        <v>1192.88</v>
      </c>
      <c r="Q73" s="75" t="n">
        <v>1231.96</v>
      </c>
      <c r="R73" s="75" t="n">
        <v>1264.2</v>
      </c>
      <c r="S73" s="75" t="n">
        <v>1313.05</v>
      </c>
      <c r="T73" s="75" t="n">
        <v>1345.28</v>
      </c>
      <c r="U73" s="75" t="n">
        <v>1375.57</v>
      </c>
      <c r="V73" s="75" t="n">
        <v>1409.76</v>
      </c>
      <c r="W73" s="75" t="n">
        <v>1446.89</v>
      </c>
      <c r="X73" s="76" t="n">
        <v>1495.74</v>
      </c>
      <c r="Y73" s="77" t="s">
        <v>20</v>
      </c>
      <c r="Z73" s="78" t="n">
        <f aca="false">SUM(AA73:AL73)</f>
        <v>6621.47</v>
      </c>
      <c r="AA73" s="75"/>
      <c r="AB73" s="75"/>
      <c r="AC73" s="75"/>
      <c r="AD73" s="75"/>
      <c r="AE73" s="75"/>
      <c r="AF73" s="75"/>
      <c r="AG73" s="75"/>
      <c r="AH73" s="79" t="n">
        <v>4108.73</v>
      </c>
      <c r="AI73" s="75"/>
      <c r="AJ73" s="75"/>
      <c r="AK73" s="79" t="n">
        <v>2512.74</v>
      </c>
      <c r="AL73" s="76"/>
      <c r="AM73" s="56" t="s">
        <v>20</v>
      </c>
      <c r="AN73" s="80" t="n">
        <f aca="false">IF(L73=0,0,Z73/L73)</f>
        <v>0.42830936217419</v>
      </c>
      <c r="AO73" s="81" t="str">
        <f aca="false">IF(AN73="","",IF(AN73&gt;=0.9,"🟢",IF(AN73&gt;=0.7,"🟡",IF(AN73&gt;=0.5,"🟠","🔴"))))</f>
        <v>🔴</v>
      </c>
      <c r="AP73" s="82" t="n">
        <f aca="false">IF(L73=0,0,L73-Z73)</f>
        <v>8838.08</v>
      </c>
      <c r="AQ73" s="83" t="n">
        <f aca="false">IF(AP73=0,"",RANK(AP73,AP$4:AP$503,0))</f>
        <v>67</v>
      </c>
      <c r="AR73" s="84" t="s">
        <v>20</v>
      </c>
      <c r="AS73" s="141"/>
      <c r="AT73" s="141"/>
      <c r="AU73" s="141"/>
      <c r="AV73" s="141"/>
      <c r="AW73" s="141"/>
      <c r="AX73" s="141"/>
      <c r="AY73" s="142"/>
      <c r="AZ73" s="142"/>
      <c r="BA73" s="56" t="s">
        <v>20</v>
      </c>
      <c r="BB73" s="91" t="n">
        <f aca="false">SUM(L$4:L$503)/COUNTA(A$4:A$503)</f>
        <v>9494.39992</v>
      </c>
      <c r="BC73" s="92" t="n">
        <f aca="false">SUM(M$4:M$503)/COUNTA(A$4:A$503)</f>
        <v>667.20008</v>
      </c>
      <c r="BD73" s="92" t="n">
        <f aca="false">SUM(N$4:N$503)/COUNTA(A$4:A$503)</f>
        <v>697.19996</v>
      </c>
      <c r="BE73" s="92" t="n">
        <f aca="false">SUM(O$4:O$503)/COUNTA(A$4:A$503)</f>
        <v>713.9999</v>
      </c>
      <c r="BF73" s="92" t="n">
        <f aca="false">SUM(P$4:P$503)/COUNTA(A$4:A$503)</f>
        <v>732.59984</v>
      </c>
      <c r="BG73" s="92" t="n">
        <f aca="false">SUM(Q$4:Q$503)/COUNTA(A$4:A$503)</f>
        <v>756.59992</v>
      </c>
      <c r="BH73" s="92" t="n">
        <f aca="false">SUM(R$4:R$503)/COUNTA(A$4:A$503)</f>
        <v>776.40004</v>
      </c>
      <c r="BI73" s="92" t="n">
        <f aca="false">SUM(S$4:S$503)/COUNTA(A$4:A$503)</f>
        <v>806.40012</v>
      </c>
      <c r="BJ73" s="92" t="n">
        <f aca="false">SUM(T$4:T$503)/COUNTA(A$4:A$503)</f>
        <v>826.1999</v>
      </c>
      <c r="BK73" s="92" t="n">
        <f aca="false">SUM(U$4:U$503)/COUNTA(A$4:A$503)</f>
        <v>844.8002</v>
      </c>
      <c r="BL73" s="92" t="n">
        <f aca="false">SUM(V$4:V$503)/COUNTA(A$4:A$503)</f>
        <v>865.7998</v>
      </c>
      <c r="BM73" s="92" t="n">
        <f aca="false">SUM(W$4:W$503)/COUNTA(A$4:A$503)</f>
        <v>888.59982</v>
      </c>
      <c r="BN73" s="93" t="n">
        <f aca="false">SUM(X$4:X$503)/COUNTA(A$4:A$503)</f>
        <v>918.60034</v>
      </c>
      <c r="BO73" s="94" t="s">
        <v>20</v>
      </c>
      <c r="BP73" s="91" t="n">
        <f aca="false">IF(Z73&gt;=BB73,0,IFERROR(BB73+(SUMPRODUCT((Z$4:Z$503&gt;=BB$4:BB$503)*(Z$4:Z$503-BB$4:BB$503))/MAX(1,COUNTIF(Z$4:Z$503,"&lt;"&amp;BB73+0.01))),BB73))</f>
        <v>10695.5432177778</v>
      </c>
      <c r="BQ73" s="92" t="n">
        <f aca="false">IF(AA73&gt;=BC73,0,IFERROR(BC73+SUMPRODUCT((AA$4:AA$503&gt;=BC$4:BC$503)*(AA$4:AA$503-BC$4:BC$503))/MAX(1,COUNTIF(AA$4:AA$503,"&lt;"&amp;BC73+0.01)),BC73))</f>
        <v>2238.46589176471</v>
      </c>
      <c r="BR73" s="92" t="n">
        <f aca="false">IF(AB73&gt;=BD73,0,IFERROR(BD73+SUMPRODUCT((AB$4:AB$503&gt;=BD$4:BD$503)*(AB$4:AB$503-BD$4:BD$503))/MAX(1,COUNTIF(AB$4:AB$503,"&lt;"&amp;BD73+0.01)),BD73))</f>
        <v>3335.2938</v>
      </c>
      <c r="BS73" s="92" t="n">
        <f aca="false">IF(AC73&gt;=BE73,0,IFERROR(BE73+SUMPRODUCT((AC$4:AC$503&gt;=BE$4:BE$503)*(AC$4:AC$503-BE$4:BE$503))/MAX(1,COUNTIF(AC$4:AC$503,"&lt;"&amp;BE73+0.01)),BE73))</f>
        <v>6188.73352</v>
      </c>
      <c r="BT73" s="92" t="n">
        <f aca="false">IF(AD73&gt;=BF73,0,IFERROR(BF73+SUMPRODUCT((AD$4:AD$503&gt;=BF$4:BF$503)*(AD$4:AD$503-BF$4:BF$503))/MAX(1,COUNTIF(AD$4:AD$503,"&lt;"&amp;BF73+0.01)),BF73))</f>
        <v>11354.35411</v>
      </c>
      <c r="BU73" s="92" t="n">
        <f aca="false">IF(AE73&gt;=BG73,0,IFERROR(BG73+SUMPRODUCT((AE$4:AE$503&gt;=BG$4:BG$503)*(AE$4:AE$503-BG$4:BG$503))/MAX(1,COUNTIF(AE$4:AE$503,"&lt;"&amp;BG73+0.01)),BG73))</f>
        <v>7704.85920380952</v>
      </c>
      <c r="BV73" s="92" t="n">
        <f aca="false">IF(AF73&gt;=BH73,0,IFERROR(BH73+SUMPRODUCT((AF$4:AF$503&gt;=BH$4:BH$503)*(AF$4:AF$503-BH$4:BH$503))/MAX(1,COUNTIF(AF$4:AF$503,"&lt;"&amp;BH73+0.01)),BH73))</f>
        <v>9942.6503831579</v>
      </c>
      <c r="BW73" s="92" t="n">
        <f aca="false">IF(AG73&gt;=BI73,0,IFERROR(BI73+SUMPRODUCT((AG$4:AG$503&gt;=BI$4:BI$503)*(AG$4:AG$503-BI$4:BI$503))/MAX(1,COUNTIF(AG$4:AG$503,"&lt;"&amp;BI73+0.01)),BI73))</f>
        <v>9142.15870461538</v>
      </c>
      <c r="BX73" s="92" t="n">
        <f aca="false">IF(AH73&gt;=BJ73,0,IFERROR(BJ73+SUMPRODUCT((AH$4:AH$503&gt;=BJ$4:BJ$503)*(AH$4:AH$503-BJ$4:BJ$503))/MAX(1,COUNTIF(AH$4:AH$503,"&lt;"&amp;BJ73+0.01)),BJ73))</f>
        <v>0</v>
      </c>
      <c r="BY73" s="92" t="n">
        <f aca="false">IF(AI73&gt;=BK73,0,IFERROR(BK73+SUMPRODUCT((AI$4:AI$503&gt;=BK$4:BK$503)*(AI$4:AI$503-BK$4:BK$503))/MAX(1,COUNTIF(AI$4:AI$503,"&lt;"&amp;BK73+0.01)),BK73))</f>
        <v>7878.25652380952</v>
      </c>
      <c r="BZ73" s="92" t="n">
        <f aca="false">IF(AJ73&gt;=BL73,0,IFERROR(BL73+SUMPRODUCT((AJ$4:AJ$503&gt;=BL$4:BL$503)*(AJ$4:AJ$503-BL$4:BL$503))/MAX(1,COUNTIF(AJ$4:AJ$503,"&lt;"&amp;BL73+0.01)),BL73))</f>
        <v>6710.03292307692</v>
      </c>
      <c r="CA73" s="92" t="n">
        <f aca="false">IF(AK73&gt;=BM73,0,IFERROR(BM73+SUMPRODUCT((AK$4:AK$503&gt;=BM$4:BM$503)*(AK$4:AK$503-BM$4:BM$503))/MAX(1,COUNTIF(AK$4:AK$503,"&lt;"&amp;BM73+0.01)),BM73))</f>
        <v>0</v>
      </c>
      <c r="CB73" s="93" t="n">
        <f aca="false">IF(AL73&gt;=BN73,0,IFERROR(BN73+SUMPRODUCT((AL$4:AL$503&gt;=BN$4:BN$503)*(AL$4:AL$503-BN$4:BN$503))/MAX(1,COUNTIF(AL$4:AL$503,"&lt;"&amp;BN73+0.01)),BN73))</f>
        <v>3597.2614925</v>
      </c>
      <c r="CC73" s="95" t="str">
        <f aca="false">IF(AO73="🟢","VERDE",IF(AO73="🟡","AMARELO",IF(AO73="🟠","VERMELHO",IF(AO73="🔴","VERMELHO","ROXO"))))</f>
        <v>VERMELHO</v>
      </c>
      <c r="CD73" s="96" t="s">
        <v>103</v>
      </c>
      <c r="CE73" s="96" t="s">
        <v>104</v>
      </c>
    </row>
    <row r="74" customFormat="false" ht="14.25" hidden="false" customHeight="true" outlineLevel="0" collapsed="false">
      <c r="A74" s="65" t="s">
        <v>287</v>
      </c>
      <c r="B74" s="66" t="s">
        <v>288</v>
      </c>
      <c r="C74" s="66" t="s">
        <v>289</v>
      </c>
      <c r="D74" s="68" t="s">
        <v>100</v>
      </c>
      <c r="E74" s="56" t="s">
        <v>20</v>
      </c>
      <c r="F74" s="70" t="str">
        <f aca="false">IFERROR(VLOOKUP(C74,$AS$3:$AT$10,2,FALSE()),IFERROR(VLOOKUP(C74,$AS$15:$AT$22,2,FALSE()),""))</f>
        <v/>
      </c>
      <c r="G74" s="71" t="str">
        <f aca="false">IFERROR(VLOOKUP(C74,$AS$3:$AX$10,6,FALSE()),IFERROR(VLOOKUP(C74,$AS$15:$AX$22,6,FALSE()),""))</f>
        <v/>
      </c>
      <c r="H74" s="72" t="str">
        <f aca="false">IFERROR(VLOOKUP(C74,$AS$3:$AY$10,7,FALSE()),IFERROR(VLOOKUP(C74,$AS$15:$AY$22,7,FALSE()),""))</f>
        <v/>
      </c>
      <c r="I74" s="72" t="str">
        <f aca="false">IFERROR(VLOOKUP(C74,$AS$3:$AZ$10,8,FALSE()),IFERROR(VLOOKUP(C74,$AS$15:$AZ$22,8,FALSE()),""))</f>
        <v/>
      </c>
      <c r="J74" s="73"/>
      <c r="K74" s="56" t="s">
        <v>20</v>
      </c>
      <c r="L74" s="74" t="n">
        <v>15420.92</v>
      </c>
      <c r="M74" s="75" t="n">
        <v>1083.67</v>
      </c>
      <c r="N74" s="75" t="n">
        <v>1132.4</v>
      </c>
      <c r="O74" s="75" t="n">
        <v>1159.69</v>
      </c>
      <c r="P74" s="75" t="n">
        <v>1189.9</v>
      </c>
      <c r="Q74" s="75" t="n">
        <v>1228.88</v>
      </c>
      <c r="R74" s="75" t="n">
        <v>1261.04</v>
      </c>
      <c r="S74" s="75" t="n">
        <v>1309.77</v>
      </c>
      <c r="T74" s="75" t="n">
        <v>1341.92</v>
      </c>
      <c r="U74" s="75" t="n">
        <v>1372.13</v>
      </c>
      <c r="V74" s="75" t="n">
        <v>1406.24</v>
      </c>
      <c r="W74" s="75" t="n">
        <v>1443.28</v>
      </c>
      <c r="X74" s="76" t="n">
        <v>1492</v>
      </c>
      <c r="Y74" s="77" t="s">
        <v>20</v>
      </c>
      <c r="Z74" s="78" t="n">
        <f aca="false">SUM(AA74:AL74)</f>
        <v>6201.54</v>
      </c>
      <c r="AA74" s="75" t="n">
        <v>2358.74</v>
      </c>
      <c r="AB74" s="75" t="n">
        <v>1121.9</v>
      </c>
      <c r="AC74" s="75" t="n">
        <v>1346.8</v>
      </c>
      <c r="AD74" s="75" t="n">
        <v>1374.1</v>
      </c>
      <c r="AE74" s="75"/>
      <c r="AF74" s="75"/>
      <c r="AG74" s="75"/>
      <c r="AH74" s="75"/>
      <c r="AI74" s="75"/>
      <c r="AJ74" s="75"/>
      <c r="AK74" s="75"/>
      <c r="AL74" s="76"/>
      <c r="AM74" s="56" t="s">
        <v>20</v>
      </c>
      <c r="AN74" s="80" t="n">
        <f aca="false">IF(L74=0,0,Z74/L74)</f>
        <v>0.402151103825193</v>
      </c>
      <c r="AO74" s="81" t="str">
        <f aca="false">IF(AN74="","",IF(AN74&gt;=0.9,"🟢",IF(AN74&gt;=0.7,"🟡",IF(AN74&gt;=0.5,"🟠","🔴"))))</f>
        <v>🔴</v>
      </c>
      <c r="AP74" s="82" t="n">
        <f aca="false">IF(L74=0,0,L74-Z74)</f>
        <v>9219.38</v>
      </c>
      <c r="AQ74" s="83" t="n">
        <f aca="false">IF(AP74=0,"",RANK(AP74,AP$4:AP$503,0))</f>
        <v>65</v>
      </c>
      <c r="AR74" s="84" t="s">
        <v>20</v>
      </c>
      <c r="AS74" s="141"/>
      <c r="AT74" s="141"/>
      <c r="AU74" s="141"/>
      <c r="AV74" s="141"/>
      <c r="AW74" s="141"/>
      <c r="AX74" s="141"/>
      <c r="AY74" s="142"/>
      <c r="AZ74" s="142"/>
      <c r="BA74" s="56" t="s">
        <v>20</v>
      </c>
      <c r="BB74" s="91" t="n">
        <f aca="false">SUM(L$4:L$503)/COUNTA(A$4:A$503)</f>
        <v>9494.39992</v>
      </c>
      <c r="BC74" s="92" t="n">
        <f aca="false">SUM(M$4:M$503)/COUNTA(A$4:A$503)</f>
        <v>667.20008</v>
      </c>
      <c r="BD74" s="92" t="n">
        <f aca="false">SUM(N$4:N$503)/COUNTA(A$4:A$503)</f>
        <v>697.19996</v>
      </c>
      <c r="BE74" s="92" t="n">
        <f aca="false">SUM(O$4:O$503)/COUNTA(A$4:A$503)</f>
        <v>713.9999</v>
      </c>
      <c r="BF74" s="92" t="n">
        <f aca="false">SUM(P$4:P$503)/COUNTA(A$4:A$503)</f>
        <v>732.59984</v>
      </c>
      <c r="BG74" s="92" t="n">
        <f aca="false">SUM(Q$4:Q$503)/COUNTA(A$4:A$503)</f>
        <v>756.59992</v>
      </c>
      <c r="BH74" s="92" t="n">
        <f aca="false">SUM(R$4:R$503)/COUNTA(A$4:A$503)</f>
        <v>776.40004</v>
      </c>
      <c r="BI74" s="92" t="n">
        <f aca="false">SUM(S$4:S$503)/COUNTA(A$4:A$503)</f>
        <v>806.40012</v>
      </c>
      <c r="BJ74" s="92" t="n">
        <f aca="false">SUM(T$4:T$503)/COUNTA(A$4:A$503)</f>
        <v>826.1999</v>
      </c>
      <c r="BK74" s="92" t="n">
        <f aca="false">SUM(U$4:U$503)/COUNTA(A$4:A$503)</f>
        <v>844.8002</v>
      </c>
      <c r="BL74" s="92" t="n">
        <f aca="false">SUM(V$4:V$503)/COUNTA(A$4:A$503)</f>
        <v>865.7998</v>
      </c>
      <c r="BM74" s="92" t="n">
        <f aca="false">SUM(W$4:W$503)/COUNTA(A$4:A$503)</f>
        <v>888.59982</v>
      </c>
      <c r="BN74" s="93" t="n">
        <f aca="false">SUM(X$4:X$503)/COUNTA(A$4:A$503)</f>
        <v>918.60034</v>
      </c>
      <c r="BO74" s="94" t="s">
        <v>20</v>
      </c>
      <c r="BP74" s="91" t="n">
        <f aca="false">IF(Z74&gt;=BB74,0,IFERROR(BB74+(SUMPRODUCT((Z$4:Z$503&gt;=BB$4:BB$503)*(Z$4:Z$503-BB$4:BB$503))/MAX(1,COUNTIF(Z$4:Z$503,"&lt;"&amp;BB74+0.01))),BB74))</f>
        <v>10695.5432177778</v>
      </c>
      <c r="BQ74" s="92" t="n">
        <f aca="false">IF(AA74&gt;=BC74,0,IFERROR(BC74+SUMPRODUCT((AA$4:AA$503&gt;=BC$4:BC$503)*(AA$4:AA$503-BC$4:BC$503))/MAX(1,COUNTIF(AA$4:AA$503,"&lt;"&amp;BC74+0.01)),BC74))</f>
        <v>0</v>
      </c>
      <c r="BR74" s="92" t="n">
        <f aca="false">IF(AB74&gt;=BD74,0,IFERROR(BD74+SUMPRODUCT((AB$4:AB$503&gt;=BD$4:BD$503)*(AB$4:AB$503-BD$4:BD$503))/MAX(1,COUNTIF(AB$4:AB$503,"&lt;"&amp;BD74+0.01)),BD74))</f>
        <v>0</v>
      </c>
      <c r="BS74" s="92" t="n">
        <f aca="false">IF(AC74&gt;=BE74,0,IFERROR(BE74+SUMPRODUCT((AC$4:AC$503&gt;=BE$4:BE$503)*(AC$4:AC$503-BE$4:BE$503))/MAX(1,COUNTIF(AC$4:AC$503,"&lt;"&amp;BE74+0.01)),BE74))</f>
        <v>0</v>
      </c>
      <c r="BT74" s="92" t="n">
        <f aca="false">IF(AD74&gt;=BF74,0,IFERROR(BF74+SUMPRODUCT((AD$4:AD$503&gt;=BF$4:BF$503)*(AD$4:AD$503-BF$4:BF$503))/MAX(1,COUNTIF(AD$4:AD$503,"&lt;"&amp;BF74+0.01)),BF74))</f>
        <v>0</v>
      </c>
      <c r="BU74" s="92" t="n">
        <f aca="false">IF(AE74&gt;=BG74,0,IFERROR(BG74+SUMPRODUCT((AE$4:AE$503&gt;=BG$4:BG$503)*(AE$4:AE$503-BG$4:BG$503))/MAX(1,COUNTIF(AE$4:AE$503,"&lt;"&amp;BG74+0.01)),BG74))</f>
        <v>7704.85920380952</v>
      </c>
      <c r="BV74" s="92" t="n">
        <f aca="false">IF(AF74&gt;=BH74,0,IFERROR(BH74+SUMPRODUCT((AF$4:AF$503&gt;=BH$4:BH$503)*(AF$4:AF$503-BH$4:BH$503))/MAX(1,COUNTIF(AF$4:AF$503,"&lt;"&amp;BH74+0.01)),BH74))</f>
        <v>9942.6503831579</v>
      </c>
      <c r="BW74" s="92" t="n">
        <f aca="false">IF(AG74&gt;=BI74,0,IFERROR(BI74+SUMPRODUCT((AG$4:AG$503&gt;=BI$4:BI$503)*(AG$4:AG$503-BI$4:BI$503))/MAX(1,COUNTIF(AG$4:AG$503,"&lt;"&amp;BI74+0.01)),BI74))</f>
        <v>9142.15870461538</v>
      </c>
      <c r="BX74" s="92" t="n">
        <f aca="false">IF(AH74&gt;=BJ74,0,IFERROR(BJ74+SUMPRODUCT((AH$4:AH$503&gt;=BJ$4:BJ$503)*(AH$4:AH$503-BJ$4:BJ$503))/MAX(1,COUNTIF(AH$4:AH$503,"&lt;"&amp;BJ74+0.01)),BJ74))</f>
        <v>5621.50263448276</v>
      </c>
      <c r="BY74" s="92" t="n">
        <f aca="false">IF(AI74&gt;=BK74,0,IFERROR(BK74+SUMPRODUCT((AI$4:AI$503&gt;=BK$4:BK$503)*(AI$4:AI$503-BK$4:BK$503))/MAX(1,COUNTIF(AI$4:AI$503,"&lt;"&amp;BK74+0.01)),BK74))</f>
        <v>7878.25652380952</v>
      </c>
      <c r="BZ74" s="92" t="n">
        <f aca="false">IF(AJ74&gt;=BL74,0,IFERROR(BL74+SUMPRODUCT((AJ$4:AJ$503&gt;=BL$4:BL$503)*(AJ$4:AJ$503-BL$4:BL$503))/MAX(1,COUNTIF(AJ$4:AJ$503,"&lt;"&amp;BL74+0.01)),BL74))</f>
        <v>6710.03292307692</v>
      </c>
      <c r="CA74" s="92" t="n">
        <f aca="false">IF(AK74&gt;=BM74,0,IFERROR(BM74+SUMPRODUCT((AK$4:AK$503&gt;=BM$4:BM$503)*(AK$4:AK$503-BM$4:BM$503))/MAX(1,COUNTIF(AK$4:AK$503,"&lt;"&amp;BM74+0.01)),BM74))</f>
        <v>7314.89836842105</v>
      </c>
      <c r="CB74" s="93" t="n">
        <f aca="false">IF(AL74&gt;=BN74,0,IFERROR(BN74+SUMPRODUCT((AL$4:AL$503&gt;=BN$4:BN$503)*(AL$4:AL$503-BN$4:BN$503))/MAX(1,COUNTIF(AL$4:AL$503,"&lt;"&amp;BN74+0.01)),BN74))</f>
        <v>3597.2614925</v>
      </c>
      <c r="CC74" s="95" t="str">
        <f aca="false">IF(AO74="🟢","VERDE",IF(AO74="🟡","AMARELO",IF(AO74="🟠","VERMELHO",IF(AO74="🔴","VERMELHO","ROXO"))))</f>
        <v>VERMELHO</v>
      </c>
      <c r="CD74" s="96" t="s">
        <v>176</v>
      </c>
      <c r="CE74" s="96" t="s">
        <v>289</v>
      </c>
    </row>
    <row r="75" customFormat="false" ht="14.25" hidden="false" customHeight="true" outlineLevel="0" collapsed="false">
      <c r="A75" s="65" t="s">
        <v>290</v>
      </c>
      <c r="B75" s="66" t="s">
        <v>291</v>
      </c>
      <c r="C75" s="67" t="s">
        <v>99</v>
      </c>
      <c r="D75" s="68" t="s">
        <v>100</v>
      </c>
      <c r="E75" s="69" t="s">
        <v>263</v>
      </c>
      <c r="F75" s="70" t="n">
        <f aca="false">IFERROR(VLOOKUP(C75,$AS$3:$AT$10,2,FALSE()),IFERROR(VLOOKUP(C75,$AS$15:$AT$22,2,FALSE()),""))</f>
        <v>33</v>
      </c>
      <c r="G75" s="71" t="n">
        <f aca="false">IFERROR(VLOOKUP(C75,$AS$3:$AX$10,6,FALSE()),IFERROR(VLOOKUP(C75,$AS$15:$AX$22,6,FALSE()),""))</f>
        <v>0.341494038351172</v>
      </c>
      <c r="H75" s="72" t="str">
        <f aca="false">IFERROR(VLOOKUP(C75,$AS$3:$AY$10,7,FALSE()),IFERROR(VLOOKUP(C75,$AS$15:$AY$22,7,FALSE()),""))</f>
        <v>🔴 VERMELHO</v>
      </c>
      <c r="I75" s="72" t="str">
        <f aca="false">IFERROR(VLOOKUP(C75,$AS$3:$AZ$10,8,FALSE()),IFERROR(VLOOKUP(C75,$AS$15:$AZ$22,8,FALSE()),""))</f>
        <v>Positivação + Expandir</v>
      </c>
      <c r="J75" s="73"/>
      <c r="K75" s="69" t="s">
        <v>99</v>
      </c>
      <c r="L75" s="74" t="n">
        <v>15287.77</v>
      </c>
      <c r="M75" s="75" t="n">
        <v>1074.32</v>
      </c>
      <c r="N75" s="75" t="n">
        <v>1122.62</v>
      </c>
      <c r="O75" s="75" t="n">
        <v>1149.67</v>
      </c>
      <c r="P75" s="75" t="n">
        <v>1179.62</v>
      </c>
      <c r="Q75" s="75" t="n">
        <v>1218.27</v>
      </c>
      <c r="R75" s="75" t="n">
        <v>1250.15</v>
      </c>
      <c r="S75" s="75" t="n">
        <v>1298.46</v>
      </c>
      <c r="T75" s="75" t="n">
        <v>1330.34</v>
      </c>
      <c r="U75" s="75" t="n">
        <v>1360.29</v>
      </c>
      <c r="V75" s="75" t="n">
        <v>1394.1</v>
      </c>
      <c r="W75" s="75" t="n">
        <v>1430.81</v>
      </c>
      <c r="X75" s="76" t="n">
        <v>1479.12</v>
      </c>
      <c r="Y75" s="77" t="s">
        <v>20</v>
      </c>
      <c r="Z75" s="78" t="n">
        <f aca="false">SUM(AA75:AL75)</f>
        <v>9047.87</v>
      </c>
      <c r="AA75" s="75"/>
      <c r="AB75" s="79" t="n">
        <v>3137.98</v>
      </c>
      <c r="AC75" s="75" t="n">
        <v>2553.51</v>
      </c>
      <c r="AD75" s="75"/>
      <c r="AE75" s="79" t="n">
        <v>3356.38</v>
      </c>
      <c r="AF75" s="75"/>
      <c r="AG75" s="75"/>
      <c r="AH75" s="75"/>
      <c r="AI75" s="75"/>
      <c r="AJ75" s="75"/>
      <c r="AK75" s="75"/>
      <c r="AL75" s="76"/>
      <c r="AM75" s="56" t="s">
        <v>20</v>
      </c>
      <c r="AN75" s="80" t="n">
        <f aca="false">IF(L75=0,0,Z75/L75)</f>
        <v>0.591837135174064</v>
      </c>
      <c r="AO75" s="81" t="str">
        <f aca="false">IF(AN75="","",IF(AN75&gt;=0.9,"🟢",IF(AN75&gt;=0.7,"🟡",IF(AN75&gt;=0.5,"🟠","🔴"))))</f>
        <v>🟠</v>
      </c>
      <c r="AP75" s="82" t="n">
        <f aca="false">IF(L75=0,0,L75-Z75)</f>
        <v>6239.9</v>
      </c>
      <c r="AQ75" s="83" t="n">
        <f aca="false">IF(AP75=0,"",RANK(AP75,AP$4:AP$503,0))</f>
        <v>99</v>
      </c>
      <c r="AR75" s="84" t="s">
        <v>20</v>
      </c>
      <c r="AS75" s="141"/>
      <c r="AT75" s="141"/>
      <c r="AU75" s="141"/>
      <c r="AV75" s="141"/>
      <c r="AW75" s="141"/>
      <c r="AX75" s="141"/>
      <c r="AY75" s="142"/>
      <c r="AZ75" s="142"/>
      <c r="BA75" s="56" t="s">
        <v>20</v>
      </c>
      <c r="BB75" s="91" t="n">
        <f aca="false">SUM(L$4:L$503)/COUNTA(A$4:A$503)</f>
        <v>9494.39992</v>
      </c>
      <c r="BC75" s="92" t="n">
        <f aca="false">SUM(M$4:M$503)/COUNTA(A$4:A$503)</f>
        <v>667.20008</v>
      </c>
      <c r="BD75" s="92" t="n">
        <f aca="false">SUM(N$4:N$503)/COUNTA(A$4:A$503)</f>
        <v>697.19996</v>
      </c>
      <c r="BE75" s="92" t="n">
        <f aca="false">SUM(O$4:O$503)/COUNTA(A$4:A$503)</f>
        <v>713.9999</v>
      </c>
      <c r="BF75" s="92" t="n">
        <f aca="false">SUM(P$4:P$503)/COUNTA(A$4:A$503)</f>
        <v>732.59984</v>
      </c>
      <c r="BG75" s="92" t="n">
        <f aca="false">SUM(Q$4:Q$503)/COUNTA(A$4:A$503)</f>
        <v>756.59992</v>
      </c>
      <c r="BH75" s="92" t="n">
        <f aca="false">SUM(R$4:R$503)/COUNTA(A$4:A$503)</f>
        <v>776.40004</v>
      </c>
      <c r="BI75" s="92" t="n">
        <f aca="false">SUM(S$4:S$503)/COUNTA(A$4:A$503)</f>
        <v>806.40012</v>
      </c>
      <c r="BJ75" s="92" t="n">
        <f aca="false">SUM(T$4:T$503)/COUNTA(A$4:A$503)</f>
        <v>826.1999</v>
      </c>
      <c r="BK75" s="92" t="n">
        <f aca="false">SUM(U$4:U$503)/COUNTA(A$4:A$503)</f>
        <v>844.8002</v>
      </c>
      <c r="BL75" s="92" t="n">
        <f aca="false">SUM(V$4:V$503)/COUNTA(A$4:A$503)</f>
        <v>865.7998</v>
      </c>
      <c r="BM75" s="92" t="n">
        <f aca="false">SUM(W$4:W$503)/COUNTA(A$4:A$503)</f>
        <v>888.59982</v>
      </c>
      <c r="BN75" s="93" t="n">
        <f aca="false">SUM(X$4:X$503)/COUNTA(A$4:A$503)</f>
        <v>918.60034</v>
      </c>
      <c r="BO75" s="94" t="s">
        <v>20</v>
      </c>
      <c r="BP75" s="91" t="n">
        <f aca="false">IF(Z75&gt;=BB75,0,IFERROR(BB75+(SUMPRODUCT((Z$4:Z$503&gt;=BB$4:BB$503)*(Z$4:Z$503-BB$4:BB$503))/MAX(1,COUNTIF(Z$4:Z$503,"&lt;"&amp;BB75+0.01))),BB75))</f>
        <v>10695.5432177778</v>
      </c>
      <c r="BQ75" s="92" t="n">
        <f aca="false">IF(AA75&gt;=BC75,0,IFERROR(BC75+SUMPRODUCT((AA$4:AA$503&gt;=BC$4:BC$503)*(AA$4:AA$503-BC$4:BC$503))/MAX(1,COUNTIF(AA$4:AA$503,"&lt;"&amp;BC75+0.01)),BC75))</f>
        <v>2238.46589176471</v>
      </c>
      <c r="BR75" s="92" t="n">
        <f aca="false">IF(AB75&gt;=BD75,0,IFERROR(BD75+SUMPRODUCT((AB$4:AB$503&gt;=BD$4:BD$503)*(AB$4:AB$503-BD$4:BD$503))/MAX(1,COUNTIF(AB$4:AB$503,"&lt;"&amp;BD75+0.01)),BD75))</f>
        <v>0</v>
      </c>
      <c r="BS75" s="92" t="n">
        <f aca="false">IF(AC75&gt;=BE75,0,IFERROR(BE75+SUMPRODUCT((AC$4:AC$503&gt;=BE$4:BE$503)*(AC$4:AC$503-BE$4:BE$503))/MAX(1,COUNTIF(AC$4:AC$503,"&lt;"&amp;BE75+0.01)),BE75))</f>
        <v>0</v>
      </c>
      <c r="BT75" s="92" t="n">
        <f aca="false">IF(AD75&gt;=BF75,0,IFERROR(BF75+SUMPRODUCT((AD$4:AD$503&gt;=BF$4:BF$503)*(AD$4:AD$503-BF$4:BF$503))/MAX(1,COUNTIF(AD$4:AD$503,"&lt;"&amp;BF75+0.01)),BF75))</f>
        <v>11354.35411</v>
      </c>
      <c r="BU75" s="92" t="n">
        <f aca="false">IF(AE75&gt;=BG75,0,IFERROR(BG75+SUMPRODUCT((AE$4:AE$503&gt;=BG$4:BG$503)*(AE$4:AE$503-BG$4:BG$503))/MAX(1,COUNTIF(AE$4:AE$503,"&lt;"&amp;BG75+0.01)),BG75))</f>
        <v>0</v>
      </c>
      <c r="BV75" s="92" t="n">
        <f aca="false">IF(AF75&gt;=BH75,0,IFERROR(BH75+SUMPRODUCT((AF$4:AF$503&gt;=BH$4:BH$503)*(AF$4:AF$503-BH$4:BH$503))/MAX(1,COUNTIF(AF$4:AF$503,"&lt;"&amp;BH75+0.01)),BH75))</f>
        <v>9942.6503831579</v>
      </c>
      <c r="BW75" s="92" t="n">
        <f aca="false">IF(AG75&gt;=BI75,0,IFERROR(BI75+SUMPRODUCT((AG$4:AG$503&gt;=BI$4:BI$503)*(AG$4:AG$503-BI$4:BI$503))/MAX(1,COUNTIF(AG$4:AG$503,"&lt;"&amp;BI75+0.01)),BI75))</f>
        <v>9142.15870461538</v>
      </c>
      <c r="BX75" s="92" t="n">
        <f aca="false">IF(AH75&gt;=BJ75,0,IFERROR(BJ75+SUMPRODUCT((AH$4:AH$503&gt;=BJ$4:BJ$503)*(AH$4:AH$503-BJ$4:BJ$503))/MAX(1,COUNTIF(AH$4:AH$503,"&lt;"&amp;BJ75+0.01)),BJ75))</f>
        <v>5621.50263448276</v>
      </c>
      <c r="BY75" s="92" t="n">
        <f aca="false">IF(AI75&gt;=BK75,0,IFERROR(BK75+SUMPRODUCT((AI$4:AI$503&gt;=BK$4:BK$503)*(AI$4:AI$503-BK$4:BK$503))/MAX(1,COUNTIF(AI$4:AI$503,"&lt;"&amp;BK75+0.01)),BK75))</f>
        <v>7878.25652380952</v>
      </c>
      <c r="BZ75" s="92" t="n">
        <f aca="false">IF(AJ75&gt;=BL75,0,IFERROR(BL75+SUMPRODUCT((AJ$4:AJ$503&gt;=BL$4:BL$503)*(AJ$4:AJ$503-BL$4:BL$503))/MAX(1,COUNTIF(AJ$4:AJ$503,"&lt;"&amp;BL75+0.01)),BL75))</f>
        <v>6710.03292307692</v>
      </c>
      <c r="CA75" s="92" t="n">
        <f aca="false">IF(AK75&gt;=BM75,0,IFERROR(BM75+SUMPRODUCT((AK$4:AK$503&gt;=BM$4:BM$503)*(AK$4:AK$503-BM$4:BM$503))/MAX(1,COUNTIF(AK$4:AK$503,"&lt;"&amp;BM75+0.01)),BM75))</f>
        <v>7314.89836842105</v>
      </c>
      <c r="CB75" s="93" t="n">
        <f aca="false">IF(AL75&gt;=BN75,0,IFERROR(BN75+SUMPRODUCT((AL$4:AL$503&gt;=BN$4:BN$503)*(AL$4:AL$503-BN$4:BN$503))/MAX(1,COUNTIF(AL$4:AL$503,"&lt;"&amp;BN75+0.01)),BN75))</f>
        <v>3597.2614925</v>
      </c>
      <c r="CC75" s="95" t="str">
        <f aca="false">IF(AO75="🟢","VERDE",IF(AO75="🟡","AMARELO",IF(AO75="🟠","VERMELHO",IF(AO75="🔴","VERMELHO","ROXO"))))</f>
        <v>VERMELHO</v>
      </c>
      <c r="CD75" s="96" t="s">
        <v>103</v>
      </c>
      <c r="CE75" s="96" t="s">
        <v>104</v>
      </c>
    </row>
    <row r="76" customFormat="false" ht="14.25" hidden="false" customHeight="true" outlineLevel="0" collapsed="false">
      <c r="A76" s="65" t="s">
        <v>292</v>
      </c>
      <c r="B76" s="66" t="s">
        <v>182</v>
      </c>
      <c r="C76" s="66" t="s">
        <v>183</v>
      </c>
      <c r="D76" s="68" t="s">
        <v>108</v>
      </c>
      <c r="E76" s="56" t="s">
        <v>20</v>
      </c>
      <c r="F76" s="70" t="str">
        <f aca="false">IFERROR(VLOOKUP(C76,$AS$3:$AT$10,2,FALSE()),IFERROR(VLOOKUP(C76,$AS$15:$AT$22,2,FALSE()),""))</f>
        <v/>
      </c>
      <c r="G76" s="71" t="str">
        <f aca="false">IFERROR(VLOOKUP(C76,$AS$3:$AX$10,6,FALSE()),IFERROR(VLOOKUP(C76,$AS$15:$AX$22,6,FALSE()),""))</f>
        <v/>
      </c>
      <c r="H76" s="72" t="str">
        <f aca="false">IFERROR(VLOOKUP(C76,$AS$3:$AY$10,7,FALSE()),IFERROR(VLOOKUP(C76,$AS$15:$AY$22,7,FALSE()),""))</f>
        <v/>
      </c>
      <c r="I76" s="72" t="str">
        <f aca="false">IFERROR(VLOOKUP(C76,$AS$3:$AZ$10,8,FALSE()),IFERROR(VLOOKUP(C76,$AS$15:$AZ$22,8,FALSE()),""))</f>
        <v/>
      </c>
      <c r="J76" s="73"/>
      <c r="K76" s="56" t="s">
        <v>20</v>
      </c>
      <c r="L76" s="74" t="n">
        <v>15208.07</v>
      </c>
      <c r="M76" s="75" t="n">
        <v>1068.72</v>
      </c>
      <c r="N76" s="75" t="n">
        <v>1116.77</v>
      </c>
      <c r="O76" s="75" t="n">
        <v>1143.68</v>
      </c>
      <c r="P76" s="75" t="n">
        <v>1173.47</v>
      </c>
      <c r="Q76" s="75" t="n">
        <v>1211.92</v>
      </c>
      <c r="R76" s="75" t="n">
        <v>1243.63</v>
      </c>
      <c r="S76" s="75" t="n">
        <v>1291.69</v>
      </c>
      <c r="T76" s="75" t="n">
        <v>1323.4</v>
      </c>
      <c r="U76" s="75" t="n">
        <v>1353.2</v>
      </c>
      <c r="V76" s="75" t="n">
        <v>1386.83</v>
      </c>
      <c r="W76" s="75" t="n">
        <v>1423.35</v>
      </c>
      <c r="X76" s="76" t="n">
        <v>1471.41</v>
      </c>
      <c r="Y76" s="77" t="s">
        <v>20</v>
      </c>
      <c r="Z76" s="78" t="n">
        <f aca="false">SUM(AA76:AL76)</f>
        <v>25422.23</v>
      </c>
      <c r="AA76" s="75"/>
      <c r="AB76" s="75"/>
      <c r="AC76" s="75"/>
      <c r="AD76" s="75"/>
      <c r="AE76" s="75"/>
      <c r="AF76" s="75" t="n">
        <v>3494.04</v>
      </c>
      <c r="AG76" s="75"/>
      <c r="AH76" s="75" t="n">
        <v>9039.59</v>
      </c>
      <c r="AI76" s="75" t="n">
        <v>5107.02</v>
      </c>
      <c r="AJ76" s="75" t="n">
        <v>7191.58</v>
      </c>
      <c r="AK76" s="75"/>
      <c r="AL76" s="76" t="n">
        <v>590</v>
      </c>
      <c r="AM76" s="56" t="s">
        <v>20</v>
      </c>
      <c r="AN76" s="80" t="n">
        <f aca="false">IF(L76=0,0,Z76/L76)</f>
        <v>1.6716276292784</v>
      </c>
      <c r="AO76" s="81" t="str">
        <f aca="false">IF(AN76="","",IF(AN76&gt;=0.9,"🟢",IF(AN76&gt;=0.7,"🟡",IF(AN76&gt;=0.5,"🟠","🔴"))))</f>
        <v>🟢</v>
      </c>
      <c r="AP76" s="82" t="n">
        <f aca="false">IF(L76=0,0,L76-Z76)</f>
        <v>-10214.16</v>
      </c>
      <c r="AQ76" s="83" t="n">
        <f aca="false">IF(AP76=0,"",RANK(AP76,AP$4:AP$503,0))</f>
        <v>498</v>
      </c>
      <c r="AR76" s="84" t="s">
        <v>20</v>
      </c>
      <c r="AS76" s="141"/>
      <c r="AT76" s="141"/>
      <c r="AU76" s="141"/>
      <c r="AV76" s="141"/>
      <c r="AW76" s="141"/>
      <c r="AX76" s="141"/>
      <c r="AY76" s="142"/>
      <c r="AZ76" s="142"/>
      <c r="BA76" s="56" t="s">
        <v>20</v>
      </c>
      <c r="BB76" s="91" t="n">
        <f aca="false">SUM(L$4:L$503)/COUNTA(A$4:A$503)</f>
        <v>9494.39992</v>
      </c>
      <c r="BC76" s="92" t="n">
        <f aca="false">SUM(M$4:M$503)/COUNTA(A$4:A$503)</f>
        <v>667.20008</v>
      </c>
      <c r="BD76" s="92" t="n">
        <f aca="false">SUM(N$4:N$503)/COUNTA(A$4:A$503)</f>
        <v>697.19996</v>
      </c>
      <c r="BE76" s="92" t="n">
        <f aca="false">SUM(O$4:O$503)/COUNTA(A$4:A$503)</f>
        <v>713.9999</v>
      </c>
      <c r="BF76" s="92" t="n">
        <f aca="false">SUM(P$4:P$503)/COUNTA(A$4:A$503)</f>
        <v>732.59984</v>
      </c>
      <c r="BG76" s="92" t="n">
        <f aca="false">SUM(Q$4:Q$503)/COUNTA(A$4:A$503)</f>
        <v>756.59992</v>
      </c>
      <c r="BH76" s="92" t="n">
        <f aca="false">SUM(R$4:R$503)/COUNTA(A$4:A$503)</f>
        <v>776.40004</v>
      </c>
      <c r="BI76" s="92" t="n">
        <f aca="false">SUM(S$4:S$503)/COUNTA(A$4:A$503)</f>
        <v>806.40012</v>
      </c>
      <c r="BJ76" s="92" t="n">
        <f aca="false">SUM(T$4:T$503)/COUNTA(A$4:A$503)</f>
        <v>826.1999</v>
      </c>
      <c r="BK76" s="92" t="n">
        <f aca="false">SUM(U$4:U$503)/COUNTA(A$4:A$503)</f>
        <v>844.8002</v>
      </c>
      <c r="BL76" s="92" t="n">
        <f aca="false">SUM(V$4:V$503)/COUNTA(A$4:A$503)</f>
        <v>865.7998</v>
      </c>
      <c r="BM76" s="92" t="n">
        <f aca="false">SUM(W$4:W$503)/COUNTA(A$4:A$503)</f>
        <v>888.59982</v>
      </c>
      <c r="BN76" s="93" t="n">
        <f aca="false">SUM(X$4:X$503)/COUNTA(A$4:A$503)</f>
        <v>918.60034</v>
      </c>
      <c r="BO76" s="94" t="s">
        <v>20</v>
      </c>
      <c r="BP76" s="91" t="n">
        <f aca="false">IF(Z76&gt;=BB76,0,IFERROR(BB76+(SUMPRODUCT((Z$4:Z$503&gt;=BB$4:BB$503)*(Z$4:Z$503-BB$4:BB$503))/MAX(1,COUNTIF(Z$4:Z$503,"&lt;"&amp;BB76+0.01))),BB76))</f>
        <v>0</v>
      </c>
      <c r="BQ76" s="92" t="n">
        <f aca="false">IF(AA76&gt;=BC76,0,IFERROR(BC76+SUMPRODUCT((AA$4:AA$503&gt;=BC$4:BC$503)*(AA$4:AA$503-BC$4:BC$503))/MAX(1,COUNTIF(AA$4:AA$503,"&lt;"&amp;BC76+0.01)),BC76))</f>
        <v>2238.46589176471</v>
      </c>
      <c r="BR76" s="92" t="n">
        <f aca="false">IF(AB76&gt;=BD76,0,IFERROR(BD76+SUMPRODUCT((AB$4:AB$503&gt;=BD$4:BD$503)*(AB$4:AB$503-BD$4:BD$503))/MAX(1,COUNTIF(AB$4:AB$503,"&lt;"&amp;BD76+0.01)),BD76))</f>
        <v>3335.2938</v>
      </c>
      <c r="BS76" s="92" t="n">
        <f aca="false">IF(AC76&gt;=BE76,0,IFERROR(BE76+SUMPRODUCT((AC$4:AC$503&gt;=BE$4:BE$503)*(AC$4:AC$503-BE$4:BE$503))/MAX(1,COUNTIF(AC$4:AC$503,"&lt;"&amp;BE76+0.01)),BE76))</f>
        <v>6188.73352</v>
      </c>
      <c r="BT76" s="92" t="n">
        <f aca="false">IF(AD76&gt;=BF76,0,IFERROR(BF76+SUMPRODUCT((AD$4:AD$503&gt;=BF$4:BF$503)*(AD$4:AD$503-BF$4:BF$503))/MAX(1,COUNTIF(AD$4:AD$503,"&lt;"&amp;BF76+0.01)),BF76))</f>
        <v>11354.35411</v>
      </c>
      <c r="BU76" s="92" t="n">
        <f aca="false">IF(AE76&gt;=BG76,0,IFERROR(BG76+SUMPRODUCT((AE$4:AE$503&gt;=BG$4:BG$503)*(AE$4:AE$503-BG$4:BG$503))/MAX(1,COUNTIF(AE$4:AE$503,"&lt;"&amp;BG76+0.01)),BG76))</f>
        <v>7704.85920380952</v>
      </c>
      <c r="BV76" s="92" t="n">
        <f aca="false">IF(AF76&gt;=BH76,0,IFERROR(BH76+SUMPRODUCT((AF$4:AF$503&gt;=BH$4:BH$503)*(AF$4:AF$503-BH$4:BH$503))/MAX(1,COUNTIF(AF$4:AF$503,"&lt;"&amp;BH76+0.01)),BH76))</f>
        <v>0</v>
      </c>
      <c r="BW76" s="92" t="n">
        <f aca="false">IF(AG76&gt;=BI76,0,IFERROR(BI76+SUMPRODUCT((AG$4:AG$503&gt;=BI$4:BI$503)*(AG$4:AG$503-BI$4:BI$503))/MAX(1,COUNTIF(AG$4:AG$503,"&lt;"&amp;BI76+0.01)),BI76))</f>
        <v>9142.15870461538</v>
      </c>
      <c r="BX76" s="92" t="n">
        <f aca="false">IF(AH76&gt;=BJ76,0,IFERROR(BJ76+SUMPRODUCT((AH$4:AH$503&gt;=BJ$4:BJ$503)*(AH$4:AH$503-BJ$4:BJ$503))/MAX(1,COUNTIF(AH$4:AH$503,"&lt;"&amp;BJ76+0.01)),BJ76))</f>
        <v>0</v>
      </c>
      <c r="BY76" s="92" t="n">
        <f aca="false">IF(AI76&gt;=BK76,0,IFERROR(BK76+SUMPRODUCT((AI$4:AI$503&gt;=BK$4:BK$503)*(AI$4:AI$503-BK$4:BK$503))/MAX(1,COUNTIF(AI$4:AI$503,"&lt;"&amp;BK76+0.01)),BK76))</f>
        <v>0</v>
      </c>
      <c r="BZ76" s="92" t="n">
        <f aca="false">IF(AJ76&gt;=BL76,0,IFERROR(BL76+SUMPRODUCT((AJ$4:AJ$503&gt;=BL$4:BL$503)*(AJ$4:AJ$503-BL$4:BL$503))/MAX(1,COUNTIF(AJ$4:AJ$503,"&lt;"&amp;BL76+0.01)),BL76))</f>
        <v>0</v>
      </c>
      <c r="CA76" s="92" t="n">
        <f aca="false">IF(AK76&gt;=BM76,0,IFERROR(BM76+SUMPRODUCT((AK$4:AK$503&gt;=BM$4:BM$503)*(AK$4:AK$503-BM$4:BM$503))/MAX(1,COUNTIF(AK$4:AK$503,"&lt;"&amp;BM76+0.01)),BM76))</f>
        <v>7314.89836842105</v>
      </c>
      <c r="CB76" s="93" t="n">
        <f aca="false">IF(AL76&gt;=BN76,0,IFERROR(BN76+SUMPRODUCT((AL$4:AL$503&gt;=BN$4:BN$503)*(AL$4:AL$503-BN$4:BN$503))/MAX(1,COUNTIF(AL$4:AL$503,"&lt;"&amp;BN76+0.01)),BN76))</f>
        <v>3597.2614925</v>
      </c>
      <c r="CC76" s="95" t="str">
        <f aca="false">IF(AO76="🟢","VERDE",IF(AO76="🟡","AMARELO",IF(AO76="🟠","VERMELHO",IF(AO76="🔴","VERMELHO","ROXO"))))</f>
        <v>VERDE</v>
      </c>
      <c r="CD76" s="96" t="s">
        <v>176</v>
      </c>
      <c r="CE76" s="96" t="s">
        <v>183</v>
      </c>
    </row>
    <row r="77" customFormat="false" ht="14.25" hidden="false" customHeight="true" outlineLevel="0" collapsed="false">
      <c r="A77" s="65" t="s">
        <v>293</v>
      </c>
      <c r="B77" s="66" t="s">
        <v>294</v>
      </c>
      <c r="C77" s="66" t="s">
        <v>115</v>
      </c>
      <c r="D77" s="68" t="s">
        <v>184</v>
      </c>
      <c r="E77" s="69" t="s">
        <v>127</v>
      </c>
      <c r="F77" s="70" t="n">
        <f aca="false">IFERROR(VLOOKUP(C77,$AS$3:$AT$10,2,FALSE()),IFERROR(VLOOKUP(C77,$AS$15:$AT$22,2,FALSE()),""))</f>
        <v>25</v>
      </c>
      <c r="G77" s="71" t="n">
        <f aca="false">IFERROR(VLOOKUP(C77,$AS$3:$AX$10,6,FALSE()),IFERROR(VLOOKUP(C77,$AS$15:$AX$22,6,FALSE()),""))</f>
        <v>0.536751750851081</v>
      </c>
      <c r="H77" s="72" t="str">
        <f aca="false">IFERROR(VLOOKUP(C77,$AS$3:$AY$10,7,FALSE()),IFERROR(VLOOKUP(C77,$AS$15:$AY$22,7,FALSE()),""))</f>
        <v>🟡 AMARELO</v>
      </c>
      <c r="I77" s="72" t="str">
        <f aca="false">IFERROR(VLOOKUP(C77,$AS$3:$AZ$10,8,FALSE()),IFERROR(VLOOKUP(C77,$AS$15:$AZ$22,8,FALSE()),""))</f>
        <v>Sell Out</v>
      </c>
      <c r="J77" s="73"/>
      <c r="K77" s="69" t="s">
        <v>99</v>
      </c>
      <c r="L77" s="74" t="n">
        <v>15194.72</v>
      </c>
      <c r="M77" s="75" t="n">
        <v>1067.78</v>
      </c>
      <c r="N77" s="75" t="n">
        <v>1115.79</v>
      </c>
      <c r="O77" s="75" t="n">
        <v>1142.68</v>
      </c>
      <c r="P77" s="75" t="n">
        <v>1172.44</v>
      </c>
      <c r="Q77" s="75" t="n">
        <v>1210.85</v>
      </c>
      <c r="R77" s="75" t="n">
        <v>1242.54</v>
      </c>
      <c r="S77" s="75" t="n">
        <v>1290.55</v>
      </c>
      <c r="T77" s="75" t="n">
        <v>1322.24</v>
      </c>
      <c r="U77" s="75" t="n">
        <v>1352.01</v>
      </c>
      <c r="V77" s="75" t="n">
        <v>1385.62</v>
      </c>
      <c r="W77" s="75" t="n">
        <v>1422.1</v>
      </c>
      <c r="X77" s="76" t="n">
        <v>1470.12</v>
      </c>
      <c r="Y77" s="77" t="s">
        <v>20</v>
      </c>
      <c r="Z77" s="78" t="n">
        <f aca="false">SUM(AA77:AL77)</f>
        <v>10079.31</v>
      </c>
      <c r="AA77" s="75"/>
      <c r="AB77" s="75"/>
      <c r="AC77" s="75"/>
      <c r="AD77" s="75"/>
      <c r="AE77" s="75"/>
      <c r="AF77" s="75"/>
      <c r="AG77" s="75"/>
      <c r="AH77" s="75" t="n">
        <v>3767.53</v>
      </c>
      <c r="AI77" s="79" t="n">
        <v>3615.37</v>
      </c>
      <c r="AJ77" s="79" t="n">
        <v>1522.36</v>
      </c>
      <c r="AK77" s="75"/>
      <c r="AL77" s="107" t="n">
        <v>1174.05</v>
      </c>
      <c r="AM77" s="56" t="s">
        <v>20</v>
      </c>
      <c r="AN77" s="80" t="n">
        <f aca="false">IF(L77=0,0,Z77/L77)</f>
        <v>0.66334292438426</v>
      </c>
      <c r="AO77" s="81" t="str">
        <f aca="false">IF(AN77="","",IF(AN77&gt;=0.9,"🟢",IF(AN77&gt;=0.7,"🟡",IF(AN77&gt;=0.5,"🟠","🔴"))))</f>
        <v>🟠</v>
      </c>
      <c r="AP77" s="82" t="n">
        <f aca="false">IF(L77=0,0,L77-Z77)</f>
        <v>5115.41</v>
      </c>
      <c r="AQ77" s="83" t="n">
        <f aca="false">IF(AP77=0,"",RANK(AP77,AP$4:AP$503,0))</f>
        <v>126</v>
      </c>
      <c r="AR77" s="84" t="s">
        <v>20</v>
      </c>
      <c r="AS77" s="141"/>
      <c r="AT77" s="141"/>
      <c r="AU77" s="141"/>
      <c r="AV77" s="141"/>
      <c r="AW77" s="141"/>
      <c r="AX77" s="141"/>
      <c r="AY77" s="142"/>
      <c r="AZ77" s="142"/>
      <c r="BA77" s="56" t="s">
        <v>20</v>
      </c>
      <c r="BB77" s="91" t="n">
        <f aca="false">SUM(L$4:L$503)/COUNTA(A$4:A$503)</f>
        <v>9494.39992</v>
      </c>
      <c r="BC77" s="92" t="n">
        <f aca="false">SUM(M$4:M$503)/COUNTA(A$4:A$503)</f>
        <v>667.20008</v>
      </c>
      <c r="BD77" s="92" t="n">
        <f aca="false">SUM(N$4:N$503)/COUNTA(A$4:A$503)</f>
        <v>697.19996</v>
      </c>
      <c r="BE77" s="92" t="n">
        <f aca="false">SUM(O$4:O$503)/COUNTA(A$4:A$503)</f>
        <v>713.9999</v>
      </c>
      <c r="BF77" s="92" t="n">
        <f aca="false">SUM(P$4:P$503)/COUNTA(A$4:A$503)</f>
        <v>732.59984</v>
      </c>
      <c r="BG77" s="92" t="n">
        <f aca="false">SUM(Q$4:Q$503)/COUNTA(A$4:A$503)</f>
        <v>756.59992</v>
      </c>
      <c r="BH77" s="92" t="n">
        <f aca="false">SUM(R$4:R$503)/COUNTA(A$4:A$503)</f>
        <v>776.40004</v>
      </c>
      <c r="BI77" s="92" t="n">
        <f aca="false">SUM(S$4:S$503)/COUNTA(A$4:A$503)</f>
        <v>806.40012</v>
      </c>
      <c r="BJ77" s="92" t="n">
        <f aca="false">SUM(T$4:T$503)/COUNTA(A$4:A$503)</f>
        <v>826.1999</v>
      </c>
      <c r="BK77" s="92" t="n">
        <f aca="false">SUM(U$4:U$503)/COUNTA(A$4:A$503)</f>
        <v>844.8002</v>
      </c>
      <c r="BL77" s="92" t="n">
        <f aca="false">SUM(V$4:V$503)/COUNTA(A$4:A$503)</f>
        <v>865.7998</v>
      </c>
      <c r="BM77" s="92" t="n">
        <f aca="false">SUM(W$4:W$503)/COUNTA(A$4:A$503)</f>
        <v>888.59982</v>
      </c>
      <c r="BN77" s="93" t="n">
        <f aca="false">SUM(X$4:X$503)/COUNTA(A$4:A$503)</f>
        <v>918.60034</v>
      </c>
      <c r="BO77" s="94" t="s">
        <v>20</v>
      </c>
      <c r="BP77" s="91" t="n">
        <f aca="false">IF(Z77&gt;=BB77,0,IFERROR(BB77+(SUMPRODUCT((Z$4:Z$503&gt;=BB$4:BB$503)*(Z$4:Z$503-BB$4:BB$503))/MAX(1,COUNTIF(Z$4:Z$503,"&lt;"&amp;BB77+0.01))),BB77))</f>
        <v>0</v>
      </c>
      <c r="BQ77" s="92" t="n">
        <f aca="false">IF(AA77&gt;=BC77,0,IFERROR(BC77+SUMPRODUCT((AA$4:AA$503&gt;=BC$4:BC$503)*(AA$4:AA$503-BC$4:BC$503))/MAX(1,COUNTIF(AA$4:AA$503,"&lt;"&amp;BC77+0.01)),BC77))</f>
        <v>2238.46589176471</v>
      </c>
      <c r="BR77" s="92" t="n">
        <f aca="false">IF(AB77&gt;=BD77,0,IFERROR(BD77+SUMPRODUCT((AB$4:AB$503&gt;=BD$4:BD$503)*(AB$4:AB$503-BD$4:BD$503))/MAX(1,COUNTIF(AB$4:AB$503,"&lt;"&amp;BD77+0.01)),BD77))</f>
        <v>3335.2938</v>
      </c>
      <c r="BS77" s="92" t="n">
        <f aca="false">IF(AC77&gt;=BE77,0,IFERROR(BE77+SUMPRODUCT((AC$4:AC$503&gt;=BE$4:BE$503)*(AC$4:AC$503-BE$4:BE$503))/MAX(1,COUNTIF(AC$4:AC$503,"&lt;"&amp;BE77+0.01)),BE77))</f>
        <v>6188.73352</v>
      </c>
      <c r="BT77" s="92" t="n">
        <f aca="false">IF(AD77&gt;=BF77,0,IFERROR(BF77+SUMPRODUCT((AD$4:AD$503&gt;=BF$4:BF$503)*(AD$4:AD$503-BF$4:BF$503))/MAX(1,COUNTIF(AD$4:AD$503,"&lt;"&amp;BF77+0.01)),BF77))</f>
        <v>11354.35411</v>
      </c>
      <c r="BU77" s="92" t="n">
        <f aca="false">IF(AE77&gt;=BG77,0,IFERROR(BG77+SUMPRODUCT((AE$4:AE$503&gt;=BG$4:BG$503)*(AE$4:AE$503-BG$4:BG$503))/MAX(1,COUNTIF(AE$4:AE$503,"&lt;"&amp;BG77+0.01)),BG77))</f>
        <v>7704.85920380952</v>
      </c>
      <c r="BV77" s="92" t="n">
        <f aca="false">IF(AF77&gt;=BH77,0,IFERROR(BH77+SUMPRODUCT((AF$4:AF$503&gt;=BH$4:BH$503)*(AF$4:AF$503-BH$4:BH$503))/MAX(1,COUNTIF(AF$4:AF$503,"&lt;"&amp;BH77+0.01)),BH77))</f>
        <v>9942.6503831579</v>
      </c>
      <c r="BW77" s="92" t="n">
        <f aca="false">IF(AG77&gt;=BI77,0,IFERROR(BI77+SUMPRODUCT((AG$4:AG$503&gt;=BI$4:BI$503)*(AG$4:AG$503-BI$4:BI$503))/MAX(1,COUNTIF(AG$4:AG$503,"&lt;"&amp;BI77+0.01)),BI77))</f>
        <v>9142.15870461538</v>
      </c>
      <c r="BX77" s="92" t="n">
        <f aca="false">IF(AH77&gt;=BJ77,0,IFERROR(BJ77+SUMPRODUCT((AH$4:AH$503&gt;=BJ$4:BJ$503)*(AH$4:AH$503-BJ$4:BJ$503))/MAX(1,COUNTIF(AH$4:AH$503,"&lt;"&amp;BJ77+0.01)),BJ77))</f>
        <v>0</v>
      </c>
      <c r="BY77" s="92" t="n">
        <f aca="false">IF(AI77&gt;=BK77,0,IFERROR(BK77+SUMPRODUCT((AI$4:AI$503&gt;=BK$4:BK$503)*(AI$4:AI$503-BK$4:BK$503))/MAX(1,COUNTIF(AI$4:AI$503,"&lt;"&amp;BK77+0.01)),BK77))</f>
        <v>0</v>
      </c>
      <c r="BZ77" s="92" t="n">
        <f aca="false">IF(AJ77&gt;=BL77,0,IFERROR(BL77+SUMPRODUCT((AJ$4:AJ$503&gt;=BL$4:BL$503)*(AJ$4:AJ$503-BL$4:BL$503))/MAX(1,COUNTIF(AJ$4:AJ$503,"&lt;"&amp;BL77+0.01)),BL77))</f>
        <v>0</v>
      </c>
      <c r="CA77" s="92" t="n">
        <f aca="false">IF(AK77&gt;=BM77,0,IFERROR(BM77+SUMPRODUCT((AK$4:AK$503&gt;=BM$4:BM$503)*(AK$4:AK$503-BM$4:BM$503))/MAX(1,COUNTIF(AK$4:AK$503,"&lt;"&amp;BM77+0.01)),BM77))</f>
        <v>7314.89836842105</v>
      </c>
      <c r="CB77" s="93" t="n">
        <f aca="false">IF(AL77&gt;=BN77,0,IFERROR(BN77+SUMPRODUCT((AL$4:AL$503&gt;=BN$4:BN$503)*(AL$4:AL$503-BN$4:BN$503))/MAX(1,COUNTIF(AL$4:AL$503,"&lt;"&amp;BN77+0.01)),BN77))</f>
        <v>0</v>
      </c>
      <c r="CC77" s="95" t="str">
        <f aca="false">IF(AO77="🟢","VERDE",IF(AO77="🟡","AMARELO",IF(AO77="🟠","VERMELHO",IF(AO77="🔴","VERMELHO","ROXO"))))</f>
        <v>VERMELHO</v>
      </c>
      <c r="CD77" s="96" t="s">
        <v>176</v>
      </c>
      <c r="CE77" s="96" t="s">
        <v>115</v>
      </c>
    </row>
    <row r="78" customFormat="false" ht="14.25" hidden="false" customHeight="true" outlineLevel="0" collapsed="false">
      <c r="A78" s="65" t="s">
        <v>295</v>
      </c>
      <c r="B78" s="66" t="s">
        <v>296</v>
      </c>
      <c r="C78" s="67" t="s">
        <v>123</v>
      </c>
      <c r="D78" s="68" t="s">
        <v>100</v>
      </c>
      <c r="E78" s="56" t="s">
        <v>20</v>
      </c>
      <c r="F78" s="70" t="n">
        <f aca="false">IFERROR(VLOOKUP(C78,$AS$3:$AT$10,2,FALSE()),IFERROR(VLOOKUP(C78,$AS$15:$AT$22,2,FALSE()),""))</f>
        <v>49</v>
      </c>
      <c r="G78" s="71" t="n">
        <f aca="false">IFERROR(VLOOKUP(C78,$AS$3:$AX$10,6,FALSE()),IFERROR(VLOOKUP(C78,$AS$15:$AX$22,6,FALSE()),""))</f>
        <v>0.436391353881959</v>
      </c>
      <c r="H78" s="72" t="str">
        <f aca="false">IFERROR(VLOOKUP(C78,$AS$3:$AY$10,7,FALSE()),IFERROR(VLOOKUP(C78,$AS$15:$AY$22,7,FALSE()),""))</f>
        <v>🟡 AMARELO</v>
      </c>
      <c r="I78" s="72" t="str">
        <f aca="false">IFERROR(VLOOKUP(C78,$AS$3:$AZ$10,8,FALSE()),IFERROR(VLOOKUP(C78,$AS$15:$AZ$22,8,FALSE()),""))</f>
        <v>Sell Out</v>
      </c>
      <c r="J78" s="73"/>
      <c r="K78" s="56" t="s">
        <v>20</v>
      </c>
      <c r="L78" s="74" t="n">
        <v>15166.53</v>
      </c>
      <c r="M78" s="75" t="n">
        <v>1065.8</v>
      </c>
      <c r="N78" s="75" t="n">
        <v>1113.72</v>
      </c>
      <c r="O78" s="75" t="n">
        <v>1140.56</v>
      </c>
      <c r="P78" s="75" t="n">
        <v>1170.27</v>
      </c>
      <c r="Q78" s="75" t="n">
        <v>1208.61</v>
      </c>
      <c r="R78" s="75" t="n">
        <v>1240.23</v>
      </c>
      <c r="S78" s="75" t="n">
        <v>1288.16</v>
      </c>
      <c r="T78" s="75" t="n">
        <v>1319.79</v>
      </c>
      <c r="U78" s="75" t="n">
        <v>1349.5</v>
      </c>
      <c r="V78" s="75" t="n">
        <v>1383.04</v>
      </c>
      <c r="W78" s="75" t="n">
        <v>1419.46</v>
      </c>
      <c r="X78" s="76" t="n">
        <v>1467.39</v>
      </c>
      <c r="Y78" s="77" t="s">
        <v>20</v>
      </c>
      <c r="Z78" s="78" t="n">
        <f aca="false">SUM(AA78:AL78)</f>
        <v>6192.45</v>
      </c>
      <c r="AA78" s="75"/>
      <c r="AB78" s="75"/>
      <c r="AC78" s="75"/>
      <c r="AD78" s="75"/>
      <c r="AE78" s="75"/>
      <c r="AF78" s="75"/>
      <c r="AG78" s="75"/>
      <c r="AH78" s="75" t="n">
        <v>1522.26</v>
      </c>
      <c r="AI78" s="75" t="n">
        <v>1873.36</v>
      </c>
      <c r="AJ78" s="75"/>
      <c r="AK78" s="75" t="n">
        <v>2796.83</v>
      </c>
      <c r="AL78" s="76"/>
      <c r="AM78" s="56" t="s">
        <v>20</v>
      </c>
      <c r="AN78" s="80" t="n">
        <f aca="false">IF(L78=0,0,Z78/L78)</f>
        <v>0.40829708575396</v>
      </c>
      <c r="AO78" s="81" t="str">
        <f aca="false">IF(AN78="","",IF(AN78&gt;=0.9,"🟢",IF(AN78&gt;=0.7,"🟡",IF(AN78&gt;=0.5,"🟠","🔴"))))</f>
        <v>🔴</v>
      </c>
      <c r="AP78" s="82" t="n">
        <f aca="false">IF(L78=0,0,L78-Z78)</f>
        <v>8974.08</v>
      </c>
      <c r="AQ78" s="83" t="n">
        <f aca="false">IF(AP78=0,"",RANK(AP78,AP$4:AP$503,0))</f>
        <v>66</v>
      </c>
      <c r="AR78" s="84" t="s">
        <v>20</v>
      </c>
      <c r="AS78" s="141"/>
      <c r="AT78" s="141"/>
      <c r="AU78" s="141"/>
      <c r="AV78" s="141"/>
      <c r="AW78" s="141"/>
      <c r="AX78" s="141"/>
      <c r="AY78" s="142"/>
      <c r="AZ78" s="142"/>
      <c r="BA78" s="56" t="s">
        <v>20</v>
      </c>
      <c r="BB78" s="91" t="n">
        <f aca="false">SUM(L$4:L$503)/COUNTA(A$4:A$503)</f>
        <v>9494.39992</v>
      </c>
      <c r="BC78" s="92" t="n">
        <f aca="false">SUM(M$4:M$503)/COUNTA(A$4:A$503)</f>
        <v>667.20008</v>
      </c>
      <c r="BD78" s="92" t="n">
        <f aca="false">SUM(N$4:N$503)/COUNTA(A$4:A$503)</f>
        <v>697.19996</v>
      </c>
      <c r="BE78" s="92" t="n">
        <f aca="false">SUM(O$4:O$503)/COUNTA(A$4:A$503)</f>
        <v>713.9999</v>
      </c>
      <c r="BF78" s="92" t="n">
        <f aca="false">SUM(P$4:P$503)/COUNTA(A$4:A$503)</f>
        <v>732.59984</v>
      </c>
      <c r="BG78" s="92" t="n">
        <f aca="false">SUM(Q$4:Q$503)/COUNTA(A$4:A$503)</f>
        <v>756.59992</v>
      </c>
      <c r="BH78" s="92" t="n">
        <f aca="false">SUM(R$4:R$503)/COUNTA(A$4:A$503)</f>
        <v>776.40004</v>
      </c>
      <c r="BI78" s="92" t="n">
        <f aca="false">SUM(S$4:S$503)/COUNTA(A$4:A$503)</f>
        <v>806.40012</v>
      </c>
      <c r="BJ78" s="92" t="n">
        <f aca="false">SUM(T$4:T$503)/COUNTA(A$4:A$503)</f>
        <v>826.1999</v>
      </c>
      <c r="BK78" s="92" t="n">
        <f aca="false">SUM(U$4:U$503)/COUNTA(A$4:A$503)</f>
        <v>844.8002</v>
      </c>
      <c r="BL78" s="92" t="n">
        <f aca="false">SUM(V$4:V$503)/COUNTA(A$4:A$503)</f>
        <v>865.7998</v>
      </c>
      <c r="BM78" s="92" t="n">
        <f aca="false">SUM(W$4:W$503)/COUNTA(A$4:A$503)</f>
        <v>888.59982</v>
      </c>
      <c r="BN78" s="93" t="n">
        <f aca="false">SUM(X$4:X$503)/COUNTA(A$4:A$503)</f>
        <v>918.60034</v>
      </c>
      <c r="BO78" s="94" t="s">
        <v>20</v>
      </c>
      <c r="BP78" s="91" t="n">
        <f aca="false">IF(Z78&gt;=BB78,0,IFERROR(BB78+(SUMPRODUCT((Z$4:Z$503&gt;=BB$4:BB$503)*(Z$4:Z$503-BB$4:BB$503))/MAX(1,COUNTIF(Z$4:Z$503,"&lt;"&amp;BB78+0.01))),BB78))</f>
        <v>10695.5432177778</v>
      </c>
      <c r="BQ78" s="92" t="n">
        <f aca="false">IF(AA78&gt;=BC78,0,IFERROR(BC78+SUMPRODUCT((AA$4:AA$503&gt;=BC$4:BC$503)*(AA$4:AA$503-BC$4:BC$503))/MAX(1,COUNTIF(AA$4:AA$503,"&lt;"&amp;BC78+0.01)),BC78))</f>
        <v>2238.46589176471</v>
      </c>
      <c r="BR78" s="92" t="n">
        <f aca="false">IF(AB78&gt;=BD78,0,IFERROR(BD78+SUMPRODUCT((AB$4:AB$503&gt;=BD$4:BD$503)*(AB$4:AB$503-BD$4:BD$503))/MAX(1,COUNTIF(AB$4:AB$503,"&lt;"&amp;BD78+0.01)),BD78))</f>
        <v>3335.2938</v>
      </c>
      <c r="BS78" s="92" t="n">
        <f aca="false">IF(AC78&gt;=BE78,0,IFERROR(BE78+SUMPRODUCT((AC$4:AC$503&gt;=BE$4:BE$503)*(AC$4:AC$503-BE$4:BE$503))/MAX(1,COUNTIF(AC$4:AC$503,"&lt;"&amp;BE78+0.01)),BE78))</f>
        <v>6188.73352</v>
      </c>
      <c r="BT78" s="92" t="n">
        <f aca="false">IF(AD78&gt;=BF78,0,IFERROR(BF78+SUMPRODUCT((AD$4:AD$503&gt;=BF$4:BF$503)*(AD$4:AD$503-BF$4:BF$503))/MAX(1,COUNTIF(AD$4:AD$503,"&lt;"&amp;BF78+0.01)),BF78))</f>
        <v>11354.35411</v>
      </c>
      <c r="BU78" s="92" t="n">
        <f aca="false">IF(AE78&gt;=BG78,0,IFERROR(BG78+SUMPRODUCT((AE$4:AE$503&gt;=BG$4:BG$503)*(AE$4:AE$503-BG$4:BG$503))/MAX(1,COUNTIF(AE$4:AE$503,"&lt;"&amp;BG78+0.01)),BG78))</f>
        <v>7704.85920380952</v>
      </c>
      <c r="BV78" s="92" t="n">
        <f aca="false">IF(AF78&gt;=BH78,0,IFERROR(BH78+SUMPRODUCT((AF$4:AF$503&gt;=BH$4:BH$503)*(AF$4:AF$503-BH$4:BH$503))/MAX(1,COUNTIF(AF$4:AF$503,"&lt;"&amp;BH78+0.01)),BH78))</f>
        <v>9942.6503831579</v>
      </c>
      <c r="BW78" s="92" t="n">
        <f aca="false">IF(AG78&gt;=BI78,0,IFERROR(BI78+SUMPRODUCT((AG$4:AG$503&gt;=BI$4:BI$503)*(AG$4:AG$503-BI$4:BI$503))/MAX(1,COUNTIF(AG$4:AG$503,"&lt;"&amp;BI78+0.01)),BI78))</f>
        <v>9142.15870461538</v>
      </c>
      <c r="BX78" s="92" t="n">
        <f aca="false">IF(AH78&gt;=BJ78,0,IFERROR(BJ78+SUMPRODUCT((AH$4:AH$503&gt;=BJ$4:BJ$503)*(AH$4:AH$503-BJ$4:BJ$503))/MAX(1,COUNTIF(AH$4:AH$503,"&lt;"&amp;BJ78+0.01)),BJ78))</f>
        <v>0</v>
      </c>
      <c r="BY78" s="92" t="n">
        <f aca="false">IF(AI78&gt;=BK78,0,IFERROR(BK78+SUMPRODUCT((AI$4:AI$503&gt;=BK$4:BK$503)*(AI$4:AI$503-BK$4:BK$503))/MAX(1,COUNTIF(AI$4:AI$503,"&lt;"&amp;BK78+0.01)),BK78))</f>
        <v>0</v>
      </c>
      <c r="BZ78" s="92" t="n">
        <f aca="false">IF(AJ78&gt;=BL78,0,IFERROR(BL78+SUMPRODUCT((AJ$4:AJ$503&gt;=BL$4:BL$503)*(AJ$4:AJ$503-BL$4:BL$503))/MAX(1,COUNTIF(AJ$4:AJ$503,"&lt;"&amp;BL78+0.01)),BL78))</f>
        <v>6710.03292307692</v>
      </c>
      <c r="CA78" s="92" t="n">
        <f aca="false">IF(AK78&gt;=BM78,0,IFERROR(BM78+SUMPRODUCT((AK$4:AK$503&gt;=BM$4:BM$503)*(AK$4:AK$503-BM$4:BM$503))/MAX(1,COUNTIF(AK$4:AK$503,"&lt;"&amp;BM78+0.01)),BM78))</f>
        <v>0</v>
      </c>
      <c r="CB78" s="93" t="n">
        <f aca="false">IF(AL78&gt;=BN78,0,IFERROR(BN78+SUMPRODUCT((AL$4:AL$503&gt;=BN$4:BN$503)*(AL$4:AL$503-BN$4:BN$503))/MAX(1,COUNTIF(AL$4:AL$503,"&lt;"&amp;BN78+0.01)),BN78))</f>
        <v>3597.2614925</v>
      </c>
      <c r="CC78" s="95" t="str">
        <f aca="false">IF(AO78="🟢","VERDE",IF(AO78="🟡","AMARELO",IF(AO78="🟠","VERMELHO",IF(AO78="🔴","VERMELHO","ROXO"))))</f>
        <v>VERMELHO</v>
      </c>
      <c r="CD78" s="96" t="s">
        <v>103</v>
      </c>
      <c r="CE78" s="96" t="s">
        <v>104</v>
      </c>
    </row>
    <row r="79" customFormat="false" ht="14.25" hidden="false" customHeight="true" outlineLevel="0" collapsed="false">
      <c r="A79" s="65" t="s">
        <v>297</v>
      </c>
      <c r="B79" s="66" t="s">
        <v>298</v>
      </c>
      <c r="C79" s="66" t="s">
        <v>124</v>
      </c>
      <c r="D79" s="68" t="s">
        <v>184</v>
      </c>
      <c r="E79" s="69" t="s">
        <v>139</v>
      </c>
      <c r="F79" s="70" t="n">
        <f aca="false">IFERROR(VLOOKUP(C79,$AS$3:$AT$10,2,FALSE()),IFERROR(VLOOKUP(C79,$AS$15:$AT$22,2,FALSE()),""))</f>
        <v>7</v>
      </c>
      <c r="G79" s="71" t="n">
        <f aca="false">IFERROR(VLOOKUP(C79,$AS$3:$AX$10,6,FALSE()),IFERROR(VLOOKUP(C79,$AS$15:$AX$22,6,FALSE()),""))</f>
        <v>0.421338416191415</v>
      </c>
      <c r="H79" s="72" t="str">
        <f aca="false">IFERROR(VLOOKUP(C79,$AS$3:$AY$10,7,FALSE()),IFERROR(VLOOKUP(C79,$AS$15:$AY$22,7,FALSE()),""))</f>
        <v>🟡 AMARELO</v>
      </c>
      <c r="I79" s="72" t="str">
        <f aca="false">IFERROR(VLOOKUP(C79,$AS$3:$AZ$10,8,FALSE()),IFERROR(VLOOKUP(C79,$AS$15:$AZ$22,8,FALSE()),""))</f>
        <v>Sell Out</v>
      </c>
      <c r="J79" s="73"/>
      <c r="K79" s="69" t="s">
        <v>107</v>
      </c>
      <c r="L79" s="74" t="n">
        <v>14756.19</v>
      </c>
      <c r="M79" s="75" t="n">
        <v>1036.96</v>
      </c>
      <c r="N79" s="75" t="n">
        <v>1083.59</v>
      </c>
      <c r="O79" s="75" t="n">
        <v>1109.7</v>
      </c>
      <c r="P79" s="75" t="n">
        <v>1138.61</v>
      </c>
      <c r="Q79" s="75" t="n">
        <v>1175.91</v>
      </c>
      <c r="R79" s="75" t="n">
        <v>1206.68</v>
      </c>
      <c r="S79" s="75" t="n">
        <v>1253.3</v>
      </c>
      <c r="T79" s="75" t="n">
        <v>1284.08</v>
      </c>
      <c r="U79" s="75" t="n">
        <v>1312.99</v>
      </c>
      <c r="V79" s="75" t="n">
        <v>1345.62</v>
      </c>
      <c r="W79" s="75" t="n">
        <v>1381.06</v>
      </c>
      <c r="X79" s="76" t="n">
        <v>1427.69</v>
      </c>
      <c r="Y79" s="77" t="s">
        <v>20</v>
      </c>
      <c r="Z79" s="78" t="n">
        <f aca="false">SUM(AA79:AL79)</f>
        <v>7024.39</v>
      </c>
      <c r="AA79" s="79" t="n">
        <v>194.7</v>
      </c>
      <c r="AB79" s="75"/>
      <c r="AC79" s="75"/>
      <c r="AD79" s="79" t="n">
        <v>1514.31</v>
      </c>
      <c r="AE79" s="75"/>
      <c r="AF79" s="79" t="n">
        <v>1273.09</v>
      </c>
      <c r="AG79" s="75"/>
      <c r="AH79" s="79" t="n">
        <v>1377.68</v>
      </c>
      <c r="AI79" s="75"/>
      <c r="AJ79" s="79" t="n">
        <v>2664.61</v>
      </c>
      <c r="AK79" s="75"/>
      <c r="AL79" s="76"/>
      <c r="AM79" s="56" t="s">
        <v>20</v>
      </c>
      <c r="AN79" s="80" t="n">
        <f aca="false">IF(L79=0,0,Z79/L79)</f>
        <v>0.476030059249711</v>
      </c>
      <c r="AO79" s="81" t="str">
        <f aca="false">IF(AN79="","",IF(AN79&gt;=0.9,"🟢",IF(AN79&gt;=0.7,"🟡",IF(AN79&gt;=0.5,"🟠","🔴"))))</f>
        <v>🔴</v>
      </c>
      <c r="AP79" s="82" t="n">
        <f aca="false">IF(L79=0,0,L79-Z79)</f>
        <v>7731.8</v>
      </c>
      <c r="AQ79" s="83" t="n">
        <f aca="false">IF(AP79=0,"",RANK(AP79,AP$4:AP$503,0))</f>
        <v>82</v>
      </c>
      <c r="AR79" s="84" t="s">
        <v>20</v>
      </c>
      <c r="AS79" s="141"/>
      <c r="AT79" s="141"/>
      <c r="AU79" s="141"/>
      <c r="AV79" s="141"/>
      <c r="AW79" s="141"/>
      <c r="AX79" s="141"/>
      <c r="AY79" s="142"/>
      <c r="AZ79" s="142"/>
      <c r="BA79" s="56" t="s">
        <v>20</v>
      </c>
      <c r="BB79" s="91" t="n">
        <f aca="false">SUM(L$4:L$503)/COUNTA(A$4:A$503)</f>
        <v>9494.39992</v>
      </c>
      <c r="BC79" s="92" t="n">
        <f aca="false">SUM(M$4:M$503)/COUNTA(A$4:A$503)</f>
        <v>667.20008</v>
      </c>
      <c r="BD79" s="92" t="n">
        <f aca="false">SUM(N$4:N$503)/COUNTA(A$4:A$503)</f>
        <v>697.19996</v>
      </c>
      <c r="BE79" s="92" t="n">
        <f aca="false">SUM(O$4:O$503)/COUNTA(A$4:A$503)</f>
        <v>713.9999</v>
      </c>
      <c r="BF79" s="92" t="n">
        <f aca="false">SUM(P$4:P$503)/COUNTA(A$4:A$503)</f>
        <v>732.59984</v>
      </c>
      <c r="BG79" s="92" t="n">
        <f aca="false">SUM(Q$4:Q$503)/COUNTA(A$4:A$503)</f>
        <v>756.59992</v>
      </c>
      <c r="BH79" s="92" t="n">
        <f aca="false">SUM(R$4:R$503)/COUNTA(A$4:A$503)</f>
        <v>776.40004</v>
      </c>
      <c r="BI79" s="92" t="n">
        <f aca="false">SUM(S$4:S$503)/COUNTA(A$4:A$503)</f>
        <v>806.40012</v>
      </c>
      <c r="BJ79" s="92" t="n">
        <f aca="false">SUM(T$4:T$503)/COUNTA(A$4:A$503)</f>
        <v>826.1999</v>
      </c>
      <c r="BK79" s="92" t="n">
        <f aca="false">SUM(U$4:U$503)/COUNTA(A$4:A$503)</f>
        <v>844.8002</v>
      </c>
      <c r="BL79" s="92" t="n">
        <f aca="false">SUM(V$4:V$503)/COUNTA(A$4:A$503)</f>
        <v>865.7998</v>
      </c>
      <c r="BM79" s="92" t="n">
        <f aca="false">SUM(W$4:W$503)/COUNTA(A$4:A$503)</f>
        <v>888.59982</v>
      </c>
      <c r="BN79" s="93" t="n">
        <f aca="false">SUM(X$4:X$503)/COUNTA(A$4:A$503)</f>
        <v>918.60034</v>
      </c>
      <c r="BO79" s="94" t="s">
        <v>20</v>
      </c>
      <c r="BP79" s="91" t="n">
        <f aca="false">IF(Z79&gt;=BB79,0,IFERROR(BB79+(SUMPRODUCT((Z$4:Z$503&gt;=BB$4:BB$503)*(Z$4:Z$503-BB$4:BB$503))/MAX(1,COUNTIF(Z$4:Z$503,"&lt;"&amp;BB79+0.01))),BB79))</f>
        <v>10695.5432177778</v>
      </c>
      <c r="BQ79" s="92" t="n">
        <f aca="false">IF(AA79&gt;=BC79,0,IFERROR(BC79+SUMPRODUCT((AA$4:AA$503&gt;=BC$4:BC$503)*(AA$4:AA$503-BC$4:BC$503))/MAX(1,COUNTIF(AA$4:AA$503,"&lt;"&amp;BC79+0.01)),BC79))</f>
        <v>2238.46589176471</v>
      </c>
      <c r="BR79" s="92" t="n">
        <f aca="false">IF(AB79&gt;=BD79,0,IFERROR(BD79+SUMPRODUCT((AB$4:AB$503&gt;=BD$4:BD$503)*(AB$4:AB$503-BD$4:BD$503))/MAX(1,COUNTIF(AB$4:AB$503,"&lt;"&amp;BD79+0.01)),BD79))</f>
        <v>3335.2938</v>
      </c>
      <c r="BS79" s="92" t="n">
        <f aca="false">IF(AC79&gt;=BE79,0,IFERROR(BE79+SUMPRODUCT((AC$4:AC$503&gt;=BE$4:BE$503)*(AC$4:AC$503-BE$4:BE$503))/MAX(1,COUNTIF(AC$4:AC$503,"&lt;"&amp;BE79+0.01)),BE79))</f>
        <v>6188.73352</v>
      </c>
      <c r="BT79" s="92" t="n">
        <f aca="false">IF(AD79&gt;=BF79,0,IFERROR(BF79+SUMPRODUCT((AD$4:AD$503&gt;=BF$4:BF$503)*(AD$4:AD$503-BF$4:BF$503))/MAX(1,COUNTIF(AD$4:AD$503,"&lt;"&amp;BF79+0.01)),BF79))</f>
        <v>0</v>
      </c>
      <c r="BU79" s="92" t="n">
        <f aca="false">IF(AE79&gt;=BG79,0,IFERROR(BG79+SUMPRODUCT((AE$4:AE$503&gt;=BG$4:BG$503)*(AE$4:AE$503-BG$4:BG$503))/MAX(1,COUNTIF(AE$4:AE$503,"&lt;"&amp;BG79+0.01)),BG79))</f>
        <v>7704.85920380952</v>
      </c>
      <c r="BV79" s="92" t="n">
        <f aca="false">IF(AF79&gt;=BH79,0,IFERROR(BH79+SUMPRODUCT((AF$4:AF$503&gt;=BH$4:BH$503)*(AF$4:AF$503-BH$4:BH$503))/MAX(1,COUNTIF(AF$4:AF$503,"&lt;"&amp;BH79+0.01)),BH79))</f>
        <v>0</v>
      </c>
      <c r="BW79" s="92" t="n">
        <f aca="false">IF(AG79&gt;=BI79,0,IFERROR(BI79+SUMPRODUCT((AG$4:AG$503&gt;=BI$4:BI$503)*(AG$4:AG$503-BI$4:BI$503))/MAX(1,COUNTIF(AG$4:AG$503,"&lt;"&amp;BI79+0.01)),BI79))</f>
        <v>9142.15870461538</v>
      </c>
      <c r="BX79" s="92" t="n">
        <f aca="false">IF(AH79&gt;=BJ79,0,IFERROR(BJ79+SUMPRODUCT((AH$4:AH$503&gt;=BJ$4:BJ$503)*(AH$4:AH$503-BJ$4:BJ$503))/MAX(1,COUNTIF(AH$4:AH$503,"&lt;"&amp;BJ79+0.01)),BJ79))</f>
        <v>0</v>
      </c>
      <c r="BY79" s="92" t="n">
        <f aca="false">IF(AI79&gt;=BK79,0,IFERROR(BK79+SUMPRODUCT((AI$4:AI$503&gt;=BK$4:BK$503)*(AI$4:AI$503-BK$4:BK$503))/MAX(1,COUNTIF(AI$4:AI$503,"&lt;"&amp;BK79+0.01)),BK79))</f>
        <v>7878.25652380952</v>
      </c>
      <c r="BZ79" s="92" t="n">
        <f aca="false">IF(AJ79&gt;=BL79,0,IFERROR(BL79+SUMPRODUCT((AJ$4:AJ$503&gt;=BL$4:BL$503)*(AJ$4:AJ$503-BL$4:BL$503))/MAX(1,COUNTIF(AJ$4:AJ$503,"&lt;"&amp;BL79+0.01)),BL79))</f>
        <v>0</v>
      </c>
      <c r="CA79" s="92" t="n">
        <f aca="false">IF(AK79&gt;=BM79,0,IFERROR(BM79+SUMPRODUCT((AK$4:AK$503&gt;=BM$4:BM$503)*(AK$4:AK$503-BM$4:BM$503))/MAX(1,COUNTIF(AK$4:AK$503,"&lt;"&amp;BM79+0.01)),BM79))</f>
        <v>7314.89836842105</v>
      </c>
      <c r="CB79" s="93" t="n">
        <f aca="false">IF(AL79&gt;=BN79,0,IFERROR(BN79+SUMPRODUCT((AL$4:AL$503&gt;=BN$4:BN$503)*(AL$4:AL$503-BN$4:BN$503))/MAX(1,COUNTIF(AL$4:AL$503,"&lt;"&amp;BN79+0.01)),BN79))</f>
        <v>3597.2614925</v>
      </c>
      <c r="CC79" s="95" t="str">
        <f aca="false">IF(AO79="🟢","VERDE",IF(AO79="🟡","AMARELO",IF(AO79="🟠","VERMELHO",IF(AO79="🔴","VERMELHO","ROXO"))))</f>
        <v>VERMELHO</v>
      </c>
      <c r="CD79" s="96" t="s">
        <v>176</v>
      </c>
      <c r="CE79" s="96" t="s">
        <v>124</v>
      </c>
    </row>
    <row r="80" customFormat="false" ht="14.25" hidden="false" customHeight="true" outlineLevel="0" collapsed="false">
      <c r="A80" s="65" t="s">
        <v>299</v>
      </c>
      <c r="B80" s="66" t="s">
        <v>300</v>
      </c>
      <c r="C80" s="66" t="s">
        <v>66</v>
      </c>
      <c r="D80" s="68" t="s">
        <v>175</v>
      </c>
      <c r="E80" s="69" t="s">
        <v>139</v>
      </c>
      <c r="F80" s="70" t="n">
        <f aca="false">IFERROR(VLOOKUP(C80,$AS$3:$AT$10,2,FALSE()),IFERROR(VLOOKUP(C80,$AS$15:$AT$22,2,FALSE()),""))</f>
        <v>44</v>
      </c>
      <c r="G80" s="71" t="n">
        <f aca="false">IFERROR(VLOOKUP(C80,$AS$3:$AX$10,6,FALSE()),IFERROR(VLOOKUP(C80,$AS$15:$AX$22,6,FALSE()),""))</f>
        <v>0.496839506257363</v>
      </c>
      <c r="H80" s="72" t="str">
        <f aca="false">IFERROR(VLOOKUP(C80,$AS$3:$AY$10,7,FALSE()),IFERROR(VLOOKUP(C80,$AS$15:$AY$22,7,FALSE()),""))</f>
        <v>🟡 AMARELO</v>
      </c>
      <c r="I80" s="72" t="str">
        <f aca="false">IFERROR(VLOOKUP(C80,$AS$3:$AZ$10,8,FALSE()),IFERROR(VLOOKUP(C80,$AS$15:$AZ$22,8,FALSE()),""))</f>
        <v>Sell Out</v>
      </c>
      <c r="J80" s="73"/>
      <c r="K80" s="69" t="s">
        <v>107</v>
      </c>
      <c r="L80" s="74" t="n">
        <v>14106.57</v>
      </c>
      <c r="M80" s="75" t="n">
        <v>991.31</v>
      </c>
      <c r="N80" s="75" t="n">
        <v>1035.88</v>
      </c>
      <c r="O80" s="75" t="n">
        <v>1060.85</v>
      </c>
      <c r="P80" s="75" t="n">
        <v>1088.48</v>
      </c>
      <c r="Q80" s="75" t="n">
        <v>1124.14</v>
      </c>
      <c r="R80" s="75" t="n">
        <v>1153.56</v>
      </c>
      <c r="S80" s="75" t="n">
        <v>1198.13</v>
      </c>
      <c r="T80" s="75" t="n">
        <v>1227.55</v>
      </c>
      <c r="U80" s="75" t="n">
        <v>1255.18</v>
      </c>
      <c r="V80" s="75" t="n">
        <v>1286.39</v>
      </c>
      <c r="W80" s="75" t="n">
        <v>1320.26</v>
      </c>
      <c r="X80" s="76" t="n">
        <v>1364.84</v>
      </c>
      <c r="Y80" s="77" t="s">
        <v>20</v>
      </c>
      <c r="Z80" s="78" t="n">
        <f aca="false">SUM(AA80:AL80)</f>
        <v>5849.85</v>
      </c>
      <c r="AA80" s="79" t="n">
        <v>384.07</v>
      </c>
      <c r="AB80" s="75"/>
      <c r="AC80" s="75"/>
      <c r="AD80" s="75"/>
      <c r="AE80" s="75"/>
      <c r="AF80" s="79" t="n">
        <v>1765.7</v>
      </c>
      <c r="AG80" s="75"/>
      <c r="AH80" s="79" t="n">
        <v>2303.38</v>
      </c>
      <c r="AI80" s="75"/>
      <c r="AJ80" s="75"/>
      <c r="AK80" s="75"/>
      <c r="AL80" s="107" t="n">
        <v>1396.7</v>
      </c>
      <c r="AM80" s="56" t="s">
        <v>20</v>
      </c>
      <c r="AN80" s="80" t="n">
        <f aca="false">IF(L80=0,0,Z80/L80)</f>
        <v>0.414689750945836</v>
      </c>
      <c r="AO80" s="81" t="str">
        <f aca="false">IF(AN80="","",IF(AN80&gt;=0.9,"🟢",IF(AN80&gt;=0.7,"🟡",IF(AN80&gt;=0.5,"🟠","🔴"))))</f>
        <v>🔴</v>
      </c>
      <c r="AP80" s="82" t="n">
        <f aca="false">IF(L80=0,0,L80-Z80)</f>
        <v>8256.72</v>
      </c>
      <c r="AQ80" s="83" t="n">
        <f aca="false">IF(AP80=0,"",RANK(AP80,AP$4:AP$503,0))</f>
        <v>73</v>
      </c>
      <c r="AR80" s="84" t="s">
        <v>20</v>
      </c>
      <c r="AS80" s="141"/>
      <c r="AT80" s="141"/>
      <c r="AU80" s="141"/>
      <c r="AV80" s="141"/>
      <c r="AW80" s="141"/>
      <c r="AX80" s="141"/>
      <c r="AY80" s="142"/>
      <c r="AZ80" s="142"/>
      <c r="BA80" s="56" t="s">
        <v>20</v>
      </c>
      <c r="BB80" s="91" t="n">
        <f aca="false">SUM(L$4:L$503)/COUNTA(A$4:A$503)</f>
        <v>9494.39992</v>
      </c>
      <c r="BC80" s="92" t="n">
        <f aca="false">SUM(M$4:M$503)/COUNTA(A$4:A$503)</f>
        <v>667.20008</v>
      </c>
      <c r="BD80" s="92" t="n">
        <f aca="false">SUM(N$4:N$503)/COUNTA(A$4:A$503)</f>
        <v>697.19996</v>
      </c>
      <c r="BE80" s="92" t="n">
        <f aca="false">SUM(O$4:O$503)/COUNTA(A$4:A$503)</f>
        <v>713.9999</v>
      </c>
      <c r="BF80" s="92" t="n">
        <f aca="false">SUM(P$4:P$503)/COUNTA(A$4:A$503)</f>
        <v>732.59984</v>
      </c>
      <c r="BG80" s="92" t="n">
        <f aca="false">SUM(Q$4:Q$503)/COUNTA(A$4:A$503)</f>
        <v>756.59992</v>
      </c>
      <c r="BH80" s="92" t="n">
        <f aca="false">SUM(R$4:R$503)/COUNTA(A$4:A$503)</f>
        <v>776.40004</v>
      </c>
      <c r="BI80" s="92" t="n">
        <f aca="false">SUM(S$4:S$503)/COUNTA(A$4:A$503)</f>
        <v>806.40012</v>
      </c>
      <c r="BJ80" s="92" t="n">
        <f aca="false">SUM(T$4:T$503)/COUNTA(A$4:A$503)</f>
        <v>826.1999</v>
      </c>
      <c r="BK80" s="92" t="n">
        <f aca="false">SUM(U$4:U$503)/COUNTA(A$4:A$503)</f>
        <v>844.8002</v>
      </c>
      <c r="BL80" s="92" t="n">
        <f aca="false">SUM(V$4:V$503)/COUNTA(A$4:A$503)</f>
        <v>865.7998</v>
      </c>
      <c r="BM80" s="92" t="n">
        <f aca="false">SUM(W$4:W$503)/COUNTA(A$4:A$503)</f>
        <v>888.59982</v>
      </c>
      <c r="BN80" s="93" t="n">
        <f aca="false">SUM(X$4:X$503)/COUNTA(A$4:A$503)</f>
        <v>918.60034</v>
      </c>
      <c r="BO80" s="94" t="s">
        <v>20</v>
      </c>
      <c r="BP80" s="91" t="n">
        <f aca="false">IF(Z80&gt;=BB80,0,IFERROR(BB80+(SUMPRODUCT((Z$4:Z$503&gt;=BB$4:BB$503)*(Z$4:Z$503-BB$4:BB$503))/MAX(1,COUNTIF(Z$4:Z$503,"&lt;"&amp;BB80+0.01))),BB80))</f>
        <v>10695.5432177778</v>
      </c>
      <c r="BQ80" s="92" t="n">
        <f aca="false">IF(AA80&gt;=BC80,0,IFERROR(BC80+SUMPRODUCT((AA$4:AA$503&gt;=BC$4:BC$503)*(AA$4:AA$503-BC$4:BC$503))/MAX(1,COUNTIF(AA$4:AA$503,"&lt;"&amp;BC80+0.01)),BC80))</f>
        <v>2238.46589176471</v>
      </c>
      <c r="BR80" s="92" t="n">
        <f aca="false">IF(AB80&gt;=BD80,0,IFERROR(BD80+SUMPRODUCT((AB$4:AB$503&gt;=BD$4:BD$503)*(AB$4:AB$503-BD$4:BD$503))/MAX(1,COUNTIF(AB$4:AB$503,"&lt;"&amp;BD80+0.01)),BD80))</f>
        <v>3335.2938</v>
      </c>
      <c r="BS80" s="92" t="n">
        <f aca="false">IF(AC80&gt;=BE80,0,IFERROR(BE80+SUMPRODUCT((AC$4:AC$503&gt;=BE$4:BE$503)*(AC$4:AC$503-BE$4:BE$503))/MAX(1,COUNTIF(AC$4:AC$503,"&lt;"&amp;BE80+0.01)),BE80))</f>
        <v>6188.73352</v>
      </c>
      <c r="BT80" s="92" t="n">
        <f aca="false">IF(AD80&gt;=BF80,0,IFERROR(BF80+SUMPRODUCT((AD$4:AD$503&gt;=BF$4:BF$503)*(AD$4:AD$503-BF$4:BF$503))/MAX(1,COUNTIF(AD$4:AD$503,"&lt;"&amp;BF80+0.01)),BF80))</f>
        <v>11354.35411</v>
      </c>
      <c r="BU80" s="92" t="n">
        <f aca="false">IF(AE80&gt;=BG80,0,IFERROR(BG80+SUMPRODUCT((AE$4:AE$503&gt;=BG$4:BG$503)*(AE$4:AE$503-BG$4:BG$503))/MAX(1,COUNTIF(AE$4:AE$503,"&lt;"&amp;BG80+0.01)),BG80))</f>
        <v>7704.85920380952</v>
      </c>
      <c r="BV80" s="92" t="n">
        <f aca="false">IF(AF80&gt;=BH80,0,IFERROR(BH80+SUMPRODUCT((AF$4:AF$503&gt;=BH$4:BH$503)*(AF$4:AF$503-BH$4:BH$503))/MAX(1,COUNTIF(AF$4:AF$503,"&lt;"&amp;BH80+0.01)),BH80))</f>
        <v>0</v>
      </c>
      <c r="BW80" s="92" t="n">
        <f aca="false">IF(AG80&gt;=BI80,0,IFERROR(BI80+SUMPRODUCT((AG$4:AG$503&gt;=BI$4:BI$503)*(AG$4:AG$503-BI$4:BI$503))/MAX(1,COUNTIF(AG$4:AG$503,"&lt;"&amp;BI80+0.01)),BI80))</f>
        <v>9142.15870461538</v>
      </c>
      <c r="BX80" s="92" t="n">
        <f aca="false">IF(AH80&gt;=BJ80,0,IFERROR(BJ80+SUMPRODUCT((AH$4:AH$503&gt;=BJ$4:BJ$503)*(AH$4:AH$503-BJ$4:BJ$503))/MAX(1,COUNTIF(AH$4:AH$503,"&lt;"&amp;BJ80+0.01)),BJ80))</f>
        <v>0</v>
      </c>
      <c r="BY80" s="92" t="n">
        <f aca="false">IF(AI80&gt;=BK80,0,IFERROR(BK80+SUMPRODUCT((AI$4:AI$503&gt;=BK$4:BK$503)*(AI$4:AI$503-BK$4:BK$503))/MAX(1,COUNTIF(AI$4:AI$503,"&lt;"&amp;BK80+0.01)),BK80))</f>
        <v>7878.25652380952</v>
      </c>
      <c r="BZ80" s="92" t="n">
        <f aca="false">IF(AJ80&gt;=BL80,0,IFERROR(BL80+SUMPRODUCT((AJ$4:AJ$503&gt;=BL$4:BL$503)*(AJ$4:AJ$503-BL$4:BL$503))/MAX(1,COUNTIF(AJ$4:AJ$503,"&lt;"&amp;BL80+0.01)),BL80))</f>
        <v>6710.03292307692</v>
      </c>
      <c r="CA80" s="92" t="n">
        <f aca="false">IF(AK80&gt;=BM80,0,IFERROR(BM80+SUMPRODUCT((AK$4:AK$503&gt;=BM$4:BM$503)*(AK$4:AK$503-BM$4:BM$503))/MAX(1,COUNTIF(AK$4:AK$503,"&lt;"&amp;BM80+0.01)),BM80))</f>
        <v>7314.89836842105</v>
      </c>
      <c r="CB80" s="93" t="n">
        <f aca="false">IF(AL80&gt;=BN80,0,IFERROR(BN80+SUMPRODUCT((AL$4:AL$503&gt;=BN$4:BN$503)*(AL$4:AL$503-BN$4:BN$503))/MAX(1,COUNTIF(AL$4:AL$503,"&lt;"&amp;BN80+0.01)),BN80))</f>
        <v>0</v>
      </c>
      <c r="CC80" s="95" t="str">
        <f aca="false">IF(AO80="🟢","VERDE",IF(AO80="🟡","AMARELO",IF(AO80="🟠","VERMELHO",IF(AO80="🔴","VERMELHO","ROXO"))))</f>
        <v>VERMELHO</v>
      </c>
      <c r="CD80" s="96" t="s">
        <v>176</v>
      </c>
      <c r="CE80" s="96" t="s">
        <v>66</v>
      </c>
    </row>
    <row r="81" customFormat="false" ht="14.25" hidden="false" customHeight="true" outlineLevel="0" collapsed="false">
      <c r="A81" s="65" t="s">
        <v>301</v>
      </c>
      <c r="B81" s="66" t="s">
        <v>302</v>
      </c>
      <c r="C81" s="67" t="s">
        <v>123</v>
      </c>
      <c r="D81" s="68" t="s">
        <v>108</v>
      </c>
      <c r="E81" s="56" t="s">
        <v>20</v>
      </c>
      <c r="F81" s="70" t="n">
        <f aca="false">IFERROR(VLOOKUP(C81,$AS$3:$AT$10,2,FALSE()),IFERROR(VLOOKUP(C81,$AS$15:$AT$22,2,FALSE()),""))</f>
        <v>49</v>
      </c>
      <c r="G81" s="71" t="n">
        <f aca="false">IFERROR(VLOOKUP(C81,$AS$3:$AX$10,6,FALSE()),IFERROR(VLOOKUP(C81,$AS$15:$AX$22,6,FALSE()),""))</f>
        <v>0.436391353881959</v>
      </c>
      <c r="H81" s="72" t="str">
        <f aca="false">IFERROR(VLOOKUP(C81,$AS$3:$AY$10,7,FALSE()),IFERROR(VLOOKUP(C81,$AS$15:$AY$22,7,FALSE()),""))</f>
        <v>🟡 AMARELO</v>
      </c>
      <c r="I81" s="72" t="str">
        <f aca="false">IFERROR(VLOOKUP(C81,$AS$3:$AZ$10,8,FALSE()),IFERROR(VLOOKUP(C81,$AS$15:$AZ$22,8,FALSE()),""))</f>
        <v>Sell Out</v>
      </c>
      <c r="J81" s="73"/>
      <c r="K81" s="56" t="s">
        <v>20</v>
      </c>
      <c r="L81" s="74" t="n">
        <v>14090.22</v>
      </c>
      <c r="M81" s="75" t="n">
        <v>990.16</v>
      </c>
      <c r="N81" s="75" t="n">
        <v>1034.68</v>
      </c>
      <c r="O81" s="75" t="n">
        <v>1059.62</v>
      </c>
      <c r="P81" s="75" t="n">
        <v>1087.22</v>
      </c>
      <c r="Q81" s="75" t="n">
        <v>1122.84</v>
      </c>
      <c r="R81" s="75" t="n">
        <v>1152.22</v>
      </c>
      <c r="S81" s="75" t="n">
        <v>1196.74</v>
      </c>
      <c r="T81" s="75" t="n">
        <v>1226.13</v>
      </c>
      <c r="U81" s="75" t="n">
        <v>1253.73</v>
      </c>
      <c r="V81" s="75" t="n">
        <v>1284.9</v>
      </c>
      <c r="W81" s="75" t="n">
        <v>1318.73</v>
      </c>
      <c r="X81" s="76" t="n">
        <v>1363.25</v>
      </c>
      <c r="Y81" s="77" t="s">
        <v>20</v>
      </c>
      <c r="Z81" s="78" t="n">
        <f aca="false">SUM(AA81:AL81)</f>
        <v>5960.37</v>
      </c>
      <c r="AA81" s="75" t="n">
        <v>480</v>
      </c>
      <c r="AB81" s="75"/>
      <c r="AC81" s="75"/>
      <c r="AD81" s="75" t="n">
        <v>961.5</v>
      </c>
      <c r="AE81" s="75"/>
      <c r="AF81" s="75" t="n">
        <v>674.33</v>
      </c>
      <c r="AG81" s="75" t="n">
        <v>944.16</v>
      </c>
      <c r="AH81" s="75"/>
      <c r="AI81" s="75" t="n">
        <v>1106.63</v>
      </c>
      <c r="AJ81" s="75"/>
      <c r="AK81" s="75" t="n">
        <v>904.5</v>
      </c>
      <c r="AL81" s="76" t="n">
        <v>889.25</v>
      </c>
      <c r="AM81" s="56" t="s">
        <v>20</v>
      </c>
      <c r="AN81" s="80" t="n">
        <f aca="false">IF(L81=0,0,Z81/L81)</f>
        <v>0.423014686782747</v>
      </c>
      <c r="AO81" s="81" t="str">
        <f aca="false">IF(AN81="","",IF(AN81&gt;=0.9,"🟢",IF(AN81&gt;=0.7,"🟡",IF(AN81&gt;=0.5,"🟠","🔴"))))</f>
        <v>🔴</v>
      </c>
      <c r="AP81" s="82" t="n">
        <f aca="false">IF(L81=0,0,L81-Z81)</f>
        <v>8129.85</v>
      </c>
      <c r="AQ81" s="83" t="n">
        <f aca="false">IF(AP81=0,"",RANK(AP81,AP$4:AP$503,0))</f>
        <v>74</v>
      </c>
      <c r="AR81" s="84" t="s">
        <v>20</v>
      </c>
      <c r="AS81" s="141"/>
      <c r="AT81" s="141"/>
      <c r="AU81" s="141"/>
      <c r="AV81" s="141"/>
      <c r="AW81" s="141"/>
      <c r="AX81" s="141"/>
      <c r="AY81" s="142"/>
      <c r="AZ81" s="142"/>
      <c r="BA81" s="56" t="s">
        <v>20</v>
      </c>
      <c r="BB81" s="91" t="n">
        <f aca="false">SUM(L$4:L$503)/COUNTA(A$4:A$503)</f>
        <v>9494.39992</v>
      </c>
      <c r="BC81" s="92" t="n">
        <f aca="false">SUM(M$4:M$503)/COUNTA(A$4:A$503)</f>
        <v>667.20008</v>
      </c>
      <c r="BD81" s="92" t="n">
        <f aca="false">SUM(N$4:N$503)/COUNTA(A$4:A$503)</f>
        <v>697.19996</v>
      </c>
      <c r="BE81" s="92" t="n">
        <f aca="false">SUM(O$4:O$503)/COUNTA(A$4:A$503)</f>
        <v>713.9999</v>
      </c>
      <c r="BF81" s="92" t="n">
        <f aca="false">SUM(P$4:P$503)/COUNTA(A$4:A$503)</f>
        <v>732.59984</v>
      </c>
      <c r="BG81" s="92" t="n">
        <f aca="false">SUM(Q$4:Q$503)/COUNTA(A$4:A$503)</f>
        <v>756.59992</v>
      </c>
      <c r="BH81" s="92" t="n">
        <f aca="false">SUM(R$4:R$503)/COUNTA(A$4:A$503)</f>
        <v>776.40004</v>
      </c>
      <c r="BI81" s="92" t="n">
        <f aca="false">SUM(S$4:S$503)/COUNTA(A$4:A$503)</f>
        <v>806.40012</v>
      </c>
      <c r="BJ81" s="92" t="n">
        <f aca="false">SUM(T$4:T$503)/COUNTA(A$4:A$503)</f>
        <v>826.1999</v>
      </c>
      <c r="BK81" s="92" t="n">
        <f aca="false">SUM(U$4:U$503)/COUNTA(A$4:A$503)</f>
        <v>844.8002</v>
      </c>
      <c r="BL81" s="92" t="n">
        <f aca="false">SUM(V$4:V$503)/COUNTA(A$4:A$503)</f>
        <v>865.7998</v>
      </c>
      <c r="BM81" s="92" t="n">
        <f aca="false">SUM(W$4:W$503)/COUNTA(A$4:A$503)</f>
        <v>888.59982</v>
      </c>
      <c r="BN81" s="93" t="n">
        <f aca="false">SUM(X$4:X$503)/COUNTA(A$4:A$503)</f>
        <v>918.60034</v>
      </c>
      <c r="BO81" s="94" t="s">
        <v>20</v>
      </c>
      <c r="BP81" s="91" t="n">
        <f aca="false">IF(Z81&gt;=BB81,0,IFERROR(BB81+(SUMPRODUCT((Z$4:Z$503&gt;=BB$4:BB$503)*(Z$4:Z$503-BB$4:BB$503))/MAX(1,COUNTIF(Z$4:Z$503,"&lt;"&amp;BB81+0.01))),BB81))</f>
        <v>10695.5432177778</v>
      </c>
      <c r="BQ81" s="92" t="n">
        <f aca="false">IF(AA81&gt;=BC81,0,IFERROR(BC81+SUMPRODUCT((AA$4:AA$503&gt;=BC$4:BC$503)*(AA$4:AA$503-BC$4:BC$503))/MAX(1,COUNTIF(AA$4:AA$503,"&lt;"&amp;BC81+0.01)),BC81))</f>
        <v>2238.46589176471</v>
      </c>
      <c r="BR81" s="92" t="n">
        <f aca="false">IF(AB81&gt;=BD81,0,IFERROR(BD81+SUMPRODUCT((AB$4:AB$503&gt;=BD$4:BD$503)*(AB$4:AB$503-BD$4:BD$503))/MAX(1,COUNTIF(AB$4:AB$503,"&lt;"&amp;BD81+0.01)),BD81))</f>
        <v>3335.2938</v>
      </c>
      <c r="BS81" s="92" t="n">
        <f aca="false">IF(AC81&gt;=BE81,0,IFERROR(BE81+SUMPRODUCT((AC$4:AC$503&gt;=BE$4:BE$503)*(AC$4:AC$503-BE$4:BE$503))/MAX(1,COUNTIF(AC$4:AC$503,"&lt;"&amp;BE81+0.01)),BE81))</f>
        <v>6188.73352</v>
      </c>
      <c r="BT81" s="92" t="n">
        <f aca="false">IF(AD81&gt;=BF81,0,IFERROR(BF81+SUMPRODUCT((AD$4:AD$503&gt;=BF$4:BF$503)*(AD$4:AD$503-BF$4:BF$503))/MAX(1,COUNTIF(AD$4:AD$503,"&lt;"&amp;BF81+0.01)),BF81))</f>
        <v>0</v>
      </c>
      <c r="BU81" s="92" t="n">
        <f aca="false">IF(AE81&gt;=BG81,0,IFERROR(BG81+SUMPRODUCT((AE$4:AE$503&gt;=BG$4:BG$503)*(AE$4:AE$503-BG$4:BG$503))/MAX(1,COUNTIF(AE$4:AE$503,"&lt;"&amp;BG81+0.01)),BG81))</f>
        <v>7704.85920380952</v>
      </c>
      <c r="BV81" s="92" t="n">
        <f aca="false">IF(AF81&gt;=BH81,0,IFERROR(BH81+SUMPRODUCT((AF$4:AF$503&gt;=BH$4:BH$503)*(AF$4:AF$503-BH$4:BH$503))/MAX(1,COUNTIF(AF$4:AF$503,"&lt;"&amp;BH81+0.01)),BH81))</f>
        <v>9942.6503831579</v>
      </c>
      <c r="BW81" s="92" t="n">
        <f aca="false">IF(AG81&gt;=BI81,0,IFERROR(BI81+SUMPRODUCT((AG$4:AG$503&gt;=BI$4:BI$503)*(AG$4:AG$503-BI$4:BI$503))/MAX(1,COUNTIF(AG$4:AG$503,"&lt;"&amp;BI81+0.01)),BI81))</f>
        <v>0</v>
      </c>
      <c r="BX81" s="92" t="n">
        <f aca="false">IF(AH81&gt;=BJ81,0,IFERROR(BJ81+SUMPRODUCT((AH$4:AH$503&gt;=BJ$4:BJ$503)*(AH$4:AH$503-BJ$4:BJ$503))/MAX(1,COUNTIF(AH$4:AH$503,"&lt;"&amp;BJ81+0.01)),BJ81))</f>
        <v>5621.50263448276</v>
      </c>
      <c r="BY81" s="92" t="n">
        <f aca="false">IF(AI81&gt;=BK81,0,IFERROR(BK81+SUMPRODUCT((AI$4:AI$503&gt;=BK$4:BK$503)*(AI$4:AI$503-BK$4:BK$503))/MAX(1,COUNTIF(AI$4:AI$503,"&lt;"&amp;BK81+0.01)),BK81))</f>
        <v>0</v>
      </c>
      <c r="BZ81" s="92" t="n">
        <f aca="false">IF(AJ81&gt;=BL81,0,IFERROR(BL81+SUMPRODUCT((AJ$4:AJ$503&gt;=BL$4:BL$503)*(AJ$4:AJ$503-BL$4:BL$503))/MAX(1,COUNTIF(AJ$4:AJ$503,"&lt;"&amp;BL81+0.01)),BL81))</f>
        <v>6710.03292307692</v>
      </c>
      <c r="CA81" s="92" t="n">
        <f aca="false">IF(AK81&gt;=BM81,0,IFERROR(BM81+SUMPRODUCT((AK$4:AK$503&gt;=BM$4:BM$503)*(AK$4:AK$503-BM$4:BM$503))/MAX(1,COUNTIF(AK$4:AK$503,"&lt;"&amp;BM81+0.01)),BM81))</f>
        <v>0</v>
      </c>
      <c r="CB81" s="93" t="n">
        <f aca="false">IF(AL81&gt;=BN81,0,IFERROR(BN81+SUMPRODUCT((AL$4:AL$503&gt;=BN$4:BN$503)*(AL$4:AL$503-BN$4:BN$503))/MAX(1,COUNTIF(AL$4:AL$503,"&lt;"&amp;BN81+0.01)),BN81))</f>
        <v>3597.2614925</v>
      </c>
      <c r="CC81" s="95" t="str">
        <f aca="false">IF(AO81="🟢","VERDE",IF(AO81="🟡","AMARELO",IF(AO81="🟠","VERMELHO",IF(AO81="🔴","VERMELHO","ROXO"))))</f>
        <v>VERMELHO</v>
      </c>
      <c r="CD81" s="96" t="s">
        <v>103</v>
      </c>
      <c r="CE81" s="96" t="s">
        <v>104</v>
      </c>
    </row>
    <row r="82" customFormat="false" ht="14.25" hidden="false" customHeight="true" outlineLevel="0" collapsed="false">
      <c r="A82" s="65" t="s">
        <v>303</v>
      </c>
      <c r="B82" s="66" t="s">
        <v>304</v>
      </c>
      <c r="C82" s="67" t="s">
        <v>123</v>
      </c>
      <c r="D82" s="68" t="s">
        <v>108</v>
      </c>
      <c r="E82" s="56" t="s">
        <v>20</v>
      </c>
      <c r="F82" s="70" t="n">
        <f aca="false">IFERROR(VLOOKUP(C82,$AS$3:$AT$10,2,FALSE()),IFERROR(VLOOKUP(C82,$AS$15:$AT$22,2,FALSE()),""))</f>
        <v>49</v>
      </c>
      <c r="G82" s="71" t="n">
        <f aca="false">IFERROR(VLOOKUP(C82,$AS$3:$AX$10,6,FALSE()),IFERROR(VLOOKUP(C82,$AS$15:$AX$22,6,FALSE()),""))</f>
        <v>0.436391353881959</v>
      </c>
      <c r="H82" s="72" t="str">
        <f aca="false">IFERROR(VLOOKUP(C82,$AS$3:$AY$10,7,FALSE()),IFERROR(VLOOKUP(C82,$AS$15:$AY$22,7,FALSE()),""))</f>
        <v>🟡 AMARELO</v>
      </c>
      <c r="I82" s="72" t="str">
        <f aca="false">IFERROR(VLOOKUP(C82,$AS$3:$AZ$10,8,FALSE()),IFERROR(VLOOKUP(C82,$AS$15:$AZ$22,8,FALSE()),""))</f>
        <v>Sell Out</v>
      </c>
      <c r="J82" s="73"/>
      <c r="K82" s="56" t="s">
        <v>20</v>
      </c>
      <c r="L82" s="74" t="n">
        <v>13859.97</v>
      </c>
      <c r="M82" s="75" t="n">
        <v>973.98</v>
      </c>
      <c r="N82" s="75" t="n">
        <v>1017.78</v>
      </c>
      <c r="O82" s="75" t="n">
        <v>1042.3</v>
      </c>
      <c r="P82" s="75" t="n">
        <v>1069.45</v>
      </c>
      <c r="Q82" s="75" t="n">
        <v>1104.49</v>
      </c>
      <c r="R82" s="75" t="n">
        <v>1133.39</v>
      </c>
      <c r="S82" s="75" t="n">
        <v>1177.19</v>
      </c>
      <c r="T82" s="75" t="n">
        <v>1206.09</v>
      </c>
      <c r="U82" s="75" t="n">
        <v>1233.24</v>
      </c>
      <c r="V82" s="75" t="n">
        <v>1263.9</v>
      </c>
      <c r="W82" s="75" t="n">
        <v>1297.18</v>
      </c>
      <c r="X82" s="76" t="n">
        <v>1340.98</v>
      </c>
      <c r="Y82" s="77" t="s">
        <v>20</v>
      </c>
      <c r="Z82" s="78" t="n">
        <f aca="false">SUM(AA82:AL82)</f>
        <v>5573.8</v>
      </c>
      <c r="AA82" s="75"/>
      <c r="AB82" s="75"/>
      <c r="AC82" s="75" t="n">
        <v>4019.02</v>
      </c>
      <c r="AD82" s="75"/>
      <c r="AE82" s="75" t="n">
        <v>1554.78</v>
      </c>
      <c r="AF82" s="75"/>
      <c r="AG82" s="75"/>
      <c r="AH82" s="75"/>
      <c r="AI82" s="75"/>
      <c r="AJ82" s="75"/>
      <c r="AK82" s="75"/>
      <c r="AL82" s="76"/>
      <c r="AM82" s="56" t="s">
        <v>20</v>
      </c>
      <c r="AN82" s="80" t="n">
        <f aca="false">IF(L82=0,0,Z82/L82)</f>
        <v>0.402150942606658</v>
      </c>
      <c r="AO82" s="81" t="str">
        <f aca="false">IF(AN82="","",IF(AN82&gt;=0.9,"🟢",IF(AN82&gt;=0.7,"🟡",IF(AN82&gt;=0.5,"🟠","🔴"))))</f>
        <v>🔴</v>
      </c>
      <c r="AP82" s="82" t="n">
        <f aca="false">IF(L82=0,0,L82-Z82)</f>
        <v>8286.17</v>
      </c>
      <c r="AQ82" s="83" t="n">
        <f aca="false">IF(AP82=0,"",RANK(AP82,AP$4:AP$503,0))</f>
        <v>71</v>
      </c>
      <c r="AR82" s="84" t="s">
        <v>20</v>
      </c>
      <c r="AS82" s="141"/>
      <c r="AT82" s="141"/>
      <c r="AU82" s="141"/>
      <c r="AV82" s="141"/>
      <c r="AW82" s="141"/>
      <c r="AX82" s="141"/>
      <c r="AY82" s="142"/>
      <c r="AZ82" s="142"/>
      <c r="BA82" s="56" t="s">
        <v>20</v>
      </c>
      <c r="BB82" s="91" t="n">
        <f aca="false">SUM(L$4:L$503)/COUNTA(A$4:A$503)</f>
        <v>9494.39992</v>
      </c>
      <c r="BC82" s="92" t="n">
        <f aca="false">SUM(M$4:M$503)/COUNTA(A$4:A$503)</f>
        <v>667.20008</v>
      </c>
      <c r="BD82" s="92" t="n">
        <f aca="false">SUM(N$4:N$503)/COUNTA(A$4:A$503)</f>
        <v>697.19996</v>
      </c>
      <c r="BE82" s="92" t="n">
        <f aca="false">SUM(O$4:O$503)/COUNTA(A$4:A$503)</f>
        <v>713.9999</v>
      </c>
      <c r="BF82" s="92" t="n">
        <f aca="false">SUM(P$4:P$503)/COUNTA(A$4:A$503)</f>
        <v>732.59984</v>
      </c>
      <c r="BG82" s="92" t="n">
        <f aca="false">SUM(Q$4:Q$503)/COUNTA(A$4:A$503)</f>
        <v>756.59992</v>
      </c>
      <c r="BH82" s="92" t="n">
        <f aca="false">SUM(R$4:R$503)/COUNTA(A$4:A$503)</f>
        <v>776.40004</v>
      </c>
      <c r="BI82" s="92" t="n">
        <f aca="false">SUM(S$4:S$503)/COUNTA(A$4:A$503)</f>
        <v>806.40012</v>
      </c>
      <c r="BJ82" s="92" t="n">
        <f aca="false">SUM(T$4:T$503)/COUNTA(A$4:A$503)</f>
        <v>826.1999</v>
      </c>
      <c r="BK82" s="92" t="n">
        <f aca="false">SUM(U$4:U$503)/COUNTA(A$4:A$503)</f>
        <v>844.8002</v>
      </c>
      <c r="BL82" s="92" t="n">
        <f aca="false">SUM(V$4:V$503)/COUNTA(A$4:A$503)</f>
        <v>865.7998</v>
      </c>
      <c r="BM82" s="92" t="n">
        <f aca="false">SUM(W$4:W$503)/COUNTA(A$4:A$503)</f>
        <v>888.59982</v>
      </c>
      <c r="BN82" s="93" t="n">
        <f aca="false">SUM(X$4:X$503)/COUNTA(A$4:A$503)</f>
        <v>918.60034</v>
      </c>
      <c r="BO82" s="94" t="s">
        <v>20</v>
      </c>
      <c r="BP82" s="91" t="n">
        <f aca="false">IF(Z82&gt;=BB82,0,IFERROR(BB82+(SUMPRODUCT((Z$4:Z$503&gt;=BB$4:BB$503)*(Z$4:Z$503-BB$4:BB$503))/MAX(1,COUNTIF(Z$4:Z$503,"&lt;"&amp;BB82+0.01))),BB82))</f>
        <v>10695.5432177778</v>
      </c>
      <c r="BQ82" s="92" t="n">
        <f aca="false">IF(AA82&gt;=BC82,0,IFERROR(BC82+SUMPRODUCT((AA$4:AA$503&gt;=BC$4:BC$503)*(AA$4:AA$503-BC$4:BC$503))/MAX(1,COUNTIF(AA$4:AA$503,"&lt;"&amp;BC82+0.01)),BC82))</f>
        <v>2238.46589176471</v>
      </c>
      <c r="BR82" s="92" t="n">
        <f aca="false">IF(AB82&gt;=BD82,0,IFERROR(BD82+SUMPRODUCT((AB$4:AB$503&gt;=BD$4:BD$503)*(AB$4:AB$503-BD$4:BD$503))/MAX(1,COUNTIF(AB$4:AB$503,"&lt;"&amp;BD82+0.01)),BD82))</f>
        <v>3335.2938</v>
      </c>
      <c r="BS82" s="92" t="n">
        <f aca="false">IF(AC82&gt;=BE82,0,IFERROR(BE82+SUMPRODUCT((AC$4:AC$503&gt;=BE$4:BE$503)*(AC$4:AC$503-BE$4:BE$503))/MAX(1,COUNTIF(AC$4:AC$503,"&lt;"&amp;BE82+0.01)),BE82))</f>
        <v>0</v>
      </c>
      <c r="BT82" s="92" t="n">
        <f aca="false">IF(AD82&gt;=BF82,0,IFERROR(BF82+SUMPRODUCT((AD$4:AD$503&gt;=BF$4:BF$503)*(AD$4:AD$503-BF$4:BF$503))/MAX(1,COUNTIF(AD$4:AD$503,"&lt;"&amp;BF82+0.01)),BF82))</f>
        <v>11354.35411</v>
      </c>
      <c r="BU82" s="92" t="n">
        <f aca="false">IF(AE82&gt;=BG82,0,IFERROR(BG82+SUMPRODUCT((AE$4:AE$503&gt;=BG$4:BG$503)*(AE$4:AE$503-BG$4:BG$503))/MAX(1,COUNTIF(AE$4:AE$503,"&lt;"&amp;BG82+0.01)),BG82))</f>
        <v>0</v>
      </c>
      <c r="BV82" s="92" t="n">
        <f aca="false">IF(AF82&gt;=BH82,0,IFERROR(BH82+SUMPRODUCT((AF$4:AF$503&gt;=BH$4:BH$503)*(AF$4:AF$503-BH$4:BH$503))/MAX(1,COUNTIF(AF$4:AF$503,"&lt;"&amp;BH82+0.01)),BH82))</f>
        <v>9942.6503831579</v>
      </c>
      <c r="BW82" s="92" t="n">
        <f aca="false">IF(AG82&gt;=BI82,0,IFERROR(BI82+SUMPRODUCT((AG$4:AG$503&gt;=BI$4:BI$503)*(AG$4:AG$503-BI$4:BI$503))/MAX(1,COUNTIF(AG$4:AG$503,"&lt;"&amp;BI82+0.01)),BI82))</f>
        <v>9142.15870461538</v>
      </c>
      <c r="BX82" s="92" t="n">
        <f aca="false">IF(AH82&gt;=BJ82,0,IFERROR(BJ82+SUMPRODUCT((AH$4:AH$503&gt;=BJ$4:BJ$503)*(AH$4:AH$503-BJ$4:BJ$503))/MAX(1,COUNTIF(AH$4:AH$503,"&lt;"&amp;BJ82+0.01)),BJ82))</f>
        <v>5621.50263448276</v>
      </c>
      <c r="BY82" s="92" t="n">
        <f aca="false">IF(AI82&gt;=BK82,0,IFERROR(BK82+SUMPRODUCT((AI$4:AI$503&gt;=BK$4:BK$503)*(AI$4:AI$503-BK$4:BK$503))/MAX(1,COUNTIF(AI$4:AI$503,"&lt;"&amp;BK82+0.01)),BK82))</f>
        <v>7878.25652380952</v>
      </c>
      <c r="BZ82" s="92" t="n">
        <f aca="false">IF(AJ82&gt;=BL82,0,IFERROR(BL82+SUMPRODUCT((AJ$4:AJ$503&gt;=BL$4:BL$503)*(AJ$4:AJ$503-BL$4:BL$503))/MAX(1,COUNTIF(AJ$4:AJ$503,"&lt;"&amp;BL82+0.01)),BL82))</f>
        <v>6710.03292307692</v>
      </c>
      <c r="CA82" s="92" t="n">
        <f aca="false">IF(AK82&gt;=BM82,0,IFERROR(BM82+SUMPRODUCT((AK$4:AK$503&gt;=BM$4:BM$503)*(AK$4:AK$503-BM$4:BM$503))/MAX(1,COUNTIF(AK$4:AK$503,"&lt;"&amp;BM82+0.01)),BM82))</f>
        <v>7314.89836842105</v>
      </c>
      <c r="CB82" s="93" t="n">
        <f aca="false">IF(AL82&gt;=BN82,0,IFERROR(BN82+SUMPRODUCT((AL$4:AL$503&gt;=BN$4:BN$503)*(AL$4:AL$503-BN$4:BN$503))/MAX(1,COUNTIF(AL$4:AL$503,"&lt;"&amp;BN82+0.01)),BN82))</f>
        <v>3597.2614925</v>
      </c>
      <c r="CC82" s="95" t="str">
        <f aca="false">IF(AO82="🟢","VERDE",IF(AO82="🟡","AMARELO",IF(AO82="🟠","VERMELHO",IF(AO82="🔴","VERMELHO","ROXO"))))</f>
        <v>VERMELHO</v>
      </c>
      <c r="CD82" s="96" t="s">
        <v>103</v>
      </c>
      <c r="CE82" s="96" t="s">
        <v>104</v>
      </c>
    </row>
    <row r="83" customFormat="false" ht="14.25" hidden="false" customHeight="true" outlineLevel="0" collapsed="false">
      <c r="A83" s="65" t="s">
        <v>305</v>
      </c>
      <c r="B83" s="66" t="s">
        <v>306</v>
      </c>
      <c r="C83" s="67" t="s">
        <v>123</v>
      </c>
      <c r="D83" s="68" t="s">
        <v>108</v>
      </c>
      <c r="E83" s="56" t="s">
        <v>20</v>
      </c>
      <c r="F83" s="70" t="n">
        <f aca="false">IFERROR(VLOOKUP(C83,$AS$3:$AT$10,2,FALSE()),IFERROR(VLOOKUP(C83,$AS$15:$AT$22,2,FALSE()),""))</f>
        <v>49</v>
      </c>
      <c r="G83" s="71" t="n">
        <f aca="false">IFERROR(VLOOKUP(C83,$AS$3:$AX$10,6,FALSE()),IFERROR(VLOOKUP(C83,$AS$15:$AX$22,6,FALSE()),""))</f>
        <v>0.436391353881959</v>
      </c>
      <c r="H83" s="72" t="str">
        <f aca="false">IFERROR(VLOOKUP(C83,$AS$3:$AY$10,7,FALSE()),IFERROR(VLOOKUP(C83,$AS$15:$AY$22,7,FALSE()),""))</f>
        <v>🟡 AMARELO</v>
      </c>
      <c r="I83" s="72" t="str">
        <f aca="false">IFERROR(VLOOKUP(C83,$AS$3:$AZ$10,8,FALSE()),IFERROR(VLOOKUP(C83,$AS$15:$AZ$22,8,FALSE()),""))</f>
        <v>Sell Out</v>
      </c>
      <c r="J83" s="73"/>
      <c r="K83" s="56" t="s">
        <v>20</v>
      </c>
      <c r="L83" s="74" t="n">
        <v>13815.81</v>
      </c>
      <c r="M83" s="75" t="n">
        <v>970.88</v>
      </c>
      <c r="N83" s="75" t="n">
        <v>1014.53</v>
      </c>
      <c r="O83" s="75" t="n">
        <v>1038.98</v>
      </c>
      <c r="P83" s="75" t="n">
        <v>1066.05</v>
      </c>
      <c r="Q83" s="75" t="n">
        <v>1100.97</v>
      </c>
      <c r="R83" s="75" t="n">
        <v>1129.78</v>
      </c>
      <c r="S83" s="75" t="n">
        <v>1173.44</v>
      </c>
      <c r="T83" s="75" t="n">
        <v>1202.25</v>
      </c>
      <c r="U83" s="75" t="n">
        <v>1229.31</v>
      </c>
      <c r="V83" s="75" t="n">
        <v>1259.87</v>
      </c>
      <c r="W83" s="75" t="n">
        <v>1293.05</v>
      </c>
      <c r="X83" s="76" t="n">
        <v>1336.7</v>
      </c>
      <c r="Y83" s="77" t="s">
        <v>20</v>
      </c>
      <c r="Z83" s="78" t="n">
        <f aca="false">SUM(AA83:AL83)</f>
        <v>5556.04</v>
      </c>
      <c r="AA83" s="75"/>
      <c r="AB83" s="75"/>
      <c r="AC83" s="75" t="n">
        <v>4008.39</v>
      </c>
      <c r="AD83" s="75"/>
      <c r="AE83" s="75"/>
      <c r="AF83" s="75"/>
      <c r="AG83" s="75"/>
      <c r="AH83" s="75" t="n">
        <v>1547.65</v>
      </c>
      <c r="AI83" s="75"/>
      <c r="AJ83" s="75"/>
      <c r="AK83" s="75"/>
      <c r="AL83" s="76"/>
      <c r="AM83" s="56" t="s">
        <v>20</v>
      </c>
      <c r="AN83" s="80" t="n">
        <f aca="false">IF(L83=0,0,Z83/L83)</f>
        <v>0.402150869185375</v>
      </c>
      <c r="AO83" s="81" t="str">
        <f aca="false">IF(AN83="","",IF(AN83&gt;=0.9,"🟢",IF(AN83&gt;=0.7,"🟡",IF(AN83&gt;=0.5,"🟠","🔴"))))</f>
        <v>🔴</v>
      </c>
      <c r="AP83" s="82" t="n">
        <f aca="false">IF(L83=0,0,L83-Z83)</f>
        <v>8259.77</v>
      </c>
      <c r="AQ83" s="83" t="n">
        <f aca="false">IF(AP83=0,"",RANK(AP83,AP$4:AP$503,0))</f>
        <v>72</v>
      </c>
      <c r="AR83" s="84" t="s">
        <v>20</v>
      </c>
      <c r="AS83" s="141"/>
      <c r="AT83" s="141"/>
      <c r="AU83" s="141"/>
      <c r="AV83" s="141"/>
      <c r="AW83" s="141"/>
      <c r="AX83" s="141"/>
      <c r="AY83" s="142"/>
      <c r="AZ83" s="142"/>
      <c r="BA83" s="56" t="s">
        <v>20</v>
      </c>
      <c r="BB83" s="91" t="n">
        <f aca="false">SUM(L$4:L$503)/COUNTA(A$4:A$503)</f>
        <v>9494.39992</v>
      </c>
      <c r="BC83" s="92" t="n">
        <f aca="false">SUM(M$4:M$503)/COUNTA(A$4:A$503)</f>
        <v>667.20008</v>
      </c>
      <c r="BD83" s="92" t="n">
        <f aca="false">SUM(N$4:N$503)/COUNTA(A$4:A$503)</f>
        <v>697.19996</v>
      </c>
      <c r="BE83" s="92" t="n">
        <f aca="false">SUM(O$4:O$503)/COUNTA(A$4:A$503)</f>
        <v>713.9999</v>
      </c>
      <c r="BF83" s="92" t="n">
        <f aca="false">SUM(P$4:P$503)/COUNTA(A$4:A$503)</f>
        <v>732.59984</v>
      </c>
      <c r="BG83" s="92" t="n">
        <f aca="false">SUM(Q$4:Q$503)/COUNTA(A$4:A$503)</f>
        <v>756.59992</v>
      </c>
      <c r="BH83" s="92" t="n">
        <f aca="false">SUM(R$4:R$503)/COUNTA(A$4:A$503)</f>
        <v>776.40004</v>
      </c>
      <c r="BI83" s="92" t="n">
        <f aca="false">SUM(S$4:S$503)/COUNTA(A$4:A$503)</f>
        <v>806.40012</v>
      </c>
      <c r="BJ83" s="92" t="n">
        <f aca="false">SUM(T$4:T$503)/COUNTA(A$4:A$503)</f>
        <v>826.1999</v>
      </c>
      <c r="BK83" s="92" t="n">
        <f aca="false">SUM(U$4:U$503)/COUNTA(A$4:A$503)</f>
        <v>844.8002</v>
      </c>
      <c r="BL83" s="92" t="n">
        <f aca="false">SUM(V$4:V$503)/COUNTA(A$4:A$503)</f>
        <v>865.7998</v>
      </c>
      <c r="BM83" s="92" t="n">
        <f aca="false">SUM(W$4:W$503)/COUNTA(A$4:A$503)</f>
        <v>888.59982</v>
      </c>
      <c r="BN83" s="93" t="n">
        <f aca="false">SUM(X$4:X$503)/COUNTA(A$4:A$503)</f>
        <v>918.60034</v>
      </c>
      <c r="BO83" s="94" t="s">
        <v>20</v>
      </c>
      <c r="BP83" s="91" t="n">
        <f aca="false">IF(Z83&gt;=BB83,0,IFERROR(BB83+(SUMPRODUCT((Z$4:Z$503&gt;=BB$4:BB$503)*(Z$4:Z$503-BB$4:BB$503))/MAX(1,COUNTIF(Z$4:Z$503,"&lt;"&amp;BB83+0.01))),BB83))</f>
        <v>10695.5432177778</v>
      </c>
      <c r="BQ83" s="92" t="n">
        <f aca="false">IF(AA83&gt;=BC83,0,IFERROR(BC83+SUMPRODUCT((AA$4:AA$503&gt;=BC$4:BC$503)*(AA$4:AA$503-BC$4:BC$503))/MAX(1,COUNTIF(AA$4:AA$503,"&lt;"&amp;BC83+0.01)),BC83))</f>
        <v>2238.46589176471</v>
      </c>
      <c r="BR83" s="92" t="n">
        <f aca="false">IF(AB83&gt;=BD83,0,IFERROR(BD83+SUMPRODUCT((AB$4:AB$503&gt;=BD$4:BD$503)*(AB$4:AB$503-BD$4:BD$503))/MAX(1,COUNTIF(AB$4:AB$503,"&lt;"&amp;BD83+0.01)),BD83))</f>
        <v>3335.2938</v>
      </c>
      <c r="BS83" s="92" t="n">
        <f aca="false">IF(AC83&gt;=BE83,0,IFERROR(BE83+SUMPRODUCT((AC$4:AC$503&gt;=BE$4:BE$503)*(AC$4:AC$503-BE$4:BE$503))/MAX(1,COUNTIF(AC$4:AC$503,"&lt;"&amp;BE83+0.01)),BE83))</f>
        <v>0</v>
      </c>
      <c r="BT83" s="92" t="n">
        <f aca="false">IF(AD83&gt;=BF83,0,IFERROR(BF83+SUMPRODUCT((AD$4:AD$503&gt;=BF$4:BF$503)*(AD$4:AD$503-BF$4:BF$503))/MAX(1,COUNTIF(AD$4:AD$503,"&lt;"&amp;BF83+0.01)),BF83))</f>
        <v>11354.35411</v>
      </c>
      <c r="BU83" s="92" t="n">
        <f aca="false">IF(AE83&gt;=BG83,0,IFERROR(BG83+SUMPRODUCT((AE$4:AE$503&gt;=BG$4:BG$503)*(AE$4:AE$503-BG$4:BG$503))/MAX(1,COUNTIF(AE$4:AE$503,"&lt;"&amp;BG83+0.01)),BG83))</f>
        <v>7704.85920380952</v>
      </c>
      <c r="BV83" s="92" t="n">
        <f aca="false">IF(AF83&gt;=BH83,0,IFERROR(BH83+SUMPRODUCT((AF$4:AF$503&gt;=BH$4:BH$503)*(AF$4:AF$503-BH$4:BH$503))/MAX(1,COUNTIF(AF$4:AF$503,"&lt;"&amp;BH83+0.01)),BH83))</f>
        <v>9942.6503831579</v>
      </c>
      <c r="BW83" s="92" t="n">
        <f aca="false">IF(AG83&gt;=BI83,0,IFERROR(BI83+SUMPRODUCT((AG$4:AG$503&gt;=BI$4:BI$503)*(AG$4:AG$503-BI$4:BI$503))/MAX(1,COUNTIF(AG$4:AG$503,"&lt;"&amp;BI83+0.01)),BI83))</f>
        <v>9142.15870461538</v>
      </c>
      <c r="BX83" s="92" t="n">
        <f aca="false">IF(AH83&gt;=BJ83,0,IFERROR(BJ83+SUMPRODUCT((AH$4:AH$503&gt;=BJ$4:BJ$503)*(AH$4:AH$503-BJ$4:BJ$503))/MAX(1,COUNTIF(AH$4:AH$503,"&lt;"&amp;BJ83+0.01)),BJ83))</f>
        <v>0</v>
      </c>
      <c r="BY83" s="92" t="n">
        <f aca="false">IF(AI83&gt;=BK83,0,IFERROR(BK83+SUMPRODUCT((AI$4:AI$503&gt;=BK$4:BK$503)*(AI$4:AI$503-BK$4:BK$503))/MAX(1,COUNTIF(AI$4:AI$503,"&lt;"&amp;BK83+0.01)),BK83))</f>
        <v>7878.25652380952</v>
      </c>
      <c r="BZ83" s="92" t="n">
        <f aca="false">IF(AJ83&gt;=BL83,0,IFERROR(BL83+SUMPRODUCT((AJ$4:AJ$503&gt;=BL$4:BL$503)*(AJ$4:AJ$503-BL$4:BL$503))/MAX(1,COUNTIF(AJ$4:AJ$503,"&lt;"&amp;BL83+0.01)),BL83))</f>
        <v>6710.03292307692</v>
      </c>
      <c r="CA83" s="92" t="n">
        <f aca="false">IF(AK83&gt;=BM83,0,IFERROR(BM83+SUMPRODUCT((AK$4:AK$503&gt;=BM$4:BM$503)*(AK$4:AK$503-BM$4:BM$503))/MAX(1,COUNTIF(AK$4:AK$503,"&lt;"&amp;BM83+0.01)),BM83))</f>
        <v>7314.89836842105</v>
      </c>
      <c r="CB83" s="93" t="n">
        <f aca="false">IF(AL83&gt;=BN83,0,IFERROR(BN83+SUMPRODUCT((AL$4:AL$503&gt;=BN$4:BN$503)*(AL$4:AL$503-BN$4:BN$503))/MAX(1,COUNTIF(AL$4:AL$503,"&lt;"&amp;BN83+0.01)),BN83))</f>
        <v>3597.2614925</v>
      </c>
      <c r="CC83" s="95" t="str">
        <f aca="false">IF(AO83="🟢","VERDE",IF(AO83="🟡","AMARELO",IF(AO83="🟠","VERMELHO",IF(AO83="🔴","VERMELHO","ROXO"))))</f>
        <v>VERMELHO</v>
      </c>
      <c r="CD83" s="96" t="s">
        <v>103</v>
      </c>
      <c r="CE83" s="96" t="s">
        <v>104</v>
      </c>
    </row>
    <row r="84" customFormat="false" ht="14.25" hidden="false" customHeight="true" outlineLevel="0" collapsed="false">
      <c r="A84" s="65" t="s">
        <v>307</v>
      </c>
      <c r="B84" s="66" t="s">
        <v>308</v>
      </c>
      <c r="C84" s="67" t="s">
        <v>107</v>
      </c>
      <c r="D84" s="68" t="s">
        <v>108</v>
      </c>
      <c r="E84" s="69" t="s">
        <v>109</v>
      </c>
      <c r="F84" s="70" t="n">
        <f aca="false">IFERROR(VLOOKUP(C84,$AS$3:$AT$10,2,FALSE()),IFERROR(VLOOKUP(C84,$AS$15:$AT$22,2,FALSE()),""))</f>
        <v>132</v>
      </c>
      <c r="G84" s="71" t="n">
        <f aca="false">IFERROR(VLOOKUP(C84,$AS$3:$AX$10,6,FALSE()),IFERROR(VLOOKUP(C84,$AS$15:$AX$22,6,FALSE()),""))</f>
        <v>0.468190175850689</v>
      </c>
      <c r="H84" s="72" t="str">
        <f aca="false">IFERROR(VLOOKUP(C84,$AS$3:$AY$10,7,FALSE()),IFERROR(VLOOKUP(C84,$AS$15:$AY$22,7,FALSE()),""))</f>
        <v>🟡 AMARELO</v>
      </c>
      <c r="I84" s="72" t="str">
        <f aca="false">IFERROR(VLOOKUP(C84,$AS$3:$AZ$10,8,FALSE()),IFERROR(VLOOKUP(C84,$AS$15:$AZ$22,8,FALSE()),""))</f>
        <v>Sell Out</v>
      </c>
      <c r="J84" s="73"/>
      <c r="K84" s="69" t="s">
        <v>107</v>
      </c>
      <c r="L84" s="74" t="n">
        <v>13720.22</v>
      </c>
      <c r="M84" s="75" t="n">
        <v>964.16</v>
      </c>
      <c r="N84" s="75" t="n">
        <v>1007.51</v>
      </c>
      <c r="O84" s="75" t="n">
        <v>1031.79</v>
      </c>
      <c r="P84" s="75" t="n">
        <v>1058.67</v>
      </c>
      <c r="Q84" s="75" t="n">
        <v>1093.35</v>
      </c>
      <c r="R84" s="75" t="n">
        <v>1121.96</v>
      </c>
      <c r="S84" s="75" t="n">
        <v>1165.32</v>
      </c>
      <c r="T84" s="75" t="n">
        <v>1193.93</v>
      </c>
      <c r="U84" s="75" t="n">
        <v>1220.81</v>
      </c>
      <c r="V84" s="75" t="n">
        <v>1251.16</v>
      </c>
      <c r="W84" s="75" t="n">
        <v>1284.1</v>
      </c>
      <c r="X84" s="76" t="n">
        <v>1327.46</v>
      </c>
      <c r="Y84" s="77" t="s">
        <v>20</v>
      </c>
      <c r="Z84" s="78" t="n">
        <f aca="false">SUM(AA84:AL84)</f>
        <v>6784.57</v>
      </c>
      <c r="AA84" s="79" t="n">
        <v>1104</v>
      </c>
      <c r="AB84" s="75"/>
      <c r="AC84" s="75"/>
      <c r="AD84" s="79" t="n">
        <v>1008</v>
      </c>
      <c r="AE84" s="75"/>
      <c r="AF84" s="75"/>
      <c r="AG84" s="79" t="n">
        <v>1146.03</v>
      </c>
      <c r="AH84" s="75"/>
      <c r="AI84" s="75"/>
      <c r="AJ84" s="75" t="n">
        <v>1255.68</v>
      </c>
      <c r="AK84" s="79" t="n">
        <v>1152</v>
      </c>
      <c r="AL84" s="76" t="n">
        <v>1118.86</v>
      </c>
      <c r="AM84" s="56" t="s">
        <v>20</v>
      </c>
      <c r="AN84" s="80" t="n">
        <f aca="false">IF(L84=0,0,Z84/L84)</f>
        <v>0.494494257380713</v>
      </c>
      <c r="AO84" s="81" t="str">
        <f aca="false">IF(AN84="","",IF(AN84&gt;=0.9,"🟢",IF(AN84&gt;=0.7,"🟡",IF(AN84&gt;=0.5,"🟠","🔴"))))</f>
        <v>🔴</v>
      </c>
      <c r="AP84" s="82" t="n">
        <f aca="false">IF(L84=0,0,L84-Z84)</f>
        <v>6935.65</v>
      </c>
      <c r="AQ84" s="83" t="n">
        <f aca="false">IF(AP84=0,"",RANK(AP84,AP$4:AP$503,0))</f>
        <v>88</v>
      </c>
      <c r="AR84" s="84" t="s">
        <v>20</v>
      </c>
      <c r="AS84" s="141"/>
      <c r="AT84" s="141"/>
      <c r="AU84" s="141"/>
      <c r="AV84" s="141"/>
      <c r="AW84" s="141"/>
      <c r="AX84" s="141"/>
      <c r="AY84" s="142"/>
      <c r="AZ84" s="142"/>
      <c r="BA84" s="56" t="s">
        <v>20</v>
      </c>
      <c r="BB84" s="91" t="n">
        <f aca="false">SUM(L$4:L$503)/COUNTA(A$4:A$503)</f>
        <v>9494.39992</v>
      </c>
      <c r="BC84" s="92" t="n">
        <f aca="false">SUM(M$4:M$503)/COUNTA(A$4:A$503)</f>
        <v>667.20008</v>
      </c>
      <c r="BD84" s="92" t="n">
        <f aca="false">SUM(N$4:N$503)/COUNTA(A$4:A$503)</f>
        <v>697.19996</v>
      </c>
      <c r="BE84" s="92" t="n">
        <f aca="false">SUM(O$4:O$503)/COUNTA(A$4:A$503)</f>
        <v>713.9999</v>
      </c>
      <c r="BF84" s="92" t="n">
        <f aca="false">SUM(P$4:P$503)/COUNTA(A$4:A$503)</f>
        <v>732.59984</v>
      </c>
      <c r="BG84" s="92" t="n">
        <f aca="false">SUM(Q$4:Q$503)/COUNTA(A$4:A$503)</f>
        <v>756.59992</v>
      </c>
      <c r="BH84" s="92" t="n">
        <f aca="false">SUM(R$4:R$503)/COUNTA(A$4:A$503)</f>
        <v>776.40004</v>
      </c>
      <c r="BI84" s="92" t="n">
        <f aca="false">SUM(S$4:S$503)/COUNTA(A$4:A$503)</f>
        <v>806.40012</v>
      </c>
      <c r="BJ84" s="92" t="n">
        <f aca="false">SUM(T$4:T$503)/COUNTA(A$4:A$503)</f>
        <v>826.1999</v>
      </c>
      <c r="BK84" s="92" t="n">
        <f aca="false">SUM(U$4:U$503)/COUNTA(A$4:A$503)</f>
        <v>844.8002</v>
      </c>
      <c r="BL84" s="92" t="n">
        <f aca="false">SUM(V$4:V$503)/COUNTA(A$4:A$503)</f>
        <v>865.7998</v>
      </c>
      <c r="BM84" s="92" t="n">
        <f aca="false">SUM(W$4:W$503)/COUNTA(A$4:A$503)</f>
        <v>888.59982</v>
      </c>
      <c r="BN84" s="93" t="n">
        <f aca="false">SUM(X$4:X$503)/COUNTA(A$4:A$503)</f>
        <v>918.60034</v>
      </c>
      <c r="BO84" s="94" t="s">
        <v>20</v>
      </c>
      <c r="BP84" s="91" t="n">
        <f aca="false">IF(Z84&gt;=BB84,0,IFERROR(BB84+(SUMPRODUCT((Z$4:Z$503&gt;=BB$4:BB$503)*(Z$4:Z$503-BB$4:BB$503))/MAX(1,COUNTIF(Z$4:Z$503,"&lt;"&amp;BB84+0.01))),BB84))</f>
        <v>10695.5432177778</v>
      </c>
      <c r="BQ84" s="92" t="n">
        <f aca="false">IF(AA84&gt;=BC84,0,IFERROR(BC84+SUMPRODUCT((AA$4:AA$503&gt;=BC$4:BC$503)*(AA$4:AA$503-BC$4:BC$503))/MAX(1,COUNTIF(AA$4:AA$503,"&lt;"&amp;BC84+0.01)),BC84))</f>
        <v>0</v>
      </c>
      <c r="BR84" s="92" t="n">
        <f aca="false">IF(AB84&gt;=BD84,0,IFERROR(BD84+SUMPRODUCT((AB$4:AB$503&gt;=BD$4:BD$503)*(AB$4:AB$503-BD$4:BD$503))/MAX(1,COUNTIF(AB$4:AB$503,"&lt;"&amp;BD84+0.01)),BD84))</f>
        <v>3335.2938</v>
      </c>
      <c r="BS84" s="92" t="n">
        <f aca="false">IF(AC84&gt;=BE84,0,IFERROR(BE84+SUMPRODUCT((AC$4:AC$503&gt;=BE$4:BE$503)*(AC$4:AC$503-BE$4:BE$503))/MAX(1,COUNTIF(AC$4:AC$503,"&lt;"&amp;BE84+0.01)),BE84))</f>
        <v>6188.73352</v>
      </c>
      <c r="BT84" s="92" t="n">
        <f aca="false">IF(AD84&gt;=BF84,0,IFERROR(BF84+SUMPRODUCT((AD$4:AD$503&gt;=BF$4:BF$503)*(AD$4:AD$503-BF$4:BF$503))/MAX(1,COUNTIF(AD$4:AD$503,"&lt;"&amp;BF84+0.01)),BF84))</f>
        <v>0</v>
      </c>
      <c r="BU84" s="92" t="n">
        <f aca="false">IF(AE84&gt;=BG84,0,IFERROR(BG84+SUMPRODUCT((AE$4:AE$503&gt;=BG$4:BG$503)*(AE$4:AE$503-BG$4:BG$503))/MAX(1,COUNTIF(AE$4:AE$503,"&lt;"&amp;BG84+0.01)),BG84))</f>
        <v>7704.85920380952</v>
      </c>
      <c r="BV84" s="92" t="n">
        <f aca="false">IF(AF84&gt;=BH84,0,IFERROR(BH84+SUMPRODUCT((AF$4:AF$503&gt;=BH$4:BH$503)*(AF$4:AF$503-BH$4:BH$503))/MAX(1,COUNTIF(AF$4:AF$503,"&lt;"&amp;BH84+0.01)),BH84))</f>
        <v>9942.6503831579</v>
      </c>
      <c r="BW84" s="92" t="n">
        <f aca="false">IF(AG84&gt;=BI84,0,IFERROR(BI84+SUMPRODUCT((AG$4:AG$503&gt;=BI$4:BI$503)*(AG$4:AG$503-BI$4:BI$503))/MAX(1,COUNTIF(AG$4:AG$503,"&lt;"&amp;BI84+0.01)),BI84))</f>
        <v>0</v>
      </c>
      <c r="BX84" s="92" t="n">
        <f aca="false">IF(AH84&gt;=BJ84,0,IFERROR(BJ84+SUMPRODUCT((AH$4:AH$503&gt;=BJ$4:BJ$503)*(AH$4:AH$503-BJ$4:BJ$503))/MAX(1,COUNTIF(AH$4:AH$503,"&lt;"&amp;BJ84+0.01)),BJ84))</f>
        <v>5621.50263448276</v>
      </c>
      <c r="BY84" s="92" t="n">
        <f aca="false">IF(AI84&gt;=BK84,0,IFERROR(BK84+SUMPRODUCT((AI$4:AI$503&gt;=BK$4:BK$503)*(AI$4:AI$503-BK$4:BK$503))/MAX(1,COUNTIF(AI$4:AI$503,"&lt;"&amp;BK84+0.01)),BK84))</f>
        <v>7878.25652380952</v>
      </c>
      <c r="BZ84" s="92" t="n">
        <f aca="false">IF(AJ84&gt;=BL84,0,IFERROR(BL84+SUMPRODUCT((AJ$4:AJ$503&gt;=BL$4:BL$503)*(AJ$4:AJ$503-BL$4:BL$503))/MAX(1,COUNTIF(AJ$4:AJ$503,"&lt;"&amp;BL84+0.01)),BL84))</f>
        <v>0</v>
      </c>
      <c r="CA84" s="92" t="n">
        <f aca="false">IF(AK84&gt;=BM84,0,IFERROR(BM84+SUMPRODUCT((AK$4:AK$503&gt;=BM$4:BM$503)*(AK$4:AK$503-BM$4:BM$503))/MAX(1,COUNTIF(AK$4:AK$503,"&lt;"&amp;BM84+0.01)),BM84))</f>
        <v>0</v>
      </c>
      <c r="CB84" s="93" t="n">
        <f aca="false">IF(AL84&gt;=BN84,0,IFERROR(BN84+SUMPRODUCT((AL$4:AL$503&gt;=BN$4:BN$503)*(AL$4:AL$503-BN$4:BN$503))/MAX(1,COUNTIF(AL$4:AL$503,"&lt;"&amp;BN84+0.01)),BN84))</f>
        <v>0</v>
      </c>
      <c r="CC84" s="95" t="str">
        <f aca="false">IF(AO84="🟢","VERDE",IF(AO84="🟡","AMARELO",IF(AO84="🟠","VERMELHO",IF(AO84="🔴","VERMELHO","ROXO"))))</f>
        <v>VERMELHO</v>
      </c>
      <c r="CD84" s="96" t="s">
        <v>103</v>
      </c>
      <c r="CE84" s="96" t="s">
        <v>104</v>
      </c>
    </row>
    <row r="85" customFormat="false" ht="14.25" hidden="false" customHeight="true" outlineLevel="0" collapsed="false">
      <c r="A85" s="65" t="s">
        <v>309</v>
      </c>
      <c r="B85" s="66" t="s">
        <v>310</v>
      </c>
      <c r="C85" s="67" t="s">
        <v>99</v>
      </c>
      <c r="D85" s="68" t="s">
        <v>100</v>
      </c>
      <c r="E85" s="69" t="s">
        <v>311</v>
      </c>
      <c r="F85" s="70" t="n">
        <f aca="false">IFERROR(VLOOKUP(C85,$AS$3:$AT$10,2,FALSE()),IFERROR(VLOOKUP(C85,$AS$15:$AT$22,2,FALSE()),""))</f>
        <v>33</v>
      </c>
      <c r="G85" s="71" t="n">
        <f aca="false">IFERROR(VLOOKUP(C85,$AS$3:$AX$10,6,FALSE()),IFERROR(VLOOKUP(C85,$AS$15:$AX$22,6,FALSE()),""))</f>
        <v>0.341494038351172</v>
      </c>
      <c r="H85" s="72" t="str">
        <f aca="false">IFERROR(VLOOKUP(C85,$AS$3:$AY$10,7,FALSE()),IFERROR(VLOOKUP(C85,$AS$15:$AY$22,7,FALSE()),""))</f>
        <v>🔴 VERMELHO</v>
      </c>
      <c r="I85" s="72" t="str">
        <f aca="false">IFERROR(VLOOKUP(C85,$AS$3:$AZ$10,8,FALSE()),IFERROR(VLOOKUP(C85,$AS$15:$AZ$22,8,FALSE()),""))</f>
        <v>Positivação + Expandir</v>
      </c>
      <c r="J85" s="73"/>
      <c r="K85" s="69" t="s">
        <v>99</v>
      </c>
      <c r="L85" s="74" t="n">
        <v>13498.25</v>
      </c>
      <c r="M85" s="75" t="n">
        <v>948.56</v>
      </c>
      <c r="N85" s="75" t="n">
        <v>991.21</v>
      </c>
      <c r="O85" s="75" t="n">
        <v>1015.1</v>
      </c>
      <c r="P85" s="75" t="n">
        <v>1041.54</v>
      </c>
      <c r="Q85" s="75" t="n">
        <v>1075.66</v>
      </c>
      <c r="R85" s="75" t="n">
        <v>1103.81</v>
      </c>
      <c r="S85" s="75" t="n">
        <v>1146.47</v>
      </c>
      <c r="T85" s="75" t="n">
        <v>1174.62</v>
      </c>
      <c r="U85" s="75" t="n">
        <v>1201.06</v>
      </c>
      <c r="V85" s="75" t="n">
        <v>1230.91</v>
      </c>
      <c r="W85" s="75" t="n">
        <v>1263.33</v>
      </c>
      <c r="X85" s="76" t="n">
        <v>1305.98</v>
      </c>
      <c r="Y85" s="77" t="s">
        <v>20</v>
      </c>
      <c r="Z85" s="78" t="n">
        <f aca="false">SUM(AA85:AL85)</f>
        <v>5428.34</v>
      </c>
      <c r="AA85" s="75"/>
      <c r="AB85" s="75"/>
      <c r="AC85" s="75"/>
      <c r="AD85" s="75"/>
      <c r="AE85" s="75"/>
      <c r="AF85" s="79" t="n">
        <v>5428.34</v>
      </c>
      <c r="AG85" s="75"/>
      <c r="AH85" s="75"/>
      <c r="AI85" s="75"/>
      <c r="AJ85" s="75"/>
      <c r="AK85" s="75"/>
      <c r="AL85" s="76"/>
      <c r="AM85" s="56" t="s">
        <v>20</v>
      </c>
      <c r="AN85" s="80" t="n">
        <f aca="false">IF(L85=0,0,Z85/L85)</f>
        <v>0.402151389994999</v>
      </c>
      <c r="AO85" s="81" t="str">
        <f aca="false">IF(AN85="","",IF(AN85&gt;=0.9,"🟢",IF(AN85&gt;=0.7,"🟡",IF(AN85&gt;=0.5,"🟠","🔴"))))</f>
        <v>🔴</v>
      </c>
      <c r="AP85" s="82" t="n">
        <f aca="false">IF(L85=0,0,L85-Z85)</f>
        <v>8069.91</v>
      </c>
      <c r="AQ85" s="83" t="n">
        <f aca="false">IF(AP85=0,"",RANK(AP85,AP$4:AP$503,0))</f>
        <v>76</v>
      </c>
      <c r="AR85" s="84" t="s">
        <v>20</v>
      </c>
      <c r="AS85" s="141"/>
      <c r="AT85" s="141"/>
      <c r="AU85" s="141"/>
      <c r="AV85" s="141"/>
      <c r="AW85" s="141"/>
      <c r="AX85" s="141"/>
      <c r="AY85" s="142"/>
      <c r="AZ85" s="142"/>
      <c r="BA85" s="56" t="s">
        <v>20</v>
      </c>
      <c r="BB85" s="91" t="n">
        <f aca="false">SUM(L$4:L$503)/COUNTA(A$4:A$503)</f>
        <v>9494.39992</v>
      </c>
      <c r="BC85" s="92" t="n">
        <f aca="false">SUM(M$4:M$503)/COUNTA(A$4:A$503)</f>
        <v>667.20008</v>
      </c>
      <c r="BD85" s="92" t="n">
        <f aca="false">SUM(N$4:N$503)/COUNTA(A$4:A$503)</f>
        <v>697.19996</v>
      </c>
      <c r="BE85" s="92" t="n">
        <f aca="false">SUM(O$4:O$503)/COUNTA(A$4:A$503)</f>
        <v>713.9999</v>
      </c>
      <c r="BF85" s="92" t="n">
        <f aca="false">SUM(P$4:P$503)/COUNTA(A$4:A$503)</f>
        <v>732.59984</v>
      </c>
      <c r="BG85" s="92" t="n">
        <f aca="false">SUM(Q$4:Q$503)/COUNTA(A$4:A$503)</f>
        <v>756.59992</v>
      </c>
      <c r="BH85" s="92" t="n">
        <f aca="false">SUM(R$4:R$503)/COUNTA(A$4:A$503)</f>
        <v>776.40004</v>
      </c>
      <c r="BI85" s="92" t="n">
        <f aca="false">SUM(S$4:S$503)/COUNTA(A$4:A$503)</f>
        <v>806.40012</v>
      </c>
      <c r="BJ85" s="92" t="n">
        <f aca="false">SUM(T$4:T$503)/COUNTA(A$4:A$503)</f>
        <v>826.1999</v>
      </c>
      <c r="BK85" s="92" t="n">
        <f aca="false">SUM(U$4:U$503)/COUNTA(A$4:A$503)</f>
        <v>844.8002</v>
      </c>
      <c r="BL85" s="92" t="n">
        <f aca="false">SUM(V$4:V$503)/COUNTA(A$4:A$503)</f>
        <v>865.7998</v>
      </c>
      <c r="BM85" s="92" t="n">
        <f aca="false">SUM(W$4:W$503)/COUNTA(A$4:A$503)</f>
        <v>888.59982</v>
      </c>
      <c r="BN85" s="93" t="n">
        <f aca="false">SUM(X$4:X$503)/COUNTA(A$4:A$503)</f>
        <v>918.60034</v>
      </c>
      <c r="BO85" s="94" t="s">
        <v>20</v>
      </c>
      <c r="BP85" s="91" t="n">
        <f aca="false">IF(Z85&gt;=BB85,0,IFERROR(BB85+(SUMPRODUCT((Z$4:Z$503&gt;=BB$4:BB$503)*(Z$4:Z$503-BB$4:BB$503))/MAX(1,COUNTIF(Z$4:Z$503,"&lt;"&amp;BB85+0.01))),BB85))</f>
        <v>10695.5432177778</v>
      </c>
      <c r="BQ85" s="92" t="n">
        <f aca="false">IF(AA85&gt;=BC85,0,IFERROR(BC85+SUMPRODUCT((AA$4:AA$503&gt;=BC$4:BC$503)*(AA$4:AA$503-BC$4:BC$503))/MAX(1,COUNTIF(AA$4:AA$503,"&lt;"&amp;BC85+0.01)),BC85))</f>
        <v>2238.46589176471</v>
      </c>
      <c r="BR85" s="92" t="n">
        <f aca="false">IF(AB85&gt;=BD85,0,IFERROR(BD85+SUMPRODUCT((AB$4:AB$503&gt;=BD$4:BD$503)*(AB$4:AB$503-BD$4:BD$503))/MAX(1,COUNTIF(AB$4:AB$503,"&lt;"&amp;BD85+0.01)),BD85))</f>
        <v>3335.2938</v>
      </c>
      <c r="BS85" s="92" t="n">
        <f aca="false">IF(AC85&gt;=BE85,0,IFERROR(BE85+SUMPRODUCT((AC$4:AC$503&gt;=BE$4:BE$503)*(AC$4:AC$503-BE$4:BE$503))/MAX(1,COUNTIF(AC$4:AC$503,"&lt;"&amp;BE85+0.01)),BE85))</f>
        <v>6188.73352</v>
      </c>
      <c r="BT85" s="92" t="n">
        <f aca="false">IF(AD85&gt;=BF85,0,IFERROR(BF85+SUMPRODUCT((AD$4:AD$503&gt;=BF$4:BF$503)*(AD$4:AD$503-BF$4:BF$503))/MAX(1,COUNTIF(AD$4:AD$503,"&lt;"&amp;BF85+0.01)),BF85))</f>
        <v>11354.35411</v>
      </c>
      <c r="BU85" s="92" t="n">
        <f aca="false">IF(AE85&gt;=BG85,0,IFERROR(BG85+SUMPRODUCT((AE$4:AE$503&gt;=BG$4:BG$503)*(AE$4:AE$503-BG$4:BG$503))/MAX(1,COUNTIF(AE$4:AE$503,"&lt;"&amp;BG85+0.01)),BG85))</f>
        <v>7704.85920380952</v>
      </c>
      <c r="BV85" s="92" t="n">
        <f aca="false">IF(AF85&gt;=BH85,0,IFERROR(BH85+SUMPRODUCT((AF$4:AF$503&gt;=BH$4:BH$503)*(AF$4:AF$503-BH$4:BH$503))/MAX(1,COUNTIF(AF$4:AF$503,"&lt;"&amp;BH85+0.01)),BH85))</f>
        <v>0</v>
      </c>
      <c r="BW85" s="92" t="n">
        <f aca="false">IF(AG85&gt;=BI85,0,IFERROR(BI85+SUMPRODUCT((AG$4:AG$503&gt;=BI$4:BI$503)*(AG$4:AG$503-BI$4:BI$503))/MAX(1,COUNTIF(AG$4:AG$503,"&lt;"&amp;BI85+0.01)),BI85))</f>
        <v>9142.15870461538</v>
      </c>
      <c r="BX85" s="92" t="n">
        <f aca="false">IF(AH85&gt;=BJ85,0,IFERROR(BJ85+SUMPRODUCT((AH$4:AH$503&gt;=BJ$4:BJ$503)*(AH$4:AH$503-BJ$4:BJ$503))/MAX(1,COUNTIF(AH$4:AH$503,"&lt;"&amp;BJ85+0.01)),BJ85))</f>
        <v>5621.50263448276</v>
      </c>
      <c r="BY85" s="92" t="n">
        <f aca="false">IF(AI85&gt;=BK85,0,IFERROR(BK85+SUMPRODUCT((AI$4:AI$503&gt;=BK$4:BK$503)*(AI$4:AI$503-BK$4:BK$503))/MAX(1,COUNTIF(AI$4:AI$503,"&lt;"&amp;BK85+0.01)),BK85))</f>
        <v>7878.25652380952</v>
      </c>
      <c r="BZ85" s="92" t="n">
        <f aca="false">IF(AJ85&gt;=BL85,0,IFERROR(BL85+SUMPRODUCT((AJ$4:AJ$503&gt;=BL$4:BL$503)*(AJ$4:AJ$503-BL$4:BL$503))/MAX(1,COUNTIF(AJ$4:AJ$503,"&lt;"&amp;BL85+0.01)),BL85))</f>
        <v>6710.03292307692</v>
      </c>
      <c r="CA85" s="92" t="n">
        <f aca="false">IF(AK85&gt;=BM85,0,IFERROR(BM85+SUMPRODUCT((AK$4:AK$503&gt;=BM$4:BM$503)*(AK$4:AK$503-BM$4:BM$503))/MAX(1,COUNTIF(AK$4:AK$503,"&lt;"&amp;BM85+0.01)),BM85))</f>
        <v>7314.89836842105</v>
      </c>
      <c r="CB85" s="93" t="n">
        <f aca="false">IF(AL85&gt;=BN85,0,IFERROR(BN85+SUMPRODUCT((AL$4:AL$503&gt;=BN$4:BN$503)*(AL$4:AL$503-BN$4:BN$503))/MAX(1,COUNTIF(AL$4:AL$503,"&lt;"&amp;BN85+0.01)),BN85))</f>
        <v>3597.2614925</v>
      </c>
      <c r="CC85" s="95" t="str">
        <f aca="false">IF(AO85="🟢","VERDE",IF(AO85="🟡","AMARELO",IF(AO85="🟠","VERMELHO",IF(AO85="🔴","VERMELHO","ROXO"))))</f>
        <v>VERMELHO</v>
      </c>
      <c r="CD85" s="96" t="s">
        <v>103</v>
      </c>
      <c r="CE85" s="96" t="s">
        <v>104</v>
      </c>
    </row>
    <row r="86" customFormat="false" ht="14.25" hidden="false" customHeight="true" outlineLevel="0" collapsed="false">
      <c r="A86" s="65" t="s">
        <v>312</v>
      </c>
      <c r="B86" s="66" t="s">
        <v>313</v>
      </c>
      <c r="C86" s="66" t="s">
        <v>66</v>
      </c>
      <c r="D86" s="68" t="s">
        <v>175</v>
      </c>
      <c r="E86" s="69" t="s">
        <v>139</v>
      </c>
      <c r="F86" s="70" t="n">
        <f aca="false">IFERROR(VLOOKUP(C86,$AS$3:$AT$10,2,FALSE()),IFERROR(VLOOKUP(C86,$AS$15:$AT$22,2,FALSE()),""))</f>
        <v>44</v>
      </c>
      <c r="G86" s="71" t="n">
        <f aca="false">IFERROR(VLOOKUP(C86,$AS$3:$AX$10,6,FALSE()),IFERROR(VLOOKUP(C86,$AS$15:$AX$22,6,FALSE()),""))</f>
        <v>0.496839506257363</v>
      </c>
      <c r="H86" s="72" t="str">
        <f aca="false">IFERROR(VLOOKUP(C86,$AS$3:$AY$10,7,FALSE()),IFERROR(VLOOKUP(C86,$AS$15:$AY$22,7,FALSE()),""))</f>
        <v>🟡 AMARELO</v>
      </c>
      <c r="I86" s="72" t="str">
        <f aca="false">IFERROR(VLOOKUP(C86,$AS$3:$AZ$10,8,FALSE()),IFERROR(VLOOKUP(C86,$AS$15:$AZ$22,8,FALSE()),""))</f>
        <v>Sell Out</v>
      </c>
      <c r="J86" s="73"/>
      <c r="K86" s="69" t="s">
        <v>107</v>
      </c>
      <c r="L86" s="74" t="n">
        <v>13203.51</v>
      </c>
      <c r="M86" s="75" t="n">
        <v>927.85</v>
      </c>
      <c r="N86" s="75" t="n">
        <v>969.57</v>
      </c>
      <c r="O86" s="75" t="n">
        <v>992.93</v>
      </c>
      <c r="P86" s="75" t="n">
        <v>1018.8</v>
      </c>
      <c r="Q86" s="75" t="n">
        <v>1052.18</v>
      </c>
      <c r="R86" s="75" t="n">
        <v>1079.71</v>
      </c>
      <c r="S86" s="75" t="n">
        <v>1121.43</v>
      </c>
      <c r="T86" s="75" t="n">
        <v>1148.97</v>
      </c>
      <c r="U86" s="75" t="n">
        <v>1174.83</v>
      </c>
      <c r="V86" s="75" t="n">
        <v>1204.04</v>
      </c>
      <c r="W86" s="75" t="n">
        <v>1235.74</v>
      </c>
      <c r="X86" s="76" t="n">
        <v>1277.46</v>
      </c>
      <c r="Y86" s="77" t="s">
        <v>20</v>
      </c>
      <c r="Z86" s="78" t="n">
        <f aca="false">SUM(AA86:AL86)</f>
        <v>5433.56</v>
      </c>
      <c r="AA86" s="75"/>
      <c r="AB86" s="75"/>
      <c r="AC86" s="75"/>
      <c r="AD86" s="75"/>
      <c r="AE86" s="75"/>
      <c r="AF86" s="79" t="n">
        <v>1223.11</v>
      </c>
      <c r="AG86" s="75"/>
      <c r="AH86" s="79" t="n">
        <v>876.13</v>
      </c>
      <c r="AI86" s="75"/>
      <c r="AJ86" s="79" t="n">
        <v>2489.93</v>
      </c>
      <c r="AK86" s="75"/>
      <c r="AL86" s="107" t="n">
        <v>844.39</v>
      </c>
      <c r="AM86" s="56" t="s">
        <v>20</v>
      </c>
      <c r="AN86" s="80" t="n">
        <f aca="false">IF(L86=0,0,Z86/L86)</f>
        <v>0.411523905385765</v>
      </c>
      <c r="AO86" s="81" t="str">
        <f aca="false">IF(AN86="","",IF(AN86&gt;=0.9,"🟢",IF(AN86&gt;=0.7,"🟡",IF(AN86&gt;=0.5,"🟠","🔴"))))</f>
        <v>🔴</v>
      </c>
      <c r="AP86" s="82" t="n">
        <f aca="false">IF(L86=0,0,L86-Z86)</f>
        <v>7769.95</v>
      </c>
      <c r="AQ86" s="83" t="n">
        <f aca="false">IF(AP86=0,"",RANK(AP86,AP$4:AP$503,0))</f>
        <v>80</v>
      </c>
      <c r="AR86" s="84" t="s">
        <v>20</v>
      </c>
      <c r="AS86" s="141"/>
      <c r="AT86" s="141"/>
      <c r="AU86" s="141"/>
      <c r="AV86" s="141"/>
      <c r="AW86" s="141"/>
      <c r="AX86" s="141"/>
      <c r="AY86" s="142"/>
      <c r="AZ86" s="142"/>
      <c r="BA86" s="56" t="s">
        <v>20</v>
      </c>
      <c r="BB86" s="91" t="n">
        <f aca="false">SUM(L$4:L$503)/COUNTA(A$4:A$503)</f>
        <v>9494.39992</v>
      </c>
      <c r="BC86" s="92" t="n">
        <f aca="false">SUM(M$4:M$503)/COUNTA(A$4:A$503)</f>
        <v>667.20008</v>
      </c>
      <c r="BD86" s="92" t="n">
        <f aca="false">SUM(N$4:N$503)/COUNTA(A$4:A$503)</f>
        <v>697.19996</v>
      </c>
      <c r="BE86" s="92" t="n">
        <f aca="false">SUM(O$4:O$503)/COUNTA(A$4:A$503)</f>
        <v>713.9999</v>
      </c>
      <c r="BF86" s="92" t="n">
        <f aca="false">SUM(P$4:P$503)/COUNTA(A$4:A$503)</f>
        <v>732.59984</v>
      </c>
      <c r="BG86" s="92" t="n">
        <f aca="false">SUM(Q$4:Q$503)/COUNTA(A$4:A$503)</f>
        <v>756.59992</v>
      </c>
      <c r="BH86" s="92" t="n">
        <f aca="false">SUM(R$4:R$503)/COUNTA(A$4:A$503)</f>
        <v>776.40004</v>
      </c>
      <c r="BI86" s="92" t="n">
        <f aca="false">SUM(S$4:S$503)/COUNTA(A$4:A$503)</f>
        <v>806.40012</v>
      </c>
      <c r="BJ86" s="92" t="n">
        <f aca="false">SUM(T$4:T$503)/COUNTA(A$4:A$503)</f>
        <v>826.1999</v>
      </c>
      <c r="BK86" s="92" t="n">
        <f aca="false">SUM(U$4:U$503)/COUNTA(A$4:A$503)</f>
        <v>844.8002</v>
      </c>
      <c r="BL86" s="92" t="n">
        <f aca="false">SUM(V$4:V$503)/COUNTA(A$4:A$503)</f>
        <v>865.7998</v>
      </c>
      <c r="BM86" s="92" t="n">
        <f aca="false">SUM(W$4:W$503)/COUNTA(A$4:A$503)</f>
        <v>888.59982</v>
      </c>
      <c r="BN86" s="93" t="n">
        <f aca="false">SUM(X$4:X$503)/COUNTA(A$4:A$503)</f>
        <v>918.60034</v>
      </c>
      <c r="BO86" s="94" t="s">
        <v>20</v>
      </c>
      <c r="BP86" s="91" t="n">
        <f aca="false">IF(Z86&gt;=BB86,0,IFERROR(BB86+(SUMPRODUCT((Z$4:Z$503&gt;=BB$4:BB$503)*(Z$4:Z$503-BB$4:BB$503))/MAX(1,COUNTIF(Z$4:Z$503,"&lt;"&amp;BB86+0.01))),BB86))</f>
        <v>10695.5432177778</v>
      </c>
      <c r="BQ86" s="92" t="n">
        <f aca="false">IF(AA86&gt;=BC86,0,IFERROR(BC86+SUMPRODUCT((AA$4:AA$503&gt;=BC$4:BC$503)*(AA$4:AA$503-BC$4:BC$503))/MAX(1,COUNTIF(AA$4:AA$503,"&lt;"&amp;BC86+0.01)),BC86))</f>
        <v>2238.46589176471</v>
      </c>
      <c r="BR86" s="92" t="n">
        <f aca="false">IF(AB86&gt;=BD86,0,IFERROR(BD86+SUMPRODUCT((AB$4:AB$503&gt;=BD$4:BD$503)*(AB$4:AB$503-BD$4:BD$503))/MAX(1,COUNTIF(AB$4:AB$503,"&lt;"&amp;BD86+0.01)),BD86))</f>
        <v>3335.2938</v>
      </c>
      <c r="BS86" s="92" t="n">
        <f aca="false">IF(AC86&gt;=BE86,0,IFERROR(BE86+SUMPRODUCT((AC$4:AC$503&gt;=BE$4:BE$503)*(AC$4:AC$503-BE$4:BE$503))/MAX(1,COUNTIF(AC$4:AC$503,"&lt;"&amp;BE86+0.01)),BE86))</f>
        <v>6188.73352</v>
      </c>
      <c r="BT86" s="92" t="n">
        <f aca="false">IF(AD86&gt;=BF86,0,IFERROR(BF86+SUMPRODUCT((AD$4:AD$503&gt;=BF$4:BF$503)*(AD$4:AD$503-BF$4:BF$503))/MAX(1,COUNTIF(AD$4:AD$503,"&lt;"&amp;BF86+0.01)),BF86))</f>
        <v>11354.35411</v>
      </c>
      <c r="BU86" s="92" t="n">
        <f aca="false">IF(AE86&gt;=BG86,0,IFERROR(BG86+SUMPRODUCT((AE$4:AE$503&gt;=BG$4:BG$503)*(AE$4:AE$503-BG$4:BG$503))/MAX(1,COUNTIF(AE$4:AE$503,"&lt;"&amp;BG86+0.01)),BG86))</f>
        <v>7704.85920380952</v>
      </c>
      <c r="BV86" s="92" t="n">
        <f aca="false">IF(AF86&gt;=BH86,0,IFERROR(BH86+SUMPRODUCT((AF$4:AF$503&gt;=BH$4:BH$503)*(AF$4:AF$503-BH$4:BH$503))/MAX(1,COUNTIF(AF$4:AF$503,"&lt;"&amp;BH86+0.01)),BH86))</f>
        <v>0</v>
      </c>
      <c r="BW86" s="92" t="n">
        <f aca="false">IF(AG86&gt;=BI86,0,IFERROR(BI86+SUMPRODUCT((AG$4:AG$503&gt;=BI$4:BI$503)*(AG$4:AG$503-BI$4:BI$503))/MAX(1,COUNTIF(AG$4:AG$503,"&lt;"&amp;BI86+0.01)),BI86))</f>
        <v>9142.15870461538</v>
      </c>
      <c r="BX86" s="92" t="n">
        <f aca="false">IF(AH86&gt;=BJ86,0,IFERROR(BJ86+SUMPRODUCT((AH$4:AH$503&gt;=BJ$4:BJ$503)*(AH$4:AH$503-BJ$4:BJ$503))/MAX(1,COUNTIF(AH$4:AH$503,"&lt;"&amp;BJ86+0.01)),BJ86))</f>
        <v>0</v>
      </c>
      <c r="BY86" s="92" t="n">
        <f aca="false">IF(AI86&gt;=BK86,0,IFERROR(BK86+SUMPRODUCT((AI$4:AI$503&gt;=BK$4:BK$503)*(AI$4:AI$503-BK$4:BK$503))/MAX(1,COUNTIF(AI$4:AI$503,"&lt;"&amp;BK86+0.01)),BK86))</f>
        <v>7878.25652380952</v>
      </c>
      <c r="BZ86" s="92" t="n">
        <f aca="false">IF(AJ86&gt;=BL86,0,IFERROR(BL86+SUMPRODUCT((AJ$4:AJ$503&gt;=BL$4:BL$503)*(AJ$4:AJ$503-BL$4:BL$503))/MAX(1,COUNTIF(AJ$4:AJ$503,"&lt;"&amp;BL86+0.01)),BL86))</f>
        <v>0</v>
      </c>
      <c r="CA86" s="92" t="n">
        <f aca="false">IF(AK86&gt;=BM86,0,IFERROR(BM86+SUMPRODUCT((AK$4:AK$503&gt;=BM$4:BM$503)*(AK$4:AK$503-BM$4:BM$503))/MAX(1,COUNTIF(AK$4:AK$503,"&lt;"&amp;BM86+0.01)),BM86))</f>
        <v>7314.89836842105</v>
      </c>
      <c r="CB86" s="93" t="n">
        <f aca="false">IF(AL86&gt;=BN86,0,IFERROR(BN86+SUMPRODUCT((AL$4:AL$503&gt;=BN$4:BN$503)*(AL$4:AL$503-BN$4:BN$503))/MAX(1,COUNTIF(AL$4:AL$503,"&lt;"&amp;BN86+0.01)),BN86))</f>
        <v>3597.2614925</v>
      </c>
      <c r="CC86" s="95" t="str">
        <f aca="false">IF(AO86="🟢","VERDE",IF(AO86="🟡","AMARELO",IF(AO86="🟠","VERMELHO",IF(AO86="🔴","VERMELHO","ROXO"))))</f>
        <v>VERMELHO</v>
      </c>
      <c r="CD86" s="96" t="s">
        <v>176</v>
      </c>
      <c r="CE86" s="96" t="s">
        <v>66</v>
      </c>
    </row>
    <row r="87" customFormat="false" ht="14.25" hidden="false" customHeight="true" outlineLevel="0" collapsed="false">
      <c r="A87" s="65" t="s">
        <v>314</v>
      </c>
      <c r="B87" s="66" t="s">
        <v>315</v>
      </c>
      <c r="C87" s="67" t="s">
        <v>107</v>
      </c>
      <c r="D87" s="68" t="s">
        <v>108</v>
      </c>
      <c r="E87" s="69" t="s">
        <v>139</v>
      </c>
      <c r="F87" s="70" t="n">
        <f aca="false">IFERROR(VLOOKUP(C87,$AS$3:$AT$10,2,FALSE()),IFERROR(VLOOKUP(C87,$AS$15:$AT$22,2,FALSE()),""))</f>
        <v>132</v>
      </c>
      <c r="G87" s="71" t="n">
        <f aca="false">IFERROR(VLOOKUP(C87,$AS$3:$AX$10,6,FALSE()),IFERROR(VLOOKUP(C87,$AS$15:$AX$22,6,FALSE()),""))</f>
        <v>0.468190175850689</v>
      </c>
      <c r="H87" s="72" t="str">
        <f aca="false">IFERROR(VLOOKUP(C87,$AS$3:$AY$10,7,FALSE()),IFERROR(VLOOKUP(C87,$AS$15:$AY$22,7,FALSE()),""))</f>
        <v>🟡 AMARELO</v>
      </c>
      <c r="I87" s="72" t="str">
        <f aca="false">IFERROR(VLOOKUP(C87,$AS$3:$AZ$10,8,FALSE()),IFERROR(VLOOKUP(C87,$AS$15:$AZ$22,8,FALSE()),""))</f>
        <v>Sell Out</v>
      </c>
      <c r="J87" s="73"/>
      <c r="K87" s="69" t="s">
        <v>107</v>
      </c>
      <c r="L87" s="74" t="n">
        <v>13194.69</v>
      </c>
      <c r="M87" s="75" t="n">
        <v>927.23</v>
      </c>
      <c r="N87" s="75" t="n">
        <v>968.92</v>
      </c>
      <c r="O87" s="75" t="n">
        <v>992.27</v>
      </c>
      <c r="P87" s="75" t="n">
        <v>1018.12</v>
      </c>
      <c r="Q87" s="75" t="n">
        <v>1051.47</v>
      </c>
      <c r="R87" s="75" t="n">
        <v>1078.99</v>
      </c>
      <c r="S87" s="75" t="n">
        <v>1120.68</v>
      </c>
      <c r="T87" s="75" t="n">
        <v>1148.2</v>
      </c>
      <c r="U87" s="75" t="n">
        <v>1174.05</v>
      </c>
      <c r="V87" s="75" t="n">
        <v>1203.23</v>
      </c>
      <c r="W87" s="75" t="n">
        <v>1234.92</v>
      </c>
      <c r="X87" s="76" t="n">
        <v>1276.61</v>
      </c>
      <c r="Y87" s="77" t="s">
        <v>20</v>
      </c>
      <c r="Z87" s="78" t="n">
        <f aca="false">SUM(AA87:AL87)</f>
        <v>5301.79</v>
      </c>
      <c r="AA87" s="75"/>
      <c r="AB87" s="75"/>
      <c r="AC87" s="75"/>
      <c r="AD87" s="75"/>
      <c r="AE87" s="75"/>
      <c r="AF87" s="75"/>
      <c r="AG87" s="75"/>
      <c r="AH87" s="75"/>
      <c r="AI87" s="75"/>
      <c r="AJ87" s="79" t="n">
        <v>5301.79</v>
      </c>
      <c r="AK87" s="75"/>
      <c r="AL87" s="76"/>
      <c r="AM87" s="56" t="s">
        <v>20</v>
      </c>
      <c r="AN87" s="80" t="n">
        <f aca="false">IF(L87=0,0,Z87/L87)</f>
        <v>0.401812395744046</v>
      </c>
      <c r="AO87" s="81" t="str">
        <f aca="false">IF(AN87="","",IF(AN87&gt;=0.9,"🟢",IF(AN87&gt;=0.7,"🟡",IF(AN87&gt;=0.5,"🟠","🔴"))))</f>
        <v>🔴</v>
      </c>
      <c r="AP87" s="82" t="n">
        <f aca="false">IF(L87=0,0,L87-Z87)</f>
        <v>7892.9</v>
      </c>
      <c r="AQ87" s="83" t="n">
        <f aca="false">IF(AP87=0,"",RANK(AP87,AP$4:AP$503,0))</f>
        <v>79</v>
      </c>
      <c r="AR87" s="84" t="s">
        <v>20</v>
      </c>
      <c r="AS87" s="141"/>
      <c r="AT87" s="141"/>
      <c r="AU87" s="141"/>
      <c r="AV87" s="141"/>
      <c r="AW87" s="141"/>
      <c r="AX87" s="141"/>
      <c r="AY87" s="142"/>
      <c r="AZ87" s="142"/>
      <c r="BA87" s="56" t="s">
        <v>20</v>
      </c>
      <c r="BB87" s="91" t="n">
        <f aca="false">SUM(L$4:L$503)/COUNTA(A$4:A$503)</f>
        <v>9494.39992</v>
      </c>
      <c r="BC87" s="92" t="n">
        <f aca="false">SUM(M$4:M$503)/COUNTA(A$4:A$503)</f>
        <v>667.20008</v>
      </c>
      <c r="BD87" s="92" t="n">
        <f aca="false">SUM(N$4:N$503)/COUNTA(A$4:A$503)</f>
        <v>697.19996</v>
      </c>
      <c r="BE87" s="92" t="n">
        <f aca="false">SUM(O$4:O$503)/COUNTA(A$4:A$503)</f>
        <v>713.9999</v>
      </c>
      <c r="BF87" s="92" t="n">
        <f aca="false">SUM(P$4:P$503)/COUNTA(A$4:A$503)</f>
        <v>732.59984</v>
      </c>
      <c r="BG87" s="92" t="n">
        <f aca="false">SUM(Q$4:Q$503)/COUNTA(A$4:A$503)</f>
        <v>756.59992</v>
      </c>
      <c r="BH87" s="92" t="n">
        <f aca="false">SUM(R$4:R$503)/COUNTA(A$4:A$503)</f>
        <v>776.40004</v>
      </c>
      <c r="BI87" s="92" t="n">
        <f aca="false">SUM(S$4:S$503)/COUNTA(A$4:A$503)</f>
        <v>806.40012</v>
      </c>
      <c r="BJ87" s="92" t="n">
        <f aca="false">SUM(T$4:T$503)/COUNTA(A$4:A$503)</f>
        <v>826.1999</v>
      </c>
      <c r="BK87" s="92" t="n">
        <f aca="false">SUM(U$4:U$503)/COUNTA(A$4:A$503)</f>
        <v>844.8002</v>
      </c>
      <c r="BL87" s="92" t="n">
        <f aca="false">SUM(V$4:V$503)/COUNTA(A$4:A$503)</f>
        <v>865.7998</v>
      </c>
      <c r="BM87" s="92" t="n">
        <f aca="false">SUM(W$4:W$503)/COUNTA(A$4:A$503)</f>
        <v>888.59982</v>
      </c>
      <c r="BN87" s="93" t="n">
        <f aca="false">SUM(X$4:X$503)/COUNTA(A$4:A$503)</f>
        <v>918.60034</v>
      </c>
      <c r="BO87" s="94" t="s">
        <v>20</v>
      </c>
      <c r="BP87" s="91" t="n">
        <f aca="false">IF(Z87&gt;=BB87,0,IFERROR(BB87+(SUMPRODUCT((Z$4:Z$503&gt;=BB$4:BB$503)*(Z$4:Z$503-BB$4:BB$503))/MAX(1,COUNTIF(Z$4:Z$503,"&lt;"&amp;BB87+0.01))),BB87))</f>
        <v>10695.5432177778</v>
      </c>
      <c r="BQ87" s="92" t="n">
        <f aca="false">IF(AA87&gt;=BC87,0,IFERROR(BC87+SUMPRODUCT((AA$4:AA$503&gt;=BC$4:BC$503)*(AA$4:AA$503-BC$4:BC$503))/MAX(1,COUNTIF(AA$4:AA$503,"&lt;"&amp;BC87+0.01)),BC87))</f>
        <v>2238.46589176471</v>
      </c>
      <c r="BR87" s="92" t="n">
        <f aca="false">IF(AB87&gt;=BD87,0,IFERROR(BD87+SUMPRODUCT((AB$4:AB$503&gt;=BD$4:BD$503)*(AB$4:AB$503-BD$4:BD$503))/MAX(1,COUNTIF(AB$4:AB$503,"&lt;"&amp;BD87+0.01)),BD87))</f>
        <v>3335.2938</v>
      </c>
      <c r="BS87" s="92" t="n">
        <f aca="false">IF(AC87&gt;=BE87,0,IFERROR(BE87+SUMPRODUCT((AC$4:AC$503&gt;=BE$4:BE$503)*(AC$4:AC$503-BE$4:BE$503))/MAX(1,COUNTIF(AC$4:AC$503,"&lt;"&amp;BE87+0.01)),BE87))</f>
        <v>6188.73352</v>
      </c>
      <c r="BT87" s="92" t="n">
        <f aca="false">IF(AD87&gt;=BF87,0,IFERROR(BF87+SUMPRODUCT((AD$4:AD$503&gt;=BF$4:BF$503)*(AD$4:AD$503-BF$4:BF$503))/MAX(1,COUNTIF(AD$4:AD$503,"&lt;"&amp;BF87+0.01)),BF87))</f>
        <v>11354.35411</v>
      </c>
      <c r="BU87" s="92" t="n">
        <f aca="false">IF(AE87&gt;=BG87,0,IFERROR(BG87+SUMPRODUCT((AE$4:AE$503&gt;=BG$4:BG$503)*(AE$4:AE$503-BG$4:BG$503))/MAX(1,COUNTIF(AE$4:AE$503,"&lt;"&amp;BG87+0.01)),BG87))</f>
        <v>7704.85920380952</v>
      </c>
      <c r="BV87" s="92" t="n">
        <f aca="false">IF(AF87&gt;=BH87,0,IFERROR(BH87+SUMPRODUCT((AF$4:AF$503&gt;=BH$4:BH$503)*(AF$4:AF$503-BH$4:BH$503))/MAX(1,COUNTIF(AF$4:AF$503,"&lt;"&amp;BH87+0.01)),BH87))</f>
        <v>9942.6503831579</v>
      </c>
      <c r="BW87" s="92" t="n">
        <f aca="false">IF(AG87&gt;=BI87,0,IFERROR(BI87+SUMPRODUCT((AG$4:AG$503&gt;=BI$4:BI$503)*(AG$4:AG$503-BI$4:BI$503))/MAX(1,COUNTIF(AG$4:AG$503,"&lt;"&amp;BI87+0.01)),BI87))</f>
        <v>9142.15870461538</v>
      </c>
      <c r="BX87" s="92" t="n">
        <f aca="false">IF(AH87&gt;=BJ87,0,IFERROR(BJ87+SUMPRODUCT((AH$4:AH$503&gt;=BJ$4:BJ$503)*(AH$4:AH$503-BJ$4:BJ$503))/MAX(1,COUNTIF(AH$4:AH$503,"&lt;"&amp;BJ87+0.01)),BJ87))</f>
        <v>5621.50263448276</v>
      </c>
      <c r="BY87" s="92" t="n">
        <f aca="false">IF(AI87&gt;=BK87,0,IFERROR(BK87+SUMPRODUCT((AI$4:AI$503&gt;=BK$4:BK$503)*(AI$4:AI$503-BK$4:BK$503))/MAX(1,COUNTIF(AI$4:AI$503,"&lt;"&amp;BK87+0.01)),BK87))</f>
        <v>7878.25652380952</v>
      </c>
      <c r="BZ87" s="92" t="n">
        <f aca="false">IF(AJ87&gt;=BL87,0,IFERROR(BL87+SUMPRODUCT((AJ$4:AJ$503&gt;=BL$4:BL$503)*(AJ$4:AJ$503-BL$4:BL$503))/MAX(1,COUNTIF(AJ$4:AJ$503,"&lt;"&amp;BL87+0.01)),BL87))</f>
        <v>0</v>
      </c>
      <c r="CA87" s="92" t="n">
        <f aca="false">IF(AK87&gt;=BM87,0,IFERROR(BM87+SUMPRODUCT((AK$4:AK$503&gt;=BM$4:BM$503)*(AK$4:AK$503-BM$4:BM$503))/MAX(1,COUNTIF(AK$4:AK$503,"&lt;"&amp;BM87+0.01)),BM87))</f>
        <v>7314.89836842105</v>
      </c>
      <c r="CB87" s="93" t="n">
        <f aca="false">IF(AL87&gt;=BN87,0,IFERROR(BN87+SUMPRODUCT((AL$4:AL$503&gt;=BN$4:BN$503)*(AL$4:AL$503-BN$4:BN$503))/MAX(1,COUNTIF(AL$4:AL$503,"&lt;"&amp;BN87+0.01)),BN87))</f>
        <v>3597.2614925</v>
      </c>
      <c r="CC87" s="95" t="str">
        <f aca="false">IF(AO87="🟢","VERDE",IF(AO87="🟡","AMARELO",IF(AO87="🟠","VERMELHO",IF(AO87="🔴","VERMELHO","ROXO"))))</f>
        <v>VERMELHO</v>
      </c>
      <c r="CD87" s="96" t="s">
        <v>103</v>
      </c>
      <c r="CE87" s="96" t="s">
        <v>104</v>
      </c>
    </row>
    <row r="88" customFormat="false" ht="14.25" hidden="false" customHeight="true" outlineLevel="0" collapsed="false">
      <c r="A88" s="65" t="s">
        <v>316</v>
      </c>
      <c r="B88" s="66" t="s">
        <v>317</v>
      </c>
      <c r="C88" s="67" t="s">
        <v>107</v>
      </c>
      <c r="D88" s="68" t="s">
        <v>108</v>
      </c>
      <c r="E88" s="69" t="s">
        <v>139</v>
      </c>
      <c r="F88" s="70" t="n">
        <f aca="false">IFERROR(VLOOKUP(C88,$AS$3:$AT$10,2,FALSE()),IFERROR(VLOOKUP(C88,$AS$15:$AT$22,2,FALSE()),""))</f>
        <v>132</v>
      </c>
      <c r="G88" s="71" t="n">
        <f aca="false">IFERROR(VLOOKUP(C88,$AS$3:$AX$10,6,FALSE()),IFERROR(VLOOKUP(C88,$AS$15:$AX$22,6,FALSE()),""))</f>
        <v>0.468190175850689</v>
      </c>
      <c r="H88" s="72" t="str">
        <f aca="false">IFERROR(VLOOKUP(C88,$AS$3:$AY$10,7,FALSE()),IFERROR(VLOOKUP(C88,$AS$15:$AY$22,7,FALSE()),""))</f>
        <v>🟡 AMARELO</v>
      </c>
      <c r="I88" s="72" t="str">
        <f aca="false">IFERROR(VLOOKUP(C88,$AS$3:$AZ$10,8,FALSE()),IFERROR(VLOOKUP(C88,$AS$15:$AZ$22,8,FALSE()),""))</f>
        <v>Sell Out</v>
      </c>
      <c r="J88" s="73"/>
      <c r="K88" s="69" t="s">
        <v>107</v>
      </c>
      <c r="L88" s="74" t="n">
        <v>13136.73</v>
      </c>
      <c r="M88" s="75" t="n">
        <v>923.16</v>
      </c>
      <c r="N88" s="75" t="n">
        <v>964.67</v>
      </c>
      <c r="O88" s="75" t="n">
        <v>987.91</v>
      </c>
      <c r="P88" s="75" t="n">
        <v>1013.65</v>
      </c>
      <c r="Q88" s="75" t="n">
        <v>1046.85</v>
      </c>
      <c r="R88" s="75" t="n">
        <v>1074.25</v>
      </c>
      <c r="S88" s="75" t="n">
        <v>1115.76</v>
      </c>
      <c r="T88" s="75" t="n">
        <v>1143.15</v>
      </c>
      <c r="U88" s="75" t="n">
        <v>1168.89</v>
      </c>
      <c r="V88" s="75" t="n">
        <v>1197.95</v>
      </c>
      <c r="W88" s="75" t="n">
        <v>1229.49</v>
      </c>
      <c r="X88" s="76" t="n">
        <v>1271</v>
      </c>
      <c r="Y88" s="77" t="s">
        <v>20</v>
      </c>
      <c r="Z88" s="78" t="n">
        <f aca="false">SUM(AA88:AL88)</f>
        <v>6196.87</v>
      </c>
      <c r="AA88" s="75"/>
      <c r="AB88" s="75"/>
      <c r="AC88" s="75"/>
      <c r="AD88" s="75"/>
      <c r="AE88" s="79" t="n">
        <v>901.92</v>
      </c>
      <c r="AF88" s="75" t="n">
        <v>820.06</v>
      </c>
      <c r="AG88" s="79" t="n">
        <v>823.24</v>
      </c>
      <c r="AH88" s="79" t="n">
        <v>1508.79</v>
      </c>
      <c r="AI88" s="75"/>
      <c r="AJ88" s="79" t="n">
        <v>1065.39</v>
      </c>
      <c r="AK88" s="75"/>
      <c r="AL88" s="107" t="n">
        <v>1077.47</v>
      </c>
      <c r="AM88" s="56" t="s">
        <v>20</v>
      </c>
      <c r="AN88" s="80" t="n">
        <f aca="false">IF(L88=0,0,Z88/L88)</f>
        <v>0.471720892489988</v>
      </c>
      <c r="AO88" s="81" t="str">
        <f aca="false">IF(AN88="","",IF(AN88&gt;=0.9,"🟢",IF(AN88&gt;=0.7,"🟡",IF(AN88&gt;=0.5,"🟠","🔴"))))</f>
        <v>🔴</v>
      </c>
      <c r="AP88" s="82" t="n">
        <f aca="false">IF(L88=0,0,L88-Z88)</f>
        <v>6939.86</v>
      </c>
      <c r="AQ88" s="83" t="n">
        <f aca="false">IF(AP88=0,"",RANK(AP88,AP$4:AP$503,0))</f>
        <v>87</v>
      </c>
      <c r="AR88" s="84" t="s">
        <v>20</v>
      </c>
      <c r="AS88" s="141"/>
      <c r="AT88" s="141"/>
      <c r="AU88" s="141"/>
      <c r="AV88" s="141"/>
      <c r="AW88" s="141"/>
      <c r="AX88" s="141"/>
      <c r="AY88" s="142"/>
      <c r="AZ88" s="142"/>
      <c r="BA88" s="56" t="s">
        <v>20</v>
      </c>
      <c r="BB88" s="91" t="n">
        <f aca="false">SUM(L$4:L$503)/COUNTA(A$4:A$503)</f>
        <v>9494.39992</v>
      </c>
      <c r="BC88" s="92" t="n">
        <f aca="false">SUM(M$4:M$503)/COUNTA(A$4:A$503)</f>
        <v>667.20008</v>
      </c>
      <c r="BD88" s="92" t="n">
        <f aca="false">SUM(N$4:N$503)/COUNTA(A$4:A$503)</f>
        <v>697.19996</v>
      </c>
      <c r="BE88" s="92" t="n">
        <f aca="false">SUM(O$4:O$503)/COUNTA(A$4:A$503)</f>
        <v>713.9999</v>
      </c>
      <c r="BF88" s="92" t="n">
        <f aca="false">SUM(P$4:P$503)/COUNTA(A$4:A$503)</f>
        <v>732.59984</v>
      </c>
      <c r="BG88" s="92" t="n">
        <f aca="false">SUM(Q$4:Q$503)/COUNTA(A$4:A$503)</f>
        <v>756.59992</v>
      </c>
      <c r="BH88" s="92" t="n">
        <f aca="false">SUM(R$4:R$503)/COUNTA(A$4:A$503)</f>
        <v>776.40004</v>
      </c>
      <c r="BI88" s="92" t="n">
        <f aca="false">SUM(S$4:S$503)/COUNTA(A$4:A$503)</f>
        <v>806.40012</v>
      </c>
      <c r="BJ88" s="92" t="n">
        <f aca="false">SUM(T$4:T$503)/COUNTA(A$4:A$503)</f>
        <v>826.1999</v>
      </c>
      <c r="BK88" s="92" t="n">
        <f aca="false">SUM(U$4:U$503)/COUNTA(A$4:A$503)</f>
        <v>844.8002</v>
      </c>
      <c r="BL88" s="92" t="n">
        <f aca="false">SUM(V$4:V$503)/COUNTA(A$4:A$503)</f>
        <v>865.7998</v>
      </c>
      <c r="BM88" s="92" t="n">
        <f aca="false">SUM(W$4:W$503)/COUNTA(A$4:A$503)</f>
        <v>888.59982</v>
      </c>
      <c r="BN88" s="93" t="n">
        <f aca="false">SUM(X$4:X$503)/COUNTA(A$4:A$503)</f>
        <v>918.60034</v>
      </c>
      <c r="BO88" s="94" t="s">
        <v>20</v>
      </c>
      <c r="BP88" s="91" t="n">
        <f aca="false">IF(Z88&gt;=BB88,0,IFERROR(BB88+(SUMPRODUCT((Z$4:Z$503&gt;=BB$4:BB$503)*(Z$4:Z$503-BB$4:BB$503))/MAX(1,COUNTIF(Z$4:Z$503,"&lt;"&amp;BB88+0.01))),BB88))</f>
        <v>10695.5432177778</v>
      </c>
      <c r="BQ88" s="92" t="n">
        <f aca="false">IF(AA88&gt;=BC88,0,IFERROR(BC88+SUMPRODUCT((AA$4:AA$503&gt;=BC$4:BC$503)*(AA$4:AA$503-BC$4:BC$503))/MAX(1,COUNTIF(AA$4:AA$503,"&lt;"&amp;BC88+0.01)),BC88))</f>
        <v>2238.46589176471</v>
      </c>
      <c r="BR88" s="92" t="n">
        <f aca="false">IF(AB88&gt;=BD88,0,IFERROR(BD88+SUMPRODUCT((AB$4:AB$503&gt;=BD$4:BD$503)*(AB$4:AB$503-BD$4:BD$503))/MAX(1,COUNTIF(AB$4:AB$503,"&lt;"&amp;BD88+0.01)),BD88))</f>
        <v>3335.2938</v>
      </c>
      <c r="BS88" s="92" t="n">
        <f aca="false">IF(AC88&gt;=BE88,0,IFERROR(BE88+SUMPRODUCT((AC$4:AC$503&gt;=BE$4:BE$503)*(AC$4:AC$503-BE$4:BE$503))/MAX(1,COUNTIF(AC$4:AC$503,"&lt;"&amp;BE88+0.01)),BE88))</f>
        <v>6188.73352</v>
      </c>
      <c r="BT88" s="92" t="n">
        <f aca="false">IF(AD88&gt;=BF88,0,IFERROR(BF88+SUMPRODUCT((AD$4:AD$503&gt;=BF$4:BF$503)*(AD$4:AD$503-BF$4:BF$503))/MAX(1,COUNTIF(AD$4:AD$503,"&lt;"&amp;BF88+0.01)),BF88))</f>
        <v>11354.35411</v>
      </c>
      <c r="BU88" s="92" t="n">
        <f aca="false">IF(AE88&gt;=BG88,0,IFERROR(BG88+SUMPRODUCT((AE$4:AE$503&gt;=BG$4:BG$503)*(AE$4:AE$503-BG$4:BG$503))/MAX(1,COUNTIF(AE$4:AE$503,"&lt;"&amp;BG88+0.01)),BG88))</f>
        <v>0</v>
      </c>
      <c r="BV88" s="92" t="n">
        <f aca="false">IF(AF88&gt;=BH88,0,IFERROR(BH88+SUMPRODUCT((AF$4:AF$503&gt;=BH$4:BH$503)*(AF$4:AF$503-BH$4:BH$503))/MAX(1,COUNTIF(AF$4:AF$503,"&lt;"&amp;BH88+0.01)),BH88))</f>
        <v>0</v>
      </c>
      <c r="BW88" s="92" t="n">
        <f aca="false">IF(AG88&gt;=BI88,0,IFERROR(BI88+SUMPRODUCT((AG$4:AG$503&gt;=BI$4:BI$503)*(AG$4:AG$503-BI$4:BI$503))/MAX(1,COUNTIF(AG$4:AG$503,"&lt;"&amp;BI88+0.01)),BI88))</f>
        <v>0</v>
      </c>
      <c r="BX88" s="92" t="n">
        <f aca="false">IF(AH88&gt;=BJ88,0,IFERROR(BJ88+SUMPRODUCT((AH$4:AH$503&gt;=BJ$4:BJ$503)*(AH$4:AH$503-BJ$4:BJ$503))/MAX(1,COUNTIF(AH$4:AH$503,"&lt;"&amp;BJ88+0.01)),BJ88))</f>
        <v>0</v>
      </c>
      <c r="BY88" s="92" t="n">
        <f aca="false">IF(AI88&gt;=BK88,0,IFERROR(BK88+SUMPRODUCT((AI$4:AI$503&gt;=BK$4:BK$503)*(AI$4:AI$503-BK$4:BK$503))/MAX(1,COUNTIF(AI$4:AI$503,"&lt;"&amp;BK88+0.01)),BK88))</f>
        <v>7878.25652380952</v>
      </c>
      <c r="BZ88" s="92" t="n">
        <f aca="false">IF(AJ88&gt;=BL88,0,IFERROR(BL88+SUMPRODUCT((AJ$4:AJ$503&gt;=BL$4:BL$503)*(AJ$4:AJ$503-BL$4:BL$503))/MAX(1,COUNTIF(AJ$4:AJ$503,"&lt;"&amp;BL88+0.01)),BL88))</f>
        <v>0</v>
      </c>
      <c r="CA88" s="92" t="n">
        <f aca="false">IF(AK88&gt;=BM88,0,IFERROR(BM88+SUMPRODUCT((AK$4:AK$503&gt;=BM$4:BM$503)*(AK$4:AK$503-BM$4:BM$503))/MAX(1,COUNTIF(AK$4:AK$503,"&lt;"&amp;BM88+0.01)),BM88))</f>
        <v>7314.89836842105</v>
      </c>
      <c r="CB88" s="93" t="n">
        <f aca="false">IF(AL88&gt;=BN88,0,IFERROR(BN88+SUMPRODUCT((AL$4:AL$503&gt;=BN$4:BN$503)*(AL$4:AL$503-BN$4:BN$503))/MAX(1,COUNTIF(AL$4:AL$503,"&lt;"&amp;BN88+0.01)),BN88))</f>
        <v>0</v>
      </c>
      <c r="CC88" s="95" t="str">
        <f aca="false">IF(AO88="🟢","VERDE",IF(AO88="🟡","AMARELO",IF(AO88="🟠","VERMELHO",IF(AO88="🔴","VERMELHO","ROXO"))))</f>
        <v>VERMELHO</v>
      </c>
      <c r="CD88" s="96" t="s">
        <v>103</v>
      </c>
      <c r="CE88" s="96" t="s">
        <v>104</v>
      </c>
    </row>
    <row r="89" customFormat="false" ht="14.25" hidden="false" customHeight="true" outlineLevel="0" collapsed="false">
      <c r="A89" s="65" t="s">
        <v>318</v>
      </c>
      <c r="B89" s="66" t="s">
        <v>319</v>
      </c>
      <c r="C89" s="66" t="s">
        <v>66</v>
      </c>
      <c r="D89" s="68" t="s">
        <v>175</v>
      </c>
      <c r="E89" s="69" t="s">
        <v>139</v>
      </c>
      <c r="F89" s="70" t="n">
        <f aca="false">IFERROR(VLOOKUP(C89,$AS$3:$AT$10,2,FALSE()),IFERROR(VLOOKUP(C89,$AS$15:$AT$22,2,FALSE()),""))</f>
        <v>44</v>
      </c>
      <c r="G89" s="71" t="n">
        <f aca="false">IFERROR(VLOOKUP(C89,$AS$3:$AX$10,6,FALSE()),IFERROR(VLOOKUP(C89,$AS$15:$AX$22,6,FALSE()),""))</f>
        <v>0.496839506257363</v>
      </c>
      <c r="H89" s="72" t="str">
        <f aca="false">IFERROR(VLOOKUP(C89,$AS$3:$AY$10,7,FALSE()),IFERROR(VLOOKUP(C89,$AS$15:$AY$22,7,FALSE()),""))</f>
        <v>🟡 AMARELO</v>
      </c>
      <c r="I89" s="72" t="str">
        <f aca="false">IFERROR(VLOOKUP(C89,$AS$3:$AZ$10,8,FALSE()),IFERROR(VLOOKUP(C89,$AS$15:$AZ$22,8,FALSE()),""))</f>
        <v>Sell Out</v>
      </c>
      <c r="J89" s="73"/>
      <c r="K89" s="69" t="s">
        <v>107</v>
      </c>
      <c r="L89" s="74" t="n">
        <v>12987.64</v>
      </c>
      <c r="M89" s="75" t="n">
        <v>912.68</v>
      </c>
      <c r="N89" s="75" t="n">
        <v>953.72</v>
      </c>
      <c r="O89" s="75" t="n">
        <v>976.7</v>
      </c>
      <c r="P89" s="75" t="n">
        <v>1002.14</v>
      </c>
      <c r="Q89" s="75" t="n">
        <v>1034.97</v>
      </c>
      <c r="R89" s="75" t="n">
        <v>1062.06</v>
      </c>
      <c r="S89" s="75" t="n">
        <v>1103.1</v>
      </c>
      <c r="T89" s="75" t="n">
        <v>1130.18</v>
      </c>
      <c r="U89" s="75" t="n">
        <v>1155.62</v>
      </c>
      <c r="V89" s="75" t="n">
        <v>1184.35</v>
      </c>
      <c r="W89" s="75" t="n">
        <v>1215.54</v>
      </c>
      <c r="X89" s="76" t="n">
        <v>1256.58</v>
      </c>
      <c r="Y89" s="77" t="s">
        <v>20</v>
      </c>
      <c r="Z89" s="78" t="n">
        <f aca="false">SUM(AA89:AL89)</f>
        <v>6675.25</v>
      </c>
      <c r="AA89" s="75"/>
      <c r="AB89" s="75"/>
      <c r="AC89" s="79" t="n">
        <v>766.08</v>
      </c>
      <c r="AD89" s="75"/>
      <c r="AE89" s="79" t="n">
        <v>693</v>
      </c>
      <c r="AF89" s="79" t="n">
        <v>2345.4</v>
      </c>
      <c r="AG89" s="75"/>
      <c r="AH89" s="79" t="n">
        <v>1566.56</v>
      </c>
      <c r="AI89" s="75" t="n">
        <v>1304.15</v>
      </c>
      <c r="AJ89" s="79" t="n">
        <v>0.06</v>
      </c>
      <c r="AK89" s="75"/>
      <c r="AL89" s="76"/>
      <c r="AM89" s="56" t="s">
        <v>20</v>
      </c>
      <c r="AN89" s="80" t="n">
        <f aca="false">IF(L89=0,0,Z89/L89)</f>
        <v>0.513969435555651</v>
      </c>
      <c r="AO89" s="81" t="str">
        <f aca="false">IF(AN89="","",IF(AN89&gt;=0.9,"🟢",IF(AN89&gt;=0.7,"🟡",IF(AN89&gt;=0.5,"🟠","🔴"))))</f>
        <v>🟠</v>
      </c>
      <c r="AP89" s="82" t="n">
        <f aca="false">IF(L89=0,0,L89-Z89)</f>
        <v>6312.39</v>
      </c>
      <c r="AQ89" s="83" t="n">
        <f aca="false">IF(AP89=0,"",RANK(AP89,AP$4:AP$503,0))</f>
        <v>98</v>
      </c>
      <c r="AR89" s="84" t="s">
        <v>20</v>
      </c>
      <c r="AS89" s="141"/>
      <c r="AT89" s="141"/>
      <c r="AU89" s="141"/>
      <c r="AV89" s="141"/>
      <c r="AW89" s="141"/>
      <c r="AX89" s="141"/>
      <c r="AY89" s="142"/>
      <c r="AZ89" s="142"/>
      <c r="BA89" s="56" t="s">
        <v>20</v>
      </c>
      <c r="BB89" s="91" t="n">
        <f aca="false">SUM(L$4:L$503)/COUNTA(A$4:A$503)</f>
        <v>9494.39992</v>
      </c>
      <c r="BC89" s="92" t="n">
        <f aca="false">SUM(M$4:M$503)/COUNTA(A$4:A$503)</f>
        <v>667.20008</v>
      </c>
      <c r="BD89" s="92" t="n">
        <f aca="false">SUM(N$4:N$503)/COUNTA(A$4:A$503)</f>
        <v>697.19996</v>
      </c>
      <c r="BE89" s="92" t="n">
        <f aca="false">SUM(O$4:O$503)/COUNTA(A$4:A$503)</f>
        <v>713.9999</v>
      </c>
      <c r="BF89" s="92" t="n">
        <f aca="false">SUM(P$4:P$503)/COUNTA(A$4:A$503)</f>
        <v>732.59984</v>
      </c>
      <c r="BG89" s="92" t="n">
        <f aca="false">SUM(Q$4:Q$503)/COUNTA(A$4:A$503)</f>
        <v>756.59992</v>
      </c>
      <c r="BH89" s="92" t="n">
        <f aca="false">SUM(R$4:R$503)/COUNTA(A$4:A$503)</f>
        <v>776.40004</v>
      </c>
      <c r="BI89" s="92" t="n">
        <f aca="false">SUM(S$4:S$503)/COUNTA(A$4:A$503)</f>
        <v>806.40012</v>
      </c>
      <c r="BJ89" s="92" t="n">
        <f aca="false">SUM(T$4:T$503)/COUNTA(A$4:A$503)</f>
        <v>826.1999</v>
      </c>
      <c r="BK89" s="92" t="n">
        <f aca="false">SUM(U$4:U$503)/COUNTA(A$4:A$503)</f>
        <v>844.8002</v>
      </c>
      <c r="BL89" s="92" t="n">
        <f aca="false">SUM(V$4:V$503)/COUNTA(A$4:A$503)</f>
        <v>865.7998</v>
      </c>
      <c r="BM89" s="92" t="n">
        <f aca="false">SUM(W$4:W$503)/COUNTA(A$4:A$503)</f>
        <v>888.59982</v>
      </c>
      <c r="BN89" s="93" t="n">
        <f aca="false">SUM(X$4:X$503)/COUNTA(A$4:A$503)</f>
        <v>918.60034</v>
      </c>
      <c r="BO89" s="94" t="s">
        <v>20</v>
      </c>
      <c r="BP89" s="91" t="n">
        <f aca="false">IF(Z89&gt;=BB89,0,IFERROR(BB89+(SUMPRODUCT((Z$4:Z$503&gt;=BB$4:BB$503)*(Z$4:Z$503-BB$4:BB$503))/MAX(1,COUNTIF(Z$4:Z$503,"&lt;"&amp;BB89+0.01))),BB89))</f>
        <v>10695.5432177778</v>
      </c>
      <c r="BQ89" s="92" t="n">
        <f aca="false">IF(AA89&gt;=BC89,0,IFERROR(BC89+SUMPRODUCT((AA$4:AA$503&gt;=BC$4:BC$503)*(AA$4:AA$503-BC$4:BC$503))/MAX(1,COUNTIF(AA$4:AA$503,"&lt;"&amp;BC89+0.01)),BC89))</f>
        <v>2238.46589176471</v>
      </c>
      <c r="BR89" s="92" t="n">
        <f aca="false">IF(AB89&gt;=BD89,0,IFERROR(BD89+SUMPRODUCT((AB$4:AB$503&gt;=BD$4:BD$503)*(AB$4:AB$503-BD$4:BD$503))/MAX(1,COUNTIF(AB$4:AB$503,"&lt;"&amp;BD89+0.01)),BD89))</f>
        <v>3335.2938</v>
      </c>
      <c r="BS89" s="92" t="n">
        <f aca="false">IF(AC89&gt;=BE89,0,IFERROR(BE89+SUMPRODUCT((AC$4:AC$503&gt;=BE$4:BE$503)*(AC$4:AC$503-BE$4:BE$503))/MAX(1,COUNTIF(AC$4:AC$503,"&lt;"&amp;BE89+0.01)),BE89))</f>
        <v>0</v>
      </c>
      <c r="BT89" s="92" t="n">
        <f aca="false">IF(AD89&gt;=BF89,0,IFERROR(BF89+SUMPRODUCT((AD$4:AD$503&gt;=BF$4:BF$503)*(AD$4:AD$503-BF$4:BF$503))/MAX(1,COUNTIF(AD$4:AD$503,"&lt;"&amp;BF89+0.01)),BF89))</f>
        <v>11354.35411</v>
      </c>
      <c r="BU89" s="92" t="n">
        <f aca="false">IF(AE89&gt;=BG89,0,IFERROR(BG89+SUMPRODUCT((AE$4:AE$503&gt;=BG$4:BG$503)*(AE$4:AE$503-BG$4:BG$503))/MAX(1,COUNTIF(AE$4:AE$503,"&lt;"&amp;BG89+0.01)),BG89))</f>
        <v>7704.85920380952</v>
      </c>
      <c r="BV89" s="92" t="n">
        <f aca="false">IF(AF89&gt;=BH89,0,IFERROR(BH89+SUMPRODUCT((AF$4:AF$503&gt;=BH$4:BH$503)*(AF$4:AF$503-BH$4:BH$503))/MAX(1,COUNTIF(AF$4:AF$503,"&lt;"&amp;BH89+0.01)),BH89))</f>
        <v>0</v>
      </c>
      <c r="BW89" s="92" t="n">
        <f aca="false">IF(AG89&gt;=BI89,0,IFERROR(BI89+SUMPRODUCT((AG$4:AG$503&gt;=BI$4:BI$503)*(AG$4:AG$503-BI$4:BI$503))/MAX(1,COUNTIF(AG$4:AG$503,"&lt;"&amp;BI89+0.01)),BI89))</f>
        <v>9142.15870461538</v>
      </c>
      <c r="BX89" s="92" t="n">
        <f aca="false">IF(AH89&gt;=BJ89,0,IFERROR(BJ89+SUMPRODUCT((AH$4:AH$503&gt;=BJ$4:BJ$503)*(AH$4:AH$503-BJ$4:BJ$503))/MAX(1,COUNTIF(AH$4:AH$503,"&lt;"&amp;BJ89+0.01)),BJ89))</f>
        <v>0</v>
      </c>
      <c r="BY89" s="92" t="n">
        <f aca="false">IF(AI89&gt;=BK89,0,IFERROR(BK89+SUMPRODUCT((AI$4:AI$503&gt;=BK$4:BK$503)*(AI$4:AI$503-BK$4:BK$503))/MAX(1,COUNTIF(AI$4:AI$503,"&lt;"&amp;BK89+0.01)),BK89))</f>
        <v>0</v>
      </c>
      <c r="BZ89" s="92" t="n">
        <f aca="false">IF(AJ89&gt;=BL89,0,IFERROR(BL89+SUMPRODUCT((AJ$4:AJ$503&gt;=BL$4:BL$503)*(AJ$4:AJ$503-BL$4:BL$503))/MAX(1,COUNTIF(AJ$4:AJ$503,"&lt;"&amp;BL89+0.01)),BL89))</f>
        <v>6710.03292307692</v>
      </c>
      <c r="CA89" s="92" t="n">
        <f aca="false">IF(AK89&gt;=BM89,0,IFERROR(BM89+SUMPRODUCT((AK$4:AK$503&gt;=BM$4:BM$503)*(AK$4:AK$503-BM$4:BM$503))/MAX(1,COUNTIF(AK$4:AK$503,"&lt;"&amp;BM89+0.01)),BM89))</f>
        <v>7314.89836842105</v>
      </c>
      <c r="CB89" s="93" t="n">
        <f aca="false">IF(AL89&gt;=BN89,0,IFERROR(BN89+SUMPRODUCT((AL$4:AL$503&gt;=BN$4:BN$503)*(AL$4:AL$503-BN$4:BN$503))/MAX(1,COUNTIF(AL$4:AL$503,"&lt;"&amp;BN89+0.01)),BN89))</f>
        <v>3597.2614925</v>
      </c>
      <c r="CC89" s="95" t="str">
        <f aca="false">IF(AO89="🟢","VERDE",IF(AO89="🟡","AMARELO",IF(AO89="🟠","VERMELHO",IF(AO89="🔴","VERMELHO","ROXO"))))</f>
        <v>VERMELHO</v>
      </c>
      <c r="CD89" s="96" t="s">
        <v>176</v>
      </c>
      <c r="CE89" s="96" t="s">
        <v>66</v>
      </c>
    </row>
    <row r="90" customFormat="false" ht="14.25" hidden="false" customHeight="true" outlineLevel="0" collapsed="false">
      <c r="A90" s="65" t="s">
        <v>320</v>
      </c>
      <c r="B90" s="66" t="s">
        <v>321</v>
      </c>
      <c r="C90" s="67" t="s">
        <v>123</v>
      </c>
      <c r="D90" s="68" t="s">
        <v>100</v>
      </c>
      <c r="E90" s="56" t="s">
        <v>20</v>
      </c>
      <c r="F90" s="70" t="n">
        <f aca="false">IFERROR(VLOOKUP(C90,$AS$3:$AT$10,2,FALSE()),IFERROR(VLOOKUP(C90,$AS$15:$AT$22,2,FALSE()),""))</f>
        <v>49</v>
      </c>
      <c r="G90" s="71" t="n">
        <f aca="false">IFERROR(VLOOKUP(C90,$AS$3:$AX$10,6,FALSE()),IFERROR(VLOOKUP(C90,$AS$15:$AX$22,6,FALSE()),""))</f>
        <v>0.436391353881959</v>
      </c>
      <c r="H90" s="72" t="str">
        <f aca="false">IFERROR(VLOOKUP(C90,$AS$3:$AY$10,7,FALSE()),IFERROR(VLOOKUP(C90,$AS$15:$AY$22,7,FALSE()),""))</f>
        <v>🟡 AMARELO</v>
      </c>
      <c r="I90" s="72" t="str">
        <f aca="false">IFERROR(VLOOKUP(C90,$AS$3:$AZ$10,8,FALSE()),IFERROR(VLOOKUP(C90,$AS$15:$AZ$22,8,FALSE()),""))</f>
        <v>Sell Out</v>
      </c>
      <c r="J90" s="73"/>
      <c r="K90" s="56" t="s">
        <v>20</v>
      </c>
      <c r="L90" s="74" t="n">
        <v>12948.22</v>
      </c>
      <c r="M90" s="75" t="n">
        <v>909.91</v>
      </c>
      <c r="N90" s="75" t="n">
        <v>950.82</v>
      </c>
      <c r="O90" s="75" t="n">
        <v>973.74</v>
      </c>
      <c r="P90" s="75" t="n">
        <v>999.1</v>
      </c>
      <c r="Q90" s="75" t="n">
        <v>1031.83</v>
      </c>
      <c r="R90" s="75" t="n">
        <v>1058.83</v>
      </c>
      <c r="S90" s="75" t="n">
        <v>1099.75</v>
      </c>
      <c r="T90" s="75" t="n">
        <v>1126.75</v>
      </c>
      <c r="U90" s="75" t="n">
        <v>1152.12</v>
      </c>
      <c r="V90" s="75" t="n">
        <v>1180.76</v>
      </c>
      <c r="W90" s="75" t="n">
        <v>1211.85</v>
      </c>
      <c r="X90" s="76" t="n">
        <v>1252.76</v>
      </c>
      <c r="Y90" s="77" t="s">
        <v>20</v>
      </c>
      <c r="Z90" s="78" t="n">
        <f aca="false">SUM(AA90:AL90)</f>
        <v>5207.14</v>
      </c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 t="n">
        <v>5207.14</v>
      </c>
      <c r="AL90" s="76"/>
      <c r="AM90" s="56" t="s">
        <v>20</v>
      </c>
      <c r="AN90" s="80" t="n">
        <f aca="false">IF(L90=0,0,Z90/L90)</f>
        <v>0.402151029253442</v>
      </c>
      <c r="AO90" s="81" t="str">
        <f aca="false">IF(AN90="","",IF(AN90&gt;=0.9,"🟢",IF(AN90&gt;=0.7,"🟡",IF(AN90&gt;=0.5,"🟠","🔴"))))</f>
        <v>🔴</v>
      </c>
      <c r="AP90" s="82" t="n">
        <f aca="false">IF(L90=0,0,L90-Z90)</f>
        <v>7741.08</v>
      </c>
      <c r="AQ90" s="83" t="n">
        <f aca="false">IF(AP90=0,"",RANK(AP90,AP$4:AP$503,0))</f>
        <v>81</v>
      </c>
      <c r="AR90" s="84" t="s">
        <v>20</v>
      </c>
      <c r="AS90" s="141"/>
      <c r="AT90" s="141"/>
      <c r="AU90" s="141"/>
      <c r="AV90" s="141"/>
      <c r="AW90" s="141"/>
      <c r="AX90" s="141"/>
      <c r="AY90" s="142"/>
      <c r="AZ90" s="142"/>
      <c r="BA90" s="56" t="s">
        <v>20</v>
      </c>
      <c r="BB90" s="91" t="n">
        <f aca="false">SUM(L$4:L$503)/COUNTA(A$4:A$503)</f>
        <v>9494.39992</v>
      </c>
      <c r="BC90" s="92" t="n">
        <f aca="false">SUM(M$4:M$503)/COUNTA(A$4:A$503)</f>
        <v>667.20008</v>
      </c>
      <c r="BD90" s="92" t="n">
        <f aca="false">SUM(N$4:N$503)/COUNTA(A$4:A$503)</f>
        <v>697.19996</v>
      </c>
      <c r="BE90" s="92" t="n">
        <f aca="false">SUM(O$4:O$503)/COUNTA(A$4:A$503)</f>
        <v>713.9999</v>
      </c>
      <c r="BF90" s="92" t="n">
        <f aca="false">SUM(P$4:P$503)/COUNTA(A$4:A$503)</f>
        <v>732.59984</v>
      </c>
      <c r="BG90" s="92" t="n">
        <f aca="false">SUM(Q$4:Q$503)/COUNTA(A$4:A$503)</f>
        <v>756.59992</v>
      </c>
      <c r="BH90" s="92" t="n">
        <f aca="false">SUM(R$4:R$503)/COUNTA(A$4:A$503)</f>
        <v>776.40004</v>
      </c>
      <c r="BI90" s="92" t="n">
        <f aca="false">SUM(S$4:S$503)/COUNTA(A$4:A$503)</f>
        <v>806.40012</v>
      </c>
      <c r="BJ90" s="92" t="n">
        <f aca="false">SUM(T$4:T$503)/COUNTA(A$4:A$503)</f>
        <v>826.1999</v>
      </c>
      <c r="BK90" s="92" t="n">
        <f aca="false">SUM(U$4:U$503)/COUNTA(A$4:A$503)</f>
        <v>844.8002</v>
      </c>
      <c r="BL90" s="92" t="n">
        <f aca="false">SUM(V$4:V$503)/COUNTA(A$4:A$503)</f>
        <v>865.7998</v>
      </c>
      <c r="BM90" s="92" t="n">
        <f aca="false">SUM(W$4:W$503)/COUNTA(A$4:A$503)</f>
        <v>888.59982</v>
      </c>
      <c r="BN90" s="93" t="n">
        <f aca="false">SUM(X$4:X$503)/COUNTA(A$4:A$503)</f>
        <v>918.60034</v>
      </c>
      <c r="BO90" s="94" t="s">
        <v>20</v>
      </c>
      <c r="BP90" s="91" t="n">
        <f aca="false">IF(Z90&gt;=BB90,0,IFERROR(BB90+(SUMPRODUCT((Z$4:Z$503&gt;=BB$4:BB$503)*(Z$4:Z$503-BB$4:BB$503))/MAX(1,COUNTIF(Z$4:Z$503,"&lt;"&amp;BB90+0.01))),BB90))</f>
        <v>10695.5432177778</v>
      </c>
      <c r="BQ90" s="92" t="n">
        <f aca="false">IF(AA90&gt;=BC90,0,IFERROR(BC90+SUMPRODUCT((AA$4:AA$503&gt;=BC$4:BC$503)*(AA$4:AA$503-BC$4:BC$503))/MAX(1,COUNTIF(AA$4:AA$503,"&lt;"&amp;BC90+0.01)),BC90))</f>
        <v>2238.46589176471</v>
      </c>
      <c r="BR90" s="92" t="n">
        <f aca="false">IF(AB90&gt;=BD90,0,IFERROR(BD90+SUMPRODUCT((AB$4:AB$503&gt;=BD$4:BD$503)*(AB$4:AB$503-BD$4:BD$503))/MAX(1,COUNTIF(AB$4:AB$503,"&lt;"&amp;BD90+0.01)),BD90))</f>
        <v>3335.2938</v>
      </c>
      <c r="BS90" s="92" t="n">
        <f aca="false">IF(AC90&gt;=BE90,0,IFERROR(BE90+SUMPRODUCT((AC$4:AC$503&gt;=BE$4:BE$503)*(AC$4:AC$503-BE$4:BE$503))/MAX(1,COUNTIF(AC$4:AC$503,"&lt;"&amp;BE90+0.01)),BE90))</f>
        <v>6188.73352</v>
      </c>
      <c r="BT90" s="92" t="n">
        <f aca="false">IF(AD90&gt;=BF90,0,IFERROR(BF90+SUMPRODUCT((AD$4:AD$503&gt;=BF$4:BF$503)*(AD$4:AD$503-BF$4:BF$503))/MAX(1,COUNTIF(AD$4:AD$503,"&lt;"&amp;BF90+0.01)),BF90))</f>
        <v>11354.35411</v>
      </c>
      <c r="BU90" s="92" t="n">
        <f aca="false">IF(AE90&gt;=BG90,0,IFERROR(BG90+SUMPRODUCT((AE$4:AE$503&gt;=BG$4:BG$503)*(AE$4:AE$503-BG$4:BG$503))/MAX(1,COUNTIF(AE$4:AE$503,"&lt;"&amp;BG90+0.01)),BG90))</f>
        <v>7704.85920380952</v>
      </c>
      <c r="BV90" s="92" t="n">
        <f aca="false">IF(AF90&gt;=BH90,0,IFERROR(BH90+SUMPRODUCT((AF$4:AF$503&gt;=BH$4:BH$503)*(AF$4:AF$503-BH$4:BH$503))/MAX(1,COUNTIF(AF$4:AF$503,"&lt;"&amp;BH90+0.01)),BH90))</f>
        <v>9942.6503831579</v>
      </c>
      <c r="BW90" s="92" t="n">
        <f aca="false">IF(AG90&gt;=BI90,0,IFERROR(BI90+SUMPRODUCT((AG$4:AG$503&gt;=BI$4:BI$503)*(AG$4:AG$503-BI$4:BI$503))/MAX(1,COUNTIF(AG$4:AG$503,"&lt;"&amp;BI90+0.01)),BI90))</f>
        <v>9142.15870461538</v>
      </c>
      <c r="BX90" s="92" t="n">
        <f aca="false">IF(AH90&gt;=BJ90,0,IFERROR(BJ90+SUMPRODUCT((AH$4:AH$503&gt;=BJ$4:BJ$503)*(AH$4:AH$503-BJ$4:BJ$503))/MAX(1,COUNTIF(AH$4:AH$503,"&lt;"&amp;BJ90+0.01)),BJ90))</f>
        <v>5621.50263448276</v>
      </c>
      <c r="BY90" s="92" t="n">
        <f aca="false">IF(AI90&gt;=BK90,0,IFERROR(BK90+SUMPRODUCT((AI$4:AI$503&gt;=BK$4:BK$503)*(AI$4:AI$503-BK$4:BK$503))/MAX(1,COUNTIF(AI$4:AI$503,"&lt;"&amp;BK90+0.01)),BK90))</f>
        <v>7878.25652380952</v>
      </c>
      <c r="BZ90" s="92" t="n">
        <f aca="false">IF(AJ90&gt;=BL90,0,IFERROR(BL90+SUMPRODUCT((AJ$4:AJ$503&gt;=BL$4:BL$503)*(AJ$4:AJ$503-BL$4:BL$503))/MAX(1,COUNTIF(AJ$4:AJ$503,"&lt;"&amp;BL90+0.01)),BL90))</f>
        <v>6710.03292307692</v>
      </c>
      <c r="CA90" s="92" t="n">
        <f aca="false">IF(AK90&gt;=BM90,0,IFERROR(BM90+SUMPRODUCT((AK$4:AK$503&gt;=BM$4:BM$503)*(AK$4:AK$503-BM$4:BM$503))/MAX(1,COUNTIF(AK$4:AK$503,"&lt;"&amp;BM90+0.01)),BM90))</f>
        <v>0</v>
      </c>
      <c r="CB90" s="93" t="n">
        <f aca="false">IF(AL90&gt;=BN90,0,IFERROR(BN90+SUMPRODUCT((AL$4:AL$503&gt;=BN$4:BN$503)*(AL$4:AL$503-BN$4:BN$503))/MAX(1,COUNTIF(AL$4:AL$503,"&lt;"&amp;BN90+0.01)),BN90))</f>
        <v>3597.2614925</v>
      </c>
      <c r="CC90" s="95" t="str">
        <f aca="false">IF(AO90="🟢","VERDE",IF(AO90="🟡","AMARELO",IF(AO90="🟠","VERMELHO",IF(AO90="🔴","VERMELHO","ROXO"))))</f>
        <v>VERMELHO</v>
      </c>
      <c r="CD90" s="96" t="s">
        <v>103</v>
      </c>
      <c r="CE90" s="96" t="s">
        <v>104</v>
      </c>
    </row>
    <row r="91" customFormat="false" ht="14.25" hidden="false" customHeight="true" outlineLevel="0" collapsed="false">
      <c r="A91" s="65" t="s">
        <v>322</v>
      </c>
      <c r="B91" s="66" t="s">
        <v>323</v>
      </c>
      <c r="C91" s="66" t="s">
        <v>66</v>
      </c>
      <c r="D91" s="68" t="s">
        <v>175</v>
      </c>
      <c r="E91" s="69" t="s">
        <v>139</v>
      </c>
      <c r="F91" s="70" t="n">
        <f aca="false">IFERROR(VLOOKUP(C91,$AS$3:$AT$10,2,FALSE()),IFERROR(VLOOKUP(C91,$AS$15:$AT$22,2,FALSE()),""))</f>
        <v>44</v>
      </c>
      <c r="G91" s="71" t="n">
        <f aca="false">IFERROR(VLOOKUP(C91,$AS$3:$AX$10,6,FALSE()),IFERROR(VLOOKUP(C91,$AS$15:$AX$22,6,FALSE()),""))</f>
        <v>0.496839506257363</v>
      </c>
      <c r="H91" s="72" t="str">
        <f aca="false">IFERROR(VLOOKUP(C91,$AS$3:$AY$10,7,FALSE()),IFERROR(VLOOKUP(C91,$AS$15:$AY$22,7,FALSE()),""))</f>
        <v>🟡 AMARELO</v>
      </c>
      <c r="I91" s="72" t="str">
        <f aca="false">IFERROR(VLOOKUP(C91,$AS$3:$AZ$10,8,FALSE()),IFERROR(VLOOKUP(C91,$AS$15:$AZ$22,8,FALSE()),""))</f>
        <v>Sell Out</v>
      </c>
      <c r="J91" s="73"/>
      <c r="K91" s="69" t="s">
        <v>107</v>
      </c>
      <c r="L91" s="74" t="n">
        <v>12625.61</v>
      </c>
      <c r="M91" s="75" t="n">
        <v>887.24</v>
      </c>
      <c r="N91" s="75" t="n">
        <v>927.13</v>
      </c>
      <c r="O91" s="75" t="n">
        <v>949.47</v>
      </c>
      <c r="P91" s="75" t="n">
        <v>974.21</v>
      </c>
      <c r="Q91" s="75" t="n">
        <v>1006.12</v>
      </c>
      <c r="R91" s="75" t="n">
        <v>1032.45</v>
      </c>
      <c r="S91" s="75" t="n">
        <v>1072.35</v>
      </c>
      <c r="T91" s="75" t="n">
        <v>1098.68</v>
      </c>
      <c r="U91" s="75" t="n">
        <v>1123.41</v>
      </c>
      <c r="V91" s="75" t="n">
        <v>1151.34</v>
      </c>
      <c r="W91" s="75" t="n">
        <v>1181.66</v>
      </c>
      <c r="X91" s="76" t="n">
        <v>1221.55</v>
      </c>
      <c r="Y91" s="77" t="s">
        <v>20</v>
      </c>
      <c r="Z91" s="78" t="n">
        <f aca="false">SUM(AA91:AL91)</f>
        <v>6289.7</v>
      </c>
      <c r="AA91" s="79" t="n">
        <v>386.06</v>
      </c>
      <c r="AB91" s="75"/>
      <c r="AC91" s="79" t="n">
        <v>638.53</v>
      </c>
      <c r="AD91" s="79" t="n">
        <v>383.01</v>
      </c>
      <c r="AE91" s="75"/>
      <c r="AF91" s="79" t="n">
        <v>2490.6</v>
      </c>
      <c r="AG91" s="75"/>
      <c r="AH91" s="75"/>
      <c r="AI91" s="75" t="n">
        <v>1216.76</v>
      </c>
      <c r="AJ91" s="79" t="n">
        <v>1174.74</v>
      </c>
      <c r="AK91" s="75"/>
      <c r="AL91" s="76"/>
      <c r="AM91" s="56" t="s">
        <v>20</v>
      </c>
      <c r="AN91" s="80" t="n">
        <f aca="false">IF(L91=0,0,Z91/L91)</f>
        <v>0.498169989410413</v>
      </c>
      <c r="AO91" s="81" t="str">
        <f aca="false">IF(AN91="","",IF(AN91&gt;=0.9,"🟢",IF(AN91&gt;=0.7,"🟡",IF(AN91&gt;=0.5,"🟠","🔴"))))</f>
        <v>🔴</v>
      </c>
      <c r="AP91" s="82" t="n">
        <f aca="false">IF(L91=0,0,L91-Z91)</f>
        <v>6335.91</v>
      </c>
      <c r="AQ91" s="83" t="n">
        <f aca="false">IF(AP91=0,"",RANK(AP91,AP$4:AP$503,0))</f>
        <v>97</v>
      </c>
      <c r="AR91" s="84" t="s">
        <v>20</v>
      </c>
      <c r="AS91" s="141"/>
      <c r="AT91" s="141"/>
      <c r="AU91" s="141"/>
      <c r="AV91" s="141"/>
      <c r="AW91" s="141"/>
      <c r="AX91" s="141"/>
      <c r="AY91" s="142"/>
      <c r="AZ91" s="142"/>
      <c r="BA91" s="56" t="s">
        <v>20</v>
      </c>
      <c r="BB91" s="91" t="n">
        <f aca="false">SUM(L$4:L$503)/COUNTA(A$4:A$503)</f>
        <v>9494.39992</v>
      </c>
      <c r="BC91" s="92" t="n">
        <f aca="false">SUM(M$4:M$503)/COUNTA(A$4:A$503)</f>
        <v>667.20008</v>
      </c>
      <c r="BD91" s="92" t="n">
        <f aca="false">SUM(N$4:N$503)/COUNTA(A$4:A$503)</f>
        <v>697.19996</v>
      </c>
      <c r="BE91" s="92" t="n">
        <f aca="false">SUM(O$4:O$503)/COUNTA(A$4:A$503)</f>
        <v>713.9999</v>
      </c>
      <c r="BF91" s="92" t="n">
        <f aca="false">SUM(P$4:P$503)/COUNTA(A$4:A$503)</f>
        <v>732.59984</v>
      </c>
      <c r="BG91" s="92" t="n">
        <f aca="false">SUM(Q$4:Q$503)/COUNTA(A$4:A$503)</f>
        <v>756.59992</v>
      </c>
      <c r="BH91" s="92" t="n">
        <f aca="false">SUM(R$4:R$503)/COUNTA(A$4:A$503)</f>
        <v>776.40004</v>
      </c>
      <c r="BI91" s="92" t="n">
        <f aca="false">SUM(S$4:S$503)/COUNTA(A$4:A$503)</f>
        <v>806.40012</v>
      </c>
      <c r="BJ91" s="92" t="n">
        <f aca="false">SUM(T$4:T$503)/COUNTA(A$4:A$503)</f>
        <v>826.1999</v>
      </c>
      <c r="BK91" s="92" t="n">
        <f aca="false">SUM(U$4:U$503)/COUNTA(A$4:A$503)</f>
        <v>844.8002</v>
      </c>
      <c r="BL91" s="92" t="n">
        <f aca="false">SUM(V$4:V$503)/COUNTA(A$4:A$503)</f>
        <v>865.7998</v>
      </c>
      <c r="BM91" s="92" t="n">
        <f aca="false">SUM(W$4:W$503)/COUNTA(A$4:A$503)</f>
        <v>888.59982</v>
      </c>
      <c r="BN91" s="93" t="n">
        <f aca="false">SUM(X$4:X$503)/COUNTA(A$4:A$503)</f>
        <v>918.60034</v>
      </c>
      <c r="BO91" s="94" t="s">
        <v>20</v>
      </c>
      <c r="BP91" s="91" t="n">
        <f aca="false">IF(Z91&gt;=BB91,0,IFERROR(BB91+(SUMPRODUCT((Z$4:Z$503&gt;=BB$4:BB$503)*(Z$4:Z$503-BB$4:BB$503))/MAX(1,COUNTIF(Z$4:Z$503,"&lt;"&amp;BB91+0.01))),BB91))</f>
        <v>10695.5432177778</v>
      </c>
      <c r="BQ91" s="92" t="n">
        <f aca="false">IF(AA91&gt;=BC91,0,IFERROR(BC91+SUMPRODUCT((AA$4:AA$503&gt;=BC$4:BC$503)*(AA$4:AA$503-BC$4:BC$503))/MAX(1,COUNTIF(AA$4:AA$503,"&lt;"&amp;BC91+0.01)),BC91))</f>
        <v>2238.46589176471</v>
      </c>
      <c r="BR91" s="92" t="n">
        <f aca="false">IF(AB91&gt;=BD91,0,IFERROR(BD91+SUMPRODUCT((AB$4:AB$503&gt;=BD$4:BD$503)*(AB$4:AB$503-BD$4:BD$503))/MAX(1,COUNTIF(AB$4:AB$503,"&lt;"&amp;BD91+0.01)),BD91))</f>
        <v>3335.2938</v>
      </c>
      <c r="BS91" s="92" t="n">
        <f aca="false">IF(AC91&gt;=BE91,0,IFERROR(BE91+SUMPRODUCT((AC$4:AC$503&gt;=BE$4:BE$503)*(AC$4:AC$503-BE$4:BE$503))/MAX(1,COUNTIF(AC$4:AC$503,"&lt;"&amp;BE91+0.01)),BE91))</f>
        <v>6188.73352</v>
      </c>
      <c r="BT91" s="92" t="n">
        <f aca="false">IF(AD91&gt;=BF91,0,IFERROR(BF91+SUMPRODUCT((AD$4:AD$503&gt;=BF$4:BF$503)*(AD$4:AD$503-BF$4:BF$503))/MAX(1,COUNTIF(AD$4:AD$503,"&lt;"&amp;BF91+0.01)),BF91))</f>
        <v>11354.35411</v>
      </c>
      <c r="BU91" s="92" t="n">
        <f aca="false">IF(AE91&gt;=BG91,0,IFERROR(BG91+SUMPRODUCT((AE$4:AE$503&gt;=BG$4:BG$503)*(AE$4:AE$503-BG$4:BG$503))/MAX(1,COUNTIF(AE$4:AE$503,"&lt;"&amp;BG91+0.01)),BG91))</f>
        <v>7704.85920380952</v>
      </c>
      <c r="BV91" s="92" t="n">
        <f aca="false">IF(AF91&gt;=BH91,0,IFERROR(BH91+SUMPRODUCT((AF$4:AF$503&gt;=BH$4:BH$503)*(AF$4:AF$503-BH$4:BH$503))/MAX(1,COUNTIF(AF$4:AF$503,"&lt;"&amp;BH91+0.01)),BH91))</f>
        <v>0</v>
      </c>
      <c r="BW91" s="92" t="n">
        <f aca="false">IF(AG91&gt;=BI91,0,IFERROR(BI91+SUMPRODUCT((AG$4:AG$503&gt;=BI$4:BI$503)*(AG$4:AG$503-BI$4:BI$503))/MAX(1,COUNTIF(AG$4:AG$503,"&lt;"&amp;BI91+0.01)),BI91))</f>
        <v>9142.15870461538</v>
      </c>
      <c r="BX91" s="92" t="n">
        <f aca="false">IF(AH91&gt;=BJ91,0,IFERROR(BJ91+SUMPRODUCT((AH$4:AH$503&gt;=BJ$4:BJ$503)*(AH$4:AH$503-BJ$4:BJ$503))/MAX(1,COUNTIF(AH$4:AH$503,"&lt;"&amp;BJ91+0.01)),BJ91))</f>
        <v>5621.50263448276</v>
      </c>
      <c r="BY91" s="92" t="n">
        <f aca="false">IF(AI91&gt;=BK91,0,IFERROR(BK91+SUMPRODUCT((AI$4:AI$503&gt;=BK$4:BK$503)*(AI$4:AI$503-BK$4:BK$503))/MAX(1,COUNTIF(AI$4:AI$503,"&lt;"&amp;BK91+0.01)),BK91))</f>
        <v>0</v>
      </c>
      <c r="BZ91" s="92" t="n">
        <f aca="false">IF(AJ91&gt;=BL91,0,IFERROR(BL91+SUMPRODUCT((AJ$4:AJ$503&gt;=BL$4:BL$503)*(AJ$4:AJ$503-BL$4:BL$503))/MAX(1,COUNTIF(AJ$4:AJ$503,"&lt;"&amp;BL91+0.01)),BL91))</f>
        <v>0</v>
      </c>
      <c r="CA91" s="92" t="n">
        <f aca="false">IF(AK91&gt;=BM91,0,IFERROR(BM91+SUMPRODUCT((AK$4:AK$503&gt;=BM$4:BM$503)*(AK$4:AK$503-BM$4:BM$503))/MAX(1,COUNTIF(AK$4:AK$503,"&lt;"&amp;BM91+0.01)),BM91))</f>
        <v>7314.89836842105</v>
      </c>
      <c r="CB91" s="93" t="n">
        <f aca="false">IF(AL91&gt;=BN91,0,IFERROR(BN91+SUMPRODUCT((AL$4:AL$503&gt;=BN$4:BN$503)*(AL$4:AL$503-BN$4:BN$503))/MAX(1,COUNTIF(AL$4:AL$503,"&lt;"&amp;BN91+0.01)),BN91))</f>
        <v>3597.2614925</v>
      </c>
      <c r="CC91" s="95" t="str">
        <f aca="false">IF(AO91="🟢","VERDE",IF(AO91="🟡","AMARELO",IF(AO91="🟠","VERMELHO",IF(AO91="🔴","VERMELHO","ROXO"))))</f>
        <v>VERMELHO</v>
      </c>
      <c r="CD91" s="96" t="s">
        <v>176</v>
      </c>
      <c r="CE91" s="96" t="s">
        <v>66</v>
      </c>
    </row>
    <row r="92" customFormat="false" ht="14.25" hidden="false" customHeight="true" outlineLevel="0" collapsed="false">
      <c r="A92" s="65" t="s">
        <v>324</v>
      </c>
      <c r="B92" s="66" t="s">
        <v>325</v>
      </c>
      <c r="C92" s="67" t="s">
        <v>113</v>
      </c>
      <c r="D92" s="68" t="s">
        <v>100</v>
      </c>
      <c r="E92" s="69" t="s">
        <v>114</v>
      </c>
      <c r="F92" s="70" t="n">
        <f aca="false">IFERROR(VLOOKUP(C92,$AS$3:$AT$10,2,FALSE()),IFERROR(VLOOKUP(C92,$AS$15:$AT$22,2,FALSE()),""))</f>
        <v>49</v>
      </c>
      <c r="G92" s="71" t="n">
        <f aca="false">IFERROR(VLOOKUP(C92,$AS$3:$AX$10,6,FALSE()),IFERROR(VLOOKUP(C92,$AS$15:$AX$22,6,FALSE()),""))</f>
        <v>0.463965086137302</v>
      </c>
      <c r="H92" s="72" t="str">
        <f aca="false">IFERROR(VLOOKUP(C92,$AS$3:$AY$10,7,FALSE()),IFERROR(VLOOKUP(C92,$AS$15:$AY$22,7,FALSE()),""))</f>
        <v>🟡 AMARELO</v>
      </c>
      <c r="I92" s="72" t="str">
        <f aca="false">IFERROR(VLOOKUP(C92,$AS$3:$AZ$10,8,FALSE()),IFERROR(VLOOKUP(C92,$AS$15:$AZ$22,8,FALSE()),""))</f>
        <v>Sell Out</v>
      </c>
      <c r="J92" s="73"/>
      <c r="K92" s="69" t="s">
        <v>113</v>
      </c>
      <c r="L92" s="74" t="n">
        <v>12505.1</v>
      </c>
      <c r="M92" s="75" t="n">
        <v>878.77</v>
      </c>
      <c r="N92" s="75" t="n">
        <v>918.28</v>
      </c>
      <c r="O92" s="75" t="n">
        <v>940.41</v>
      </c>
      <c r="P92" s="75" t="n">
        <v>964.91</v>
      </c>
      <c r="Q92" s="75" t="n">
        <v>996.52</v>
      </c>
      <c r="R92" s="75" t="n">
        <v>1022.6</v>
      </c>
      <c r="S92" s="75" t="n">
        <v>1062.11</v>
      </c>
      <c r="T92" s="75" t="n">
        <v>1088.19</v>
      </c>
      <c r="U92" s="75" t="n">
        <v>1112.69</v>
      </c>
      <c r="V92" s="75" t="n">
        <v>1140.35</v>
      </c>
      <c r="W92" s="75" t="n">
        <v>1170.38</v>
      </c>
      <c r="X92" s="76" t="n">
        <v>1209.89</v>
      </c>
      <c r="Y92" s="77" t="s">
        <v>20</v>
      </c>
      <c r="Z92" s="78" t="n">
        <f aca="false">SUM(AA92:AL92)</f>
        <v>5292.13</v>
      </c>
      <c r="AA92" s="75"/>
      <c r="AB92" s="75"/>
      <c r="AC92" s="75"/>
      <c r="AD92" s="75"/>
      <c r="AE92" s="75"/>
      <c r="AF92" s="75"/>
      <c r="AG92" s="75"/>
      <c r="AH92" s="75"/>
      <c r="AI92" s="75"/>
      <c r="AJ92" s="79" t="n">
        <v>3075.94</v>
      </c>
      <c r="AK92" s="75"/>
      <c r="AL92" s="107" t="n">
        <v>2216.19</v>
      </c>
      <c r="AM92" s="56" t="s">
        <v>20</v>
      </c>
      <c r="AN92" s="80" t="n">
        <f aca="false">IF(L92=0,0,Z92/L92)</f>
        <v>0.423197735323988</v>
      </c>
      <c r="AO92" s="81" t="str">
        <f aca="false">IF(AN92="","",IF(AN92&gt;=0.9,"🟢",IF(AN92&gt;=0.7,"🟡",IF(AN92&gt;=0.5,"🟠","🔴"))))</f>
        <v>🔴</v>
      </c>
      <c r="AP92" s="82" t="n">
        <f aca="false">IF(L92=0,0,L92-Z92)</f>
        <v>7212.97</v>
      </c>
      <c r="AQ92" s="83" t="n">
        <f aca="false">IF(AP92=0,"",RANK(AP92,AP$4:AP$503,0))</f>
        <v>85</v>
      </c>
      <c r="AR92" s="84" t="s">
        <v>20</v>
      </c>
      <c r="AS92" s="141"/>
      <c r="AT92" s="141"/>
      <c r="AU92" s="141"/>
      <c r="AV92" s="141"/>
      <c r="AW92" s="141"/>
      <c r="AX92" s="141"/>
      <c r="AY92" s="142"/>
      <c r="AZ92" s="142"/>
      <c r="BA92" s="56" t="s">
        <v>20</v>
      </c>
      <c r="BB92" s="91" t="n">
        <f aca="false">SUM(L$4:L$503)/COUNTA(A$4:A$503)</f>
        <v>9494.39992</v>
      </c>
      <c r="BC92" s="92" t="n">
        <f aca="false">SUM(M$4:M$503)/COUNTA(A$4:A$503)</f>
        <v>667.20008</v>
      </c>
      <c r="BD92" s="92" t="n">
        <f aca="false">SUM(N$4:N$503)/COUNTA(A$4:A$503)</f>
        <v>697.19996</v>
      </c>
      <c r="BE92" s="92" t="n">
        <f aca="false">SUM(O$4:O$503)/COUNTA(A$4:A$503)</f>
        <v>713.9999</v>
      </c>
      <c r="BF92" s="92" t="n">
        <f aca="false">SUM(P$4:P$503)/COUNTA(A$4:A$503)</f>
        <v>732.59984</v>
      </c>
      <c r="BG92" s="92" t="n">
        <f aca="false">SUM(Q$4:Q$503)/COUNTA(A$4:A$503)</f>
        <v>756.59992</v>
      </c>
      <c r="BH92" s="92" t="n">
        <f aca="false">SUM(R$4:R$503)/COUNTA(A$4:A$503)</f>
        <v>776.40004</v>
      </c>
      <c r="BI92" s="92" t="n">
        <f aca="false">SUM(S$4:S$503)/COUNTA(A$4:A$503)</f>
        <v>806.40012</v>
      </c>
      <c r="BJ92" s="92" t="n">
        <f aca="false">SUM(T$4:T$503)/COUNTA(A$4:A$503)</f>
        <v>826.1999</v>
      </c>
      <c r="BK92" s="92" t="n">
        <f aca="false">SUM(U$4:U$503)/COUNTA(A$4:A$503)</f>
        <v>844.8002</v>
      </c>
      <c r="BL92" s="92" t="n">
        <f aca="false">SUM(V$4:V$503)/COUNTA(A$4:A$503)</f>
        <v>865.7998</v>
      </c>
      <c r="BM92" s="92" t="n">
        <f aca="false">SUM(W$4:W$503)/COUNTA(A$4:A$503)</f>
        <v>888.59982</v>
      </c>
      <c r="BN92" s="93" t="n">
        <f aca="false">SUM(X$4:X$503)/COUNTA(A$4:A$503)</f>
        <v>918.60034</v>
      </c>
      <c r="BO92" s="94" t="s">
        <v>20</v>
      </c>
      <c r="BP92" s="91" t="n">
        <f aca="false">IF(Z92&gt;=BB92,0,IFERROR(BB92+(SUMPRODUCT((Z$4:Z$503&gt;=BB$4:BB$503)*(Z$4:Z$503-BB$4:BB$503))/MAX(1,COUNTIF(Z$4:Z$503,"&lt;"&amp;BB92+0.01))),BB92))</f>
        <v>10695.5432177778</v>
      </c>
      <c r="BQ92" s="92" t="n">
        <f aca="false">IF(AA92&gt;=BC92,0,IFERROR(BC92+SUMPRODUCT((AA$4:AA$503&gt;=BC$4:BC$503)*(AA$4:AA$503-BC$4:BC$503))/MAX(1,COUNTIF(AA$4:AA$503,"&lt;"&amp;BC92+0.01)),BC92))</f>
        <v>2238.46589176471</v>
      </c>
      <c r="BR92" s="92" t="n">
        <f aca="false">IF(AB92&gt;=BD92,0,IFERROR(BD92+SUMPRODUCT((AB$4:AB$503&gt;=BD$4:BD$503)*(AB$4:AB$503-BD$4:BD$503))/MAX(1,COUNTIF(AB$4:AB$503,"&lt;"&amp;BD92+0.01)),BD92))</f>
        <v>3335.2938</v>
      </c>
      <c r="BS92" s="92" t="n">
        <f aca="false">IF(AC92&gt;=BE92,0,IFERROR(BE92+SUMPRODUCT((AC$4:AC$503&gt;=BE$4:BE$503)*(AC$4:AC$503-BE$4:BE$503))/MAX(1,COUNTIF(AC$4:AC$503,"&lt;"&amp;BE92+0.01)),BE92))</f>
        <v>6188.73352</v>
      </c>
      <c r="BT92" s="92" t="n">
        <f aca="false">IF(AD92&gt;=BF92,0,IFERROR(BF92+SUMPRODUCT((AD$4:AD$503&gt;=BF$4:BF$503)*(AD$4:AD$503-BF$4:BF$503))/MAX(1,COUNTIF(AD$4:AD$503,"&lt;"&amp;BF92+0.01)),BF92))</f>
        <v>11354.35411</v>
      </c>
      <c r="BU92" s="92" t="n">
        <f aca="false">IF(AE92&gt;=BG92,0,IFERROR(BG92+SUMPRODUCT((AE$4:AE$503&gt;=BG$4:BG$503)*(AE$4:AE$503-BG$4:BG$503))/MAX(1,COUNTIF(AE$4:AE$503,"&lt;"&amp;BG92+0.01)),BG92))</f>
        <v>7704.85920380952</v>
      </c>
      <c r="BV92" s="92" t="n">
        <f aca="false">IF(AF92&gt;=BH92,0,IFERROR(BH92+SUMPRODUCT((AF$4:AF$503&gt;=BH$4:BH$503)*(AF$4:AF$503-BH$4:BH$503))/MAX(1,COUNTIF(AF$4:AF$503,"&lt;"&amp;BH92+0.01)),BH92))</f>
        <v>9942.6503831579</v>
      </c>
      <c r="BW92" s="92" t="n">
        <f aca="false">IF(AG92&gt;=BI92,0,IFERROR(BI92+SUMPRODUCT((AG$4:AG$503&gt;=BI$4:BI$503)*(AG$4:AG$503-BI$4:BI$503))/MAX(1,COUNTIF(AG$4:AG$503,"&lt;"&amp;BI92+0.01)),BI92))</f>
        <v>9142.15870461538</v>
      </c>
      <c r="BX92" s="92" t="n">
        <f aca="false">IF(AH92&gt;=BJ92,0,IFERROR(BJ92+SUMPRODUCT((AH$4:AH$503&gt;=BJ$4:BJ$503)*(AH$4:AH$503-BJ$4:BJ$503))/MAX(1,COUNTIF(AH$4:AH$503,"&lt;"&amp;BJ92+0.01)),BJ92))</f>
        <v>5621.50263448276</v>
      </c>
      <c r="BY92" s="92" t="n">
        <f aca="false">IF(AI92&gt;=BK92,0,IFERROR(BK92+SUMPRODUCT((AI$4:AI$503&gt;=BK$4:BK$503)*(AI$4:AI$503-BK$4:BK$503))/MAX(1,COUNTIF(AI$4:AI$503,"&lt;"&amp;BK92+0.01)),BK92))</f>
        <v>7878.25652380952</v>
      </c>
      <c r="BZ92" s="92" t="n">
        <f aca="false">IF(AJ92&gt;=BL92,0,IFERROR(BL92+SUMPRODUCT((AJ$4:AJ$503&gt;=BL$4:BL$503)*(AJ$4:AJ$503-BL$4:BL$503))/MAX(1,COUNTIF(AJ$4:AJ$503,"&lt;"&amp;BL92+0.01)),BL92))</f>
        <v>0</v>
      </c>
      <c r="CA92" s="92" t="n">
        <f aca="false">IF(AK92&gt;=BM92,0,IFERROR(BM92+SUMPRODUCT((AK$4:AK$503&gt;=BM$4:BM$503)*(AK$4:AK$503-BM$4:BM$503))/MAX(1,COUNTIF(AK$4:AK$503,"&lt;"&amp;BM92+0.01)),BM92))</f>
        <v>7314.89836842105</v>
      </c>
      <c r="CB92" s="93" t="n">
        <f aca="false">IF(AL92&gt;=BN92,0,IFERROR(BN92+SUMPRODUCT((AL$4:AL$503&gt;=BN$4:BN$503)*(AL$4:AL$503-BN$4:BN$503))/MAX(1,COUNTIF(AL$4:AL$503,"&lt;"&amp;BN92+0.01)),BN92))</f>
        <v>0</v>
      </c>
      <c r="CC92" s="95" t="str">
        <f aca="false">IF(AO92="🟢","VERDE",IF(AO92="🟡","AMARELO",IF(AO92="🟠","VERMELHO",IF(AO92="🔴","VERMELHO","ROXO"))))</f>
        <v>VERMELHO</v>
      </c>
      <c r="CD92" s="96" t="s">
        <v>103</v>
      </c>
      <c r="CE92" s="96" t="s">
        <v>104</v>
      </c>
    </row>
    <row r="93" customFormat="false" ht="14.25" hidden="false" customHeight="true" outlineLevel="0" collapsed="false">
      <c r="A93" s="65" t="s">
        <v>326</v>
      </c>
      <c r="B93" s="66" t="s">
        <v>327</v>
      </c>
      <c r="C93" s="67" t="s">
        <v>113</v>
      </c>
      <c r="D93" s="68" t="s">
        <v>100</v>
      </c>
      <c r="E93" s="69" t="s">
        <v>260</v>
      </c>
      <c r="F93" s="70" t="n">
        <f aca="false">IFERROR(VLOOKUP(C93,$AS$3:$AT$10,2,FALSE()),IFERROR(VLOOKUP(C93,$AS$15:$AT$22,2,FALSE()),""))</f>
        <v>49</v>
      </c>
      <c r="G93" s="71" t="n">
        <f aca="false">IFERROR(VLOOKUP(C93,$AS$3:$AX$10,6,FALSE()),IFERROR(VLOOKUP(C93,$AS$15:$AX$22,6,FALSE()),""))</f>
        <v>0.463965086137302</v>
      </c>
      <c r="H93" s="72" t="str">
        <f aca="false">IFERROR(VLOOKUP(C93,$AS$3:$AY$10,7,FALSE()),IFERROR(VLOOKUP(C93,$AS$15:$AY$22,7,FALSE()),""))</f>
        <v>🟡 AMARELO</v>
      </c>
      <c r="I93" s="72" t="str">
        <f aca="false">IFERROR(VLOOKUP(C93,$AS$3:$AZ$10,8,FALSE()),IFERROR(VLOOKUP(C93,$AS$15:$AZ$22,8,FALSE()),""))</f>
        <v>Sell Out</v>
      </c>
      <c r="J93" s="73"/>
      <c r="K93" s="69" t="s">
        <v>113</v>
      </c>
      <c r="L93" s="74" t="n">
        <v>12501.86</v>
      </c>
      <c r="M93" s="75" t="n">
        <v>878.54</v>
      </c>
      <c r="N93" s="75" t="n">
        <v>918.05</v>
      </c>
      <c r="O93" s="75" t="n">
        <v>940.17</v>
      </c>
      <c r="P93" s="75" t="n">
        <v>964.66</v>
      </c>
      <c r="Q93" s="75" t="n">
        <v>996.26</v>
      </c>
      <c r="R93" s="75" t="n">
        <v>1022.33</v>
      </c>
      <c r="S93" s="75" t="n">
        <v>1061.84</v>
      </c>
      <c r="T93" s="75" t="n">
        <v>1087.91</v>
      </c>
      <c r="U93" s="75" t="n">
        <v>1112.4</v>
      </c>
      <c r="V93" s="75" t="n">
        <v>1140.05</v>
      </c>
      <c r="W93" s="75" t="n">
        <v>1170.07</v>
      </c>
      <c r="X93" s="76" t="n">
        <v>1209.58</v>
      </c>
      <c r="Y93" s="77" t="s">
        <v>20</v>
      </c>
      <c r="Z93" s="78" t="n">
        <f aca="false">SUM(AA93:AL93)</f>
        <v>6510.59</v>
      </c>
      <c r="AA93" s="75"/>
      <c r="AB93" s="75"/>
      <c r="AC93" s="75"/>
      <c r="AD93" s="75"/>
      <c r="AE93" s="75"/>
      <c r="AF93" s="75"/>
      <c r="AG93" s="75"/>
      <c r="AH93" s="75"/>
      <c r="AI93" s="79" t="n">
        <v>6510.59</v>
      </c>
      <c r="AJ93" s="75"/>
      <c r="AK93" s="75"/>
      <c r="AL93" s="76"/>
      <c r="AM93" s="56" t="s">
        <v>20</v>
      </c>
      <c r="AN93" s="80" t="n">
        <f aca="false">IF(L93=0,0,Z93/L93)</f>
        <v>0.520769709467231</v>
      </c>
      <c r="AO93" s="81" t="str">
        <f aca="false">IF(AN93="","",IF(AN93&gt;=0.9,"🟢",IF(AN93&gt;=0.7,"🟡",IF(AN93&gt;=0.5,"🟠","🔴"))))</f>
        <v>🟠</v>
      </c>
      <c r="AP93" s="82" t="n">
        <f aca="false">IF(L93=0,0,L93-Z93)</f>
        <v>5991.27</v>
      </c>
      <c r="AQ93" s="83" t="n">
        <f aca="false">IF(AP93=0,"",RANK(AP93,AP$4:AP$503,0))</f>
        <v>105</v>
      </c>
      <c r="AR93" s="84" t="s">
        <v>20</v>
      </c>
      <c r="AS93" s="141"/>
      <c r="AT93" s="141"/>
      <c r="AU93" s="141"/>
      <c r="AV93" s="141"/>
      <c r="AW93" s="141"/>
      <c r="AX93" s="141"/>
      <c r="AY93" s="142"/>
      <c r="AZ93" s="142"/>
      <c r="BA93" s="56" t="s">
        <v>20</v>
      </c>
      <c r="BB93" s="91" t="n">
        <f aca="false">SUM(L$4:L$503)/COUNTA(A$4:A$503)</f>
        <v>9494.39992</v>
      </c>
      <c r="BC93" s="92" t="n">
        <f aca="false">SUM(M$4:M$503)/COUNTA(A$4:A$503)</f>
        <v>667.20008</v>
      </c>
      <c r="BD93" s="92" t="n">
        <f aca="false">SUM(N$4:N$503)/COUNTA(A$4:A$503)</f>
        <v>697.19996</v>
      </c>
      <c r="BE93" s="92" t="n">
        <f aca="false">SUM(O$4:O$503)/COUNTA(A$4:A$503)</f>
        <v>713.9999</v>
      </c>
      <c r="BF93" s="92" t="n">
        <f aca="false">SUM(P$4:P$503)/COUNTA(A$4:A$503)</f>
        <v>732.59984</v>
      </c>
      <c r="BG93" s="92" t="n">
        <f aca="false">SUM(Q$4:Q$503)/COUNTA(A$4:A$503)</f>
        <v>756.59992</v>
      </c>
      <c r="BH93" s="92" t="n">
        <f aca="false">SUM(R$4:R$503)/COUNTA(A$4:A$503)</f>
        <v>776.40004</v>
      </c>
      <c r="BI93" s="92" t="n">
        <f aca="false">SUM(S$4:S$503)/COUNTA(A$4:A$503)</f>
        <v>806.40012</v>
      </c>
      <c r="BJ93" s="92" t="n">
        <f aca="false">SUM(T$4:T$503)/COUNTA(A$4:A$503)</f>
        <v>826.1999</v>
      </c>
      <c r="BK93" s="92" t="n">
        <f aca="false">SUM(U$4:U$503)/COUNTA(A$4:A$503)</f>
        <v>844.8002</v>
      </c>
      <c r="BL93" s="92" t="n">
        <f aca="false">SUM(V$4:V$503)/COUNTA(A$4:A$503)</f>
        <v>865.7998</v>
      </c>
      <c r="BM93" s="92" t="n">
        <f aca="false">SUM(W$4:W$503)/COUNTA(A$4:A$503)</f>
        <v>888.59982</v>
      </c>
      <c r="BN93" s="93" t="n">
        <f aca="false">SUM(X$4:X$503)/COUNTA(A$4:A$503)</f>
        <v>918.60034</v>
      </c>
      <c r="BO93" s="94" t="s">
        <v>20</v>
      </c>
      <c r="BP93" s="91" t="n">
        <f aca="false">IF(Z93&gt;=BB93,0,IFERROR(BB93+(SUMPRODUCT((Z$4:Z$503&gt;=BB$4:BB$503)*(Z$4:Z$503-BB$4:BB$503))/MAX(1,COUNTIF(Z$4:Z$503,"&lt;"&amp;BB93+0.01))),BB93))</f>
        <v>10695.5432177778</v>
      </c>
      <c r="BQ93" s="92" t="n">
        <f aca="false">IF(AA93&gt;=BC93,0,IFERROR(BC93+SUMPRODUCT((AA$4:AA$503&gt;=BC$4:BC$503)*(AA$4:AA$503-BC$4:BC$503))/MAX(1,COUNTIF(AA$4:AA$503,"&lt;"&amp;BC93+0.01)),BC93))</f>
        <v>2238.46589176471</v>
      </c>
      <c r="BR93" s="92" t="n">
        <f aca="false">IF(AB93&gt;=BD93,0,IFERROR(BD93+SUMPRODUCT((AB$4:AB$503&gt;=BD$4:BD$503)*(AB$4:AB$503-BD$4:BD$503))/MAX(1,COUNTIF(AB$4:AB$503,"&lt;"&amp;BD93+0.01)),BD93))</f>
        <v>3335.2938</v>
      </c>
      <c r="BS93" s="92" t="n">
        <f aca="false">IF(AC93&gt;=BE93,0,IFERROR(BE93+SUMPRODUCT((AC$4:AC$503&gt;=BE$4:BE$503)*(AC$4:AC$503-BE$4:BE$503))/MAX(1,COUNTIF(AC$4:AC$503,"&lt;"&amp;BE93+0.01)),BE93))</f>
        <v>6188.73352</v>
      </c>
      <c r="BT93" s="92" t="n">
        <f aca="false">IF(AD93&gt;=BF93,0,IFERROR(BF93+SUMPRODUCT((AD$4:AD$503&gt;=BF$4:BF$503)*(AD$4:AD$503-BF$4:BF$503))/MAX(1,COUNTIF(AD$4:AD$503,"&lt;"&amp;BF93+0.01)),BF93))</f>
        <v>11354.35411</v>
      </c>
      <c r="BU93" s="92" t="n">
        <f aca="false">IF(AE93&gt;=BG93,0,IFERROR(BG93+SUMPRODUCT((AE$4:AE$503&gt;=BG$4:BG$503)*(AE$4:AE$503-BG$4:BG$503))/MAX(1,COUNTIF(AE$4:AE$503,"&lt;"&amp;BG93+0.01)),BG93))</f>
        <v>7704.85920380952</v>
      </c>
      <c r="BV93" s="92" t="n">
        <f aca="false">IF(AF93&gt;=BH93,0,IFERROR(BH93+SUMPRODUCT((AF$4:AF$503&gt;=BH$4:BH$503)*(AF$4:AF$503-BH$4:BH$503))/MAX(1,COUNTIF(AF$4:AF$503,"&lt;"&amp;BH93+0.01)),BH93))</f>
        <v>9942.6503831579</v>
      </c>
      <c r="BW93" s="92" t="n">
        <f aca="false">IF(AG93&gt;=BI93,0,IFERROR(BI93+SUMPRODUCT((AG$4:AG$503&gt;=BI$4:BI$503)*(AG$4:AG$503-BI$4:BI$503))/MAX(1,COUNTIF(AG$4:AG$503,"&lt;"&amp;BI93+0.01)),BI93))</f>
        <v>9142.15870461538</v>
      </c>
      <c r="BX93" s="92" t="n">
        <f aca="false">IF(AH93&gt;=BJ93,0,IFERROR(BJ93+SUMPRODUCT((AH$4:AH$503&gt;=BJ$4:BJ$503)*(AH$4:AH$503-BJ$4:BJ$503))/MAX(1,COUNTIF(AH$4:AH$503,"&lt;"&amp;BJ93+0.01)),BJ93))</f>
        <v>5621.50263448276</v>
      </c>
      <c r="BY93" s="92" t="n">
        <f aca="false">IF(AI93&gt;=BK93,0,IFERROR(BK93+SUMPRODUCT((AI$4:AI$503&gt;=BK$4:BK$503)*(AI$4:AI$503-BK$4:BK$503))/MAX(1,COUNTIF(AI$4:AI$503,"&lt;"&amp;BK93+0.01)),BK93))</f>
        <v>0</v>
      </c>
      <c r="BZ93" s="92" t="n">
        <f aca="false">IF(AJ93&gt;=BL93,0,IFERROR(BL93+SUMPRODUCT((AJ$4:AJ$503&gt;=BL$4:BL$503)*(AJ$4:AJ$503-BL$4:BL$503))/MAX(1,COUNTIF(AJ$4:AJ$503,"&lt;"&amp;BL93+0.01)),BL93))</f>
        <v>6710.03292307692</v>
      </c>
      <c r="CA93" s="92" t="n">
        <f aca="false">IF(AK93&gt;=BM93,0,IFERROR(BM93+SUMPRODUCT((AK$4:AK$503&gt;=BM$4:BM$503)*(AK$4:AK$503-BM$4:BM$503))/MAX(1,COUNTIF(AK$4:AK$503,"&lt;"&amp;BM93+0.01)),BM93))</f>
        <v>7314.89836842105</v>
      </c>
      <c r="CB93" s="93" t="n">
        <f aca="false">IF(AL93&gt;=BN93,0,IFERROR(BN93+SUMPRODUCT((AL$4:AL$503&gt;=BN$4:BN$503)*(AL$4:AL$503-BN$4:BN$503))/MAX(1,COUNTIF(AL$4:AL$503,"&lt;"&amp;BN93+0.01)),BN93))</f>
        <v>3597.2614925</v>
      </c>
      <c r="CC93" s="95" t="str">
        <f aca="false">IF(AO93="🟢","VERDE",IF(AO93="🟡","AMARELO",IF(AO93="🟠","VERMELHO",IF(AO93="🔴","VERMELHO","ROXO"))))</f>
        <v>VERMELHO</v>
      </c>
      <c r="CD93" s="96" t="s">
        <v>103</v>
      </c>
      <c r="CE93" s="96" t="s">
        <v>104</v>
      </c>
    </row>
    <row r="94" customFormat="false" ht="14.25" hidden="false" customHeight="true" outlineLevel="0" collapsed="false">
      <c r="A94" s="65" t="s">
        <v>328</v>
      </c>
      <c r="B94" s="66" t="s">
        <v>329</v>
      </c>
      <c r="C94" s="67" t="s">
        <v>113</v>
      </c>
      <c r="D94" s="68" t="s">
        <v>100</v>
      </c>
      <c r="E94" s="69" t="s">
        <v>260</v>
      </c>
      <c r="F94" s="70" t="n">
        <f aca="false">IFERROR(VLOOKUP(C94,$AS$3:$AT$10,2,FALSE()),IFERROR(VLOOKUP(C94,$AS$15:$AT$22,2,FALSE()),""))</f>
        <v>49</v>
      </c>
      <c r="G94" s="71" t="n">
        <f aca="false">IFERROR(VLOOKUP(C94,$AS$3:$AX$10,6,FALSE()),IFERROR(VLOOKUP(C94,$AS$15:$AX$22,6,FALSE()),""))</f>
        <v>0.463965086137302</v>
      </c>
      <c r="H94" s="72" t="str">
        <f aca="false">IFERROR(VLOOKUP(C94,$AS$3:$AY$10,7,FALSE()),IFERROR(VLOOKUP(C94,$AS$15:$AY$22,7,FALSE()),""))</f>
        <v>🟡 AMARELO</v>
      </c>
      <c r="I94" s="72" t="str">
        <f aca="false">IFERROR(VLOOKUP(C94,$AS$3:$AZ$10,8,FALSE()),IFERROR(VLOOKUP(C94,$AS$15:$AZ$22,8,FALSE()),""))</f>
        <v>Sell Out</v>
      </c>
      <c r="J94" s="73"/>
      <c r="K94" s="69" t="s">
        <v>113</v>
      </c>
      <c r="L94" s="74" t="n">
        <v>12497.17</v>
      </c>
      <c r="M94" s="75" t="n">
        <v>878.21</v>
      </c>
      <c r="N94" s="75" t="n">
        <v>917.7</v>
      </c>
      <c r="O94" s="75" t="n">
        <v>939.82</v>
      </c>
      <c r="P94" s="75" t="n">
        <v>964.3</v>
      </c>
      <c r="Q94" s="75" t="n">
        <v>995.89</v>
      </c>
      <c r="R94" s="75" t="n">
        <v>1021.95</v>
      </c>
      <c r="S94" s="75" t="n">
        <v>1061.44</v>
      </c>
      <c r="T94" s="75" t="n">
        <v>1087.5</v>
      </c>
      <c r="U94" s="75" t="n">
        <v>1111.98</v>
      </c>
      <c r="V94" s="75" t="n">
        <v>1139.62</v>
      </c>
      <c r="W94" s="75" t="n">
        <v>1169.64</v>
      </c>
      <c r="X94" s="76" t="n">
        <v>1209.12</v>
      </c>
      <c r="Y94" s="77" t="s">
        <v>20</v>
      </c>
      <c r="Z94" s="78" t="n">
        <f aca="false">SUM(AA94:AL94)</f>
        <v>5194.5</v>
      </c>
      <c r="AA94" s="75"/>
      <c r="AB94" s="75"/>
      <c r="AC94" s="75"/>
      <c r="AD94" s="75"/>
      <c r="AE94" s="79" t="n">
        <v>1347.98</v>
      </c>
      <c r="AF94" s="75"/>
      <c r="AG94" s="75"/>
      <c r="AH94" s="79" t="n">
        <v>1660.95</v>
      </c>
      <c r="AI94" s="75"/>
      <c r="AJ94" s="79" t="n">
        <v>2185.57</v>
      </c>
      <c r="AK94" s="75"/>
      <c r="AL94" s="76"/>
      <c r="AM94" s="56" t="s">
        <v>20</v>
      </c>
      <c r="AN94" s="80" t="n">
        <f aca="false">IF(L94=0,0,Z94/L94)</f>
        <v>0.415654104089166</v>
      </c>
      <c r="AO94" s="81" t="str">
        <f aca="false">IF(AN94="","",IF(AN94&gt;=0.9,"🟢",IF(AN94&gt;=0.7,"🟡",IF(AN94&gt;=0.5,"🟠","🔴"))))</f>
        <v>🔴</v>
      </c>
      <c r="AP94" s="82" t="n">
        <f aca="false">IF(L94=0,0,L94-Z94)</f>
        <v>7302.67</v>
      </c>
      <c r="AQ94" s="83" t="n">
        <f aca="false">IF(AP94=0,"",RANK(AP94,AP$4:AP$503,0))</f>
        <v>84</v>
      </c>
      <c r="AR94" s="84" t="s">
        <v>20</v>
      </c>
      <c r="AS94" s="141"/>
      <c r="AT94" s="141"/>
      <c r="AU94" s="141"/>
      <c r="AV94" s="141"/>
      <c r="AW94" s="141"/>
      <c r="AX94" s="141"/>
      <c r="AY94" s="142"/>
      <c r="AZ94" s="142"/>
      <c r="BA94" s="56" t="s">
        <v>20</v>
      </c>
      <c r="BB94" s="91" t="n">
        <f aca="false">SUM(L$4:L$503)/COUNTA(A$4:A$503)</f>
        <v>9494.39992</v>
      </c>
      <c r="BC94" s="92" t="n">
        <f aca="false">SUM(M$4:M$503)/COUNTA(A$4:A$503)</f>
        <v>667.20008</v>
      </c>
      <c r="BD94" s="92" t="n">
        <f aca="false">SUM(N$4:N$503)/COUNTA(A$4:A$503)</f>
        <v>697.19996</v>
      </c>
      <c r="BE94" s="92" t="n">
        <f aca="false">SUM(O$4:O$503)/COUNTA(A$4:A$503)</f>
        <v>713.9999</v>
      </c>
      <c r="BF94" s="92" t="n">
        <f aca="false">SUM(P$4:P$503)/COUNTA(A$4:A$503)</f>
        <v>732.59984</v>
      </c>
      <c r="BG94" s="92" t="n">
        <f aca="false">SUM(Q$4:Q$503)/COUNTA(A$4:A$503)</f>
        <v>756.59992</v>
      </c>
      <c r="BH94" s="92" t="n">
        <f aca="false">SUM(R$4:R$503)/COUNTA(A$4:A$503)</f>
        <v>776.40004</v>
      </c>
      <c r="BI94" s="92" t="n">
        <f aca="false">SUM(S$4:S$503)/COUNTA(A$4:A$503)</f>
        <v>806.40012</v>
      </c>
      <c r="BJ94" s="92" t="n">
        <f aca="false">SUM(T$4:T$503)/COUNTA(A$4:A$503)</f>
        <v>826.1999</v>
      </c>
      <c r="BK94" s="92" t="n">
        <f aca="false">SUM(U$4:U$503)/COUNTA(A$4:A$503)</f>
        <v>844.8002</v>
      </c>
      <c r="BL94" s="92" t="n">
        <f aca="false">SUM(V$4:V$503)/COUNTA(A$4:A$503)</f>
        <v>865.7998</v>
      </c>
      <c r="BM94" s="92" t="n">
        <f aca="false">SUM(W$4:W$503)/COUNTA(A$4:A$503)</f>
        <v>888.59982</v>
      </c>
      <c r="BN94" s="93" t="n">
        <f aca="false">SUM(X$4:X$503)/COUNTA(A$4:A$503)</f>
        <v>918.60034</v>
      </c>
      <c r="BO94" s="94" t="s">
        <v>20</v>
      </c>
      <c r="BP94" s="91" t="n">
        <f aca="false">IF(Z94&gt;=BB94,0,IFERROR(BB94+(SUMPRODUCT((Z$4:Z$503&gt;=BB$4:BB$503)*(Z$4:Z$503-BB$4:BB$503))/MAX(1,COUNTIF(Z$4:Z$503,"&lt;"&amp;BB94+0.01))),BB94))</f>
        <v>10695.5432177778</v>
      </c>
      <c r="BQ94" s="92" t="n">
        <f aca="false">IF(AA94&gt;=BC94,0,IFERROR(BC94+SUMPRODUCT((AA$4:AA$503&gt;=BC$4:BC$503)*(AA$4:AA$503-BC$4:BC$503))/MAX(1,COUNTIF(AA$4:AA$503,"&lt;"&amp;BC94+0.01)),BC94))</f>
        <v>2238.46589176471</v>
      </c>
      <c r="BR94" s="92" t="n">
        <f aca="false">IF(AB94&gt;=BD94,0,IFERROR(BD94+SUMPRODUCT((AB$4:AB$503&gt;=BD$4:BD$503)*(AB$4:AB$503-BD$4:BD$503))/MAX(1,COUNTIF(AB$4:AB$503,"&lt;"&amp;BD94+0.01)),BD94))</f>
        <v>3335.2938</v>
      </c>
      <c r="BS94" s="92" t="n">
        <f aca="false">IF(AC94&gt;=BE94,0,IFERROR(BE94+SUMPRODUCT((AC$4:AC$503&gt;=BE$4:BE$503)*(AC$4:AC$503-BE$4:BE$503))/MAX(1,COUNTIF(AC$4:AC$503,"&lt;"&amp;BE94+0.01)),BE94))</f>
        <v>6188.73352</v>
      </c>
      <c r="BT94" s="92" t="n">
        <f aca="false">IF(AD94&gt;=BF94,0,IFERROR(BF94+SUMPRODUCT((AD$4:AD$503&gt;=BF$4:BF$503)*(AD$4:AD$503-BF$4:BF$503))/MAX(1,COUNTIF(AD$4:AD$503,"&lt;"&amp;BF94+0.01)),BF94))</f>
        <v>11354.35411</v>
      </c>
      <c r="BU94" s="92" t="n">
        <f aca="false">IF(AE94&gt;=BG94,0,IFERROR(BG94+SUMPRODUCT((AE$4:AE$503&gt;=BG$4:BG$503)*(AE$4:AE$503-BG$4:BG$503))/MAX(1,COUNTIF(AE$4:AE$503,"&lt;"&amp;BG94+0.01)),BG94))</f>
        <v>0</v>
      </c>
      <c r="BV94" s="92" t="n">
        <f aca="false">IF(AF94&gt;=BH94,0,IFERROR(BH94+SUMPRODUCT((AF$4:AF$503&gt;=BH$4:BH$503)*(AF$4:AF$503-BH$4:BH$503))/MAX(1,COUNTIF(AF$4:AF$503,"&lt;"&amp;BH94+0.01)),BH94))</f>
        <v>9942.6503831579</v>
      </c>
      <c r="BW94" s="92" t="n">
        <f aca="false">IF(AG94&gt;=BI94,0,IFERROR(BI94+SUMPRODUCT((AG$4:AG$503&gt;=BI$4:BI$503)*(AG$4:AG$503-BI$4:BI$503))/MAX(1,COUNTIF(AG$4:AG$503,"&lt;"&amp;BI94+0.01)),BI94))</f>
        <v>9142.15870461538</v>
      </c>
      <c r="BX94" s="92" t="n">
        <f aca="false">IF(AH94&gt;=BJ94,0,IFERROR(BJ94+SUMPRODUCT((AH$4:AH$503&gt;=BJ$4:BJ$503)*(AH$4:AH$503-BJ$4:BJ$503))/MAX(1,COUNTIF(AH$4:AH$503,"&lt;"&amp;BJ94+0.01)),BJ94))</f>
        <v>0</v>
      </c>
      <c r="BY94" s="92" t="n">
        <f aca="false">IF(AI94&gt;=BK94,0,IFERROR(BK94+SUMPRODUCT((AI$4:AI$503&gt;=BK$4:BK$503)*(AI$4:AI$503-BK$4:BK$503))/MAX(1,COUNTIF(AI$4:AI$503,"&lt;"&amp;BK94+0.01)),BK94))</f>
        <v>7878.25652380952</v>
      </c>
      <c r="BZ94" s="92" t="n">
        <f aca="false">IF(AJ94&gt;=BL94,0,IFERROR(BL94+SUMPRODUCT((AJ$4:AJ$503&gt;=BL$4:BL$503)*(AJ$4:AJ$503-BL$4:BL$503))/MAX(1,COUNTIF(AJ$4:AJ$503,"&lt;"&amp;BL94+0.01)),BL94))</f>
        <v>0</v>
      </c>
      <c r="CA94" s="92" t="n">
        <f aca="false">IF(AK94&gt;=BM94,0,IFERROR(BM94+SUMPRODUCT((AK$4:AK$503&gt;=BM$4:BM$503)*(AK$4:AK$503-BM$4:BM$503))/MAX(1,COUNTIF(AK$4:AK$503,"&lt;"&amp;BM94+0.01)),BM94))</f>
        <v>7314.89836842105</v>
      </c>
      <c r="CB94" s="93" t="n">
        <f aca="false">IF(AL94&gt;=BN94,0,IFERROR(BN94+SUMPRODUCT((AL$4:AL$503&gt;=BN$4:BN$503)*(AL$4:AL$503-BN$4:BN$503))/MAX(1,COUNTIF(AL$4:AL$503,"&lt;"&amp;BN94+0.01)),BN94))</f>
        <v>3597.2614925</v>
      </c>
      <c r="CC94" s="95" t="str">
        <f aca="false">IF(AO94="🟢","VERDE",IF(AO94="🟡","AMARELO",IF(AO94="🟠","VERMELHO",IF(AO94="🔴","VERMELHO","ROXO"))))</f>
        <v>VERMELHO</v>
      </c>
      <c r="CD94" s="96" t="s">
        <v>103</v>
      </c>
      <c r="CE94" s="96" t="s">
        <v>104</v>
      </c>
    </row>
    <row r="95" customFormat="false" ht="14.25" hidden="false" customHeight="true" outlineLevel="0" collapsed="false">
      <c r="A95" s="65" t="s">
        <v>330</v>
      </c>
      <c r="B95" s="66" t="s">
        <v>331</v>
      </c>
      <c r="C95" s="67" t="s">
        <v>99</v>
      </c>
      <c r="D95" s="68" t="s">
        <v>100</v>
      </c>
      <c r="E95" s="69" t="s">
        <v>127</v>
      </c>
      <c r="F95" s="70" t="n">
        <f aca="false">IFERROR(VLOOKUP(C95,$AS$3:$AT$10,2,FALSE()),IFERROR(VLOOKUP(C95,$AS$15:$AT$22,2,FALSE()),""))</f>
        <v>33</v>
      </c>
      <c r="G95" s="71" t="n">
        <f aca="false">IFERROR(VLOOKUP(C95,$AS$3:$AX$10,6,FALSE()),IFERROR(VLOOKUP(C95,$AS$15:$AX$22,6,FALSE()),""))</f>
        <v>0.341494038351172</v>
      </c>
      <c r="H95" s="72" t="str">
        <f aca="false">IFERROR(VLOOKUP(C95,$AS$3:$AY$10,7,FALSE()),IFERROR(VLOOKUP(C95,$AS$15:$AY$22,7,FALSE()),""))</f>
        <v>🔴 VERMELHO</v>
      </c>
      <c r="I95" s="72" t="str">
        <f aca="false">IFERROR(VLOOKUP(C95,$AS$3:$AZ$10,8,FALSE()),IFERROR(VLOOKUP(C95,$AS$15:$AZ$22,8,FALSE()),""))</f>
        <v>Positivação + Expandir</v>
      </c>
      <c r="J95" s="73"/>
      <c r="K95" s="69" t="s">
        <v>99</v>
      </c>
      <c r="L95" s="74" t="n">
        <v>12234.5</v>
      </c>
      <c r="M95" s="75" t="n">
        <v>859.76</v>
      </c>
      <c r="N95" s="75" t="n">
        <v>898.41</v>
      </c>
      <c r="O95" s="75" t="n">
        <v>920.06</v>
      </c>
      <c r="P95" s="75" t="n">
        <v>944.03</v>
      </c>
      <c r="Q95" s="75" t="n">
        <v>974.96</v>
      </c>
      <c r="R95" s="75" t="n">
        <v>1000.47</v>
      </c>
      <c r="S95" s="75" t="n">
        <v>1039.13</v>
      </c>
      <c r="T95" s="75" t="n">
        <v>1064.64</v>
      </c>
      <c r="U95" s="75" t="n">
        <v>1088.61</v>
      </c>
      <c r="V95" s="75" t="n">
        <v>1115.67</v>
      </c>
      <c r="W95" s="75" t="n">
        <v>1145.05</v>
      </c>
      <c r="X95" s="76" t="n">
        <v>1183.71</v>
      </c>
      <c r="Y95" s="77" t="s">
        <v>20</v>
      </c>
      <c r="Z95" s="78" t="n">
        <f aca="false">SUM(AA95:AL95)</f>
        <v>4920.12</v>
      </c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107" t="n">
        <v>4920.12</v>
      </c>
      <c r="AM95" s="56" t="s">
        <v>20</v>
      </c>
      <c r="AN95" s="80" t="n">
        <f aca="false">IF(L95=0,0,Z95/L95)</f>
        <v>0.402151293473374</v>
      </c>
      <c r="AO95" s="81" t="str">
        <f aca="false">IF(AN95="","",IF(AN95&gt;=0.9,"🟢",IF(AN95&gt;=0.7,"🟡",IF(AN95&gt;=0.5,"🟠","🔴"))))</f>
        <v>🔴</v>
      </c>
      <c r="AP95" s="82" t="n">
        <f aca="false">IF(L95=0,0,L95-Z95)</f>
        <v>7314.38</v>
      </c>
      <c r="AQ95" s="83" t="n">
        <f aca="false">IF(AP95=0,"",RANK(AP95,AP$4:AP$503,0))</f>
        <v>83</v>
      </c>
      <c r="AR95" s="84" t="s">
        <v>20</v>
      </c>
      <c r="AS95" s="141"/>
      <c r="AT95" s="141"/>
      <c r="AU95" s="141"/>
      <c r="AV95" s="141"/>
      <c r="AW95" s="141"/>
      <c r="AX95" s="141"/>
      <c r="AY95" s="142"/>
      <c r="AZ95" s="142"/>
      <c r="BA95" s="56" t="s">
        <v>20</v>
      </c>
      <c r="BB95" s="91" t="n">
        <f aca="false">SUM(L$4:L$503)/COUNTA(A$4:A$503)</f>
        <v>9494.39992</v>
      </c>
      <c r="BC95" s="92" t="n">
        <f aca="false">SUM(M$4:M$503)/COUNTA(A$4:A$503)</f>
        <v>667.20008</v>
      </c>
      <c r="BD95" s="92" t="n">
        <f aca="false">SUM(N$4:N$503)/COUNTA(A$4:A$503)</f>
        <v>697.19996</v>
      </c>
      <c r="BE95" s="92" t="n">
        <f aca="false">SUM(O$4:O$503)/COUNTA(A$4:A$503)</f>
        <v>713.9999</v>
      </c>
      <c r="BF95" s="92" t="n">
        <f aca="false">SUM(P$4:P$503)/COUNTA(A$4:A$503)</f>
        <v>732.59984</v>
      </c>
      <c r="BG95" s="92" t="n">
        <f aca="false">SUM(Q$4:Q$503)/COUNTA(A$4:A$503)</f>
        <v>756.59992</v>
      </c>
      <c r="BH95" s="92" t="n">
        <f aca="false">SUM(R$4:R$503)/COUNTA(A$4:A$503)</f>
        <v>776.40004</v>
      </c>
      <c r="BI95" s="92" t="n">
        <f aca="false">SUM(S$4:S$503)/COUNTA(A$4:A$503)</f>
        <v>806.40012</v>
      </c>
      <c r="BJ95" s="92" t="n">
        <f aca="false">SUM(T$4:T$503)/COUNTA(A$4:A$503)</f>
        <v>826.1999</v>
      </c>
      <c r="BK95" s="92" t="n">
        <f aca="false">SUM(U$4:U$503)/COUNTA(A$4:A$503)</f>
        <v>844.8002</v>
      </c>
      <c r="BL95" s="92" t="n">
        <f aca="false">SUM(V$4:V$503)/COUNTA(A$4:A$503)</f>
        <v>865.7998</v>
      </c>
      <c r="BM95" s="92" t="n">
        <f aca="false">SUM(W$4:W$503)/COUNTA(A$4:A$503)</f>
        <v>888.59982</v>
      </c>
      <c r="BN95" s="93" t="n">
        <f aca="false">SUM(X$4:X$503)/COUNTA(A$4:A$503)</f>
        <v>918.60034</v>
      </c>
      <c r="BO95" s="94" t="s">
        <v>20</v>
      </c>
      <c r="BP95" s="91" t="n">
        <f aca="false">IF(Z95&gt;=BB95,0,IFERROR(BB95+(SUMPRODUCT((Z$4:Z$503&gt;=BB$4:BB$503)*(Z$4:Z$503-BB$4:BB$503))/MAX(1,COUNTIF(Z$4:Z$503,"&lt;"&amp;BB95+0.01))),BB95))</f>
        <v>10695.5432177778</v>
      </c>
      <c r="BQ95" s="92" t="n">
        <f aca="false">IF(AA95&gt;=BC95,0,IFERROR(BC95+SUMPRODUCT((AA$4:AA$503&gt;=BC$4:BC$503)*(AA$4:AA$503-BC$4:BC$503))/MAX(1,COUNTIF(AA$4:AA$503,"&lt;"&amp;BC95+0.01)),BC95))</f>
        <v>2238.46589176471</v>
      </c>
      <c r="BR95" s="92" t="n">
        <f aca="false">IF(AB95&gt;=BD95,0,IFERROR(BD95+SUMPRODUCT((AB$4:AB$503&gt;=BD$4:BD$503)*(AB$4:AB$503-BD$4:BD$503))/MAX(1,COUNTIF(AB$4:AB$503,"&lt;"&amp;BD95+0.01)),BD95))</f>
        <v>3335.2938</v>
      </c>
      <c r="BS95" s="92" t="n">
        <f aca="false">IF(AC95&gt;=BE95,0,IFERROR(BE95+SUMPRODUCT((AC$4:AC$503&gt;=BE$4:BE$503)*(AC$4:AC$503-BE$4:BE$503))/MAX(1,COUNTIF(AC$4:AC$503,"&lt;"&amp;BE95+0.01)),BE95))</f>
        <v>6188.73352</v>
      </c>
      <c r="BT95" s="92" t="n">
        <f aca="false">IF(AD95&gt;=BF95,0,IFERROR(BF95+SUMPRODUCT((AD$4:AD$503&gt;=BF$4:BF$503)*(AD$4:AD$503-BF$4:BF$503))/MAX(1,COUNTIF(AD$4:AD$503,"&lt;"&amp;BF95+0.01)),BF95))</f>
        <v>11354.35411</v>
      </c>
      <c r="BU95" s="92" t="n">
        <f aca="false">IF(AE95&gt;=BG95,0,IFERROR(BG95+SUMPRODUCT((AE$4:AE$503&gt;=BG$4:BG$503)*(AE$4:AE$503-BG$4:BG$503))/MAX(1,COUNTIF(AE$4:AE$503,"&lt;"&amp;BG95+0.01)),BG95))</f>
        <v>7704.85920380952</v>
      </c>
      <c r="BV95" s="92" t="n">
        <f aca="false">IF(AF95&gt;=BH95,0,IFERROR(BH95+SUMPRODUCT((AF$4:AF$503&gt;=BH$4:BH$503)*(AF$4:AF$503-BH$4:BH$503))/MAX(1,COUNTIF(AF$4:AF$503,"&lt;"&amp;BH95+0.01)),BH95))</f>
        <v>9942.6503831579</v>
      </c>
      <c r="BW95" s="92" t="n">
        <f aca="false">IF(AG95&gt;=BI95,0,IFERROR(BI95+SUMPRODUCT((AG$4:AG$503&gt;=BI$4:BI$503)*(AG$4:AG$503-BI$4:BI$503))/MAX(1,COUNTIF(AG$4:AG$503,"&lt;"&amp;BI95+0.01)),BI95))</f>
        <v>9142.15870461538</v>
      </c>
      <c r="BX95" s="92" t="n">
        <f aca="false">IF(AH95&gt;=BJ95,0,IFERROR(BJ95+SUMPRODUCT((AH$4:AH$503&gt;=BJ$4:BJ$503)*(AH$4:AH$503-BJ$4:BJ$503))/MAX(1,COUNTIF(AH$4:AH$503,"&lt;"&amp;BJ95+0.01)),BJ95))</f>
        <v>5621.50263448276</v>
      </c>
      <c r="BY95" s="92" t="n">
        <f aca="false">IF(AI95&gt;=BK95,0,IFERROR(BK95+SUMPRODUCT((AI$4:AI$503&gt;=BK$4:BK$503)*(AI$4:AI$503-BK$4:BK$503))/MAX(1,COUNTIF(AI$4:AI$503,"&lt;"&amp;BK95+0.01)),BK95))</f>
        <v>7878.25652380952</v>
      </c>
      <c r="BZ95" s="92" t="n">
        <f aca="false">IF(AJ95&gt;=BL95,0,IFERROR(BL95+SUMPRODUCT((AJ$4:AJ$503&gt;=BL$4:BL$503)*(AJ$4:AJ$503-BL$4:BL$503))/MAX(1,COUNTIF(AJ$4:AJ$503,"&lt;"&amp;BL95+0.01)),BL95))</f>
        <v>6710.03292307692</v>
      </c>
      <c r="CA95" s="92" t="n">
        <f aca="false">IF(AK95&gt;=BM95,0,IFERROR(BM95+SUMPRODUCT((AK$4:AK$503&gt;=BM$4:BM$503)*(AK$4:AK$503-BM$4:BM$503))/MAX(1,COUNTIF(AK$4:AK$503,"&lt;"&amp;BM95+0.01)),BM95))</f>
        <v>7314.89836842105</v>
      </c>
      <c r="CB95" s="93" t="n">
        <f aca="false">IF(AL95&gt;=BN95,0,IFERROR(BN95+SUMPRODUCT((AL$4:AL$503&gt;=BN$4:BN$503)*(AL$4:AL$503-BN$4:BN$503))/MAX(1,COUNTIF(AL$4:AL$503,"&lt;"&amp;BN95+0.01)),BN95))</f>
        <v>0</v>
      </c>
      <c r="CC95" s="95" t="str">
        <f aca="false">IF(AO95="🟢","VERDE",IF(AO95="🟡","AMARELO",IF(AO95="🟠","VERMELHO",IF(AO95="🔴","VERMELHO","ROXO"))))</f>
        <v>VERMELHO</v>
      </c>
      <c r="CD95" s="96" t="s">
        <v>103</v>
      </c>
      <c r="CE95" s="96" t="s">
        <v>104</v>
      </c>
    </row>
    <row r="96" customFormat="false" ht="14.25" hidden="false" customHeight="true" outlineLevel="0" collapsed="false">
      <c r="A96" s="65" t="s">
        <v>332</v>
      </c>
      <c r="B96" s="66" t="s">
        <v>333</v>
      </c>
      <c r="C96" s="67" t="s">
        <v>149</v>
      </c>
      <c r="D96" s="68" t="s">
        <v>100</v>
      </c>
      <c r="E96" s="69" t="s">
        <v>119</v>
      </c>
      <c r="F96" s="70" t="n">
        <f aca="false">IFERROR(VLOOKUP(C96,$AS$3:$AT$10,2,FALSE()),IFERROR(VLOOKUP(C96,$AS$15:$AT$22,2,FALSE()),""))</f>
        <v>29</v>
      </c>
      <c r="G96" s="71" t="n">
        <f aca="false">IFERROR(VLOOKUP(C96,$AS$3:$AX$10,6,FALSE()),IFERROR(VLOOKUP(C96,$AS$15:$AX$22,6,FALSE()),""))</f>
        <v>0.425845065256079</v>
      </c>
      <c r="H96" s="72" t="str">
        <f aca="false">IFERROR(VLOOKUP(C96,$AS$3:$AY$10,7,FALSE()),IFERROR(VLOOKUP(C96,$AS$15:$AY$22,7,FALSE()),""))</f>
        <v>🟡 AMARELO</v>
      </c>
      <c r="I96" s="72" t="str">
        <f aca="false">IFERROR(VLOOKUP(C96,$AS$3:$AZ$10,8,FALSE()),IFERROR(VLOOKUP(C96,$AS$15:$AZ$22,8,FALSE()),""))</f>
        <v>Sell Out</v>
      </c>
      <c r="J96" s="73"/>
      <c r="K96" s="69" t="s">
        <v>149</v>
      </c>
      <c r="L96" s="74" t="n">
        <v>12164.62</v>
      </c>
      <c r="M96" s="75" t="n">
        <v>854.84</v>
      </c>
      <c r="N96" s="75" t="n">
        <v>893.28</v>
      </c>
      <c r="O96" s="75" t="n">
        <v>914.81</v>
      </c>
      <c r="P96" s="75" t="n">
        <v>938.64</v>
      </c>
      <c r="Q96" s="75" t="n">
        <v>969.39</v>
      </c>
      <c r="R96" s="75" t="n">
        <v>994.76</v>
      </c>
      <c r="S96" s="75" t="n">
        <v>1033.19</v>
      </c>
      <c r="T96" s="75" t="n">
        <v>1058.56</v>
      </c>
      <c r="U96" s="75" t="n">
        <v>1082.39</v>
      </c>
      <c r="V96" s="75" t="n">
        <v>1109.3</v>
      </c>
      <c r="W96" s="75" t="n">
        <v>1138.51</v>
      </c>
      <c r="X96" s="76" t="n">
        <v>1176.95</v>
      </c>
      <c r="Y96" s="77" t="s">
        <v>20</v>
      </c>
      <c r="Z96" s="78" t="n">
        <f aca="false">SUM(AA96:AL96)</f>
        <v>3644.96</v>
      </c>
      <c r="AA96" s="75"/>
      <c r="AB96" s="75"/>
      <c r="AC96" s="79" t="n">
        <v>2281.3</v>
      </c>
      <c r="AD96" s="79" t="n">
        <v>682.62</v>
      </c>
      <c r="AE96" s="79" t="n">
        <v>681.04</v>
      </c>
      <c r="AF96" s="75"/>
      <c r="AG96" s="75"/>
      <c r="AH96" s="75"/>
      <c r="AI96" s="75"/>
      <c r="AJ96" s="75"/>
      <c r="AK96" s="75"/>
      <c r="AL96" s="76"/>
      <c r="AM96" s="56" t="s">
        <v>20</v>
      </c>
      <c r="AN96" s="80" t="n">
        <f aca="false">IF(L96=0,0,Z96/L96)</f>
        <v>0.299636157972875</v>
      </c>
      <c r="AO96" s="81" t="str">
        <f aca="false">IF(AN96="","",IF(AN96&gt;=0.9,"🟢",IF(AN96&gt;=0.7,"🟡",IF(AN96&gt;=0.5,"🟠","🔴"))))</f>
        <v>🔴</v>
      </c>
      <c r="AP96" s="82" t="n">
        <f aca="false">IF(L96=0,0,L96-Z96)</f>
        <v>8519.66</v>
      </c>
      <c r="AQ96" s="83" t="n">
        <f aca="false">IF(AP96=0,"",RANK(AP96,AP$4:AP$503,0))</f>
        <v>70</v>
      </c>
      <c r="AR96" s="84" t="s">
        <v>20</v>
      </c>
      <c r="AS96" s="141"/>
      <c r="AT96" s="141"/>
      <c r="AU96" s="141"/>
      <c r="AV96" s="141"/>
      <c r="AW96" s="141"/>
      <c r="AX96" s="141"/>
      <c r="AY96" s="142"/>
      <c r="AZ96" s="142"/>
      <c r="BA96" s="56" t="s">
        <v>20</v>
      </c>
      <c r="BB96" s="91" t="n">
        <f aca="false">SUM(L$4:L$503)/COUNTA(A$4:A$503)</f>
        <v>9494.39992</v>
      </c>
      <c r="BC96" s="92" t="n">
        <f aca="false">SUM(M$4:M$503)/COUNTA(A$4:A$503)</f>
        <v>667.20008</v>
      </c>
      <c r="BD96" s="92" t="n">
        <f aca="false">SUM(N$4:N$503)/COUNTA(A$4:A$503)</f>
        <v>697.19996</v>
      </c>
      <c r="BE96" s="92" t="n">
        <f aca="false">SUM(O$4:O$503)/COUNTA(A$4:A$503)</f>
        <v>713.9999</v>
      </c>
      <c r="BF96" s="92" t="n">
        <f aca="false">SUM(P$4:P$503)/COUNTA(A$4:A$503)</f>
        <v>732.59984</v>
      </c>
      <c r="BG96" s="92" t="n">
        <f aca="false">SUM(Q$4:Q$503)/COUNTA(A$4:A$503)</f>
        <v>756.59992</v>
      </c>
      <c r="BH96" s="92" t="n">
        <f aca="false">SUM(R$4:R$503)/COUNTA(A$4:A$503)</f>
        <v>776.40004</v>
      </c>
      <c r="BI96" s="92" t="n">
        <f aca="false">SUM(S$4:S$503)/COUNTA(A$4:A$503)</f>
        <v>806.40012</v>
      </c>
      <c r="BJ96" s="92" t="n">
        <f aca="false">SUM(T$4:T$503)/COUNTA(A$4:A$503)</f>
        <v>826.1999</v>
      </c>
      <c r="BK96" s="92" t="n">
        <f aca="false">SUM(U$4:U$503)/COUNTA(A$4:A$503)</f>
        <v>844.8002</v>
      </c>
      <c r="BL96" s="92" t="n">
        <f aca="false">SUM(V$4:V$503)/COUNTA(A$4:A$503)</f>
        <v>865.7998</v>
      </c>
      <c r="BM96" s="92" t="n">
        <f aca="false">SUM(W$4:W$503)/COUNTA(A$4:A$503)</f>
        <v>888.59982</v>
      </c>
      <c r="BN96" s="93" t="n">
        <f aca="false">SUM(X$4:X$503)/COUNTA(A$4:A$503)</f>
        <v>918.60034</v>
      </c>
      <c r="BO96" s="94" t="s">
        <v>20</v>
      </c>
      <c r="BP96" s="91" t="n">
        <f aca="false">IF(Z96&gt;=BB96,0,IFERROR(BB96+(SUMPRODUCT((Z$4:Z$503&gt;=BB$4:BB$503)*(Z$4:Z$503-BB$4:BB$503))/MAX(1,COUNTIF(Z$4:Z$503,"&lt;"&amp;BB96+0.01))),BB96))</f>
        <v>10695.5432177778</v>
      </c>
      <c r="BQ96" s="92" t="n">
        <f aca="false">IF(AA96&gt;=BC96,0,IFERROR(BC96+SUMPRODUCT((AA$4:AA$503&gt;=BC$4:BC$503)*(AA$4:AA$503-BC$4:BC$503))/MAX(1,COUNTIF(AA$4:AA$503,"&lt;"&amp;BC96+0.01)),BC96))</f>
        <v>2238.46589176471</v>
      </c>
      <c r="BR96" s="92" t="n">
        <f aca="false">IF(AB96&gt;=BD96,0,IFERROR(BD96+SUMPRODUCT((AB$4:AB$503&gt;=BD$4:BD$503)*(AB$4:AB$503-BD$4:BD$503))/MAX(1,COUNTIF(AB$4:AB$503,"&lt;"&amp;BD96+0.01)),BD96))</f>
        <v>3335.2938</v>
      </c>
      <c r="BS96" s="92" t="n">
        <f aca="false">IF(AC96&gt;=BE96,0,IFERROR(BE96+SUMPRODUCT((AC$4:AC$503&gt;=BE$4:BE$503)*(AC$4:AC$503-BE$4:BE$503))/MAX(1,COUNTIF(AC$4:AC$503,"&lt;"&amp;BE96+0.01)),BE96))</f>
        <v>0</v>
      </c>
      <c r="BT96" s="92" t="n">
        <f aca="false">IF(AD96&gt;=BF96,0,IFERROR(BF96+SUMPRODUCT((AD$4:AD$503&gt;=BF$4:BF$503)*(AD$4:AD$503-BF$4:BF$503))/MAX(1,COUNTIF(AD$4:AD$503,"&lt;"&amp;BF96+0.01)),BF96))</f>
        <v>11354.35411</v>
      </c>
      <c r="BU96" s="92" t="n">
        <f aca="false">IF(AE96&gt;=BG96,0,IFERROR(BG96+SUMPRODUCT((AE$4:AE$503&gt;=BG$4:BG$503)*(AE$4:AE$503-BG$4:BG$503))/MAX(1,COUNTIF(AE$4:AE$503,"&lt;"&amp;BG96+0.01)),BG96))</f>
        <v>7704.85920380952</v>
      </c>
      <c r="BV96" s="92" t="n">
        <f aca="false">IF(AF96&gt;=BH96,0,IFERROR(BH96+SUMPRODUCT((AF$4:AF$503&gt;=BH$4:BH$503)*(AF$4:AF$503-BH$4:BH$503))/MAX(1,COUNTIF(AF$4:AF$503,"&lt;"&amp;BH96+0.01)),BH96))</f>
        <v>9942.6503831579</v>
      </c>
      <c r="BW96" s="92" t="n">
        <f aca="false">IF(AG96&gt;=BI96,0,IFERROR(BI96+SUMPRODUCT((AG$4:AG$503&gt;=BI$4:BI$503)*(AG$4:AG$503-BI$4:BI$503))/MAX(1,COUNTIF(AG$4:AG$503,"&lt;"&amp;BI96+0.01)),BI96))</f>
        <v>9142.15870461538</v>
      </c>
      <c r="BX96" s="92" t="n">
        <f aca="false">IF(AH96&gt;=BJ96,0,IFERROR(BJ96+SUMPRODUCT((AH$4:AH$503&gt;=BJ$4:BJ$503)*(AH$4:AH$503-BJ$4:BJ$503))/MAX(1,COUNTIF(AH$4:AH$503,"&lt;"&amp;BJ96+0.01)),BJ96))</f>
        <v>5621.50263448276</v>
      </c>
      <c r="BY96" s="92" t="n">
        <f aca="false">IF(AI96&gt;=BK96,0,IFERROR(BK96+SUMPRODUCT((AI$4:AI$503&gt;=BK$4:BK$503)*(AI$4:AI$503-BK$4:BK$503))/MAX(1,COUNTIF(AI$4:AI$503,"&lt;"&amp;BK96+0.01)),BK96))</f>
        <v>7878.25652380952</v>
      </c>
      <c r="BZ96" s="92" t="n">
        <f aca="false">IF(AJ96&gt;=BL96,0,IFERROR(BL96+SUMPRODUCT((AJ$4:AJ$503&gt;=BL$4:BL$503)*(AJ$4:AJ$503-BL$4:BL$503))/MAX(1,COUNTIF(AJ$4:AJ$503,"&lt;"&amp;BL96+0.01)),BL96))</f>
        <v>6710.03292307692</v>
      </c>
      <c r="CA96" s="92" t="n">
        <f aca="false">IF(AK96&gt;=BM96,0,IFERROR(BM96+SUMPRODUCT((AK$4:AK$503&gt;=BM$4:BM$503)*(AK$4:AK$503-BM$4:BM$503))/MAX(1,COUNTIF(AK$4:AK$503,"&lt;"&amp;BM96+0.01)),BM96))</f>
        <v>7314.89836842105</v>
      </c>
      <c r="CB96" s="93" t="n">
        <f aca="false">IF(AL96&gt;=BN96,0,IFERROR(BN96+SUMPRODUCT((AL$4:AL$503&gt;=BN$4:BN$503)*(AL$4:AL$503-BN$4:BN$503))/MAX(1,COUNTIF(AL$4:AL$503,"&lt;"&amp;BN96+0.01)),BN96))</f>
        <v>3597.2614925</v>
      </c>
      <c r="CC96" s="95" t="str">
        <f aca="false">IF(AO96="🟢","VERDE",IF(AO96="🟡","AMARELO",IF(AO96="🟠","VERMELHO",IF(AO96="🔴","VERMELHO","ROXO"))))</f>
        <v>VERMELHO</v>
      </c>
      <c r="CD96" s="96" t="s">
        <v>103</v>
      </c>
      <c r="CE96" s="96" t="s">
        <v>104</v>
      </c>
    </row>
    <row r="97" customFormat="false" ht="14.25" hidden="false" customHeight="true" outlineLevel="0" collapsed="false">
      <c r="A97" s="65" t="s">
        <v>334</v>
      </c>
      <c r="B97" s="66" t="s">
        <v>335</v>
      </c>
      <c r="C97" s="66" t="s">
        <v>120</v>
      </c>
      <c r="D97" s="68" t="s">
        <v>184</v>
      </c>
      <c r="E97" s="69" t="s">
        <v>260</v>
      </c>
      <c r="F97" s="70" t="n">
        <f aca="false">IFERROR(VLOOKUP(C97,$AS$3:$AT$10,2,FALSE()),IFERROR(VLOOKUP(C97,$AS$15:$AT$22,2,FALSE()),""))</f>
        <v>4</v>
      </c>
      <c r="G97" s="71" t="n">
        <f aca="false">IFERROR(VLOOKUP(C97,$AS$3:$AX$10,6,FALSE()),IFERROR(VLOOKUP(C97,$AS$15:$AX$22,6,FALSE()),""))</f>
        <v>0.520132792961821</v>
      </c>
      <c r="H97" s="72" t="str">
        <f aca="false">IFERROR(VLOOKUP(C97,$AS$3:$AY$10,7,FALSE()),IFERROR(VLOOKUP(C97,$AS$15:$AY$22,7,FALSE()),""))</f>
        <v>🟡 AMARELO</v>
      </c>
      <c r="I97" s="72" t="str">
        <f aca="false">IFERROR(VLOOKUP(C97,$AS$3:$AZ$10,8,FALSE()),IFERROR(VLOOKUP(C97,$AS$15:$AZ$22,8,FALSE()),""))</f>
        <v>Sell Out</v>
      </c>
      <c r="J97" s="73"/>
      <c r="K97" s="69" t="s">
        <v>113</v>
      </c>
      <c r="L97" s="74" t="n">
        <v>11964.98</v>
      </c>
      <c r="M97" s="75" t="n">
        <v>840.82</v>
      </c>
      <c r="N97" s="75" t="n">
        <v>878.62</v>
      </c>
      <c r="O97" s="75" t="n">
        <v>899.79</v>
      </c>
      <c r="P97" s="75" t="n">
        <v>923.23</v>
      </c>
      <c r="Q97" s="75" t="n">
        <v>953.48</v>
      </c>
      <c r="R97" s="75" t="n">
        <v>978.43</v>
      </c>
      <c r="S97" s="75" t="n">
        <v>1016.24</v>
      </c>
      <c r="T97" s="75" t="n">
        <v>1041.19</v>
      </c>
      <c r="U97" s="75" t="n">
        <v>1064.63</v>
      </c>
      <c r="V97" s="75" t="n">
        <v>1091.09</v>
      </c>
      <c r="W97" s="75" t="n">
        <v>1119.83</v>
      </c>
      <c r="X97" s="76" t="n">
        <v>1157.63</v>
      </c>
      <c r="Y97" s="77" t="s">
        <v>20</v>
      </c>
      <c r="Z97" s="78" t="n">
        <f aca="false">SUM(AA97:AL97)</f>
        <v>4851.58</v>
      </c>
      <c r="AA97" s="75"/>
      <c r="AB97" s="75"/>
      <c r="AC97" s="75"/>
      <c r="AD97" s="75"/>
      <c r="AE97" s="75"/>
      <c r="AF97" s="79" t="n">
        <v>1902.51</v>
      </c>
      <c r="AG97" s="75"/>
      <c r="AH97" s="79" t="n">
        <v>1448.73</v>
      </c>
      <c r="AI97" s="75"/>
      <c r="AJ97" s="75"/>
      <c r="AK97" s="79" t="n">
        <v>1500.34</v>
      </c>
      <c r="AL97" s="76"/>
      <c r="AM97" s="56" t="s">
        <v>20</v>
      </c>
      <c r="AN97" s="80" t="n">
        <f aca="false">IF(L97=0,0,Z97/L97)</f>
        <v>0.405481663989409</v>
      </c>
      <c r="AO97" s="81" t="str">
        <f aca="false">IF(AN97="","",IF(AN97&gt;=0.9,"🟢",IF(AN97&gt;=0.7,"🟡",IF(AN97&gt;=0.5,"🟠","🔴"))))</f>
        <v>🔴</v>
      </c>
      <c r="AP97" s="82" t="n">
        <f aca="false">IF(L97=0,0,L97-Z97)</f>
        <v>7113.4</v>
      </c>
      <c r="AQ97" s="83" t="n">
        <f aca="false">IF(AP97=0,"",RANK(AP97,AP$4:AP$503,0))</f>
        <v>86</v>
      </c>
      <c r="AR97" s="84" t="s">
        <v>20</v>
      </c>
      <c r="AS97" s="141"/>
      <c r="AT97" s="141"/>
      <c r="AU97" s="141"/>
      <c r="AV97" s="141"/>
      <c r="AW97" s="141"/>
      <c r="AX97" s="141"/>
      <c r="AY97" s="142"/>
      <c r="AZ97" s="142"/>
      <c r="BA97" s="56" t="s">
        <v>20</v>
      </c>
      <c r="BB97" s="91" t="n">
        <f aca="false">SUM(L$4:L$503)/COUNTA(A$4:A$503)</f>
        <v>9494.39992</v>
      </c>
      <c r="BC97" s="92" t="n">
        <f aca="false">SUM(M$4:M$503)/COUNTA(A$4:A$503)</f>
        <v>667.20008</v>
      </c>
      <c r="BD97" s="92" t="n">
        <f aca="false">SUM(N$4:N$503)/COUNTA(A$4:A$503)</f>
        <v>697.19996</v>
      </c>
      <c r="BE97" s="92" t="n">
        <f aca="false">SUM(O$4:O$503)/COUNTA(A$4:A$503)</f>
        <v>713.9999</v>
      </c>
      <c r="BF97" s="92" t="n">
        <f aca="false">SUM(P$4:P$503)/COUNTA(A$4:A$503)</f>
        <v>732.59984</v>
      </c>
      <c r="BG97" s="92" t="n">
        <f aca="false">SUM(Q$4:Q$503)/COUNTA(A$4:A$503)</f>
        <v>756.59992</v>
      </c>
      <c r="BH97" s="92" t="n">
        <f aca="false">SUM(R$4:R$503)/COUNTA(A$4:A$503)</f>
        <v>776.40004</v>
      </c>
      <c r="BI97" s="92" t="n">
        <f aca="false">SUM(S$4:S$503)/COUNTA(A$4:A$503)</f>
        <v>806.40012</v>
      </c>
      <c r="BJ97" s="92" t="n">
        <f aca="false">SUM(T$4:T$503)/COUNTA(A$4:A$503)</f>
        <v>826.1999</v>
      </c>
      <c r="BK97" s="92" t="n">
        <f aca="false">SUM(U$4:U$503)/COUNTA(A$4:A$503)</f>
        <v>844.8002</v>
      </c>
      <c r="BL97" s="92" t="n">
        <f aca="false">SUM(V$4:V$503)/COUNTA(A$4:A$503)</f>
        <v>865.7998</v>
      </c>
      <c r="BM97" s="92" t="n">
        <f aca="false">SUM(W$4:W$503)/COUNTA(A$4:A$503)</f>
        <v>888.59982</v>
      </c>
      <c r="BN97" s="93" t="n">
        <f aca="false">SUM(X$4:X$503)/COUNTA(A$4:A$503)</f>
        <v>918.60034</v>
      </c>
      <c r="BO97" s="94" t="s">
        <v>20</v>
      </c>
      <c r="BP97" s="91" t="n">
        <f aca="false">IF(Z97&gt;=BB97,0,IFERROR(BB97+(SUMPRODUCT((Z$4:Z$503&gt;=BB$4:BB$503)*(Z$4:Z$503-BB$4:BB$503))/MAX(1,COUNTIF(Z$4:Z$503,"&lt;"&amp;BB97+0.01))),BB97))</f>
        <v>10695.5432177778</v>
      </c>
      <c r="BQ97" s="92" t="n">
        <f aca="false">IF(AA97&gt;=BC97,0,IFERROR(BC97+SUMPRODUCT((AA$4:AA$503&gt;=BC$4:BC$503)*(AA$4:AA$503-BC$4:BC$503))/MAX(1,COUNTIF(AA$4:AA$503,"&lt;"&amp;BC97+0.01)),BC97))</f>
        <v>2238.46589176471</v>
      </c>
      <c r="BR97" s="92" t="n">
        <f aca="false">IF(AB97&gt;=BD97,0,IFERROR(BD97+SUMPRODUCT((AB$4:AB$503&gt;=BD$4:BD$503)*(AB$4:AB$503-BD$4:BD$503))/MAX(1,COUNTIF(AB$4:AB$503,"&lt;"&amp;BD97+0.01)),BD97))</f>
        <v>3335.2938</v>
      </c>
      <c r="BS97" s="92" t="n">
        <f aca="false">IF(AC97&gt;=BE97,0,IFERROR(BE97+SUMPRODUCT((AC$4:AC$503&gt;=BE$4:BE$503)*(AC$4:AC$503-BE$4:BE$503))/MAX(1,COUNTIF(AC$4:AC$503,"&lt;"&amp;BE97+0.01)),BE97))</f>
        <v>6188.73352</v>
      </c>
      <c r="BT97" s="92" t="n">
        <f aca="false">IF(AD97&gt;=BF97,0,IFERROR(BF97+SUMPRODUCT((AD$4:AD$503&gt;=BF$4:BF$503)*(AD$4:AD$503-BF$4:BF$503))/MAX(1,COUNTIF(AD$4:AD$503,"&lt;"&amp;BF97+0.01)),BF97))</f>
        <v>11354.35411</v>
      </c>
      <c r="BU97" s="92" t="n">
        <f aca="false">IF(AE97&gt;=BG97,0,IFERROR(BG97+SUMPRODUCT((AE$4:AE$503&gt;=BG$4:BG$503)*(AE$4:AE$503-BG$4:BG$503))/MAX(1,COUNTIF(AE$4:AE$503,"&lt;"&amp;BG97+0.01)),BG97))</f>
        <v>7704.85920380952</v>
      </c>
      <c r="BV97" s="92" t="n">
        <f aca="false">IF(AF97&gt;=BH97,0,IFERROR(BH97+SUMPRODUCT((AF$4:AF$503&gt;=BH$4:BH$503)*(AF$4:AF$503-BH$4:BH$503))/MAX(1,COUNTIF(AF$4:AF$503,"&lt;"&amp;BH97+0.01)),BH97))</f>
        <v>0</v>
      </c>
      <c r="BW97" s="92" t="n">
        <f aca="false">IF(AG97&gt;=BI97,0,IFERROR(BI97+SUMPRODUCT((AG$4:AG$503&gt;=BI$4:BI$503)*(AG$4:AG$503-BI$4:BI$503))/MAX(1,COUNTIF(AG$4:AG$503,"&lt;"&amp;BI97+0.01)),BI97))</f>
        <v>9142.15870461538</v>
      </c>
      <c r="BX97" s="92" t="n">
        <f aca="false">IF(AH97&gt;=BJ97,0,IFERROR(BJ97+SUMPRODUCT((AH$4:AH$503&gt;=BJ$4:BJ$503)*(AH$4:AH$503-BJ$4:BJ$503))/MAX(1,COUNTIF(AH$4:AH$503,"&lt;"&amp;BJ97+0.01)),BJ97))</f>
        <v>0</v>
      </c>
      <c r="BY97" s="92" t="n">
        <f aca="false">IF(AI97&gt;=BK97,0,IFERROR(BK97+SUMPRODUCT((AI$4:AI$503&gt;=BK$4:BK$503)*(AI$4:AI$503-BK$4:BK$503))/MAX(1,COUNTIF(AI$4:AI$503,"&lt;"&amp;BK97+0.01)),BK97))</f>
        <v>7878.25652380952</v>
      </c>
      <c r="BZ97" s="92" t="n">
        <f aca="false">IF(AJ97&gt;=BL97,0,IFERROR(BL97+SUMPRODUCT((AJ$4:AJ$503&gt;=BL$4:BL$503)*(AJ$4:AJ$503-BL$4:BL$503))/MAX(1,COUNTIF(AJ$4:AJ$503,"&lt;"&amp;BL97+0.01)),BL97))</f>
        <v>6710.03292307692</v>
      </c>
      <c r="CA97" s="92" t="n">
        <f aca="false">IF(AK97&gt;=BM97,0,IFERROR(BM97+SUMPRODUCT((AK$4:AK$503&gt;=BM$4:BM$503)*(AK$4:AK$503-BM$4:BM$503))/MAX(1,COUNTIF(AK$4:AK$503,"&lt;"&amp;BM97+0.01)),BM97))</f>
        <v>0</v>
      </c>
      <c r="CB97" s="93" t="n">
        <f aca="false">IF(AL97&gt;=BN97,0,IFERROR(BN97+SUMPRODUCT((AL$4:AL$503&gt;=BN$4:BN$503)*(AL$4:AL$503-BN$4:BN$503))/MAX(1,COUNTIF(AL$4:AL$503,"&lt;"&amp;BN97+0.01)),BN97))</f>
        <v>3597.2614925</v>
      </c>
      <c r="CC97" s="95" t="str">
        <f aca="false">IF(AO97="🟢","VERDE",IF(AO97="🟡","AMARELO",IF(AO97="🟠","VERMELHO",IF(AO97="🔴","VERMELHO","ROXO"))))</f>
        <v>VERMELHO</v>
      </c>
      <c r="CD97" s="96" t="s">
        <v>176</v>
      </c>
      <c r="CE97" s="96" t="s">
        <v>120</v>
      </c>
    </row>
    <row r="98" customFormat="false" ht="14.25" hidden="false" customHeight="true" outlineLevel="0" collapsed="false">
      <c r="A98" s="65" t="s">
        <v>336</v>
      </c>
      <c r="B98" s="66" t="s">
        <v>337</v>
      </c>
      <c r="C98" s="67" t="s">
        <v>107</v>
      </c>
      <c r="D98" s="68" t="s">
        <v>108</v>
      </c>
      <c r="E98" s="69" t="s">
        <v>109</v>
      </c>
      <c r="F98" s="70" t="n">
        <f aca="false">IFERROR(VLOOKUP(C98,$AS$3:$AT$10,2,FALSE()),IFERROR(VLOOKUP(C98,$AS$15:$AT$22,2,FALSE()),""))</f>
        <v>132</v>
      </c>
      <c r="G98" s="71" t="n">
        <f aca="false">IFERROR(VLOOKUP(C98,$AS$3:$AX$10,6,FALSE()),IFERROR(VLOOKUP(C98,$AS$15:$AX$22,6,FALSE()),""))</f>
        <v>0.468190175850689</v>
      </c>
      <c r="H98" s="72" t="str">
        <f aca="false">IFERROR(VLOOKUP(C98,$AS$3:$AY$10,7,FALSE()),IFERROR(VLOOKUP(C98,$AS$15:$AY$22,7,FALSE()),""))</f>
        <v>🟡 AMARELO</v>
      </c>
      <c r="I98" s="72" t="str">
        <f aca="false">IFERROR(VLOOKUP(C98,$AS$3:$AZ$10,8,FALSE()),IFERROR(VLOOKUP(C98,$AS$15:$AZ$22,8,FALSE()),""))</f>
        <v>Sell Out</v>
      </c>
      <c r="J98" s="73"/>
      <c r="K98" s="69" t="s">
        <v>107</v>
      </c>
      <c r="L98" s="74" t="n">
        <v>11828</v>
      </c>
      <c r="M98" s="75" t="n">
        <v>831.19</v>
      </c>
      <c r="N98" s="75" t="n">
        <v>868.56</v>
      </c>
      <c r="O98" s="75" t="n">
        <v>889.49</v>
      </c>
      <c r="P98" s="75" t="n">
        <v>912.67</v>
      </c>
      <c r="Q98" s="75" t="n">
        <v>942.56</v>
      </c>
      <c r="R98" s="75" t="n">
        <v>967.23</v>
      </c>
      <c r="S98" s="75" t="n">
        <v>1004.6</v>
      </c>
      <c r="T98" s="75" t="n">
        <v>1029.27</v>
      </c>
      <c r="U98" s="75" t="n">
        <v>1052.44</v>
      </c>
      <c r="V98" s="75" t="n">
        <v>1078.6</v>
      </c>
      <c r="W98" s="75" t="n">
        <v>1107.01</v>
      </c>
      <c r="X98" s="76" t="n">
        <v>1144.38</v>
      </c>
      <c r="Y98" s="77" t="s">
        <v>20</v>
      </c>
      <c r="Z98" s="78" t="n">
        <f aca="false">SUM(AA98:AL98)</f>
        <v>5444.41</v>
      </c>
      <c r="AA98" s="75"/>
      <c r="AB98" s="75"/>
      <c r="AC98" s="75"/>
      <c r="AD98" s="75"/>
      <c r="AE98" s="75"/>
      <c r="AF98" s="75"/>
      <c r="AG98" s="79" t="n">
        <v>2102.89</v>
      </c>
      <c r="AH98" s="75"/>
      <c r="AI98" s="75"/>
      <c r="AJ98" s="79" t="n">
        <v>1882.58</v>
      </c>
      <c r="AK98" s="75"/>
      <c r="AL98" s="107" t="n">
        <v>1458.94</v>
      </c>
      <c r="AM98" s="56" t="s">
        <v>20</v>
      </c>
      <c r="AN98" s="80" t="n">
        <f aca="false">IF(L98=0,0,Z98/L98)</f>
        <v>0.460298444369293</v>
      </c>
      <c r="AO98" s="81" t="str">
        <f aca="false">IF(AN98="","",IF(AN98&gt;=0.9,"🟢",IF(AN98&gt;=0.7,"🟡",IF(AN98&gt;=0.5,"🟠","🔴"))))</f>
        <v>🔴</v>
      </c>
      <c r="AP98" s="82" t="n">
        <f aca="false">IF(L98=0,0,L98-Z98)</f>
        <v>6383.59</v>
      </c>
      <c r="AQ98" s="83" t="n">
        <f aca="false">IF(AP98=0,"",RANK(AP98,AP$4:AP$503,0))</f>
        <v>96</v>
      </c>
      <c r="AR98" s="84" t="s">
        <v>20</v>
      </c>
      <c r="AS98" s="141"/>
      <c r="AT98" s="141"/>
      <c r="AU98" s="141"/>
      <c r="AV98" s="141"/>
      <c r="AW98" s="141"/>
      <c r="AX98" s="141"/>
      <c r="AY98" s="142"/>
      <c r="AZ98" s="142"/>
      <c r="BA98" s="56" t="s">
        <v>20</v>
      </c>
      <c r="BB98" s="91" t="n">
        <f aca="false">SUM(L$4:L$503)/COUNTA(A$4:A$503)</f>
        <v>9494.39992</v>
      </c>
      <c r="BC98" s="92" t="n">
        <f aca="false">SUM(M$4:M$503)/COUNTA(A$4:A$503)</f>
        <v>667.20008</v>
      </c>
      <c r="BD98" s="92" t="n">
        <f aca="false">SUM(N$4:N$503)/COUNTA(A$4:A$503)</f>
        <v>697.19996</v>
      </c>
      <c r="BE98" s="92" t="n">
        <f aca="false">SUM(O$4:O$503)/COUNTA(A$4:A$503)</f>
        <v>713.9999</v>
      </c>
      <c r="BF98" s="92" t="n">
        <f aca="false">SUM(P$4:P$503)/COUNTA(A$4:A$503)</f>
        <v>732.59984</v>
      </c>
      <c r="BG98" s="92" t="n">
        <f aca="false">SUM(Q$4:Q$503)/COUNTA(A$4:A$503)</f>
        <v>756.59992</v>
      </c>
      <c r="BH98" s="92" t="n">
        <f aca="false">SUM(R$4:R$503)/COUNTA(A$4:A$503)</f>
        <v>776.40004</v>
      </c>
      <c r="BI98" s="92" t="n">
        <f aca="false">SUM(S$4:S$503)/COUNTA(A$4:A$503)</f>
        <v>806.40012</v>
      </c>
      <c r="BJ98" s="92" t="n">
        <f aca="false">SUM(T$4:T$503)/COUNTA(A$4:A$503)</f>
        <v>826.1999</v>
      </c>
      <c r="BK98" s="92" t="n">
        <f aca="false">SUM(U$4:U$503)/COUNTA(A$4:A$503)</f>
        <v>844.8002</v>
      </c>
      <c r="BL98" s="92" t="n">
        <f aca="false">SUM(V$4:V$503)/COUNTA(A$4:A$503)</f>
        <v>865.7998</v>
      </c>
      <c r="BM98" s="92" t="n">
        <f aca="false">SUM(W$4:W$503)/COUNTA(A$4:A$503)</f>
        <v>888.59982</v>
      </c>
      <c r="BN98" s="93" t="n">
        <f aca="false">SUM(X$4:X$503)/COUNTA(A$4:A$503)</f>
        <v>918.60034</v>
      </c>
      <c r="BO98" s="94" t="s">
        <v>20</v>
      </c>
      <c r="BP98" s="91" t="n">
        <f aca="false">IF(Z98&gt;=BB98,0,IFERROR(BB98+(SUMPRODUCT((Z$4:Z$503&gt;=BB$4:BB$503)*(Z$4:Z$503-BB$4:BB$503))/MAX(1,COUNTIF(Z$4:Z$503,"&lt;"&amp;BB98+0.01))),BB98))</f>
        <v>10695.5432177778</v>
      </c>
      <c r="BQ98" s="92" t="n">
        <f aca="false">IF(AA98&gt;=BC98,0,IFERROR(BC98+SUMPRODUCT((AA$4:AA$503&gt;=BC$4:BC$503)*(AA$4:AA$503-BC$4:BC$503))/MAX(1,COUNTIF(AA$4:AA$503,"&lt;"&amp;BC98+0.01)),BC98))</f>
        <v>2238.46589176471</v>
      </c>
      <c r="BR98" s="92" t="n">
        <f aca="false">IF(AB98&gt;=BD98,0,IFERROR(BD98+SUMPRODUCT((AB$4:AB$503&gt;=BD$4:BD$503)*(AB$4:AB$503-BD$4:BD$503))/MAX(1,COUNTIF(AB$4:AB$503,"&lt;"&amp;BD98+0.01)),BD98))</f>
        <v>3335.2938</v>
      </c>
      <c r="BS98" s="92" t="n">
        <f aca="false">IF(AC98&gt;=BE98,0,IFERROR(BE98+SUMPRODUCT((AC$4:AC$503&gt;=BE$4:BE$503)*(AC$4:AC$503-BE$4:BE$503))/MAX(1,COUNTIF(AC$4:AC$503,"&lt;"&amp;BE98+0.01)),BE98))</f>
        <v>6188.73352</v>
      </c>
      <c r="BT98" s="92" t="n">
        <f aca="false">IF(AD98&gt;=BF98,0,IFERROR(BF98+SUMPRODUCT((AD$4:AD$503&gt;=BF$4:BF$503)*(AD$4:AD$503-BF$4:BF$503))/MAX(1,COUNTIF(AD$4:AD$503,"&lt;"&amp;BF98+0.01)),BF98))</f>
        <v>11354.35411</v>
      </c>
      <c r="BU98" s="92" t="n">
        <f aca="false">IF(AE98&gt;=BG98,0,IFERROR(BG98+SUMPRODUCT((AE$4:AE$503&gt;=BG$4:BG$503)*(AE$4:AE$503-BG$4:BG$503))/MAX(1,COUNTIF(AE$4:AE$503,"&lt;"&amp;BG98+0.01)),BG98))</f>
        <v>7704.85920380952</v>
      </c>
      <c r="BV98" s="92" t="n">
        <f aca="false">IF(AF98&gt;=BH98,0,IFERROR(BH98+SUMPRODUCT((AF$4:AF$503&gt;=BH$4:BH$503)*(AF$4:AF$503-BH$4:BH$503))/MAX(1,COUNTIF(AF$4:AF$503,"&lt;"&amp;BH98+0.01)),BH98))</f>
        <v>9942.6503831579</v>
      </c>
      <c r="BW98" s="92" t="n">
        <f aca="false">IF(AG98&gt;=BI98,0,IFERROR(BI98+SUMPRODUCT((AG$4:AG$503&gt;=BI$4:BI$503)*(AG$4:AG$503-BI$4:BI$503))/MAX(1,COUNTIF(AG$4:AG$503,"&lt;"&amp;BI98+0.01)),BI98))</f>
        <v>0</v>
      </c>
      <c r="BX98" s="92" t="n">
        <f aca="false">IF(AH98&gt;=BJ98,0,IFERROR(BJ98+SUMPRODUCT((AH$4:AH$503&gt;=BJ$4:BJ$503)*(AH$4:AH$503-BJ$4:BJ$503))/MAX(1,COUNTIF(AH$4:AH$503,"&lt;"&amp;BJ98+0.01)),BJ98))</f>
        <v>5621.50263448276</v>
      </c>
      <c r="BY98" s="92" t="n">
        <f aca="false">IF(AI98&gt;=BK98,0,IFERROR(BK98+SUMPRODUCT((AI$4:AI$503&gt;=BK$4:BK$503)*(AI$4:AI$503-BK$4:BK$503))/MAX(1,COUNTIF(AI$4:AI$503,"&lt;"&amp;BK98+0.01)),BK98))</f>
        <v>7878.25652380952</v>
      </c>
      <c r="BZ98" s="92" t="n">
        <f aca="false">IF(AJ98&gt;=BL98,0,IFERROR(BL98+SUMPRODUCT((AJ$4:AJ$503&gt;=BL$4:BL$503)*(AJ$4:AJ$503-BL$4:BL$503))/MAX(1,COUNTIF(AJ$4:AJ$503,"&lt;"&amp;BL98+0.01)),BL98))</f>
        <v>0</v>
      </c>
      <c r="CA98" s="92" t="n">
        <f aca="false">IF(AK98&gt;=BM98,0,IFERROR(BM98+SUMPRODUCT((AK$4:AK$503&gt;=BM$4:BM$503)*(AK$4:AK$503-BM$4:BM$503))/MAX(1,COUNTIF(AK$4:AK$503,"&lt;"&amp;BM98+0.01)),BM98))</f>
        <v>7314.89836842105</v>
      </c>
      <c r="CB98" s="93" t="n">
        <f aca="false">IF(AL98&gt;=BN98,0,IFERROR(BN98+SUMPRODUCT((AL$4:AL$503&gt;=BN$4:BN$503)*(AL$4:AL$503-BN$4:BN$503))/MAX(1,COUNTIF(AL$4:AL$503,"&lt;"&amp;BN98+0.01)),BN98))</f>
        <v>0</v>
      </c>
      <c r="CC98" s="95" t="str">
        <f aca="false">IF(AO98="🟢","VERDE",IF(AO98="🟡","AMARELO",IF(AO98="🟠","VERMELHO",IF(AO98="🔴","VERMELHO","ROXO"))))</f>
        <v>VERMELHO</v>
      </c>
      <c r="CD98" s="96" t="s">
        <v>103</v>
      </c>
      <c r="CE98" s="96" t="s">
        <v>104</v>
      </c>
    </row>
    <row r="99" customFormat="false" ht="14.25" hidden="false" customHeight="true" outlineLevel="0" collapsed="false">
      <c r="A99" s="65" t="s">
        <v>338</v>
      </c>
      <c r="B99" s="66" t="s">
        <v>339</v>
      </c>
      <c r="C99" s="67" t="s">
        <v>113</v>
      </c>
      <c r="D99" s="68" t="s">
        <v>100</v>
      </c>
      <c r="E99" s="69" t="s">
        <v>260</v>
      </c>
      <c r="F99" s="70" t="n">
        <f aca="false">IFERROR(VLOOKUP(C99,$AS$3:$AT$10,2,FALSE()),IFERROR(VLOOKUP(C99,$AS$15:$AT$22,2,FALSE()),""))</f>
        <v>49</v>
      </c>
      <c r="G99" s="71" t="n">
        <f aca="false">IFERROR(VLOOKUP(C99,$AS$3:$AX$10,6,FALSE()),IFERROR(VLOOKUP(C99,$AS$15:$AX$22,6,FALSE()),""))</f>
        <v>0.463965086137302</v>
      </c>
      <c r="H99" s="72" t="str">
        <f aca="false">IFERROR(VLOOKUP(C99,$AS$3:$AY$10,7,FALSE()),IFERROR(VLOOKUP(C99,$AS$15:$AY$22,7,FALSE()),""))</f>
        <v>🟡 AMARELO</v>
      </c>
      <c r="I99" s="72" t="str">
        <f aca="false">IFERROR(VLOOKUP(C99,$AS$3:$AZ$10,8,FALSE()),IFERROR(VLOOKUP(C99,$AS$15:$AZ$22,8,FALSE()),""))</f>
        <v>Sell Out</v>
      </c>
      <c r="J99" s="73"/>
      <c r="K99" s="69" t="s">
        <v>113</v>
      </c>
      <c r="L99" s="74" t="n">
        <v>11618.23</v>
      </c>
      <c r="M99" s="75" t="n">
        <v>816.45</v>
      </c>
      <c r="N99" s="75" t="n">
        <v>853.16</v>
      </c>
      <c r="O99" s="75" t="n">
        <v>873.72</v>
      </c>
      <c r="P99" s="75" t="n">
        <v>896.48</v>
      </c>
      <c r="Q99" s="75" t="n">
        <v>925.85</v>
      </c>
      <c r="R99" s="75" t="n">
        <v>950.07</v>
      </c>
      <c r="S99" s="75" t="n">
        <v>986.79</v>
      </c>
      <c r="T99" s="75" t="n">
        <v>1011.01</v>
      </c>
      <c r="U99" s="75" t="n">
        <v>1033.78</v>
      </c>
      <c r="V99" s="75" t="n">
        <v>1059.47</v>
      </c>
      <c r="W99" s="75" t="n">
        <v>1087.37</v>
      </c>
      <c r="X99" s="76" t="n">
        <v>1124.08</v>
      </c>
      <c r="Y99" s="77" t="s">
        <v>20</v>
      </c>
      <c r="Z99" s="78" t="n">
        <f aca="false">SUM(AA99:AL99)</f>
        <v>4872.89</v>
      </c>
      <c r="AA99" s="75"/>
      <c r="AB99" s="75"/>
      <c r="AC99" s="75"/>
      <c r="AD99" s="75"/>
      <c r="AE99" s="75"/>
      <c r="AF99" s="79" t="n">
        <v>1999.78</v>
      </c>
      <c r="AG99" s="75"/>
      <c r="AH99" s="75"/>
      <c r="AI99" s="79" t="n">
        <v>2873.11</v>
      </c>
      <c r="AJ99" s="75"/>
      <c r="AK99" s="75"/>
      <c r="AL99" s="76"/>
      <c r="AM99" s="56" t="s">
        <v>20</v>
      </c>
      <c r="AN99" s="80" t="n">
        <f aca="false">IF(L99=0,0,Z99/L99)</f>
        <v>0.41941758770484</v>
      </c>
      <c r="AO99" s="81" t="str">
        <f aca="false">IF(AN99="","",IF(AN99&gt;=0.9,"🟢",IF(AN99&gt;=0.7,"🟡",IF(AN99&gt;=0.5,"🟠","🔴"))))</f>
        <v>🔴</v>
      </c>
      <c r="AP99" s="82" t="n">
        <f aca="false">IF(L99=0,0,L99-Z99)</f>
        <v>6745.34</v>
      </c>
      <c r="AQ99" s="83" t="n">
        <f aca="false">IF(AP99=0,"",RANK(AP99,AP$4:AP$503,0))</f>
        <v>90</v>
      </c>
      <c r="AR99" s="84" t="s">
        <v>20</v>
      </c>
      <c r="AS99" s="141"/>
      <c r="AT99" s="141"/>
      <c r="AU99" s="141"/>
      <c r="AV99" s="141"/>
      <c r="AW99" s="141"/>
      <c r="AX99" s="141"/>
      <c r="AY99" s="142"/>
      <c r="AZ99" s="142"/>
      <c r="BA99" s="56" t="s">
        <v>20</v>
      </c>
      <c r="BB99" s="91" t="n">
        <f aca="false">SUM(L$4:L$503)/COUNTA(A$4:A$503)</f>
        <v>9494.39992</v>
      </c>
      <c r="BC99" s="92" t="n">
        <f aca="false">SUM(M$4:M$503)/COUNTA(A$4:A$503)</f>
        <v>667.20008</v>
      </c>
      <c r="BD99" s="92" t="n">
        <f aca="false">SUM(N$4:N$503)/COUNTA(A$4:A$503)</f>
        <v>697.19996</v>
      </c>
      <c r="BE99" s="92" t="n">
        <f aca="false">SUM(O$4:O$503)/COUNTA(A$4:A$503)</f>
        <v>713.9999</v>
      </c>
      <c r="BF99" s="92" t="n">
        <f aca="false">SUM(P$4:P$503)/COUNTA(A$4:A$503)</f>
        <v>732.59984</v>
      </c>
      <c r="BG99" s="92" t="n">
        <f aca="false">SUM(Q$4:Q$503)/COUNTA(A$4:A$503)</f>
        <v>756.59992</v>
      </c>
      <c r="BH99" s="92" t="n">
        <f aca="false">SUM(R$4:R$503)/COUNTA(A$4:A$503)</f>
        <v>776.40004</v>
      </c>
      <c r="BI99" s="92" t="n">
        <f aca="false">SUM(S$4:S$503)/COUNTA(A$4:A$503)</f>
        <v>806.40012</v>
      </c>
      <c r="BJ99" s="92" t="n">
        <f aca="false">SUM(T$4:T$503)/COUNTA(A$4:A$503)</f>
        <v>826.1999</v>
      </c>
      <c r="BK99" s="92" t="n">
        <f aca="false">SUM(U$4:U$503)/COUNTA(A$4:A$503)</f>
        <v>844.8002</v>
      </c>
      <c r="BL99" s="92" t="n">
        <f aca="false">SUM(V$4:V$503)/COUNTA(A$4:A$503)</f>
        <v>865.7998</v>
      </c>
      <c r="BM99" s="92" t="n">
        <f aca="false">SUM(W$4:W$503)/COUNTA(A$4:A$503)</f>
        <v>888.59982</v>
      </c>
      <c r="BN99" s="93" t="n">
        <f aca="false">SUM(X$4:X$503)/COUNTA(A$4:A$503)</f>
        <v>918.60034</v>
      </c>
      <c r="BO99" s="94" t="s">
        <v>20</v>
      </c>
      <c r="BP99" s="91" t="n">
        <f aca="false">IF(Z99&gt;=BB99,0,IFERROR(BB99+(SUMPRODUCT((Z$4:Z$503&gt;=BB$4:BB$503)*(Z$4:Z$503-BB$4:BB$503))/MAX(1,COUNTIF(Z$4:Z$503,"&lt;"&amp;BB99+0.01))),BB99))</f>
        <v>10695.5432177778</v>
      </c>
      <c r="BQ99" s="92" t="n">
        <f aca="false">IF(AA99&gt;=BC99,0,IFERROR(BC99+SUMPRODUCT((AA$4:AA$503&gt;=BC$4:BC$503)*(AA$4:AA$503-BC$4:BC$503))/MAX(1,COUNTIF(AA$4:AA$503,"&lt;"&amp;BC99+0.01)),BC99))</f>
        <v>2238.46589176471</v>
      </c>
      <c r="BR99" s="92" t="n">
        <f aca="false">IF(AB99&gt;=BD99,0,IFERROR(BD99+SUMPRODUCT((AB$4:AB$503&gt;=BD$4:BD$503)*(AB$4:AB$503-BD$4:BD$503))/MAX(1,COUNTIF(AB$4:AB$503,"&lt;"&amp;BD99+0.01)),BD99))</f>
        <v>3335.2938</v>
      </c>
      <c r="BS99" s="92" t="n">
        <f aca="false">IF(AC99&gt;=BE99,0,IFERROR(BE99+SUMPRODUCT((AC$4:AC$503&gt;=BE$4:BE$503)*(AC$4:AC$503-BE$4:BE$503))/MAX(1,COUNTIF(AC$4:AC$503,"&lt;"&amp;BE99+0.01)),BE99))</f>
        <v>6188.73352</v>
      </c>
      <c r="BT99" s="92" t="n">
        <f aca="false">IF(AD99&gt;=BF99,0,IFERROR(BF99+SUMPRODUCT((AD$4:AD$503&gt;=BF$4:BF$503)*(AD$4:AD$503-BF$4:BF$503))/MAX(1,COUNTIF(AD$4:AD$503,"&lt;"&amp;BF99+0.01)),BF99))</f>
        <v>11354.35411</v>
      </c>
      <c r="BU99" s="92" t="n">
        <f aca="false">IF(AE99&gt;=BG99,0,IFERROR(BG99+SUMPRODUCT((AE$4:AE$503&gt;=BG$4:BG$503)*(AE$4:AE$503-BG$4:BG$503))/MAX(1,COUNTIF(AE$4:AE$503,"&lt;"&amp;BG99+0.01)),BG99))</f>
        <v>7704.85920380952</v>
      </c>
      <c r="BV99" s="92" t="n">
        <f aca="false">IF(AF99&gt;=BH99,0,IFERROR(BH99+SUMPRODUCT((AF$4:AF$503&gt;=BH$4:BH$503)*(AF$4:AF$503-BH$4:BH$503))/MAX(1,COUNTIF(AF$4:AF$503,"&lt;"&amp;BH99+0.01)),BH99))</f>
        <v>0</v>
      </c>
      <c r="BW99" s="92" t="n">
        <f aca="false">IF(AG99&gt;=BI99,0,IFERROR(BI99+SUMPRODUCT((AG$4:AG$503&gt;=BI$4:BI$503)*(AG$4:AG$503-BI$4:BI$503))/MAX(1,COUNTIF(AG$4:AG$503,"&lt;"&amp;BI99+0.01)),BI99))</f>
        <v>9142.15870461538</v>
      </c>
      <c r="BX99" s="92" t="n">
        <f aca="false">IF(AH99&gt;=BJ99,0,IFERROR(BJ99+SUMPRODUCT((AH$4:AH$503&gt;=BJ$4:BJ$503)*(AH$4:AH$503-BJ$4:BJ$503))/MAX(1,COUNTIF(AH$4:AH$503,"&lt;"&amp;BJ99+0.01)),BJ99))</f>
        <v>5621.50263448276</v>
      </c>
      <c r="BY99" s="92" t="n">
        <f aca="false">IF(AI99&gt;=BK99,0,IFERROR(BK99+SUMPRODUCT((AI$4:AI$503&gt;=BK$4:BK$503)*(AI$4:AI$503-BK$4:BK$503))/MAX(1,COUNTIF(AI$4:AI$503,"&lt;"&amp;BK99+0.01)),BK99))</f>
        <v>0</v>
      </c>
      <c r="BZ99" s="92" t="n">
        <f aca="false">IF(AJ99&gt;=BL99,0,IFERROR(BL99+SUMPRODUCT((AJ$4:AJ$503&gt;=BL$4:BL$503)*(AJ$4:AJ$503-BL$4:BL$503))/MAX(1,COUNTIF(AJ$4:AJ$503,"&lt;"&amp;BL99+0.01)),BL99))</f>
        <v>6710.03292307692</v>
      </c>
      <c r="CA99" s="92" t="n">
        <f aca="false">IF(AK99&gt;=BM99,0,IFERROR(BM99+SUMPRODUCT((AK$4:AK$503&gt;=BM$4:BM$503)*(AK$4:AK$503-BM$4:BM$503))/MAX(1,COUNTIF(AK$4:AK$503,"&lt;"&amp;BM99+0.01)),BM99))</f>
        <v>7314.89836842105</v>
      </c>
      <c r="CB99" s="93" t="n">
        <f aca="false">IF(AL99&gt;=BN99,0,IFERROR(BN99+SUMPRODUCT((AL$4:AL$503&gt;=BN$4:BN$503)*(AL$4:AL$503-BN$4:BN$503))/MAX(1,COUNTIF(AL$4:AL$503,"&lt;"&amp;BN99+0.01)),BN99))</f>
        <v>3597.2614925</v>
      </c>
      <c r="CC99" s="95" t="str">
        <f aca="false">IF(AO99="🟢","VERDE",IF(AO99="🟡","AMARELO",IF(AO99="🟠","VERMELHO",IF(AO99="🔴","VERMELHO","ROXO"))))</f>
        <v>VERMELHO</v>
      </c>
      <c r="CD99" s="96" t="s">
        <v>103</v>
      </c>
      <c r="CE99" s="96" t="s">
        <v>104</v>
      </c>
    </row>
    <row r="100" customFormat="false" ht="14.25" hidden="false" customHeight="true" outlineLevel="0" collapsed="false">
      <c r="A100" s="65" t="s">
        <v>340</v>
      </c>
      <c r="B100" s="66" t="s">
        <v>341</v>
      </c>
      <c r="C100" s="67" t="s">
        <v>107</v>
      </c>
      <c r="D100" s="68" t="s">
        <v>108</v>
      </c>
      <c r="E100" s="69" t="s">
        <v>139</v>
      </c>
      <c r="F100" s="70" t="n">
        <f aca="false">IFERROR(VLOOKUP(C100,$AS$3:$AT$10,2,FALSE()),IFERROR(VLOOKUP(C100,$AS$15:$AT$22,2,FALSE()),""))</f>
        <v>132</v>
      </c>
      <c r="G100" s="71" t="n">
        <f aca="false">IFERROR(VLOOKUP(C100,$AS$3:$AX$10,6,FALSE()),IFERROR(VLOOKUP(C100,$AS$15:$AX$22,6,FALSE()),""))</f>
        <v>0.468190175850689</v>
      </c>
      <c r="H100" s="72" t="str">
        <f aca="false">IFERROR(VLOOKUP(C100,$AS$3:$AY$10,7,FALSE()),IFERROR(VLOOKUP(C100,$AS$15:$AY$22,7,FALSE()),""))</f>
        <v>🟡 AMARELO</v>
      </c>
      <c r="I100" s="72" t="str">
        <f aca="false">IFERROR(VLOOKUP(C100,$AS$3:$AZ$10,8,FALSE()),IFERROR(VLOOKUP(C100,$AS$15:$AZ$22,8,FALSE()),""))</f>
        <v>Sell Out</v>
      </c>
      <c r="J100" s="73"/>
      <c r="K100" s="69" t="s">
        <v>107</v>
      </c>
      <c r="L100" s="74" t="n">
        <v>11538.74</v>
      </c>
      <c r="M100" s="75" t="n">
        <v>810.86</v>
      </c>
      <c r="N100" s="75" t="n">
        <v>847.32</v>
      </c>
      <c r="O100" s="75" t="n">
        <v>867.74</v>
      </c>
      <c r="P100" s="75" t="n">
        <v>890.34</v>
      </c>
      <c r="Q100" s="75" t="n">
        <v>919.51</v>
      </c>
      <c r="R100" s="75" t="n">
        <v>943.58</v>
      </c>
      <c r="S100" s="75" t="n">
        <v>980.04</v>
      </c>
      <c r="T100" s="75" t="n">
        <v>1004.1</v>
      </c>
      <c r="U100" s="75" t="n">
        <v>1026.7</v>
      </c>
      <c r="V100" s="75" t="n">
        <v>1052.23</v>
      </c>
      <c r="W100" s="75" t="n">
        <v>1079.93</v>
      </c>
      <c r="X100" s="76" t="n">
        <v>1116.39</v>
      </c>
      <c r="Y100" s="77" t="s">
        <v>20</v>
      </c>
      <c r="Z100" s="78" t="n">
        <f aca="false">SUM(AA100:AL100)</f>
        <v>7119.33</v>
      </c>
      <c r="AA100" s="75"/>
      <c r="AB100" s="75"/>
      <c r="AC100" s="75"/>
      <c r="AD100" s="75"/>
      <c r="AE100" s="75"/>
      <c r="AF100" s="75"/>
      <c r="AG100" s="79" t="n">
        <v>2178.81</v>
      </c>
      <c r="AH100" s="75" t="n">
        <v>1267.11</v>
      </c>
      <c r="AI100" s="79" t="n">
        <v>1267.11</v>
      </c>
      <c r="AJ100" s="75" t="n">
        <v>1203.15</v>
      </c>
      <c r="AK100" s="79" t="n">
        <v>1203.15</v>
      </c>
      <c r="AL100" s="76"/>
      <c r="AM100" s="56" t="s">
        <v>20</v>
      </c>
      <c r="AN100" s="80" t="n">
        <f aca="false">IF(L100=0,0,Z100/L100)</f>
        <v>0.616993709885135</v>
      </c>
      <c r="AO100" s="81" t="str">
        <f aca="false">IF(AN100="","",IF(AN100&gt;=0.9,"🟢",IF(AN100&gt;=0.7,"🟡",IF(AN100&gt;=0.5,"🟠","🔴"))))</f>
        <v>🟠</v>
      </c>
      <c r="AP100" s="82" t="n">
        <f aca="false">IF(L100=0,0,L100-Z100)</f>
        <v>4419.41</v>
      </c>
      <c r="AQ100" s="83" t="n">
        <f aca="false">IF(AP100=0,"",RANK(AP100,AP$4:AP$503,0))</f>
        <v>149</v>
      </c>
      <c r="AR100" s="84" t="s">
        <v>20</v>
      </c>
      <c r="AS100" s="141"/>
      <c r="AT100" s="141"/>
      <c r="AU100" s="141"/>
      <c r="AV100" s="141"/>
      <c r="AW100" s="141"/>
      <c r="AX100" s="141"/>
      <c r="AY100" s="142"/>
      <c r="AZ100" s="142"/>
      <c r="BA100" s="56" t="s">
        <v>20</v>
      </c>
      <c r="BB100" s="91" t="n">
        <f aca="false">SUM(L$4:L$503)/COUNTA(A$4:A$503)</f>
        <v>9494.39992</v>
      </c>
      <c r="BC100" s="92" t="n">
        <f aca="false">SUM(M$4:M$503)/COUNTA(A$4:A$503)</f>
        <v>667.20008</v>
      </c>
      <c r="BD100" s="92" t="n">
        <f aca="false">SUM(N$4:N$503)/COUNTA(A$4:A$503)</f>
        <v>697.19996</v>
      </c>
      <c r="BE100" s="92" t="n">
        <f aca="false">SUM(O$4:O$503)/COUNTA(A$4:A$503)</f>
        <v>713.9999</v>
      </c>
      <c r="BF100" s="92" t="n">
        <f aca="false">SUM(P$4:P$503)/COUNTA(A$4:A$503)</f>
        <v>732.59984</v>
      </c>
      <c r="BG100" s="92" t="n">
        <f aca="false">SUM(Q$4:Q$503)/COUNTA(A$4:A$503)</f>
        <v>756.59992</v>
      </c>
      <c r="BH100" s="92" t="n">
        <f aca="false">SUM(R$4:R$503)/COUNTA(A$4:A$503)</f>
        <v>776.40004</v>
      </c>
      <c r="BI100" s="92" t="n">
        <f aca="false">SUM(S$4:S$503)/COUNTA(A$4:A$503)</f>
        <v>806.40012</v>
      </c>
      <c r="BJ100" s="92" t="n">
        <f aca="false">SUM(T$4:T$503)/COUNTA(A$4:A$503)</f>
        <v>826.1999</v>
      </c>
      <c r="BK100" s="92" t="n">
        <f aca="false">SUM(U$4:U$503)/COUNTA(A$4:A$503)</f>
        <v>844.8002</v>
      </c>
      <c r="BL100" s="92" t="n">
        <f aca="false">SUM(V$4:V$503)/COUNTA(A$4:A$503)</f>
        <v>865.7998</v>
      </c>
      <c r="BM100" s="92" t="n">
        <f aca="false">SUM(W$4:W$503)/COUNTA(A$4:A$503)</f>
        <v>888.59982</v>
      </c>
      <c r="BN100" s="93" t="n">
        <f aca="false">SUM(X$4:X$503)/COUNTA(A$4:A$503)</f>
        <v>918.60034</v>
      </c>
      <c r="BO100" s="94" t="s">
        <v>20</v>
      </c>
      <c r="BP100" s="91" t="n">
        <f aca="false">IF(Z100&gt;=BB100,0,IFERROR(BB100+(SUMPRODUCT((Z$4:Z$503&gt;=BB$4:BB$503)*(Z$4:Z$503-BB$4:BB$503))/MAX(1,COUNTIF(Z$4:Z$503,"&lt;"&amp;BB100+0.01))),BB100))</f>
        <v>10695.5432177778</v>
      </c>
      <c r="BQ100" s="92" t="n">
        <f aca="false">IF(AA100&gt;=BC100,0,IFERROR(BC100+SUMPRODUCT((AA$4:AA$503&gt;=BC$4:BC$503)*(AA$4:AA$503-BC$4:BC$503))/MAX(1,COUNTIF(AA$4:AA$503,"&lt;"&amp;BC100+0.01)),BC100))</f>
        <v>2238.46589176471</v>
      </c>
      <c r="BR100" s="92" t="n">
        <f aca="false">IF(AB100&gt;=BD100,0,IFERROR(BD100+SUMPRODUCT((AB$4:AB$503&gt;=BD$4:BD$503)*(AB$4:AB$503-BD$4:BD$503))/MAX(1,COUNTIF(AB$4:AB$503,"&lt;"&amp;BD100+0.01)),BD100))</f>
        <v>3335.2938</v>
      </c>
      <c r="BS100" s="92" t="n">
        <f aca="false">IF(AC100&gt;=BE100,0,IFERROR(BE100+SUMPRODUCT((AC$4:AC$503&gt;=BE$4:BE$503)*(AC$4:AC$503-BE$4:BE$503))/MAX(1,COUNTIF(AC$4:AC$503,"&lt;"&amp;BE100+0.01)),BE100))</f>
        <v>6188.73352</v>
      </c>
      <c r="BT100" s="92" t="n">
        <f aca="false">IF(AD100&gt;=BF100,0,IFERROR(BF100+SUMPRODUCT((AD$4:AD$503&gt;=BF$4:BF$503)*(AD$4:AD$503-BF$4:BF$503))/MAX(1,COUNTIF(AD$4:AD$503,"&lt;"&amp;BF100+0.01)),BF100))</f>
        <v>11354.35411</v>
      </c>
      <c r="BU100" s="92" t="n">
        <f aca="false">IF(AE100&gt;=BG100,0,IFERROR(BG100+SUMPRODUCT((AE$4:AE$503&gt;=BG$4:BG$503)*(AE$4:AE$503-BG$4:BG$503))/MAX(1,COUNTIF(AE$4:AE$503,"&lt;"&amp;BG100+0.01)),BG100))</f>
        <v>7704.85920380952</v>
      </c>
      <c r="BV100" s="92" t="n">
        <f aca="false">IF(AF100&gt;=BH100,0,IFERROR(BH100+SUMPRODUCT((AF$4:AF$503&gt;=BH$4:BH$503)*(AF$4:AF$503-BH$4:BH$503))/MAX(1,COUNTIF(AF$4:AF$503,"&lt;"&amp;BH100+0.01)),BH100))</f>
        <v>9942.6503831579</v>
      </c>
      <c r="BW100" s="92" t="n">
        <f aca="false">IF(AG100&gt;=BI100,0,IFERROR(BI100+SUMPRODUCT((AG$4:AG$503&gt;=BI$4:BI$503)*(AG$4:AG$503-BI$4:BI$503))/MAX(1,COUNTIF(AG$4:AG$503,"&lt;"&amp;BI100+0.01)),BI100))</f>
        <v>0</v>
      </c>
      <c r="BX100" s="92" t="n">
        <f aca="false">IF(AH100&gt;=BJ100,0,IFERROR(BJ100+SUMPRODUCT((AH$4:AH$503&gt;=BJ$4:BJ$503)*(AH$4:AH$503-BJ$4:BJ$503))/MAX(1,COUNTIF(AH$4:AH$503,"&lt;"&amp;BJ100+0.01)),BJ100))</f>
        <v>0</v>
      </c>
      <c r="BY100" s="92" t="n">
        <f aca="false">IF(AI100&gt;=BK100,0,IFERROR(BK100+SUMPRODUCT((AI$4:AI$503&gt;=BK$4:BK$503)*(AI$4:AI$503-BK$4:BK$503))/MAX(1,COUNTIF(AI$4:AI$503,"&lt;"&amp;BK100+0.01)),BK100))</f>
        <v>0</v>
      </c>
      <c r="BZ100" s="92" t="n">
        <f aca="false">IF(AJ100&gt;=BL100,0,IFERROR(BL100+SUMPRODUCT((AJ$4:AJ$503&gt;=BL$4:BL$503)*(AJ$4:AJ$503-BL$4:BL$503))/MAX(1,COUNTIF(AJ$4:AJ$503,"&lt;"&amp;BL100+0.01)),BL100))</f>
        <v>0</v>
      </c>
      <c r="CA100" s="92" t="n">
        <f aca="false">IF(AK100&gt;=BM100,0,IFERROR(BM100+SUMPRODUCT((AK$4:AK$503&gt;=BM$4:BM$503)*(AK$4:AK$503-BM$4:BM$503))/MAX(1,COUNTIF(AK$4:AK$503,"&lt;"&amp;BM100+0.01)),BM100))</f>
        <v>0</v>
      </c>
      <c r="CB100" s="93" t="n">
        <f aca="false">IF(AL100&gt;=BN100,0,IFERROR(BN100+SUMPRODUCT((AL$4:AL$503&gt;=BN$4:BN$503)*(AL$4:AL$503-BN$4:BN$503))/MAX(1,COUNTIF(AL$4:AL$503,"&lt;"&amp;BN100+0.01)),BN100))</f>
        <v>3597.2614925</v>
      </c>
      <c r="CC100" s="95" t="str">
        <f aca="false">IF(AO100="🟢","VERDE",IF(AO100="🟡","AMARELO",IF(AO100="🟠","VERMELHO",IF(AO100="🔴","VERMELHO","ROXO"))))</f>
        <v>VERMELHO</v>
      </c>
      <c r="CD100" s="96" t="s">
        <v>103</v>
      </c>
      <c r="CE100" s="96" t="s">
        <v>104</v>
      </c>
    </row>
    <row r="101" customFormat="false" ht="14.25" hidden="false" customHeight="true" outlineLevel="0" collapsed="false">
      <c r="A101" s="65" t="s">
        <v>342</v>
      </c>
      <c r="B101" s="66" t="s">
        <v>275</v>
      </c>
      <c r="C101" s="66" t="s">
        <v>276</v>
      </c>
      <c r="D101" s="68" t="s">
        <v>108</v>
      </c>
      <c r="E101" s="69" t="s">
        <v>109</v>
      </c>
      <c r="F101" s="70" t="str">
        <f aca="false">IFERROR(VLOOKUP(C101,$AS$3:$AT$10,2,FALSE()),IFERROR(VLOOKUP(C101,$AS$15:$AT$22,2,FALSE()),""))</f>
        <v/>
      </c>
      <c r="G101" s="71" t="str">
        <f aca="false">IFERROR(VLOOKUP(C101,$AS$3:$AX$10,6,FALSE()),IFERROR(VLOOKUP(C101,$AS$15:$AX$22,6,FALSE()),""))</f>
        <v/>
      </c>
      <c r="H101" s="72" t="str">
        <f aca="false">IFERROR(VLOOKUP(C101,$AS$3:$AY$10,7,FALSE()),IFERROR(VLOOKUP(C101,$AS$15:$AY$22,7,FALSE()),""))</f>
        <v/>
      </c>
      <c r="I101" s="72" t="str">
        <f aca="false">IFERROR(VLOOKUP(C101,$AS$3:$AZ$10,8,FALSE()),IFERROR(VLOOKUP(C101,$AS$15:$AZ$22,8,FALSE()),""))</f>
        <v/>
      </c>
      <c r="J101" s="73"/>
      <c r="K101" s="69" t="s">
        <v>107</v>
      </c>
      <c r="L101" s="74" t="n">
        <v>11469.17</v>
      </c>
      <c r="M101" s="75" t="n">
        <v>805.97</v>
      </c>
      <c r="N101" s="75" t="n">
        <v>842.21</v>
      </c>
      <c r="O101" s="75" t="n">
        <v>862.51</v>
      </c>
      <c r="P101" s="75" t="n">
        <v>884.98</v>
      </c>
      <c r="Q101" s="75" t="n">
        <v>913.97</v>
      </c>
      <c r="R101" s="75" t="n">
        <v>937.89</v>
      </c>
      <c r="S101" s="75" t="n">
        <v>974.13</v>
      </c>
      <c r="T101" s="75" t="n">
        <v>998.04</v>
      </c>
      <c r="U101" s="75" t="n">
        <v>1020.51</v>
      </c>
      <c r="V101" s="75" t="n">
        <v>1045.88</v>
      </c>
      <c r="W101" s="75" t="n">
        <v>1073.42</v>
      </c>
      <c r="X101" s="76" t="n">
        <v>1109.66</v>
      </c>
      <c r="Y101" s="77" t="s">
        <v>20</v>
      </c>
      <c r="Z101" s="78" t="n">
        <f aca="false">SUM(AA101:AL101)</f>
        <v>23563.24</v>
      </c>
      <c r="AA101" s="75"/>
      <c r="AB101" s="75"/>
      <c r="AC101" s="75"/>
      <c r="AD101" s="75" t="n">
        <v>17188</v>
      </c>
      <c r="AE101" s="79" t="n">
        <v>6375.24</v>
      </c>
      <c r="AF101" s="75"/>
      <c r="AG101" s="75"/>
      <c r="AH101" s="75"/>
      <c r="AI101" s="75"/>
      <c r="AJ101" s="75"/>
      <c r="AK101" s="75"/>
      <c r="AL101" s="76"/>
      <c r="AM101" s="56" t="s">
        <v>20</v>
      </c>
      <c r="AN101" s="80" t="n">
        <f aca="false">IF(L101=0,0,Z101/L101)</f>
        <v>2.05448519814424</v>
      </c>
      <c r="AO101" s="81" t="str">
        <f aca="false">IF(AN101="","",IF(AN101&gt;=0.9,"🟢",IF(AN101&gt;=0.7,"🟡",IF(AN101&gt;=0.5,"🟠","🔴"))))</f>
        <v>🟢</v>
      </c>
      <c r="AP101" s="82" t="n">
        <f aca="false">IF(L101=0,0,L101-Z101)</f>
        <v>-12094.07</v>
      </c>
      <c r="AQ101" s="83" t="n">
        <f aca="false">IF(AP101=0,"",RANK(AP101,AP$4:AP$503,0))</f>
        <v>500</v>
      </c>
      <c r="AR101" s="84" t="s">
        <v>20</v>
      </c>
      <c r="AS101" s="141"/>
      <c r="AT101" s="141"/>
      <c r="AU101" s="141"/>
      <c r="AV101" s="141"/>
      <c r="AW101" s="141"/>
      <c r="AX101" s="141"/>
      <c r="AY101" s="142"/>
      <c r="AZ101" s="142"/>
      <c r="BA101" s="56" t="s">
        <v>20</v>
      </c>
      <c r="BB101" s="91" t="n">
        <f aca="false">SUM(L$4:L$503)/COUNTA(A$4:A$503)</f>
        <v>9494.39992</v>
      </c>
      <c r="BC101" s="92" t="n">
        <f aca="false">SUM(M$4:M$503)/COUNTA(A$4:A$503)</f>
        <v>667.20008</v>
      </c>
      <c r="BD101" s="92" t="n">
        <f aca="false">SUM(N$4:N$503)/COUNTA(A$4:A$503)</f>
        <v>697.19996</v>
      </c>
      <c r="BE101" s="92" t="n">
        <f aca="false">SUM(O$4:O$503)/COUNTA(A$4:A$503)</f>
        <v>713.9999</v>
      </c>
      <c r="BF101" s="92" t="n">
        <f aca="false">SUM(P$4:P$503)/COUNTA(A$4:A$503)</f>
        <v>732.59984</v>
      </c>
      <c r="BG101" s="92" t="n">
        <f aca="false">SUM(Q$4:Q$503)/COUNTA(A$4:A$503)</f>
        <v>756.59992</v>
      </c>
      <c r="BH101" s="92" t="n">
        <f aca="false">SUM(R$4:R$503)/COUNTA(A$4:A$503)</f>
        <v>776.40004</v>
      </c>
      <c r="BI101" s="92" t="n">
        <f aca="false">SUM(S$4:S$503)/COUNTA(A$4:A$503)</f>
        <v>806.40012</v>
      </c>
      <c r="BJ101" s="92" t="n">
        <f aca="false">SUM(T$4:T$503)/COUNTA(A$4:A$503)</f>
        <v>826.1999</v>
      </c>
      <c r="BK101" s="92" t="n">
        <f aca="false">SUM(U$4:U$503)/COUNTA(A$4:A$503)</f>
        <v>844.8002</v>
      </c>
      <c r="BL101" s="92" t="n">
        <f aca="false">SUM(V$4:V$503)/COUNTA(A$4:A$503)</f>
        <v>865.7998</v>
      </c>
      <c r="BM101" s="92" t="n">
        <f aca="false">SUM(W$4:W$503)/COUNTA(A$4:A$503)</f>
        <v>888.59982</v>
      </c>
      <c r="BN101" s="93" t="n">
        <f aca="false">SUM(X$4:X$503)/COUNTA(A$4:A$503)</f>
        <v>918.60034</v>
      </c>
      <c r="BO101" s="94" t="s">
        <v>20</v>
      </c>
      <c r="BP101" s="91" t="n">
        <f aca="false">IF(Z101&gt;=BB101,0,IFERROR(BB101+(SUMPRODUCT((Z$4:Z$503&gt;=BB$4:BB$503)*(Z$4:Z$503-BB$4:BB$503))/MAX(1,COUNTIF(Z$4:Z$503,"&lt;"&amp;BB101+0.01))),BB101))</f>
        <v>0</v>
      </c>
      <c r="BQ101" s="92" t="n">
        <f aca="false">IF(AA101&gt;=BC101,0,IFERROR(BC101+SUMPRODUCT((AA$4:AA$503&gt;=BC$4:BC$503)*(AA$4:AA$503-BC$4:BC$503))/MAX(1,COUNTIF(AA$4:AA$503,"&lt;"&amp;BC101+0.01)),BC101))</f>
        <v>2238.46589176471</v>
      </c>
      <c r="BR101" s="92" t="n">
        <f aca="false">IF(AB101&gt;=BD101,0,IFERROR(BD101+SUMPRODUCT((AB$4:AB$503&gt;=BD$4:BD$503)*(AB$4:AB$503-BD$4:BD$503))/MAX(1,COUNTIF(AB$4:AB$503,"&lt;"&amp;BD101+0.01)),BD101))</f>
        <v>3335.2938</v>
      </c>
      <c r="BS101" s="92" t="n">
        <f aca="false">IF(AC101&gt;=BE101,0,IFERROR(BE101+SUMPRODUCT((AC$4:AC$503&gt;=BE$4:BE$503)*(AC$4:AC$503-BE$4:BE$503))/MAX(1,COUNTIF(AC$4:AC$503,"&lt;"&amp;BE101+0.01)),BE101))</f>
        <v>6188.73352</v>
      </c>
      <c r="BT101" s="92" t="n">
        <f aca="false">IF(AD101&gt;=BF101,0,IFERROR(BF101+SUMPRODUCT((AD$4:AD$503&gt;=BF$4:BF$503)*(AD$4:AD$503-BF$4:BF$503))/MAX(1,COUNTIF(AD$4:AD$503,"&lt;"&amp;BF101+0.01)),BF101))</f>
        <v>0</v>
      </c>
      <c r="BU101" s="92" t="n">
        <f aca="false">IF(AE101&gt;=BG101,0,IFERROR(BG101+SUMPRODUCT((AE$4:AE$503&gt;=BG$4:BG$503)*(AE$4:AE$503-BG$4:BG$503))/MAX(1,COUNTIF(AE$4:AE$503,"&lt;"&amp;BG101+0.01)),BG101))</f>
        <v>0</v>
      </c>
      <c r="BV101" s="92" t="n">
        <f aca="false">IF(AF101&gt;=BH101,0,IFERROR(BH101+SUMPRODUCT((AF$4:AF$503&gt;=BH$4:BH$503)*(AF$4:AF$503-BH$4:BH$503))/MAX(1,COUNTIF(AF$4:AF$503,"&lt;"&amp;BH101+0.01)),BH101))</f>
        <v>9942.6503831579</v>
      </c>
      <c r="BW101" s="92" t="n">
        <f aca="false">IF(AG101&gt;=BI101,0,IFERROR(BI101+SUMPRODUCT((AG$4:AG$503&gt;=BI$4:BI$503)*(AG$4:AG$503-BI$4:BI$503))/MAX(1,COUNTIF(AG$4:AG$503,"&lt;"&amp;BI101+0.01)),BI101))</f>
        <v>9142.15870461538</v>
      </c>
      <c r="BX101" s="92" t="n">
        <f aca="false">IF(AH101&gt;=BJ101,0,IFERROR(BJ101+SUMPRODUCT((AH$4:AH$503&gt;=BJ$4:BJ$503)*(AH$4:AH$503-BJ$4:BJ$503))/MAX(1,COUNTIF(AH$4:AH$503,"&lt;"&amp;BJ101+0.01)),BJ101))</f>
        <v>5621.50263448276</v>
      </c>
      <c r="BY101" s="92" t="n">
        <f aca="false">IF(AI101&gt;=BK101,0,IFERROR(BK101+SUMPRODUCT((AI$4:AI$503&gt;=BK$4:BK$503)*(AI$4:AI$503-BK$4:BK$503))/MAX(1,COUNTIF(AI$4:AI$503,"&lt;"&amp;BK101+0.01)),BK101))</f>
        <v>7878.25652380952</v>
      </c>
      <c r="BZ101" s="92" t="n">
        <f aca="false">IF(AJ101&gt;=BL101,0,IFERROR(BL101+SUMPRODUCT((AJ$4:AJ$503&gt;=BL$4:BL$503)*(AJ$4:AJ$503-BL$4:BL$503))/MAX(1,COUNTIF(AJ$4:AJ$503,"&lt;"&amp;BL101+0.01)),BL101))</f>
        <v>6710.03292307692</v>
      </c>
      <c r="CA101" s="92" t="n">
        <f aca="false">IF(AK101&gt;=BM101,0,IFERROR(BM101+SUMPRODUCT((AK$4:AK$503&gt;=BM$4:BM$503)*(AK$4:AK$503-BM$4:BM$503))/MAX(1,COUNTIF(AK$4:AK$503,"&lt;"&amp;BM101+0.01)),BM101))</f>
        <v>7314.89836842105</v>
      </c>
      <c r="CB101" s="93" t="n">
        <f aca="false">IF(AL101&gt;=BN101,0,IFERROR(BN101+SUMPRODUCT((AL$4:AL$503&gt;=BN$4:BN$503)*(AL$4:AL$503-BN$4:BN$503))/MAX(1,COUNTIF(AL$4:AL$503,"&lt;"&amp;BN101+0.01)),BN101))</f>
        <v>3597.2614925</v>
      </c>
      <c r="CC101" s="95" t="str">
        <f aca="false">IF(AO101="🟢","VERDE",IF(AO101="🟡","AMARELO",IF(AO101="🟠","VERMELHO",IF(AO101="🔴","VERMELHO","ROXO"))))</f>
        <v>VERDE</v>
      </c>
      <c r="CD101" s="96" t="s">
        <v>176</v>
      </c>
      <c r="CE101" s="96" t="s">
        <v>276</v>
      </c>
    </row>
    <row r="102" customFormat="false" ht="14.25" hidden="false" customHeight="true" outlineLevel="0" collapsed="false">
      <c r="A102" s="65" t="s">
        <v>343</v>
      </c>
      <c r="B102" s="66" t="s">
        <v>344</v>
      </c>
      <c r="C102" s="67" t="s">
        <v>158</v>
      </c>
      <c r="D102" s="68" t="s">
        <v>100</v>
      </c>
      <c r="E102" s="69" t="s">
        <v>187</v>
      </c>
      <c r="F102" s="70" t="n">
        <f aca="false">IFERROR(VLOOKUP(C102,$AS$3:$AT$10,2,FALSE()),IFERROR(VLOOKUP(C102,$AS$15:$AT$22,2,FALSE()),""))</f>
        <v>29</v>
      </c>
      <c r="G102" s="71" t="n">
        <f aca="false">IFERROR(VLOOKUP(C102,$AS$3:$AX$10,6,FALSE()),IFERROR(VLOOKUP(C102,$AS$15:$AX$22,6,FALSE()),""))</f>
        <v>0.458564072601712</v>
      </c>
      <c r="H102" s="72" t="str">
        <f aca="false">IFERROR(VLOOKUP(C102,$AS$3:$AY$10,7,FALSE()),IFERROR(VLOOKUP(C102,$AS$15:$AY$22,7,FALSE()),""))</f>
        <v>🟡 AMARELO</v>
      </c>
      <c r="I102" s="72" t="str">
        <f aca="false">IFERROR(VLOOKUP(C102,$AS$3:$AZ$10,8,FALSE()),IFERROR(VLOOKUP(C102,$AS$15:$AZ$22,8,FALSE()),""))</f>
        <v>Sell Out</v>
      </c>
      <c r="J102" s="73"/>
      <c r="K102" s="69" t="s">
        <v>158</v>
      </c>
      <c r="L102" s="74" t="n">
        <v>11456.86</v>
      </c>
      <c r="M102" s="75" t="n">
        <v>805.11</v>
      </c>
      <c r="N102" s="75" t="n">
        <v>841.31</v>
      </c>
      <c r="O102" s="75" t="n">
        <v>861.58</v>
      </c>
      <c r="P102" s="75" t="n">
        <v>884.02</v>
      </c>
      <c r="Q102" s="75" t="n">
        <v>912.99</v>
      </c>
      <c r="R102" s="75" t="n">
        <v>936.88</v>
      </c>
      <c r="S102" s="75" t="n">
        <v>973.08</v>
      </c>
      <c r="T102" s="75" t="n">
        <v>996.97</v>
      </c>
      <c r="U102" s="75" t="n">
        <v>1019.42</v>
      </c>
      <c r="V102" s="75" t="n">
        <v>1044.76</v>
      </c>
      <c r="W102" s="75" t="n">
        <v>1072.27</v>
      </c>
      <c r="X102" s="76" t="n">
        <v>1108.47</v>
      </c>
      <c r="Y102" s="77" t="s">
        <v>20</v>
      </c>
      <c r="Z102" s="78" t="n">
        <f aca="false">SUM(AA102:AL102)</f>
        <v>4611.35</v>
      </c>
      <c r="AA102" s="75"/>
      <c r="AB102" s="75"/>
      <c r="AC102" s="75"/>
      <c r="AD102" s="75"/>
      <c r="AE102" s="75"/>
      <c r="AF102" s="75"/>
      <c r="AG102" s="75"/>
      <c r="AH102" s="79" t="n">
        <v>2105.05</v>
      </c>
      <c r="AI102" s="75"/>
      <c r="AJ102" s="75"/>
      <c r="AK102" s="79" t="n">
        <v>2506.3</v>
      </c>
      <c r="AL102" s="76"/>
      <c r="AM102" s="56" t="s">
        <v>20</v>
      </c>
      <c r="AN102" s="80" t="n">
        <f aca="false">IF(L102=0,0,Z102/L102)</f>
        <v>0.402496844685193</v>
      </c>
      <c r="AO102" s="81" t="str">
        <f aca="false">IF(AN102="","",IF(AN102&gt;=0.9,"🟢",IF(AN102&gt;=0.7,"🟡",IF(AN102&gt;=0.5,"🟠","🔴"))))</f>
        <v>🔴</v>
      </c>
      <c r="AP102" s="82" t="n">
        <f aca="false">IF(L102=0,0,L102-Z102)</f>
        <v>6845.51</v>
      </c>
      <c r="AQ102" s="83" t="n">
        <f aca="false">IF(AP102=0,"",RANK(AP102,AP$4:AP$503,0))</f>
        <v>89</v>
      </c>
      <c r="AR102" s="84" t="s">
        <v>20</v>
      </c>
      <c r="AS102" s="141"/>
      <c r="AT102" s="141"/>
      <c r="AU102" s="141"/>
      <c r="AV102" s="141"/>
      <c r="AW102" s="141"/>
      <c r="AX102" s="141"/>
      <c r="AY102" s="142"/>
      <c r="AZ102" s="142"/>
      <c r="BA102" s="56" t="s">
        <v>20</v>
      </c>
      <c r="BB102" s="91" t="n">
        <f aca="false">SUM(L$4:L$503)/COUNTA(A$4:A$503)</f>
        <v>9494.39992</v>
      </c>
      <c r="BC102" s="92" t="n">
        <f aca="false">SUM(M$4:M$503)/COUNTA(A$4:A$503)</f>
        <v>667.20008</v>
      </c>
      <c r="BD102" s="92" t="n">
        <f aca="false">SUM(N$4:N$503)/COUNTA(A$4:A$503)</f>
        <v>697.19996</v>
      </c>
      <c r="BE102" s="92" t="n">
        <f aca="false">SUM(O$4:O$503)/COUNTA(A$4:A$503)</f>
        <v>713.9999</v>
      </c>
      <c r="BF102" s="92" t="n">
        <f aca="false">SUM(P$4:P$503)/COUNTA(A$4:A$503)</f>
        <v>732.59984</v>
      </c>
      <c r="BG102" s="92" t="n">
        <f aca="false">SUM(Q$4:Q$503)/COUNTA(A$4:A$503)</f>
        <v>756.59992</v>
      </c>
      <c r="BH102" s="92" t="n">
        <f aca="false">SUM(R$4:R$503)/COUNTA(A$4:A$503)</f>
        <v>776.40004</v>
      </c>
      <c r="BI102" s="92" t="n">
        <f aca="false">SUM(S$4:S$503)/COUNTA(A$4:A$503)</f>
        <v>806.40012</v>
      </c>
      <c r="BJ102" s="92" t="n">
        <f aca="false">SUM(T$4:T$503)/COUNTA(A$4:A$503)</f>
        <v>826.1999</v>
      </c>
      <c r="BK102" s="92" t="n">
        <f aca="false">SUM(U$4:U$503)/COUNTA(A$4:A$503)</f>
        <v>844.8002</v>
      </c>
      <c r="BL102" s="92" t="n">
        <f aca="false">SUM(V$4:V$503)/COUNTA(A$4:A$503)</f>
        <v>865.7998</v>
      </c>
      <c r="BM102" s="92" t="n">
        <f aca="false">SUM(W$4:W$503)/COUNTA(A$4:A$503)</f>
        <v>888.59982</v>
      </c>
      <c r="BN102" s="93" t="n">
        <f aca="false">SUM(X$4:X$503)/COUNTA(A$4:A$503)</f>
        <v>918.60034</v>
      </c>
      <c r="BO102" s="94" t="s">
        <v>20</v>
      </c>
      <c r="BP102" s="91" t="n">
        <f aca="false">IF(Z102&gt;=BB102,0,IFERROR(BB102+(SUMPRODUCT((Z$4:Z$503&gt;=BB$4:BB$503)*(Z$4:Z$503-BB$4:BB$503))/MAX(1,COUNTIF(Z$4:Z$503,"&lt;"&amp;BB102+0.01))),BB102))</f>
        <v>10695.5432177778</v>
      </c>
      <c r="BQ102" s="92" t="n">
        <f aca="false">IF(AA102&gt;=BC102,0,IFERROR(BC102+SUMPRODUCT((AA$4:AA$503&gt;=BC$4:BC$503)*(AA$4:AA$503-BC$4:BC$503))/MAX(1,COUNTIF(AA$4:AA$503,"&lt;"&amp;BC102+0.01)),BC102))</f>
        <v>2238.46589176471</v>
      </c>
      <c r="BR102" s="92" t="n">
        <f aca="false">IF(AB102&gt;=BD102,0,IFERROR(BD102+SUMPRODUCT((AB$4:AB$503&gt;=BD$4:BD$503)*(AB$4:AB$503-BD$4:BD$503))/MAX(1,COUNTIF(AB$4:AB$503,"&lt;"&amp;BD102+0.01)),BD102))</f>
        <v>3335.2938</v>
      </c>
      <c r="BS102" s="92" t="n">
        <f aca="false">IF(AC102&gt;=BE102,0,IFERROR(BE102+SUMPRODUCT((AC$4:AC$503&gt;=BE$4:BE$503)*(AC$4:AC$503-BE$4:BE$503))/MAX(1,COUNTIF(AC$4:AC$503,"&lt;"&amp;BE102+0.01)),BE102))</f>
        <v>6188.73352</v>
      </c>
      <c r="BT102" s="92" t="n">
        <f aca="false">IF(AD102&gt;=BF102,0,IFERROR(BF102+SUMPRODUCT((AD$4:AD$503&gt;=BF$4:BF$503)*(AD$4:AD$503-BF$4:BF$503))/MAX(1,COUNTIF(AD$4:AD$503,"&lt;"&amp;BF102+0.01)),BF102))</f>
        <v>11354.35411</v>
      </c>
      <c r="BU102" s="92" t="n">
        <f aca="false">IF(AE102&gt;=BG102,0,IFERROR(BG102+SUMPRODUCT((AE$4:AE$503&gt;=BG$4:BG$503)*(AE$4:AE$503-BG$4:BG$503))/MAX(1,COUNTIF(AE$4:AE$503,"&lt;"&amp;BG102+0.01)),BG102))</f>
        <v>7704.85920380952</v>
      </c>
      <c r="BV102" s="92" t="n">
        <f aca="false">IF(AF102&gt;=BH102,0,IFERROR(BH102+SUMPRODUCT((AF$4:AF$503&gt;=BH$4:BH$503)*(AF$4:AF$503-BH$4:BH$503))/MAX(1,COUNTIF(AF$4:AF$503,"&lt;"&amp;BH102+0.01)),BH102))</f>
        <v>9942.6503831579</v>
      </c>
      <c r="BW102" s="92" t="n">
        <f aca="false">IF(AG102&gt;=BI102,0,IFERROR(BI102+SUMPRODUCT((AG$4:AG$503&gt;=BI$4:BI$503)*(AG$4:AG$503-BI$4:BI$503))/MAX(1,COUNTIF(AG$4:AG$503,"&lt;"&amp;BI102+0.01)),BI102))</f>
        <v>9142.15870461538</v>
      </c>
      <c r="BX102" s="92" t="n">
        <f aca="false">IF(AH102&gt;=BJ102,0,IFERROR(BJ102+SUMPRODUCT((AH$4:AH$503&gt;=BJ$4:BJ$503)*(AH$4:AH$503-BJ$4:BJ$503))/MAX(1,COUNTIF(AH$4:AH$503,"&lt;"&amp;BJ102+0.01)),BJ102))</f>
        <v>0</v>
      </c>
      <c r="BY102" s="92" t="n">
        <f aca="false">IF(AI102&gt;=BK102,0,IFERROR(BK102+SUMPRODUCT((AI$4:AI$503&gt;=BK$4:BK$503)*(AI$4:AI$503-BK$4:BK$503))/MAX(1,COUNTIF(AI$4:AI$503,"&lt;"&amp;BK102+0.01)),BK102))</f>
        <v>7878.25652380952</v>
      </c>
      <c r="BZ102" s="92" t="n">
        <f aca="false">IF(AJ102&gt;=BL102,0,IFERROR(BL102+SUMPRODUCT((AJ$4:AJ$503&gt;=BL$4:BL$503)*(AJ$4:AJ$503-BL$4:BL$503))/MAX(1,COUNTIF(AJ$4:AJ$503,"&lt;"&amp;BL102+0.01)),BL102))</f>
        <v>6710.03292307692</v>
      </c>
      <c r="CA102" s="92" t="n">
        <f aca="false">IF(AK102&gt;=BM102,0,IFERROR(BM102+SUMPRODUCT((AK$4:AK$503&gt;=BM$4:BM$503)*(AK$4:AK$503-BM$4:BM$503))/MAX(1,COUNTIF(AK$4:AK$503,"&lt;"&amp;BM102+0.01)),BM102))</f>
        <v>0</v>
      </c>
      <c r="CB102" s="93" t="n">
        <f aca="false">IF(AL102&gt;=BN102,0,IFERROR(BN102+SUMPRODUCT((AL$4:AL$503&gt;=BN$4:BN$503)*(AL$4:AL$503-BN$4:BN$503))/MAX(1,COUNTIF(AL$4:AL$503,"&lt;"&amp;BN102+0.01)),BN102))</f>
        <v>3597.2614925</v>
      </c>
      <c r="CC102" s="95" t="str">
        <f aca="false">IF(AO102="🟢","VERDE",IF(AO102="🟡","AMARELO",IF(AO102="🟠","VERMELHO",IF(AO102="🔴","VERMELHO","ROXO"))))</f>
        <v>VERMELHO</v>
      </c>
      <c r="CD102" s="96" t="s">
        <v>103</v>
      </c>
      <c r="CE102" s="96" t="s">
        <v>104</v>
      </c>
    </row>
    <row r="103" customFormat="false" ht="14.25" hidden="false" customHeight="true" outlineLevel="0" collapsed="false">
      <c r="A103" s="65" t="s">
        <v>345</v>
      </c>
      <c r="B103" s="66" t="s">
        <v>346</v>
      </c>
      <c r="C103" s="67" t="s">
        <v>158</v>
      </c>
      <c r="D103" s="68" t="s">
        <v>100</v>
      </c>
      <c r="E103" s="69" t="s">
        <v>347</v>
      </c>
      <c r="F103" s="70" t="n">
        <f aca="false">IFERROR(VLOOKUP(C103,$AS$3:$AT$10,2,FALSE()),IFERROR(VLOOKUP(C103,$AS$15:$AT$22,2,FALSE()),""))</f>
        <v>29</v>
      </c>
      <c r="G103" s="71" t="n">
        <f aca="false">IFERROR(VLOOKUP(C103,$AS$3:$AX$10,6,FALSE()),IFERROR(VLOOKUP(C103,$AS$15:$AX$22,6,FALSE()),""))</f>
        <v>0.458564072601712</v>
      </c>
      <c r="H103" s="72" t="str">
        <f aca="false">IFERROR(VLOOKUP(C103,$AS$3:$AY$10,7,FALSE()),IFERROR(VLOOKUP(C103,$AS$15:$AY$22,7,FALSE()),""))</f>
        <v>🟡 AMARELO</v>
      </c>
      <c r="I103" s="72" t="str">
        <f aca="false">IFERROR(VLOOKUP(C103,$AS$3:$AZ$10,8,FALSE()),IFERROR(VLOOKUP(C103,$AS$15:$AZ$22,8,FALSE()),""))</f>
        <v>Sell Out</v>
      </c>
      <c r="J103" s="73"/>
      <c r="K103" s="69" t="s">
        <v>158</v>
      </c>
      <c r="L103" s="74" t="n">
        <v>11288.21</v>
      </c>
      <c r="M103" s="75" t="n">
        <v>793.26</v>
      </c>
      <c r="N103" s="75" t="n">
        <v>828.92</v>
      </c>
      <c r="O103" s="75" t="n">
        <v>848.9</v>
      </c>
      <c r="P103" s="75" t="n">
        <v>871.01</v>
      </c>
      <c r="Q103" s="75" t="n">
        <v>899.55</v>
      </c>
      <c r="R103" s="75" t="n">
        <v>923.09</v>
      </c>
      <c r="S103" s="75" t="n">
        <v>958.75</v>
      </c>
      <c r="T103" s="75" t="n">
        <v>982.3</v>
      </c>
      <c r="U103" s="75" t="n">
        <v>1004.41</v>
      </c>
      <c r="V103" s="75" t="n">
        <v>1029.38</v>
      </c>
      <c r="W103" s="75" t="n">
        <v>1056.49</v>
      </c>
      <c r="X103" s="76" t="n">
        <v>1092.15</v>
      </c>
      <c r="Y103" s="77" t="s">
        <v>20</v>
      </c>
      <c r="Z103" s="78" t="n">
        <f aca="false">SUM(AA103:AL103)</f>
        <v>4632.41</v>
      </c>
      <c r="AA103" s="75"/>
      <c r="AB103" s="75"/>
      <c r="AC103" s="75"/>
      <c r="AD103" s="75"/>
      <c r="AE103" s="75"/>
      <c r="AF103" s="75"/>
      <c r="AG103" s="79" t="n">
        <v>4632.41</v>
      </c>
      <c r="AH103" s="75"/>
      <c r="AI103" s="75"/>
      <c r="AJ103" s="75"/>
      <c r="AK103" s="75"/>
      <c r="AL103" s="76"/>
      <c r="AM103" s="56" t="s">
        <v>20</v>
      </c>
      <c r="AN103" s="80" t="n">
        <f aca="false">IF(L103=0,0,Z103/L103)</f>
        <v>0.410375958632945</v>
      </c>
      <c r="AO103" s="81" t="str">
        <f aca="false">IF(AN103="","",IF(AN103&gt;=0.9,"🟢",IF(AN103&gt;=0.7,"🟡",IF(AN103&gt;=0.5,"🟠","🔴"))))</f>
        <v>🔴</v>
      </c>
      <c r="AP103" s="82" t="n">
        <f aca="false">IF(L103=0,0,L103-Z103)</f>
        <v>6655.8</v>
      </c>
      <c r="AQ103" s="83" t="n">
        <f aca="false">IF(AP103=0,"",RANK(AP103,AP$4:AP$503,0))</f>
        <v>91</v>
      </c>
      <c r="AR103" s="84" t="s">
        <v>20</v>
      </c>
      <c r="AS103" s="141"/>
      <c r="AT103" s="141"/>
      <c r="AU103" s="141"/>
      <c r="AV103" s="141"/>
      <c r="AW103" s="141"/>
      <c r="AX103" s="141"/>
      <c r="AY103" s="142"/>
      <c r="AZ103" s="142"/>
      <c r="BA103" s="56" t="s">
        <v>20</v>
      </c>
      <c r="BB103" s="91" t="n">
        <f aca="false">SUM(L$4:L$503)/COUNTA(A$4:A$503)</f>
        <v>9494.39992</v>
      </c>
      <c r="BC103" s="92" t="n">
        <f aca="false">SUM(M$4:M$503)/COUNTA(A$4:A$503)</f>
        <v>667.20008</v>
      </c>
      <c r="BD103" s="92" t="n">
        <f aca="false">SUM(N$4:N$503)/COUNTA(A$4:A$503)</f>
        <v>697.19996</v>
      </c>
      <c r="BE103" s="92" t="n">
        <f aca="false">SUM(O$4:O$503)/COUNTA(A$4:A$503)</f>
        <v>713.9999</v>
      </c>
      <c r="BF103" s="92" t="n">
        <f aca="false">SUM(P$4:P$503)/COUNTA(A$4:A$503)</f>
        <v>732.59984</v>
      </c>
      <c r="BG103" s="92" t="n">
        <f aca="false">SUM(Q$4:Q$503)/COUNTA(A$4:A$503)</f>
        <v>756.59992</v>
      </c>
      <c r="BH103" s="92" t="n">
        <f aca="false">SUM(R$4:R$503)/COUNTA(A$4:A$503)</f>
        <v>776.40004</v>
      </c>
      <c r="BI103" s="92" t="n">
        <f aca="false">SUM(S$4:S$503)/COUNTA(A$4:A$503)</f>
        <v>806.40012</v>
      </c>
      <c r="BJ103" s="92" t="n">
        <f aca="false">SUM(T$4:T$503)/COUNTA(A$4:A$503)</f>
        <v>826.1999</v>
      </c>
      <c r="BK103" s="92" t="n">
        <f aca="false">SUM(U$4:U$503)/COUNTA(A$4:A$503)</f>
        <v>844.8002</v>
      </c>
      <c r="BL103" s="92" t="n">
        <f aca="false">SUM(V$4:V$503)/COUNTA(A$4:A$503)</f>
        <v>865.7998</v>
      </c>
      <c r="BM103" s="92" t="n">
        <f aca="false">SUM(W$4:W$503)/COUNTA(A$4:A$503)</f>
        <v>888.59982</v>
      </c>
      <c r="BN103" s="93" t="n">
        <f aca="false">SUM(X$4:X$503)/COUNTA(A$4:A$503)</f>
        <v>918.60034</v>
      </c>
      <c r="BO103" s="94" t="s">
        <v>20</v>
      </c>
      <c r="BP103" s="91" t="n">
        <f aca="false">IF(Z103&gt;=BB103,0,IFERROR(BB103+(SUMPRODUCT((Z$4:Z$503&gt;=BB$4:BB$503)*(Z$4:Z$503-BB$4:BB$503))/MAX(1,COUNTIF(Z$4:Z$503,"&lt;"&amp;BB103+0.01))),BB103))</f>
        <v>10695.5432177778</v>
      </c>
      <c r="BQ103" s="92" t="n">
        <f aca="false">IF(AA103&gt;=BC103,0,IFERROR(BC103+SUMPRODUCT((AA$4:AA$503&gt;=BC$4:BC$503)*(AA$4:AA$503-BC$4:BC$503))/MAX(1,COUNTIF(AA$4:AA$503,"&lt;"&amp;BC103+0.01)),BC103))</f>
        <v>2238.46589176471</v>
      </c>
      <c r="BR103" s="92" t="n">
        <f aca="false">IF(AB103&gt;=BD103,0,IFERROR(BD103+SUMPRODUCT((AB$4:AB$503&gt;=BD$4:BD$503)*(AB$4:AB$503-BD$4:BD$503))/MAX(1,COUNTIF(AB$4:AB$503,"&lt;"&amp;BD103+0.01)),BD103))</f>
        <v>3335.2938</v>
      </c>
      <c r="BS103" s="92" t="n">
        <f aca="false">IF(AC103&gt;=BE103,0,IFERROR(BE103+SUMPRODUCT((AC$4:AC$503&gt;=BE$4:BE$503)*(AC$4:AC$503-BE$4:BE$503))/MAX(1,COUNTIF(AC$4:AC$503,"&lt;"&amp;BE103+0.01)),BE103))</f>
        <v>6188.73352</v>
      </c>
      <c r="BT103" s="92" t="n">
        <f aca="false">IF(AD103&gt;=BF103,0,IFERROR(BF103+SUMPRODUCT((AD$4:AD$503&gt;=BF$4:BF$503)*(AD$4:AD$503-BF$4:BF$503))/MAX(1,COUNTIF(AD$4:AD$503,"&lt;"&amp;BF103+0.01)),BF103))</f>
        <v>11354.35411</v>
      </c>
      <c r="BU103" s="92" t="n">
        <f aca="false">IF(AE103&gt;=BG103,0,IFERROR(BG103+SUMPRODUCT((AE$4:AE$503&gt;=BG$4:BG$503)*(AE$4:AE$503-BG$4:BG$503))/MAX(1,COUNTIF(AE$4:AE$503,"&lt;"&amp;BG103+0.01)),BG103))</f>
        <v>7704.85920380952</v>
      </c>
      <c r="BV103" s="92" t="n">
        <f aca="false">IF(AF103&gt;=BH103,0,IFERROR(BH103+SUMPRODUCT((AF$4:AF$503&gt;=BH$4:BH$503)*(AF$4:AF$503-BH$4:BH$503))/MAX(1,COUNTIF(AF$4:AF$503,"&lt;"&amp;BH103+0.01)),BH103))</f>
        <v>9942.6503831579</v>
      </c>
      <c r="BW103" s="92" t="n">
        <f aca="false">IF(AG103&gt;=BI103,0,IFERROR(BI103+SUMPRODUCT((AG$4:AG$503&gt;=BI$4:BI$503)*(AG$4:AG$503-BI$4:BI$503))/MAX(1,COUNTIF(AG$4:AG$503,"&lt;"&amp;BI103+0.01)),BI103))</f>
        <v>0</v>
      </c>
      <c r="BX103" s="92" t="n">
        <f aca="false">IF(AH103&gt;=BJ103,0,IFERROR(BJ103+SUMPRODUCT((AH$4:AH$503&gt;=BJ$4:BJ$503)*(AH$4:AH$503-BJ$4:BJ$503))/MAX(1,COUNTIF(AH$4:AH$503,"&lt;"&amp;BJ103+0.01)),BJ103))</f>
        <v>5621.50263448276</v>
      </c>
      <c r="BY103" s="92" t="n">
        <f aca="false">IF(AI103&gt;=BK103,0,IFERROR(BK103+SUMPRODUCT((AI$4:AI$503&gt;=BK$4:BK$503)*(AI$4:AI$503-BK$4:BK$503))/MAX(1,COUNTIF(AI$4:AI$503,"&lt;"&amp;BK103+0.01)),BK103))</f>
        <v>7878.25652380952</v>
      </c>
      <c r="BZ103" s="92" t="n">
        <f aca="false">IF(AJ103&gt;=BL103,0,IFERROR(BL103+SUMPRODUCT((AJ$4:AJ$503&gt;=BL$4:BL$503)*(AJ$4:AJ$503-BL$4:BL$503))/MAX(1,COUNTIF(AJ$4:AJ$503,"&lt;"&amp;BL103+0.01)),BL103))</f>
        <v>6710.03292307692</v>
      </c>
      <c r="CA103" s="92" t="n">
        <f aca="false">IF(AK103&gt;=BM103,0,IFERROR(BM103+SUMPRODUCT((AK$4:AK$503&gt;=BM$4:BM$503)*(AK$4:AK$503-BM$4:BM$503))/MAX(1,COUNTIF(AK$4:AK$503,"&lt;"&amp;BM103+0.01)),BM103))</f>
        <v>7314.89836842105</v>
      </c>
      <c r="CB103" s="93" t="n">
        <f aca="false">IF(AL103&gt;=BN103,0,IFERROR(BN103+SUMPRODUCT((AL$4:AL$503&gt;=BN$4:BN$503)*(AL$4:AL$503-BN$4:BN$503))/MAX(1,COUNTIF(AL$4:AL$503,"&lt;"&amp;BN103+0.01)),BN103))</f>
        <v>3597.2614925</v>
      </c>
      <c r="CC103" s="95" t="str">
        <f aca="false">IF(AO103="🟢","VERDE",IF(AO103="🟡","AMARELO",IF(AO103="🟠","VERMELHO",IF(AO103="🔴","VERMELHO","ROXO"))))</f>
        <v>VERMELHO</v>
      </c>
      <c r="CD103" s="96" t="s">
        <v>103</v>
      </c>
      <c r="CE103" s="96" t="s">
        <v>104</v>
      </c>
    </row>
    <row r="104" customFormat="false" ht="14.25" hidden="false" customHeight="true" outlineLevel="0" collapsed="false">
      <c r="A104" s="65" t="s">
        <v>348</v>
      </c>
      <c r="B104" s="66" t="s">
        <v>349</v>
      </c>
      <c r="C104" s="67" t="s">
        <v>99</v>
      </c>
      <c r="D104" s="68" t="s">
        <v>100</v>
      </c>
      <c r="E104" s="69" t="s">
        <v>281</v>
      </c>
      <c r="F104" s="70" t="n">
        <f aca="false">IFERROR(VLOOKUP(C104,$AS$3:$AT$10,2,FALSE()),IFERROR(VLOOKUP(C104,$AS$15:$AT$22,2,FALSE()),""))</f>
        <v>33</v>
      </c>
      <c r="G104" s="71" t="n">
        <f aca="false">IFERROR(VLOOKUP(C104,$AS$3:$AX$10,6,FALSE()),IFERROR(VLOOKUP(C104,$AS$15:$AX$22,6,FALSE()),""))</f>
        <v>0.341494038351172</v>
      </c>
      <c r="H104" s="72" t="str">
        <f aca="false">IFERROR(VLOOKUP(C104,$AS$3:$AY$10,7,FALSE()),IFERROR(VLOOKUP(C104,$AS$15:$AY$22,7,FALSE()),""))</f>
        <v>🔴 VERMELHO</v>
      </c>
      <c r="I104" s="72" t="str">
        <f aca="false">IFERROR(VLOOKUP(C104,$AS$3:$AZ$10,8,FALSE()),IFERROR(VLOOKUP(C104,$AS$15:$AZ$22,8,FALSE()),""))</f>
        <v>Positivação + Expandir</v>
      </c>
      <c r="J104" s="73"/>
      <c r="K104" s="69" t="s">
        <v>99</v>
      </c>
      <c r="L104" s="74" t="n">
        <v>11126.92</v>
      </c>
      <c r="M104" s="75" t="n">
        <v>781.92</v>
      </c>
      <c r="N104" s="75" t="n">
        <v>817.08</v>
      </c>
      <c r="O104" s="75" t="n">
        <v>836.77</v>
      </c>
      <c r="P104" s="75" t="n">
        <v>858.57</v>
      </c>
      <c r="Q104" s="75" t="n">
        <v>886.69</v>
      </c>
      <c r="R104" s="75" t="n">
        <v>909.9</v>
      </c>
      <c r="S104" s="75" t="n">
        <v>945.06</v>
      </c>
      <c r="T104" s="75" t="n">
        <v>968.26</v>
      </c>
      <c r="U104" s="75" t="n">
        <v>990.06</v>
      </c>
      <c r="V104" s="75" t="n">
        <v>1014.67</v>
      </c>
      <c r="W104" s="75" t="n">
        <v>1041.39</v>
      </c>
      <c r="X104" s="76" t="n">
        <v>1076.55</v>
      </c>
      <c r="Y104" s="77" t="s">
        <v>20</v>
      </c>
      <c r="Z104" s="78" t="n">
        <f aca="false">SUM(AA104:AL104)</f>
        <v>4496.25</v>
      </c>
      <c r="AA104" s="75"/>
      <c r="AB104" s="79" t="n">
        <v>2140.64</v>
      </c>
      <c r="AC104" s="75"/>
      <c r="AD104" s="75"/>
      <c r="AE104" s="79" t="n">
        <v>2355.61</v>
      </c>
      <c r="AF104" s="75"/>
      <c r="AG104" s="75"/>
      <c r="AH104" s="75"/>
      <c r="AI104" s="75"/>
      <c r="AJ104" s="75"/>
      <c r="AK104" s="75"/>
      <c r="AL104" s="76"/>
      <c r="AM104" s="56" t="s">
        <v>20</v>
      </c>
      <c r="AN104" s="80" t="n">
        <f aca="false">IF(L104=0,0,Z104/L104)</f>
        <v>0.404087564213637</v>
      </c>
      <c r="AO104" s="81" t="str">
        <f aca="false">IF(AN104="","",IF(AN104&gt;=0.9,"🟢",IF(AN104&gt;=0.7,"🟡",IF(AN104&gt;=0.5,"🟠","🔴"))))</f>
        <v>🔴</v>
      </c>
      <c r="AP104" s="82" t="n">
        <f aca="false">IF(L104=0,0,L104-Z104)</f>
        <v>6630.67</v>
      </c>
      <c r="AQ104" s="83" t="n">
        <f aca="false">IF(AP104=0,"",RANK(AP104,AP$4:AP$503,0))</f>
        <v>92</v>
      </c>
      <c r="AR104" s="84" t="s">
        <v>20</v>
      </c>
      <c r="AS104" s="141"/>
      <c r="AT104" s="141"/>
      <c r="AU104" s="141"/>
      <c r="AV104" s="141"/>
      <c r="AW104" s="141"/>
      <c r="AX104" s="141"/>
      <c r="AY104" s="142"/>
      <c r="AZ104" s="142"/>
      <c r="BA104" s="56" t="s">
        <v>20</v>
      </c>
      <c r="BB104" s="91" t="n">
        <f aca="false">SUM(L$4:L$503)/COUNTA(A$4:A$503)</f>
        <v>9494.39992</v>
      </c>
      <c r="BC104" s="92" t="n">
        <f aca="false">SUM(M$4:M$503)/COUNTA(A$4:A$503)</f>
        <v>667.20008</v>
      </c>
      <c r="BD104" s="92" t="n">
        <f aca="false">SUM(N$4:N$503)/COUNTA(A$4:A$503)</f>
        <v>697.19996</v>
      </c>
      <c r="BE104" s="92" t="n">
        <f aca="false">SUM(O$4:O$503)/COUNTA(A$4:A$503)</f>
        <v>713.9999</v>
      </c>
      <c r="BF104" s="92" t="n">
        <f aca="false">SUM(P$4:P$503)/COUNTA(A$4:A$503)</f>
        <v>732.59984</v>
      </c>
      <c r="BG104" s="92" t="n">
        <f aca="false">SUM(Q$4:Q$503)/COUNTA(A$4:A$503)</f>
        <v>756.59992</v>
      </c>
      <c r="BH104" s="92" t="n">
        <f aca="false">SUM(R$4:R$503)/COUNTA(A$4:A$503)</f>
        <v>776.40004</v>
      </c>
      <c r="BI104" s="92" t="n">
        <f aca="false">SUM(S$4:S$503)/COUNTA(A$4:A$503)</f>
        <v>806.40012</v>
      </c>
      <c r="BJ104" s="92" t="n">
        <f aca="false">SUM(T$4:T$503)/COUNTA(A$4:A$503)</f>
        <v>826.1999</v>
      </c>
      <c r="BK104" s="92" t="n">
        <f aca="false">SUM(U$4:U$503)/COUNTA(A$4:A$503)</f>
        <v>844.8002</v>
      </c>
      <c r="BL104" s="92" t="n">
        <f aca="false">SUM(V$4:V$503)/COUNTA(A$4:A$503)</f>
        <v>865.7998</v>
      </c>
      <c r="BM104" s="92" t="n">
        <f aca="false">SUM(W$4:W$503)/COUNTA(A$4:A$503)</f>
        <v>888.59982</v>
      </c>
      <c r="BN104" s="93" t="n">
        <f aca="false">SUM(X$4:X$503)/COUNTA(A$4:A$503)</f>
        <v>918.60034</v>
      </c>
      <c r="BO104" s="94" t="s">
        <v>20</v>
      </c>
      <c r="BP104" s="91" t="n">
        <f aca="false">IF(Z104&gt;=BB104,0,IFERROR(BB104+(SUMPRODUCT((Z$4:Z$503&gt;=BB$4:BB$503)*(Z$4:Z$503-BB$4:BB$503))/MAX(1,COUNTIF(Z$4:Z$503,"&lt;"&amp;BB104+0.01))),BB104))</f>
        <v>10695.5432177778</v>
      </c>
      <c r="BQ104" s="92" t="n">
        <f aca="false">IF(AA104&gt;=BC104,0,IFERROR(BC104+SUMPRODUCT((AA$4:AA$503&gt;=BC$4:BC$503)*(AA$4:AA$503-BC$4:BC$503))/MAX(1,COUNTIF(AA$4:AA$503,"&lt;"&amp;BC104+0.01)),BC104))</f>
        <v>2238.46589176471</v>
      </c>
      <c r="BR104" s="92" t="n">
        <f aca="false">IF(AB104&gt;=BD104,0,IFERROR(BD104+SUMPRODUCT((AB$4:AB$503&gt;=BD$4:BD$503)*(AB$4:AB$503-BD$4:BD$503))/MAX(1,COUNTIF(AB$4:AB$503,"&lt;"&amp;BD104+0.01)),BD104))</f>
        <v>0</v>
      </c>
      <c r="BS104" s="92" t="n">
        <f aca="false">IF(AC104&gt;=BE104,0,IFERROR(BE104+SUMPRODUCT((AC$4:AC$503&gt;=BE$4:BE$503)*(AC$4:AC$503-BE$4:BE$503))/MAX(1,COUNTIF(AC$4:AC$503,"&lt;"&amp;BE104+0.01)),BE104))</f>
        <v>6188.73352</v>
      </c>
      <c r="BT104" s="92" t="n">
        <f aca="false">IF(AD104&gt;=BF104,0,IFERROR(BF104+SUMPRODUCT((AD$4:AD$503&gt;=BF$4:BF$503)*(AD$4:AD$503-BF$4:BF$503))/MAX(1,COUNTIF(AD$4:AD$503,"&lt;"&amp;BF104+0.01)),BF104))</f>
        <v>11354.35411</v>
      </c>
      <c r="BU104" s="92" t="n">
        <f aca="false">IF(AE104&gt;=BG104,0,IFERROR(BG104+SUMPRODUCT((AE$4:AE$503&gt;=BG$4:BG$503)*(AE$4:AE$503-BG$4:BG$503))/MAX(1,COUNTIF(AE$4:AE$503,"&lt;"&amp;BG104+0.01)),BG104))</f>
        <v>0</v>
      </c>
      <c r="BV104" s="92" t="n">
        <f aca="false">IF(AF104&gt;=BH104,0,IFERROR(BH104+SUMPRODUCT((AF$4:AF$503&gt;=BH$4:BH$503)*(AF$4:AF$503-BH$4:BH$503))/MAX(1,COUNTIF(AF$4:AF$503,"&lt;"&amp;BH104+0.01)),BH104))</f>
        <v>9942.6503831579</v>
      </c>
      <c r="BW104" s="92" t="n">
        <f aca="false">IF(AG104&gt;=BI104,0,IFERROR(BI104+SUMPRODUCT((AG$4:AG$503&gt;=BI$4:BI$503)*(AG$4:AG$503-BI$4:BI$503))/MAX(1,COUNTIF(AG$4:AG$503,"&lt;"&amp;BI104+0.01)),BI104))</f>
        <v>9142.15870461538</v>
      </c>
      <c r="BX104" s="92" t="n">
        <f aca="false">IF(AH104&gt;=BJ104,0,IFERROR(BJ104+SUMPRODUCT((AH$4:AH$503&gt;=BJ$4:BJ$503)*(AH$4:AH$503-BJ$4:BJ$503))/MAX(1,COUNTIF(AH$4:AH$503,"&lt;"&amp;BJ104+0.01)),BJ104))</f>
        <v>5621.50263448276</v>
      </c>
      <c r="BY104" s="92" t="n">
        <f aca="false">IF(AI104&gt;=BK104,0,IFERROR(BK104+SUMPRODUCT((AI$4:AI$503&gt;=BK$4:BK$503)*(AI$4:AI$503-BK$4:BK$503))/MAX(1,COUNTIF(AI$4:AI$503,"&lt;"&amp;BK104+0.01)),BK104))</f>
        <v>7878.25652380952</v>
      </c>
      <c r="BZ104" s="92" t="n">
        <f aca="false">IF(AJ104&gt;=BL104,0,IFERROR(BL104+SUMPRODUCT((AJ$4:AJ$503&gt;=BL$4:BL$503)*(AJ$4:AJ$503-BL$4:BL$503))/MAX(1,COUNTIF(AJ$4:AJ$503,"&lt;"&amp;BL104+0.01)),BL104))</f>
        <v>6710.03292307692</v>
      </c>
      <c r="CA104" s="92" t="n">
        <f aca="false">IF(AK104&gt;=BM104,0,IFERROR(BM104+SUMPRODUCT((AK$4:AK$503&gt;=BM$4:BM$503)*(AK$4:AK$503-BM$4:BM$503))/MAX(1,COUNTIF(AK$4:AK$503,"&lt;"&amp;BM104+0.01)),BM104))</f>
        <v>7314.89836842105</v>
      </c>
      <c r="CB104" s="93" t="n">
        <f aca="false">IF(AL104&gt;=BN104,0,IFERROR(BN104+SUMPRODUCT((AL$4:AL$503&gt;=BN$4:BN$503)*(AL$4:AL$503-BN$4:BN$503))/MAX(1,COUNTIF(AL$4:AL$503,"&lt;"&amp;BN104+0.01)),BN104))</f>
        <v>3597.2614925</v>
      </c>
      <c r="CC104" s="95" t="str">
        <f aca="false">IF(AO104="🟢","VERDE",IF(AO104="🟡","AMARELO",IF(AO104="🟠","VERMELHO",IF(AO104="🔴","VERMELHO","ROXO"))))</f>
        <v>VERMELHO</v>
      </c>
      <c r="CD104" s="96" t="s">
        <v>103</v>
      </c>
      <c r="CE104" s="96" t="s">
        <v>104</v>
      </c>
    </row>
    <row r="105" customFormat="false" ht="14.25" hidden="false" customHeight="true" outlineLevel="0" collapsed="false">
      <c r="A105" s="65" t="s">
        <v>350</v>
      </c>
      <c r="B105" s="66" t="s">
        <v>351</v>
      </c>
      <c r="C105" s="66" t="s">
        <v>120</v>
      </c>
      <c r="D105" s="68" t="s">
        <v>184</v>
      </c>
      <c r="E105" s="69" t="s">
        <v>119</v>
      </c>
      <c r="F105" s="70" t="n">
        <f aca="false">IFERROR(VLOOKUP(C105,$AS$3:$AT$10,2,FALSE()),IFERROR(VLOOKUP(C105,$AS$15:$AT$22,2,FALSE()),""))</f>
        <v>4</v>
      </c>
      <c r="G105" s="71" t="n">
        <f aca="false">IFERROR(VLOOKUP(C105,$AS$3:$AX$10,6,FALSE()),IFERROR(VLOOKUP(C105,$AS$15:$AX$22,6,FALSE()),""))</f>
        <v>0.520132792961821</v>
      </c>
      <c r="H105" s="72" t="str">
        <f aca="false">IFERROR(VLOOKUP(C105,$AS$3:$AY$10,7,FALSE()),IFERROR(VLOOKUP(C105,$AS$15:$AY$22,7,FALSE()),""))</f>
        <v>🟡 AMARELO</v>
      </c>
      <c r="I105" s="72" t="str">
        <f aca="false">IFERROR(VLOOKUP(C105,$AS$3:$AZ$10,8,FALSE()),IFERROR(VLOOKUP(C105,$AS$15:$AZ$22,8,FALSE()),""))</f>
        <v>Sell Out</v>
      </c>
      <c r="J105" s="73"/>
      <c r="K105" s="69" t="s">
        <v>118</v>
      </c>
      <c r="L105" s="74" t="n">
        <v>10971.42</v>
      </c>
      <c r="M105" s="75" t="n">
        <v>771</v>
      </c>
      <c r="N105" s="75" t="n">
        <v>805.66</v>
      </c>
      <c r="O105" s="75" t="n">
        <v>825.08</v>
      </c>
      <c r="P105" s="75" t="n">
        <v>846.57</v>
      </c>
      <c r="Q105" s="75" t="n">
        <v>874.3</v>
      </c>
      <c r="R105" s="75" t="n">
        <v>897.18</v>
      </c>
      <c r="S105" s="75" t="n">
        <v>931.85</v>
      </c>
      <c r="T105" s="75" t="n">
        <v>954.73</v>
      </c>
      <c r="U105" s="75" t="n">
        <v>976.22</v>
      </c>
      <c r="V105" s="75" t="n">
        <v>1000.49</v>
      </c>
      <c r="W105" s="75" t="n">
        <v>1026.84</v>
      </c>
      <c r="X105" s="76" t="n">
        <v>1061.5</v>
      </c>
      <c r="Y105" s="77" t="s">
        <v>20</v>
      </c>
      <c r="Z105" s="78" t="n">
        <f aca="false">SUM(AA105:AL105)</f>
        <v>6678.71</v>
      </c>
      <c r="AA105" s="75"/>
      <c r="AB105" s="75"/>
      <c r="AC105" s="75"/>
      <c r="AD105" s="75"/>
      <c r="AE105" s="75"/>
      <c r="AF105" s="75"/>
      <c r="AG105" s="75"/>
      <c r="AH105" s="79" t="n">
        <v>2996.37</v>
      </c>
      <c r="AI105" s="75" t="n">
        <v>1928.84</v>
      </c>
      <c r="AJ105" s="79" t="n">
        <v>1753.5</v>
      </c>
      <c r="AK105" s="75"/>
      <c r="AL105" s="76"/>
      <c r="AM105" s="56" t="s">
        <v>20</v>
      </c>
      <c r="AN105" s="80" t="n">
        <f aca="false">IF(L105=0,0,Z105/L105)</f>
        <v>0.608737064117498</v>
      </c>
      <c r="AO105" s="81" t="str">
        <f aca="false">IF(AN105="","",IF(AN105&gt;=0.9,"🟢",IF(AN105&gt;=0.7,"🟡",IF(AN105&gt;=0.5,"🟠","🔴"))))</f>
        <v>🟠</v>
      </c>
      <c r="AP105" s="82" t="n">
        <f aca="false">IF(L105=0,0,L105-Z105)</f>
        <v>4292.71</v>
      </c>
      <c r="AQ105" s="83" t="n">
        <f aca="false">IF(AP105=0,"",RANK(AP105,AP$4:AP$503,0))</f>
        <v>151</v>
      </c>
      <c r="AR105" s="84" t="s">
        <v>20</v>
      </c>
      <c r="AS105" s="141"/>
      <c r="AT105" s="141"/>
      <c r="AU105" s="141"/>
      <c r="AV105" s="141"/>
      <c r="AW105" s="141"/>
      <c r="AX105" s="141"/>
      <c r="AY105" s="142"/>
      <c r="AZ105" s="142"/>
      <c r="BA105" s="56" t="s">
        <v>20</v>
      </c>
      <c r="BB105" s="91" t="n">
        <f aca="false">SUM(L$4:L$503)/COUNTA(A$4:A$503)</f>
        <v>9494.39992</v>
      </c>
      <c r="BC105" s="92" t="n">
        <f aca="false">SUM(M$4:M$503)/COUNTA(A$4:A$503)</f>
        <v>667.20008</v>
      </c>
      <c r="BD105" s="92" t="n">
        <f aca="false">SUM(N$4:N$503)/COUNTA(A$4:A$503)</f>
        <v>697.19996</v>
      </c>
      <c r="BE105" s="92" t="n">
        <f aca="false">SUM(O$4:O$503)/COUNTA(A$4:A$503)</f>
        <v>713.9999</v>
      </c>
      <c r="BF105" s="92" t="n">
        <f aca="false">SUM(P$4:P$503)/COUNTA(A$4:A$503)</f>
        <v>732.59984</v>
      </c>
      <c r="BG105" s="92" t="n">
        <f aca="false">SUM(Q$4:Q$503)/COUNTA(A$4:A$503)</f>
        <v>756.59992</v>
      </c>
      <c r="BH105" s="92" t="n">
        <f aca="false">SUM(R$4:R$503)/COUNTA(A$4:A$503)</f>
        <v>776.40004</v>
      </c>
      <c r="BI105" s="92" t="n">
        <f aca="false">SUM(S$4:S$503)/COUNTA(A$4:A$503)</f>
        <v>806.40012</v>
      </c>
      <c r="BJ105" s="92" t="n">
        <f aca="false">SUM(T$4:T$503)/COUNTA(A$4:A$503)</f>
        <v>826.1999</v>
      </c>
      <c r="BK105" s="92" t="n">
        <f aca="false">SUM(U$4:U$503)/COUNTA(A$4:A$503)</f>
        <v>844.8002</v>
      </c>
      <c r="BL105" s="92" t="n">
        <f aca="false">SUM(V$4:V$503)/COUNTA(A$4:A$503)</f>
        <v>865.7998</v>
      </c>
      <c r="BM105" s="92" t="n">
        <f aca="false">SUM(W$4:W$503)/COUNTA(A$4:A$503)</f>
        <v>888.59982</v>
      </c>
      <c r="BN105" s="93" t="n">
        <f aca="false">SUM(X$4:X$503)/COUNTA(A$4:A$503)</f>
        <v>918.60034</v>
      </c>
      <c r="BO105" s="94" t="s">
        <v>20</v>
      </c>
      <c r="BP105" s="91" t="n">
        <f aca="false">IF(Z105&gt;=BB105,0,IFERROR(BB105+(SUMPRODUCT((Z$4:Z$503&gt;=BB$4:BB$503)*(Z$4:Z$503-BB$4:BB$503))/MAX(1,COUNTIF(Z$4:Z$503,"&lt;"&amp;BB105+0.01))),BB105))</f>
        <v>10695.5432177778</v>
      </c>
      <c r="BQ105" s="92" t="n">
        <f aca="false">IF(AA105&gt;=BC105,0,IFERROR(BC105+SUMPRODUCT((AA$4:AA$503&gt;=BC$4:BC$503)*(AA$4:AA$503-BC$4:BC$503))/MAX(1,COUNTIF(AA$4:AA$503,"&lt;"&amp;BC105+0.01)),BC105))</f>
        <v>2238.46589176471</v>
      </c>
      <c r="BR105" s="92" t="n">
        <f aca="false">IF(AB105&gt;=BD105,0,IFERROR(BD105+SUMPRODUCT((AB$4:AB$503&gt;=BD$4:BD$503)*(AB$4:AB$503-BD$4:BD$503))/MAX(1,COUNTIF(AB$4:AB$503,"&lt;"&amp;BD105+0.01)),BD105))</f>
        <v>3335.2938</v>
      </c>
      <c r="BS105" s="92" t="n">
        <f aca="false">IF(AC105&gt;=BE105,0,IFERROR(BE105+SUMPRODUCT((AC$4:AC$503&gt;=BE$4:BE$503)*(AC$4:AC$503-BE$4:BE$503))/MAX(1,COUNTIF(AC$4:AC$503,"&lt;"&amp;BE105+0.01)),BE105))</f>
        <v>6188.73352</v>
      </c>
      <c r="BT105" s="92" t="n">
        <f aca="false">IF(AD105&gt;=BF105,0,IFERROR(BF105+SUMPRODUCT((AD$4:AD$503&gt;=BF$4:BF$503)*(AD$4:AD$503-BF$4:BF$503))/MAX(1,COUNTIF(AD$4:AD$503,"&lt;"&amp;BF105+0.01)),BF105))</f>
        <v>11354.35411</v>
      </c>
      <c r="BU105" s="92" t="n">
        <f aca="false">IF(AE105&gt;=BG105,0,IFERROR(BG105+SUMPRODUCT((AE$4:AE$503&gt;=BG$4:BG$503)*(AE$4:AE$503-BG$4:BG$503))/MAX(1,COUNTIF(AE$4:AE$503,"&lt;"&amp;BG105+0.01)),BG105))</f>
        <v>7704.85920380952</v>
      </c>
      <c r="BV105" s="92" t="n">
        <f aca="false">IF(AF105&gt;=BH105,0,IFERROR(BH105+SUMPRODUCT((AF$4:AF$503&gt;=BH$4:BH$503)*(AF$4:AF$503-BH$4:BH$503))/MAX(1,COUNTIF(AF$4:AF$503,"&lt;"&amp;BH105+0.01)),BH105))</f>
        <v>9942.6503831579</v>
      </c>
      <c r="BW105" s="92" t="n">
        <f aca="false">IF(AG105&gt;=BI105,0,IFERROR(BI105+SUMPRODUCT((AG$4:AG$503&gt;=BI$4:BI$503)*(AG$4:AG$503-BI$4:BI$503))/MAX(1,COUNTIF(AG$4:AG$503,"&lt;"&amp;BI105+0.01)),BI105))</f>
        <v>9142.15870461538</v>
      </c>
      <c r="BX105" s="92" t="n">
        <f aca="false">IF(AH105&gt;=BJ105,0,IFERROR(BJ105+SUMPRODUCT((AH$4:AH$503&gt;=BJ$4:BJ$503)*(AH$4:AH$503-BJ$4:BJ$503))/MAX(1,COUNTIF(AH$4:AH$503,"&lt;"&amp;BJ105+0.01)),BJ105))</f>
        <v>0</v>
      </c>
      <c r="BY105" s="92" t="n">
        <f aca="false">IF(AI105&gt;=BK105,0,IFERROR(BK105+SUMPRODUCT((AI$4:AI$503&gt;=BK$4:BK$503)*(AI$4:AI$503-BK$4:BK$503))/MAX(1,COUNTIF(AI$4:AI$503,"&lt;"&amp;BK105+0.01)),BK105))</f>
        <v>0</v>
      </c>
      <c r="BZ105" s="92" t="n">
        <f aca="false">IF(AJ105&gt;=BL105,0,IFERROR(BL105+SUMPRODUCT((AJ$4:AJ$503&gt;=BL$4:BL$503)*(AJ$4:AJ$503-BL$4:BL$503))/MAX(1,COUNTIF(AJ$4:AJ$503,"&lt;"&amp;BL105+0.01)),BL105))</f>
        <v>0</v>
      </c>
      <c r="CA105" s="92" t="n">
        <f aca="false">IF(AK105&gt;=BM105,0,IFERROR(BM105+SUMPRODUCT((AK$4:AK$503&gt;=BM$4:BM$503)*(AK$4:AK$503-BM$4:BM$503))/MAX(1,COUNTIF(AK$4:AK$503,"&lt;"&amp;BM105+0.01)),BM105))</f>
        <v>7314.89836842105</v>
      </c>
      <c r="CB105" s="93" t="n">
        <f aca="false">IF(AL105&gt;=BN105,0,IFERROR(BN105+SUMPRODUCT((AL$4:AL$503&gt;=BN$4:BN$503)*(AL$4:AL$503-BN$4:BN$503))/MAX(1,COUNTIF(AL$4:AL$503,"&lt;"&amp;BN105+0.01)),BN105))</f>
        <v>3597.2614925</v>
      </c>
      <c r="CC105" s="95" t="str">
        <f aca="false">IF(AO105="🟢","VERDE",IF(AO105="🟡","AMARELO",IF(AO105="🟠","VERMELHO",IF(AO105="🔴","VERMELHO","ROXO"))))</f>
        <v>VERMELHO</v>
      </c>
      <c r="CD105" s="96" t="s">
        <v>176</v>
      </c>
      <c r="CE105" s="96" t="s">
        <v>120</v>
      </c>
    </row>
    <row r="106" customFormat="false" ht="14.25" hidden="false" customHeight="true" outlineLevel="0" collapsed="false">
      <c r="A106" s="65" t="s">
        <v>352</v>
      </c>
      <c r="B106" s="66" t="s">
        <v>353</v>
      </c>
      <c r="C106" s="67" t="s">
        <v>113</v>
      </c>
      <c r="D106" s="68" t="s">
        <v>100</v>
      </c>
      <c r="E106" s="69" t="s">
        <v>260</v>
      </c>
      <c r="F106" s="70" t="n">
        <f aca="false">IFERROR(VLOOKUP(C106,$AS$3:$AT$10,2,FALSE()),IFERROR(VLOOKUP(C106,$AS$15:$AT$22,2,FALSE()),""))</f>
        <v>49</v>
      </c>
      <c r="G106" s="71" t="n">
        <f aca="false">IFERROR(VLOOKUP(C106,$AS$3:$AX$10,6,FALSE()),IFERROR(VLOOKUP(C106,$AS$15:$AX$22,6,FALSE()),""))</f>
        <v>0.463965086137302</v>
      </c>
      <c r="H106" s="72" t="str">
        <f aca="false">IFERROR(VLOOKUP(C106,$AS$3:$AY$10,7,FALSE()),IFERROR(VLOOKUP(C106,$AS$15:$AY$22,7,FALSE()),""))</f>
        <v>🟡 AMARELO</v>
      </c>
      <c r="I106" s="72" t="str">
        <f aca="false">IFERROR(VLOOKUP(C106,$AS$3:$AZ$10,8,FALSE()),IFERROR(VLOOKUP(C106,$AS$15:$AZ$22,8,FALSE()),""))</f>
        <v>Sell Out</v>
      </c>
      <c r="J106" s="73"/>
      <c r="K106" s="69" t="s">
        <v>113</v>
      </c>
      <c r="L106" s="74" t="n">
        <v>10959.26</v>
      </c>
      <c r="M106" s="75" t="n">
        <v>770.14</v>
      </c>
      <c r="N106" s="75" t="n">
        <v>804.77</v>
      </c>
      <c r="O106" s="75" t="n">
        <v>824.16</v>
      </c>
      <c r="P106" s="75" t="n">
        <v>845.63</v>
      </c>
      <c r="Q106" s="75" t="n">
        <v>873.33</v>
      </c>
      <c r="R106" s="75" t="n">
        <v>896.19</v>
      </c>
      <c r="S106" s="75" t="n">
        <v>930.82</v>
      </c>
      <c r="T106" s="75" t="n">
        <v>953.67</v>
      </c>
      <c r="U106" s="75" t="n">
        <v>975.14</v>
      </c>
      <c r="V106" s="75" t="n">
        <v>999.38</v>
      </c>
      <c r="W106" s="75" t="n">
        <v>1025.7</v>
      </c>
      <c r="X106" s="76" t="n">
        <v>1060.33</v>
      </c>
      <c r="Y106" s="77" t="s">
        <v>20</v>
      </c>
      <c r="Z106" s="78" t="n">
        <f aca="false">SUM(AA106:AL106)</f>
        <v>4566.4</v>
      </c>
      <c r="AA106" s="75"/>
      <c r="AB106" s="75"/>
      <c r="AC106" s="75"/>
      <c r="AD106" s="75"/>
      <c r="AE106" s="75"/>
      <c r="AF106" s="79" t="n">
        <v>1512</v>
      </c>
      <c r="AG106" s="75"/>
      <c r="AH106" s="79" t="n">
        <v>1490.4</v>
      </c>
      <c r="AI106" s="75"/>
      <c r="AJ106" s="75"/>
      <c r="AK106" s="79" t="n">
        <v>1564</v>
      </c>
      <c r="AL106" s="76"/>
      <c r="AM106" s="56" t="s">
        <v>20</v>
      </c>
      <c r="AN106" s="80" t="n">
        <f aca="false">IF(L106=0,0,Z106/L106)</f>
        <v>0.416670468626531</v>
      </c>
      <c r="AO106" s="81" t="str">
        <f aca="false">IF(AN106="","",IF(AN106&gt;=0.9,"🟢",IF(AN106&gt;=0.7,"🟡",IF(AN106&gt;=0.5,"🟠","🔴"))))</f>
        <v>🔴</v>
      </c>
      <c r="AP106" s="82" t="n">
        <f aca="false">IF(L106=0,0,L106-Z106)</f>
        <v>6392.86</v>
      </c>
      <c r="AQ106" s="83" t="n">
        <f aca="false">IF(AP106=0,"",RANK(AP106,AP$4:AP$503,0))</f>
        <v>95</v>
      </c>
      <c r="AR106" s="84" t="s">
        <v>20</v>
      </c>
      <c r="AS106" s="141"/>
      <c r="AT106" s="141"/>
      <c r="AU106" s="141"/>
      <c r="AV106" s="141"/>
      <c r="AW106" s="141"/>
      <c r="AX106" s="141"/>
      <c r="AY106" s="142"/>
      <c r="AZ106" s="142"/>
      <c r="BA106" s="56" t="s">
        <v>20</v>
      </c>
      <c r="BB106" s="91" t="n">
        <f aca="false">SUM(L$4:L$503)/COUNTA(A$4:A$503)</f>
        <v>9494.39992</v>
      </c>
      <c r="BC106" s="92" t="n">
        <f aca="false">SUM(M$4:M$503)/COUNTA(A$4:A$503)</f>
        <v>667.20008</v>
      </c>
      <c r="BD106" s="92" t="n">
        <f aca="false">SUM(N$4:N$503)/COUNTA(A$4:A$503)</f>
        <v>697.19996</v>
      </c>
      <c r="BE106" s="92" t="n">
        <f aca="false">SUM(O$4:O$503)/COUNTA(A$4:A$503)</f>
        <v>713.9999</v>
      </c>
      <c r="BF106" s="92" t="n">
        <f aca="false">SUM(P$4:P$503)/COUNTA(A$4:A$503)</f>
        <v>732.59984</v>
      </c>
      <c r="BG106" s="92" t="n">
        <f aca="false">SUM(Q$4:Q$503)/COUNTA(A$4:A$503)</f>
        <v>756.59992</v>
      </c>
      <c r="BH106" s="92" t="n">
        <f aca="false">SUM(R$4:R$503)/COUNTA(A$4:A$503)</f>
        <v>776.40004</v>
      </c>
      <c r="BI106" s="92" t="n">
        <f aca="false">SUM(S$4:S$503)/COUNTA(A$4:A$503)</f>
        <v>806.40012</v>
      </c>
      <c r="BJ106" s="92" t="n">
        <f aca="false">SUM(T$4:T$503)/COUNTA(A$4:A$503)</f>
        <v>826.1999</v>
      </c>
      <c r="BK106" s="92" t="n">
        <f aca="false">SUM(U$4:U$503)/COUNTA(A$4:A$503)</f>
        <v>844.8002</v>
      </c>
      <c r="BL106" s="92" t="n">
        <f aca="false">SUM(V$4:V$503)/COUNTA(A$4:A$503)</f>
        <v>865.7998</v>
      </c>
      <c r="BM106" s="92" t="n">
        <f aca="false">SUM(W$4:W$503)/COUNTA(A$4:A$503)</f>
        <v>888.59982</v>
      </c>
      <c r="BN106" s="93" t="n">
        <f aca="false">SUM(X$4:X$503)/COUNTA(A$4:A$503)</f>
        <v>918.60034</v>
      </c>
      <c r="BO106" s="94" t="s">
        <v>20</v>
      </c>
      <c r="BP106" s="91" t="n">
        <f aca="false">IF(Z106&gt;=BB106,0,IFERROR(BB106+(SUMPRODUCT((Z$4:Z$503&gt;=BB$4:BB$503)*(Z$4:Z$503-BB$4:BB$503))/MAX(1,COUNTIF(Z$4:Z$503,"&lt;"&amp;BB106+0.01))),BB106))</f>
        <v>10695.5432177778</v>
      </c>
      <c r="BQ106" s="92" t="n">
        <f aca="false">IF(AA106&gt;=BC106,0,IFERROR(BC106+SUMPRODUCT((AA$4:AA$503&gt;=BC$4:BC$503)*(AA$4:AA$503-BC$4:BC$503))/MAX(1,COUNTIF(AA$4:AA$503,"&lt;"&amp;BC106+0.01)),BC106))</f>
        <v>2238.46589176471</v>
      </c>
      <c r="BR106" s="92" t="n">
        <f aca="false">IF(AB106&gt;=BD106,0,IFERROR(BD106+SUMPRODUCT((AB$4:AB$503&gt;=BD$4:BD$503)*(AB$4:AB$503-BD$4:BD$503))/MAX(1,COUNTIF(AB$4:AB$503,"&lt;"&amp;BD106+0.01)),BD106))</f>
        <v>3335.2938</v>
      </c>
      <c r="BS106" s="92" t="n">
        <f aca="false">IF(AC106&gt;=BE106,0,IFERROR(BE106+SUMPRODUCT((AC$4:AC$503&gt;=BE$4:BE$503)*(AC$4:AC$503-BE$4:BE$503))/MAX(1,COUNTIF(AC$4:AC$503,"&lt;"&amp;BE106+0.01)),BE106))</f>
        <v>6188.73352</v>
      </c>
      <c r="BT106" s="92" t="n">
        <f aca="false">IF(AD106&gt;=BF106,0,IFERROR(BF106+SUMPRODUCT((AD$4:AD$503&gt;=BF$4:BF$503)*(AD$4:AD$503-BF$4:BF$503))/MAX(1,COUNTIF(AD$4:AD$503,"&lt;"&amp;BF106+0.01)),BF106))</f>
        <v>11354.35411</v>
      </c>
      <c r="BU106" s="92" t="n">
        <f aca="false">IF(AE106&gt;=BG106,0,IFERROR(BG106+SUMPRODUCT((AE$4:AE$503&gt;=BG$4:BG$503)*(AE$4:AE$503-BG$4:BG$503))/MAX(1,COUNTIF(AE$4:AE$503,"&lt;"&amp;BG106+0.01)),BG106))</f>
        <v>7704.85920380952</v>
      </c>
      <c r="BV106" s="92" t="n">
        <f aca="false">IF(AF106&gt;=BH106,0,IFERROR(BH106+SUMPRODUCT((AF$4:AF$503&gt;=BH$4:BH$503)*(AF$4:AF$503-BH$4:BH$503))/MAX(1,COUNTIF(AF$4:AF$503,"&lt;"&amp;BH106+0.01)),BH106))</f>
        <v>0</v>
      </c>
      <c r="BW106" s="92" t="n">
        <f aca="false">IF(AG106&gt;=BI106,0,IFERROR(BI106+SUMPRODUCT((AG$4:AG$503&gt;=BI$4:BI$503)*(AG$4:AG$503-BI$4:BI$503))/MAX(1,COUNTIF(AG$4:AG$503,"&lt;"&amp;BI106+0.01)),BI106))</f>
        <v>9142.15870461538</v>
      </c>
      <c r="BX106" s="92" t="n">
        <f aca="false">IF(AH106&gt;=BJ106,0,IFERROR(BJ106+SUMPRODUCT((AH$4:AH$503&gt;=BJ$4:BJ$503)*(AH$4:AH$503-BJ$4:BJ$503))/MAX(1,COUNTIF(AH$4:AH$503,"&lt;"&amp;BJ106+0.01)),BJ106))</f>
        <v>0</v>
      </c>
      <c r="BY106" s="92" t="n">
        <f aca="false">IF(AI106&gt;=BK106,0,IFERROR(BK106+SUMPRODUCT((AI$4:AI$503&gt;=BK$4:BK$503)*(AI$4:AI$503-BK$4:BK$503))/MAX(1,COUNTIF(AI$4:AI$503,"&lt;"&amp;BK106+0.01)),BK106))</f>
        <v>7878.25652380952</v>
      </c>
      <c r="BZ106" s="92" t="n">
        <f aca="false">IF(AJ106&gt;=BL106,0,IFERROR(BL106+SUMPRODUCT((AJ$4:AJ$503&gt;=BL$4:BL$503)*(AJ$4:AJ$503-BL$4:BL$503))/MAX(1,COUNTIF(AJ$4:AJ$503,"&lt;"&amp;BL106+0.01)),BL106))</f>
        <v>6710.03292307692</v>
      </c>
      <c r="CA106" s="92" t="n">
        <f aca="false">IF(AK106&gt;=BM106,0,IFERROR(BM106+SUMPRODUCT((AK$4:AK$503&gt;=BM$4:BM$503)*(AK$4:AK$503-BM$4:BM$503))/MAX(1,COUNTIF(AK$4:AK$503,"&lt;"&amp;BM106+0.01)),BM106))</f>
        <v>0</v>
      </c>
      <c r="CB106" s="93" t="n">
        <f aca="false">IF(AL106&gt;=BN106,0,IFERROR(BN106+SUMPRODUCT((AL$4:AL$503&gt;=BN$4:BN$503)*(AL$4:AL$503-BN$4:BN$503))/MAX(1,COUNTIF(AL$4:AL$503,"&lt;"&amp;BN106+0.01)),BN106))</f>
        <v>3597.2614925</v>
      </c>
      <c r="CC106" s="95" t="str">
        <f aca="false">IF(AO106="🟢","VERDE",IF(AO106="🟡","AMARELO",IF(AO106="🟠","VERMELHO",IF(AO106="🔴","VERMELHO","ROXO"))))</f>
        <v>VERMELHO</v>
      </c>
      <c r="CD106" s="96" t="s">
        <v>103</v>
      </c>
      <c r="CE106" s="96" t="s">
        <v>104</v>
      </c>
    </row>
    <row r="107" customFormat="false" ht="14.25" hidden="false" customHeight="true" outlineLevel="0" collapsed="false">
      <c r="A107" s="65" t="s">
        <v>354</v>
      </c>
      <c r="B107" s="66" t="s">
        <v>355</v>
      </c>
      <c r="C107" s="67" t="s">
        <v>149</v>
      </c>
      <c r="D107" s="68" t="s">
        <v>100</v>
      </c>
      <c r="E107" s="69" t="s">
        <v>119</v>
      </c>
      <c r="F107" s="70" t="n">
        <f aca="false">IFERROR(VLOOKUP(C107,$AS$3:$AT$10,2,FALSE()),IFERROR(VLOOKUP(C107,$AS$15:$AT$22,2,FALSE()),""))</f>
        <v>29</v>
      </c>
      <c r="G107" s="71" t="n">
        <f aca="false">IFERROR(VLOOKUP(C107,$AS$3:$AX$10,6,FALSE()),IFERROR(VLOOKUP(C107,$AS$15:$AX$22,6,FALSE()),""))</f>
        <v>0.425845065256079</v>
      </c>
      <c r="H107" s="72" t="str">
        <f aca="false">IFERROR(VLOOKUP(C107,$AS$3:$AY$10,7,FALSE()),IFERROR(VLOOKUP(C107,$AS$15:$AY$22,7,FALSE()),""))</f>
        <v>🟡 AMARELO</v>
      </c>
      <c r="I107" s="72" t="str">
        <f aca="false">IFERROR(VLOOKUP(C107,$AS$3:$AZ$10,8,FALSE()),IFERROR(VLOOKUP(C107,$AS$15:$AZ$22,8,FALSE()),""))</f>
        <v>Sell Out</v>
      </c>
      <c r="J107" s="73"/>
      <c r="K107" s="69" t="s">
        <v>149</v>
      </c>
      <c r="L107" s="74" t="n">
        <v>10913.82</v>
      </c>
      <c r="M107" s="75" t="n">
        <v>766.95</v>
      </c>
      <c r="N107" s="75" t="n">
        <v>801.43</v>
      </c>
      <c r="O107" s="75" t="n">
        <v>820.74</v>
      </c>
      <c r="P107" s="75" t="n">
        <v>842.12</v>
      </c>
      <c r="Q107" s="75" t="n">
        <v>869.71</v>
      </c>
      <c r="R107" s="75" t="n">
        <v>892.47</v>
      </c>
      <c r="S107" s="75" t="n">
        <v>926.96</v>
      </c>
      <c r="T107" s="75" t="n">
        <v>949.72</v>
      </c>
      <c r="U107" s="75" t="n">
        <v>971.1</v>
      </c>
      <c r="V107" s="75" t="n">
        <v>995.24</v>
      </c>
      <c r="W107" s="75" t="n">
        <v>1021.45</v>
      </c>
      <c r="X107" s="76" t="n">
        <v>1055.93</v>
      </c>
      <c r="Y107" s="77" t="s">
        <v>20</v>
      </c>
      <c r="Z107" s="78" t="n">
        <f aca="false">SUM(AA107:AL107)</f>
        <v>4389</v>
      </c>
      <c r="AA107" s="75"/>
      <c r="AB107" s="75"/>
      <c r="AC107" s="79" t="n">
        <v>4389</v>
      </c>
      <c r="AD107" s="75"/>
      <c r="AE107" s="75"/>
      <c r="AF107" s="75"/>
      <c r="AG107" s="75"/>
      <c r="AH107" s="75"/>
      <c r="AI107" s="75"/>
      <c r="AJ107" s="75"/>
      <c r="AK107" s="75"/>
      <c r="AL107" s="76"/>
      <c r="AM107" s="56" t="s">
        <v>20</v>
      </c>
      <c r="AN107" s="80" t="n">
        <f aca="false">IF(L107=0,0,Z107/L107)</f>
        <v>0.402150667685558</v>
      </c>
      <c r="AO107" s="81" t="str">
        <f aca="false">IF(AN107="","",IF(AN107&gt;=0.9,"🟢",IF(AN107&gt;=0.7,"🟡",IF(AN107&gt;=0.5,"🟠","🔴"))))</f>
        <v>🔴</v>
      </c>
      <c r="AP107" s="82" t="n">
        <f aca="false">IF(L107=0,0,L107-Z107)</f>
        <v>6524.82</v>
      </c>
      <c r="AQ107" s="83" t="n">
        <f aca="false">IF(AP107=0,"",RANK(AP107,AP$4:AP$503,0))</f>
        <v>93</v>
      </c>
      <c r="AR107" s="84" t="s">
        <v>20</v>
      </c>
      <c r="AS107" s="141"/>
      <c r="AT107" s="141"/>
      <c r="AU107" s="141"/>
      <c r="AV107" s="141"/>
      <c r="AW107" s="141"/>
      <c r="AX107" s="141"/>
      <c r="AY107" s="142"/>
      <c r="AZ107" s="142"/>
      <c r="BA107" s="56" t="s">
        <v>20</v>
      </c>
      <c r="BB107" s="91" t="n">
        <f aca="false">SUM(L$4:L$503)/COUNTA(A$4:A$503)</f>
        <v>9494.39992</v>
      </c>
      <c r="BC107" s="92" t="n">
        <f aca="false">SUM(M$4:M$503)/COUNTA(A$4:A$503)</f>
        <v>667.20008</v>
      </c>
      <c r="BD107" s="92" t="n">
        <f aca="false">SUM(N$4:N$503)/COUNTA(A$4:A$503)</f>
        <v>697.19996</v>
      </c>
      <c r="BE107" s="92" t="n">
        <f aca="false">SUM(O$4:O$503)/COUNTA(A$4:A$503)</f>
        <v>713.9999</v>
      </c>
      <c r="BF107" s="92" t="n">
        <f aca="false">SUM(P$4:P$503)/COUNTA(A$4:A$503)</f>
        <v>732.59984</v>
      </c>
      <c r="BG107" s="92" t="n">
        <f aca="false">SUM(Q$4:Q$503)/COUNTA(A$4:A$503)</f>
        <v>756.59992</v>
      </c>
      <c r="BH107" s="92" t="n">
        <f aca="false">SUM(R$4:R$503)/COUNTA(A$4:A$503)</f>
        <v>776.40004</v>
      </c>
      <c r="BI107" s="92" t="n">
        <f aca="false">SUM(S$4:S$503)/COUNTA(A$4:A$503)</f>
        <v>806.40012</v>
      </c>
      <c r="BJ107" s="92" t="n">
        <f aca="false">SUM(T$4:T$503)/COUNTA(A$4:A$503)</f>
        <v>826.1999</v>
      </c>
      <c r="BK107" s="92" t="n">
        <f aca="false">SUM(U$4:U$503)/COUNTA(A$4:A$503)</f>
        <v>844.8002</v>
      </c>
      <c r="BL107" s="92" t="n">
        <f aca="false">SUM(V$4:V$503)/COUNTA(A$4:A$503)</f>
        <v>865.7998</v>
      </c>
      <c r="BM107" s="92" t="n">
        <f aca="false">SUM(W$4:W$503)/COUNTA(A$4:A$503)</f>
        <v>888.59982</v>
      </c>
      <c r="BN107" s="93" t="n">
        <f aca="false">SUM(X$4:X$503)/COUNTA(A$4:A$503)</f>
        <v>918.60034</v>
      </c>
      <c r="BO107" s="94" t="s">
        <v>20</v>
      </c>
      <c r="BP107" s="91" t="n">
        <f aca="false">IF(Z107&gt;=BB107,0,IFERROR(BB107+(SUMPRODUCT((Z$4:Z$503&gt;=BB$4:BB$503)*(Z$4:Z$503-BB$4:BB$503))/MAX(1,COUNTIF(Z$4:Z$503,"&lt;"&amp;BB107+0.01))),BB107))</f>
        <v>10695.5432177778</v>
      </c>
      <c r="BQ107" s="92" t="n">
        <f aca="false">IF(AA107&gt;=BC107,0,IFERROR(BC107+SUMPRODUCT((AA$4:AA$503&gt;=BC$4:BC$503)*(AA$4:AA$503-BC$4:BC$503))/MAX(1,COUNTIF(AA$4:AA$503,"&lt;"&amp;BC107+0.01)),BC107))</f>
        <v>2238.46589176471</v>
      </c>
      <c r="BR107" s="92" t="n">
        <f aca="false">IF(AB107&gt;=BD107,0,IFERROR(BD107+SUMPRODUCT((AB$4:AB$503&gt;=BD$4:BD$503)*(AB$4:AB$503-BD$4:BD$503))/MAX(1,COUNTIF(AB$4:AB$503,"&lt;"&amp;BD107+0.01)),BD107))</f>
        <v>3335.2938</v>
      </c>
      <c r="BS107" s="92" t="n">
        <f aca="false">IF(AC107&gt;=BE107,0,IFERROR(BE107+SUMPRODUCT((AC$4:AC$503&gt;=BE$4:BE$503)*(AC$4:AC$503-BE$4:BE$503))/MAX(1,COUNTIF(AC$4:AC$503,"&lt;"&amp;BE107+0.01)),BE107))</f>
        <v>0</v>
      </c>
      <c r="BT107" s="92" t="n">
        <f aca="false">IF(AD107&gt;=BF107,0,IFERROR(BF107+SUMPRODUCT((AD$4:AD$503&gt;=BF$4:BF$503)*(AD$4:AD$503-BF$4:BF$503))/MAX(1,COUNTIF(AD$4:AD$503,"&lt;"&amp;BF107+0.01)),BF107))</f>
        <v>11354.35411</v>
      </c>
      <c r="BU107" s="92" t="n">
        <f aca="false">IF(AE107&gt;=BG107,0,IFERROR(BG107+SUMPRODUCT((AE$4:AE$503&gt;=BG$4:BG$503)*(AE$4:AE$503-BG$4:BG$503))/MAX(1,COUNTIF(AE$4:AE$503,"&lt;"&amp;BG107+0.01)),BG107))</f>
        <v>7704.85920380952</v>
      </c>
      <c r="BV107" s="92" t="n">
        <f aca="false">IF(AF107&gt;=BH107,0,IFERROR(BH107+SUMPRODUCT((AF$4:AF$503&gt;=BH$4:BH$503)*(AF$4:AF$503-BH$4:BH$503))/MAX(1,COUNTIF(AF$4:AF$503,"&lt;"&amp;BH107+0.01)),BH107))</f>
        <v>9942.6503831579</v>
      </c>
      <c r="BW107" s="92" t="n">
        <f aca="false">IF(AG107&gt;=BI107,0,IFERROR(BI107+SUMPRODUCT((AG$4:AG$503&gt;=BI$4:BI$503)*(AG$4:AG$503-BI$4:BI$503))/MAX(1,COUNTIF(AG$4:AG$503,"&lt;"&amp;BI107+0.01)),BI107))</f>
        <v>9142.15870461538</v>
      </c>
      <c r="BX107" s="92" t="n">
        <f aca="false">IF(AH107&gt;=BJ107,0,IFERROR(BJ107+SUMPRODUCT((AH$4:AH$503&gt;=BJ$4:BJ$503)*(AH$4:AH$503-BJ$4:BJ$503))/MAX(1,COUNTIF(AH$4:AH$503,"&lt;"&amp;BJ107+0.01)),BJ107))</f>
        <v>5621.50263448276</v>
      </c>
      <c r="BY107" s="92" t="n">
        <f aca="false">IF(AI107&gt;=BK107,0,IFERROR(BK107+SUMPRODUCT((AI$4:AI$503&gt;=BK$4:BK$503)*(AI$4:AI$503-BK$4:BK$503))/MAX(1,COUNTIF(AI$4:AI$503,"&lt;"&amp;BK107+0.01)),BK107))</f>
        <v>7878.25652380952</v>
      </c>
      <c r="BZ107" s="92" t="n">
        <f aca="false">IF(AJ107&gt;=BL107,0,IFERROR(BL107+SUMPRODUCT((AJ$4:AJ$503&gt;=BL$4:BL$503)*(AJ$4:AJ$503-BL$4:BL$503))/MAX(1,COUNTIF(AJ$4:AJ$503,"&lt;"&amp;BL107+0.01)),BL107))</f>
        <v>6710.03292307692</v>
      </c>
      <c r="CA107" s="92" t="n">
        <f aca="false">IF(AK107&gt;=BM107,0,IFERROR(BM107+SUMPRODUCT((AK$4:AK$503&gt;=BM$4:BM$503)*(AK$4:AK$503-BM$4:BM$503))/MAX(1,COUNTIF(AK$4:AK$503,"&lt;"&amp;BM107+0.01)),BM107))</f>
        <v>7314.89836842105</v>
      </c>
      <c r="CB107" s="93" t="n">
        <f aca="false">IF(AL107&gt;=BN107,0,IFERROR(BN107+SUMPRODUCT((AL$4:AL$503&gt;=BN$4:BN$503)*(AL$4:AL$503-BN$4:BN$503))/MAX(1,COUNTIF(AL$4:AL$503,"&lt;"&amp;BN107+0.01)),BN107))</f>
        <v>3597.2614925</v>
      </c>
      <c r="CC107" s="95" t="str">
        <f aca="false">IF(AO107="🟢","VERDE",IF(AO107="🟡","AMARELO",IF(AO107="🟠","VERMELHO",IF(AO107="🔴","VERMELHO","ROXO"))))</f>
        <v>VERMELHO</v>
      </c>
      <c r="CD107" s="96" t="s">
        <v>103</v>
      </c>
      <c r="CE107" s="96" t="s">
        <v>104</v>
      </c>
    </row>
    <row r="108" customFormat="false" ht="14.25" hidden="false" customHeight="true" outlineLevel="0" collapsed="false">
      <c r="A108" s="65" t="s">
        <v>356</v>
      </c>
      <c r="B108" s="66" t="s">
        <v>357</v>
      </c>
      <c r="C108" s="66" t="s">
        <v>120</v>
      </c>
      <c r="D108" s="68" t="s">
        <v>184</v>
      </c>
      <c r="E108" s="69" t="s">
        <v>260</v>
      </c>
      <c r="F108" s="70" t="n">
        <f aca="false">IFERROR(VLOOKUP(C108,$AS$3:$AT$10,2,FALSE()),IFERROR(VLOOKUP(C108,$AS$15:$AT$22,2,FALSE()),""))</f>
        <v>4</v>
      </c>
      <c r="G108" s="71" t="n">
        <f aca="false">IFERROR(VLOOKUP(C108,$AS$3:$AX$10,6,FALSE()),IFERROR(VLOOKUP(C108,$AS$15:$AX$22,6,FALSE()),""))</f>
        <v>0.520132792961821</v>
      </c>
      <c r="H108" s="72" t="str">
        <f aca="false">IFERROR(VLOOKUP(C108,$AS$3:$AY$10,7,FALSE()),IFERROR(VLOOKUP(C108,$AS$15:$AY$22,7,FALSE()),""))</f>
        <v>🟡 AMARELO</v>
      </c>
      <c r="I108" s="72" t="str">
        <f aca="false">IFERROR(VLOOKUP(C108,$AS$3:$AZ$10,8,FALSE()),IFERROR(VLOOKUP(C108,$AS$15:$AZ$22,8,FALSE()),""))</f>
        <v>Sell Out</v>
      </c>
      <c r="J108" s="73"/>
      <c r="K108" s="69" t="s">
        <v>113</v>
      </c>
      <c r="L108" s="74" t="n">
        <v>10835.58</v>
      </c>
      <c r="M108" s="75" t="n">
        <v>761.45</v>
      </c>
      <c r="N108" s="75" t="n">
        <v>795.69</v>
      </c>
      <c r="O108" s="75" t="n">
        <v>814.86</v>
      </c>
      <c r="P108" s="75" t="n">
        <v>836.09</v>
      </c>
      <c r="Q108" s="75" t="n">
        <v>863.48</v>
      </c>
      <c r="R108" s="75" t="n">
        <v>886.07</v>
      </c>
      <c r="S108" s="75" t="n">
        <v>920.31</v>
      </c>
      <c r="T108" s="75" t="n">
        <v>942.91</v>
      </c>
      <c r="U108" s="75" t="n">
        <v>964.14</v>
      </c>
      <c r="V108" s="75" t="n">
        <v>988.1</v>
      </c>
      <c r="W108" s="75" t="n">
        <v>1014.12</v>
      </c>
      <c r="X108" s="76" t="n">
        <v>1048.36</v>
      </c>
      <c r="Y108" s="77" t="s">
        <v>20</v>
      </c>
      <c r="Z108" s="78" t="n">
        <f aca="false">SUM(AA108:AL108)</f>
        <v>6201.46</v>
      </c>
      <c r="AA108" s="75"/>
      <c r="AB108" s="75"/>
      <c r="AC108" s="75"/>
      <c r="AD108" s="75"/>
      <c r="AE108" s="75"/>
      <c r="AF108" s="79" t="n">
        <v>1498.19</v>
      </c>
      <c r="AG108" s="75"/>
      <c r="AH108" s="75"/>
      <c r="AI108" s="79" t="n">
        <v>2829.97</v>
      </c>
      <c r="AJ108" s="75"/>
      <c r="AK108" s="75"/>
      <c r="AL108" s="107" t="n">
        <v>1873.3</v>
      </c>
      <c r="AM108" s="56" t="s">
        <v>20</v>
      </c>
      <c r="AN108" s="80" t="n">
        <f aca="false">IF(L108=0,0,Z108/L108)</f>
        <v>0.572323770393463</v>
      </c>
      <c r="AO108" s="81" t="str">
        <f aca="false">IF(AN108="","",IF(AN108&gt;=0.9,"🟢",IF(AN108&gt;=0.7,"🟡",IF(AN108&gt;=0.5,"🟠","🔴"))))</f>
        <v>🟠</v>
      </c>
      <c r="AP108" s="82" t="n">
        <f aca="false">IF(L108=0,0,L108-Z108)</f>
        <v>4634.12</v>
      </c>
      <c r="AQ108" s="83" t="n">
        <f aca="false">IF(AP108=0,"",RANK(AP108,AP$4:AP$503,0))</f>
        <v>147</v>
      </c>
      <c r="AR108" s="84" t="s">
        <v>20</v>
      </c>
      <c r="AS108" s="141"/>
      <c r="AT108" s="141"/>
      <c r="AU108" s="141"/>
      <c r="AV108" s="141"/>
      <c r="AW108" s="141"/>
      <c r="AX108" s="141"/>
      <c r="AY108" s="142"/>
      <c r="AZ108" s="142"/>
      <c r="BA108" s="56" t="s">
        <v>20</v>
      </c>
      <c r="BB108" s="91" t="n">
        <f aca="false">SUM(L$4:L$503)/COUNTA(A$4:A$503)</f>
        <v>9494.39992</v>
      </c>
      <c r="BC108" s="92" t="n">
        <f aca="false">SUM(M$4:M$503)/COUNTA(A$4:A$503)</f>
        <v>667.20008</v>
      </c>
      <c r="BD108" s="92" t="n">
        <f aca="false">SUM(N$4:N$503)/COUNTA(A$4:A$503)</f>
        <v>697.19996</v>
      </c>
      <c r="BE108" s="92" t="n">
        <f aca="false">SUM(O$4:O$503)/COUNTA(A$4:A$503)</f>
        <v>713.9999</v>
      </c>
      <c r="BF108" s="92" t="n">
        <f aca="false">SUM(P$4:P$503)/COUNTA(A$4:A$503)</f>
        <v>732.59984</v>
      </c>
      <c r="BG108" s="92" t="n">
        <f aca="false">SUM(Q$4:Q$503)/COUNTA(A$4:A$503)</f>
        <v>756.59992</v>
      </c>
      <c r="BH108" s="92" t="n">
        <f aca="false">SUM(R$4:R$503)/COUNTA(A$4:A$503)</f>
        <v>776.40004</v>
      </c>
      <c r="BI108" s="92" t="n">
        <f aca="false">SUM(S$4:S$503)/COUNTA(A$4:A$503)</f>
        <v>806.40012</v>
      </c>
      <c r="BJ108" s="92" t="n">
        <f aca="false">SUM(T$4:T$503)/COUNTA(A$4:A$503)</f>
        <v>826.1999</v>
      </c>
      <c r="BK108" s="92" t="n">
        <f aca="false">SUM(U$4:U$503)/COUNTA(A$4:A$503)</f>
        <v>844.8002</v>
      </c>
      <c r="BL108" s="92" t="n">
        <f aca="false">SUM(V$4:V$503)/COUNTA(A$4:A$503)</f>
        <v>865.7998</v>
      </c>
      <c r="BM108" s="92" t="n">
        <f aca="false">SUM(W$4:W$503)/COUNTA(A$4:A$503)</f>
        <v>888.59982</v>
      </c>
      <c r="BN108" s="93" t="n">
        <f aca="false">SUM(X$4:X$503)/COUNTA(A$4:A$503)</f>
        <v>918.60034</v>
      </c>
      <c r="BO108" s="94" t="s">
        <v>20</v>
      </c>
      <c r="BP108" s="91" t="n">
        <f aca="false">IF(Z108&gt;=BB108,0,IFERROR(BB108+(SUMPRODUCT((Z$4:Z$503&gt;=BB$4:BB$503)*(Z$4:Z$503-BB$4:BB$503))/MAX(1,COUNTIF(Z$4:Z$503,"&lt;"&amp;BB108+0.01))),BB108))</f>
        <v>10695.5432177778</v>
      </c>
      <c r="BQ108" s="92" t="n">
        <f aca="false">IF(AA108&gt;=BC108,0,IFERROR(BC108+SUMPRODUCT((AA$4:AA$503&gt;=BC$4:BC$503)*(AA$4:AA$503-BC$4:BC$503))/MAX(1,COUNTIF(AA$4:AA$503,"&lt;"&amp;BC108+0.01)),BC108))</f>
        <v>2238.46589176471</v>
      </c>
      <c r="BR108" s="92" t="n">
        <f aca="false">IF(AB108&gt;=BD108,0,IFERROR(BD108+SUMPRODUCT((AB$4:AB$503&gt;=BD$4:BD$503)*(AB$4:AB$503-BD$4:BD$503))/MAX(1,COUNTIF(AB$4:AB$503,"&lt;"&amp;BD108+0.01)),BD108))</f>
        <v>3335.2938</v>
      </c>
      <c r="BS108" s="92" t="n">
        <f aca="false">IF(AC108&gt;=BE108,0,IFERROR(BE108+SUMPRODUCT((AC$4:AC$503&gt;=BE$4:BE$503)*(AC$4:AC$503-BE$4:BE$503))/MAX(1,COUNTIF(AC$4:AC$503,"&lt;"&amp;BE108+0.01)),BE108))</f>
        <v>6188.73352</v>
      </c>
      <c r="BT108" s="92" t="n">
        <f aca="false">IF(AD108&gt;=BF108,0,IFERROR(BF108+SUMPRODUCT((AD$4:AD$503&gt;=BF$4:BF$503)*(AD$4:AD$503-BF$4:BF$503))/MAX(1,COUNTIF(AD$4:AD$503,"&lt;"&amp;BF108+0.01)),BF108))</f>
        <v>11354.35411</v>
      </c>
      <c r="BU108" s="92" t="n">
        <f aca="false">IF(AE108&gt;=BG108,0,IFERROR(BG108+SUMPRODUCT((AE$4:AE$503&gt;=BG$4:BG$503)*(AE$4:AE$503-BG$4:BG$503))/MAX(1,COUNTIF(AE$4:AE$503,"&lt;"&amp;BG108+0.01)),BG108))</f>
        <v>7704.85920380952</v>
      </c>
      <c r="BV108" s="92" t="n">
        <f aca="false">IF(AF108&gt;=BH108,0,IFERROR(BH108+SUMPRODUCT((AF$4:AF$503&gt;=BH$4:BH$503)*(AF$4:AF$503-BH$4:BH$503))/MAX(1,COUNTIF(AF$4:AF$503,"&lt;"&amp;BH108+0.01)),BH108))</f>
        <v>0</v>
      </c>
      <c r="BW108" s="92" t="n">
        <f aca="false">IF(AG108&gt;=BI108,0,IFERROR(BI108+SUMPRODUCT((AG$4:AG$503&gt;=BI$4:BI$503)*(AG$4:AG$503-BI$4:BI$503))/MAX(1,COUNTIF(AG$4:AG$503,"&lt;"&amp;BI108+0.01)),BI108))</f>
        <v>9142.15870461538</v>
      </c>
      <c r="BX108" s="92" t="n">
        <f aca="false">IF(AH108&gt;=BJ108,0,IFERROR(BJ108+SUMPRODUCT((AH$4:AH$503&gt;=BJ$4:BJ$503)*(AH$4:AH$503-BJ$4:BJ$503))/MAX(1,COUNTIF(AH$4:AH$503,"&lt;"&amp;BJ108+0.01)),BJ108))</f>
        <v>5621.50263448276</v>
      </c>
      <c r="BY108" s="92" t="n">
        <f aca="false">IF(AI108&gt;=BK108,0,IFERROR(BK108+SUMPRODUCT((AI$4:AI$503&gt;=BK$4:BK$503)*(AI$4:AI$503-BK$4:BK$503))/MAX(1,COUNTIF(AI$4:AI$503,"&lt;"&amp;BK108+0.01)),BK108))</f>
        <v>0</v>
      </c>
      <c r="BZ108" s="92" t="n">
        <f aca="false">IF(AJ108&gt;=BL108,0,IFERROR(BL108+SUMPRODUCT((AJ$4:AJ$503&gt;=BL$4:BL$503)*(AJ$4:AJ$503-BL$4:BL$503))/MAX(1,COUNTIF(AJ$4:AJ$503,"&lt;"&amp;BL108+0.01)),BL108))</f>
        <v>6710.03292307692</v>
      </c>
      <c r="CA108" s="92" t="n">
        <f aca="false">IF(AK108&gt;=BM108,0,IFERROR(BM108+SUMPRODUCT((AK$4:AK$503&gt;=BM$4:BM$503)*(AK$4:AK$503-BM$4:BM$503))/MAX(1,COUNTIF(AK$4:AK$503,"&lt;"&amp;BM108+0.01)),BM108))</f>
        <v>7314.89836842105</v>
      </c>
      <c r="CB108" s="93" t="n">
        <f aca="false">IF(AL108&gt;=BN108,0,IFERROR(BN108+SUMPRODUCT((AL$4:AL$503&gt;=BN$4:BN$503)*(AL$4:AL$503-BN$4:BN$503))/MAX(1,COUNTIF(AL$4:AL$503,"&lt;"&amp;BN108+0.01)),BN108))</f>
        <v>0</v>
      </c>
      <c r="CC108" s="95" t="str">
        <f aca="false">IF(AO108="🟢","VERDE",IF(AO108="🟡","AMARELO",IF(AO108="🟠","VERMELHO",IF(AO108="🔴","VERMELHO","ROXO"))))</f>
        <v>VERMELHO</v>
      </c>
      <c r="CD108" s="96" t="s">
        <v>176</v>
      </c>
      <c r="CE108" s="96" t="s">
        <v>120</v>
      </c>
    </row>
    <row r="109" customFormat="false" ht="14.25" hidden="false" customHeight="true" outlineLevel="0" collapsed="false">
      <c r="A109" s="65" t="s">
        <v>358</v>
      </c>
      <c r="B109" s="66" t="s">
        <v>359</v>
      </c>
      <c r="C109" s="67" t="s">
        <v>113</v>
      </c>
      <c r="D109" s="68" t="s">
        <v>100</v>
      </c>
      <c r="E109" s="69" t="s">
        <v>260</v>
      </c>
      <c r="F109" s="70" t="n">
        <f aca="false">IFERROR(VLOOKUP(C109,$AS$3:$AT$10,2,FALSE()),IFERROR(VLOOKUP(C109,$AS$15:$AT$22,2,FALSE()),""))</f>
        <v>49</v>
      </c>
      <c r="G109" s="71" t="n">
        <f aca="false">IFERROR(VLOOKUP(C109,$AS$3:$AX$10,6,FALSE()),IFERROR(VLOOKUP(C109,$AS$15:$AX$22,6,FALSE()),""))</f>
        <v>0.463965086137302</v>
      </c>
      <c r="H109" s="72" t="str">
        <f aca="false">IFERROR(VLOOKUP(C109,$AS$3:$AY$10,7,FALSE()),IFERROR(VLOOKUP(C109,$AS$15:$AY$22,7,FALSE()),""))</f>
        <v>🟡 AMARELO</v>
      </c>
      <c r="I109" s="72" t="str">
        <f aca="false">IFERROR(VLOOKUP(C109,$AS$3:$AZ$10,8,FALSE()),IFERROR(VLOOKUP(C109,$AS$15:$AZ$22,8,FALSE()),""))</f>
        <v>Sell Out</v>
      </c>
      <c r="J109" s="73"/>
      <c r="K109" s="69" t="s">
        <v>113</v>
      </c>
      <c r="L109" s="74" t="n">
        <v>10730.3</v>
      </c>
      <c r="M109" s="75" t="n">
        <v>754.05</v>
      </c>
      <c r="N109" s="75" t="n">
        <v>787.96</v>
      </c>
      <c r="O109" s="75" t="n">
        <v>806.94</v>
      </c>
      <c r="P109" s="75" t="n">
        <v>827.96</v>
      </c>
      <c r="Q109" s="75" t="n">
        <v>855.09</v>
      </c>
      <c r="R109" s="75" t="n">
        <v>877.46</v>
      </c>
      <c r="S109" s="75" t="n">
        <v>911.37</v>
      </c>
      <c r="T109" s="75" t="n">
        <v>933.75</v>
      </c>
      <c r="U109" s="75" t="n">
        <v>954.77</v>
      </c>
      <c r="V109" s="75" t="n">
        <v>978.5</v>
      </c>
      <c r="W109" s="75" t="n">
        <v>1004.27</v>
      </c>
      <c r="X109" s="76" t="n">
        <v>1038.18</v>
      </c>
      <c r="Y109" s="77" t="s">
        <v>20</v>
      </c>
      <c r="Z109" s="78" t="n">
        <f aca="false">SUM(AA109:AL109)</f>
        <v>5006.82</v>
      </c>
      <c r="AA109" s="75"/>
      <c r="AB109" s="75"/>
      <c r="AC109" s="75"/>
      <c r="AD109" s="79" t="n">
        <v>2237.64</v>
      </c>
      <c r="AE109" s="75"/>
      <c r="AF109" s="79" t="n">
        <v>1499.33</v>
      </c>
      <c r="AG109" s="75"/>
      <c r="AH109" s="75"/>
      <c r="AI109" s="79" t="n">
        <v>1269.85</v>
      </c>
      <c r="AJ109" s="75"/>
      <c r="AK109" s="75"/>
      <c r="AL109" s="76"/>
      <c r="AM109" s="56" t="s">
        <v>20</v>
      </c>
      <c r="AN109" s="80" t="n">
        <f aca="false">IF(L109=0,0,Z109/L109)</f>
        <v>0.466605779894318</v>
      </c>
      <c r="AO109" s="81" t="str">
        <f aca="false">IF(AN109="","",IF(AN109&gt;=0.9,"🟢",IF(AN109&gt;=0.7,"🟡",IF(AN109&gt;=0.5,"🟠","🔴"))))</f>
        <v>🔴</v>
      </c>
      <c r="AP109" s="82" t="n">
        <f aca="false">IF(L109=0,0,L109-Z109)</f>
        <v>5723.48</v>
      </c>
      <c r="AQ109" s="83" t="n">
        <f aca="false">IF(AP109=0,"",RANK(AP109,AP$4:AP$503,0))</f>
        <v>109</v>
      </c>
      <c r="AR109" s="84" t="s">
        <v>20</v>
      </c>
      <c r="AS109" s="141"/>
      <c r="AT109" s="141"/>
      <c r="AU109" s="141"/>
      <c r="AV109" s="141"/>
      <c r="AW109" s="141"/>
      <c r="AX109" s="141"/>
      <c r="AY109" s="142"/>
      <c r="AZ109" s="142"/>
      <c r="BA109" s="56" t="s">
        <v>20</v>
      </c>
      <c r="BB109" s="91" t="n">
        <f aca="false">SUM(L$4:L$503)/COUNTA(A$4:A$503)</f>
        <v>9494.39992</v>
      </c>
      <c r="BC109" s="92" t="n">
        <f aca="false">SUM(M$4:M$503)/COUNTA(A$4:A$503)</f>
        <v>667.20008</v>
      </c>
      <c r="BD109" s="92" t="n">
        <f aca="false">SUM(N$4:N$503)/COUNTA(A$4:A$503)</f>
        <v>697.19996</v>
      </c>
      <c r="BE109" s="92" t="n">
        <f aca="false">SUM(O$4:O$503)/COUNTA(A$4:A$503)</f>
        <v>713.9999</v>
      </c>
      <c r="BF109" s="92" t="n">
        <f aca="false">SUM(P$4:P$503)/COUNTA(A$4:A$503)</f>
        <v>732.59984</v>
      </c>
      <c r="BG109" s="92" t="n">
        <f aca="false">SUM(Q$4:Q$503)/COUNTA(A$4:A$503)</f>
        <v>756.59992</v>
      </c>
      <c r="BH109" s="92" t="n">
        <f aca="false">SUM(R$4:R$503)/COUNTA(A$4:A$503)</f>
        <v>776.40004</v>
      </c>
      <c r="BI109" s="92" t="n">
        <f aca="false">SUM(S$4:S$503)/COUNTA(A$4:A$503)</f>
        <v>806.40012</v>
      </c>
      <c r="BJ109" s="92" t="n">
        <f aca="false">SUM(T$4:T$503)/COUNTA(A$4:A$503)</f>
        <v>826.1999</v>
      </c>
      <c r="BK109" s="92" t="n">
        <f aca="false">SUM(U$4:U$503)/COUNTA(A$4:A$503)</f>
        <v>844.8002</v>
      </c>
      <c r="BL109" s="92" t="n">
        <f aca="false">SUM(V$4:V$503)/COUNTA(A$4:A$503)</f>
        <v>865.7998</v>
      </c>
      <c r="BM109" s="92" t="n">
        <f aca="false">SUM(W$4:W$503)/COUNTA(A$4:A$503)</f>
        <v>888.59982</v>
      </c>
      <c r="BN109" s="93" t="n">
        <f aca="false">SUM(X$4:X$503)/COUNTA(A$4:A$503)</f>
        <v>918.60034</v>
      </c>
      <c r="BO109" s="94" t="s">
        <v>20</v>
      </c>
      <c r="BP109" s="91" t="n">
        <f aca="false">IF(Z109&gt;=BB109,0,IFERROR(BB109+(SUMPRODUCT((Z$4:Z$503&gt;=BB$4:BB$503)*(Z$4:Z$503-BB$4:BB$503))/MAX(1,COUNTIF(Z$4:Z$503,"&lt;"&amp;BB109+0.01))),BB109))</f>
        <v>10695.5432177778</v>
      </c>
      <c r="BQ109" s="92" t="n">
        <f aca="false">IF(AA109&gt;=BC109,0,IFERROR(BC109+SUMPRODUCT((AA$4:AA$503&gt;=BC$4:BC$503)*(AA$4:AA$503-BC$4:BC$503))/MAX(1,COUNTIF(AA$4:AA$503,"&lt;"&amp;BC109+0.01)),BC109))</f>
        <v>2238.46589176471</v>
      </c>
      <c r="BR109" s="92" t="n">
        <f aca="false">IF(AB109&gt;=BD109,0,IFERROR(BD109+SUMPRODUCT((AB$4:AB$503&gt;=BD$4:BD$503)*(AB$4:AB$503-BD$4:BD$503))/MAX(1,COUNTIF(AB$4:AB$503,"&lt;"&amp;BD109+0.01)),BD109))</f>
        <v>3335.2938</v>
      </c>
      <c r="BS109" s="92" t="n">
        <f aca="false">IF(AC109&gt;=BE109,0,IFERROR(BE109+SUMPRODUCT((AC$4:AC$503&gt;=BE$4:BE$503)*(AC$4:AC$503-BE$4:BE$503))/MAX(1,COUNTIF(AC$4:AC$503,"&lt;"&amp;BE109+0.01)),BE109))</f>
        <v>6188.73352</v>
      </c>
      <c r="BT109" s="92" t="n">
        <f aca="false">IF(AD109&gt;=BF109,0,IFERROR(BF109+SUMPRODUCT((AD$4:AD$503&gt;=BF$4:BF$503)*(AD$4:AD$503-BF$4:BF$503))/MAX(1,COUNTIF(AD$4:AD$503,"&lt;"&amp;BF109+0.01)),BF109))</f>
        <v>0</v>
      </c>
      <c r="BU109" s="92" t="n">
        <f aca="false">IF(AE109&gt;=BG109,0,IFERROR(BG109+SUMPRODUCT((AE$4:AE$503&gt;=BG$4:BG$503)*(AE$4:AE$503-BG$4:BG$503))/MAX(1,COUNTIF(AE$4:AE$503,"&lt;"&amp;BG109+0.01)),BG109))</f>
        <v>7704.85920380952</v>
      </c>
      <c r="BV109" s="92" t="n">
        <f aca="false">IF(AF109&gt;=BH109,0,IFERROR(BH109+SUMPRODUCT((AF$4:AF$503&gt;=BH$4:BH$503)*(AF$4:AF$503-BH$4:BH$503))/MAX(1,COUNTIF(AF$4:AF$503,"&lt;"&amp;BH109+0.01)),BH109))</f>
        <v>0</v>
      </c>
      <c r="BW109" s="92" t="n">
        <f aca="false">IF(AG109&gt;=BI109,0,IFERROR(BI109+SUMPRODUCT((AG$4:AG$503&gt;=BI$4:BI$503)*(AG$4:AG$503-BI$4:BI$503))/MAX(1,COUNTIF(AG$4:AG$503,"&lt;"&amp;BI109+0.01)),BI109))</f>
        <v>9142.15870461538</v>
      </c>
      <c r="BX109" s="92" t="n">
        <f aca="false">IF(AH109&gt;=BJ109,0,IFERROR(BJ109+SUMPRODUCT((AH$4:AH$503&gt;=BJ$4:BJ$503)*(AH$4:AH$503-BJ$4:BJ$503))/MAX(1,COUNTIF(AH$4:AH$503,"&lt;"&amp;BJ109+0.01)),BJ109))</f>
        <v>5621.50263448276</v>
      </c>
      <c r="BY109" s="92" t="n">
        <f aca="false">IF(AI109&gt;=BK109,0,IFERROR(BK109+SUMPRODUCT((AI$4:AI$503&gt;=BK$4:BK$503)*(AI$4:AI$503-BK$4:BK$503))/MAX(1,COUNTIF(AI$4:AI$503,"&lt;"&amp;BK109+0.01)),BK109))</f>
        <v>0</v>
      </c>
      <c r="BZ109" s="92" t="n">
        <f aca="false">IF(AJ109&gt;=BL109,0,IFERROR(BL109+SUMPRODUCT((AJ$4:AJ$503&gt;=BL$4:BL$503)*(AJ$4:AJ$503-BL$4:BL$503))/MAX(1,COUNTIF(AJ$4:AJ$503,"&lt;"&amp;BL109+0.01)),BL109))</f>
        <v>6710.03292307692</v>
      </c>
      <c r="CA109" s="92" t="n">
        <f aca="false">IF(AK109&gt;=BM109,0,IFERROR(BM109+SUMPRODUCT((AK$4:AK$503&gt;=BM$4:BM$503)*(AK$4:AK$503-BM$4:BM$503))/MAX(1,COUNTIF(AK$4:AK$503,"&lt;"&amp;BM109+0.01)),BM109))</f>
        <v>7314.89836842105</v>
      </c>
      <c r="CB109" s="93" t="n">
        <f aca="false">IF(AL109&gt;=BN109,0,IFERROR(BN109+SUMPRODUCT((AL$4:AL$503&gt;=BN$4:BN$503)*(AL$4:AL$503-BN$4:BN$503))/MAX(1,COUNTIF(AL$4:AL$503,"&lt;"&amp;BN109+0.01)),BN109))</f>
        <v>3597.2614925</v>
      </c>
      <c r="CC109" s="95" t="str">
        <f aca="false">IF(AO109="🟢","VERDE",IF(AO109="🟡","AMARELO",IF(AO109="🟠","VERMELHO",IF(AO109="🔴","VERMELHO","ROXO"))))</f>
        <v>VERMELHO</v>
      </c>
      <c r="CD109" s="96" t="s">
        <v>103</v>
      </c>
      <c r="CE109" s="96" t="s">
        <v>104</v>
      </c>
    </row>
    <row r="110" customFormat="false" ht="14.25" hidden="false" customHeight="true" outlineLevel="0" collapsed="false">
      <c r="A110" s="65" t="s">
        <v>360</v>
      </c>
      <c r="B110" s="66" t="s">
        <v>361</v>
      </c>
      <c r="C110" s="67" t="s">
        <v>107</v>
      </c>
      <c r="D110" s="68" t="s">
        <v>108</v>
      </c>
      <c r="E110" s="69" t="s">
        <v>109</v>
      </c>
      <c r="F110" s="70" t="n">
        <f aca="false">IFERROR(VLOOKUP(C110,$AS$3:$AT$10,2,FALSE()),IFERROR(VLOOKUP(C110,$AS$15:$AT$22,2,FALSE()),""))</f>
        <v>132</v>
      </c>
      <c r="G110" s="71" t="n">
        <f aca="false">IFERROR(VLOOKUP(C110,$AS$3:$AX$10,6,FALSE()),IFERROR(VLOOKUP(C110,$AS$15:$AX$22,6,FALSE()),""))</f>
        <v>0.468190175850689</v>
      </c>
      <c r="H110" s="72" t="str">
        <f aca="false">IFERROR(VLOOKUP(C110,$AS$3:$AY$10,7,FALSE()),IFERROR(VLOOKUP(C110,$AS$15:$AY$22,7,FALSE()),""))</f>
        <v>🟡 AMARELO</v>
      </c>
      <c r="I110" s="72" t="str">
        <f aca="false">IFERROR(VLOOKUP(C110,$AS$3:$AZ$10,8,FALSE()),IFERROR(VLOOKUP(C110,$AS$15:$AZ$22,8,FALSE()),""))</f>
        <v>Sell Out</v>
      </c>
      <c r="J110" s="73"/>
      <c r="K110" s="69" t="s">
        <v>107</v>
      </c>
      <c r="L110" s="74" t="n">
        <v>10694.11</v>
      </c>
      <c r="M110" s="75" t="n">
        <v>751.51</v>
      </c>
      <c r="N110" s="75" t="n">
        <v>785.3</v>
      </c>
      <c r="O110" s="75" t="n">
        <v>804.22</v>
      </c>
      <c r="P110" s="75" t="n">
        <v>825.17</v>
      </c>
      <c r="Q110" s="75" t="n">
        <v>852.2</v>
      </c>
      <c r="R110" s="75" t="n">
        <v>874.51</v>
      </c>
      <c r="S110" s="75" t="n">
        <v>908.3</v>
      </c>
      <c r="T110" s="75" t="n">
        <v>930.6</v>
      </c>
      <c r="U110" s="75" t="n">
        <v>951.55</v>
      </c>
      <c r="V110" s="75" t="n">
        <v>975.2</v>
      </c>
      <c r="W110" s="75" t="n">
        <v>1000.88</v>
      </c>
      <c r="X110" s="76" t="n">
        <v>1034.67</v>
      </c>
      <c r="Y110" s="77" t="s">
        <v>20</v>
      </c>
      <c r="Z110" s="78" t="n">
        <f aca="false">SUM(AA110:AL110)</f>
        <v>4688.06</v>
      </c>
      <c r="AA110" s="75"/>
      <c r="AB110" s="75"/>
      <c r="AC110" s="75"/>
      <c r="AD110" s="75"/>
      <c r="AE110" s="75"/>
      <c r="AF110" s="75"/>
      <c r="AG110" s="75"/>
      <c r="AH110" s="79" t="n">
        <v>739.5</v>
      </c>
      <c r="AI110" s="79" t="n">
        <v>1745</v>
      </c>
      <c r="AJ110" s="79" t="n">
        <v>1387.48</v>
      </c>
      <c r="AK110" s="75"/>
      <c r="AL110" s="107" t="n">
        <v>816.08</v>
      </c>
      <c r="AM110" s="56" t="s">
        <v>20</v>
      </c>
      <c r="AN110" s="80" t="n">
        <f aca="false">IF(L110=0,0,Z110/L110)</f>
        <v>0.438377761216221</v>
      </c>
      <c r="AO110" s="81" t="str">
        <f aca="false">IF(AN110="","",IF(AN110&gt;=0.9,"🟢",IF(AN110&gt;=0.7,"🟡",IF(AN110&gt;=0.5,"🟠","🔴"))))</f>
        <v>🔴</v>
      </c>
      <c r="AP110" s="82" t="n">
        <f aca="false">IF(L110=0,0,L110-Z110)</f>
        <v>6006.05</v>
      </c>
      <c r="AQ110" s="83" t="n">
        <f aca="false">IF(AP110=0,"",RANK(AP110,AP$4:AP$503,0))</f>
        <v>104</v>
      </c>
      <c r="AR110" s="84" t="s">
        <v>20</v>
      </c>
      <c r="AS110" s="141"/>
      <c r="AT110" s="141"/>
      <c r="AU110" s="141"/>
      <c r="AV110" s="141"/>
      <c r="AW110" s="141"/>
      <c r="AX110" s="141"/>
      <c r="AY110" s="142"/>
      <c r="AZ110" s="142"/>
      <c r="BA110" s="56" t="s">
        <v>20</v>
      </c>
      <c r="BB110" s="91" t="n">
        <f aca="false">SUM(L$4:L$503)/COUNTA(A$4:A$503)</f>
        <v>9494.39992</v>
      </c>
      <c r="BC110" s="92" t="n">
        <f aca="false">SUM(M$4:M$503)/COUNTA(A$4:A$503)</f>
        <v>667.20008</v>
      </c>
      <c r="BD110" s="92" t="n">
        <f aca="false">SUM(N$4:N$503)/COUNTA(A$4:A$503)</f>
        <v>697.19996</v>
      </c>
      <c r="BE110" s="92" t="n">
        <f aca="false">SUM(O$4:O$503)/COUNTA(A$4:A$503)</f>
        <v>713.9999</v>
      </c>
      <c r="BF110" s="92" t="n">
        <f aca="false">SUM(P$4:P$503)/COUNTA(A$4:A$503)</f>
        <v>732.59984</v>
      </c>
      <c r="BG110" s="92" t="n">
        <f aca="false">SUM(Q$4:Q$503)/COUNTA(A$4:A$503)</f>
        <v>756.59992</v>
      </c>
      <c r="BH110" s="92" t="n">
        <f aca="false">SUM(R$4:R$503)/COUNTA(A$4:A$503)</f>
        <v>776.40004</v>
      </c>
      <c r="BI110" s="92" t="n">
        <f aca="false">SUM(S$4:S$503)/COUNTA(A$4:A$503)</f>
        <v>806.40012</v>
      </c>
      <c r="BJ110" s="92" t="n">
        <f aca="false">SUM(T$4:T$503)/COUNTA(A$4:A$503)</f>
        <v>826.1999</v>
      </c>
      <c r="BK110" s="92" t="n">
        <f aca="false">SUM(U$4:U$503)/COUNTA(A$4:A$503)</f>
        <v>844.8002</v>
      </c>
      <c r="BL110" s="92" t="n">
        <f aca="false">SUM(V$4:V$503)/COUNTA(A$4:A$503)</f>
        <v>865.7998</v>
      </c>
      <c r="BM110" s="92" t="n">
        <f aca="false">SUM(W$4:W$503)/COUNTA(A$4:A$503)</f>
        <v>888.59982</v>
      </c>
      <c r="BN110" s="93" t="n">
        <f aca="false">SUM(X$4:X$503)/COUNTA(A$4:A$503)</f>
        <v>918.60034</v>
      </c>
      <c r="BO110" s="94" t="s">
        <v>20</v>
      </c>
      <c r="BP110" s="91" t="n">
        <f aca="false">IF(Z110&gt;=BB110,0,IFERROR(BB110+(SUMPRODUCT((Z$4:Z$503&gt;=BB$4:BB$503)*(Z$4:Z$503-BB$4:BB$503))/MAX(1,COUNTIF(Z$4:Z$503,"&lt;"&amp;BB110+0.01))),BB110))</f>
        <v>10695.5432177778</v>
      </c>
      <c r="BQ110" s="92" t="n">
        <f aca="false">IF(AA110&gt;=BC110,0,IFERROR(BC110+SUMPRODUCT((AA$4:AA$503&gt;=BC$4:BC$503)*(AA$4:AA$503-BC$4:BC$503))/MAX(1,COUNTIF(AA$4:AA$503,"&lt;"&amp;BC110+0.01)),BC110))</f>
        <v>2238.46589176471</v>
      </c>
      <c r="BR110" s="92" t="n">
        <f aca="false">IF(AB110&gt;=BD110,0,IFERROR(BD110+SUMPRODUCT((AB$4:AB$503&gt;=BD$4:BD$503)*(AB$4:AB$503-BD$4:BD$503))/MAX(1,COUNTIF(AB$4:AB$503,"&lt;"&amp;BD110+0.01)),BD110))</f>
        <v>3335.2938</v>
      </c>
      <c r="BS110" s="92" t="n">
        <f aca="false">IF(AC110&gt;=BE110,0,IFERROR(BE110+SUMPRODUCT((AC$4:AC$503&gt;=BE$4:BE$503)*(AC$4:AC$503-BE$4:BE$503))/MAX(1,COUNTIF(AC$4:AC$503,"&lt;"&amp;BE110+0.01)),BE110))</f>
        <v>6188.73352</v>
      </c>
      <c r="BT110" s="92" t="n">
        <f aca="false">IF(AD110&gt;=BF110,0,IFERROR(BF110+SUMPRODUCT((AD$4:AD$503&gt;=BF$4:BF$503)*(AD$4:AD$503-BF$4:BF$503))/MAX(1,COUNTIF(AD$4:AD$503,"&lt;"&amp;BF110+0.01)),BF110))</f>
        <v>11354.35411</v>
      </c>
      <c r="BU110" s="92" t="n">
        <f aca="false">IF(AE110&gt;=BG110,0,IFERROR(BG110+SUMPRODUCT((AE$4:AE$503&gt;=BG$4:BG$503)*(AE$4:AE$503-BG$4:BG$503))/MAX(1,COUNTIF(AE$4:AE$503,"&lt;"&amp;BG110+0.01)),BG110))</f>
        <v>7704.85920380952</v>
      </c>
      <c r="BV110" s="92" t="n">
        <f aca="false">IF(AF110&gt;=BH110,0,IFERROR(BH110+SUMPRODUCT((AF$4:AF$503&gt;=BH$4:BH$503)*(AF$4:AF$503-BH$4:BH$503))/MAX(1,COUNTIF(AF$4:AF$503,"&lt;"&amp;BH110+0.01)),BH110))</f>
        <v>9942.6503831579</v>
      </c>
      <c r="BW110" s="92" t="n">
        <f aca="false">IF(AG110&gt;=BI110,0,IFERROR(BI110+SUMPRODUCT((AG$4:AG$503&gt;=BI$4:BI$503)*(AG$4:AG$503-BI$4:BI$503))/MAX(1,COUNTIF(AG$4:AG$503,"&lt;"&amp;BI110+0.01)),BI110))</f>
        <v>9142.15870461538</v>
      </c>
      <c r="BX110" s="92" t="n">
        <f aca="false">IF(AH110&gt;=BJ110,0,IFERROR(BJ110+SUMPRODUCT((AH$4:AH$503&gt;=BJ$4:BJ$503)*(AH$4:AH$503-BJ$4:BJ$503))/MAX(1,COUNTIF(AH$4:AH$503,"&lt;"&amp;BJ110+0.01)),BJ110))</f>
        <v>5621.50263448276</v>
      </c>
      <c r="BY110" s="92" t="n">
        <f aca="false">IF(AI110&gt;=BK110,0,IFERROR(BK110+SUMPRODUCT((AI$4:AI$503&gt;=BK$4:BK$503)*(AI$4:AI$503-BK$4:BK$503))/MAX(1,COUNTIF(AI$4:AI$503,"&lt;"&amp;BK110+0.01)),BK110))</f>
        <v>0</v>
      </c>
      <c r="BZ110" s="92" t="n">
        <f aca="false">IF(AJ110&gt;=BL110,0,IFERROR(BL110+SUMPRODUCT((AJ$4:AJ$503&gt;=BL$4:BL$503)*(AJ$4:AJ$503-BL$4:BL$503))/MAX(1,COUNTIF(AJ$4:AJ$503,"&lt;"&amp;BL110+0.01)),BL110))</f>
        <v>0</v>
      </c>
      <c r="CA110" s="92" t="n">
        <f aca="false">IF(AK110&gt;=BM110,0,IFERROR(BM110+SUMPRODUCT((AK$4:AK$503&gt;=BM$4:BM$503)*(AK$4:AK$503-BM$4:BM$503))/MAX(1,COUNTIF(AK$4:AK$503,"&lt;"&amp;BM110+0.01)),BM110))</f>
        <v>7314.89836842105</v>
      </c>
      <c r="CB110" s="93" t="n">
        <f aca="false">IF(AL110&gt;=BN110,0,IFERROR(BN110+SUMPRODUCT((AL$4:AL$503&gt;=BN$4:BN$503)*(AL$4:AL$503-BN$4:BN$503))/MAX(1,COUNTIF(AL$4:AL$503,"&lt;"&amp;BN110+0.01)),BN110))</f>
        <v>3597.2614925</v>
      </c>
      <c r="CC110" s="95" t="str">
        <f aca="false">IF(AO110="🟢","VERDE",IF(AO110="🟡","AMARELO",IF(AO110="🟠","VERMELHO",IF(AO110="🔴","VERMELHO","ROXO"))))</f>
        <v>VERMELHO</v>
      </c>
      <c r="CD110" s="96" t="s">
        <v>103</v>
      </c>
      <c r="CE110" s="96" t="s">
        <v>104</v>
      </c>
    </row>
    <row r="111" customFormat="false" ht="14.25" hidden="false" customHeight="true" outlineLevel="0" collapsed="false">
      <c r="A111" s="65" t="s">
        <v>362</v>
      </c>
      <c r="B111" s="66" t="s">
        <v>363</v>
      </c>
      <c r="C111" s="67" t="s">
        <v>107</v>
      </c>
      <c r="D111" s="68" t="s">
        <v>108</v>
      </c>
      <c r="E111" s="69" t="s">
        <v>109</v>
      </c>
      <c r="F111" s="70" t="n">
        <f aca="false">IFERROR(VLOOKUP(C111,$AS$3:$AT$10,2,FALSE()),IFERROR(VLOOKUP(C111,$AS$15:$AT$22,2,FALSE()),""))</f>
        <v>132</v>
      </c>
      <c r="G111" s="71" t="n">
        <f aca="false">IFERROR(VLOOKUP(C111,$AS$3:$AX$10,6,FALSE()),IFERROR(VLOOKUP(C111,$AS$15:$AX$22,6,FALSE()),""))</f>
        <v>0.468190175850689</v>
      </c>
      <c r="H111" s="72" t="str">
        <f aca="false">IFERROR(VLOOKUP(C111,$AS$3:$AY$10,7,FALSE()),IFERROR(VLOOKUP(C111,$AS$15:$AY$22,7,FALSE()),""))</f>
        <v>🟡 AMARELO</v>
      </c>
      <c r="I111" s="72" t="str">
        <f aca="false">IFERROR(VLOOKUP(C111,$AS$3:$AZ$10,8,FALSE()),IFERROR(VLOOKUP(C111,$AS$15:$AZ$22,8,FALSE()),""))</f>
        <v>Sell Out</v>
      </c>
      <c r="J111" s="73"/>
      <c r="K111" s="69" t="s">
        <v>107</v>
      </c>
      <c r="L111" s="74" t="n">
        <v>10433</v>
      </c>
      <c r="M111" s="75" t="n">
        <v>733.16</v>
      </c>
      <c r="N111" s="75" t="n">
        <v>766.12</v>
      </c>
      <c r="O111" s="75" t="n">
        <v>784.58</v>
      </c>
      <c r="P111" s="75" t="n">
        <v>805.02</v>
      </c>
      <c r="Q111" s="75" t="n">
        <v>831.4</v>
      </c>
      <c r="R111" s="75" t="n">
        <v>853.15</v>
      </c>
      <c r="S111" s="75" t="n">
        <v>886.12</v>
      </c>
      <c r="T111" s="75" t="n">
        <v>907.88</v>
      </c>
      <c r="U111" s="75" t="n">
        <v>928.32</v>
      </c>
      <c r="V111" s="75" t="n">
        <v>951.39</v>
      </c>
      <c r="W111" s="75" t="n">
        <v>976.45</v>
      </c>
      <c r="X111" s="76" t="n">
        <v>1009.41</v>
      </c>
      <c r="Y111" s="77" t="s">
        <v>20</v>
      </c>
      <c r="Z111" s="78" t="n">
        <f aca="false">SUM(AA111:AL111)</f>
        <v>4195.64</v>
      </c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9" t="n">
        <v>4195.64</v>
      </c>
      <c r="AL111" s="76"/>
      <c r="AM111" s="56" t="s">
        <v>20</v>
      </c>
      <c r="AN111" s="80" t="n">
        <f aca="false">IF(L111=0,0,Z111/L111)</f>
        <v>0.402150867439854</v>
      </c>
      <c r="AO111" s="81" t="str">
        <f aca="false">IF(AN111="","",IF(AN111&gt;=0.9,"🟢",IF(AN111&gt;=0.7,"🟡",IF(AN111&gt;=0.5,"🟠","🔴"))))</f>
        <v>🔴</v>
      </c>
      <c r="AP111" s="82" t="n">
        <f aca="false">IF(L111=0,0,L111-Z111)</f>
        <v>6237.36</v>
      </c>
      <c r="AQ111" s="83" t="n">
        <f aca="false">IF(AP111=0,"",RANK(AP111,AP$4:AP$503,0))</f>
        <v>100</v>
      </c>
      <c r="AR111" s="84" t="s">
        <v>20</v>
      </c>
      <c r="AS111" s="141"/>
      <c r="AT111" s="141"/>
      <c r="AU111" s="141"/>
      <c r="AV111" s="141"/>
      <c r="AW111" s="141"/>
      <c r="AX111" s="141"/>
      <c r="AY111" s="142"/>
      <c r="AZ111" s="142"/>
      <c r="BA111" s="56" t="s">
        <v>20</v>
      </c>
      <c r="BB111" s="91" t="n">
        <f aca="false">SUM(L$4:L$503)/COUNTA(A$4:A$503)</f>
        <v>9494.39992</v>
      </c>
      <c r="BC111" s="92" t="n">
        <f aca="false">SUM(M$4:M$503)/COUNTA(A$4:A$503)</f>
        <v>667.20008</v>
      </c>
      <c r="BD111" s="92" t="n">
        <f aca="false">SUM(N$4:N$503)/COUNTA(A$4:A$503)</f>
        <v>697.19996</v>
      </c>
      <c r="BE111" s="92" t="n">
        <f aca="false">SUM(O$4:O$503)/COUNTA(A$4:A$503)</f>
        <v>713.9999</v>
      </c>
      <c r="BF111" s="92" t="n">
        <f aca="false">SUM(P$4:P$503)/COUNTA(A$4:A$503)</f>
        <v>732.59984</v>
      </c>
      <c r="BG111" s="92" t="n">
        <f aca="false">SUM(Q$4:Q$503)/COUNTA(A$4:A$503)</f>
        <v>756.59992</v>
      </c>
      <c r="BH111" s="92" t="n">
        <f aca="false">SUM(R$4:R$503)/COUNTA(A$4:A$503)</f>
        <v>776.40004</v>
      </c>
      <c r="BI111" s="92" t="n">
        <f aca="false">SUM(S$4:S$503)/COUNTA(A$4:A$503)</f>
        <v>806.40012</v>
      </c>
      <c r="BJ111" s="92" t="n">
        <f aca="false">SUM(T$4:T$503)/COUNTA(A$4:A$503)</f>
        <v>826.1999</v>
      </c>
      <c r="BK111" s="92" t="n">
        <f aca="false">SUM(U$4:U$503)/COUNTA(A$4:A$503)</f>
        <v>844.8002</v>
      </c>
      <c r="BL111" s="92" t="n">
        <f aca="false">SUM(V$4:V$503)/COUNTA(A$4:A$503)</f>
        <v>865.7998</v>
      </c>
      <c r="BM111" s="92" t="n">
        <f aca="false">SUM(W$4:W$503)/COUNTA(A$4:A$503)</f>
        <v>888.59982</v>
      </c>
      <c r="BN111" s="93" t="n">
        <f aca="false">SUM(X$4:X$503)/COUNTA(A$4:A$503)</f>
        <v>918.60034</v>
      </c>
      <c r="BO111" s="94" t="s">
        <v>20</v>
      </c>
      <c r="BP111" s="91" t="n">
        <f aca="false">IF(Z111&gt;=BB111,0,IFERROR(BB111+(SUMPRODUCT((Z$4:Z$503&gt;=BB$4:BB$503)*(Z$4:Z$503-BB$4:BB$503))/MAX(1,COUNTIF(Z$4:Z$503,"&lt;"&amp;BB111+0.01))),BB111))</f>
        <v>10695.5432177778</v>
      </c>
      <c r="BQ111" s="92" t="n">
        <f aca="false">IF(AA111&gt;=BC111,0,IFERROR(BC111+SUMPRODUCT((AA$4:AA$503&gt;=BC$4:BC$503)*(AA$4:AA$503-BC$4:BC$503))/MAX(1,COUNTIF(AA$4:AA$503,"&lt;"&amp;BC111+0.01)),BC111))</f>
        <v>2238.46589176471</v>
      </c>
      <c r="BR111" s="92" t="n">
        <f aca="false">IF(AB111&gt;=BD111,0,IFERROR(BD111+SUMPRODUCT((AB$4:AB$503&gt;=BD$4:BD$503)*(AB$4:AB$503-BD$4:BD$503))/MAX(1,COUNTIF(AB$4:AB$503,"&lt;"&amp;BD111+0.01)),BD111))</f>
        <v>3335.2938</v>
      </c>
      <c r="BS111" s="92" t="n">
        <f aca="false">IF(AC111&gt;=BE111,0,IFERROR(BE111+SUMPRODUCT((AC$4:AC$503&gt;=BE$4:BE$503)*(AC$4:AC$503-BE$4:BE$503))/MAX(1,COUNTIF(AC$4:AC$503,"&lt;"&amp;BE111+0.01)),BE111))</f>
        <v>6188.73352</v>
      </c>
      <c r="BT111" s="92" t="n">
        <f aca="false">IF(AD111&gt;=BF111,0,IFERROR(BF111+SUMPRODUCT((AD$4:AD$503&gt;=BF$4:BF$503)*(AD$4:AD$503-BF$4:BF$503))/MAX(1,COUNTIF(AD$4:AD$503,"&lt;"&amp;BF111+0.01)),BF111))</f>
        <v>11354.35411</v>
      </c>
      <c r="BU111" s="92" t="n">
        <f aca="false">IF(AE111&gt;=BG111,0,IFERROR(BG111+SUMPRODUCT((AE$4:AE$503&gt;=BG$4:BG$503)*(AE$4:AE$503-BG$4:BG$503))/MAX(1,COUNTIF(AE$4:AE$503,"&lt;"&amp;BG111+0.01)),BG111))</f>
        <v>7704.85920380952</v>
      </c>
      <c r="BV111" s="92" t="n">
        <f aca="false">IF(AF111&gt;=BH111,0,IFERROR(BH111+SUMPRODUCT((AF$4:AF$503&gt;=BH$4:BH$503)*(AF$4:AF$503-BH$4:BH$503))/MAX(1,COUNTIF(AF$4:AF$503,"&lt;"&amp;BH111+0.01)),BH111))</f>
        <v>9942.6503831579</v>
      </c>
      <c r="BW111" s="92" t="n">
        <f aca="false">IF(AG111&gt;=BI111,0,IFERROR(BI111+SUMPRODUCT((AG$4:AG$503&gt;=BI$4:BI$503)*(AG$4:AG$503-BI$4:BI$503))/MAX(1,COUNTIF(AG$4:AG$503,"&lt;"&amp;BI111+0.01)),BI111))</f>
        <v>9142.15870461538</v>
      </c>
      <c r="BX111" s="92" t="n">
        <f aca="false">IF(AH111&gt;=BJ111,0,IFERROR(BJ111+SUMPRODUCT((AH$4:AH$503&gt;=BJ$4:BJ$503)*(AH$4:AH$503-BJ$4:BJ$503))/MAX(1,COUNTIF(AH$4:AH$503,"&lt;"&amp;BJ111+0.01)),BJ111))</f>
        <v>5621.50263448276</v>
      </c>
      <c r="BY111" s="92" t="n">
        <f aca="false">IF(AI111&gt;=BK111,0,IFERROR(BK111+SUMPRODUCT((AI$4:AI$503&gt;=BK$4:BK$503)*(AI$4:AI$503-BK$4:BK$503))/MAX(1,COUNTIF(AI$4:AI$503,"&lt;"&amp;BK111+0.01)),BK111))</f>
        <v>7878.25652380952</v>
      </c>
      <c r="BZ111" s="92" t="n">
        <f aca="false">IF(AJ111&gt;=BL111,0,IFERROR(BL111+SUMPRODUCT((AJ$4:AJ$503&gt;=BL$4:BL$503)*(AJ$4:AJ$503-BL$4:BL$503))/MAX(1,COUNTIF(AJ$4:AJ$503,"&lt;"&amp;BL111+0.01)),BL111))</f>
        <v>6710.03292307692</v>
      </c>
      <c r="CA111" s="92" t="n">
        <f aca="false">IF(AK111&gt;=BM111,0,IFERROR(BM111+SUMPRODUCT((AK$4:AK$503&gt;=BM$4:BM$503)*(AK$4:AK$503-BM$4:BM$503))/MAX(1,COUNTIF(AK$4:AK$503,"&lt;"&amp;BM111+0.01)),BM111))</f>
        <v>0</v>
      </c>
      <c r="CB111" s="93" t="n">
        <f aca="false">IF(AL111&gt;=BN111,0,IFERROR(BN111+SUMPRODUCT((AL$4:AL$503&gt;=BN$4:BN$503)*(AL$4:AL$503-BN$4:BN$503))/MAX(1,COUNTIF(AL$4:AL$503,"&lt;"&amp;BN111+0.01)),BN111))</f>
        <v>3597.2614925</v>
      </c>
      <c r="CC111" s="95" t="str">
        <f aca="false">IF(AO111="🟢","VERDE",IF(AO111="🟡","AMARELO",IF(AO111="🟠","VERMELHO",IF(AO111="🔴","VERMELHO","ROXO"))))</f>
        <v>VERMELHO</v>
      </c>
      <c r="CD111" s="96" t="s">
        <v>103</v>
      </c>
      <c r="CE111" s="96" t="s">
        <v>104</v>
      </c>
    </row>
    <row r="112" customFormat="false" ht="14.25" hidden="false" customHeight="true" outlineLevel="0" collapsed="false">
      <c r="A112" s="65" t="s">
        <v>364</v>
      </c>
      <c r="B112" s="66" t="s">
        <v>365</v>
      </c>
      <c r="C112" s="66" t="s">
        <v>66</v>
      </c>
      <c r="D112" s="68" t="s">
        <v>175</v>
      </c>
      <c r="E112" s="69" t="s">
        <v>196</v>
      </c>
      <c r="F112" s="70" t="n">
        <f aca="false">IFERROR(VLOOKUP(C112,$AS$3:$AT$10,2,FALSE()),IFERROR(VLOOKUP(C112,$AS$15:$AT$22,2,FALSE()),""))</f>
        <v>44</v>
      </c>
      <c r="G112" s="71" t="n">
        <f aca="false">IFERROR(VLOOKUP(C112,$AS$3:$AX$10,6,FALSE()),IFERROR(VLOOKUP(C112,$AS$15:$AX$22,6,FALSE()),""))</f>
        <v>0.496839506257363</v>
      </c>
      <c r="H112" s="72" t="str">
        <f aca="false">IFERROR(VLOOKUP(C112,$AS$3:$AY$10,7,FALSE()),IFERROR(VLOOKUP(C112,$AS$15:$AY$22,7,FALSE()),""))</f>
        <v>🟡 AMARELO</v>
      </c>
      <c r="I112" s="72" t="str">
        <f aca="false">IFERROR(VLOOKUP(C112,$AS$3:$AZ$10,8,FALSE()),IFERROR(VLOOKUP(C112,$AS$15:$AZ$22,8,FALSE()),""))</f>
        <v>Sell Out</v>
      </c>
      <c r="J112" s="73"/>
      <c r="K112" s="69" t="s">
        <v>107</v>
      </c>
      <c r="L112" s="74" t="n">
        <v>10293.35</v>
      </c>
      <c r="M112" s="75" t="n">
        <v>723.34</v>
      </c>
      <c r="N112" s="75" t="n">
        <v>755.87</v>
      </c>
      <c r="O112" s="75" t="n">
        <v>774.08</v>
      </c>
      <c r="P112" s="75" t="n">
        <v>794.25</v>
      </c>
      <c r="Q112" s="75" t="n">
        <v>820.27</v>
      </c>
      <c r="R112" s="75" t="n">
        <v>841.73</v>
      </c>
      <c r="S112" s="75" t="n">
        <v>874.26</v>
      </c>
      <c r="T112" s="75" t="n">
        <v>895.72</v>
      </c>
      <c r="U112" s="75" t="n">
        <v>915.89</v>
      </c>
      <c r="V112" s="75" t="n">
        <v>938.66</v>
      </c>
      <c r="W112" s="75" t="n">
        <v>963.38</v>
      </c>
      <c r="X112" s="76" t="n">
        <v>995.9</v>
      </c>
      <c r="Y112" s="77" t="s">
        <v>20</v>
      </c>
      <c r="Z112" s="78" t="n">
        <f aca="false">SUM(AA112:AL112)</f>
        <v>4139.48</v>
      </c>
      <c r="AA112" s="75"/>
      <c r="AB112" s="75"/>
      <c r="AC112" s="79" t="n">
        <v>366.94</v>
      </c>
      <c r="AD112" s="79" t="n">
        <v>254.94</v>
      </c>
      <c r="AE112" s="75"/>
      <c r="AF112" s="79" t="n">
        <v>1405.9</v>
      </c>
      <c r="AG112" s="79" t="n">
        <v>812.7</v>
      </c>
      <c r="AH112" s="79" t="n">
        <v>615</v>
      </c>
      <c r="AI112" s="75"/>
      <c r="AJ112" s="79" t="n">
        <v>684</v>
      </c>
      <c r="AK112" s="75"/>
      <c r="AL112" s="76"/>
      <c r="AM112" s="56" t="s">
        <v>20</v>
      </c>
      <c r="AN112" s="80" t="n">
        <f aca="false">IF(L112=0,0,Z112/L112)</f>
        <v>0.402150903253071</v>
      </c>
      <c r="AO112" s="81" t="str">
        <f aca="false">IF(AN112="","",IF(AN112&gt;=0.9,"🟢",IF(AN112&gt;=0.7,"🟡",IF(AN112&gt;=0.5,"🟠","🔴"))))</f>
        <v>🔴</v>
      </c>
      <c r="AP112" s="82" t="n">
        <f aca="false">IF(L112=0,0,L112-Z112)</f>
        <v>6153.87</v>
      </c>
      <c r="AQ112" s="83" t="n">
        <f aca="false">IF(AP112=0,"",RANK(AP112,AP$4:AP$503,0))</f>
        <v>101</v>
      </c>
      <c r="AR112" s="84" t="s">
        <v>20</v>
      </c>
      <c r="AS112" s="141"/>
      <c r="AT112" s="141"/>
      <c r="AU112" s="141"/>
      <c r="AV112" s="141"/>
      <c r="AW112" s="141"/>
      <c r="AX112" s="141"/>
      <c r="AY112" s="142"/>
      <c r="AZ112" s="142"/>
      <c r="BA112" s="56" t="s">
        <v>20</v>
      </c>
      <c r="BB112" s="91" t="n">
        <f aca="false">SUM(L$4:L$503)/COUNTA(A$4:A$503)</f>
        <v>9494.39992</v>
      </c>
      <c r="BC112" s="92" t="n">
        <f aca="false">SUM(M$4:M$503)/COUNTA(A$4:A$503)</f>
        <v>667.20008</v>
      </c>
      <c r="BD112" s="92" t="n">
        <f aca="false">SUM(N$4:N$503)/COUNTA(A$4:A$503)</f>
        <v>697.19996</v>
      </c>
      <c r="BE112" s="92" t="n">
        <f aca="false">SUM(O$4:O$503)/COUNTA(A$4:A$503)</f>
        <v>713.9999</v>
      </c>
      <c r="BF112" s="92" t="n">
        <f aca="false">SUM(P$4:P$503)/COUNTA(A$4:A$503)</f>
        <v>732.59984</v>
      </c>
      <c r="BG112" s="92" t="n">
        <f aca="false">SUM(Q$4:Q$503)/COUNTA(A$4:A$503)</f>
        <v>756.59992</v>
      </c>
      <c r="BH112" s="92" t="n">
        <f aca="false">SUM(R$4:R$503)/COUNTA(A$4:A$503)</f>
        <v>776.40004</v>
      </c>
      <c r="BI112" s="92" t="n">
        <f aca="false">SUM(S$4:S$503)/COUNTA(A$4:A$503)</f>
        <v>806.40012</v>
      </c>
      <c r="BJ112" s="92" t="n">
        <f aca="false">SUM(T$4:T$503)/COUNTA(A$4:A$503)</f>
        <v>826.1999</v>
      </c>
      <c r="BK112" s="92" t="n">
        <f aca="false">SUM(U$4:U$503)/COUNTA(A$4:A$503)</f>
        <v>844.8002</v>
      </c>
      <c r="BL112" s="92" t="n">
        <f aca="false">SUM(V$4:V$503)/COUNTA(A$4:A$503)</f>
        <v>865.7998</v>
      </c>
      <c r="BM112" s="92" t="n">
        <f aca="false">SUM(W$4:W$503)/COUNTA(A$4:A$503)</f>
        <v>888.59982</v>
      </c>
      <c r="BN112" s="93" t="n">
        <f aca="false">SUM(X$4:X$503)/COUNTA(A$4:A$503)</f>
        <v>918.60034</v>
      </c>
      <c r="BO112" s="94" t="s">
        <v>20</v>
      </c>
      <c r="BP112" s="91" t="n">
        <f aca="false">IF(Z112&gt;=BB112,0,IFERROR(BB112+(SUMPRODUCT((Z$4:Z$503&gt;=BB$4:BB$503)*(Z$4:Z$503-BB$4:BB$503))/MAX(1,COUNTIF(Z$4:Z$503,"&lt;"&amp;BB112+0.01))),BB112))</f>
        <v>10695.5432177778</v>
      </c>
      <c r="BQ112" s="92" t="n">
        <f aca="false">IF(AA112&gt;=BC112,0,IFERROR(BC112+SUMPRODUCT((AA$4:AA$503&gt;=BC$4:BC$503)*(AA$4:AA$503-BC$4:BC$503))/MAX(1,COUNTIF(AA$4:AA$503,"&lt;"&amp;BC112+0.01)),BC112))</f>
        <v>2238.46589176471</v>
      </c>
      <c r="BR112" s="92" t="n">
        <f aca="false">IF(AB112&gt;=BD112,0,IFERROR(BD112+SUMPRODUCT((AB$4:AB$503&gt;=BD$4:BD$503)*(AB$4:AB$503-BD$4:BD$503))/MAX(1,COUNTIF(AB$4:AB$503,"&lt;"&amp;BD112+0.01)),BD112))</f>
        <v>3335.2938</v>
      </c>
      <c r="BS112" s="92" t="n">
        <f aca="false">IF(AC112&gt;=BE112,0,IFERROR(BE112+SUMPRODUCT((AC$4:AC$503&gt;=BE$4:BE$503)*(AC$4:AC$503-BE$4:BE$503))/MAX(1,COUNTIF(AC$4:AC$503,"&lt;"&amp;BE112+0.01)),BE112))</f>
        <v>6188.73352</v>
      </c>
      <c r="BT112" s="92" t="n">
        <f aca="false">IF(AD112&gt;=BF112,0,IFERROR(BF112+SUMPRODUCT((AD$4:AD$503&gt;=BF$4:BF$503)*(AD$4:AD$503-BF$4:BF$503))/MAX(1,COUNTIF(AD$4:AD$503,"&lt;"&amp;BF112+0.01)),BF112))</f>
        <v>11354.35411</v>
      </c>
      <c r="BU112" s="92" t="n">
        <f aca="false">IF(AE112&gt;=BG112,0,IFERROR(BG112+SUMPRODUCT((AE$4:AE$503&gt;=BG$4:BG$503)*(AE$4:AE$503-BG$4:BG$503))/MAX(1,COUNTIF(AE$4:AE$503,"&lt;"&amp;BG112+0.01)),BG112))</f>
        <v>7704.85920380952</v>
      </c>
      <c r="BV112" s="92" t="n">
        <f aca="false">IF(AF112&gt;=BH112,0,IFERROR(BH112+SUMPRODUCT((AF$4:AF$503&gt;=BH$4:BH$503)*(AF$4:AF$503-BH$4:BH$503))/MAX(1,COUNTIF(AF$4:AF$503,"&lt;"&amp;BH112+0.01)),BH112))</f>
        <v>0</v>
      </c>
      <c r="BW112" s="92" t="n">
        <f aca="false">IF(AG112&gt;=BI112,0,IFERROR(BI112+SUMPRODUCT((AG$4:AG$503&gt;=BI$4:BI$503)*(AG$4:AG$503-BI$4:BI$503))/MAX(1,COUNTIF(AG$4:AG$503,"&lt;"&amp;BI112+0.01)),BI112))</f>
        <v>0</v>
      </c>
      <c r="BX112" s="92" t="n">
        <f aca="false">IF(AH112&gt;=BJ112,0,IFERROR(BJ112+SUMPRODUCT((AH$4:AH$503&gt;=BJ$4:BJ$503)*(AH$4:AH$503-BJ$4:BJ$503))/MAX(1,COUNTIF(AH$4:AH$503,"&lt;"&amp;BJ112+0.01)),BJ112))</f>
        <v>5621.50263448276</v>
      </c>
      <c r="BY112" s="92" t="n">
        <f aca="false">IF(AI112&gt;=BK112,0,IFERROR(BK112+SUMPRODUCT((AI$4:AI$503&gt;=BK$4:BK$503)*(AI$4:AI$503-BK$4:BK$503))/MAX(1,COUNTIF(AI$4:AI$503,"&lt;"&amp;BK112+0.01)),BK112))</f>
        <v>7878.25652380952</v>
      </c>
      <c r="BZ112" s="92" t="n">
        <f aca="false">IF(AJ112&gt;=BL112,0,IFERROR(BL112+SUMPRODUCT((AJ$4:AJ$503&gt;=BL$4:BL$503)*(AJ$4:AJ$503-BL$4:BL$503))/MAX(1,COUNTIF(AJ$4:AJ$503,"&lt;"&amp;BL112+0.01)),BL112))</f>
        <v>6710.03292307692</v>
      </c>
      <c r="CA112" s="92" t="n">
        <f aca="false">IF(AK112&gt;=BM112,0,IFERROR(BM112+SUMPRODUCT((AK$4:AK$503&gt;=BM$4:BM$503)*(AK$4:AK$503-BM$4:BM$503))/MAX(1,COUNTIF(AK$4:AK$503,"&lt;"&amp;BM112+0.01)),BM112))</f>
        <v>7314.89836842105</v>
      </c>
      <c r="CB112" s="93" t="n">
        <f aca="false">IF(AL112&gt;=BN112,0,IFERROR(BN112+SUMPRODUCT((AL$4:AL$503&gt;=BN$4:BN$503)*(AL$4:AL$503-BN$4:BN$503))/MAX(1,COUNTIF(AL$4:AL$503,"&lt;"&amp;BN112+0.01)),BN112))</f>
        <v>3597.2614925</v>
      </c>
      <c r="CC112" s="95" t="str">
        <f aca="false">IF(AO112="🟢","VERDE",IF(AO112="🟡","AMARELO",IF(AO112="🟠","VERMELHO",IF(AO112="🔴","VERMELHO","ROXO"))))</f>
        <v>VERMELHO</v>
      </c>
      <c r="CD112" s="96" t="s">
        <v>176</v>
      </c>
      <c r="CE112" s="96" t="s">
        <v>66</v>
      </c>
    </row>
    <row r="113" customFormat="false" ht="14.25" hidden="false" customHeight="true" outlineLevel="0" collapsed="false">
      <c r="A113" s="65" t="s">
        <v>366</v>
      </c>
      <c r="B113" s="66" t="s">
        <v>367</v>
      </c>
      <c r="C113" s="67" t="s">
        <v>99</v>
      </c>
      <c r="D113" s="68" t="s">
        <v>100</v>
      </c>
      <c r="E113" s="69" t="s">
        <v>263</v>
      </c>
      <c r="F113" s="70" t="n">
        <f aca="false">IFERROR(VLOOKUP(C113,$AS$3:$AT$10,2,FALSE()),IFERROR(VLOOKUP(C113,$AS$15:$AT$22,2,FALSE()),""))</f>
        <v>33</v>
      </c>
      <c r="G113" s="71" t="n">
        <f aca="false">IFERROR(VLOOKUP(C113,$AS$3:$AX$10,6,FALSE()),IFERROR(VLOOKUP(C113,$AS$15:$AX$22,6,FALSE()),""))</f>
        <v>0.341494038351172</v>
      </c>
      <c r="H113" s="72" t="str">
        <f aca="false">IFERROR(VLOOKUP(C113,$AS$3:$AY$10,7,FALSE()),IFERROR(VLOOKUP(C113,$AS$15:$AY$22,7,FALSE()),""))</f>
        <v>🔴 VERMELHO</v>
      </c>
      <c r="I113" s="72" t="str">
        <f aca="false">IFERROR(VLOOKUP(C113,$AS$3:$AZ$10,8,FALSE()),IFERROR(VLOOKUP(C113,$AS$15:$AZ$22,8,FALSE()),""))</f>
        <v>Positivação + Expandir</v>
      </c>
      <c r="J113" s="73"/>
      <c r="K113" s="69" t="s">
        <v>99</v>
      </c>
      <c r="L113" s="74" t="n">
        <v>10189.2</v>
      </c>
      <c r="M113" s="75" t="n">
        <v>716.03</v>
      </c>
      <c r="N113" s="75" t="n">
        <v>748.22</v>
      </c>
      <c r="O113" s="75" t="n">
        <v>766.25</v>
      </c>
      <c r="P113" s="75" t="n">
        <v>786.21</v>
      </c>
      <c r="Q113" s="75" t="n">
        <v>811.97</v>
      </c>
      <c r="R113" s="75" t="n">
        <v>833.22</v>
      </c>
      <c r="S113" s="75" t="n">
        <v>865.41</v>
      </c>
      <c r="T113" s="75" t="n">
        <v>886.66</v>
      </c>
      <c r="U113" s="75" t="n">
        <v>906.62</v>
      </c>
      <c r="V113" s="75" t="n">
        <v>929.16</v>
      </c>
      <c r="W113" s="75" t="n">
        <v>953.63</v>
      </c>
      <c r="X113" s="76" t="n">
        <v>985.82</v>
      </c>
      <c r="Y113" s="77" t="s">
        <v>20</v>
      </c>
      <c r="Z113" s="78" t="n">
        <f aca="false">SUM(AA113:AL113)</f>
        <v>4097.6</v>
      </c>
      <c r="AA113" s="75"/>
      <c r="AB113" s="75"/>
      <c r="AC113" s="75"/>
      <c r="AD113" s="75"/>
      <c r="AE113" s="75"/>
      <c r="AF113" s="75"/>
      <c r="AG113" s="75"/>
      <c r="AH113" s="79" t="n">
        <v>2150</v>
      </c>
      <c r="AI113" s="75"/>
      <c r="AJ113" s="75"/>
      <c r="AK113" s="79" t="n">
        <v>1947.6</v>
      </c>
      <c r="AL113" s="76"/>
      <c r="AM113" s="56" t="s">
        <v>20</v>
      </c>
      <c r="AN113" s="80" t="n">
        <f aca="false">IF(L113=0,0,Z113/L113)</f>
        <v>0.402151297452204</v>
      </c>
      <c r="AO113" s="81" t="str">
        <f aca="false">IF(AN113="","",IF(AN113&gt;=0.9,"🟢",IF(AN113&gt;=0.7,"🟡",IF(AN113&gt;=0.5,"🟠","🔴"))))</f>
        <v>🔴</v>
      </c>
      <c r="AP113" s="82" t="n">
        <f aca="false">IF(L113=0,0,L113-Z113)</f>
        <v>6091.6</v>
      </c>
      <c r="AQ113" s="83" t="n">
        <f aca="false">IF(AP113=0,"",RANK(AP113,AP$4:AP$503,0))</f>
        <v>103</v>
      </c>
      <c r="AR113" s="84" t="s">
        <v>20</v>
      </c>
      <c r="AS113" s="141"/>
      <c r="AT113" s="141"/>
      <c r="AU113" s="141"/>
      <c r="AV113" s="141"/>
      <c r="AW113" s="141"/>
      <c r="AX113" s="141"/>
      <c r="AY113" s="142"/>
      <c r="AZ113" s="142"/>
      <c r="BA113" s="56" t="s">
        <v>20</v>
      </c>
      <c r="BB113" s="91" t="n">
        <f aca="false">SUM(L$4:L$503)/COUNTA(A$4:A$503)</f>
        <v>9494.39992</v>
      </c>
      <c r="BC113" s="92" t="n">
        <f aca="false">SUM(M$4:M$503)/COUNTA(A$4:A$503)</f>
        <v>667.20008</v>
      </c>
      <c r="BD113" s="92" t="n">
        <f aca="false">SUM(N$4:N$503)/COUNTA(A$4:A$503)</f>
        <v>697.19996</v>
      </c>
      <c r="BE113" s="92" t="n">
        <f aca="false">SUM(O$4:O$503)/COUNTA(A$4:A$503)</f>
        <v>713.9999</v>
      </c>
      <c r="BF113" s="92" t="n">
        <f aca="false">SUM(P$4:P$503)/COUNTA(A$4:A$503)</f>
        <v>732.59984</v>
      </c>
      <c r="BG113" s="92" t="n">
        <f aca="false">SUM(Q$4:Q$503)/COUNTA(A$4:A$503)</f>
        <v>756.59992</v>
      </c>
      <c r="BH113" s="92" t="n">
        <f aca="false">SUM(R$4:R$503)/COUNTA(A$4:A$503)</f>
        <v>776.40004</v>
      </c>
      <c r="BI113" s="92" t="n">
        <f aca="false">SUM(S$4:S$503)/COUNTA(A$4:A$503)</f>
        <v>806.40012</v>
      </c>
      <c r="BJ113" s="92" t="n">
        <f aca="false">SUM(T$4:T$503)/COUNTA(A$4:A$503)</f>
        <v>826.1999</v>
      </c>
      <c r="BK113" s="92" t="n">
        <f aca="false">SUM(U$4:U$503)/COUNTA(A$4:A$503)</f>
        <v>844.8002</v>
      </c>
      <c r="BL113" s="92" t="n">
        <f aca="false">SUM(V$4:V$503)/COUNTA(A$4:A$503)</f>
        <v>865.7998</v>
      </c>
      <c r="BM113" s="92" t="n">
        <f aca="false">SUM(W$4:W$503)/COUNTA(A$4:A$503)</f>
        <v>888.59982</v>
      </c>
      <c r="BN113" s="93" t="n">
        <f aca="false">SUM(X$4:X$503)/COUNTA(A$4:A$503)</f>
        <v>918.60034</v>
      </c>
      <c r="BO113" s="94" t="s">
        <v>20</v>
      </c>
      <c r="BP113" s="91" t="n">
        <f aca="false">IF(Z113&gt;=BB113,0,IFERROR(BB113+(SUMPRODUCT((Z$4:Z$503&gt;=BB$4:BB$503)*(Z$4:Z$503-BB$4:BB$503))/MAX(1,COUNTIF(Z$4:Z$503,"&lt;"&amp;BB113+0.01))),BB113))</f>
        <v>10695.5432177778</v>
      </c>
      <c r="BQ113" s="92" t="n">
        <f aca="false">IF(AA113&gt;=BC113,0,IFERROR(BC113+SUMPRODUCT((AA$4:AA$503&gt;=BC$4:BC$503)*(AA$4:AA$503-BC$4:BC$503))/MAX(1,COUNTIF(AA$4:AA$503,"&lt;"&amp;BC113+0.01)),BC113))</f>
        <v>2238.46589176471</v>
      </c>
      <c r="BR113" s="92" t="n">
        <f aca="false">IF(AB113&gt;=BD113,0,IFERROR(BD113+SUMPRODUCT((AB$4:AB$503&gt;=BD$4:BD$503)*(AB$4:AB$503-BD$4:BD$503))/MAX(1,COUNTIF(AB$4:AB$503,"&lt;"&amp;BD113+0.01)),BD113))</f>
        <v>3335.2938</v>
      </c>
      <c r="BS113" s="92" t="n">
        <f aca="false">IF(AC113&gt;=BE113,0,IFERROR(BE113+SUMPRODUCT((AC$4:AC$503&gt;=BE$4:BE$503)*(AC$4:AC$503-BE$4:BE$503))/MAX(1,COUNTIF(AC$4:AC$503,"&lt;"&amp;BE113+0.01)),BE113))</f>
        <v>6188.73352</v>
      </c>
      <c r="BT113" s="92" t="n">
        <f aca="false">IF(AD113&gt;=BF113,0,IFERROR(BF113+SUMPRODUCT((AD$4:AD$503&gt;=BF$4:BF$503)*(AD$4:AD$503-BF$4:BF$503))/MAX(1,COUNTIF(AD$4:AD$503,"&lt;"&amp;BF113+0.01)),BF113))</f>
        <v>11354.35411</v>
      </c>
      <c r="BU113" s="92" t="n">
        <f aca="false">IF(AE113&gt;=BG113,0,IFERROR(BG113+SUMPRODUCT((AE$4:AE$503&gt;=BG$4:BG$503)*(AE$4:AE$503-BG$4:BG$503))/MAX(1,COUNTIF(AE$4:AE$503,"&lt;"&amp;BG113+0.01)),BG113))</f>
        <v>7704.85920380952</v>
      </c>
      <c r="BV113" s="92" t="n">
        <f aca="false">IF(AF113&gt;=BH113,0,IFERROR(BH113+SUMPRODUCT((AF$4:AF$503&gt;=BH$4:BH$503)*(AF$4:AF$503-BH$4:BH$503))/MAX(1,COUNTIF(AF$4:AF$503,"&lt;"&amp;BH113+0.01)),BH113))</f>
        <v>9942.6503831579</v>
      </c>
      <c r="BW113" s="92" t="n">
        <f aca="false">IF(AG113&gt;=BI113,0,IFERROR(BI113+SUMPRODUCT((AG$4:AG$503&gt;=BI$4:BI$503)*(AG$4:AG$503-BI$4:BI$503))/MAX(1,COUNTIF(AG$4:AG$503,"&lt;"&amp;BI113+0.01)),BI113))</f>
        <v>9142.15870461538</v>
      </c>
      <c r="BX113" s="92" t="n">
        <f aca="false">IF(AH113&gt;=BJ113,0,IFERROR(BJ113+SUMPRODUCT((AH$4:AH$503&gt;=BJ$4:BJ$503)*(AH$4:AH$503-BJ$4:BJ$503))/MAX(1,COUNTIF(AH$4:AH$503,"&lt;"&amp;BJ113+0.01)),BJ113))</f>
        <v>0</v>
      </c>
      <c r="BY113" s="92" t="n">
        <f aca="false">IF(AI113&gt;=BK113,0,IFERROR(BK113+SUMPRODUCT((AI$4:AI$503&gt;=BK$4:BK$503)*(AI$4:AI$503-BK$4:BK$503))/MAX(1,COUNTIF(AI$4:AI$503,"&lt;"&amp;BK113+0.01)),BK113))</f>
        <v>7878.25652380952</v>
      </c>
      <c r="BZ113" s="92" t="n">
        <f aca="false">IF(AJ113&gt;=BL113,0,IFERROR(BL113+SUMPRODUCT((AJ$4:AJ$503&gt;=BL$4:BL$503)*(AJ$4:AJ$503-BL$4:BL$503))/MAX(1,COUNTIF(AJ$4:AJ$503,"&lt;"&amp;BL113+0.01)),BL113))</f>
        <v>6710.03292307692</v>
      </c>
      <c r="CA113" s="92" t="n">
        <f aca="false">IF(AK113&gt;=BM113,0,IFERROR(BM113+SUMPRODUCT((AK$4:AK$503&gt;=BM$4:BM$503)*(AK$4:AK$503-BM$4:BM$503))/MAX(1,COUNTIF(AK$4:AK$503,"&lt;"&amp;BM113+0.01)),BM113))</f>
        <v>0</v>
      </c>
      <c r="CB113" s="93" t="n">
        <f aca="false">IF(AL113&gt;=BN113,0,IFERROR(BN113+SUMPRODUCT((AL$4:AL$503&gt;=BN$4:BN$503)*(AL$4:AL$503-BN$4:BN$503))/MAX(1,COUNTIF(AL$4:AL$503,"&lt;"&amp;BN113+0.01)),BN113))</f>
        <v>3597.2614925</v>
      </c>
      <c r="CC113" s="95" t="str">
        <f aca="false">IF(AO113="🟢","VERDE",IF(AO113="🟡","AMARELO",IF(AO113="🟠","VERMELHO",IF(AO113="🔴","VERMELHO","ROXO"))))</f>
        <v>VERMELHO</v>
      </c>
      <c r="CD113" s="96" t="s">
        <v>103</v>
      </c>
      <c r="CE113" s="96" t="s">
        <v>104</v>
      </c>
    </row>
    <row r="114" customFormat="false" ht="14.25" hidden="false" customHeight="true" outlineLevel="0" collapsed="false">
      <c r="A114" s="65" t="s">
        <v>368</v>
      </c>
      <c r="B114" s="66" t="s">
        <v>369</v>
      </c>
      <c r="C114" s="67" t="s">
        <v>107</v>
      </c>
      <c r="D114" s="68" t="s">
        <v>108</v>
      </c>
      <c r="E114" s="69" t="s">
        <v>196</v>
      </c>
      <c r="F114" s="70" t="n">
        <f aca="false">IFERROR(VLOOKUP(C114,$AS$3:$AT$10,2,FALSE()),IFERROR(VLOOKUP(C114,$AS$15:$AT$22,2,FALSE()),""))</f>
        <v>132</v>
      </c>
      <c r="G114" s="71" t="n">
        <f aca="false">IFERROR(VLOOKUP(C114,$AS$3:$AX$10,6,FALSE()),IFERROR(VLOOKUP(C114,$AS$15:$AX$22,6,FALSE()),""))</f>
        <v>0.468190175850689</v>
      </c>
      <c r="H114" s="72" t="str">
        <f aca="false">IFERROR(VLOOKUP(C114,$AS$3:$AY$10,7,FALSE()),IFERROR(VLOOKUP(C114,$AS$15:$AY$22,7,FALSE()),""))</f>
        <v>🟡 AMARELO</v>
      </c>
      <c r="I114" s="72" t="str">
        <f aca="false">IFERROR(VLOOKUP(C114,$AS$3:$AZ$10,8,FALSE()),IFERROR(VLOOKUP(C114,$AS$15:$AZ$22,8,FALSE()),""))</f>
        <v>Sell Out</v>
      </c>
      <c r="J114" s="73"/>
      <c r="K114" s="69" t="s">
        <v>107</v>
      </c>
      <c r="L114" s="74" t="n">
        <v>10145.2</v>
      </c>
      <c r="M114" s="75" t="n">
        <v>712.93</v>
      </c>
      <c r="N114" s="75" t="n">
        <v>744.99</v>
      </c>
      <c r="O114" s="75" t="n">
        <v>762.94</v>
      </c>
      <c r="P114" s="75" t="n">
        <v>782.82</v>
      </c>
      <c r="Q114" s="75" t="n">
        <v>808.46</v>
      </c>
      <c r="R114" s="75" t="n">
        <v>829.62</v>
      </c>
      <c r="S114" s="75" t="n">
        <v>861.67</v>
      </c>
      <c r="T114" s="75" t="n">
        <v>882.83</v>
      </c>
      <c r="U114" s="75" t="n">
        <v>902.71</v>
      </c>
      <c r="V114" s="75" t="n">
        <v>925.15</v>
      </c>
      <c r="W114" s="75" t="n">
        <v>949.51</v>
      </c>
      <c r="X114" s="76" t="n">
        <v>981.57</v>
      </c>
      <c r="Y114" s="77" t="s">
        <v>20</v>
      </c>
      <c r="Z114" s="78" t="n">
        <f aca="false">SUM(AA114:AL114)</f>
        <v>4340.31</v>
      </c>
      <c r="AA114" s="75"/>
      <c r="AB114" s="75"/>
      <c r="AC114" s="75"/>
      <c r="AD114" s="75"/>
      <c r="AE114" s="75"/>
      <c r="AF114" s="75"/>
      <c r="AG114" s="75"/>
      <c r="AH114" s="75"/>
      <c r="AI114" s="79" t="n">
        <v>1560.86</v>
      </c>
      <c r="AJ114" s="79" t="n">
        <v>2779.45</v>
      </c>
      <c r="AK114" s="75"/>
      <c r="AL114" s="76"/>
      <c r="AM114" s="56" t="s">
        <v>20</v>
      </c>
      <c r="AN114" s="80" t="n">
        <f aca="false">IF(L114=0,0,Z114/L114)</f>
        <v>0.427819067145054</v>
      </c>
      <c r="AO114" s="81" t="str">
        <f aca="false">IF(AN114="","",IF(AN114&gt;=0.9,"🟢",IF(AN114&gt;=0.7,"🟡",IF(AN114&gt;=0.5,"🟠","🔴"))))</f>
        <v>🔴</v>
      </c>
      <c r="AP114" s="82" t="n">
        <f aca="false">IF(L114=0,0,L114-Z114)</f>
        <v>5804.89</v>
      </c>
      <c r="AQ114" s="83" t="n">
        <f aca="false">IF(AP114=0,"",RANK(AP114,AP$4:AP$503,0))</f>
        <v>107</v>
      </c>
      <c r="AR114" s="84" t="s">
        <v>20</v>
      </c>
      <c r="AS114" s="141"/>
      <c r="AT114" s="141"/>
      <c r="AU114" s="141"/>
      <c r="AV114" s="141"/>
      <c r="AW114" s="141"/>
      <c r="AX114" s="141"/>
      <c r="AY114" s="142"/>
      <c r="AZ114" s="142"/>
      <c r="BA114" s="56" t="s">
        <v>20</v>
      </c>
      <c r="BB114" s="91" t="n">
        <f aca="false">SUM(L$4:L$503)/COUNTA(A$4:A$503)</f>
        <v>9494.39992</v>
      </c>
      <c r="BC114" s="92" t="n">
        <f aca="false">SUM(M$4:M$503)/COUNTA(A$4:A$503)</f>
        <v>667.20008</v>
      </c>
      <c r="BD114" s="92" t="n">
        <f aca="false">SUM(N$4:N$503)/COUNTA(A$4:A$503)</f>
        <v>697.19996</v>
      </c>
      <c r="BE114" s="92" t="n">
        <f aca="false">SUM(O$4:O$503)/COUNTA(A$4:A$503)</f>
        <v>713.9999</v>
      </c>
      <c r="BF114" s="92" t="n">
        <f aca="false">SUM(P$4:P$503)/COUNTA(A$4:A$503)</f>
        <v>732.59984</v>
      </c>
      <c r="BG114" s="92" t="n">
        <f aca="false">SUM(Q$4:Q$503)/COUNTA(A$4:A$503)</f>
        <v>756.59992</v>
      </c>
      <c r="BH114" s="92" t="n">
        <f aca="false">SUM(R$4:R$503)/COUNTA(A$4:A$503)</f>
        <v>776.40004</v>
      </c>
      <c r="BI114" s="92" t="n">
        <f aca="false">SUM(S$4:S$503)/COUNTA(A$4:A$503)</f>
        <v>806.40012</v>
      </c>
      <c r="BJ114" s="92" t="n">
        <f aca="false">SUM(T$4:T$503)/COUNTA(A$4:A$503)</f>
        <v>826.1999</v>
      </c>
      <c r="BK114" s="92" t="n">
        <f aca="false">SUM(U$4:U$503)/COUNTA(A$4:A$503)</f>
        <v>844.8002</v>
      </c>
      <c r="BL114" s="92" t="n">
        <f aca="false">SUM(V$4:V$503)/COUNTA(A$4:A$503)</f>
        <v>865.7998</v>
      </c>
      <c r="BM114" s="92" t="n">
        <f aca="false">SUM(W$4:W$503)/COUNTA(A$4:A$503)</f>
        <v>888.59982</v>
      </c>
      <c r="BN114" s="93" t="n">
        <f aca="false">SUM(X$4:X$503)/COUNTA(A$4:A$503)</f>
        <v>918.60034</v>
      </c>
      <c r="BO114" s="94" t="s">
        <v>20</v>
      </c>
      <c r="BP114" s="91" t="n">
        <f aca="false">IF(Z114&gt;=BB114,0,IFERROR(BB114+(SUMPRODUCT((Z$4:Z$503&gt;=BB$4:BB$503)*(Z$4:Z$503-BB$4:BB$503))/MAX(1,COUNTIF(Z$4:Z$503,"&lt;"&amp;BB114+0.01))),BB114))</f>
        <v>10695.5432177778</v>
      </c>
      <c r="BQ114" s="92" t="n">
        <f aca="false">IF(AA114&gt;=BC114,0,IFERROR(BC114+SUMPRODUCT((AA$4:AA$503&gt;=BC$4:BC$503)*(AA$4:AA$503-BC$4:BC$503))/MAX(1,COUNTIF(AA$4:AA$503,"&lt;"&amp;BC114+0.01)),BC114))</f>
        <v>2238.46589176471</v>
      </c>
      <c r="BR114" s="92" t="n">
        <f aca="false">IF(AB114&gt;=BD114,0,IFERROR(BD114+SUMPRODUCT((AB$4:AB$503&gt;=BD$4:BD$503)*(AB$4:AB$503-BD$4:BD$503))/MAX(1,COUNTIF(AB$4:AB$503,"&lt;"&amp;BD114+0.01)),BD114))</f>
        <v>3335.2938</v>
      </c>
      <c r="BS114" s="92" t="n">
        <f aca="false">IF(AC114&gt;=BE114,0,IFERROR(BE114+SUMPRODUCT((AC$4:AC$503&gt;=BE$4:BE$503)*(AC$4:AC$503-BE$4:BE$503))/MAX(1,COUNTIF(AC$4:AC$503,"&lt;"&amp;BE114+0.01)),BE114))</f>
        <v>6188.73352</v>
      </c>
      <c r="BT114" s="92" t="n">
        <f aca="false">IF(AD114&gt;=BF114,0,IFERROR(BF114+SUMPRODUCT((AD$4:AD$503&gt;=BF$4:BF$503)*(AD$4:AD$503-BF$4:BF$503))/MAX(1,COUNTIF(AD$4:AD$503,"&lt;"&amp;BF114+0.01)),BF114))</f>
        <v>11354.35411</v>
      </c>
      <c r="BU114" s="92" t="n">
        <f aca="false">IF(AE114&gt;=BG114,0,IFERROR(BG114+SUMPRODUCT((AE$4:AE$503&gt;=BG$4:BG$503)*(AE$4:AE$503-BG$4:BG$503))/MAX(1,COUNTIF(AE$4:AE$503,"&lt;"&amp;BG114+0.01)),BG114))</f>
        <v>7704.85920380952</v>
      </c>
      <c r="BV114" s="92" t="n">
        <f aca="false">IF(AF114&gt;=BH114,0,IFERROR(BH114+SUMPRODUCT((AF$4:AF$503&gt;=BH$4:BH$503)*(AF$4:AF$503-BH$4:BH$503))/MAX(1,COUNTIF(AF$4:AF$503,"&lt;"&amp;BH114+0.01)),BH114))</f>
        <v>9942.6503831579</v>
      </c>
      <c r="BW114" s="92" t="n">
        <f aca="false">IF(AG114&gt;=BI114,0,IFERROR(BI114+SUMPRODUCT((AG$4:AG$503&gt;=BI$4:BI$503)*(AG$4:AG$503-BI$4:BI$503))/MAX(1,COUNTIF(AG$4:AG$503,"&lt;"&amp;BI114+0.01)),BI114))</f>
        <v>9142.15870461538</v>
      </c>
      <c r="BX114" s="92" t="n">
        <f aca="false">IF(AH114&gt;=BJ114,0,IFERROR(BJ114+SUMPRODUCT((AH$4:AH$503&gt;=BJ$4:BJ$503)*(AH$4:AH$503-BJ$4:BJ$503))/MAX(1,COUNTIF(AH$4:AH$503,"&lt;"&amp;BJ114+0.01)),BJ114))</f>
        <v>5621.50263448276</v>
      </c>
      <c r="BY114" s="92" t="n">
        <f aca="false">IF(AI114&gt;=BK114,0,IFERROR(BK114+SUMPRODUCT((AI$4:AI$503&gt;=BK$4:BK$503)*(AI$4:AI$503-BK$4:BK$503))/MAX(1,COUNTIF(AI$4:AI$503,"&lt;"&amp;BK114+0.01)),BK114))</f>
        <v>0</v>
      </c>
      <c r="BZ114" s="92" t="n">
        <f aca="false">IF(AJ114&gt;=BL114,0,IFERROR(BL114+SUMPRODUCT((AJ$4:AJ$503&gt;=BL$4:BL$503)*(AJ$4:AJ$503-BL$4:BL$503))/MAX(1,COUNTIF(AJ$4:AJ$503,"&lt;"&amp;BL114+0.01)),BL114))</f>
        <v>0</v>
      </c>
      <c r="CA114" s="92" t="n">
        <f aca="false">IF(AK114&gt;=BM114,0,IFERROR(BM114+SUMPRODUCT((AK$4:AK$503&gt;=BM$4:BM$503)*(AK$4:AK$503-BM$4:BM$503))/MAX(1,COUNTIF(AK$4:AK$503,"&lt;"&amp;BM114+0.01)),BM114))</f>
        <v>7314.89836842105</v>
      </c>
      <c r="CB114" s="93" t="n">
        <f aca="false">IF(AL114&gt;=BN114,0,IFERROR(BN114+SUMPRODUCT((AL$4:AL$503&gt;=BN$4:BN$503)*(AL$4:AL$503-BN$4:BN$503))/MAX(1,COUNTIF(AL$4:AL$503,"&lt;"&amp;BN114+0.01)),BN114))</f>
        <v>3597.2614925</v>
      </c>
      <c r="CC114" s="95" t="str">
        <f aca="false">IF(AO114="🟢","VERDE",IF(AO114="🟡","AMARELO",IF(AO114="🟠","VERMELHO",IF(AO114="🔴","VERMELHO","ROXO"))))</f>
        <v>VERMELHO</v>
      </c>
      <c r="CD114" s="96" t="s">
        <v>103</v>
      </c>
      <c r="CE114" s="96" t="s">
        <v>104</v>
      </c>
    </row>
    <row r="115" customFormat="false" ht="14.25" hidden="false" customHeight="true" outlineLevel="0" collapsed="false">
      <c r="A115" s="65" t="s">
        <v>370</v>
      </c>
      <c r="B115" s="66" t="s">
        <v>371</v>
      </c>
      <c r="C115" s="67" t="s">
        <v>149</v>
      </c>
      <c r="D115" s="68" t="s">
        <v>100</v>
      </c>
      <c r="E115" s="69" t="s">
        <v>119</v>
      </c>
      <c r="F115" s="70" t="n">
        <f aca="false">IFERROR(VLOOKUP(C115,$AS$3:$AT$10,2,FALSE()),IFERROR(VLOOKUP(C115,$AS$15:$AT$22,2,FALSE()),""))</f>
        <v>29</v>
      </c>
      <c r="G115" s="71" t="n">
        <f aca="false">IFERROR(VLOOKUP(C115,$AS$3:$AX$10,6,FALSE()),IFERROR(VLOOKUP(C115,$AS$15:$AX$22,6,FALSE()),""))</f>
        <v>0.425845065256079</v>
      </c>
      <c r="H115" s="72" t="str">
        <f aca="false">IFERROR(VLOOKUP(C115,$AS$3:$AY$10,7,FALSE()),IFERROR(VLOOKUP(C115,$AS$15:$AY$22,7,FALSE()),""))</f>
        <v>🟡 AMARELO</v>
      </c>
      <c r="I115" s="72" t="str">
        <f aca="false">IFERROR(VLOOKUP(C115,$AS$3:$AZ$10,8,FALSE()),IFERROR(VLOOKUP(C115,$AS$15:$AZ$22,8,FALSE()),""))</f>
        <v>Sell Out</v>
      </c>
      <c r="J115" s="73"/>
      <c r="K115" s="69" t="s">
        <v>149</v>
      </c>
      <c r="L115" s="74" t="n">
        <v>9966.41</v>
      </c>
      <c r="M115" s="75" t="n">
        <v>700.37</v>
      </c>
      <c r="N115" s="75" t="n">
        <v>731.86</v>
      </c>
      <c r="O115" s="75" t="n">
        <v>749.5</v>
      </c>
      <c r="P115" s="75" t="n">
        <v>769.02</v>
      </c>
      <c r="Q115" s="75" t="n">
        <v>794.21</v>
      </c>
      <c r="R115" s="75" t="n">
        <v>815</v>
      </c>
      <c r="S115" s="75" t="n">
        <v>846.49</v>
      </c>
      <c r="T115" s="75" t="n">
        <v>867.27</v>
      </c>
      <c r="U115" s="75" t="n">
        <v>886.8</v>
      </c>
      <c r="V115" s="75" t="n">
        <v>908.84</v>
      </c>
      <c r="W115" s="75" t="n">
        <v>932.78</v>
      </c>
      <c r="X115" s="76" t="n">
        <v>964.27</v>
      </c>
      <c r="Y115" s="77" t="s">
        <v>20</v>
      </c>
      <c r="Z115" s="78" t="n">
        <f aca="false">SUM(AA115:AL115)</f>
        <v>4608</v>
      </c>
      <c r="AA115" s="75"/>
      <c r="AB115" s="79" t="n">
        <v>1350</v>
      </c>
      <c r="AC115" s="79" t="n">
        <v>1350</v>
      </c>
      <c r="AD115" s="75"/>
      <c r="AE115" s="75"/>
      <c r="AF115" s="75"/>
      <c r="AG115" s="75"/>
      <c r="AH115" s="75"/>
      <c r="AI115" s="79" t="n">
        <v>1134</v>
      </c>
      <c r="AJ115" s="75"/>
      <c r="AK115" s="79" t="n">
        <v>774</v>
      </c>
      <c r="AL115" s="76"/>
      <c r="AM115" s="56" t="s">
        <v>20</v>
      </c>
      <c r="AN115" s="80" t="n">
        <f aca="false">IF(L115=0,0,Z115/L115)</f>
        <v>0.462353043874374</v>
      </c>
      <c r="AO115" s="81" t="str">
        <f aca="false">IF(AN115="","",IF(AN115&gt;=0.9,"🟢",IF(AN115&gt;=0.7,"🟡",IF(AN115&gt;=0.5,"🟠","🔴"))))</f>
        <v>🔴</v>
      </c>
      <c r="AP115" s="82" t="n">
        <f aca="false">IF(L115=0,0,L115-Z115)</f>
        <v>5358.41</v>
      </c>
      <c r="AQ115" s="83" t="n">
        <f aca="false">IF(AP115=0,"",RANK(AP115,AP$4:AP$503,0))</f>
        <v>117</v>
      </c>
      <c r="AR115" s="84" t="s">
        <v>20</v>
      </c>
      <c r="AS115" s="141"/>
      <c r="AT115" s="141"/>
      <c r="AU115" s="141"/>
      <c r="AV115" s="141"/>
      <c r="AW115" s="141"/>
      <c r="AX115" s="141"/>
      <c r="AY115" s="142"/>
      <c r="AZ115" s="142"/>
      <c r="BA115" s="56" t="s">
        <v>20</v>
      </c>
      <c r="BB115" s="91" t="n">
        <f aca="false">SUM(L$4:L$503)/COUNTA(A$4:A$503)</f>
        <v>9494.39992</v>
      </c>
      <c r="BC115" s="92" t="n">
        <f aca="false">SUM(M$4:M$503)/COUNTA(A$4:A$503)</f>
        <v>667.20008</v>
      </c>
      <c r="BD115" s="92" t="n">
        <f aca="false">SUM(N$4:N$503)/COUNTA(A$4:A$503)</f>
        <v>697.19996</v>
      </c>
      <c r="BE115" s="92" t="n">
        <f aca="false">SUM(O$4:O$503)/COUNTA(A$4:A$503)</f>
        <v>713.9999</v>
      </c>
      <c r="BF115" s="92" t="n">
        <f aca="false">SUM(P$4:P$503)/COUNTA(A$4:A$503)</f>
        <v>732.59984</v>
      </c>
      <c r="BG115" s="92" t="n">
        <f aca="false">SUM(Q$4:Q$503)/COUNTA(A$4:A$503)</f>
        <v>756.59992</v>
      </c>
      <c r="BH115" s="92" t="n">
        <f aca="false">SUM(R$4:R$503)/COUNTA(A$4:A$503)</f>
        <v>776.40004</v>
      </c>
      <c r="BI115" s="92" t="n">
        <f aca="false">SUM(S$4:S$503)/COUNTA(A$4:A$503)</f>
        <v>806.40012</v>
      </c>
      <c r="BJ115" s="92" t="n">
        <f aca="false">SUM(T$4:T$503)/COUNTA(A$4:A$503)</f>
        <v>826.1999</v>
      </c>
      <c r="BK115" s="92" t="n">
        <f aca="false">SUM(U$4:U$503)/COUNTA(A$4:A$503)</f>
        <v>844.8002</v>
      </c>
      <c r="BL115" s="92" t="n">
        <f aca="false">SUM(V$4:V$503)/COUNTA(A$4:A$503)</f>
        <v>865.7998</v>
      </c>
      <c r="BM115" s="92" t="n">
        <f aca="false">SUM(W$4:W$503)/COUNTA(A$4:A$503)</f>
        <v>888.59982</v>
      </c>
      <c r="BN115" s="93" t="n">
        <f aca="false">SUM(X$4:X$503)/COUNTA(A$4:A$503)</f>
        <v>918.60034</v>
      </c>
      <c r="BO115" s="94" t="s">
        <v>20</v>
      </c>
      <c r="BP115" s="91" t="n">
        <f aca="false">IF(Z115&gt;=BB115,0,IFERROR(BB115+(SUMPRODUCT((Z$4:Z$503&gt;=BB$4:BB$503)*(Z$4:Z$503-BB$4:BB$503))/MAX(1,COUNTIF(Z$4:Z$503,"&lt;"&amp;BB115+0.01))),BB115))</f>
        <v>10695.5432177778</v>
      </c>
      <c r="BQ115" s="92" t="n">
        <f aca="false">IF(AA115&gt;=BC115,0,IFERROR(BC115+SUMPRODUCT((AA$4:AA$503&gt;=BC$4:BC$503)*(AA$4:AA$503-BC$4:BC$503))/MAX(1,COUNTIF(AA$4:AA$503,"&lt;"&amp;BC115+0.01)),BC115))</f>
        <v>2238.46589176471</v>
      </c>
      <c r="BR115" s="92" t="n">
        <f aca="false">IF(AB115&gt;=BD115,0,IFERROR(BD115+SUMPRODUCT((AB$4:AB$503&gt;=BD$4:BD$503)*(AB$4:AB$503-BD$4:BD$503))/MAX(1,COUNTIF(AB$4:AB$503,"&lt;"&amp;BD115+0.01)),BD115))</f>
        <v>0</v>
      </c>
      <c r="BS115" s="92" t="n">
        <f aca="false">IF(AC115&gt;=BE115,0,IFERROR(BE115+SUMPRODUCT((AC$4:AC$503&gt;=BE$4:BE$503)*(AC$4:AC$503-BE$4:BE$503))/MAX(1,COUNTIF(AC$4:AC$503,"&lt;"&amp;BE115+0.01)),BE115))</f>
        <v>0</v>
      </c>
      <c r="BT115" s="92" t="n">
        <f aca="false">IF(AD115&gt;=BF115,0,IFERROR(BF115+SUMPRODUCT((AD$4:AD$503&gt;=BF$4:BF$503)*(AD$4:AD$503-BF$4:BF$503))/MAX(1,COUNTIF(AD$4:AD$503,"&lt;"&amp;BF115+0.01)),BF115))</f>
        <v>11354.35411</v>
      </c>
      <c r="BU115" s="92" t="n">
        <f aca="false">IF(AE115&gt;=BG115,0,IFERROR(BG115+SUMPRODUCT((AE$4:AE$503&gt;=BG$4:BG$503)*(AE$4:AE$503-BG$4:BG$503))/MAX(1,COUNTIF(AE$4:AE$503,"&lt;"&amp;BG115+0.01)),BG115))</f>
        <v>7704.85920380952</v>
      </c>
      <c r="BV115" s="92" t="n">
        <f aca="false">IF(AF115&gt;=BH115,0,IFERROR(BH115+SUMPRODUCT((AF$4:AF$503&gt;=BH$4:BH$503)*(AF$4:AF$503-BH$4:BH$503))/MAX(1,COUNTIF(AF$4:AF$503,"&lt;"&amp;BH115+0.01)),BH115))</f>
        <v>9942.6503831579</v>
      </c>
      <c r="BW115" s="92" t="n">
        <f aca="false">IF(AG115&gt;=BI115,0,IFERROR(BI115+SUMPRODUCT((AG$4:AG$503&gt;=BI$4:BI$503)*(AG$4:AG$503-BI$4:BI$503))/MAX(1,COUNTIF(AG$4:AG$503,"&lt;"&amp;BI115+0.01)),BI115))</f>
        <v>9142.15870461538</v>
      </c>
      <c r="BX115" s="92" t="n">
        <f aca="false">IF(AH115&gt;=BJ115,0,IFERROR(BJ115+SUMPRODUCT((AH$4:AH$503&gt;=BJ$4:BJ$503)*(AH$4:AH$503-BJ$4:BJ$503))/MAX(1,COUNTIF(AH$4:AH$503,"&lt;"&amp;BJ115+0.01)),BJ115))</f>
        <v>5621.50263448276</v>
      </c>
      <c r="BY115" s="92" t="n">
        <f aca="false">IF(AI115&gt;=BK115,0,IFERROR(BK115+SUMPRODUCT((AI$4:AI$503&gt;=BK$4:BK$503)*(AI$4:AI$503-BK$4:BK$503))/MAX(1,COUNTIF(AI$4:AI$503,"&lt;"&amp;BK115+0.01)),BK115))</f>
        <v>0</v>
      </c>
      <c r="BZ115" s="92" t="n">
        <f aca="false">IF(AJ115&gt;=BL115,0,IFERROR(BL115+SUMPRODUCT((AJ$4:AJ$503&gt;=BL$4:BL$503)*(AJ$4:AJ$503-BL$4:BL$503))/MAX(1,COUNTIF(AJ$4:AJ$503,"&lt;"&amp;BL115+0.01)),BL115))</f>
        <v>6710.03292307692</v>
      </c>
      <c r="CA115" s="92" t="n">
        <f aca="false">IF(AK115&gt;=BM115,0,IFERROR(BM115+SUMPRODUCT((AK$4:AK$503&gt;=BM$4:BM$503)*(AK$4:AK$503-BM$4:BM$503))/MAX(1,COUNTIF(AK$4:AK$503,"&lt;"&amp;BM115+0.01)),BM115))</f>
        <v>7314.89836842105</v>
      </c>
      <c r="CB115" s="93" t="n">
        <f aca="false">IF(AL115&gt;=BN115,0,IFERROR(BN115+SUMPRODUCT((AL$4:AL$503&gt;=BN$4:BN$503)*(AL$4:AL$503-BN$4:BN$503))/MAX(1,COUNTIF(AL$4:AL$503,"&lt;"&amp;BN115+0.01)),BN115))</f>
        <v>3597.2614925</v>
      </c>
      <c r="CC115" s="95" t="str">
        <f aca="false">IF(AO115="🟢","VERDE",IF(AO115="🟡","AMARELO",IF(AO115="🟠","VERMELHO",IF(AO115="🔴","VERMELHO","ROXO"))))</f>
        <v>VERMELHO</v>
      </c>
      <c r="CD115" s="96" t="s">
        <v>103</v>
      </c>
      <c r="CE115" s="96" t="s">
        <v>104</v>
      </c>
    </row>
    <row r="116" customFormat="false" ht="14.25" hidden="false" customHeight="true" outlineLevel="0" collapsed="false">
      <c r="A116" s="65" t="s">
        <v>372</v>
      </c>
      <c r="B116" s="66" t="s">
        <v>373</v>
      </c>
      <c r="C116" s="66" t="s">
        <v>102</v>
      </c>
      <c r="D116" s="68" t="s">
        <v>175</v>
      </c>
      <c r="E116" s="69" t="s">
        <v>139</v>
      </c>
      <c r="F116" s="70" t="n">
        <f aca="false">IFERROR(VLOOKUP(C116,$AS$3:$AT$10,2,FALSE()),IFERROR(VLOOKUP(C116,$AS$15:$AT$22,2,FALSE()),""))</f>
        <v>21</v>
      </c>
      <c r="G116" s="71" t="n">
        <f aca="false">IFERROR(VLOOKUP(C116,$AS$3:$AX$10,6,FALSE()),IFERROR(VLOOKUP(C116,$AS$15:$AX$22,6,FALSE()),""))</f>
        <v>0.491514556258592</v>
      </c>
      <c r="H116" s="72" t="str">
        <f aca="false">IFERROR(VLOOKUP(C116,$AS$3:$AY$10,7,FALSE()),IFERROR(VLOOKUP(C116,$AS$15:$AY$22,7,FALSE()),""))</f>
        <v>🟡 AMARELO</v>
      </c>
      <c r="I116" s="72" t="str">
        <f aca="false">IFERROR(VLOOKUP(C116,$AS$3:$AZ$10,8,FALSE()),IFERROR(VLOOKUP(C116,$AS$15:$AZ$22,8,FALSE()),""))</f>
        <v>Sell Out</v>
      </c>
      <c r="J116" s="73"/>
      <c r="K116" s="69" t="s">
        <v>107</v>
      </c>
      <c r="L116" s="74" t="n">
        <v>9840.08</v>
      </c>
      <c r="M116" s="75" t="n">
        <v>691.49</v>
      </c>
      <c r="N116" s="75" t="n">
        <v>722.58</v>
      </c>
      <c r="O116" s="75" t="n">
        <v>740</v>
      </c>
      <c r="P116" s="75" t="n">
        <v>759.27</v>
      </c>
      <c r="Q116" s="75" t="n">
        <v>784.15</v>
      </c>
      <c r="R116" s="75" t="n">
        <v>804.67</v>
      </c>
      <c r="S116" s="75" t="n">
        <v>835.76</v>
      </c>
      <c r="T116" s="75" t="n">
        <v>856.28</v>
      </c>
      <c r="U116" s="75" t="n">
        <v>875.56</v>
      </c>
      <c r="V116" s="75" t="n">
        <v>897.32</v>
      </c>
      <c r="W116" s="75" t="n">
        <v>920.95</v>
      </c>
      <c r="X116" s="76" t="n">
        <v>952.05</v>
      </c>
      <c r="Y116" s="77" t="s">
        <v>20</v>
      </c>
      <c r="Z116" s="78" t="n">
        <f aca="false">SUM(AA116:AL116)</f>
        <v>4041.02</v>
      </c>
      <c r="AA116" s="75"/>
      <c r="AB116" s="75"/>
      <c r="AC116" s="75"/>
      <c r="AD116" s="75"/>
      <c r="AE116" s="75"/>
      <c r="AF116" s="75"/>
      <c r="AG116" s="75"/>
      <c r="AH116" s="75"/>
      <c r="AI116" s="79" t="n">
        <v>2710.89</v>
      </c>
      <c r="AJ116" s="79" t="n">
        <v>1330.13</v>
      </c>
      <c r="AK116" s="75"/>
      <c r="AL116" s="76"/>
      <c r="AM116" s="56" t="s">
        <v>20</v>
      </c>
      <c r="AN116" s="80" t="n">
        <f aca="false">IF(L116=0,0,Z116/L116)</f>
        <v>0.410669425451826</v>
      </c>
      <c r="AO116" s="81" t="str">
        <f aca="false">IF(AN116="","",IF(AN116&gt;=0.9,"🟢",IF(AN116&gt;=0.7,"🟡",IF(AN116&gt;=0.5,"🟠","🔴"))))</f>
        <v>🔴</v>
      </c>
      <c r="AP116" s="82" t="n">
        <f aca="false">IF(L116=0,0,L116-Z116)</f>
        <v>5799.06</v>
      </c>
      <c r="AQ116" s="83" t="n">
        <f aca="false">IF(AP116=0,"",RANK(AP116,AP$4:AP$503,0))</f>
        <v>108</v>
      </c>
      <c r="AR116" s="84" t="s">
        <v>20</v>
      </c>
      <c r="AS116" s="141"/>
      <c r="AT116" s="141"/>
      <c r="AU116" s="141"/>
      <c r="AV116" s="141"/>
      <c r="AW116" s="141"/>
      <c r="AX116" s="141"/>
      <c r="AY116" s="142"/>
      <c r="AZ116" s="142"/>
      <c r="BA116" s="56" t="s">
        <v>20</v>
      </c>
      <c r="BB116" s="91" t="n">
        <f aca="false">SUM(L$4:L$503)/COUNTA(A$4:A$503)</f>
        <v>9494.39992</v>
      </c>
      <c r="BC116" s="92" t="n">
        <f aca="false">SUM(M$4:M$503)/COUNTA(A$4:A$503)</f>
        <v>667.20008</v>
      </c>
      <c r="BD116" s="92" t="n">
        <f aca="false">SUM(N$4:N$503)/COUNTA(A$4:A$503)</f>
        <v>697.19996</v>
      </c>
      <c r="BE116" s="92" t="n">
        <f aca="false">SUM(O$4:O$503)/COUNTA(A$4:A$503)</f>
        <v>713.9999</v>
      </c>
      <c r="BF116" s="92" t="n">
        <f aca="false">SUM(P$4:P$503)/COUNTA(A$4:A$503)</f>
        <v>732.59984</v>
      </c>
      <c r="BG116" s="92" t="n">
        <f aca="false">SUM(Q$4:Q$503)/COUNTA(A$4:A$503)</f>
        <v>756.59992</v>
      </c>
      <c r="BH116" s="92" t="n">
        <f aca="false">SUM(R$4:R$503)/COUNTA(A$4:A$503)</f>
        <v>776.40004</v>
      </c>
      <c r="BI116" s="92" t="n">
        <f aca="false">SUM(S$4:S$503)/COUNTA(A$4:A$503)</f>
        <v>806.40012</v>
      </c>
      <c r="BJ116" s="92" t="n">
        <f aca="false">SUM(T$4:T$503)/COUNTA(A$4:A$503)</f>
        <v>826.1999</v>
      </c>
      <c r="BK116" s="92" t="n">
        <f aca="false">SUM(U$4:U$503)/COUNTA(A$4:A$503)</f>
        <v>844.8002</v>
      </c>
      <c r="BL116" s="92" t="n">
        <f aca="false">SUM(V$4:V$503)/COUNTA(A$4:A$503)</f>
        <v>865.7998</v>
      </c>
      <c r="BM116" s="92" t="n">
        <f aca="false">SUM(W$4:W$503)/COUNTA(A$4:A$503)</f>
        <v>888.59982</v>
      </c>
      <c r="BN116" s="93" t="n">
        <f aca="false">SUM(X$4:X$503)/COUNTA(A$4:A$503)</f>
        <v>918.60034</v>
      </c>
      <c r="BO116" s="94" t="s">
        <v>20</v>
      </c>
      <c r="BP116" s="91" t="n">
        <f aca="false">IF(Z116&gt;=BB116,0,IFERROR(BB116+(SUMPRODUCT((Z$4:Z$503&gt;=BB$4:BB$503)*(Z$4:Z$503-BB$4:BB$503))/MAX(1,COUNTIF(Z$4:Z$503,"&lt;"&amp;BB116+0.01))),BB116))</f>
        <v>10695.5432177778</v>
      </c>
      <c r="BQ116" s="92" t="n">
        <f aca="false">IF(AA116&gt;=BC116,0,IFERROR(BC116+SUMPRODUCT((AA$4:AA$503&gt;=BC$4:BC$503)*(AA$4:AA$503-BC$4:BC$503))/MAX(1,COUNTIF(AA$4:AA$503,"&lt;"&amp;BC116+0.01)),BC116))</f>
        <v>2238.46589176471</v>
      </c>
      <c r="BR116" s="92" t="n">
        <f aca="false">IF(AB116&gt;=BD116,0,IFERROR(BD116+SUMPRODUCT((AB$4:AB$503&gt;=BD$4:BD$503)*(AB$4:AB$503-BD$4:BD$503))/MAX(1,COUNTIF(AB$4:AB$503,"&lt;"&amp;BD116+0.01)),BD116))</f>
        <v>3335.2938</v>
      </c>
      <c r="BS116" s="92" t="n">
        <f aca="false">IF(AC116&gt;=BE116,0,IFERROR(BE116+SUMPRODUCT((AC$4:AC$503&gt;=BE$4:BE$503)*(AC$4:AC$503-BE$4:BE$503))/MAX(1,COUNTIF(AC$4:AC$503,"&lt;"&amp;BE116+0.01)),BE116))</f>
        <v>6188.73352</v>
      </c>
      <c r="BT116" s="92" t="n">
        <f aca="false">IF(AD116&gt;=BF116,0,IFERROR(BF116+SUMPRODUCT((AD$4:AD$503&gt;=BF$4:BF$503)*(AD$4:AD$503-BF$4:BF$503))/MAX(1,COUNTIF(AD$4:AD$503,"&lt;"&amp;BF116+0.01)),BF116))</f>
        <v>11354.35411</v>
      </c>
      <c r="BU116" s="92" t="n">
        <f aca="false">IF(AE116&gt;=BG116,0,IFERROR(BG116+SUMPRODUCT((AE$4:AE$503&gt;=BG$4:BG$503)*(AE$4:AE$503-BG$4:BG$503))/MAX(1,COUNTIF(AE$4:AE$503,"&lt;"&amp;BG116+0.01)),BG116))</f>
        <v>7704.85920380952</v>
      </c>
      <c r="BV116" s="92" t="n">
        <f aca="false">IF(AF116&gt;=BH116,0,IFERROR(BH116+SUMPRODUCT((AF$4:AF$503&gt;=BH$4:BH$503)*(AF$4:AF$503-BH$4:BH$503))/MAX(1,COUNTIF(AF$4:AF$503,"&lt;"&amp;BH116+0.01)),BH116))</f>
        <v>9942.6503831579</v>
      </c>
      <c r="BW116" s="92" t="n">
        <f aca="false">IF(AG116&gt;=BI116,0,IFERROR(BI116+SUMPRODUCT((AG$4:AG$503&gt;=BI$4:BI$503)*(AG$4:AG$503-BI$4:BI$503))/MAX(1,COUNTIF(AG$4:AG$503,"&lt;"&amp;BI116+0.01)),BI116))</f>
        <v>9142.15870461538</v>
      </c>
      <c r="BX116" s="92" t="n">
        <f aca="false">IF(AH116&gt;=BJ116,0,IFERROR(BJ116+SUMPRODUCT((AH$4:AH$503&gt;=BJ$4:BJ$503)*(AH$4:AH$503-BJ$4:BJ$503))/MAX(1,COUNTIF(AH$4:AH$503,"&lt;"&amp;BJ116+0.01)),BJ116))</f>
        <v>5621.50263448276</v>
      </c>
      <c r="BY116" s="92" t="n">
        <f aca="false">IF(AI116&gt;=BK116,0,IFERROR(BK116+SUMPRODUCT((AI$4:AI$503&gt;=BK$4:BK$503)*(AI$4:AI$503-BK$4:BK$503))/MAX(1,COUNTIF(AI$4:AI$503,"&lt;"&amp;BK116+0.01)),BK116))</f>
        <v>0</v>
      </c>
      <c r="BZ116" s="92" t="n">
        <f aca="false">IF(AJ116&gt;=BL116,0,IFERROR(BL116+SUMPRODUCT((AJ$4:AJ$503&gt;=BL$4:BL$503)*(AJ$4:AJ$503-BL$4:BL$503))/MAX(1,COUNTIF(AJ$4:AJ$503,"&lt;"&amp;BL116+0.01)),BL116))</f>
        <v>0</v>
      </c>
      <c r="CA116" s="92" t="n">
        <f aca="false">IF(AK116&gt;=BM116,0,IFERROR(BM116+SUMPRODUCT((AK$4:AK$503&gt;=BM$4:BM$503)*(AK$4:AK$503-BM$4:BM$503))/MAX(1,COUNTIF(AK$4:AK$503,"&lt;"&amp;BM116+0.01)),BM116))</f>
        <v>7314.89836842105</v>
      </c>
      <c r="CB116" s="93" t="n">
        <f aca="false">IF(AL116&gt;=BN116,0,IFERROR(BN116+SUMPRODUCT((AL$4:AL$503&gt;=BN$4:BN$503)*(AL$4:AL$503-BN$4:BN$503))/MAX(1,COUNTIF(AL$4:AL$503,"&lt;"&amp;BN116+0.01)),BN116))</f>
        <v>3597.2614925</v>
      </c>
      <c r="CC116" s="95" t="str">
        <f aca="false">IF(AO116="🟢","VERDE",IF(AO116="🟡","AMARELO",IF(AO116="🟠","VERMELHO",IF(AO116="🔴","VERMELHO","ROXO"))))</f>
        <v>VERMELHO</v>
      </c>
      <c r="CD116" s="96" t="s">
        <v>176</v>
      </c>
      <c r="CE116" s="96" t="s">
        <v>102</v>
      </c>
    </row>
    <row r="117" customFormat="false" ht="14.25" hidden="false" customHeight="true" outlineLevel="0" collapsed="false">
      <c r="A117" s="65" t="s">
        <v>374</v>
      </c>
      <c r="B117" s="66" t="s">
        <v>375</v>
      </c>
      <c r="C117" s="67" t="s">
        <v>107</v>
      </c>
      <c r="D117" s="68" t="s">
        <v>108</v>
      </c>
      <c r="E117" s="69" t="s">
        <v>139</v>
      </c>
      <c r="F117" s="70" t="n">
        <f aca="false">IFERROR(VLOOKUP(C117,$AS$3:$AT$10,2,FALSE()),IFERROR(VLOOKUP(C117,$AS$15:$AT$22,2,FALSE()),""))</f>
        <v>132</v>
      </c>
      <c r="G117" s="71" t="n">
        <f aca="false">IFERROR(VLOOKUP(C117,$AS$3:$AX$10,6,FALSE()),IFERROR(VLOOKUP(C117,$AS$15:$AX$22,6,FALSE()),""))</f>
        <v>0.468190175850689</v>
      </c>
      <c r="H117" s="72" t="str">
        <f aca="false">IFERROR(VLOOKUP(C117,$AS$3:$AY$10,7,FALSE()),IFERROR(VLOOKUP(C117,$AS$15:$AY$22,7,FALSE()),""))</f>
        <v>🟡 AMARELO</v>
      </c>
      <c r="I117" s="72" t="str">
        <f aca="false">IFERROR(VLOOKUP(C117,$AS$3:$AZ$10,8,FALSE()),IFERROR(VLOOKUP(C117,$AS$15:$AZ$22,8,FALSE()),""))</f>
        <v>Sell Out</v>
      </c>
      <c r="J117" s="73"/>
      <c r="K117" s="69" t="s">
        <v>107</v>
      </c>
      <c r="L117" s="74" t="n">
        <v>9790.51</v>
      </c>
      <c r="M117" s="75" t="n">
        <v>688.01</v>
      </c>
      <c r="N117" s="75" t="n">
        <v>718.94</v>
      </c>
      <c r="O117" s="75" t="n">
        <v>736.27</v>
      </c>
      <c r="P117" s="75" t="n">
        <v>755.45</v>
      </c>
      <c r="Q117" s="75" t="n">
        <v>780.2</v>
      </c>
      <c r="R117" s="75" t="n">
        <v>800.61</v>
      </c>
      <c r="S117" s="75" t="n">
        <v>831.55</v>
      </c>
      <c r="T117" s="75" t="n">
        <v>851.97</v>
      </c>
      <c r="U117" s="75" t="n">
        <v>871.15</v>
      </c>
      <c r="V117" s="75" t="n">
        <v>892.8</v>
      </c>
      <c r="W117" s="75" t="n">
        <v>916.31</v>
      </c>
      <c r="X117" s="76" t="n">
        <v>947.25</v>
      </c>
      <c r="Y117" s="77" t="s">
        <v>20</v>
      </c>
      <c r="Z117" s="78" t="n">
        <f aca="false">SUM(AA117:AL117)</f>
        <v>3937.3</v>
      </c>
      <c r="AA117" s="75"/>
      <c r="AB117" s="75"/>
      <c r="AC117" s="75"/>
      <c r="AD117" s="75"/>
      <c r="AE117" s="75"/>
      <c r="AF117" s="75"/>
      <c r="AG117" s="75"/>
      <c r="AH117" s="79" t="n">
        <v>2161.62</v>
      </c>
      <c r="AI117" s="75"/>
      <c r="AJ117" s="75"/>
      <c r="AK117" s="79" t="n">
        <v>1775.68</v>
      </c>
      <c r="AL117" s="76"/>
      <c r="AM117" s="56" t="s">
        <v>20</v>
      </c>
      <c r="AN117" s="80" t="n">
        <f aca="false">IF(L117=0,0,Z117/L117)</f>
        <v>0.402154739640734</v>
      </c>
      <c r="AO117" s="81" t="str">
        <f aca="false">IF(AN117="","",IF(AN117&gt;=0.9,"🟢",IF(AN117&gt;=0.7,"🟡",IF(AN117&gt;=0.5,"🟠","🔴"))))</f>
        <v>🔴</v>
      </c>
      <c r="AP117" s="82" t="n">
        <f aca="false">IF(L117=0,0,L117-Z117)</f>
        <v>5853.21</v>
      </c>
      <c r="AQ117" s="83" t="n">
        <f aca="false">IF(AP117=0,"",RANK(AP117,AP$4:AP$503,0))</f>
        <v>106</v>
      </c>
      <c r="AR117" s="84" t="s">
        <v>20</v>
      </c>
      <c r="AS117" s="141"/>
      <c r="AT117" s="141"/>
      <c r="AU117" s="141"/>
      <c r="AV117" s="141"/>
      <c r="AW117" s="141"/>
      <c r="AX117" s="141"/>
      <c r="AY117" s="142"/>
      <c r="AZ117" s="142"/>
      <c r="BA117" s="56" t="s">
        <v>20</v>
      </c>
      <c r="BB117" s="91" t="n">
        <f aca="false">SUM(L$4:L$503)/COUNTA(A$4:A$503)</f>
        <v>9494.39992</v>
      </c>
      <c r="BC117" s="92" t="n">
        <f aca="false">SUM(M$4:M$503)/COUNTA(A$4:A$503)</f>
        <v>667.20008</v>
      </c>
      <c r="BD117" s="92" t="n">
        <f aca="false">SUM(N$4:N$503)/COUNTA(A$4:A$503)</f>
        <v>697.19996</v>
      </c>
      <c r="BE117" s="92" t="n">
        <f aca="false">SUM(O$4:O$503)/COUNTA(A$4:A$503)</f>
        <v>713.9999</v>
      </c>
      <c r="BF117" s="92" t="n">
        <f aca="false">SUM(P$4:P$503)/COUNTA(A$4:A$503)</f>
        <v>732.59984</v>
      </c>
      <c r="BG117" s="92" t="n">
        <f aca="false">SUM(Q$4:Q$503)/COUNTA(A$4:A$503)</f>
        <v>756.59992</v>
      </c>
      <c r="BH117" s="92" t="n">
        <f aca="false">SUM(R$4:R$503)/COUNTA(A$4:A$503)</f>
        <v>776.40004</v>
      </c>
      <c r="BI117" s="92" t="n">
        <f aca="false">SUM(S$4:S$503)/COUNTA(A$4:A$503)</f>
        <v>806.40012</v>
      </c>
      <c r="BJ117" s="92" t="n">
        <f aca="false">SUM(T$4:T$503)/COUNTA(A$4:A$503)</f>
        <v>826.1999</v>
      </c>
      <c r="BK117" s="92" t="n">
        <f aca="false">SUM(U$4:U$503)/COUNTA(A$4:A$503)</f>
        <v>844.8002</v>
      </c>
      <c r="BL117" s="92" t="n">
        <f aca="false">SUM(V$4:V$503)/COUNTA(A$4:A$503)</f>
        <v>865.7998</v>
      </c>
      <c r="BM117" s="92" t="n">
        <f aca="false">SUM(W$4:W$503)/COUNTA(A$4:A$503)</f>
        <v>888.59982</v>
      </c>
      <c r="BN117" s="93" t="n">
        <f aca="false">SUM(X$4:X$503)/COUNTA(A$4:A$503)</f>
        <v>918.60034</v>
      </c>
      <c r="BO117" s="94" t="s">
        <v>20</v>
      </c>
      <c r="BP117" s="91" t="n">
        <f aca="false">IF(Z117&gt;=BB117,0,IFERROR(BB117+(SUMPRODUCT((Z$4:Z$503&gt;=BB$4:BB$503)*(Z$4:Z$503-BB$4:BB$503))/MAX(1,COUNTIF(Z$4:Z$503,"&lt;"&amp;BB117+0.01))),BB117))</f>
        <v>10695.5432177778</v>
      </c>
      <c r="BQ117" s="92" t="n">
        <f aca="false">IF(AA117&gt;=BC117,0,IFERROR(BC117+SUMPRODUCT((AA$4:AA$503&gt;=BC$4:BC$503)*(AA$4:AA$503-BC$4:BC$503))/MAX(1,COUNTIF(AA$4:AA$503,"&lt;"&amp;BC117+0.01)),BC117))</f>
        <v>2238.46589176471</v>
      </c>
      <c r="BR117" s="92" t="n">
        <f aca="false">IF(AB117&gt;=BD117,0,IFERROR(BD117+SUMPRODUCT((AB$4:AB$503&gt;=BD$4:BD$503)*(AB$4:AB$503-BD$4:BD$503))/MAX(1,COUNTIF(AB$4:AB$503,"&lt;"&amp;BD117+0.01)),BD117))</f>
        <v>3335.2938</v>
      </c>
      <c r="BS117" s="92" t="n">
        <f aca="false">IF(AC117&gt;=BE117,0,IFERROR(BE117+SUMPRODUCT((AC$4:AC$503&gt;=BE$4:BE$503)*(AC$4:AC$503-BE$4:BE$503))/MAX(1,COUNTIF(AC$4:AC$503,"&lt;"&amp;BE117+0.01)),BE117))</f>
        <v>6188.73352</v>
      </c>
      <c r="BT117" s="92" t="n">
        <f aca="false">IF(AD117&gt;=BF117,0,IFERROR(BF117+SUMPRODUCT((AD$4:AD$503&gt;=BF$4:BF$503)*(AD$4:AD$503-BF$4:BF$503))/MAX(1,COUNTIF(AD$4:AD$503,"&lt;"&amp;BF117+0.01)),BF117))</f>
        <v>11354.35411</v>
      </c>
      <c r="BU117" s="92" t="n">
        <f aca="false">IF(AE117&gt;=BG117,0,IFERROR(BG117+SUMPRODUCT((AE$4:AE$503&gt;=BG$4:BG$503)*(AE$4:AE$503-BG$4:BG$503))/MAX(1,COUNTIF(AE$4:AE$503,"&lt;"&amp;BG117+0.01)),BG117))</f>
        <v>7704.85920380952</v>
      </c>
      <c r="BV117" s="92" t="n">
        <f aca="false">IF(AF117&gt;=BH117,0,IFERROR(BH117+SUMPRODUCT((AF$4:AF$503&gt;=BH$4:BH$503)*(AF$4:AF$503-BH$4:BH$503))/MAX(1,COUNTIF(AF$4:AF$503,"&lt;"&amp;BH117+0.01)),BH117))</f>
        <v>9942.6503831579</v>
      </c>
      <c r="BW117" s="92" t="n">
        <f aca="false">IF(AG117&gt;=BI117,0,IFERROR(BI117+SUMPRODUCT((AG$4:AG$503&gt;=BI$4:BI$503)*(AG$4:AG$503-BI$4:BI$503))/MAX(1,COUNTIF(AG$4:AG$503,"&lt;"&amp;BI117+0.01)),BI117))</f>
        <v>9142.15870461538</v>
      </c>
      <c r="BX117" s="92" t="n">
        <f aca="false">IF(AH117&gt;=BJ117,0,IFERROR(BJ117+SUMPRODUCT((AH$4:AH$503&gt;=BJ$4:BJ$503)*(AH$4:AH$503-BJ$4:BJ$503))/MAX(1,COUNTIF(AH$4:AH$503,"&lt;"&amp;BJ117+0.01)),BJ117))</f>
        <v>0</v>
      </c>
      <c r="BY117" s="92" t="n">
        <f aca="false">IF(AI117&gt;=BK117,0,IFERROR(BK117+SUMPRODUCT((AI$4:AI$503&gt;=BK$4:BK$503)*(AI$4:AI$503-BK$4:BK$503))/MAX(1,COUNTIF(AI$4:AI$503,"&lt;"&amp;BK117+0.01)),BK117))</f>
        <v>7878.25652380952</v>
      </c>
      <c r="BZ117" s="92" t="n">
        <f aca="false">IF(AJ117&gt;=BL117,0,IFERROR(BL117+SUMPRODUCT((AJ$4:AJ$503&gt;=BL$4:BL$503)*(AJ$4:AJ$503-BL$4:BL$503))/MAX(1,COUNTIF(AJ$4:AJ$503,"&lt;"&amp;BL117+0.01)),BL117))</f>
        <v>6710.03292307692</v>
      </c>
      <c r="CA117" s="92" t="n">
        <f aca="false">IF(AK117&gt;=BM117,0,IFERROR(BM117+SUMPRODUCT((AK$4:AK$503&gt;=BM$4:BM$503)*(AK$4:AK$503-BM$4:BM$503))/MAX(1,COUNTIF(AK$4:AK$503,"&lt;"&amp;BM117+0.01)),BM117))</f>
        <v>0</v>
      </c>
      <c r="CB117" s="93" t="n">
        <f aca="false">IF(AL117&gt;=BN117,0,IFERROR(BN117+SUMPRODUCT((AL$4:AL$503&gt;=BN$4:BN$503)*(AL$4:AL$503-BN$4:BN$503))/MAX(1,COUNTIF(AL$4:AL$503,"&lt;"&amp;BN117+0.01)),BN117))</f>
        <v>3597.2614925</v>
      </c>
      <c r="CC117" s="95" t="str">
        <f aca="false">IF(AO117="🟢","VERDE",IF(AO117="🟡","AMARELO",IF(AO117="🟠","VERMELHO",IF(AO117="🔴","VERMELHO","ROXO"))))</f>
        <v>VERMELHO</v>
      </c>
      <c r="CD117" s="96" t="s">
        <v>103</v>
      </c>
      <c r="CE117" s="96" t="s">
        <v>104</v>
      </c>
    </row>
    <row r="118" customFormat="false" ht="14.25" hidden="false" customHeight="true" outlineLevel="0" collapsed="false">
      <c r="A118" s="65" t="s">
        <v>376</v>
      </c>
      <c r="B118" s="66" t="s">
        <v>377</v>
      </c>
      <c r="C118" s="67" t="s">
        <v>158</v>
      </c>
      <c r="D118" s="68" t="s">
        <v>100</v>
      </c>
      <c r="E118" s="69" t="s">
        <v>243</v>
      </c>
      <c r="F118" s="70" t="n">
        <f aca="false">IFERROR(VLOOKUP(C118,$AS$3:$AT$10,2,FALSE()),IFERROR(VLOOKUP(C118,$AS$15:$AT$22,2,FALSE()),""))</f>
        <v>29</v>
      </c>
      <c r="G118" s="71" t="n">
        <f aca="false">IFERROR(VLOOKUP(C118,$AS$3:$AX$10,6,FALSE()),IFERROR(VLOOKUP(C118,$AS$15:$AX$22,6,FALSE()),""))</f>
        <v>0.458564072601712</v>
      </c>
      <c r="H118" s="72" t="str">
        <f aca="false">IFERROR(VLOOKUP(C118,$AS$3:$AY$10,7,FALSE()),IFERROR(VLOOKUP(C118,$AS$15:$AY$22,7,FALSE()),""))</f>
        <v>🟡 AMARELO</v>
      </c>
      <c r="I118" s="72" t="str">
        <f aca="false">IFERROR(VLOOKUP(C118,$AS$3:$AZ$10,8,FALSE()),IFERROR(VLOOKUP(C118,$AS$15:$AZ$22,8,FALSE()),""))</f>
        <v>Sell Out</v>
      </c>
      <c r="J118" s="73"/>
      <c r="K118" s="69" t="s">
        <v>158</v>
      </c>
      <c r="L118" s="74" t="n">
        <v>9789.4</v>
      </c>
      <c r="M118" s="75" t="n">
        <v>687.93</v>
      </c>
      <c r="N118" s="75" t="n">
        <v>718.86</v>
      </c>
      <c r="O118" s="75" t="n">
        <v>736.19</v>
      </c>
      <c r="P118" s="75" t="n">
        <v>755.36</v>
      </c>
      <c r="Q118" s="75" t="n">
        <v>780.11</v>
      </c>
      <c r="R118" s="75" t="n">
        <v>800.52</v>
      </c>
      <c r="S118" s="75" t="n">
        <v>831.46</v>
      </c>
      <c r="T118" s="75" t="n">
        <v>851.87</v>
      </c>
      <c r="U118" s="75" t="n">
        <v>871.05</v>
      </c>
      <c r="V118" s="75" t="n">
        <v>892.7</v>
      </c>
      <c r="W118" s="75" t="n">
        <v>916.21</v>
      </c>
      <c r="X118" s="76" t="n">
        <v>947.14</v>
      </c>
      <c r="Y118" s="77" t="s">
        <v>20</v>
      </c>
      <c r="Z118" s="78" t="n">
        <f aca="false">SUM(AA118:AL118)</f>
        <v>4119.1</v>
      </c>
      <c r="AA118" s="75"/>
      <c r="AB118" s="75"/>
      <c r="AC118" s="75"/>
      <c r="AD118" s="75"/>
      <c r="AE118" s="75"/>
      <c r="AF118" s="75"/>
      <c r="AG118" s="75"/>
      <c r="AH118" s="79" t="n">
        <v>4119.1</v>
      </c>
      <c r="AI118" s="75"/>
      <c r="AJ118" s="75"/>
      <c r="AK118" s="75"/>
      <c r="AL118" s="76"/>
      <c r="AM118" s="56" t="s">
        <v>20</v>
      </c>
      <c r="AN118" s="80" t="n">
        <f aca="false">IF(L118=0,0,Z118/L118)</f>
        <v>0.420771446666803</v>
      </c>
      <c r="AO118" s="81" t="str">
        <f aca="false">IF(AN118="","",IF(AN118&gt;=0.9,"🟢",IF(AN118&gt;=0.7,"🟡",IF(AN118&gt;=0.5,"🟠","🔴"))))</f>
        <v>🔴</v>
      </c>
      <c r="AP118" s="82" t="n">
        <f aca="false">IF(L118=0,0,L118-Z118)</f>
        <v>5670.3</v>
      </c>
      <c r="AQ118" s="83" t="n">
        <f aca="false">IF(AP118=0,"",RANK(AP118,AP$4:AP$503,0))</f>
        <v>110</v>
      </c>
      <c r="AR118" s="84" t="s">
        <v>20</v>
      </c>
      <c r="AS118" s="141"/>
      <c r="AT118" s="141"/>
      <c r="AU118" s="141"/>
      <c r="AV118" s="141"/>
      <c r="AW118" s="141"/>
      <c r="AX118" s="141"/>
      <c r="AY118" s="142"/>
      <c r="AZ118" s="142"/>
      <c r="BA118" s="56" t="s">
        <v>20</v>
      </c>
      <c r="BB118" s="91" t="n">
        <f aca="false">SUM(L$4:L$503)/COUNTA(A$4:A$503)</f>
        <v>9494.39992</v>
      </c>
      <c r="BC118" s="92" t="n">
        <f aca="false">SUM(M$4:M$503)/COUNTA(A$4:A$503)</f>
        <v>667.20008</v>
      </c>
      <c r="BD118" s="92" t="n">
        <f aca="false">SUM(N$4:N$503)/COUNTA(A$4:A$503)</f>
        <v>697.19996</v>
      </c>
      <c r="BE118" s="92" t="n">
        <f aca="false">SUM(O$4:O$503)/COUNTA(A$4:A$503)</f>
        <v>713.9999</v>
      </c>
      <c r="BF118" s="92" t="n">
        <f aca="false">SUM(P$4:P$503)/COUNTA(A$4:A$503)</f>
        <v>732.59984</v>
      </c>
      <c r="BG118" s="92" t="n">
        <f aca="false">SUM(Q$4:Q$503)/COUNTA(A$4:A$503)</f>
        <v>756.59992</v>
      </c>
      <c r="BH118" s="92" t="n">
        <f aca="false">SUM(R$4:R$503)/COUNTA(A$4:A$503)</f>
        <v>776.40004</v>
      </c>
      <c r="BI118" s="92" t="n">
        <f aca="false">SUM(S$4:S$503)/COUNTA(A$4:A$503)</f>
        <v>806.40012</v>
      </c>
      <c r="BJ118" s="92" t="n">
        <f aca="false">SUM(T$4:T$503)/COUNTA(A$4:A$503)</f>
        <v>826.1999</v>
      </c>
      <c r="BK118" s="92" t="n">
        <f aca="false">SUM(U$4:U$503)/COUNTA(A$4:A$503)</f>
        <v>844.8002</v>
      </c>
      <c r="BL118" s="92" t="n">
        <f aca="false">SUM(V$4:V$503)/COUNTA(A$4:A$503)</f>
        <v>865.7998</v>
      </c>
      <c r="BM118" s="92" t="n">
        <f aca="false">SUM(W$4:W$503)/COUNTA(A$4:A$503)</f>
        <v>888.59982</v>
      </c>
      <c r="BN118" s="93" t="n">
        <f aca="false">SUM(X$4:X$503)/COUNTA(A$4:A$503)</f>
        <v>918.60034</v>
      </c>
      <c r="BO118" s="94" t="s">
        <v>20</v>
      </c>
      <c r="BP118" s="91" t="n">
        <f aca="false">IF(Z118&gt;=BB118,0,IFERROR(BB118+(SUMPRODUCT((Z$4:Z$503&gt;=BB$4:BB$503)*(Z$4:Z$503-BB$4:BB$503))/MAX(1,COUNTIF(Z$4:Z$503,"&lt;"&amp;BB118+0.01))),BB118))</f>
        <v>10695.5432177778</v>
      </c>
      <c r="BQ118" s="92" t="n">
        <f aca="false">IF(AA118&gt;=BC118,0,IFERROR(BC118+SUMPRODUCT((AA$4:AA$503&gt;=BC$4:BC$503)*(AA$4:AA$503-BC$4:BC$503))/MAX(1,COUNTIF(AA$4:AA$503,"&lt;"&amp;BC118+0.01)),BC118))</f>
        <v>2238.46589176471</v>
      </c>
      <c r="BR118" s="92" t="n">
        <f aca="false">IF(AB118&gt;=BD118,0,IFERROR(BD118+SUMPRODUCT((AB$4:AB$503&gt;=BD$4:BD$503)*(AB$4:AB$503-BD$4:BD$503))/MAX(1,COUNTIF(AB$4:AB$503,"&lt;"&amp;BD118+0.01)),BD118))</f>
        <v>3335.2938</v>
      </c>
      <c r="BS118" s="92" t="n">
        <f aca="false">IF(AC118&gt;=BE118,0,IFERROR(BE118+SUMPRODUCT((AC$4:AC$503&gt;=BE$4:BE$503)*(AC$4:AC$503-BE$4:BE$503))/MAX(1,COUNTIF(AC$4:AC$503,"&lt;"&amp;BE118+0.01)),BE118))</f>
        <v>6188.73352</v>
      </c>
      <c r="BT118" s="92" t="n">
        <f aca="false">IF(AD118&gt;=BF118,0,IFERROR(BF118+SUMPRODUCT((AD$4:AD$503&gt;=BF$4:BF$503)*(AD$4:AD$503-BF$4:BF$503))/MAX(1,COUNTIF(AD$4:AD$503,"&lt;"&amp;BF118+0.01)),BF118))</f>
        <v>11354.35411</v>
      </c>
      <c r="BU118" s="92" t="n">
        <f aca="false">IF(AE118&gt;=BG118,0,IFERROR(BG118+SUMPRODUCT((AE$4:AE$503&gt;=BG$4:BG$503)*(AE$4:AE$503-BG$4:BG$503))/MAX(1,COUNTIF(AE$4:AE$503,"&lt;"&amp;BG118+0.01)),BG118))</f>
        <v>7704.85920380952</v>
      </c>
      <c r="BV118" s="92" t="n">
        <f aca="false">IF(AF118&gt;=BH118,0,IFERROR(BH118+SUMPRODUCT((AF$4:AF$503&gt;=BH$4:BH$503)*(AF$4:AF$503-BH$4:BH$503))/MAX(1,COUNTIF(AF$4:AF$503,"&lt;"&amp;BH118+0.01)),BH118))</f>
        <v>9942.6503831579</v>
      </c>
      <c r="BW118" s="92" t="n">
        <f aca="false">IF(AG118&gt;=BI118,0,IFERROR(BI118+SUMPRODUCT((AG$4:AG$503&gt;=BI$4:BI$503)*(AG$4:AG$503-BI$4:BI$503))/MAX(1,COUNTIF(AG$4:AG$503,"&lt;"&amp;BI118+0.01)),BI118))</f>
        <v>9142.15870461538</v>
      </c>
      <c r="BX118" s="92" t="n">
        <f aca="false">IF(AH118&gt;=BJ118,0,IFERROR(BJ118+SUMPRODUCT((AH$4:AH$503&gt;=BJ$4:BJ$503)*(AH$4:AH$503-BJ$4:BJ$503))/MAX(1,COUNTIF(AH$4:AH$503,"&lt;"&amp;BJ118+0.01)),BJ118))</f>
        <v>0</v>
      </c>
      <c r="BY118" s="92" t="n">
        <f aca="false">IF(AI118&gt;=BK118,0,IFERROR(BK118+SUMPRODUCT((AI$4:AI$503&gt;=BK$4:BK$503)*(AI$4:AI$503-BK$4:BK$503))/MAX(1,COUNTIF(AI$4:AI$503,"&lt;"&amp;BK118+0.01)),BK118))</f>
        <v>7878.25652380952</v>
      </c>
      <c r="BZ118" s="92" t="n">
        <f aca="false">IF(AJ118&gt;=BL118,0,IFERROR(BL118+SUMPRODUCT((AJ$4:AJ$503&gt;=BL$4:BL$503)*(AJ$4:AJ$503-BL$4:BL$503))/MAX(1,COUNTIF(AJ$4:AJ$503,"&lt;"&amp;BL118+0.01)),BL118))</f>
        <v>6710.03292307692</v>
      </c>
      <c r="CA118" s="92" t="n">
        <f aca="false">IF(AK118&gt;=BM118,0,IFERROR(BM118+SUMPRODUCT((AK$4:AK$503&gt;=BM$4:BM$503)*(AK$4:AK$503-BM$4:BM$503))/MAX(1,COUNTIF(AK$4:AK$503,"&lt;"&amp;BM118+0.01)),BM118))</f>
        <v>7314.89836842105</v>
      </c>
      <c r="CB118" s="93" t="n">
        <f aca="false">IF(AL118&gt;=BN118,0,IFERROR(BN118+SUMPRODUCT((AL$4:AL$503&gt;=BN$4:BN$503)*(AL$4:AL$503-BN$4:BN$503))/MAX(1,COUNTIF(AL$4:AL$503,"&lt;"&amp;BN118+0.01)),BN118))</f>
        <v>3597.2614925</v>
      </c>
      <c r="CC118" s="95" t="str">
        <f aca="false">IF(AO118="🟢","VERDE",IF(AO118="🟡","AMARELO",IF(AO118="🟠","VERMELHO",IF(AO118="🔴","VERMELHO","ROXO"))))</f>
        <v>VERMELHO</v>
      </c>
      <c r="CD118" s="96" t="s">
        <v>103</v>
      </c>
      <c r="CE118" s="96" t="s">
        <v>104</v>
      </c>
    </row>
    <row r="119" customFormat="false" ht="14.25" hidden="false" customHeight="true" outlineLevel="0" collapsed="false">
      <c r="A119" s="65" t="s">
        <v>378</v>
      </c>
      <c r="B119" s="66" t="s">
        <v>379</v>
      </c>
      <c r="C119" s="67" t="s">
        <v>99</v>
      </c>
      <c r="D119" s="68" t="s">
        <v>100</v>
      </c>
      <c r="E119" s="69" t="s">
        <v>127</v>
      </c>
      <c r="F119" s="70" t="n">
        <f aca="false">IFERROR(VLOOKUP(C119,$AS$3:$AT$10,2,FALSE()),IFERROR(VLOOKUP(C119,$AS$15:$AT$22,2,FALSE()),""))</f>
        <v>33</v>
      </c>
      <c r="G119" s="71" t="n">
        <f aca="false">IFERROR(VLOOKUP(C119,$AS$3:$AX$10,6,FALSE()),IFERROR(VLOOKUP(C119,$AS$15:$AX$22,6,FALSE()),""))</f>
        <v>0.341494038351172</v>
      </c>
      <c r="H119" s="72" t="str">
        <f aca="false">IFERROR(VLOOKUP(C119,$AS$3:$AY$10,7,FALSE()),IFERROR(VLOOKUP(C119,$AS$15:$AY$22,7,FALSE()),""))</f>
        <v>🔴 VERMELHO</v>
      </c>
      <c r="I119" s="72" t="str">
        <f aca="false">IFERROR(VLOOKUP(C119,$AS$3:$AZ$10,8,FALSE()),IFERROR(VLOOKUP(C119,$AS$15:$AZ$22,8,FALSE()),""))</f>
        <v>Positivação + Expandir</v>
      </c>
      <c r="J119" s="73"/>
      <c r="K119" s="69" t="s">
        <v>99</v>
      </c>
      <c r="L119" s="74" t="n">
        <v>9614.63</v>
      </c>
      <c r="M119" s="75" t="n">
        <v>675.65</v>
      </c>
      <c r="N119" s="75" t="n">
        <v>706.03</v>
      </c>
      <c r="O119" s="75" t="n">
        <v>723.04</v>
      </c>
      <c r="P119" s="75" t="n">
        <v>741.88</v>
      </c>
      <c r="Q119" s="75" t="n">
        <v>766.18</v>
      </c>
      <c r="R119" s="75" t="n">
        <v>786.23</v>
      </c>
      <c r="S119" s="75" t="n">
        <v>816.61</v>
      </c>
      <c r="T119" s="75" t="n">
        <v>836.66</v>
      </c>
      <c r="U119" s="75" t="n">
        <v>855.5</v>
      </c>
      <c r="V119" s="75" t="n">
        <v>876.77</v>
      </c>
      <c r="W119" s="75" t="n">
        <v>899.85</v>
      </c>
      <c r="X119" s="76" t="n">
        <v>930.23</v>
      </c>
      <c r="Y119" s="77" t="s">
        <v>20</v>
      </c>
      <c r="Z119" s="78" t="n">
        <f aca="false">SUM(AA119:AL119)</f>
        <v>4021.93</v>
      </c>
      <c r="AA119" s="75"/>
      <c r="AB119" s="75"/>
      <c r="AC119" s="75"/>
      <c r="AD119" s="75"/>
      <c r="AE119" s="75"/>
      <c r="AF119" s="75"/>
      <c r="AG119" s="75"/>
      <c r="AH119" s="75"/>
      <c r="AI119" s="79" t="n">
        <v>2021.53</v>
      </c>
      <c r="AJ119" s="75"/>
      <c r="AK119" s="79" t="n">
        <v>2000.4</v>
      </c>
      <c r="AL119" s="76"/>
      <c r="AM119" s="56" t="s">
        <v>20</v>
      </c>
      <c r="AN119" s="80" t="n">
        <f aca="false">IF(L119=0,0,Z119/L119)</f>
        <v>0.418313549247345</v>
      </c>
      <c r="AO119" s="81" t="str">
        <f aca="false">IF(AN119="","",IF(AN119&gt;=0.9,"🟢",IF(AN119&gt;=0.7,"🟡",IF(AN119&gt;=0.5,"🟠","🔴"))))</f>
        <v>🔴</v>
      </c>
      <c r="AP119" s="82" t="n">
        <f aca="false">IF(L119=0,0,L119-Z119)</f>
        <v>5592.7</v>
      </c>
      <c r="AQ119" s="83" t="n">
        <f aca="false">IF(AP119=0,"",RANK(AP119,AP$4:AP$503,0))</f>
        <v>112</v>
      </c>
      <c r="AR119" s="84" t="s">
        <v>20</v>
      </c>
      <c r="AS119" s="141"/>
      <c r="AT119" s="141"/>
      <c r="AU119" s="141"/>
      <c r="AV119" s="141"/>
      <c r="AW119" s="141"/>
      <c r="AX119" s="141"/>
      <c r="AY119" s="142"/>
      <c r="AZ119" s="142"/>
      <c r="BA119" s="56" t="s">
        <v>20</v>
      </c>
      <c r="BB119" s="91" t="n">
        <f aca="false">SUM(L$4:L$503)/COUNTA(A$4:A$503)</f>
        <v>9494.39992</v>
      </c>
      <c r="BC119" s="92" t="n">
        <f aca="false">SUM(M$4:M$503)/COUNTA(A$4:A$503)</f>
        <v>667.20008</v>
      </c>
      <c r="BD119" s="92" t="n">
        <f aca="false">SUM(N$4:N$503)/COUNTA(A$4:A$503)</f>
        <v>697.19996</v>
      </c>
      <c r="BE119" s="92" t="n">
        <f aca="false">SUM(O$4:O$503)/COUNTA(A$4:A$503)</f>
        <v>713.9999</v>
      </c>
      <c r="BF119" s="92" t="n">
        <f aca="false">SUM(P$4:P$503)/COUNTA(A$4:A$503)</f>
        <v>732.59984</v>
      </c>
      <c r="BG119" s="92" t="n">
        <f aca="false">SUM(Q$4:Q$503)/COUNTA(A$4:A$503)</f>
        <v>756.59992</v>
      </c>
      <c r="BH119" s="92" t="n">
        <f aca="false">SUM(R$4:R$503)/COUNTA(A$4:A$503)</f>
        <v>776.40004</v>
      </c>
      <c r="BI119" s="92" t="n">
        <f aca="false">SUM(S$4:S$503)/COUNTA(A$4:A$503)</f>
        <v>806.40012</v>
      </c>
      <c r="BJ119" s="92" t="n">
        <f aca="false">SUM(T$4:T$503)/COUNTA(A$4:A$503)</f>
        <v>826.1999</v>
      </c>
      <c r="BK119" s="92" t="n">
        <f aca="false">SUM(U$4:U$503)/COUNTA(A$4:A$503)</f>
        <v>844.8002</v>
      </c>
      <c r="BL119" s="92" t="n">
        <f aca="false">SUM(V$4:V$503)/COUNTA(A$4:A$503)</f>
        <v>865.7998</v>
      </c>
      <c r="BM119" s="92" t="n">
        <f aca="false">SUM(W$4:W$503)/COUNTA(A$4:A$503)</f>
        <v>888.59982</v>
      </c>
      <c r="BN119" s="93" t="n">
        <f aca="false">SUM(X$4:X$503)/COUNTA(A$4:A$503)</f>
        <v>918.60034</v>
      </c>
      <c r="BO119" s="94" t="s">
        <v>20</v>
      </c>
      <c r="BP119" s="91" t="n">
        <f aca="false">IF(Z119&gt;=BB119,0,IFERROR(BB119+(SUMPRODUCT((Z$4:Z$503&gt;=BB$4:BB$503)*(Z$4:Z$503-BB$4:BB$503))/MAX(1,COUNTIF(Z$4:Z$503,"&lt;"&amp;BB119+0.01))),BB119))</f>
        <v>10695.5432177778</v>
      </c>
      <c r="BQ119" s="92" t="n">
        <f aca="false">IF(AA119&gt;=BC119,0,IFERROR(BC119+SUMPRODUCT((AA$4:AA$503&gt;=BC$4:BC$503)*(AA$4:AA$503-BC$4:BC$503))/MAX(1,COUNTIF(AA$4:AA$503,"&lt;"&amp;BC119+0.01)),BC119))</f>
        <v>2238.46589176471</v>
      </c>
      <c r="BR119" s="92" t="n">
        <f aca="false">IF(AB119&gt;=BD119,0,IFERROR(BD119+SUMPRODUCT((AB$4:AB$503&gt;=BD$4:BD$503)*(AB$4:AB$503-BD$4:BD$503))/MAX(1,COUNTIF(AB$4:AB$503,"&lt;"&amp;BD119+0.01)),BD119))</f>
        <v>3335.2938</v>
      </c>
      <c r="BS119" s="92" t="n">
        <f aca="false">IF(AC119&gt;=BE119,0,IFERROR(BE119+SUMPRODUCT((AC$4:AC$503&gt;=BE$4:BE$503)*(AC$4:AC$503-BE$4:BE$503))/MAX(1,COUNTIF(AC$4:AC$503,"&lt;"&amp;BE119+0.01)),BE119))</f>
        <v>6188.73352</v>
      </c>
      <c r="BT119" s="92" t="n">
        <f aca="false">IF(AD119&gt;=BF119,0,IFERROR(BF119+SUMPRODUCT((AD$4:AD$503&gt;=BF$4:BF$503)*(AD$4:AD$503-BF$4:BF$503))/MAX(1,COUNTIF(AD$4:AD$503,"&lt;"&amp;BF119+0.01)),BF119))</f>
        <v>11354.35411</v>
      </c>
      <c r="BU119" s="92" t="n">
        <f aca="false">IF(AE119&gt;=BG119,0,IFERROR(BG119+SUMPRODUCT((AE$4:AE$503&gt;=BG$4:BG$503)*(AE$4:AE$503-BG$4:BG$503))/MAX(1,COUNTIF(AE$4:AE$503,"&lt;"&amp;BG119+0.01)),BG119))</f>
        <v>7704.85920380952</v>
      </c>
      <c r="BV119" s="92" t="n">
        <f aca="false">IF(AF119&gt;=BH119,0,IFERROR(BH119+SUMPRODUCT((AF$4:AF$503&gt;=BH$4:BH$503)*(AF$4:AF$503-BH$4:BH$503))/MAX(1,COUNTIF(AF$4:AF$503,"&lt;"&amp;BH119+0.01)),BH119))</f>
        <v>9942.6503831579</v>
      </c>
      <c r="BW119" s="92" t="n">
        <f aca="false">IF(AG119&gt;=BI119,0,IFERROR(BI119+SUMPRODUCT((AG$4:AG$503&gt;=BI$4:BI$503)*(AG$4:AG$503-BI$4:BI$503))/MAX(1,COUNTIF(AG$4:AG$503,"&lt;"&amp;BI119+0.01)),BI119))</f>
        <v>9142.15870461538</v>
      </c>
      <c r="BX119" s="92" t="n">
        <f aca="false">IF(AH119&gt;=BJ119,0,IFERROR(BJ119+SUMPRODUCT((AH$4:AH$503&gt;=BJ$4:BJ$503)*(AH$4:AH$503-BJ$4:BJ$503))/MAX(1,COUNTIF(AH$4:AH$503,"&lt;"&amp;BJ119+0.01)),BJ119))</f>
        <v>5621.50263448276</v>
      </c>
      <c r="BY119" s="92" t="n">
        <f aca="false">IF(AI119&gt;=BK119,0,IFERROR(BK119+SUMPRODUCT((AI$4:AI$503&gt;=BK$4:BK$503)*(AI$4:AI$503-BK$4:BK$503))/MAX(1,COUNTIF(AI$4:AI$503,"&lt;"&amp;BK119+0.01)),BK119))</f>
        <v>0</v>
      </c>
      <c r="BZ119" s="92" t="n">
        <f aca="false">IF(AJ119&gt;=BL119,0,IFERROR(BL119+SUMPRODUCT((AJ$4:AJ$503&gt;=BL$4:BL$503)*(AJ$4:AJ$503-BL$4:BL$503))/MAX(1,COUNTIF(AJ$4:AJ$503,"&lt;"&amp;BL119+0.01)),BL119))</f>
        <v>6710.03292307692</v>
      </c>
      <c r="CA119" s="92" t="n">
        <f aca="false">IF(AK119&gt;=BM119,0,IFERROR(BM119+SUMPRODUCT((AK$4:AK$503&gt;=BM$4:BM$503)*(AK$4:AK$503-BM$4:BM$503))/MAX(1,COUNTIF(AK$4:AK$503,"&lt;"&amp;BM119+0.01)),BM119))</f>
        <v>0</v>
      </c>
      <c r="CB119" s="93" t="n">
        <f aca="false">IF(AL119&gt;=BN119,0,IFERROR(BN119+SUMPRODUCT((AL$4:AL$503&gt;=BN$4:BN$503)*(AL$4:AL$503-BN$4:BN$503))/MAX(1,COUNTIF(AL$4:AL$503,"&lt;"&amp;BN119+0.01)),BN119))</f>
        <v>3597.2614925</v>
      </c>
      <c r="CC119" s="95" t="str">
        <f aca="false">IF(AO119="🟢","VERDE",IF(AO119="🟡","AMARELO",IF(AO119="🟠","VERMELHO",IF(AO119="🔴","VERMELHO","ROXO"))))</f>
        <v>VERMELHO</v>
      </c>
      <c r="CD119" s="96" t="s">
        <v>103</v>
      </c>
      <c r="CE119" s="96" t="s">
        <v>104</v>
      </c>
    </row>
    <row r="120" customFormat="false" ht="14.25" hidden="false" customHeight="true" outlineLevel="0" collapsed="false">
      <c r="A120" s="65" t="s">
        <v>380</v>
      </c>
      <c r="B120" s="66" t="s">
        <v>381</v>
      </c>
      <c r="C120" s="66" t="s">
        <v>66</v>
      </c>
      <c r="D120" s="68" t="s">
        <v>175</v>
      </c>
      <c r="E120" s="69" t="s">
        <v>139</v>
      </c>
      <c r="F120" s="70" t="n">
        <f aca="false">IFERROR(VLOOKUP(C120,$AS$3:$AT$10,2,FALSE()),IFERROR(VLOOKUP(C120,$AS$15:$AT$22,2,FALSE()),""))</f>
        <v>44</v>
      </c>
      <c r="G120" s="71" t="n">
        <f aca="false">IFERROR(VLOOKUP(C120,$AS$3:$AX$10,6,FALSE()),IFERROR(VLOOKUP(C120,$AS$15:$AX$22,6,FALSE()),""))</f>
        <v>0.496839506257363</v>
      </c>
      <c r="H120" s="72" t="str">
        <f aca="false">IFERROR(VLOOKUP(C120,$AS$3:$AY$10,7,FALSE()),IFERROR(VLOOKUP(C120,$AS$15:$AY$22,7,FALSE()),""))</f>
        <v>🟡 AMARELO</v>
      </c>
      <c r="I120" s="72" t="str">
        <f aca="false">IFERROR(VLOOKUP(C120,$AS$3:$AZ$10,8,FALSE()),IFERROR(VLOOKUP(C120,$AS$15:$AZ$22,8,FALSE()),""))</f>
        <v>Sell Out</v>
      </c>
      <c r="J120" s="73"/>
      <c r="K120" s="69" t="s">
        <v>107</v>
      </c>
      <c r="L120" s="74" t="n">
        <v>9517.95</v>
      </c>
      <c r="M120" s="75" t="n">
        <v>668.85</v>
      </c>
      <c r="N120" s="75" t="n">
        <v>698.93</v>
      </c>
      <c r="O120" s="75" t="n">
        <v>715.77</v>
      </c>
      <c r="P120" s="75" t="n">
        <v>734.42</v>
      </c>
      <c r="Q120" s="75" t="n">
        <v>758.48</v>
      </c>
      <c r="R120" s="75" t="n">
        <v>778.33</v>
      </c>
      <c r="S120" s="75" t="n">
        <v>808.4</v>
      </c>
      <c r="T120" s="75" t="n">
        <v>828.25</v>
      </c>
      <c r="U120" s="75" t="n">
        <v>846.89</v>
      </c>
      <c r="V120" s="75" t="n">
        <v>867.95</v>
      </c>
      <c r="W120" s="75" t="n">
        <v>890.8</v>
      </c>
      <c r="X120" s="76" t="n">
        <v>920.88</v>
      </c>
      <c r="Y120" s="77" t="s">
        <v>20</v>
      </c>
      <c r="Z120" s="78" t="n">
        <f aca="false">SUM(AA120:AL120)</f>
        <v>4675.53</v>
      </c>
      <c r="AA120" s="75"/>
      <c r="AB120" s="75"/>
      <c r="AC120" s="75"/>
      <c r="AD120" s="75"/>
      <c r="AE120" s="75"/>
      <c r="AF120" s="75"/>
      <c r="AG120" s="75"/>
      <c r="AH120" s="79" t="n">
        <v>1990.59</v>
      </c>
      <c r="AI120" s="75" t="n">
        <v>774.24</v>
      </c>
      <c r="AJ120" s="75"/>
      <c r="AK120" s="79" t="n">
        <v>758.7</v>
      </c>
      <c r="AL120" s="107" t="n">
        <v>1152</v>
      </c>
      <c r="AM120" s="56" t="s">
        <v>20</v>
      </c>
      <c r="AN120" s="80" t="n">
        <f aca="false">IF(L120=0,0,Z120/L120)</f>
        <v>0.491232881030054</v>
      </c>
      <c r="AO120" s="81" t="str">
        <f aca="false">IF(AN120="","",IF(AN120&gt;=0.9,"🟢",IF(AN120&gt;=0.7,"🟡",IF(AN120&gt;=0.5,"🟠","🔴"))))</f>
        <v>🔴</v>
      </c>
      <c r="AP120" s="82" t="n">
        <f aca="false">IF(L120=0,0,L120-Z120)</f>
        <v>4842.42</v>
      </c>
      <c r="AQ120" s="83" t="n">
        <f aca="false">IF(AP120=0,"",RANK(AP120,AP$4:AP$503,0))</f>
        <v>135</v>
      </c>
      <c r="AR120" s="84" t="s">
        <v>20</v>
      </c>
      <c r="AS120" s="141"/>
      <c r="AT120" s="141"/>
      <c r="AU120" s="141"/>
      <c r="AV120" s="141"/>
      <c r="AW120" s="141"/>
      <c r="AX120" s="141"/>
      <c r="AY120" s="142"/>
      <c r="AZ120" s="142"/>
      <c r="BA120" s="56" t="s">
        <v>20</v>
      </c>
      <c r="BB120" s="91" t="n">
        <f aca="false">SUM(L$4:L$503)/COUNTA(A$4:A$503)</f>
        <v>9494.39992</v>
      </c>
      <c r="BC120" s="92" t="n">
        <f aca="false">SUM(M$4:M$503)/COUNTA(A$4:A$503)</f>
        <v>667.20008</v>
      </c>
      <c r="BD120" s="92" t="n">
        <f aca="false">SUM(N$4:N$503)/COUNTA(A$4:A$503)</f>
        <v>697.19996</v>
      </c>
      <c r="BE120" s="92" t="n">
        <f aca="false">SUM(O$4:O$503)/COUNTA(A$4:A$503)</f>
        <v>713.9999</v>
      </c>
      <c r="BF120" s="92" t="n">
        <f aca="false">SUM(P$4:P$503)/COUNTA(A$4:A$503)</f>
        <v>732.59984</v>
      </c>
      <c r="BG120" s="92" t="n">
        <f aca="false">SUM(Q$4:Q$503)/COUNTA(A$4:A$503)</f>
        <v>756.59992</v>
      </c>
      <c r="BH120" s="92" t="n">
        <f aca="false">SUM(R$4:R$503)/COUNTA(A$4:A$503)</f>
        <v>776.40004</v>
      </c>
      <c r="BI120" s="92" t="n">
        <f aca="false">SUM(S$4:S$503)/COUNTA(A$4:A$503)</f>
        <v>806.40012</v>
      </c>
      <c r="BJ120" s="92" t="n">
        <f aca="false">SUM(T$4:T$503)/COUNTA(A$4:A$503)</f>
        <v>826.1999</v>
      </c>
      <c r="BK120" s="92" t="n">
        <f aca="false">SUM(U$4:U$503)/COUNTA(A$4:A$503)</f>
        <v>844.8002</v>
      </c>
      <c r="BL120" s="92" t="n">
        <f aca="false">SUM(V$4:V$503)/COUNTA(A$4:A$503)</f>
        <v>865.7998</v>
      </c>
      <c r="BM120" s="92" t="n">
        <f aca="false">SUM(W$4:W$503)/COUNTA(A$4:A$503)</f>
        <v>888.59982</v>
      </c>
      <c r="BN120" s="93" t="n">
        <f aca="false">SUM(X$4:X$503)/COUNTA(A$4:A$503)</f>
        <v>918.60034</v>
      </c>
      <c r="BO120" s="94" t="s">
        <v>20</v>
      </c>
      <c r="BP120" s="91" t="n">
        <f aca="false">IF(Z120&gt;=BB120,0,IFERROR(BB120+(SUMPRODUCT((Z$4:Z$503&gt;=BB$4:BB$503)*(Z$4:Z$503-BB$4:BB$503))/MAX(1,COUNTIF(Z$4:Z$503,"&lt;"&amp;BB120+0.01))),BB120))</f>
        <v>10695.5432177778</v>
      </c>
      <c r="BQ120" s="92" t="n">
        <f aca="false">IF(AA120&gt;=BC120,0,IFERROR(BC120+SUMPRODUCT((AA$4:AA$503&gt;=BC$4:BC$503)*(AA$4:AA$503-BC$4:BC$503))/MAX(1,COUNTIF(AA$4:AA$503,"&lt;"&amp;BC120+0.01)),BC120))</f>
        <v>2238.46589176471</v>
      </c>
      <c r="BR120" s="92" t="n">
        <f aca="false">IF(AB120&gt;=BD120,0,IFERROR(BD120+SUMPRODUCT((AB$4:AB$503&gt;=BD$4:BD$503)*(AB$4:AB$503-BD$4:BD$503))/MAX(1,COUNTIF(AB$4:AB$503,"&lt;"&amp;BD120+0.01)),BD120))</f>
        <v>3335.2938</v>
      </c>
      <c r="BS120" s="92" t="n">
        <f aca="false">IF(AC120&gt;=BE120,0,IFERROR(BE120+SUMPRODUCT((AC$4:AC$503&gt;=BE$4:BE$503)*(AC$4:AC$503-BE$4:BE$503))/MAX(1,COUNTIF(AC$4:AC$503,"&lt;"&amp;BE120+0.01)),BE120))</f>
        <v>6188.73352</v>
      </c>
      <c r="BT120" s="92" t="n">
        <f aca="false">IF(AD120&gt;=BF120,0,IFERROR(BF120+SUMPRODUCT((AD$4:AD$503&gt;=BF$4:BF$503)*(AD$4:AD$503-BF$4:BF$503))/MAX(1,COUNTIF(AD$4:AD$503,"&lt;"&amp;BF120+0.01)),BF120))</f>
        <v>11354.35411</v>
      </c>
      <c r="BU120" s="92" t="n">
        <f aca="false">IF(AE120&gt;=BG120,0,IFERROR(BG120+SUMPRODUCT((AE$4:AE$503&gt;=BG$4:BG$503)*(AE$4:AE$503-BG$4:BG$503))/MAX(1,COUNTIF(AE$4:AE$503,"&lt;"&amp;BG120+0.01)),BG120))</f>
        <v>7704.85920380952</v>
      </c>
      <c r="BV120" s="92" t="n">
        <f aca="false">IF(AF120&gt;=BH120,0,IFERROR(BH120+SUMPRODUCT((AF$4:AF$503&gt;=BH$4:BH$503)*(AF$4:AF$503-BH$4:BH$503))/MAX(1,COUNTIF(AF$4:AF$503,"&lt;"&amp;BH120+0.01)),BH120))</f>
        <v>9942.6503831579</v>
      </c>
      <c r="BW120" s="92" t="n">
        <f aca="false">IF(AG120&gt;=BI120,0,IFERROR(BI120+SUMPRODUCT((AG$4:AG$503&gt;=BI$4:BI$503)*(AG$4:AG$503-BI$4:BI$503))/MAX(1,COUNTIF(AG$4:AG$503,"&lt;"&amp;BI120+0.01)),BI120))</f>
        <v>9142.15870461538</v>
      </c>
      <c r="BX120" s="92" t="n">
        <f aca="false">IF(AH120&gt;=BJ120,0,IFERROR(BJ120+SUMPRODUCT((AH$4:AH$503&gt;=BJ$4:BJ$503)*(AH$4:AH$503-BJ$4:BJ$503))/MAX(1,COUNTIF(AH$4:AH$503,"&lt;"&amp;BJ120+0.01)),BJ120))</f>
        <v>0</v>
      </c>
      <c r="BY120" s="92" t="n">
        <f aca="false">IF(AI120&gt;=BK120,0,IFERROR(BK120+SUMPRODUCT((AI$4:AI$503&gt;=BK$4:BK$503)*(AI$4:AI$503-BK$4:BK$503))/MAX(1,COUNTIF(AI$4:AI$503,"&lt;"&amp;BK120+0.01)),BK120))</f>
        <v>7878.25652380952</v>
      </c>
      <c r="BZ120" s="92" t="n">
        <f aca="false">IF(AJ120&gt;=BL120,0,IFERROR(BL120+SUMPRODUCT((AJ$4:AJ$503&gt;=BL$4:BL$503)*(AJ$4:AJ$503-BL$4:BL$503))/MAX(1,COUNTIF(AJ$4:AJ$503,"&lt;"&amp;BL120+0.01)),BL120))</f>
        <v>6710.03292307692</v>
      </c>
      <c r="CA120" s="92" t="n">
        <f aca="false">IF(AK120&gt;=BM120,0,IFERROR(BM120+SUMPRODUCT((AK$4:AK$503&gt;=BM$4:BM$503)*(AK$4:AK$503-BM$4:BM$503))/MAX(1,COUNTIF(AK$4:AK$503,"&lt;"&amp;BM120+0.01)),BM120))</f>
        <v>7314.89836842105</v>
      </c>
      <c r="CB120" s="93" t="n">
        <f aca="false">IF(AL120&gt;=BN120,0,IFERROR(BN120+SUMPRODUCT((AL$4:AL$503&gt;=BN$4:BN$503)*(AL$4:AL$503-BN$4:BN$503))/MAX(1,COUNTIF(AL$4:AL$503,"&lt;"&amp;BN120+0.01)),BN120))</f>
        <v>0</v>
      </c>
      <c r="CC120" s="95" t="str">
        <f aca="false">IF(AO120="🟢","VERDE",IF(AO120="🟡","AMARELO",IF(AO120="🟠","VERMELHO",IF(AO120="🔴","VERMELHO","ROXO"))))</f>
        <v>VERMELHO</v>
      </c>
      <c r="CD120" s="96" t="s">
        <v>176</v>
      </c>
      <c r="CE120" s="96" t="s">
        <v>66</v>
      </c>
    </row>
    <row r="121" customFormat="false" ht="14.25" hidden="false" customHeight="true" outlineLevel="0" collapsed="false">
      <c r="A121" s="65" t="s">
        <v>382</v>
      </c>
      <c r="B121" s="66" t="s">
        <v>383</v>
      </c>
      <c r="C121" s="67" t="s">
        <v>99</v>
      </c>
      <c r="D121" s="68" t="s">
        <v>100</v>
      </c>
      <c r="E121" s="69" t="s">
        <v>311</v>
      </c>
      <c r="F121" s="70" t="n">
        <f aca="false">IFERROR(VLOOKUP(C121,$AS$3:$AT$10,2,FALSE()),IFERROR(VLOOKUP(C121,$AS$15:$AT$22,2,FALSE()),""))</f>
        <v>33</v>
      </c>
      <c r="G121" s="71" t="n">
        <f aca="false">IFERROR(VLOOKUP(C121,$AS$3:$AX$10,6,FALSE()),IFERROR(VLOOKUP(C121,$AS$15:$AX$22,6,FALSE()),""))</f>
        <v>0.341494038351172</v>
      </c>
      <c r="H121" s="72" t="str">
        <f aca="false">IFERROR(VLOOKUP(C121,$AS$3:$AY$10,7,FALSE()),IFERROR(VLOOKUP(C121,$AS$15:$AY$22,7,FALSE()),""))</f>
        <v>🔴 VERMELHO</v>
      </c>
      <c r="I121" s="72" t="str">
        <f aca="false">IFERROR(VLOOKUP(C121,$AS$3:$AZ$10,8,FALSE()),IFERROR(VLOOKUP(C121,$AS$15:$AZ$22,8,FALSE()),""))</f>
        <v>Positivação + Expandir</v>
      </c>
      <c r="J121" s="73"/>
      <c r="K121" s="69" t="s">
        <v>99</v>
      </c>
      <c r="L121" s="74" t="n">
        <v>9485.99</v>
      </c>
      <c r="M121" s="75" t="n">
        <v>666.61</v>
      </c>
      <c r="N121" s="75" t="n">
        <v>696.58</v>
      </c>
      <c r="O121" s="75" t="n">
        <v>713.37</v>
      </c>
      <c r="P121" s="75" t="n">
        <v>731.95</v>
      </c>
      <c r="Q121" s="75" t="n">
        <v>755.93</v>
      </c>
      <c r="R121" s="75" t="n">
        <v>775.71</v>
      </c>
      <c r="S121" s="75" t="n">
        <v>805.69</v>
      </c>
      <c r="T121" s="75" t="n">
        <v>825.47</v>
      </c>
      <c r="U121" s="75" t="n">
        <v>844.05</v>
      </c>
      <c r="V121" s="75" t="n">
        <v>865.03</v>
      </c>
      <c r="W121" s="75" t="n">
        <v>887.81</v>
      </c>
      <c r="X121" s="76" t="n">
        <v>917.79</v>
      </c>
      <c r="Y121" s="77" t="s">
        <v>20</v>
      </c>
      <c r="Z121" s="78" t="n">
        <f aca="false">SUM(AA121:AL121)</f>
        <v>3912.71</v>
      </c>
      <c r="AA121" s="75"/>
      <c r="AB121" s="75"/>
      <c r="AC121" s="75"/>
      <c r="AD121" s="75"/>
      <c r="AE121" s="75"/>
      <c r="AF121" s="75"/>
      <c r="AG121" s="75"/>
      <c r="AH121" s="79" t="n">
        <v>3912.71</v>
      </c>
      <c r="AI121" s="75"/>
      <c r="AJ121" s="75"/>
      <c r="AK121" s="75"/>
      <c r="AL121" s="76"/>
      <c r="AM121" s="56" t="s">
        <v>20</v>
      </c>
      <c r="AN121" s="80" t="n">
        <f aca="false">IF(L121=0,0,Z121/L121)</f>
        <v>0.412472498916824</v>
      </c>
      <c r="AO121" s="81" t="str">
        <f aca="false">IF(AN121="","",IF(AN121&gt;=0.9,"🟢",IF(AN121&gt;=0.7,"🟡",IF(AN121&gt;=0.5,"🟠","🔴"))))</f>
        <v>🔴</v>
      </c>
      <c r="AP121" s="82" t="n">
        <f aca="false">IF(L121=0,0,L121-Z121)</f>
        <v>5573.28</v>
      </c>
      <c r="AQ121" s="83" t="n">
        <f aca="false">IF(AP121=0,"",RANK(AP121,AP$4:AP$503,0))</f>
        <v>113</v>
      </c>
      <c r="AR121" s="84" t="s">
        <v>20</v>
      </c>
      <c r="AS121" s="141"/>
      <c r="AT121" s="141"/>
      <c r="AU121" s="141"/>
      <c r="AV121" s="141"/>
      <c r="AW121" s="141"/>
      <c r="AX121" s="141"/>
      <c r="AY121" s="142"/>
      <c r="AZ121" s="142"/>
      <c r="BA121" s="56" t="s">
        <v>20</v>
      </c>
      <c r="BB121" s="91" t="n">
        <f aca="false">SUM(L$4:L$503)/COUNTA(A$4:A$503)</f>
        <v>9494.39992</v>
      </c>
      <c r="BC121" s="92" t="n">
        <f aca="false">SUM(M$4:M$503)/COUNTA(A$4:A$503)</f>
        <v>667.20008</v>
      </c>
      <c r="BD121" s="92" t="n">
        <f aca="false">SUM(N$4:N$503)/COUNTA(A$4:A$503)</f>
        <v>697.19996</v>
      </c>
      <c r="BE121" s="92" t="n">
        <f aca="false">SUM(O$4:O$503)/COUNTA(A$4:A$503)</f>
        <v>713.9999</v>
      </c>
      <c r="BF121" s="92" t="n">
        <f aca="false">SUM(P$4:P$503)/COUNTA(A$4:A$503)</f>
        <v>732.59984</v>
      </c>
      <c r="BG121" s="92" t="n">
        <f aca="false">SUM(Q$4:Q$503)/COUNTA(A$4:A$503)</f>
        <v>756.59992</v>
      </c>
      <c r="BH121" s="92" t="n">
        <f aca="false">SUM(R$4:R$503)/COUNTA(A$4:A$503)</f>
        <v>776.40004</v>
      </c>
      <c r="BI121" s="92" t="n">
        <f aca="false">SUM(S$4:S$503)/COUNTA(A$4:A$503)</f>
        <v>806.40012</v>
      </c>
      <c r="BJ121" s="92" t="n">
        <f aca="false">SUM(T$4:T$503)/COUNTA(A$4:A$503)</f>
        <v>826.1999</v>
      </c>
      <c r="BK121" s="92" t="n">
        <f aca="false">SUM(U$4:U$503)/COUNTA(A$4:A$503)</f>
        <v>844.8002</v>
      </c>
      <c r="BL121" s="92" t="n">
        <f aca="false">SUM(V$4:V$503)/COUNTA(A$4:A$503)</f>
        <v>865.7998</v>
      </c>
      <c r="BM121" s="92" t="n">
        <f aca="false">SUM(W$4:W$503)/COUNTA(A$4:A$503)</f>
        <v>888.59982</v>
      </c>
      <c r="BN121" s="93" t="n">
        <f aca="false">SUM(X$4:X$503)/COUNTA(A$4:A$503)</f>
        <v>918.60034</v>
      </c>
      <c r="BO121" s="94" t="s">
        <v>20</v>
      </c>
      <c r="BP121" s="91" t="n">
        <f aca="false">IF(Z121&gt;=BB121,0,IFERROR(BB121+(SUMPRODUCT((Z$4:Z$503&gt;=BB$4:BB$503)*(Z$4:Z$503-BB$4:BB$503))/MAX(1,COUNTIF(Z$4:Z$503,"&lt;"&amp;BB121+0.01))),BB121))</f>
        <v>10695.5432177778</v>
      </c>
      <c r="BQ121" s="92" t="n">
        <f aca="false">IF(AA121&gt;=BC121,0,IFERROR(BC121+SUMPRODUCT((AA$4:AA$503&gt;=BC$4:BC$503)*(AA$4:AA$503-BC$4:BC$503))/MAX(1,COUNTIF(AA$4:AA$503,"&lt;"&amp;BC121+0.01)),BC121))</f>
        <v>2238.46589176471</v>
      </c>
      <c r="BR121" s="92" t="n">
        <f aca="false">IF(AB121&gt;=BD121,0,IFERROR(BD121+SUMPRODUCT((AB$4:AB$503&gt;=BD$4:BD$503)*(AB$4:AB$503-BD$4:BD$503))/MAX(1,COUNTIF(AB$4:AB$503,"&lt;"&amp;BD121+0.01)),BD121))</f>
        <v>3335.2938</v>
      </c>
      <c r="BS121" s="92" t="n">
        <f aca="false">IF(AC121&gt;=BE121,0,IFERROR(BE121+SUMPRODUCT((AC$4:AC$503&gt;=BE$4:BE$503)*(AC$4:AC$503-BE$4:BE$503))/MAX(1,COUNTIF(AC$4:AC$503,"&lt;"&amp;BE121+0.01)),BE121))</f>
        <v>6188.73352</v>
      </c>
      <c r="BT121" s="92" t="n">
        <f aca="false">IF(AD121&gt;=BF121,0,IFERROR(BF121+SUMPRODUCT((AD$4:AD$503&gt;=BF$4:BF$503)*(AD$4:AD$503-BF$4:BF$503))/MAX(1,COUNTIF(AD$4:AD$503,"&lt;"&amp;BF121+0.01)),BF121))</f>
        <v>11354.35411</v>
      </c>
      <c r="BU121" s="92" t="n">
        <f aca="false">IF(AE121&gt;=BG121,0,IFERROR(BG121+SUMPRODUCT((AE$4:AE$503&gt;=BG$4:BG$503)*(AE$4:AE$503-BG$4:BG$503))/MAX(1,COUNTIF(AE$4:AE$503,"&lt;"&amp;BG121+0.01)),BG121))</f>
        <v>7704.85920380952</v>
      </c>
      <c r="BV121" s="92" t="n">
        <f aca="false">IF(AF121&gt;=BH121,0,IFERROR(BH121+SUMPRODUCT((AF$4:AF$503&gt;=BH$4:BH$503)*(AF$4:AF$503-BH$4:BH$503))/MAX(1,COUNTIF(AF$4:AF$503,"&lt;"&amp;BH121+0.01)),BH121))</f>
        <v>9942.6503831579</v>
      </c>
      <c r="BW121" s="92" t="n">
        <f aca="false">IF(AG121&gt;=BI121,0,IFERROR(BI121+SUMPRODUCT((AG$4:AG$503&gt;=BI$4:BI$503)*(AG$4:AG$503-BI$4:BI$503))/MAX(1,COUNTIF(AG$4:AG$503,"&lt;"&amp;BI121+0.01)),BI121))</f>
        <v>9142.15870461538</v>
      </c>
      <c r="BX121" s="92" t="n">
        <f aca="false">IF(AH121&gt;=BJ121,0,IFERROR(BJ121+SUMPRODUCT((AH$4:AH$503&gt;=BJ$4:BJ$503)*(AH$4:AH$503-BJ$4:BJ$503))/MAX(1,COUNTIF(AH$4:AH$503,"&lt;"&amp;BJ121+0.01)),BJ121))</f>
        <v>0</v>
      </c>
      <c r="BY121" s="92" t="n">
        <f aca="false">IF(AI121&gt;=BK121,0,IFERROR(BK121+SUMPRODUCT((AI$4:AI$503&gt;=BK$4:BK$503)*(AI$4:AI$503-BK$4:BK$503))/MAX(1,COUNTIF(AI$4:AI$503,"&lt;"&amp;BK121+0.01)),BK121))</f>
        <v>7878.25652380952</v>
      </c>
      <c r="BZ121" s="92" t="n">
        <f aca="false">IF(AJ121&gt;=BL121,0,IFERROR(BL121+SUMPRODUCT((AJ$4:AJ$503&gt;=BL$4:BL$503)*(AJ$4:AJ$503-BL$4:BL$503))/MAX(1,COUNTIF(AJ$4:AJ$503,"&lt;"&amp;BL121+0.01)),BL121))</f>
        <v>6710.03292307692</v>
      </c>
      <c r="CA121" s="92" t="n">
        <f aca="false">IF(AK121&gt;=BM121,0,IFERROR(BM121+SUMPRODUCT((AK$4:AK$503&gt;=BM$4:BM$503)*(AK$4:AK$503-BM$4:BM$503))/MAX(1,COUNTIF(AK$4:AK$503,"&lt;"&amp;BM121+0.01)),BM121))</f>
        <v>7314.89836842105</v>
      </c>
      <c r="CB121" s="93" t="n">
        <f aca="false">IF(AL121&gt;=BN121,0,IFERROR(BN121+SUMPRODUCT((AL$4:AL$503&gt;=BN$4:BN$503)*(AL$4:AL$503-BN$4:BN$503))/MAX(1,COUNTIF(AL$4:AL$503,"&lt;"&amp;BN121+0.01)),BN121))</f>
        <v>3597.2614925</v>
      </c>
      <c r="CC121" s="95" t="str">
        <f aca="false">IF(AO121="🟢","VERDE",IF(AO121="🟡","AMARELO",IF(AO121="🟠","VERMELHO",IF(AO121="🔴","VERMELHO","ROXO"))))</f>
        <v>VERMELHO</v>
      </c>
      <c r="CD121" s="96" t="s">
        <v>103</v>
      </c>
      <c r="CE121" s="96" t="s">
        <v>104</v>
      </c>
    </row>
    <row r="122" customFormat="false" ht="14.25" hidden="false" customHeight="true" outlineLevel="0" collapsed="false">
      <c r="A122" s="65" t="s">
        <v>384</v>
      </c>
      <c r="B122" s="66" t="s">
        <v>385</v>
      </c>
      <c r="C122" s="67" t="s">
        <v>113</v>
      </c>
      <c r="D122" s="68" t="s">
        <v>100</v>
      </c>
      <c r="E122" s="69" t="s">
        <v>114</v>
      </c>
      <c r="F122" s="70" t="n">
        <f aca="false">IFERROR(VLOOKUP(C122,$AS$3:$AT$10,2,FALSE()),IFERROR(VLOOKUP(C122,$AS$15:$AT$22,2,FALSE()),""))</f>
        <v>49</v>
      </c>
      <c r="G122" s="71" t="n">
        <f aca="false">IFERROR(VLOOKUP(C122,$AS$3:$AX$10,6,FALSE()),IFERROR(VLOOKUP(C122,$AS$15:$AX$22,6,FALSE()),""))</f>
        <v>0.463965086137302</v>
      </c>
      <c r="H122" s="72" t="str">
        <f aca="false">IFERROR(VLOOKUP(C122,$AS$3:$AY$10,7,FALSE()),IFERROR(VLOOKUP(C122,$AS$15:$AY$22,7,FALSE()),""))</f>
        <v>🟡 AMARELO</v>
      </c>
      <c r="I122" s="72" t="str">
        <f aca="false">IFERROR(VLOOKUP(C122,$AS$3:$AZ$10,8,FALSE()),IFERROR(VLOOKUP(C122,$AS$15:$AZ$22,8,FALSE()),""))</f>
        <v>Sell Out</v>
      </c>
      <c r="J122" s="73"/>
      <c r="K122" s="69" t="s">
        <v>113</v>
      </c>
      <c r="L122" s="74" t="n">
        <v>9470.13</v>
      </c>
      <c r="M122" s="75" t="n">
        <v>665.49</v>
      </c>
      <c r="N122" s="75" t="n">
        <v>695.42</v>
      </c>
      <c r="O122" s="75" t="n">
        <v>712.17</v>
      </c>
      <c r="P122" s="75" t="n">
        <v>730.73</v>
      </c>
      <c r="Q122" s="75" t="n">
        <v>754.67</v>
      </c>
      <c r="R122" s="75" t="n">
        <v>774.41</v>
      </c>
      <c r="S122" s="75" t="n">
        <v>804.34</v>
      </c>
      <c r="T122" s="75" t="n">
        <v>824.09</v>
      </c>
      <c r="U122" s="75" t="n">
        <v>842.64</v>
      </c>
      <c r="V122" s="75" t="n">
        <v>863.59</v>
      </c>
      <c r="W122" s="75" t="n">
        <v>886.33</v>
      </c>
      <c r="X122" s="76" t="n">
        <v>916.25</v>
      </c>
      <c r="Y122" s="77" t="s">
        <v>20</v>
      </c>
      <c r="Z122" s="78" t="n">
        <f aca="false">SUM(AA122:AL122)</f>
        <v>4191.93</v>
      </c>
      <c r="AA122" s="75"/>
      <c r="AB122" s="75"/>
      <c r="AC122" s="75"/>
      <c r="AD122" s="75"/>
      <c r="AE122" s="75"/>
      <c r="AF122" s="75"/>
      <c r="AG122" s="75"/>
      <c r="AH122" s="79" t="n">
        <v>933.42</v>
      </c>
      <c r="AI122" s="75"/>
      <c r="AJ122" s="79" t="n">
        <v>1517.12</v>
      </c>
      <c r="AK122" s="75"/>
      <c r="AL122" s="76" t="n">
        <v>1741.39</v>
      </c>
      <c r="AM122" s="56" t="s">
        <v>20</v>
      </c>
      <c r="AN122" s="80" t="n">
        <f aca="false">IF(L122=0,0,Z122/L122)</f>
        <v>0.442647566612074</v>
      </c>
      <c r="AO122" s="81" t="str">
        <f aca="false">IF(AN122="","",IF(AN122&gt;=0.9,"🟢",IF(AN122&gt;=0.7,"🟡",IF(AN122&gt;=0.5,"🟠","🔴"))))</f>
        <v>🔴</v>
      </c>
      <c r="AP122" s="82" t="n">
        <f aca="false">IF(L122=0,0,L122-Z122)</f>
        <v>5278.2</v>
      </c>
      <c r="AQ122" s="83" t="n">
        <f aca="false">IF(AP122=0,"",RANK(AP122,AP$4:AP$503,0))</f>
        <v>120</v>
      </c>
      <c r="AR122" s="84" t="s">
        <v>20</v>
      </c>
      <c r="AS122" s="141"/>
      <c r="AT122" s="141"/>
      <c r="AU122" s="141"/>
      <c r="AV122" s="141"/>
      <c r="AW122" s="141"/>
      <c r="AX122" s="141"/>
      <c r="AY122" s="142"/>
      <c r="AZ122" s="142"/>
      <c r="BA122" s="56" t="s">
        <v>20</v>
      </c>
      <c r="BB122" s="91" t="n">
        <f aca="false">SUM(L$4:L$503)/COUNTA(A$4:A$503)</f>
        <v>9494.39992</v>
      </c>
      <c r="BC122" s="92" t="n">
        <f aca="false">SUM(M$4:M$503)/COUNTA(A$4:A$503)</f>
        <v>667.20008</v>
      </c>
      <c r="BD122" s="92" t="n">
        <f aca="false">SUM(N$4:N$503)/COUNTA(A$4:A$503)</f>
        <v>697.19996</v>
      </c>
      <c r="BE122" s="92" t="n">
        <f aca="false">SUM(O$4:O$503)/COUNTA(A$4:A$503)</f>
        <v>713.9999</v>
      </c>
      <c r="BF122" s="92" t="n">
        <f aca="false">SUM(P$4:P$503)/COUNTA(A$4:A$503)</f>
        <v>732.59984</v>
      </c>
      <c r="BG122" s="92" t="n">
        <f aca="false">SUM(Q$4:Q$503)/COUNTA(A$4:A$503)</f>
        <v>756.59992</v>
      </c>
      <c r="BH122" s="92" t="n">
        <f aca="false">SUM(R$4:R$503)/COUNTA(A$4:A$503)</f>
        <v>776.40004</v>
      </c>
      <c r="BI122" s="92" t="n">
        <f aca="false">SUM(S$4:S$503)/COUNTA(A$4:A$503)</f>
        <v>806.40012</v>
      </c>
      <c r="BJ122" s="92" t="n">
        <f aca="false">SUM(T$4:T$503)/COUNTA(A$4:A$503)</f>
        <v>826.1999</v>
      </c>
      <c r="BK122" s="92" t="n">
        <f aca="false">SUM(U$4:U$503)/COUNTA(A$4:A$503)</f>
        <v>844.8002</v>
      </c>
      <c r="BL122" s="92" t="n">
        <f aca="false">SUM(V$4:V$503)/COUNTA(A$4:A$503)</f>
        <v>865.7998</v>
      </c>
      <c r="BM122" s="92" t="n">
        <f aca="false">SUM(W$4:W$503)/COUNTA(A$4:A$503)</f>
        <v>888.59982</v>
      </c>
      <c r="BN122" s="93" t="n">
        <f aca="false">SUM(X$4:X$503)/COUNTA(A$4:A$503)</f>
        <v>918.60034</v>
      </c>
      <c r="BO122" s="94" t="s">
        <v>20</v>
      </c>
      <c r="BP122" s="91" t="n">
        <f aca="false">IF(Z122&gt;=BB122,0,IFERROR(BB122+(SUMPRODUCT((Z$4:Z$503&gt;=BB$4:BB$503)*(Z$4:Z$503-BB$4:BB$503))/MAX(1,COUNTIF(Z$4:Z$503,"&lt;"&amp;BB122+0.01))),BB122))</f>
        <v>10695.5432177778</v>
      </c>
      <c r="BQ122" s="92" t="n">
        <f aca="false">IF(AA122&gt;=BC122,0,IFERROR(BC122+SUMPRODUCT((AA$4:AA$503&gt;=BC$4:BC$503)*(AA$4:AA$503-BC$4:BC$503))/MAX(1,COUNTIF(AA$4:AA$503,"&lt;"&amp;BC122+0.01)),BC122))</f>
        <v>2238.46589176471</v>
      </c>
      <c r="BR122" s="92" t="n">
        <f aca="false">IF(AB122&gt;=BD122,0,IFERROR(BD122+SUMPRODUCT((AB$4:AB$503&gt;=BD$4:BD$503)*(AB$4:AB$503-BD$4:BD$503))/MAX(1,COUNTIF(AB$4:AB$503,"&lt;"&amp;BD122+0.01)),BD122))</f>
        <v>3335.2938</v>
      </c>
      <c r="BS122" s="92" t="n">
        <f aca="false">IF(AC122&gt;=BE122,0,IFERROR(BE122+SUMPRODUCT((AC$4:AC$503&gt;=BE$4:BE$503)*(AC$4:AC$503-BE$4:BE$503))/MAX(1,COUNTIF(AC$4:AC$503,"&lt;"&amp;BE122+0.01)),BE122))</f>
        <v>6188.73352</v>
      </c>
      <c r="BT122" s="92" t="n">
        <f aca="false">IF(AD122&gt;=BF122,0,IFERROR(BF122+SUMPRODUCT((AD$4:AD$503&gt;=BF$4:BF$503)*(AD$4:AD$503-BF$4:BF$503))/MAX(1,COUNTIF(AD$4:AD$503,"&lt;"&amp;BF122+0.01)),BF122))</f>
        <v>11354.35411</v>
      </c>
      <c r="BU122" s="92" t="n">
        <f aca="false">IF(AE122&gt;=BG122,0,IFERROR(BG122+SUMPRODUCT((AE$4:AE$503&gt;=BG$4:BG$503)*(AE$4:AE$503-BG$4:BG$503))/MAX(1,COUNTIF(AE$4:AE$503,"&lt;"&amp;BG122+0.01)),BG122))</f>
        <v>7704.85920380952</v>
      </c>
      <c r="BV122" s="92" t="n">
        <f aca="false">IF(AF122&gt;=BH122,0,IFERROR(BH122+SUMPRODUCT((AF$4:AF$503&gt;=BH$4:BH$503)*(AF$4:AF$503-BH$4:BH$503))/MAX(1,COUNTIF(AF$4:AF$503,"&lt;"&amp;BH122+0.01)),BH122))</f>
        <v>9942.6503831579</v>
      </c>
      <c r="BW122" s="92" t="n">
        <f aca="false">IF(AG122&gt;=BI122,0,IFERROR(BI122+SUMPRODUCT((AG$4:AG$503&gt;=BI$4:BI$503)*(AG$4:AG$503-BI$4:BI$503))/MAX(1,COUNTIF(AG$4:AG$503,"&lt;"&amp;BI122+0.01)),BI122))</f>
        <v>9142.15870461538</v>
      </c>
      <c r="BX122" s="92" t="n">
        <f aca="false">IF(AH122&gt;=BJ122,0,IFERROR(BJ122+SUMPRODUCT((AH$4:AH$503&gt;=BJ$4:BJ$503)*(AH$4:AH$503-BJ$4:BJ$503))/MAX(1,COUNTIF(AH$4:AH$503,"&lt;"&amp;BJ122+0.01)),BJ122))</f>
        <v>0</v>
      </c>
      <c r="BY122" s="92" t="n">
        <f aca="false">IF(AI122&gt;=BK122,0,IFERROR(BK122+SUMPRODUCT((AI$4:AI$503&gt;=BK$4:BK$503)*(AI$4:AI$503-BK$4:BK$503))/MAX(1,COUNTIF(AI$4:AI$503,"&lt;"&amp;BK122+0.01)),BK122))</f>
        <v>7878.25652380952</v>
      </c>
      <c r="BZ122" s="92" t="n">
        <f aca="false">IF(AJ122&gt;=BL122,0,IFERROR(BL122+SUMPRODUCT((AJ$4:AJ$503&gt;=BL$4:BL$503)*(AJ$4:AJ$503-BL$4:BL$503))/MAX(1,COUNTIF(AJ$4:AJ$503,"&lt;"&amp;BL122+0.01)),BL122))</f>
        <v>0</v>
      </c>
      <c r="CA122" s="92" t="n">
        <f aca="false">IF(AK122&gt;=BM122,0,IFERROR(BM122+SUMPRODUCT((AK$4:AK$503&gt;=BM$4:BM$503)*(AK$4:AK$503-BM$4:BM$503))/MAX(1,COUNTIF(AK$4:AK$503,"&lt;"&amp;BM122+0.01)),BM122))</f>
        <v>7314.89836842105</v>
      </c>
      <c r="CB122" s="93" t="n">
        <f aca="false">IF(AL122&gt;=BN122,0,IFERROR(BN122+SUMPRODUCT((AL$4:AL$503&gt;=BN$4:BN$503)*(AL$4:AL$503-BN$4:BN$503))/MAX(1,COUNTIF(AL$4:AL$503,"&lt;"&amp;BN122+0.01)),BN122))</f>
        <v>0</v>
      </c>
      <c r="CC122" s="95" t="str">
        <f aca="false">IF(AO122="🟢","VERDE",IF(AO122="🟡","AMARELO",IF(AO122="🟠","VERMELHO",IF(AO122="🔴","VERMELHO","ROXO"))))</f>
        <v>VERMELHO</v>
      </c>
      <c r="CD122" s="96" t="s">
        <v>103</v>
      </c>
      <c r="CE122" s="96" t="s">
        <v>104</v>
      </c>
    </row>
    <row r="123" customFormat="false" ht="14.25" hidden="false" customHeight="true" outlineLevel="0" collapsed="false">
      <c r="A123" s="65" t="s">
        <v>386</v>
      </c>
      <c r="B123" s="66" t="s">
        <v>387</v>
      </c>
      <c r="C123" s="67" t="s">
        <v>99</v>
      </c>
      <c r="D123" s="68" t="s">
        <v>100</v>
      </c>
      <c r="E123" s="69" t="s">
        <v>263</v>
      </c>
      <c r="F123" s="70" t="n">
        <f aca="false">IFERROR(VLOOKUP(C123,$AS$3:$AT$10,2,FALSE()),IFERROR(VLOOKUP(C123,$AS$15:$AT$22,2,FALSE()),""))</f>
        <v>33</v>
      </c>
      <c r="G123" s="71" t="n">
        <f aca="false">IFERROR(VLOOKUP(C123,$AS$3:$AX$10,6,FALSE()),IFERROR(VLOOKUP(C123,$AS$15:$AX$22,6,FALSE()),""))</f>
        <v>0.341494038351172</v>
      </c>
      <c r="H123" s="72" t="str">
        <f aca="false">IFERROR(VLOOKUP(C123,$AS$3:$AY$10,7,FALSE()),IFERROR(VLOOKUP(C123,$AS$15:$AY$22,7,FALSE()),""))</f>
        <v>🔴 VERMELHO</v>
      </c>
      <c r="I123" s="72" t="str">
        <f aca="false">IFERROR(VLOOKUP(C123,$AS$3:$AZ$10,8,FALSE()),IFERROR(VLOOKUP(C123,$AS$15:$AZ$22,8,FALSE()),""))</f>
        <v>Positivação + Expandir</v>
      </c>
      <c r="J123" s="73"/>
      <c r="K123" s="69" t="s">
        <v>99</v>
      </c>
      <c r="L123" s="74" t="n">
        <v>9400.6</v>
      </c>
      <c r="M123" s="75" t="n">
        <v>660.61</v>
      </c>
      <c r="N123" s="75" t="n">
        <v>690.31</v>
      </c>
      <c r="O123" s="75" t="n">
        <v>706.95</v>
      </c>
      <c r="P123" s="75" t="n">
        <v>725.36</v>
      </c>
      <c r="Q123" s="75" t="n">
        <v>749.13</v>
      </c>
      <c r="R123" s="75" t="n">
        <v>768.73</v>
      </c>
      <c r="S123" s="75" t="n">
        <v>798.43</v>
      </c>
      <c r="T123" s="75" t="n">
        <v>818.04</v>
      </c>
      <c r="U123" s="75" t="n">
        <v>836.45</v>
      </c>
      <c r="V123" s="75" t="n">
        <v>857.25</v>
      </c>
      <c r="W123" s="75" t="n">
        <v>879.82</v>
      </c>
      <c r="X123" s="76" t="n">
        <v>909.52</v>
      </c>
      <c r="Y123" s="77" t="s">
        <v>20</v>
      </c>
      <c r="Z123" s="78" t="n">
        <f aca="false">SUM(AA123:AL123)</f>
        <v>3780.46</v>
      </c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9" t="n">
        <v>3780.46</v>
      </c>
      <c r="AL123" s="76"/>
      <c r="AM123" s="56" t="s">
        <v>20</v>
      </c>
      <c r="AN123" s="80" t="n">
        <f aca="false">IF(L123=0,0,Z123/L123)</f>
        <v>0.402150926536604</v>
      </c>
      <c r="AO123" s="81" t="str">
        <f aca="false">IF(AN123="","",IF(AN123&gt;=0.9,"🟢",IF(AN123&gt;=0.7,"🟡",IF(AN123&gt;=0.5,"🟠","🔴"))))</f>
        <v>🔴</v>
      </c>
      <c r="AP123" s="82" t="n">
        <f aca="false">IF(L123=0,0,L123-Z123)</f>
        <v>5620.14</v>
      </c>
      <c r="AQ123" s="83" t="n">
        <f aca="false">IF(AP123=0,"",RANK(AP123,AP$4:AP$503,0))</f>
        <v>111</v>
      </c>
      <c r="AR123" s="84" t="s">
        <v>20</v>
      </c>
      <c r="AS123" s="141"/>
      <c r="AT123" s="141"/>
      <c r="AU123" s="141"/>
      <c r="AV123" s="141"/>
      <c r="AW123" s="141"/>
      <c r="AX123" s="141"/>
      <c r="AY123" s="142"/>
      <c r="AZ123" s="142"/>
      <c r="BA123" s="56" t="s">
        <v>20</v>
      </c>
      <c r="BB123" s="91" t="n">
        <f aca="false">SUM(L$4:L$503)/COUNTA(A$4:A$503)</f>
        <v>9494.39992</v>
      </c>
      <c r="BC123" s="92" t="n">
        <f aca="false">SUM(M$4:M$503)/COUNTA(A$4:A$503)</f>
        <v>667.20008</v>
      </c>
      <c r="BD123" s="92" t="n">
        <f aca="false">SUM(N$4:N$503)/COUNTA(A$4:A$503)</f>
        <v>697.19996</v>
      </c>
      <c r="BE123" s="92" t="n">
        <f aca="false">SUM(O$4:O$503)/COUNTA(A$4:A$503)</f>
        <v>713.9999</v>
      </c>
      <c r="BF123" s="92" t="n">
        <f aca="false">SUM(P$4:P$503)/COUNTA(A$4:A$503)</f>
        <v>732.59984</v>
      </c>
      <c r="BG123" s="92" t="n">
        <f aca="false">SUM(Q$4:Q$503)/COUNTA(A$4:A$503)</f>
        <v>756.59992</v>
      </c>
      <c r="BH123" s="92" t="n">
        <f aca="false">SUM(R$4:R$503)/COUNTA(A$4:A$503)</f>
        <v>776.40004</v>
      </c>
      <c r="BI123" s="92" t="n">
        <f aca="false">SUM(S$4:S$503)/COUNTA(A$4:A$503)</f>
        <v>806.40012</v>
      </c>
      <c r="BJ123" s="92" t="n">
        <f aca="false">SUM(T$4:T$503)/COUNTA(A$4:A$503)</f>
        <v>826.1999</v>
      </c>
      <c r="BK123" s="92" t="n">
        <f aca="false">SUM(U$4:U$503)/COUNTA(A$4:A$503)</f>
        <v>844.8002</v>
      </c>
      <c r="BL123" s="92" t="n">
        <f aca="false">SUM(V$4:V$503)/COUNTA(A$4:A$503)</f>
        <v>865.7998</v>
      </c>
      <c r="BM123" s="92" t="n">
        <f aca="false">SUM(W$4:W$503)/COUNTA(A$4:A$503)</f>
        <v>888.59982</v>
      </c>
      <c r="BN123" s="93" t="n">
        <f aca="false">SUM(X$4:X$503)/COUNTA(A$4:A$503)</f>
        <v>918.60034</v>
      </c>
      <c r="BO123" s="94" t="s">
        <v>20</v>
      </c>
      <c r="BP123" s="91" t="n">
        <f aca="false">IF(Z123&gt;=BB123,0,IFERROR(BB123+(SUMPRODUCT((Z$4:Z$503&gt;=BB$4:BB$503)*(Z$4:Z$503-BB$4:BB$503))/MAX(1,COUNTIF(Z$4:Z$503,"&lt;"&amp;BB123+0.01))),BB123))</f>
        <v>10695.5432177778</v>
      </c>
      <c r="BQ123" s="92" t="n">
        <f aca="false">IF(AA123&gt;=BC123,0,IFERROR(BC123+SUMPRODUCT((AA$4:AA$503&gt;=BC$4:BC$503)*(AA$4:AA$503-BC$4:BC$503))/MAX(1,COUNTIF(AA$4:AA$503,"&lt;"&amp;BC123+0.01)),BC123))</f>
        <v>2238.46589176471</v>
      </c>
      <c r="BR123" s="92" t="n">
        <f aca="false">IF(AB123&gt;=BD123,0,IFERROR(BD123+SUMPRODUCT((AB$4:AB$503&gt;=BD$4:BD$503)*(AB$4:AB$503-BD$4:BD$503))/MAX(1,COUNTIF(AB$4:AB$503,"&lt;"&amp;BD123+0.01)),BD123))</f>
        <v>3335.2938</v>
      </c>
      <c r="BS123" s="92" t="n">
        <f aca="false">IF(AC123&gt;=BE123,0,IFERROR(BE123+SUMPRODUCT((AC$4:AC$503&gt;=BE$4:BE$503)*(AC$4:AC$503-BE$4:BE$503))/MAX(1,COUNTIF(AC$4:AC$503,"&lt;"&amp;BE123+0.01)),BE123))</f>
        <v>6188.73352</v>
      </c>
      <c r="BT123" s="92" t="n">
        <f aca="false">IF(AD123&gt;=BF123,0,IFERROR(BF123+SUMPRODUCT((AD$4:AD$503&gt;=BF$4:BF$503)*(AD$4:AD$503-BF$4:BF$503))/MAX(1,COUNTIF(AD$4:AD$503,"&lt;"&amp;BF123+0.01)),BF123))</f>
        <v>11354.35411</v>
      </c>
      <c r="BU123" s="92" t="n">
        <f aca="false">IF(AE123&gt;=BG123,0,IFERROR(BG123+SUMPRODUCT((AE$4:AE$503&gt;=BG$4:BG$503)*(AE$4:AE$503-BG$4:BG$503))/MAX(1,COUNTIF(AE$4:AE$503,"&lt;"&amp;BG123+0.01)),BG123))</f>
        <v>7704.85920380952</v>
      </c>
      <c r="BV123" s="92" t="n">
        <f aca="false">IF(AF123&gt;=BH123,0,IFERROR(BH123+SUMPRODUCT((AF$4:AF$503&gt;=BH$4:BH$503)*(AF$4:AF$503-BH$4:BH$503))/MAX(1,COUNTIF(AF$4:AF$503,"&lt;"&amp;BH123+0.01)),BH123))</f>
        <v>9942.6503831579</v>
      </c>
      <c r="BW123" s="92" t="n">
        <f aca="false">IF(AG123&gt;=BI123,0,IFERROR(BI123+SUMPRODUCT((AG$4:AG$503&gt;=BI$4:BI$503)*(AG$4:AG$503-BI$4:BI$503))/MAX(1,COUNTIF(AG$4:AG$503,"&lt;"&amp;BI123+0.01)),BI123))</f>
        <v>9142.15870461538</v>
      </c>
      <c r="BX123" s="92" t="n">
        <f aca="false">IF(AH123&gt;=BJ123,0,IFERROR(BJ123+SUMPRODUCT((AH$4:AH$503&gt;=BJ$4:BJ$503)*(AH$4:AH$503-BJ$4:BJ$503))/MAX(1,COUNTIF(AH$4:AH$503,"&lt;"&amp;BJ123+0.01)),BJ123))</f>
        <v>5621.50263448276</v>
      </c>
      <c r="BY123" s="92" t="n">
        <f aca="false">IF(AI123&gt;=BK123,0,IFERROR(BK123+SUMPRODUCT((AI$4:AI$503&gt;=BK$4:BK$503)*(AI$4:AI$503-BK$4:BK$503))/MAX(1,COUNTIF(AI$4:AI$503,"&lt;"&amp;BK123+0.01)),BK123))</f>
        <v>7878.25652380952</v>
      </c>
      <c r="BZ123" s="92" t="n">
        <f aca="false">IF(AJ123&gt;=BL123,0,IFERROR(BL123+SUMPRODUCT((AJ$4:AJ$503&gt;=BL$4:BL$503)*(AJ$4:AJ$503-BL$4:BL$503))/MAX(1,COUNTIF(AJ$4:AJ$503,"&lt;"&amp;BL123+0.01)),BL123))</f>
        <v>6710.03292307692</v>
      </c>
      <c r="CA123" s="92" t="n">
        <f aca="false">IF(AK123&gt;=BM123,0,IFERROR(BM123+SUMPRODUCT((AK$4:AK$503&gt;=BM$4:BM$503)*(AK$4:AK$503-BM$4:BM$503))/MAX(1,COUNTIF(AK$4:AK$503,"&lt;"&amp;BM123+0.01)),BM123))</f>
        <v>0</v>
      </c>
      <c r="CB123" s="93" t="n">
        <f aca="false">IF(AL123&gt;=BN123,0,IFERROR(BN123+SUMPRODUCT((AL$4:AL$503&gt;=BN$4:BN$503)*(AL$4:AL$503-BN$4:BN$503))/MAX(1,COUNTIF(AL$4:AL$503,"&lt;"&amp;BN123+0.01)),BN123))</f>
        <v>3597.2614925</v>
      </c>
      <c r="CC123" s="95" t="str">
        <f aca="false">IF(AO123="🟢","VERDE",IF(AO123="🟡","AMARELO",IF(AO123="🟠","VERMELHO",IF(AO123="🔴","VERMELHO","ROXO"))))</f>
        <v>VERMELHO</v>
      </c>
      <c r="CD123" s="96" t="s">
        <v>103</v>
      </c>
      <c r="CE123" s="96" t="s">
        <v>104</v>
      </c>
    </row>
    <row r="124" customFormat="false" ht="14.25" hidden="false" customHeight="true" outlineLevel="0" collapsed="false">
      <c r="A124" s="65" t="s">
        <v>388</v>
      </c>
      <c r="B124" s="66" t="s">
        <v>389</v>
      </c>
      <c r="C124" s="67" t="s">
        <v>107</v>
      </c>
      <c r="D124" s="68" t="s">
        <v>108</v>
      </c>
      <c r="E124" s="69" t="s">
        <v>196</v>
      </c>
      <c r="F124" s="70" t="n">
        <f aca="false">IFERROR(VLOOKUP(C124,$AS$3:$AT$10,2,FALSE()),IFERROR(VLOOKUP(C124,$AS$15:$AT$22,2,FALSE()),""))</f>
        <v>132</v>
      </c>
      <c r="G124" s="71" t="n">
        <f aca="false">IFERROR(VLOOKUP(C124,$AS$3:$AX$10,6,FALSE()),IFERROR(VLOOKUP(C124,$AS$15:$AX$22,6,FALSE()),""))</f>
        <v>0.468190175850689</v>
      </c>
      <c r="H124" s="72" t="str">
        <f aca="false">IFERROR(VLOOKUP(C124,$AS$3:$AY$10,7,FALSE()),IFERROR(VLOOKUP(C124,$AS$15:$AY$22,7,FALSE()),""))</f>
        <v>🟡 AMARELO</v>
      </c>
      <c r="I124" s="72" t="str">
        <f aca="false">IFERROR(VLOOKUP(C124,$AS$3:$AZ$10,8,FALSE()),IFERROR(VLOOKUP(C124,$AS$15:$AZ$22,8,FALSE()),""))</f>
        <v>Sell Out</v>
      </c>
      <c r="J124" s="73"/>
      <c r="K124" s="69" t="s">
        <v>107</v>
      </c>
      <c r="L124" s="74" t="n">
        <v>9339.57</v>
      </c>
      <c r="M124" s="75" t="n">
        <v>656.32</v>
      </c>
      <c r="N124" s="75" t="n">
        <v>685.83</v>
      </c>
      <c r="O124" s="75" t="n">
        <v>702.36</v>
      </c>
      <c r="P124" s="75" t="n">
        <v>720.65</v>
      </c>
      <c r="Q124" s="75" t="n">
        <v>744.26</v>
      </c>
      <c r="R124" s="75" t="n">
        <v>763.74</v>
      </c>
      <c r="S124" s="75" t="n">
        <v>793.25</v>
      </c>
      <c r="T124" s="75" t="n">
        <v>812.73</v>
      </c>
      <c r="U124" s="75" t="n">
        <v>831.02</v>
      </c>
      <c r="V124" s="75" t="n">
        <v>851.68</v>
      </c>
      <c r="W124" s="75" t="n">
        <v>874.11</v>
      </c>
      <c r="X124" s="76" t="n">
        <v>903.62</v>
      </c>
      <c r="Y124" s="77" t="s">
        <v>20</v>
      </c>
      <c r="Z124" s="78" t="n">
        <f aca="false">SUM(AA124:AL124)</f>
        <v>3798.51</v>
      </c>
      <c r="AA124" s="75"/>
      <c r="AB124" s="79" t="n">
        <v>1336.8</v>
      </c>
      <c r="AC124" s="75"/>
      <c r="AD124" s="79" t="n">
        <v>715.2</v>
      </c>
      <c r="AE124" s="75"/>
      <c r="AF124" s="75"/>
      <c r="AG124" s="79" t="n">
        <v>862.43</v>
      </c>
      <c r="AH124" s="75"/>
      <c r="AI124" s="75"/>
      <c r="AJ124" s="79" t="n">
        <v>884.08</v>
      </c>
      <c r="AK124" s="75"/>
      <c r="AL124" s="76"/>
      <c r="AM124" s="56" t="s">
        <v>20</v>
      </c>
      <c r="AN124" s="80" t="n">
        <f aca="false">IF(L124=0,0,Z124/L124)</f>
        <v>0.406711443888744</v>
      </c>
      <c r="AO124" s="81" t="str">
        <f aca="false">IF(AN124="","",IF(AN124&gt;=0.9,"🟢",IF(AN124&gt;=0.7,"🟡",IF(AN124&gt;=0.5,"🟠","🔴"))))</f>
        <v>🔴</v>
      </c>
      <c r="AP124" s="82" t="n">
        <f aca="false">IF(L124=0,0,L124-Z124)</f>
        <v>5541.06</v>
      </c>
      <c r="AQ124" s="83" t="n">
        <f aca="false">IF(AP124=0,"",RANK(AP124,AP$4:AP$503,0))</f>
        <v>115</v>
      </c>
      <c r="AR124" s="84" t="s">
        <v>20</v>
      </c>
      <c r="AS124" s="141"/>
      <c r="AT124" s="141"/>
      <c r="AU124" s="141"/>
      <c r="AV124" s="141"/>
      <c r="AW124" s="141"/>
      <c r="AX124" s="141"/>
      <c r="AY124" s="142"/>
      <c r="AZ124" s="142"/>
      <c r="BA124" s="56" t="s">
        <v>20</v>
      </c>
      <c r="BB124" s="91" t="n">
        <f aca="false">SUM(L$4:L$503)/COUNTA(A$4:A$503)</f>
        <v>9494.39992</v>
      </c>
      <c r="BC124" s="92" t="n">
        <f aca="false">SUM(M$4:M$503)/COUNTA(A$4:A$503)</f>
        <v>667.20008</v>
      </c>
      <c r="BD124" s="92" t="n">
        <f aca="false">SUM(N$4:N$503)/COUNTA(A$4:A$503)</f>
        <v>697.19996</v>
      </c>
      <c r="BE124" s="92" t="n">
        <f aca="false">SUM(O$4:O$503)/COUNTA(A$4:A$503)</f>
        <v>713.9999</v>
      </c>
      <c r="BF124" s="92" t="n">
        <f aca="false">SUM(P$4:P$503)/COUNTA(A$4:A$503)</f>
        <v>732.59984</v>
      </c>
      <c r="BG124" s="92" t="n">
        <f aca="false">SUM(Q$4:Q$503)/COUNTA(A$4:A$503)</f>
        <v>756.59992</v>
      </c>
      <c r="BH124" s="92" t="n">
        <f aca="false">SUM(R$4:R$503)/COUNTA(A$4:A$503)</f>
        <v>776.40004</v>
      </c>
      <c r="BI124" s="92" t="n">
        <f aca="false">SUM(S$4:S$503)/COUNTA(A$4:A$503)</f>
        <v>806.40012</v>
      </c>
      <c r="BJ124" s="92" t="n">
        <f aca="false">SUM(T$4:T$503)/COUNTA(A$4:A$503)</f>
        <v>826.1999</v>
      </c>
      <c r="BK124" s="92" t="n">
        <f aca="false">SUM(U$4:U$503)/COUNTA(A$4:A$503)</f>
        <v>844.8002</v>
      </c>
      <c r="BL124" s="92" t="n">
        <f aca="false">SUM(V$4:V$503)/COUNTA(A$4:A$503)</f>
        <v>865.7998</v>
      </c>
      <c r="BM124" s="92" t="n">
        <f aca="false">SUM(W$4:W$503)/COUNTA(A$4:A$503)</f>
        <v>888.59982</v>
      </c>
      <c r="BN124" s="93" t="n">
        <f aca="false">SUM(X$4:X$503)/COUNTA(A$4:A$503)</f>
        <v>918.60034</v>
      </c>
      <c r="BO124" s="94" t="s">
        <v>20</v>
      </c>
      <c r="BP124" s="91" t="n">
        <f aca="false">IF(Z124&gt;=BB124,0,IFERROR(BB124+(SUMPRODUCT((Z$4:Z$503&gt;=BB$4:BB$503)*(Z$4:Z$503-BB$4:BB$503))/MAX(1,COUNTIF(Z$4:Z$503,"&lt;"&amp;BB124+0.01))),BB124))</f>
        <v>10695.5432177778</v>
      </c>
      <c r="BQ124" s="92" t="n">
        <f aca="false">IF(AA124&gt;=BC124,0,IFERROR(BC124+SUMPRODUCT((AA$4:AA$503&gt;=BC$4:BC$503)*(AA$4:AA$503-BC$4:BC$503))/MAX(1,COUNTIF(AA$4:AA$503,"&lt;"&amp;BC124+0.01)),BC124))</f>
        <v>2238.46589176471</v>
      </c>
      <c r="BR124" s="92" t="n">
        <f aca="false">IF(AB124&gt;=BD124,0,IFERROR(BD124+SUMPRODUCT((AB$4:AB$503&gt;=BD$4:BD$503)*(AB$4:AB$503-BD$4:BD$503))/MAX(1,COUNTIF(AB$4:AB$503,"&lt;"&amp;BD124+0.01)),BD124))</f>
        <v>0</v>
      </c>
      <c r="BS124" s="92" t="n">
        <f aca="false">IF(AC124&gt;=BE124,0,IFERROR(BE124+SUMPRODUCT((AC$4:AC$503&gt;=BE$4:BE$503)*(AC$4:AC$503-BE$4:BE$503))/MAX(1,COUNTIF(AC$4:AC$503,"&lt;"&amp;BE124+0.01)),BE124))</f>
        <v>6188.73352</v>
      </c>
      <c r="BT124" s="92" t="n">
        <f aca="false">IF(AD124&gt;=BF124,0,IFERROR(BF124+SUMPRODUCT((AD$4:AD$503&gt;=BF$4:BF$503)*(AD$4:AD$503-BF$4:BF$503))/MAX(1,COUNTIF(AD$4:AD$503,"&lt;"&amp;BF124+0.01)),BF124))</f>
        <v>11354.35411</v>
      </c>
      <c r="BU124" s="92" t="n">
        <f aca="false">IF(AE124&gt;=BG124,0,IFERROR(BG124+SUMPRODUCT((AE$4:AE$503&gt;=BG$4:BG$503)*(AE$4:AE$503-BG$4:BG$503))/MAX(1,COUNTIF(AE$4:AE$503,"&lt;"&amp;BG124+0.01)),BG124))</f>
        <v>7704.85920380952</v>
      </c>
      <c r="BV124" s="92" t="n">
        <f aca="false">IF(AF124&gt;=BH124,0,IFERROR(BH124+SUMPRODUCT((AF$4:AF$503&gt;=BH$4:BH$503)*(AF$4:AF$503-BH$4:BH$503))/MAX(1,COUNTIF(AF$4:AF$503,"&lt;"&amp;BH124+0.01)),BH124))</f>
        <v>9942.6503831579</v>
      </c>
      <c r="BW124" s="92" t="n">
        <f aca="false">IF(AG124&gt;=BI124,0,IFERROR(BI124+SUMPRODUCT((AG$4:AG$503&gt;=BI$4:BI$503)*(AG$4:AG$503-BI$4:BI$503))/MAX(1,COUNTIF(AG$4:AG$503,"&lt;"&amp;BI124+0.01)),BI124))</f>
        <v>0</v>
      </c>
      <c r="BX124" s="92" t="n">
        <f aca="false">IF(AH124&gt;=BJ124,0,IFERROR(BJ124+SUMPRODUCT((AH$4:AH$503&gt;=BJ$4:BJ$503)*(AH$4:AH$503-BJ$4:BJ$503))/MAX(1,COUNTIF(AH$4:AH$503,"&lt;"&amp;BJ124+0.01)),BJ124))</f>
        <v>5621.50263448276</v>
      </c>
      <c r="BY124" s="92" t="n">
        <f aca="false">IF(AI124&gt;=BK124,0,IFERROR(BK124+SUMPRODUCT((AI$4:AI$503&gt;=BK$4:BK$503)*(AI$4:AI$503-BK$4:BK$503))/MAX(1,COUNTIF(AI$4:AI$503,"&lt;"&amp;BK124+0.01)),BK124))</f>
        <v>7878.25652380952</v>
      </c>
      <c r="BZ124" s="92" t="n">
        <f aca="false">IF(AJ124&gt;=BL124,0,IFERROR(BL124+SUMPRODUCT((AJ$4:AJ$503&gt;=BL$4:BL$503)*(AJ$4:AJ$503-BL$4:BL$503))/MAX(1,COUNTIF(AJ$4:AJ$503,"&lt;"&amp;BL124+0.01)),BL124))</f>
        <v>0</v>
      </c>
      <c r="CA124" s="92" t="n">
        <f aca="false">IF(AK124&gt;=BM124,0,IFERROR(BM124+SUMPRODUCT((AK$4:AK$503&gt;=BM$4:BM$503)*(AK$4:AK$503-BM$4:BM$503))/MAX(1,COUNTIF(AK$4:AK$503,"&lt;"&amp;BM124+0.01)),BM124))</f>
        <v>7314.89836842105</v>
      </c>
      <c r="CB124" s="93" t="n">
        <f aca="false">IF(AL124&gt;=BN124,0,IFERROR(BN124+SUMPRODUCT((AL$4:AL$503&gt;=BN$4:BN$503)*(AL$4:AL$503-BN$4:BN$503))/MAX(1,COUNTIF(AL$4:AL$503,"&lt;"&amp;BN124+0.01)),BN124))</f>
        <v>3597.2614925</v>
      </c>
      <c r="CC124" s="95" t="str">
        <f aca="false">IF(AO124="🟢","VERDE",IF(AO124="🟡","AMARELO",IF(AO124="🟠","VERMELHO",IF(AO124="🔴","VERMELHO","ROXO"))))</f>
        <v>VERMELHO</v>
      </c>
      <c r="CD124" s="96" t="s">
        <v>103</v>
      </c>
      <c r="CE124" s="96" t="s">
        <v>104</v>
      </c>
    </row>
    <row r="125" customFormat="false" ht="14.25" hidden="false" customHeight="true" outlineLevel="0" collapsed="false">
      <c r="A125" s="65" t="s">
        <v>390</v>
      </c>
      <c r="B125" s="66" t="s">
        <v>391</v>
      </c>
      <c r="C125" s="67" t="s">
        <v>99</v>
      </c>
      <c r="D125" s="68" t="s">
        <v>100</v>
      </c>
      <c r="E125" s="69" t="s">
        <v>127</v>
      </c>
      <c r="F125" s="70" t="n">
        <f aca="false">IFERROR(VLOOKUP(C125,$AS$3:$AT$10,2,FALSE()),IFERROR(VLOOKUP(C125,$AS$15:$AT$22,2,FALSE()),""))</f>
        <v>33</v>
      </c>
      <c r="G125" s="71" t="n">
        <f aca="false">IFERROR(VLOOKUP(C125,$AS$3:$AX$10,6,FALSE()),IFERROR(VLOOKUP(C125,$AS$15:$AX$22,6,FALSE()),""))</f>
        <v>0.341494038351172</v>
      </c>
      <c r="H125" s="72" t="str">
        <f aca="false">IFERROR(VLOOKUP(C125,$AS$3:$AY$10,7,FALSE()),IFERROR(VLOOKUP(C125,$AS$15:$AY$22,7,FALSE()),""))</f>
        <v>🔴 VERMELHO</v>
      </c>
      <c r="I125" s="72" t="str">
        <f aca="false">IFERROR(VLOOKUP(C125,$AS$3:$AZ$10,8,FALSE()),IFERROR(VLOOKUP(C125,$AS$15:$AZ$22,8,FALSE()),""))</f>
        <v>Positivação + Expandir</v>
      </c>
      <c r="J125" s="73"/>
      <c r="K125" s="69" t="s">
        <v>99</v>
      </c>
      <c r="L125" s="74" t="n">
        <v>9317.35</v>
      </c>
      <c r="M125" s="75" t="n">
        <v>654.76</v>
      </c>
      <c r="N125" s="75" t="n">
        <v>684.2</v>
      </c>
      <c r="O125" s="75" t="n">
        <v>700.69</v>
      </c>
      <c r="P125" s="75" t="n">
        <v>718.94</v>
      </c>
      <c r="Q125" s="75" t="n">
        <v>742.49</v>
      </c>
      <c r="R125" s="75" t="n">
        <v>761.92</v>
      </c>
      <c r="S125" s="75" t="n">
        <v>791.36</v>
      </c>
      <c r="T125" s="75" t="n">
        <v>810.79</v>
      </c>
      <c r="U125" s="75" t="n">
        <v>829.05</v>
      </c>
      <c r="V125" s="75" t="n">
        <v>849.65</v>
      </c>
      <c r="W125" s="75" t="n">
        <v>872.03</v>
      </c>
      <c r="X125" s="76" t="n">
        <v>901.47</v>
      </c>
      <c r="Y125" s="77" t="s">
        <v>20</v>
      </c>
      <c r="Z125" s="78" t="n">
        <f aca="false">SUM(AA125:AL125)</f>
        <v>3746.98</v>
      </c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107" t="n">
        <v>3746.98</v>
      </c>
      <c r="AM125" s="56" t="s">
        <v>20</v>
      </c>
      <c r="AN125" s="80" t="n">
        <f aca="false">IF(L125=0,0,Z125/L125)</f>
        <v>0.402150826146919</v>
      </c>
      <c r="AO125" s="81" t="str">
        <f aca="false">IF(AN125="","",IF(AN125&gt;=0.9,"🟢",IF(AN125&gt;=0.7,"🟡",IF(AN125&gt;=0.5,"🟠","🔴"))))</f>
        <v>🔴</v>
      </c>
      <c r="AP125" s="82" t="n">
        <f aca="false">IF(L125=0,0,L125-Z125)</f>
        <v>5570.37</v>
      </c>
      <c r="AQ125" s="83" t="n">
        <f aca="false">IF(AP125=0,"",RANK(AP125,AP$4:AP$503,0))</f>
        <v>114</v>
      </c>
      <c r="AR125" s="84" t="s">
        <v>20</v>
      </c>
      <c r="AS125" s="141"/>
      <c r="AT125" s="141"/>
      <c r="AU125" s="141"/>
      <c r="AV125" s="141"/>
      <c r="AW125" s="141"/>
      <c r="AX125" s="141"/>
      <c r="AY125" s="142"/>
      <c r="AZ125" s="142"/>
      <c r="BA125" s="56" t="s">
        <v>20</v>
      </c>
      <c r="BB125" s="91" t="n">
        <f aca="false">SUM(L$4:L$503)/COUNTA(A$4:A$503)</f>
        <v>9494.39992</v>
      </c>
      <c r="BC125" s="92" t="n">
        <f aca="false">SUM(M$4:M$503)/COUNTA(A$4:A$503)</f>
        <v>667.20008</v>
      </c>
      <c r="BD125" s="92" t="n">
        <f aca="false">SUM(N$4:N$503)/COUNTA(A$4:A$503)</f>
        <v>697.19996</v>
      </c>
      <c r="BE125" s="92" t="n">
        <f aca="false">SUM(O$4:O$503)/COUNTA(A$4:A$503)</f>
        <v>713.9999</v>
      </c>
      <c r="BF125" s="92" t="n">
        <f aca="false">SUM(P$4:P$503)/COUNTA(A$4:A$503)</f>
        <v>732.59984</v>
      </c>
      <c r="BG125" s="92" t="n">
        <f aca="false">SUM(Q$4:Q$503)/COUNTA(A$4:A$503)</f>
        <v>756.59992</v>
      </c>
      <c r="BH125" s="92" t="n">
        <f aca="false">SUM(R$4:R$503)/COUNTA(A$4:A$503)</f>
        <v>776.40004</v>
      </c>
      <c r="BI125" s="92" t="n">
        <f aca="false">SUM(S$4:S$503)/COUNTA(A$4:A$503)</f>
        <v>806.40012</v>
      </c>
      <c r="BJ125" s="92" t="n">
        <f aca="false">SUM(T$4:T$503)/COUNTA(A$4:A$503)</f>
        <v>826.1999</v>
      </c>
      <c r="BK125" s="92" t="n">
        <f aca="false">SUM(U$4:U$503)/COUNTA(A$4:A$503)</f>
        <v>844.8002</v>
      </c>
      <c r="BL125" s="92" t="n">
        <f aca="false">SUM(V$4:V$503)/COUNTA(A$4:A$503)</f>
        <v>865.7998</v>
      </c>
      <c r="BM125" s="92" t="n">
        <f aca="false">SUM(W$4:W$503)/COUNTA(A$4:A$503)</f>
        <v>888.59982</v>
      </c>
      <c r="BN125" s="93" t="n">
        <f aca="false">SUM(X$4:X$503)/COUNTA(A$4:A$503)</f>
        <v>918.60034</v>
      </c>
      <c r="BO125" s="94" t="s">
        <v>20</v>
      </c>
      <c r="BP125" s="91" t="n">
        <f aca="false">IF(Z125&gt;=BB125,0,IFERROR(BB125+(SUMPRODUCT((Z$4:Z$503&gt;=BB$4:BB$503)*(Z$4:Z$503-BB$4:BB$503))/MAX(1,COUNTIF(Z$4:Z$503,"&lt;"&amp;BB125+0.01))),BB125))</f>
        <v>10695.5432177778</v>
      </c>
      <c r="BQ125" s="92" t="n">
        <f aca="false">IF(AA125&gt;=BC125,0,IFERROR(BC125+SUMPRODUCT((AA$4:AA$503&gt;=BC$4:BC$503)*(AA$4:AA$503-BC$4:BC$503))/MAX(1,COUNTIF(AA$4:AA$503,"&lt;"&amp;BC125+0.01)),BC125))</f>
        <v>2238.46589176471</v>
      </c>
      <c r="BR125" s="92" t="n">
        <f aca="false">IF(AB125&gt;=BD125,0,IFERROR(BD125+SUMPRODUCT((AB$4:AB$503&gt;=BD$4:BD$503)*(AB$4:AB$503-BD$4:BD$503))/MAX(1,COUNTIF(AB$4:AB$503,"&lt;"&amp;BD125+0.01)),BD125))</f>
        <v>3335.2938</v>
      </c>
      <c r="BS125" s="92" t="n">
        <f aca="false">IF(AC125&gt;=BE125,0,IFERROR(BE125+SUMPRODUCT((AC$4:AC$503&gt;=BE$4:BE$503)*(AC$4:AC$503-BE$4:BE$503))/MAX(1,COUNTIF(AC$4:AC$503,"&lt;"&amp;BE125+0.01)),BE125))</f>
        <v>6188.73352</v>
      </c>
      <c r="BT125" s="92" t="n">
        <f aca="false">IF(AD125&gt;=BF125,0,IFERROR(BF125+SUMPRODUCT((AD$4:AD$503&gt;=BF$4:BF$503)*(AD$4:AD$503-BF$4:BF$503))/MAX(1,COUNTIF(AD$4:AD$503,"&lt;"&amp;BF125+0.01)),BF125))</f>
        <v>11354.35411</v>
      </c>
      <c r="BU125" s="92" t="n">
        <f aca="false">IF(AE125&gt;=BG125,0,IFERROR(BG125+SUMPRODUCT((AE$4:AE$503&gt;=BG$4:BG$503)*(AE$4:AE$503-BG$4:BG$503))/MAX(1,COUNTIF(AE$4:AE$503,"&lt;"&amp;BG125+0.01)),BG125))</f>
        <v>7704.85920380952</v>
      </c>
      <c r="BV125" s="92" t="n">
        <f aca="false">IF(AF125&gt;=BH125,0,IFERROR(BH125+SUMPRODUCT((AF$4:AF$503&gt;=BH$4:BH$503)*(AF$4:AF$503-BH$4:BH$503))/MAX(1,COUNTIF(AF$4:AF$503,"&lt;"&amp;BH125+0.01)),BH125))</f>
        <v>9942.6503831579</v>
      </c>
      <c r="BW125" s="92" t="n">
        <f aca="false">IF(AG125&gt;=BI125,0,IFERROR(BI125+SUMPRODUCT((AG$4:AG$503&gt;=BI$4:BI$503)*(AG$4:AG$503-BI$4:BI$503))/MAX(1,COUNTIF(AG$4:AG$503,"&lt;"&amp;BI125+0.01)),BI125))</f>
        <v>9142.15870461538</v>
      </c>
      <c r="BX125" s="92" t="n">
        <f aca="false">IF(AH125&gt;=BJ125,0,IFERROR(BJ125+SUMPRODUCT((AH$4:AH$503&gt;=BJ$4:BJ$503)*(AH$4:AH$503-BJ$4:BJ$503))/MAX(1,COUNTIF(AH$4:AH$503,"&lt;"&amp;BJ125+0.01)),BJ125))</f>
        <v>5621.50263448276</v>
      </c>
      <c r="BY125" s="92" t="n">
        <f aca="false">IF(AI125&gt;=BK125,0,IFERROR(BK125+SUMPRODUCT((AI$4:AI$503&gt;=BK$4:BK$503)*(AI$4:AI$503-BK$4:BK$503))/MAX(1,COUNTIF(AI$4:AI$503,"&lt;"&amp;BK125+0.01)),BK125))</f>
        <v>7878.25652380952</v>
      </c>
      <c r="BZ125" s="92" t="n">
        <f aca="false">IF(AJ125&gt;=BL125,0,IFERROR(BL125+SUMPRODUCT((AJ$4:AJ$503&gt;=BL$4:BL$503)*(AJ$4:AJ$503-BL$4:BL$503))/MAX(1,COUNTIF(AJ$4:AJ$503,"&lt;"&amp;BL125+0.01)),BL125))</f>
        <v>6710.03292307692</v>
      </c>
      <c r="CA125" s="92" t="n">
        <f aca="false">IF(AK125&gt;=BM125,0,IFERROR(BM125+SUMPRODUCT((AK$4:AK$503&gt;=BM$4:BM$503)*(AK$4:AK$503-BM$4:BM$503))/MAX(1,COUNTIF(AK$4:AK$503,"&lt;"&amp;BM125+0.01)),BM125))</f>
        <v>7314.89836842105</v>
      </c>
      <c r="CB125" s="93" t="n">
        <f aca="false">IF(AL125&gt;=BN125,0,IFERROR(BN125+SUMPRODUCT((AL$4:AL$503&gt;=BN$4:BN$503)*(AL$4:AL$503-BN$4:BN$503))/MAX(1,COUNTIF(AL$4:AL$503,"&lt;"&amp;BN125+0.01)),BN125))</f>
        <v>0</v>
      </c>
      <c r="CC125" s="95" t="str">
        <f aca="false">IF(AO125="🟢","VERDE",IF(AO125="🟡","AMARELO",IF(AO125="🟠","VERMELHO",IF(AO125="🔴","VERMELHO","ROXO"))))</f>
        <v>VERMELHO</v>
      </c>
      <c r="CD125" s="96" t="s">
        <v>103</v>
      </c>
      <c r="CE125" s="96" t="s">
        <v>104</v>
      </c>
    </row>
    <row r="126" customFormat="false" ht="14.25" hidden="false" customHeight="true" outlineLevel="0" collapsed="false">
      <c r="A126" s="65" t="s">
        <v>392</v>
      </c>
      <c r="B126" s="66" t="s">
        <v>393</v>
      </c>
      <c r="C126" s="67" t="s">
        <v>118</v>
      </c>
      <c r="D126" s="68" t="s">
        <v>100</v>
      </c>
      <c r="E126" s="69" t="s">
        <v>119</v>
      </c>
      <c r="F126" s="70" t="n">
        <f aca="false">IFERROR(VLOOKUP(C126,$AS$3:$AT$10,2,FALSE()),IFERROR(VLOOKUP(C126,$AS$15:$AT$22,2,FALSE()),""))</f>
        <v>42</v>
      </c>
      <c r="G126" s="71" t="n">
        <f aca="false">IFERROR(VLOOKUP(C126,$AS$3:$AX$10,6,FALSE()),IFERROR(VLOOKUP(C126,$AS$15:$AX$22,6,FALSE()),""))</f>
        <v>0.424872083346704</v>
      </c>
      <c r="H126" s="72" t="str">
        <f aca="false">IFERROR(VLOOKUP(C126,$AS$3:$AY$10,7,FALSE()),IFERROR(VLOOKUP(C126,$AS$15:$AY$22,7,FALSE()),""))</f>
        <v>🟡 AMARELO</v>
      </c>
      <c r="I126" s="72" t="str">
        <f aca="false">IFERROR(VLOOKUP(C126,$AS$3:$AZ$10,8,FALSE()),IFERROR(VLOOKUP(C126,$AS$15:$AZ$22,8,FALSE()),""))</f>
        <v>Sell Out</v>
      </c>
      <c r="J126" s="73"/>
      <c r="K126" s="69" t="s">
        <v>118</v>
      </c>
      <c r="L126" s="74" t="n">
        <v>9124.34</v>
      </c>
      <c r="M126" s="75" t="n">
        <v>641.19</v>
      </c>
      <c r="N126" s="75" t="n">
        <v>670.03</v>
      </c>
      <c r="O126" s="75" t="n">
        <v>686.17</v>
      </c>
      <c r="P126" s="75" t="n">
        <v>704.05</v>
      </c>
      <c r="Q126" s="75" t="n">
        <v>727.11</v>
      </c>
      <c r="R126" s="75" t="n">
        <v>746.14</v>
      </c>
      <c r="S126" s="75" t="n">
        <v>774.97</v>
      </c>
      <c r="T126" s="75" t="n">
        <v>794</v>
      </c>
      <c r="U126" s="75" t="n">
        <v>811.87</v>
      </c>
      <c r="V126" s="75" t="n">
        <v>832.05</v>
      </c>
      <c r="W126" s="75" t="n">
        <v>853.96</v>
      </c>
      <c r="X126" s="76" t="n">
        <v>882.8</v>
      </c>
      <c r="Y126" s="77" t="s">
        <v>20</v>
      </c>
      <c r="Z126" s="78" t="n">
        <f aca="false">SUM(AA126:AL126)</f>
        <v>4360.85</v>
      </c>
      <c r="AA126" s="75"/>
      <c r="AB126" s="79" t="n">
        <v>756</v>
      </c>
      <c r="AC126" s="75"/>
      <c r="AD126" s="75"/>
      <c r="AE126" s="75" t="n">
        <v>661.5</v>
      </c>
      <c r="AF126" s="79" t="n">
        <v>661.5</v>
      </c>
      <c r="AG126" s="75"/>
      <c r="AH126" s="79" t="n">
        <v>725.05</v>
      </c>
      <c r="AI126" s="75"/>
      <c r="AJ126" s="79" t="n">
        <v>659.66</v>
      </c>
      <c r="AK126" s="75"/>
      <c r="AL126" s="107" t="n">
        <v>897.14</v>
      </c>
      <c r="AM126" s="56" t="s">
        <v>20</v>
      </c>
      <c r="AN126" s="80" t="n">
        <f aca="false">IF(L126=0,0,Z126/L126)</f>
        <v>0.477935938380201</v>
      </c>
      <c r="AO126" s="81" t="str">
        <f aca="false">IF(AN126="","",IF(AN126&gt;=0.9,"🟢",IF(AN126&gt;=0.7,"🟡",IF(AN126&gt;=0.5,"🟠","🔴"))))</f>
        <v>🔴</v>
      </c>
      <c r="AP126" s="82" t="n">
        <f aca="false">IF(L126=0,0,L126-Z126)</f>
        <v>4763.49</v>
      </c>
      <c r="AQ126" s="83" t="n">
        <f aca="false">IF(AP126=0,"",RANK(AP126,AP$4:AP$503,0))</f>
        <v>142</v>
      </c>
      <c r="AR126" s="84" t="s">
        <v>20</v>
      </c>
      <c r="AS126" s="141"/>
      <c r="AT126" s="141"/>
      <c r="AU126" s="141"/>
      <c r="AV126" s="141"/>
      <c r="AW126" s="141"/>
      <c r="AX126" s="141"/>
      <c r="AY126" s="142"/>
      <c r="AZ126" s="142"/>
      <c r="BA126" s="56" t="s">
        <v>20</v>
      </c>
      <c r="BB126" s="91" t="n">
        <f aca="false">SUM(L$4:L$503)/COUNTA(A$4:A$503)</f>
        <v>9494.39992</v>
      </c>
      <c r="BC126" s="92" t="n">
        <f aca="false">SUM(M$4:M$503)/COUNTA(A$4:A$503)</f>
        <v>667.20008</v>
      </c>
      <c r="BD126" s="92" t="n">
        <f aca="false">SUM(N$4:N$503)/COUNTA(A$4:A$503)</f>
        <v>697.19996</v>
      </c>
      <c r="BE126" s="92" t="n">
        <f aca="false">SUM(O$4:O$503)/COUNTA(A$4:A$503)</f>
        <v>713.9999</v>
      </c>
      <c r="BF126" s="92" t="n">
        <f aca="false">SUM(P$4:P$503)/COUNTA(A$4:A$503)</f>
        <v>732.59984</v>
      </c>
      <c r="BG126" s="92" t="n">
        <f aca="false">SUM(Q$4:Q$503)/COUNTA(A$4:A$503)</f>
        <v>756.59992</v>
      </c>
      <c r="BH126" s="92" t="n">
        <f aca="false">SUM(R$4:R$503)/COUNTA(A$4:A$503)</f>
        <v>776.40004</v>
      </c>
      <c r="BI126" s="92" t="n">
        <f aca="false">SUM(S$4:S$503)/COUNTA(A$4:A$503)</f>
        <v>806.40012</v>
      </c>
      <c r="BJ126" s="92" t="n">
        <f aca="false">SUM(T$4:T$503)/COUNTA(A$4:A$503)</f>
        <v>826.1999</v>
      </c>
      <c r="BK126" s="92" t="n">
        <f aca="false">SUM(U$4:U$503)/COUNTA(A$4:A$503)</f>
        <v>844.8002</v>
      </c>
      <c r="BL126" s="92" t="n">
        <f aca="false">SUM(V$4:V$503)/COUNTA(A$4:A$503)</f>
        <v>865.7998</v>
      </c>
      <c r="BM126" s="92" t="n">
        <f aca="false">SUM(W$4:W$503)/COUNTA(A$4:A$503)</f>
        <v>888.59982</v>
      </c>
      <c r="BN126" s="93" t="n">
        <f aca="false">SUM(X$4:X$503)/COUNTA(A$4:A$503)</f>
        <v>918.60034</v>
      </c>
      <c r="BO126" s="94" t="s">
        <v>20</v>
      </c>
      <c r="BP126" s="91" t="n">
        <f aca="false">IF(Z126&gt;=BB126,0,IFERROR(BB126+(SUMPRODUCT((Z$4:Z$503&gt;=BB$4:BB$503)*(Z$4:Z$503-BB$4:BB$503))/MAX(1,COUNTIF(Z$4:Z$503,"&lt;"&amp;BB126+0.01))),BB126))</f>
        <v>10695.5432177778</v>
      </c>
      <c r="BQ126" s="92" t="n">
        <f aca="false">IF(AA126&gt;=BC126,0,IFERROR(BC126+SUMPRODUCT((AA$4:AA$503&gt;=BC$4:BC$503)*(AA$4:AA$503-BC$4:BC$503))/MAX(1,COUNTIF(AA$4:AA$503,"&lt;"&amp;BC126+0.01)),BC126))</f>
        <v>2238.46589176471</v>
      </c>
      <c r="BR126" s="92" t="n">
        <f aca="false">IF(AB126&gt;=BD126,0,IFERROR(BD126+SUMPRODUCT((AB$4:AB$503&gt;=BD$4:BD$503)*(AB$4:AB$503-BD$4:BD$503))/MAX(1,COUNTIF(AB$4:AB$503,"&lt;"&amp;BD126+0.01)),BD126))</f>
        <v>0</v>
      </c>
      <c r="BS126" s="92" t="n">
        <f aca="false">IF(AC126&gt;=BE126,0,IFERROR(BE126+SUMPRODUCT((AC$4:AC$503&gt;=BE$4:BE$503)*(AC$4:AC$503-BE$4:BE$503))/MAX(1,COUNTIF(AC$4:AC$503,"&lt;"&amp;BE126+0.01)),BE126))</f>
        <v>6188.73352</v>
      </c>
      <c r="BT126" s="92" t="n">
        <f aca="false">IF(AD126&gt;=BF126,0,IFERROR(BF126+SUMPRODUCT((AD$4:AD$503&gt;=BF$4:BF$503)*(AD$4:AD$503-BF$4:BF$503))/MAX(1,COUNTIF(AD$4:AD$503,"&lt;"&amp;BF126+0.01)),BF126))</f>
        <v>11354.35411</v>
      </c>
      <c r="BU126" s="92" t="n">
        <f aca="false">IF(AE126&gt;=BG126,0,IFERROR(BG126+SUMPRODUCT((AE$4:AE$503&gt;=BG$4:BG$503)*(AE$4:AE$503-BG$4:BG$503))/MAX(1,COUNTIF(AE$4:AE$503,"&lt;"&amp;BG126+0.01)),BG126))</f>
        <v>7704.85920380952</v>
      </c>
      <c r="BV126" s="92" t="n">
        <f aca="false">IF(AF126&gt;=BH126,0,IFERROR(BH126+SUMPRODUCT((AF$4:AF$503&gt;=BH$4:BH$503)*(AF$4:AF$503-BH$4:BH$503))/MAX(1,COUNTIF(AF$4:AF$503,"&lt;"&amp;BH126+0.01)),BH126))</f>
        <v>9942.6503831579</v>
      </c>
      <c r="BW126" s="92" t="n">
        <f aca="false">IF(AG126&gt;=BI126,0,IFERROR(BI126+SUMPRODUCT((AG$4:AG$503&gt;=BI$4:BI$503)*(AG$4:AG$503-BI$4:BI$503))/MAX(1,COUNTIF(AG$4:AG$503,"&lt;"&amp;BI126+0.01)),BI126))</f>
        <v>9142.15870461538</v>
      </c>
      <c r="BX126" s="92" t="n">
        <f aca="false">IF(AH126&gt;=BJ126,0,IFERROR(BJ126+SUMPRODUCT((AH$4:AH$503&gt;=BJ$4:BJ$503)*(AH$4:AH$503-BJ$4:BJ$503))/MAX(1,COUNTIF(AH$4:AH$503,"&lt;"&amp;BJ126+0.01)),BJ126))</f>
        <v>5621.50263448276</v>
      </c>
      <c r="BY126" s="92" t="n">
        <f aca="false">IF(AI126&gt;=BK126,0,IFERROR(BK126+SUMPRODUCT((AI$4:AI$503&gt;=BK$4:BK$503)*(AI$4:AI$503-BK$4:BK$503))/MAX(1,COUNTIF(AI$4:AI$503,"&lt;"&amp;BK126+0.01)),BK126))</f>
        <v>7878.25652380952</v>
      </c>
      <c r="BZ126" s="92" t="n">
        <f aca="false">IF(AJ126&gt;=BL126,0,IFERROR(BL126+SUMPRODUCT((AJ$4:AJ$503&gt;=BL$4:BL$503)*(AJ$4:AJ$503-BL$4:BL$503))/MAX(1,COUNTIF(AJ$4:AJ$503,"&lt;"&amp;BL126+0.01)),BL126))</f>
        <v>6710.03292307692</v>
      </c>
      <c r="CA126" s="92" t="n">
        <f aca="false">IF(AK126&gt;=BM126,0,IFERROR(BM126+SUMPRODUCT((AK$4:AK$503&gt;=BM$4:BM$503)*(AK$4:AK$503-BM$4:BM$503))/MAX(1,COUNTIF(AK$4:AK$503,"&lt;"&amp;BM126+0.01)),BM126))</f>
        <v>7314.89836842105</v>
      </c>
      <c r="CB126" s="93" t="n">
        <f aca="false">IF(AL126&gt;=BN126,0,IFERROR(BN126+SUMPRODUCT((AL$4:AL$503&gt;=BN$4:BN$503)*(AL$4:AL$503-BN$4:BN$503))/MAX(1,COUNTIF(AL$4:AL$503,"&lt;"&amp;BN126+0.01)),BN126))</f>
        <v>3597.2614925</v>
      </c>
      <c r="CC126" s="95" t="str">
        <f aca="false">IF(AO126="🟢","VERDE",IF(AO126="🟡","AMARELO",IF(AO126="🟠","VERMELHO",IF(AO126="🔴","VERMELHO","ROXO"))))</f>
        <v>VERMELHO</v>
      </c>
      <c r="CD126" s="96" t="s">
        <v>103</v>
      </c>
      <c r="CE126" s="96" t="s">
        <v>104</v>
      </c>
    </row>
    <row r="127" customFormat="false" ht="14.25" hidden="false" customHeight="true" outlineLevel="0" collapsed="false">
      <c r="A127" s="65" t="s">
        <v>394</v>
      </c>
      <c r="B127" s="66" t="s">
        <v>395</v>
      </c>
      <c r="C127" s="67" t="s">
        <v>107</v>
      </c>
      <c r="D127" s="68" t="s">
        <v>108</v>
      </c>
      <c r="E127" s="69" t="s">
        <v>109</v>
      </c>
      <c r="F127" s="70" t="n">
        <f aca="false">IFERROR(VLOOKUP(C127,$AS$3:$AT$10,2,FALSE()),IFERROR(VLOOKUP(C127,$AS$15:$AT$22,2,FALSE()),""))</f>
        <v>132</v>
      </c>
      <c r="G127" s="71" t="n">
        <f aca="false">IFERROR(VLOOKUP(C127,$AS$3:$AX$10,6,FALSE()),IFERROR(VLOOKUP(C127,$AS$15:$AX$22,6,FALSE()),""))</f>
        <v>0.468190175850689</v>
      </c>
      <c r="H127" s="72" t="str">
        <f aca="false">IFERROR(VLOOKUP(C127,$AS$3:$AY$10,7,FALSE()),IFERROR(VLOOKUP(C127,$AS$15:$AY$22,7,FALSE()),""))</f>
        <v>🟡 AMARELO</v>
      </c>
      <c r="I127" s="72" t="str">
        <f aca="false">IFERROR(VLOOKUP(C127,$AS$3:$AZ$10,8,FALSE()),IFERROR(VLOOKUP(C127,$AS$15:$AZ$22,8,FALSE()),""))</f>
        <v>Sell Out</v>
      </c>
      <c r="J127" s="73"/>
      <c r="K127" s="69" t="s">
        <v>107</v>
      </c>
      <c r="L127" s="74" t="n">
        <v>9118.85</v>
      </c>
      <c r="M127" s="75" t="n">
        <v>640.81</v>
      </c>
      <c r="N127" s="75" t="n">
        <v>669.62</v>
      </c>
      <c r="O127" s="75" t="n">
        <v>685.76</v>
      </c>
      <c r="P127" s="75" t="n">
        <v>703.62</v>
      </c>
      <c r="Q127" s="75" t="n">
        <v>726.67</v>
      </c>
      <c r="R127" s="75" t="n">
        <v>745.69</v>
      </c>
      <c r="S127" s="75" t="n">
        <v>774.5</v>
      </c>
      <c r="T127" s="75" t="n">
        <v>793.52</v>
      </c>
      <c r="U127" s="75" t="n">
        <v>811.39</v>
      </c>
      <c r="V127" s="75" t="n">
        <v>831.55</v>
      </c>
      <c r="W127" s="75" t="n">
        <v>853.45</v>
      </c>
      <c r="X127" s="76" t="n">
        <v>882.27</v>
      </c>
      <c r="Y127" s="77" t="s">
        <v>20</v>
      </c>
      <c r="Z127" s="78" t="n">
        <f aca="false">SUM(AA127:AL127)</f>
        <v>3816.46</v>
      </c>
      <c r="AA127" s="75"/>
      <c r="AB127" s="75"/>
      <c r="AC127" s="79" t="n">
        <v>2596.8</v>
      </c>
      <c r="AD127" s="75"/>
      <c r="AE127" s="79" t="n">
        <v>528.27</v>
      </c>
      <c r="AF127" s="75"/>
      <c r="AG127" s="75"/>
      <c r="AH127" s="75"/>
      <c r="AI127" s="79" t="n">
        <v>691.39</v>
      </c>
      <c r="AJ127" s="75"/>
      <c r="AK127" s="75"/>
      <c r="AL127" s="76"/>
      <c r="AM127" s="56" t="s">
        <v>20</v>
      </c>
      <c r="AN127" s="80" t="n">
        <f aca="false">IF(L127=0,0,Z127/L127)</f>
        <v>0.418524265669465</v>
      </c>
      <c r="AO127" s="81" t="str">
        <f aca="false">IF(AN127="","",IF(AN127&gt;=0.9,"🟢",IF(AN127&gt;=0.7,"🟡",IF(AN127&gt;=0.5,"🟠","🔴"))))</f>
        <v>🔴</v>
      </c>
      <c r="AP127" s="82" t="n">
        <f aca="false">IF(L127=0,0,L127-Z127)</f>
        <v>5302.39</v>
      </c>
      <c r="AQ127" s="83" t="n">
        <f aca="false">IF(AP127=0,"",RANK(AP127,AP$4:AP$503,0))</f>
        <v>119</v>
      </c>
      <c r="AR127" s="84" t="s">
        <v>20</v>
      </c>
      <c r="AS127" s="141"/>
      <c r="AT127" s="141"/>
      <c r="AU127" s="141"/>
      <c r="AV127" s="141"/>
      <c r="AW127" s="141"/>
      <c r="AX127" s="141"/>
      <c r="AY127" s="142"/>
      <c r="AZ127" s="142"/>
      <c r="BA127" s="56" t="s">
        <v>20</v>
      </c>
      <c r="BB127" s="91" t="n">
        <f aca="false">SUM(L$4:L$503)/COUNTA(A$4:A$503)</f>
        <v>9494.39992</v>
      </c>
      <c r="BC127" s="92" t="n">
        <f aca="false">SUM(M$4:M$503)/COUNTA(A$4:A$503)</f>
        <v>667.20008</v>
      </c>
      <c r="BD127" s="92" t="n">
        <f aca="false">SUM(N$4:N$503)/COUNTA(A$4:A$503)</f>
        <v>697.19996</v>
      </c>
      <c r="BE127" s="92" t="n">
        <f aca="false">SUM(O$4:O$503)/COUNTA(A$4:A$503)</f>
        <v>713.9999</v>
      </c>
      <c r="BF127" s="92" t="n">
        <f aca="false">SUM(P$4:P$503)/COUNTA(A$4:A$503)</f>
        <v>732.59984</v>
      </c>
      <c r="BG127" s="92" t="n">
        <f aca="false">SUM(Q$4:Q$503)/COUNTA(A$4:A$503)</f>
        <v>756.59992</v>
      </c>
      <c r="BH127" s="92" t="n">
        <f aca="false">SUM(R$4:R$503)/COUNTA(A$4:A$503)</f>
        <v>776.40004</v>
      </c>
      <c r="BI127" s="92" t="n">
        <f aca="false">SUM(S$4:S$503)/COUNTA(A$4:A$503)</f>
        <v>806.40012</v>
      </c>
      <c r="BJ127" s="92" t="n">
        <f aca="false">SUM(T$4:T$503)/COUNTA(A$4:A$503)</f>
        <v>826.1999</v>
      </c>
      <c r="BK127" s="92" t="n">
        <f aca="false">SUM(U$4:U$503)/COUNTA(A$4:A$503)</f>
        <v>844.8002</v>
      </c>
      <c r="BL127" s="92" t="n">
        <f aca="false">SUM(V$4:V$503)/COUNTA(A$4:A$503)</f>
        <v>865.7998</v>
      </c>
      <c r="BM127" s="92" t="n">
        <f aca="false">SUM(W$4:W$503)/COUNTA(A$4:A$503)</f>
        <v>888.59982</v>
      </c>
      <c r="BN127" s="93" t="n">
        <f aca="false">SUM(X$4:X$503)/COUNTA(A$4:A$503)</f>
        <v>918.60034</v>
      </c>
      <c r="BO127" s="94" t="s">
        <v>20</v>
      </c>
      <c r="BP127" s="91" t="n">
        <f aca="false">IF(Z127&gt;=BB127,0,IFERROR(BB127+(SUMPRODUCT((Z$4:Z$503&gt;=BB$4:BB$503)*(Z$4:Z$503-BB$4:BB$503))/MAX(1,COUNTIF(Z$4:Z$503,"&lt;"&amp;BB127+0.01))),BB127))</f>
        <v>10695.5432177778</v>
      </c>
      <c r="BQ127" s="92" t="n">
        <f aca="false">IF(AA127&gt;=BC127,0,IFERROR(BC127+SUMPRODUCT((AA$4:AA$503&gt;=BC$4:BC$503)*(AA$4:AA$503-BC$4:BC$503))/MAX(1,COUNTIF(AA$4:AA$503,"&lt;"&amp;BC127+0.01)),BC127))</f>
        <v>2238.46589176471</v>
      </c>
      <c r="BR127" s="92" t="n">
        <f aca="false">IF(AB127&gt;=BD127,0,IFERROR(BD127+SUMPRODUCT((AB$4:AB$503&gt;=BD$4:BD$503)*(AB$4:AB$503-BD$4:BD$503))/MAX(1,COUNTIF(AB$4:AB$503,"&lt;"&amp;BD127+0.01)),BD127))</f>
        <v>3335.2938</v>
      </c>
      <c r="BS127" s="92" t="n">
        <f aca="false">IF(AC127&gt;=BE127,0,IFERROR(BE127+SUMPRODUCT((AC$4:AC$503&gt;=BE$4:BE$503)*(AC$4:AC$503-BE$4:BE$503))/MAX(1,COUNTIF(AC$4:AC$503,"&lt;"&amp;BE127+0.01)),BE127))</f>
        <v>0</v>
      </c>
      <c r="BT127" s="92" t="n">
        <f aca="false">IF(AD127&gt;=BF127,0,IFERROR(BF127+SUMPRODUCT((AD$4:AD$503&gt;=BF$4:BF$503)*(AD$4:AD$503-BF$4:BF$503))/MAX(1,COUNTIF(AD$4:AD$503,"&lt;"&amp;BF127+0.01)),BF127))</f>
        <v>11354.35411</v>
      </c>
      <c r="BU127" s="92" t="n">
        <f aca="false">IF(AE127&gt;=BG127,0,IFERROR(BG127+SUMPRODUCT((AE$4:AE$503&gt;=BG$4:BG$503)*(AE$4:AE$503-BG$4:BG$503))/MAX(1,COUNTIF(AE$4:AE$503,"&lt;"&amp;BG127+0.01)),BG127))</f>
        <v>7704.85920380952</v>
      </c>
      <c r="BV127" s="92" t="n">
        <f aca="false">IF(AF127&gt;=BH127,0,IFERROR(BH127+SUMPRODUCT((AF$4:AF$503&gt;=BH$4:BH$503)*(AF$4:AF$503-BH$4:BH$503))/MAX(1,COUNTIF(AF$4:AF$503,"&lt;"&amp;BH127+0.01)),BH127))</f>
        <v>9942.6503831579</v>
      </c>
      <c r="BW127" s="92" t="n">
        <f aca="false">IF(AG127&gt;=BI127,0,IFERROR(BI127+SUMPRODUCT((AG$4:AG$503&gt;=BI$4:BI$503)*(AG$4:AG$503-BI$4:BI$503))/MAX(1,COUNTIF(AG$4:AG$503,"&lt;"&amp;BI127+0.01)),BI127))</f>
        <v>9142.15870461538</v>
      </c>
      <c r="BX127" s="92" t="n">
        <f aca="false">IF(AH127&gt;=BJ127,0,IFERROR(BJ127+SUMPRODUCT((AH$4:AH$503&gt;=BJ$4:BJ$503)*(AH$4:AH$503-BJ$4:BJ$503))/MAX(1,COUNTIF(AH$4:AH$503,"&lt;"&amp;BJ127+0.01)),BJ127))</f>
        <v>5621.50263448276</v>
      </c>
      <c r="BY127" s="92" t="n">
        <f aca="false">IF(AI127&gt;=BK127,0,IFERROR(BK127+SUMPRODUCT((AI$4:AI$503&gt;=BK$4:BK$503)*(AI$4:AI$503-BK$4:BK$503))/MAX(1,COUNTIF(AI$4:AI$503,"&lt;"&amp;BK127+0.01)),BK127))</f>
        <v>7878.25652380952</v>
      </c>
      <c r="BZ127" s="92" t="n">
        <f aca="false">IF(AJ127&gt;=BL127,0,IFERROR(BL127+SUMPRODUCT((AJ$4:AJ$503&gt;=BL$4:BL$503)*(AJ$4:AJ$503-BL$4:BL$503))/MAX(1,COUNTIF(AJ$4:AJ$503,"&lt;"&amp;BL127+0.01)),BL127))</f>
        <v>6710.03292307692</v>
      </c>
      <c r="CA127" s="92" t="n">
        <f aca="false">IF(AK127&gt;=BM127,0,IFERROR(BM127+SUMPRODUCT((AK$4:AK$503&gt;=BM$4:BM$503)*(AK$4:AK$503-BM$4:BM$503))/MAX(1,COUNTIF(AK$4:AK$503,"&lt;"&amp;BM127+0.01)),BM127))</f>
        <v>7314.89836842105</v>
      </c>
      <c r="CB127" s="93" t="n">
        <f aca="false">IF(AL127&gt;=BN127,0,IFERROR(BN127+SUMPRODUCT((AL$4:AL$503&gt;=BN$4:BN$503)*(AL$4:AL$503-BN$4:BN$503))/MAX(1,COUNTIF(AL$4:AL$503,"&lt;"&amp;BN127+0.01)),BN127))</f>
        <v>3597.2614925</v>
      </c>
      <c r="CC127" s="95" t="str">
        <f aca="false">IF(AO127="🟢","VERDE",IF(AO127="🟡","AMARELO",IF(AO127="🟠","VERMELHO",IF(AO127="🔴","VERMELHO","ROXO"))))</f>
        <v>VERMELHO</v>
      </c>
      <c r="CD127" s="96" t="s">
        <v>103</v>
      </c>
      <c r="CE127" s="96" t="s">
        <v>104</v>
      </c>
    </row>
    <row r="128" customFormat="false" ht="14.25" hidden="false" customHeight="true" outlineLevel="0" collapsed="false">
      <c r="A128" s="65" t="s">
        <v>396</v>
      </c>
      <c r="B128" s="66" t="s">
        <v>397</v>
      </c>
      <c r="C128" s="67" t="s">
        <v>113</v>
      </c>
      <c r="D128" s="68" t="s">
        <v>100</v>
      </c>
      <c r="E128" s="69" t="s">
        <v>250</v>
      </c>
      <c r="F128" s="70" t="n">
        <f aca="false">IFERROR(VLOOKUP(C128,$AS$3:$AT$10,2,FALSE()),IFERROR(VLOOKUP(C128,$AS$15:$AT$22,2,FALSE()),""))</f>
        <v>49</v>
      </c>
      <c r="G128" s="71" t="n">
        <f aca="false">IFERROR(VLOOKUP(C128,$AS$3:$AX$10,6,FALSE()),IFERROR(VLOOKUP(C128,$AS$15:$AX$22,6,FALSE()),""))</f>
        <v>0.463965086137302</v>
      </c>
      <c r="H128" s="72" t="str">
        <f aca="false">IFERROR(VLOOKUP(C128,$AS$3:$AY$10,7,FALSE()),IFERROR(VLOOKUP(C128,$AS$15:$AY$22,7,FALSE()),""))</f>
        <v>🟡 AMARELO</v>
      </c>
      <c r="I128" s="72" t="str">
        <f aca="false">IFERROR(VLOOKUP(C128,$AS$3:$AZ$10,8,FALSE()),IFERROR(VLOOKUP(C128,$AS$15:$AZ$22,8,FALSE()),""))</f>
        <v>Sell Out</v>
      </c>
      <c r="J128" s="73"/>
      <c r="K128" s="69" t="s">
        <v>113</v>
      </c>
      <c r="L128" s="74" t="n">
        <v>9054.4</v>
      </c>
      <c r="M128" s="75" t="n">
        <v>636.28</v>
      </c>
      <c r="N128" s="75" t="n">
        <v>664.89</v>
      </c>
      <c r="O128" s="75" t="n">
        <v>680.91</v>
      </c>
      <c r="P128" s="75" t="n">
        <v>698.65</v>
      </c>
      <c r="Q128" s="75" t="n">
        <v>721.54</v>
      </c>
      <c r="R128" s="75" t="n">
        <v>740.42</v>
      </c>
      <c r="S128" s="75" t="n">
        <v>769.03</v>
      </c>
      <c r="T128" s="75" t="n">
        <v>787.91</v>
      </c>
      <c r="U128" s="75" t="n">
        <v>805.65</v>
      </c>
      <c r="V128" s="75" t="n">
        <v>825.67</v>
      </c>
      <c r="W128" s="75" t="n">
        <v>847.42</v>
      </c>
      <c r="X128" s="76" t="n">
        <v>876.03</v>
      </c>
      <c r="Y128" s="77" t="s">
        <v>20</v>
      </c>
      <c r="Z128" s="78" t="n">
        <f aca="false">SUM(AA128:AL128)</f>
        <v>4861.21</v>
      </c>
      <c r="AA128" s="75"/>
      <c r="AB128" s="75"/>
      <c r="AC128" s="75"/>
      <c r="AD128" s="75"/>
      <c r="AE128" s="75"/>
      <c r="AF128" s="75"/>
      <c r="AG128" s="75"/>
      <c r="AH128" s="75"/>
      <c r="AI128" s="75"/>
      <c r="AJ128" s="79" t="n">
        <v>2763.48</v>
      </c>
      <c r="AK128" s="79" t="n">
        <v>2097.73</v>
      </c>
      <c r="AL128" s="76"/>
      <c r="AM128" s="56" t="s">
        <v>20</v>
      </c>
      <c r="AN128" s="80" t="n">
        <f aca="false">IF(L128=0,0,Z128/L128)</f>
        <v>0.536889247216823</v>
      </c>
      <c r="AO128" s="81" t="str">
        <f aca="false">IF(AN128="","",IF(AN128&gt;=0.9,"🟢",IF(AN128&gt;=0.7,"🟡",IF(AN128&gt;=0.5,"🟠","🔴"))))</f>
        <v>🟠</v>
      </c>
      <c r="AP128" s="82" t="n">
        <f aca="false">IF(L128=0,0,L128-Z128)</f>
        <v>4193.19</v>
      </c>
      <c r="AQ128" s="83" t="n">
        <f aca="false">IF(AP128=0,"",RANK(AP128,AP$4:AP$503,0))</f>
        <v>154</v>
      </c>
      <c r="AR128" s="84" t="s">
        <v>20</v>
      </c>
      <c r="AS128" s="141"/>
      <c r="AT128" s="141"/>
      <c r="AU128" s="141"/>
      <c r="AV128" s="141"/>
      <c r="AW128" s="141"/>
      <c r="AX128" s="141"/>
      <c r="AY128" s="142"/>
      <c r="AZ128" s="142"/>
      <c r="BA128" s="56" t="s">
        <v>20</v>
      </c>
      <c r="BB128" s="91" t="n">
        <f aca="false">SUM(L$4:L$503)/COUNTA(A$4:A$503)</f>
        <v>9494.39992</v>
      </c>
      <c r="BC128" s="92" t="n">
        <f aca="false">SUM(M$4:M$503)/COUNTA(A$4:A$503)</f>
        <v>667.20008</v>
      </c>
      <c r="BD128" s="92" t="n">
        <f aca="false">SUM(N$4:N$503)/COUNTA(A$4:A$503)</f>
        <v>697.19996</v>
      </c>
      <c r="BE128" s="92" t="n">
        <f aca="false">SUM(O$4:O$503)/COUNTA(A$4:A$503)</f>
        <v>713.9999</v>
      </c>
      <c r="BF128" s="92" t="n">
        <f aca="false">SUM(P$4:P$503)/COUNTA(A$4:A$503)</f>
        <v>732.59984</v>
      </c>
      <c r="BG128" s="92" t="n">
        <f aca="false">SUM(Q$4:Q$503)/COUNTA(A$4:A$503)</f>
        <v>756.59992</v>
      </c>
      <c r="BH128" s="92" t="n">
        <f aca="false">SUM(R$4:R$503)/COUNTA(A$4:A$503)</f>
        <v>776.40004</v>
      </c>
      <c r="BI128" s="92" t="n">
        <f aca="false">SUM(S$4:S$503)/COUNTA(A$4:A$503)</f>
        <v>806.40012</v>
      </c>
      <c r="BJ128" s="92" t="n">
        <f aca="false">SUM(T$4:T$503)/COUNTA(A$4:A$503)</f>
        <v>826.1999</v>
      </c>
      <c r="BK128" s="92" t="n">
        <f aca="false">SUM(U$4:U$503)/COUNTA(A$4:A$503)</f>
        <v>844.8002</v>
      </c>
      <c r="BL128" s="92" t="n">
        <f aca="false">SUM(V$4:V$503)/COUNTA(A$4:A$503)</f>
        <v>865.7998</v>
      </c>
      <c r="BM128" s="92" t="n">
        <f aca="false">SUM(W$4:W$503)/COUNTA(A$4:A$503)</f>
        <v>888.59982</v>
      </c>
      <c r="BN128" s="93" t="n">
        <f aca="false">SUM(X$4:X$503)/COUNTA(A$4:A$503)</f>
        <v>918.60034</v>
      </c>
      <c r="BO128" s="94" t="s">
        <v>20</v>
      </c>
      <c r="BP128" s="91" t="n">
        <f aca="false">IF(Z128&gt;=BB128,0,IFERROR(BB128+(SUMPRODUCT((Z$4:Z$503&gt;=BB$4:BB$503)*(Z$4:Z$503-BB$4:BB$503))/MAX(1,COUNTIF(Z$4:Z$503,"&lt;"&amp;BB128+0.01))),BB128))</f>
        <v>10695.5432177778</v>
      </c>
      <c r="BQ128" s="92" t="n">
        <f aca="false">IF(AA128&gt;=BC128,0,IFERROR(BC128+SUMPRODUCT((AA$4:AA$503&gt;=BC$4:BC$503)*(AA$4:AA$503-BC$4:BC$503))/MAX(1,COUNTIF(AA$4:AA$503,"&lt;"&amp;BC128+0.01)),BC128))</f>
        <v>2238.46589176471</v>
      </c>
      <c r="BR128" s="92" t="n">
        <f aca="false">IF(AB128&gt;=BD128,0,IFERROR(BD128+SUMPRODUCT((AB$4:AB$503&gt;=BD$4:BD$503)*(AB$4:AB$503-BD$4:BD$503))/MAX(1,COUNTIF(AB$4:AB$503,"&lt;"&amp;BD128+0.01)),BD128))</f>
        <v>3335.2938</v>
      </c>
      <c r="BS128" s="92" t="n">
        <f aca="false">IF(AC128&gt;=BE128,0,IFERROR(BE128+SUMPRODUCT((AC$4:AC$503&gt;=BE$4:BE$503)*(AC$4:AC$503-BE$4:BE$503))/MAX(1,COUNTIF(AC$4:AC$503,"&lt;"&amp;BE128+0.01)),BE128))</f>
        <v>6188.73352</v>
      </c>
      <c r="BT128" s="92" t="n">
        <f aca="false">IF(AD128&gt;=BF128,0,IFERROR(BF128+SUMPRODUCT((AD$4:AD$503&gt;=BF$4:BF$503)*(AD$4:AD$503-BF$4:BF$503))/MAX(1,COUNTIF(AD$4:AD$503,"&lt;"&amp;BF128+0.01)),BF128))</f>
        <v>11354.35411</v>
      </c>
      <c r="BU128" s="92" t="n">
        <f aca="false">IF(AE128&gt;=BG128,0,IFERROR(BG128+SUMPRODUCT((AE$4:AE$503&gt;=BG$4:BG$503)*(AE$4:AE$503-BG$4:BG$503))/MAX(1,COUNTIF(AE$4:AE$503,"&lt;"&amp;BG128+0.01)),BG128))</f>
        <v>7704.85920380952</v>
      </c>
      <c r="BV128" s="92" t="n">
        <f aca="false">IF(AF128&gt;=BH128,0,IFERROR(BH128+SUMPRODUCT((AF$4:AF$503&gt;=BH$4:BH$503)*(AF$4:AF$503-BH$4:BH$503))/MAX(1,COUNTIF(AF$4:AF$503,"&lt;"&amp;BH128+0.01)),BH128))</f>
        <v>9942.6503831579</v>
      </c>
      <c r="BW128" s="92" t="n">
        <f aca="false">IF(AG128&gt;=BI128,0,IFERROR(BI128+SUMPRODUCT((AG$4:AG$503&gt;=BI$4:BI$503)*(AG$4:AG$503-BI$4:BI$503))/MAX(1,COUNTIF(AG$4:AG$503,"&lt;"&amp;BI128+0.01)),BI128))</f>
        <v>9142.15870461538</v>
      </c>
      <c r="BX128" s="92" t="n">
        <f aca="false">IF(AH128&gt;=BJ128,0,IFERROR(BJ128+SUMPRODUCT((AH$4:AH$503&gt;=BJ$4:BJ$503)*(AH$4:AH$503-BJ$4:BJ$503))/MAX(1,COUNTIF(AH$4:AH$503,"&lt;"&amp;BJ128+0.01)),BJ128))</f>
        <v>5621.50263448276</v>
      </c>
      <c r="BY128" s="92" t="n">
        <f aca="false">IF(AI128&gt;=BK128,0,IFERROR(BK128+SUMPRODUCT((AI$4:AI$503&gt;=BK$4:BK$503)*(AI$4:AI$503-BK$4:BK$503))/MAX(1,COUNTIF(AI$4:AI$503,"&lt;"&amp;BK128+0.01)),BK128))</f>
        <v>7878.25652380952</v>
      </c>
      <c r="BZ128" s="92" t="n">
        <f aca="false">IF(AJ128&gt;=BL128,0,IFERROR(BL128+SUMPRODUCT((AJ$4:AJ$503&gt;=BL$4:BL$503)*(AJ$4:AJ$503-BL$4:BL$503))/MAX(1,COUNTIF(AJ$4:AJ$503,"&lt;"&amp;BL128+0.01)),BL128))</f>
        <v>0</v>
      </c>
      <c r="CA128" s="92" t="n">
        <f aca="false">IF(AK128&gt;=BM128,0,IFERROR(BM128+SUMPRODUCT((AK$4:AK$503&gt;=BM$4:BM$503)*(AK$4:AK$503-BM$4:BM$503))/MAX(1,COUNTIF(AK$4:AK$503,"&lt;"&amp;BM128+0.01)),BM128))</f>
        <v>0</v>
      </c>
      <c r="CB128" s="93" t="n">
        <f aca="false">IF(AL128&gt;=BN128,0,IFERROR(BN128+SUMPRODUCT((AL$4:AL$503&gt;=BN$4:BN$503)*(AL$4:AL$503-BN$4:BN$503))/MAX(1,COUNTIF(AL$4:AL$503,"&lt;"&amp;BN128+0.01)),BN128))</f>
        <v>3597.2614925</v>
      </c>
      <c r="CC128" s="95" t="str">
        <f aca="false">IF(AO128="🟢","VERDE",IF(AO128="🟡","AMARELO",IF(AO128="🟠","VERMELHO",IF(AO128="🔴","VERMELHO","ROXO"))))</f>
        <v>VERMELHO</v>
      </c>
      <c r="CD128" s="96" t="s">
        <v>103</v>
      </c>
      <c r="CE128" s="96" t="s">
        <v>104</v>
      </c>
    </row>
    <row r="129" customFormat="false" ht="14.25" hidden="false" customHeight="true" outlineLevel="0" collapsed="false">
      <c r="A129" s="65" t="s">
        <v>398</v>
      </c>
      <c r="B129" s="66" t="s">
        <v>399</v>
      </c>
      <c r="C129" s="67" t="s">
        <v>123</v>
      </c>
      <c r="D129" s="68" t="s">
        <v>108</v>
      </c>
      <c r="E129" s="56" t="s">
        <v>20</v>
      </c>
      <c r="F129" s="70" t="n">
        <f aca="false">IFERROR(VLOOKUP(C129,$AS$3:$AT$10,2,FALSE()),IFERROR(VLOOKUP(C129,$AS$15:$AT$22,2,FALSE()),""))</f>
        <v>49</v>
      </c>
      <c r="G129" s="71" t="n">
        <f aca="false">IFERROR(VLOOKUP(C129,$AS$3:$AX$10,6,FALSE()),IFERROR(VLOOKUP(C129,$AS$15:$AX$22,6,FALSE()),""))</f>
        <v>0.436391353881959</v>
      </c>
      <c r="H129" s="72" t="str">
        <f aca="false">IFERROR(VLOOKUP(C129,$AS$3:$AY$10,7,FALSE()),IFERROR(VLOOKUP(C129,$AS$15:$AY$22,7,FALSE()),""))</f>
        <v>🟡 AMARELO</v>
      </c>
      <c r="I129" s="72" t="str">
        <f aca="false">IFERROR(VLOOKUP(C129,$AS$3:$AZ$10,8,FALSE()),IFERROR(VLOOKUP(C129,$AS$15:$AZ$22,8,FALSE()),""))</f>
        <v>Sell Out</v>
      </c>
      <c r="J129" s="73"/>
      <c r="K129" s="56" t="s">
        <v>20</v>
      </c>
      <c r="L129" s="74" t="n">
        <v>8887.8</v>
      </c>
      <c r="M129" s="75" t="n">
        <v>624.57</v>
      </c>
      <c r="N129" s="75" t="n">
        <v>652.66</v>
      </c>
      <c r="O129" s="75" t="n">
        <v>668.38</v>
      </c>
      <c r="P129" s="75" t="n">
        <v>685.79</v>
      </c>
      <c r="Q129" s="75" t="n">
        <v>708.26</v>
      </c>
      <c r="R129" s="75" t="n">
        <v>726.8</v>
      </c>
      <c r="S129" s="75" t="n">
        <v>754.88</v>
      </c>
      <c r="T129" s="75" t="n">
        <v>773.41</v>
      </c>
      <c r="U129" s="75" t="n">
        <v>790.83</v>
      </c>
      <c r="V129" s="75" t="n">
        <v>810.48</v>
      </c>
      <c r="W129" s="75" t="n">
        <v>831.83</v>
      </c>
      <c r="X129" s="76" t="n">
        <v>859.91</v>
      </c>
      <c r="Y129" s="77" t="s">
        <v>20</v>
      </c>
      <c r="Z129" s="78" t="n">
        <f aca="false">SUM(AA129:AL129)</f>
        <v>3694.24</v>
      </c>
      <c r="AA129" s="75"/>
      <c r="AB129" s="75"/>
      <c r="AC129" s="75"/>
      <c r="AD129" s="75"/>
      <c r="AE129" s="75" t="n">
        <v>3694.24</v>
      </c>
      <c r="AF129" s="75"/>
      <c r="AG129" s="75"/>
      <c r="AH129" s="75"/>
      <c r="AI129" s="75"/>
      <c r="AJ129" s="75"/>
      <c r="AK129" s="75"/>
      <c r="AL129" s="76"/>
      <c r="AM129" s="56" t="s">
        <v>20</v>
      </c>
      <c r="AN129" s="80" t="n">
        <f aca="false">IF(L129=0,0,Z129/L129)</f>
        <v>0.415652917482392</v>
      </c>
      <c r="AO129" s="81" t="str">
        <f aca="false">IF(AN129="","",IF(AN129&gt;=0.9,"🟢",IF(AN129&gt;=0.7,"🟡",IF(AN129&gt;=0.5,"🟠","🔴"))))</f>
        <v>🔴</v>
      </c>
      <c r="AP129" s="82" t="n">
        <f aca="false">IF(L129=0,0,L129-Z129)</f>
        <v>5193.56</v>
      </c>
      <c r="AQ129" s="83" t="n">
        <f aca="false">IF(AP129=0,"",RANK(AP129,AP$4:AP$503,0))</f>
        <v>122</v>
      </c>
      <c r="AR129" s="84" t="s">
        <v>20</v>
      </c>
      <c r="AS129" s="141"/>
      <c r="AT129" s="141"/>
      <c r="AU129" s="141"/>
      <c r="AV129" s="141"/>
      <c r="AW129" s="141"/>
      <c r="AX129" s="141"/>
      <c r="AY129" s="142"/>
      <c r="AZ129" s="142"/>
      <c r="BA129" s="56" t="s">
        <v>20</v>
      </c>
      <c r="BB129" s="91" t="n">
        <f aca="false">SUM(L$4:L$503)/COUNTA(A$4:A$503)</f>
        <v>9494.39992</v>
      </c>
      <c r="BC129" s="92" t="n">
        <f aca="false">SUM(M$4:M$503)/COUNTA(A$4:A$503)</f>
        <v>667.20008</v>
      </c>
      <c r="BD129" s="92" t="n">
        <f aca="false">SUM(N$4:N$503)/COUNTA(A$4:A$503)</f>
        <v>697.19996</v>
      </c>
      <c r="BE129" s="92" t="n">
        <f aca="false">SUM(O$4:O$503)/COUNTA(A$4:A$503)</f>
        <v>713.9999</v>
      </c>
      <c r="BF129" s="92" t="n">
        <f aca="false">SUM(P$4:P$503)/COUNTA(A$4:A$503)</f>
        <v>732.59984</v>
      </c>
      <c r="BG129" s="92" t="n">
        <f aca="false">SUM(Q$4:Q$503)/COUNTA(A$4:A$503)</f>
        <v>756.59992</v>
      </c>
      <c r="BH129" s="92" t="n">
        <f aca="false">SUM(R$4:R$503)/COUNTA(A$4:A$503)</f>
        <v>776.40004</v>
      </c>
      <c r="BI129" s="92" t="n">
        <f aca="false">SUM(S$4:S$503)/COUNTA(A$4:A$503)</f>
        <v>806.40012</v>
      </c>
      <c r="BJ129" s="92" t="n">
        <f aca="false">SUM(T$4:T$503)/COUNTA(A$4:A$503)</f>
        <v>826.1999</v>
      </c>
      <c r="BK129" s="92" t="n">
        <f aca="false">SUM(U$4:U$503)/COUNTA(A$4:A$503)</f>
        <v>844.8002</v>
      </c>
      <c r="BL129" s="92" t="n">
        <f aca="false">SUM(V$4:V$503)/COUNTA(A$4:A$503)</f>
        <v>865.7998</v>
      </c>
      <c r="BM129" s="92" t="n">
        <f aca="false">SUM(W$4:W$503)/COUNTA(A$4:A$503)</f>
        <v>888.59982</v>
      </c>
      <c r="BN129" s="93" t="n">
        <f aca="false">SUM(X$4:X$503)/COUNTA(A$4:A$503)</f>
        <v>918.60034</v>
      </c>
      <c r="BO129" s="94" t="s">
        <v>20</v>
      </c>
      <c r="BP129" s="91" t="n">
        <f aca="false">IF(Z129&gt;=BB129,0,IFERROR(BB129+(SUMPRODUCT((Z$4:Z$503&gt;=BB$4:BB$503)*(Z$4:Z$503-BB$4:BB$503))/MAX(1,COUNTIF(Z$4:Z$503,"&lt;"&amp;BB129+0.01))),BB129))</f>
        <v>10695.5432177778</v>
      </c>
      <c r="BQ129" s="92" t="n">
        <f aca="false">IF(AA129&gt;=BC129,0,IFERROR(BC129+SUMPRODUCT((AA$4:AA$503&gt;=BC$4:BC$503)*(AA$4:AA$503-BC$4:BC$503))/MAX(1,COUNTIF(AA$4:AA$503,"&lt;"&amp;BC129+0.01)),BC129))</f>
        <v>2238.46589176471</v>
      </c>
      <c r="BR129" s="92" t="n">
        <f aca="false">IF(AB129&gt;=BD129,0,IFERROR(BD129+SUMPRODUCT((AB$4:AB$503&gt;=BD$4:BD$503)*(AB$4:AB$503-BD$4:BD$503))/MAX(1,COUNTIF(AB$4:AB$503,"&lt;"&amp;BD129+0.01)),BD129))</f>
        <v>3335.2938</v>
      </c>
      <c r="BS129" s="92" t="n">
        <f aca="false">IF(AC129&gt;=BE129,0,IFERROR(BE129+SUMPRODUCT((AC$4:AC$503&gt;=BE$4:BE$503)*(AC$4:AC$503-BE$4:BE$503))/MAX(1,COUNTIF(AC$4:AC$503,"&lt;"&amp;BE129+0.01)),BE129))</f>
        <v>6188.73352</v>
      </c>
      <c r="BT129" s="92" t="n">
        <f aca="false">IF(AD129&gt;=BF129,0,IFERROR(BF129+SUMPRODUCT((AD$4:AD$503&gt;=BF$4:BF$503)*(AD$4:AD$503-BF$4:BF$503))/MAX(1,COUNTIF(AD$4:AD$503,"&lt;"&amp;BF129+0.01)),BF129))</f>
        <v>11354.35411</v>
      </c>
      <c r="BU129" s="92" t="n">
        <f aca="false">IF(AE129&gt;=BG129,0,IFERROR(BG129+SUMPRODUCT((AE$4:AE$503&gt;=BG$4:BG$503)*(AE$4:AE$503-BG$4:BG$503))/MAX(1,COUNTIF(AE$4:AE$503,"&lt;"&amp;BG129+0.01)),BG129))</f>
        <v>0</v>
      </c>
      <c r="BV129" s="92" t="n">
        <f aca="false">IF(AF129&gt;=BH129,0,IFERROR(BH129+SUMPRODUCT((AF$4:AF$503&gt;=BH$4:BH$503)*(AF$4:AF$503-BH$4:BH$503))/MAX(1,COUNTIF(AF$4:AF$503,"&lt;"&amp;BH129+0.01)),BH129))</f>
        <v>9942.6503831579</v>
      </c>
      <c r="BW129" s="92" t="n">
        <f aca="false">IF(AG129&gt;=BI129,0,IFERROR(BI129+SUMPRODUCT((AG$4:AG$503&gt;=BI$4:BI$503)*(AG$4:AG$503-BI$4:BI$503))/MAX(1,COUNTIF(AG$4:AG$503,"&lt;"&amp;BI129+0.01)),BI129))</f>
        <v>9142.15870461538</v>
      </c>
      <c r="BX129" s="92" t="n">
        <f aca="false">IF(AH129&gt;=BJ129,0,IFERROR(BJ129+SUMPRODUCT((AH$4:AH$503&gt;=BJ$4:BJ$503)*(AH$4:AH$503-BJ$4:BJ$503))/MAX(1,COUNTIF(AH$4:AH$503,"&lt;"&amp;BJ129+0.01)),BJ129))</f>
        <v>5621.50263448276</v>
      </c>
      <c r="BY129" s="92" t="n">
        <f aca="false">IF(AI129&gt;=BK129,0,IFERROR(BK129+SUMPRODUCT((AI$4:AI$503&gt;=BK$4:BK$503)*(AI$4:AI$503-BK$4:BK$503))/MAX(1,COUNTIF(AI$4:AI$503,"&lt;"&amp;BK129+0.01)),BK129))</f>
        <v>7878.25652380952</v>
      </c>
      <c r="BZ129" s="92" t="n">
        <f aca="false">IF(AJ129&gt;=BL129,0,IFERROR(BL129+SUMPRODUCT((AJ$4:AJ$503&gt;=BL$4:BL$503)*(AJ$4:AJ$503-BL$4:BL$503))/MAX(1,COUNTIF(AJ$4:AJ$503,"&lt;"&amp;BL129+0.01)),BL129))</f>
        <v>6710.03292307692</v>
      </c>
      <c r="CA129" s="92" t="n">
        <f aca="false">IF(AK129&gt;=BM129,0,IFERROR(BM129+SUMPRODUCT((AK$4:AK$503&gt;=BM$4:BM$503)*(AK$4:AK$503-BM$4:BM$503))/MAX(1,COUNTIF(AK$4:AK$503,"&lt;"&amp;BM129+0.01)),BM129))</f>
        <v>7314.89836842105</v>
      </c>
      <c r="CB129" s="93" t="n">
        <f aca="false">IF(AL129&gt;=BN129,0,IFERROR(BN129+SUMPRODUCT((AL$4:AL$503&gt;=BN$4:BN$503)*(AL$4:AL$503-BN$4:BN$503))/MAX(1,COUNTIF(AL$4:AL$503,"&lt;"&amp;BN129+0.01)),BN129))</f>
        <v>3597.2614925</v>
      </c>
      <c r="CC129" s="95" t="str">
        <f aca="false">IF(AO129="🟢","VERDE",IF(AO129="🟡","AMARELO",IF(AO129="🟠","VERMELHO",IF(AO129="🔴","VERMELHO","ROXO"))))</f>
        <v>VERMELHO</v>
      </c>
      <c r="CD129" s="96" t="s">
        <v>103</v>
      </c>
      <c r="CE129" s="96" t="s">
        <v>104</v>
      </c>
    </row>
    <row r="130" customFormat="false" ht="14.25" hidden="false" customHeight="true" outlineLevel="0" collapsed="false">
      <c r="A130" s="65" t="s">
        <v>400</v>
      </c>
      <c r="B130" s="66" t="s">
        <v>401</v>
      </c>
      <c r="C130" s="67" t="s">
        <v>118</v>
      </c>
      <c r="D130" s="68" t="s">
        <v>100</v>
      </c>
      <c r="E130" s="69" t="s">
        <v>119</v>
      </c>
      <c r="F130" s="70" t="n">
        <f aca="false">IFERROR(VLOOKUP(C130,$AS$3:$AT$10,2,FALSE()),IFERROR(VLOOKUP(C130,$AS$15:$AT$22,2,FALSE()),""))</f>
        <v>42</v>
      </c>
      <c r="G130" s="71" t="n">
        <f aca="false">IFERROR(VLOOKUP(C130,$AS$3:$AX$10,6,FALSE()),IFERROR(VLOOKUP(C130,$AS$15:$AX$22,6,FALSE()),""))</f>
        <v>0.424872083346704</v>
      </c>
      <c r="H130" s="72" t="str">
        <f aca="false">IFERROR(VLOOKUP(C130,$AS$3:$AY$10,7,FALSE()),IFERROR(VLOOKUP(C130,$AS$15:$AY$22,7,FALSE()),""))</f>
        <v>🟡 AMARELO</v>
      </c>
      <c r="I130" s="72" t="str">
        <f aca="false">IFERROR(VLOOKUP(C130,$AS$3:$AZ$10,8,FALSE()),IFERROR(VLOOKUP(C130,$AS$15:$AZ$22,8,FALSE()),""))</f>
        <v>Sell Out</v>
      </c>
      <c r="J130" s="73"/>
      <c r="K130" s="69" t="s">
        <v>118</v>
      </c>
      <c r="L130" s="74" t="n">
        <v>8844.73</v>
      </c>
      <c r="M130" s="75" t="n">
        <v>621.55</v>
      </c>
      <c r="N130" s="75" t="n">
        <v>649.49</v>
      </c>
      <c r="O130" s="75" t="n">
        <v>665.14</v>
      </c>
      <c r="P130" s="75" t="n">
        <v>682.47</v>
      </c>
      <c r="Q130" s="75" t="n">
        <v>704.83</v>
      </c>
      <c r="R130" s="75" t="n">
        <v>723.27</v>
      </c>
      <c r="S130" s="75" t="n">
        <v>751.22</v>
      </c>
      <c r="T130" s="75" t="n">
        <v>769.67</v>
      </c>
      <c r="U130" s="75" t="n">
        <v>786.99</v>
      </c>
      <c r="V130" s="75" t="n">
        <v>806.56</v>
      </c>
      <c r="W130" s="75" t="n">
        <v>827.8</v>
      </c>
      <c r="X130" s="76" t="n">
        <v>855.74</v>
      </c>
      <c r="Y130" s="77" t="s">
        <v>20</v>
      </c>
      <c r="Z130" s="78" t="n">
        <f aca="false">SUM(AA130:AL130)</f>
        <v>775.16</v>
      </c>
      <c r="AA130" s="75"/>
      <c r="AB130" s="75"/>
      <c r="AC130" s="75"/>
      <c r="AD130" s="75"/>
      <c r="AE130" s="75"/>
      <c r="AF130" s="75"/>
      <c r="AG130" s="75"/>
      <c r="AH130" s="75"/>
      <c r="AI130" s="75"/>
      <c r="AJ130" s="79" t="n">
        <v>775.16</v>
      </c>
      <c r="AK130" s="75"/>
      <c r="AL130" s="76"/>
      <c r="AM130" s="56" t="s">
        <v>20</v>
      </c>
      <c r="AN130" s="80" t="n">
        <f aca="false">IF(L130=0,0,Z130/L130)</f>
        <v>0.0876408889813482</v>
      </c>
      <c r="AO130" s="81" t="str">
        <f aca="false">IF(AN130="","",IF(AN130&gt;=0.9,"🟢",IF(AN130&gt;=0.7,"🟡",IF(AN130&gt;=0.5,"🟠","🔴"))))</f>
        <v>🔴</v>
      </c>
      <c r="AP130" s="82" t="n">
        <f aca="false">IF(L130=0,0,L130-Z130)</f>
        <v>8069.57</v>
      </c>
      <c r="AQ130" s="83" t="n">
        <f aca="false">IF(AP130=0,"",RANK(AP130,AP$4:AP$503,0))</f>
        <v>77</v>
      </c>
      <c r="AR130" s="84" t="s">
        <v>20</v>
      </c>
      <c r="AS130" s="141"/>
      <c r="AT130" s="141"/>
      <c r="AU130" s="141"/>
      <c r="AV130" s="141"/>
      <c r="AW130" s="141"/>
      <c r="AX130" s="141"/>
      <c r="AY130" s="142"/>
      <c r="AZ130" s="142"/>
      <c r="BA130" s="56" t="s">
        <v>20</v>
      </c>
      <c r="BB130" s="91" t="n">
        <f aca="false">SUM(L$4:L$503)/COUNTA(A$4:A$503)</f>
        <v>9494.39992</v>
      </c>
      <c r="BC130" s="92" t="n">
        <f aca="false">SUM(M$4:M$503)/COUNTA(A$4:A$503)</f>
        <v>667.20008</v>
      </c>
      <c r="BD130" s="92" t="n">
        <f aca="false">SUM(N$4:N$503)/COUNTA(A$4:A$503)</f>
        <v>697.19996</v>
      </c>
      <c r="BE130" s="92" t="n">
        <f aca="false">SUM(O$4:O$503)/COUNTA(A$4:A$503)</f>
        <v>713.9999</v>
      </c>
      <c r="BF130" s="92" t="n">
        <f aca="false">SUM(P$4:P$503)/COUNTA(A$4:A$503)</f>
        <v>732.59984</v>
      </c>
      <c r="BG130" s="92" t="n">
        <f aca="false">SUM(Q$4:Q$503)/COUNTA(A$4:A$503)</f>
        <v>756.59992</v>
      </c>
      <c r="BH130" s="92" t="n">
        <f aca="false">SUM(R$4:R$503)/COUNTA(A$4:A$503)</f>
        <v>776.40004</v>
      </c>
      <c r="BI130" s="92" t="n">
        <f aca="false">SUM(S$4:S$503)/COUNTA(A$4:A$503)</f>
        <v>806.40012</v>
      </c>
      <c r="BJ130" s="92" t="n">
        <f aca="false">SUM(T$4:T$503)/COUNTA(A$4:A$503)</f>
        <v>826.1999</v>
      </c>
      <c r="BK130" s="92" t="n">
        <f aca="false">SUM(U$4:U$503)/COUNTA(A$4:A$503)</f>
        <v>844.8002</v>
      </c>
      <c r="BL130" s="92" t="n">
        <f aca="false">SUM(V$4:V$503)/COUNTA(A$4:A$503)</f>
        <v>865.7998</v>
      </c>
      <c r="BM130" s="92" t="n">
        <f aca="false">SUM(W$4:W$503)/COUNTA(A$4:A$503)</f>
        <v>888.59982</v>
      </c>
      <c r="BN130" s="93" t="n">
        <f aca="false">SUM(X$4:X$503)/COUNTA(A$4:A$503)</f>
        <v>918.60034</v>
      </c>
      <c r="BO130" s="94" t="s">
        <v>20</v>
      </c>
      <c r="BP130" s="91" t="n">
        <f aca="false">IF(Z130&gt;=BB130,0,IFERROR(BB130+(SUMPRODUCT((Z$4:Z$503&gt;=BB$4:BB$503)*(Z$4:Z$503-BB$4:BB$503))/MAX(1,COUNTIF(Z$4:Z$503,"&lt;"&amp;BB130+0.01))),BB130))</f>
        <v>10695.5432177778</v>
      </c>
      <c r="BQ130" s="92" t="n">
        <f aca="false">IF(AA130&gt;=BC130,0,IFERROR(BC130+SUMPRODUCT((AA$4:AA$503&gt;=BC$4:BC$503)*(AA$4:AA$503-BC$4:BC$503))/MAX(1,COUNTIF(AA$4:AA$503,"&lt;"&amp;BC130+0.01)),BC130))</f>
        <v>2238.46589176471</v>
      </c>
      <c r="BR130" s="92" t="n">
        <f aca="false">IF(AB130&gt;=BD130,0,IFERROR(BD130+SUMPRODUCT((AB$4:AB$503&gt;=BD$4:BD$503)*(AB$4:AB$503-BD$4:BD$503))/MAX(1,COUNTIF(AB$4:AB$503,"&lt;"&amp;BD130+0.01)),BD130))</f>
        <v>3335.2938</v>
      </c>
      <c r="BS130" s="92" t="n">
        <f aca="false">IF(AC130&gt;=BE130,0,IFERROR(BE130+SUMPRODUCT((AC$4:AC$503&gt;=BE$4:BE$503)*(AC$4:AC$503-BE$4:BE$503))/MAX(1,COUNTIF(AC$4:AC$503,"&lt;"&amp;BE130+0.01)),BE130))</f>
        <v>6188.73352</v>
      </c>
      <c r="BT130" s="92" t="n">
        <f aca="false">IF(AD130&gt;=BF130,0,IFERROR(BF130+SUMPRODUCT((AD$4:AD$503&gt;=BF$4:BF$503)*(AD$4:AD$503-BF$4:BF$503))/MAX(1,COUNTIF(AD$4:AD$503,"&lt;"&amp;BF130+0.01)),BF130))</f>
        <v>11354.35411</v>
      </c>
      <c r="BU130" s="92" t="n">
        <f aca="false">IF(AE130&gt;=BG130,0,IFERROR(BG130+SUMPRODUCT((AE$4:AE$503&gt;=BG$4:BG$503)*(AE$4:AE$503-BG$4:BG$503))/MAX(1,COUNTIF(AE$4:AE$503,"&lt;"&amp;BG130+0.01)),BG130))</f>
        <v>7704.85920380952</v>
      </c>
      <c r="BV130" s="92" t="n">
        <f aca="false">IF(AF130&gt;=BH130,0,IFERROR(BH130+SUMPRODUCT((AF$4:AF$503&gt;=BH$4:BH$503)*(AF$4:AF$503-BH$4:BH$503))/MAX(1,COUNTIF(AF$4:AF$503,"&lt;"&amp;BH130+0.01)),BH130))</f>
        <v>9942.6503831579</v>
      </c>
      <c r="BW130" s="92" t="n">
        <f aca="false">IF(AG130&gt;=BI130,0,IFERROR(BI130+SUMPRODUCT((AG$4:AG$503&gt;=BI$4:BI$503)*(AG$4:AG$503-BI$4:BI$503))/MAX(1,COUNTIF(AG$4:AG$503,"&lt;"&amp;BI130+0.01)),BI130))</f>
        <v>9142.15870461538</v>
      </c>
      <c r="BX130" s="92" t="n">
        <f aca="false">IF(AH130&gt;=BJ130,0,IFERROR(BJ130+SUMPRODUCT((AH$4:AH$503&gt;=BJ$4:BJ$503)*(AH$4:AH$503-BJ$4:BJ$503))/MAX(1,COUNTIF(AH$4:AH$503,"&lt;"&amp;BJ130+0.01)),BJ130))</f>
        <v>5621.50263448276</v>
      </c>
      <c r="BY130" s="92" t="n">
        <f aca="false">IF(AI130&gt;=BK130,0,IFERROR(BK130+SUMPRODUCT((AI$4:AI$503&gt;=BK$4:BK$503)*(AI$4:AI$503-BK$4:BK$503))/MAX(1,COUNTIF(AI$4:AI$503,"&lt;"&amp;BK130+0.01)),BK130))</f>
        <v>7878.25652380952</v>
      </c>
      <c r="BZ130" s="92" t="n">
        <f aca="false">IF(AJ130&gt;=BL130,0,IFERROR(BL130+SUMPRODUCT((AJ$4:AJ$503&gt;=BL$4:BL$503)*(AJ$4:AJ$503-BL$4:BL$503))/MAX(1,COUNTIF(AJ$4:AJ$503,"&lt;"&amp;BL130+0.01)),BL130))</f>
        <v>6710.03292307692</v>
      </c>
      <c r="CA130" s="92" t="n">
        <f aca="false">IF(AK130&gt;=BM130,0,IFERROR(BM130+SUMPRODUCT((AK$4:AK$503&gt;=BM$4:BM$503)*(AK$4:AK$503-BM$4:BM$503))/MAX(1,COUNTIF(AK$4:AK$503,"&lt;"&amp;BM130+0.01)),BM130))</f>
        <v>7314.89836842105</v>
      </c>
      <c r="CB130" s="93" t="n">
        <f aca="false">IF(AL130&gt;=BN130,0,IFERROR(BN130+SUMPRODUCT((AL$4:AL$503&gt;=BN$4:BN$503)*(AL$4:AL$503-BN$4:BN$503))/MAX(1,COUNTIF(AL$4:AL$503,"&lt;"&amp;BN130+0.01)),BN130))</f>
        <v>3597.2614925</v>
      </c>
      <c r="CC130" s="95" t="str">
        <f aca="false">IF(AO130="🟢","VERDE",IF(AO130="🟡","AMARELO",IF(AO130="🟠","VERMELHO",IF(AO130="🔴","VERMELHO","ROXO"))))</f>
        <v>VERMELHO</v>
      </c>
      <c r="CD130" s="96" t="s">
        <v>103</v>
      </c>
      <c r="CE130" s="96" t="s">
        <v>104</v>
      </c>
    </row>
    <row r="131" customFormat="false" ht="14.25" hidden="false" customHeight="true" outlineLevel="0" collapsed="false">
      <c r="A131" s="65" t="s">
        <v>402</v>
      </c>
      <c r="B131" s="66" t="s">
        <v>403</v>
      </c>
      <c r="C131" s="67" t="s">
        <v>158</v>
      </c>
      <c r="D131" s="68" t="s">
        <v>100</v>
      </c>
      <c r="E131" s="69" t="s">
        <v>187</v>
      </c>
      <c r="F131" s="70" t="n">
        <f aca="false">IFERROR(VLOOKUP(C131,$AS$3:$AT$10,2,FALSE()),IFERROR(VLOOKUP(C131,$AS$15:$AT$22,2,FALSE()),""))</f>
        <v>29</v>
      </c>
      <c r="G131" s="71" t="n">
        <f aca="false">IFERROR(VLOOKUP(C131,$AS$3:$AX$10,6,FALSE()),IFERROR(VLOOKUP(C131,$AS$15:$AX$22,6,FALSE()),""))</f>
        <v>0.458564072601712</v>
      </c>
      <c r="H131" s="72" t="str">
        <f aca="false">IFERROR(VLOOKUP(C131,$AS$3:$AY$10,7,FALSE()),IFERROR(VLOOKUP(C131,$AS$15:$AY$22,7,FALSE()),""))</f>
        <v>🟡 AMARELO</v>
      </c>
      <c r="I131" s="72" t="str">
        <f aca="false">IFERROR(VLOOKUP(C131,$AS$3:$AZ$10,8,FALSE()),IFERROR(VLOOKUP(C131,$AS$15:$AZ$22,8,FALSE()),""))</f>
        <v>Sell Out</v>
      </c>
      <c r="J131" s="73"/>
      <c r="K131" s="69" t="s">
        <v>158</v>
      </c>
      <c r="L131" s="74" t="n">
        <v>8842.23</v>
      </c>
      <c r="M131" s="75" t="n">
        <v>621.37</v>
      </c>
      <c r="N131" s="75" t="n">
        <v>649.31</v>
      </c>
      <c r="O131" s="75" t="n">
        <v>664.95</v>
      </c>
      <c r="P131" s="75" t="n">
        <v>682.28</v>
      </c>
      <c r="Q131" s="75" t="n">
        <v>704.63</v>
      </c>
      <c r="R131" s="75" t="n">
        <v>723.07</v>
      </c>
      <c r="S131" s="75" t="n">
        <v>751.01</v>
      </c>
      <c r="T131" s="75" t="n">
        <v>769.45</v>
      </c>
      <c r="U131" s="75" t="n">
        <v>786.77</v>
      </c>
      <c r="V131" s="75" t="n">
        <v>806.33</v>
      </c>
      <c r="W131" s="75" t="n">
        <v>827.56</v>
      </c>
      <c r="X131" s="76" t="n">
        <v>855.5</v>
      </c>
      <c r="Y131" s="77" t="s">
        <v>20</v>
      </c>
      <c r="Z131" s="78" t="n">
        <f aca="false">SUM(AA131:AL131)</f>
        <v>3539.41</v>
      </c>
      <c r="AA131" s="75"/>
      <c r="AB131" s="75"/>
      <c r="AC131" s="75"/>
      <c r="AD131" s="75"/>
      <c r="AE131" s="79" t="n">
        <v>3539.41</v>
      </c>
      <c r="AF131" s="75"/>
      <c r="AG131" s="75"/>
      <c r="AH131" s="75"/>
      <c r="AI131" s="75"/>
      <c r="AJ131" s="75"/>
      <c r="AK131" s="75"/>
      <c r="AL131" s="76"/>
      <c r="AM131" s="56" t="s">
        <v>20</v>
      </c>
      <c r="AN131" s="80" t="n">
        <f aca="false">IF(L131=0,0,Z131/L131)</f>
        <v>0.400284769792236</v>
      </c>
      <c r="AO131" s="81" t="str">
        <f aca="false">IF(AN131="","",IF(AN131&gt;=0.9,"🟢",IF(AN131&gt;=0.7,"🟡",IF(AN131&gt;=0.5,"🟠","🔴"))))</f>
        <v>🔴</v>
      </c>
      <c r="AP131" s="82" t="n">
        <f aca="false">IF(L131=0,0,L131-Z131)</f>
        <v>5302.82</v>
      </c>
      <c r="AQ131" s="83" t="n">
        <f aca="false">IF(AP131=0,"",RANK(AP131,AP$4:AP$503,0))</f>
        <v>118</v>
      </c>
      <c r="AR131" s="84" t="s">
        <v>20</v>
      </c>
      <c r="AS131" s="141"/>
      <c r="AT131" s="141"/>
      <c r="AU131" s="141"/>
      <c r="AV131" s="141"/>
      <c r="AW131" s="141"/>
      <c r="AX131" s="141"/>
      <c r="AY131" s="142"/>
      <c r="AZ131" s="142"/>
      <c r="BA131" s="56" t="s">
        <v>20</v>
      </c>
      <c r="BB131" s="91" t="n">
        <f aca="false">SUM(L$4:L$503)/COUNTA(A$4:A$503)</f>
        <v>9494.39992</v>
      </c>
      <c r="BC131" s="92" t="n">
        <f aca="false">SUM(M$4:M$503)/COUNTA(A$4:A$503)</f>
        <v>667.20008</v>
      </c>
      <c r="BD131" s="92" t="n">
        <f aca="false">SUM(N$4:N$503)/COUNTA(A$4:A$503)</f>
        <v>697.19996</v>
      </c>
      <c r="BE131" s="92" t="n">
        <f aca="false">SUM(O$4:O$503)/COUNTA(A$4:A$503)</f>
        <v>713.9999</v>
      </c>
      <c r="BF131" s="92" t="n">
        <f aca="false">SUM(P$4:P$503)/COUNTA(A$4:A$503)</f>
        <v>732.59984</v>
      </c>
      <c r="BG131" s="92" t="n">
        <f aca="false">SUM(Q$4:Q$503)/COUNTA(A$4:A$503)</f>
        <v>756.59992</v>
      </c>
      <c r="BH131" s="92" t="n">
        <f aca="false">SUM(R$4:R$503)/COUNTA(A$4:A$503)</f>
        <v>776.40004</v>
      </c>
      <c r="BI131" s="92" t="n">
        <f aca="false">SUM(S$4:S$503)/COUNTA(A$4:A$503)</f>
        <v>806.40012</v>
      </c>
      <c r="BJ131" s="92" t="n">
        <f aca="false">SUM(T$4:T$503)/COUNTA(A$4:A$503)</f>
        <v>826.1999</v>
      </c>
      <c r="BK131" s="92" t="n">
        <f aca="false">SUM(U$4:U$503)/COUNTA(A$4:A$503)</f>
        <v>844.8002</v>
      </c>
      <c r="BL131" s="92" t="n">
        <f aca="false">SUM(V$4:V$503)/COUNTA(A$4:A$503)</f>
        <v>865.7998</v>
      </c>
      <c r="BM131" s="92" t="n">
        <f aca="false">SUM(W$4:W$503)/COUNTA(A$4:A$503)</f>
        <v>888.59982</v>
      </c>
      <c r="BN131" s="93" t="n">
        <f aca="false">SUM(X$4:X$503)/COUNTA(A$4:A$503)</f>
        <v>918.60034</v>
      </c>
      <c r="BO131" s="94" t="s">
        <v>20</v>
      </c>
      <c r="BP131" s="91" t="n">
        <f aca="false">IF(Z131&gt;=BB131,0,IFERROR(BB131+(SUMPRODUCT((Z$4:Z$503&gt;=BB$4:BB$503)*(Z$4:Z$503-BB$4:BB$503))/MAX(1,COUNTIF(Z$4:Z$503,"&lt;"&amp;BB131+0.01))),BB131))</f>
        <v>10695.5432177778</v>
      </c>
      <c r="BQ131" s="92" t="n">
        <f aca="false">IF(AA131&gt;=BC131,0,IFERROR(BC131+SUMPRODUCT((AA$4:AA$503&gt;=BC$4:BC$503)*(AA$4:AA$503-BC$4:BC$503))/MAX(1,COUNTIF(AA$4:AA$503,"&lt;"&amp;BC131+0.01)),BC131))</f>
        <v>2238.46589176471</v>
      </c>
      <c r="BR131" s="92" t="n">
        <f aca="false">IF(AB131&gt;=BD131,0,IFERROR(BD131+SUMPRODUCT((AB$4:AB$503&gt;=BD$4:BD$503)*(AB$4:AB$503-BD$4:BD$503))/MAX(1,COUNTIF(AB$4:AB$503,"&lt;"&amp;BD131+0.01)),BD131))</f>
        <v>3335.2938</v>
      </c>
      <c r="BS131" s="92" t="n">
        <f aca="false">IF(AC131&gt;=BE131,0,IFERROR(BE131+SUMPRODUCT((AC$4:AC$503&gt;=BE$4:BE$503)*(AC$4:AC$503-BE$4:BE$503))/MAX(1,COUNTIF(AC$4:AC$503,"&lt;"&amp;BE131+0.01)),BE131))</f>
        <v>6188.73352</v>
      </c>
      <c r="BT131" s="92" t="n">
        <f aca="false">IF(AD131&gt;=BF131,0,IFERROR(BF131+SUMPRODUCT((AD$4:AD$503&gt;=BF$4:BF$503)*(AD$4:AD$503-BF$4:BF$503))/MAX(1,COUNTIF(AD$4:AD$503,"&lt;"&amp;BF131+0.01)),BF131))</f>
        <v>11354.35411</v>
      </c>
      <c r="BU131" s="92" t="n">
        <f aca="false">IF(AE131&gt;=BG131,0,IFERROR(BG131+SUMPRODUCT((AE$4:AE$503&gt;=BG$4:BG$503)*(AE$4:AE$503-BG$4:BG$503))/MAX(1,COUNTIF(AE$4:AE$503,"&lt;"&amp;BG131+0.01)),BG131))</f>
        <v>0</v>
      </c>
      <c r="BV131" s="92" t="n">
        <f aca="false">IF(AF131&gt;=BH131,0,IFERROR(BH131+SUMPRODUCT((AF$4:AF$503&gt;=BH$4:BH$503)*(AF$4:AF$503-BH$4:BH$503))/MAX(1,COUNTIF(AF$4:AF$503,"&lt;"&amp;BH131+0.01)),BH131))</f>
        <v>9942.6503831579</v>
      </c>
      <c r="BW131" s="92" t="n">
        <f aca="false">IF(AG131&gt;=BI131,0,IFERROR(BI131+SUMPRODUCT((AG$4:AG$503&gt;=BI$4:BI$503)*(AG$4:AG$503-BI$4:BI$503))/MAX(1,COUNTIF(AG$4:AG$503,"&lt;"&amp;BI131+0.01)),BI131))</f>
        <v>9142.15870461538</v>
      </c>
      <c r="BX131" s="92" t="n">
        <f aca="false">IF(AH131&gt;=BJ131,0,IFERROR(BJ131+SUMPRODUCT((AH$4:AH$503&gt;=BJ$4:BJ$503)*(AH$4:AH$503-BJ$4:BJ$503))/MAX(1,COUNTIF(AH$4:AH$503,"&lt;"&amp;BJ131+0.01)),BJ131))</f>
        <v>5621.50263448276</v>
      </c>
      <c r="BY131" s="92" t="n">
        <f aca="false">IF(AI131&gt;=BK131,0,IFERROR(BK131+SUMPRODUCT((AI$4:AI$503&gt;=BK$4:BK$503)*(AI$4:AI$503-BK$4:BK$503))/MAX(1,COUNTIF(AI$4:AI$503,"&lt;"&amp;BK131+0.01)),BK131))</f>
        <v>7878.25652380952</v>
      </c>
      <c r="BZ131" s="92" t="n">
        <f aca="false">IF(AJ131&gt;=BL131,0,IFERROR(BL131+SUMPRODUCT((AJ$4:AJ$503&gt;=BL$4:BL$503)*(AJ$4:AJ$503-BL$4:BL$503))/MAX(1,COUNTIF(AJ$4:AJ$503,"&lt;"&amp;BL131+0.01)),BL131))</f>
        <v>6710.03292307692</v>
      </c>
      <c r="CA131" s="92" t="n">
        <f aca="false">IF(AK131&gt;=BM131,0,IFERROR(BM131+SUMPRODUCT((AK$4:AK$503&gt;=BM$4:BM$503)*(AK$4:AK$503-BM$4:BM$503))/MAX(1,COUNTIF(AK$4:AK$503,"&lt;"&amp;BM131+0.01)),BM131))</f>
        <v>7314.89836842105</v>
      </c>
      <c r="CB131" s="93" t="n">
        <f aca="false">IF(AL131&gt;=BN131,0,IFERROR(BN131+SUMPRODUCT((AL$4:AL$503&gt;=BN$4:BN$503)*(AL$4:AL$503-BN$4:BN$503))/MAX(1,COUNTIF(AL$4:AL$503,"&lt;"&amp;BN131+0.01)),BN131))</f>
        <v>3597.2614925</v>
      </c>
      <c r="CC131" s="95" t="str">
        <f aca="false">IF(AO131="🟢","VERDE",IF(AO131="🟡","AMARELO",IF(AO131="🟠","VERMELHO",IF(AO131="🔴","VERMELHO","ROXO"))))</f>
        <v>VERMELHO</v>
      </c>
      <c r="CD131" s="96" t="s">
        <v>103</v>
      </c>
      <c r="CE131" s="96" t="s">
        <v>104</v>
      </c>
    </row>
    <row r="132" customFormat="false" ht="14.25" hidden="false" customHeight="true" outlineLevel="0" collapsed="false">
      <c r="A132" s="65" t="s">
        <v>404</v>
      </c>
      <c r="B132" s="66" t="s">
        <v>399</v>
      </c>
      <c r="C132" s="67" t="s">
        <v>123</v>
      </c>
      <c r="D132" s="68" t="s">
        <v>108</v>
      </c>
      <c r="E132" s="56" t="s">
        <v>20</v>
      </c>
      <c r="F132" s="70" t="n">
        <f aca="false">IFERROR(VLOOKUP(C132,$AS$3:$AT$10,2,FALSE()),IFERROR(VLOOKUP(C132,$AS$15:$AT$22,2,FALSE()),""))</f>
        <v>49</v>
      </c>
      <c r="G132" s="71" t="n">
        <f aca="false">IFERROR(VLOOKUP(C132,$AS$3:$AX$10,6,FALSE()),IFERROR(VLOOKUP(C132,$AS$15:$AX$22,6,FALSE()),""))</f>
        <v>0.436391353881959</v>
      </c>
      <c r="H132" s="72" t="str">
        <f aca="false">IFERROR(VLOOKUP(C132,$AS$3:$AY$10,7,FALSE()),IFERROR(VLOOKUP(C132,$AS$15:$AY$22,7,FALSE()),""))</f>
        <v>🟡 AMARELO</v>
      </c>
      <c r="I132" s="72" t="str">
        <f aca="false">IFERROR(VLOOKUP(C132,$AS$3:$AZ$10,8,FALSE()),IFERROR(VLOOKUP(C132,$AS$15:$AZ$22,8,FALSE()),""))</f>
        <v>Sell Out</v>
      </c>
      <c r="J132" s="73"/>
      <c r="K132" s="56" t="s">
        <v>20</v>
      </c>
      <c r="L132" s="74" t="n">
        <v>8826.72</v>
      </c>
      <c r="M132" s="75" t="n">
        <v>620.28</v>
      </c>
      <c r="N132" s="75" t="n">
        <v>648.17</v>
      </c>
      <c r="O132" s="75" t="n">
        <v>663.79</v>
      </c>
      <c r="P132" s="75" t="n">
        <v>681.08</v>
      </c>
      <c r="Q132" s="75" t="n">
        <v>703.39</v>
      </c>
      <c r="R132" s="75" t="n">
        <v>721.8</v>
      </c>
      <c r="S132" s="75" t="n">
        <v>749.69</v>
      </c>
      <c r="T132" s="75" t="n">
        <v>768.1</v>
      </c>
      <c r="U132" s="75" t="n">
        <v>785.39</v>
      </c>
      <c r="V132" s="75" t="n">
        <v>804.92</v>
      </c>
      <c r="W132" s="75" t="n">
        <v>826.11</v>
      </c>
      <c r="X132" s="76" t="n">
        <v>854</v>
      </c>
      <c r="Y132" s="77" t="s">
        <v>20</v>
      </c>
      <c r="Z132" s="78" t="n">
        <f aca="false">SUM(AA132:AL132)</f>
        <v>3669.68</v>
      </c>
      <c r="AA132" s="75"/>
      <c r="AB132" s="75"/>
      <c r="AC132" s="75"/>
      <c r="AD132" s="75"/>
      <c r="AE132" s="75" t="n">
        <v>3669.68</v>
      </c>
      <c r="AF132" s="75"/>
      <c r="AG132" s="75"/>
      <c r="AH132" s="75"/>
      <c r="AI132" s="75"/>
      <c r="AJ132" s="75"/>
      <c r="AK132" s="75"/>
      <c r="AL132" s="76"/>
      <c r="AM132" s="56" t="s">
        <v>20</v>
      </c>
      <c r="AN132" s="80" t="n">
        <f aca="false">IF(L132=0,0,Z132/L132)</f>
        <v>0.415746732648141</v>
      </c>
      <c r="AO132" s="81" t="str">
        <f aca="false">IF(AN132="","",IF(AN132&gt;=0.9,"🟢",IF(AN132&gt;=0.7,"🟡",IF(AN132&gt;=0.5,"🟠","🔴"))))</f>
        <v>🔴</v>
      </c>
      <c r="AP132" s="82" t="n">
        <f aca="false">IF(L132=0,0,L132-Z132)</f>
        <v>5157.04</v>
      </c>
      <c r="AQ132" s="83" t="n">
        <f aca="false">IF(AP132=0,"",RANK(AP132,AP$4:AP$503,0))</f>
        <v>124</v>
      </c>
      <c r="AR132" s="84" t="s">
        <v>20</v>
      </c>
      <c r="AS132" s="141"/>
      <c r="AT132" s="141"/>
      <c r="AU132" s="141"/>
      <c r="AV132" s="141"/>
      <c r="AW132" s="141"/>
      <c r="AX132" s="141"/>
      <c r="AY132" s="142"/>
      <c r="AZ132" s="142"/>
      <c r="BA132" s="56" t="s">
        <v>20</v>
      </c>
      <c r="BB132" s="91" t="n">
        <f aca="false">SUM(L$4:L$503)/COUNTA(A$4:A$503)</f>
        <v>9494.39992</v>
      </c>
      <c r="BC132" s="92" t="n">
        <f aca="false">SUM(M$4:M$503)/COUNTA(A$4:A$503)</f>
        <v>667.20008</v>
      </c>
      <c r="BD132" s="92" t="n">
        <f aca="false">SUM(N$4:N$503)/COUNTA(A$4:A$503)</f>
        <v>697.19996</v>
      </c>
      <c r="BE132" s="92" t="n">
        <f aca="false">SUM(O$4:O$503)/COUNTA(A$4:A$503)</f>
        <v>713.9999</v>
      </c>
      <c r="BF132" s="92" t="n">
        <f aca="false">SUM(P$4:P$503)/COUNTA(A$4:A$503)</f>
        <v>732.59984</v>
      </c>
      <c r="BG132" s="92" t="n">
        <f aca="false">SUM(Q$4:Q$503)/COUNTA(A$4:A$503)</f>
        <v>756.59992</v>
      </c>
      <c r="BH132" s="92" t="n">
        <f aca="false">SUM(R$4:R$503)/COUNTA(A$4:A$503)</f>
        <v>776.40004</v>
      </c>
      <c r="BI132" s="92" t="n">
        <f aca="false">SUM(S$4:S$503)/COUNTA(A$4:A$503)</f>
        <v>806.40012</v>
      </c>
      <c r="BJ132" s="92" t="n">
        <f aca="false">SUM(T$4:T$503)/COUNTA(A$4:A$503)</f>
        <v>826.1999</v>
      </c>
      <c r="BK132" s="92" t="n">
        <f aca="false">SUM(U$4:U$503)/COUNTA(A$4:A$503)</f>
        <v>844.8002</v>
      </c>
      <c r="BL132" s="92" t="n">
        <f aca="false">SUM(V$4:V$503)/COUNTA(A$4:A$503)</f>
        <v>865.7998</v>
      </c>
      <c r="BM132" s="92" t="n">
        <f aca="false">SUM(W$4:W$503)/COUNTA(A$4:A$503)</f>
        <v>888.59982</v>
      </c>
      <c r="BN132" s="93" t="n">
        <f aca="false">SUM(X$4:X$503)/COUNTA(A$4:A$503)</f>
        <v>918.60034</v>
      </c>
      <c r="BO132" s="94" t="s">
        <v>20</v>
      </c>
      <c r="BP132" s="91" t="n">
        <f aca="false">IF(Z132&gt;=BB132,0,IFERROR(BB132+(SUMPRODUCT((Z$4:Z$503&gt;=BB$4:BB$503)*(Z$4:Z$503-BB$4:BB$503))/MAX(1,COUNTIF(Z$4:Z$503,"&lt;"&amp;BB132+0.01))),BB132))</f>
        <v>10695.5432177778</v>
      </c>
      <c r="BQ132" s="92" t="n">
        <f aca="false">IF(AA132&gt;=BC132,0,IFERROR(BC132+SUMPRODUCT((AA$4:AA$503&gt;=BC$4:BC$503)*(AA$4:AA$503-BC$4:BC$503))/MAX(1,COUNTIF(AA$4:AA$503,"&lt;"&amp;BC132+0.01)),BC132))</f>
        <v>2238.46589176471</v>
      </c>
      <c r="BR132" s="92" t="n">
        <f aca="false">IF(AB132&gt;=BD132,0,IFERROR(BD132+SUMPRODUCT((AB$4:AB$503&gt;=BD$4:BD$503)*(AB$4:AB$503-BD$4:BD$503))/MAX(1,COUNTIF(AB$4:AB$503,"&lt;"&amp;BD132+0.01)),BD132))</f>
        <v>3335.2938</v>
      </c>
      <c r="BS132" s="92" t="n">
        <f aca="false">IF(AC132&gt;=BE132,0,IFERROR(BE132+SUMPRODUCT((AC$4:AC$503&gt;=BE$4:BE$503)*(AC$4:AC$503-BE$4:BE$503))/MAX(1,COUNTIF(AC$4:AC$503,"&lt;"&amp;BE132+0.01)),BE132))</f>
        <v>6188.73352</v>
      </c>
      <c r="BT132" s="92" t="n">
        <f aca="false">IF(AD132&gt;=BF132,0,IFERROR(BF132+SUMPRODUCT((AD$4:AD$503&gt;=BF$4:BF$503)*(AD$4:AD$503-BF$4:BF$503))/MAX(1,COUNTIF(AD$4:AD$503,"&lt;"&amp;BF132+0.01)),BF132))</f>
        <v>11354.35411</v>
      </c>
      <c r="BU132" s="92" t="n">
        <f aca="false">IF(AE132&gt;=BG132,0,IFERROR(BG132+SUMPRODUCT((AE$4:AE$503&gt;=BG$4:BG$503)*(AE$4:AE$503-BG$4:BG$503))/MAX(1,COUNTIF(AE$4:AE$503,"&lt;"&amp;BG132+0.01)),BG132))</f>
        <v>0</v>
      </c>
      <c r="BV132" s="92" t="n">
        <f aca="false">IF(AF132&gt;=BH132,0,IFERROR(BH132+SUMPRODUCT((AF$4:AF$503&gt;=BH$4:BH$503)*(AF$4:AF$503-BH$4:BH$503))/MAX(1,COUNTIF(AF$4:AF$503,"&lt;"&amp;BH132+0.01)),BH132))</f>
        <v>9942.6503831579</v>
      </c>
      <c r="BW132" s="92" t="n">
        <f aca="false">IF(AG132&gt;=BI132,0,IFERROR(BI132+SUMPRODUCT((AG$4:AG$503&gt;=BI$4:BI$503)*(AG$4:AG$503-BI$4:BI$503))/MAX(1,COUNTIF(AG$4:AG$503,"&lt;"&amp;BI132+0.01)),BI132))</f>
        <v>9142.15870461538</v>
      </c>
      <c r="BX132" s="92" t="n">
        <f aca="false">IF(AH132&gt;=BJ132,0,IFERROR(BJ132+SUMPRODUCT((AH$4:AH$503&gt;=BJ$4:BJ$503)*(AH$4:AH$503-BJ$4:BJ$503))/MAX(1,COUNTIF(AH$4:AH$503,"&lt;"&amp;BJ132+0.01)),BJ132))</f>
        <v>5621.50263448276</v>
      </c>
      <c r="BY132" s="92" t="n">
        <f aca="false">IF(AI132&gt;=BK132,0,IFERROR(BK132+SUMPRODUCT((AI$4:AI$503&gt;=BK$4:BK$503)*(AI$4:AI$503-BK$4:BK$503))/MAX(1,COUNTIF(AI$4:AI$503,"&lt;"&amp;BK132+0.01)),BK132))</f>
        <v>7878.25652380952</v>
      </c>
      <c r="BZ132" s="92" t="n">
        <f aca="false">IF(AJ132&gt;=BL132,0,IFERROR(BL132+SUMPRODUCT((AJ$4:AJ$503&gt;=BL$4:BL$503)*(AJ$4:AJ$503-BL$4:BL$503))/MAX(1,COUNTIF(AJ$4:AJ$503,"&lt;"&amp;BL132+0.01)),BL132))</f>
        <v>6710.03292307692</v>
      </c>
      <c r="CA132" s="92" t="n">
        <f aca="false">IF(AK132&gt;=BM132,0,IFERROR(BM132+SUMPRODUCT((AK$4:AK$503&gt;=BM$4:BM$503)*(AK$4:AK$503-BM$4:BM$503))/MAX(1,COUNTIF(AK$4:AK$503,"&lt;"&amp;BM132+0.01)),BM132))</f>
        <v>7314.89836842105</v>
      </c>
      <c r="CB132" s="93" t="n">
        <f aca="false">IF(AL132&gt;=BN132,0,IFERROR(BN132+SUMPRODUCT((AL$4:AL$503&gt;=BN$4:BN$503)*(AL$4:AL$503-BN$4:BN$503))/MAX(1,COUNTIF(AL$4:AL$503,"&lt;"&amp;BN132+0.01)),BN132))</f>
        <v>3597.2614925</v>
      </c>
      <c r="CC132" s="95" t="str">
        <f aca="false">IF(AO132="🟢","VERDE",IF(AO132="🟡","AMARELO",IF(AO132="🟠","VERMELHO",IF(AO132="🔴","VERMELHO","ROXO"))))</f>
        <v>VERMELHO</v>
      </c>
      <c r="CD132" s="96" t="s">
        <v>103</v>
      </c>
      <c r="CE132" s="96" t="s">
        <v>104</v>
      </c>
    </row>
    <row r="133" customFormat="false" ht="14.25" hidden="false" customHeight="true" outlineLevel="0" collapsed="false">
      <c r="A133" s="65" t="s">
        <v>405</v>
      </c>
      <c r="B133" s="66" t="s">
        <v>406</v>
      </c>
      <c r="C133" s="67" t="s">
        <v>149</v>
      </c>
      <c r="D133" s="68" t="s">
        <v>100</v>
      </c>
      <c r="E133" s="69" t="s">
        <v>119</v>
      </c>
      <c r="F133" s="70" t="n">
        <f aca="false">IFERROR(VLOOKUP(C133,$AS$3:$AT$10,2,FALSE()),IFERROR(VLOOKUP(C133,$AS$15:$AT$22,2,FALSE()),""))</f>
        <v>29</v>
      </c>
      <c r="G133" s="71" t="n">
        <f aca="false">IFERROR(VLOOKUP(C133,$AS$3:$AX$10,6,FALSE()),IFERROR(VLOOKUP(C133,$AS$15:$AX$22,6,FALSE()),""))</f>
        <v>0.425845065256079</v>
      </c>
      <c r="H133" s="72" t="str">
        <f aca="false">IFERROR(VLOOKUP(C133,$AS$3:$AY$10,7,FALSE()),IFERROR(VLOOKUP(C133,$AS$15:$AY$22,7,FALSE()),""))</f>
        <v>🟡 AMARELO</v>
      </c>
      <c r="I133" s="72" t="str">
        <f aca="false">IFERROR(VLOOKUP(C133,$AS$3:$AZ$10,8,FALSE()),IFERROR(VLOOKUP(C133,$AS$15:$AZ$22,8,FALSE()),""))</f>
        <v>Sell Out</v>
      </c>
      <c r="J133" s="73"/>
      <c r="K133" s="69" t="s">
        <v>149</v>
      </c>
      <c r="L133" s="74" t="n">
        <v>8805.33</v>
      </c>
      <c r="M133" s="75" t="n">
        <v>618.78</v>
      </c>
      <c r="N133" s="75" t="n">
        <v>646.6</v>
      </c>
      <c r="O133" s="75" t="n">
        <v>662.18</v>
      </c>
      <c r="P133" s="75" t="n">
        <v>679.43</v>
      </c>
      <c r="Q133" s="75" t="n">
        <v>701.69</v>
      </c>
      <c r="R133" s="75" t="n">
        <v>720.05</v>
      </c>
      <c r="S133" s="75" t="n">
        <v>747.87</v>
      </c>
      <c r="T133" s="75" t="n">
        <v>766.24</v>
      </c>
      <c r="U133" s="75" t="n">
        <v>783.49</v>
      </c>
      <c r="V133" s="75" t="n">
        <v>802.96</v>
      </c>
      <c r="W133" s="75" t="n">
        <v>824.11</v>
      </c>
      <c r="X133" s="76" t="n">
        <v>851.93</v>
      </c>
      <c r="Y133" s="77" t="s">
        <v>20</v>
      </c>
      <c r="Z133" s="78" t="n">
        <f aca="false">SUM(AA133:AL133)</f>
        <v>3655.94</v>
      </c>
      <c r="AA133" s="75"/>
      <c r="AB133" s="75"/>
      <c r="AC133" s="75"/>
      <c r="AD133" s="75"/>
      <c r="AE133" s="75"/>
      <c r="AF133" s="75"/>
      <c r="AG133" s="75"/>
      <c r="AH133" s="79" t="n">
        <v>708.25</v>
      </c>
      <c r="AI133" s="79" t="n">
        <v>769.47</v>
      </c>
      <c r="AJ133" s="79" t="n">
        <v>1400.78</v>
      </c>
      <c r="AK133" s="79" t="n">
        <v>777.44</v>
      </c>
      <c r="AL133" s="76"/>
      <c r="AM133" s="56" t="s">
        <v>20</v>
      </c>
      <c r="AN133" s="80" t="n">
        <f aca="false">IF(L133=0,0,Z133/L133)</f>
        <v>0.415196250452851</v>
      </c>
      <c r="AO133" s="81" t="str">
        <f aca="false">IF(AN133="","",IF(AN133&gt;=0.9,"🟢",IF(AN133&gt;=0.7,"🟡",IF(AN133&gt;=0.5,"🟠","🔴"))))</f>
        <v>🔴</v>
      </c>
      <c r="AP133" s="82" t="n">
        <f aca="false">IF(L133=0,0,L133-Z133)</f>
        <v>5149.39</v>
      </c>
      <c r="AQ133" s="83" t="n">
        <f aca="false">IF(AP133=0,"",RANK(AP133,AP$4:AP$503,0))</f>
        <v>125</v>
      </c>
      <c r="AR133" s="84" t="s">
        <v>20</v>
      </c>
      <c r="AS133" s="141"/>
      <c r="AT133" s="141"/>
      <c r="AU133" s="141"/>
      <c r="AV133" s="141"/>
      <c r="AW133" s="141"/>
      <c r="AX133" s="141"/>
      <c r="AY133" s="142"/>
      <c r="AZ133" s="142"/>
      <c r="BA133" s="56" t="s">
        <v>20</v>
      </c>
      <c r="BB133" s="91" t="n">
        <f aca="false">SUM(L$4:L$503)/COUNTA(A$4:A$503)</f>
        <v>9494.39992</v>
      </c>
      <c r="BC133" s="92" t="n">
        <f aca="false">SUM(M$4:M$503)/COUNTA(A$4:A$503)</f>
        <v>667.20008</v>
      </c>
      <c r="BD133" s="92" t="n">
        <f aca="false">SUM(N$4:N$503)/COUNTA(A$4:A$503)</f>
        <v>697.19996</v>
      </c>
      <c r="BE133" s="92" t="n">
        <f aca="false">SUM(O$4:O$503)/COUNTA(A$4:A$503)</f>
        <v>713.9999</v>
      </c>
      <c r="BF133" s="92" t="n">
        <f aca="false">SUM(P$4:P$503)/COUNTA(A$4:A$503)</f>
        <v>732.59984</v>
      </c>
      <c r="BG133" s="92" t="n">
        <f aca="false">SUM(Q$4:Q$503)/COUNTA(A$4:A$503)</f>
        <v>756.59992</v>
      </c>
      <c r="BH133" s="92" t="n">
        <f aca="false">SUM(R$4:R$503)/COUNTA(A$4:A$503)</f>
        <v>776.40004</v>
      </c>
      <c r="BI133" s="92" t="n">
        <f aca="false">SUM(S$4:S$503)/COUNTA(A$4:A$503)</f>
        <v>806.40012</v>
      </c>
      <c r="BJ133" s="92" t="n">
        <f aca="false">SUM(T$4:T$503)/COUNTA(A$4:A$503)</f>
        <v>826.1999</v>
      </c>
      <c r="BK133" s="92" t="n">
        <f aca="false">SUM(U$4:U$503)/COUNTA(A$4:A$503)</f>
        <v>844.8002</v>
      </c>
      <c r="BL133" s="92" t="n">
        <f aca="false">SUM(V$4:V$503)/COUNTA(A$4:A$503)</f>
        <v>865.7998</v>
      </c>
      <c r="BM133" s="92" t="n">
        <f aca="false">SUM(W$4:W$503)/COUNTA(A$4:A$503)</f>
        <v>888.59982</v>
      </c>
      <c r="BN133" s="93" t="n">
        <f aca="false">SUM(X$4:X$503)/COUNTA(A$4:A$503)</f>
        <v>918.60034</v>
      </c>
      <c r="BO133" s="94" t="s">
        <v>20</v>
      </c>
      <c r="BP133" s="91" t="n">
        <f aca="false">IF(Z133&gt;=BB133,0,IFERROR(BB133+(SUMPRODUCT((Z$4:Z$503&gt;=BB$4:BB$503)*(Z$4:Z$503-BB$4:BB$503))/MAX(1,COUNTIF(Z$4:Z$503,"&lt;"&amp;BB133+0.01))),BB133))</f>
        <v>10695.5432177778</v>
      </c>
      <c r="BQ133" s="92" t="n">
        <f aca="false">IF(AA133&gt;=BC133,0,IFERROR(BC133+SUMPRODUCT((AA$4:AA$503&gt;=BC$4:BC$503)*(AA$4:AA$503-BC$4:BC$503))/MAX(1,COUNTIF(AA$4:AA$503,"&lt;"&amp;BC133+0.01)),BC133))</f>
        <v>2238.46589176471</v>
      </c>
      <c r="BR133" s="92" t="n">
        <f aca="false">IF(AB133&gt;=BD133,0,IFERROR(BD133+SUMPRODUCT((AB$4:AB$503&gt;=BD$4:BD$503)*(AB$4:AB$503-BD$4:BD$503))/MAX(1,COUNTIF(AB$4:AB$503,"&lt;"&amp;BD133+0.01)),BD133))</f>
        <v>3335.2938</v>
      </c>
      <c r="BS133" s="92" t="n">
        <f aca="false">IF(AC133&gt;=BE133,0,IFERROR(BE133+SUMPRODUCT((AC$4:AC$503&gt;=BE$4:BE$503)*(AC$4:AC$503-BE$4:BE$503))/MAX(1,COUNTIF(AC$4:AC$503,"&lt;"&amp;BE133+0.01)),BE133))</f>
        <v>6188.73352</v>
      </c>
      <c r="BT133" s="92" t="n">
        <f aca="false">IF(AD133&gt;=BF133,0,IFERROR(BF133+SUMPRODUCT((AD$4:AD$503&gt;=BF$4:BF$503)*(AD$4:AD$503-BF$4:BF$503))/MAX(1,COUNTIF(AD$4:AD$503,"&lt;"&amp;BF133+0.01)),BF133))</f>
        <v>11354.35411</v>
      </c>
      <c r="BU133" s="92" t="n">
        <f aca="false">IF(AE133&gt;=BG133,0,IFERROR(BG133+SUMPRODUCT((AE$4:AE$503&gt;=BG$4:BG$503)*(AE$4:AE$503-BG$4:BG$503))/MAX(1,COUNTIF(AE$4:AE$503,"&lt;"&amp;BG133+0.01)),BG133))</f>
        <v>7704.85920380952</v>
      </c>
      <c r="BV133" s="92" t="n">
        <f aca="false">IF(AF133&gt;=BH133,0,IFERROR(BH133+SUMPRODUCT((AF$4:AF$503&gt;=BH$4:BH$503)*(AF$4:AF$503-BH$4:BH$503))/MAX(1,COUNTIF(AF$4:AF$503,"&lt;"&amp;BH133+0.01)),BH133))</f>
        <v>9942.6503831579</v>
      </c>
      <c r="BW133" s="92" t="n">
        <f aca="false">IF(AG133&gt;=BI133,0,IFERROR(BI133+SUMPRODUCT((AG$4:AG$503&gt;=BI$4:BI$503)*(AG$4:AG$503-BI$4:BI$503))/MAX(1,COUNTIF(AG$4:AG$503,"&lt;"&amp;BI133+0.01)),BI133))</f>
        <v>9142.15870461538</v>
      </c>
      <c r="BX133" s="92" t="n">
        <f aca="false">IF(AH133&gt;=BJ133,0,IFERROR(BJ133+SUMPRODUCT((AH$4:AH$503&gt;=BJ$4:BJ$503)*(AH$4:AH$503-BJ$4:BJ$503))/MAX(1,COUNTIF(AH$4:AH$503,"&lt;"&amp;BJ133+0.01)),BJ133))</f>
        <v>5621.50263448276</v>
      </c>
      <c r="BY133" s="92" t="n">
        <f aca="false">IF(AI133&gt;=BK133,0,IFERROR(BK133+SUMPRODUCT((AI$4:AI$503&gt;=BK$4:BK$503)*(AI$4:AI$503-BK$4:BK$503))/MAX(1,COUNTIF(AI$4:AI$503,"&lt;"&amp;BK133+0.01)),BK133))</f>
        <v>7878.25652380952</v>
      </c>
      <c r="BZ133" s="92" t="n">
        <f aca="false">IF(AJ133&gt;=BL133,0,IFERROR(BL133+SUMPRODUCT((AJ$4:AJ$503&gt;=BL$4:BL$503)*(AJ$4:AJ$503-BL$4:BL$503))/MAX(1,COUNTIF(AJ$4:AJ$503,"&lt;"&amp;BL133+0.01)),BL133))</f>
        <v>0</v>
      </c>
      <c r="CA133" s="92" t="n">
        <f aca="false">IF(AK133&gt;=BM133,0,IFERROR(BM133+SUMPRODUCT((AK$4:AK$503&gt;=BM$4:BM$503)*(AK$4:AK$503-BM$4:BM$503))/MAX(1,COUNTIF(AK$4:AK$503,"&lt;"&amp;BM133+0.01)),BM133))</f>
        <v>7314.89836842105</v>
      </c>
      <c r="CB133" s="93" t="n">
        <f aca="false">IF(AL133&gt;=BN133,0,IFERROR(BN133+SUMPRODUCT((AL$4:AL$503&gt;=BN$4:BN$503)*(AL$4:AL$503-BN$4:BN$503))/MAX(1,COUNTIF(AL$4:AL$503,"&lt;"&amp;BN133+0.01)),BN133))</f>
        <v>3597.2614925</v>
      </c>
      <c r="CC133" s="95" t="str">
        <f aca="false">IF(AO133="🟢","VERDE",IF(AO133="🟡","AMARELO",IF(AO133="🟠","VERMELHO",IF(AO133="🔴","VERMELHO","ROXO"))))</f>
        <v>VERMELHO</v>
      </c>
      <c r="CD133" s="96" t="s">
        <v>103</v>
      </c>
      <c r="CE133" s="96" t="s">
        <v>104</v>
      </c>
    </row>
    <row r="134" customFormat="false" ht="14.25" hidden="false" customHeight="true" outlineLevel="0" collapsed="false">
      <c r="A134" s="65" t="s">
        <v>407</v>
      </c>
      <c r="B134" s="66" t="s">
        <v>408</v>
      </c>
      <c r="C134" s="67" t="s">
        <v>107</v>
      </c>
      <c r="D134" s="68" t="s">
        <v>108</v>
      </c>
      <c r="E134" s="69" t="s">
        <v>109</v>
      </c>
      <c r="F134" s="70" t="n">
        <f aca="false">IFERROR(VLOOKUP(C134,$AS$3:$AT$10,2,FALSE()),IFERROR(VLOOKUP(C134,$AS$15:$AT$22,2,FALSE()),""))</f>
        <v>132</v>
      </c>
      <c r="G134" s="71" t="n">
        <f aca="false">IFERROR(VLOOKUP(C134,$AS$3:$AX$10,6,FALSE()),IFERROR(VLOOKUP(C134,$AS$15:$AX$22,6,FALSE()),""))</f>
        <v>0.468190175850689</v>
      </c>
      <c r="H134" s="72" t="str">
        <f aca="false">IFERROR(VLOOKUP(C134,$AS$3:$AY$10,7,FALSE()),IFERROR(VLOOKUP(C134,$AS$15:$AY$22,7,FALSE()),""))</f>
        <v>🟡 AMARELO</v>
      </c>
      <c r="I134" s="72" t="str">
        <f aca="false">IFERROR(VLOOKUP(C134,$AS$3:$AZ$10,8,FALSE()),IFERROR(VLOOKUP(C134,$AS$15:$AZ$22,8,FALSE()),""))</f>
        <v>Sell Out</v>
      </c>
      <c r="J134" s="73"/>
      <c r="K134" s="69" t="s">
        <v>107</v>
      </c>
      <c r="L134" s="74" t="n">
        <v>8784.89</v>
      </c>
      <c r="M134" s="75" t="n">
        <v>617.34</v>
      </c>
      <c r="N134" s="75" t="n">
        <v>645.1</v>
      </c>
      <c r="O134" s="75" t="n">
        <v>660.64</v>
      </c>
      <c r="P134" s="75" t="n">
        <v>677.85</v>
      </c>
      <c r="Q134" s="75" t="n">
        <v>700.06</v>
      </c>
      <c r="R134" s="75" t="n">
        <v>718.38</v>
      </c>
      <c r="S134" s="75" t="n">
        <v>746.14</v>
      </c>
      <c r="T134" s="75" t="n">
        <v>764.46</v>
      </c>
      <c r="U134" s="75" t="n">
        <v>781.67</v>
      </c>
      <c r="V134" s="75" t="n">
        <v>801.1</v>
      </c>
      <c r="W134" s="75" t="n">
        <v>822.2</v>
      </c>
      <c r="X134" s="76" t="n">
        <v>849.95</v>
      </c>
      <c r="Y134" s="77" t="s">
        <v>20</v>
      </c>
      <c r="Z134" s="78" t="n">
        <f aca="false">SUM(AA134:AL134)</f>
        <v>4067.56</v>
      </c>
      <c r="AA134" s="75"/>
      <c r="AB134" s="75"/>
      <c r="AC134" s="75"/>
      <c r="AD134" s="75"/>
      <c r="AE134" s="75"/>
      <c r="AF134" s="75"/>
      <c r="AG134" s="75"/>
      <c r="AH134" s="75"/>
      <c r="AI134" s="75"/>
      <c r="AJ134" s="79" t="n">
        <v>2870.87</v>
      </c>
      <c r="AK134" s="79" t="n">
        <v>438.6</v>
      </c>
      <c r="AL134" s="107" t="n">
        <v>758.09</v>
      </c>
      <c r="AM134" s="56" t="s">
        <v>20</v>
      </c>
      <c r="AN134" s="80" t="n">
        <f aca="false">IF(L134=0,0,Z134/L134)</f>
        <v>0.463017749795387</v>
      </c>
      <c r="AO134" s="81" t="str">
        <f aca="false">IF(AN134="","",IF(AN134&gt;=0.9,"🟢",IF(AN134&gt;=0.7,"🟡",IF(AN134&gt;=0.5,"🟠","🔴"))))</f>
        <v>🔴</v>
      </c>
      <c r="AP134" s="82" t="n">
        <f aca="false">IF(L134=0,0,L134-Z134)</f>
        <v>4717.33</v>
      </c>
      <c r="AQ134" s="83" t="n">
        <f aca="false">IF(AP134=0,"",RANK(AP134,AP$4:AP$503,0))</f>
        <v>144</v>
      </c>
      <c r="AR134" s="84" t="s">
        <v>20</v>
      </c>
      <c r="AS134" s="141"/>
      <c r="AT134" s="141"/>
      <c r="AU134" s="141"/>
      <c r="AV134" s="141"/>
      <c r="AW134" s="141"/>
      <c r="AX134" s="141"/>
      <c r="AY134" s="142"/>
      <c r="AZ134" s="142"/>
      <c r="BA134" s="56" t="s">
        <v>20</v>
      </c>
      <c r="BB134" s="91" t="n">
        <f aca="false">SUM(L$4:L$503)/COUNTA(A$4:A$503)</f>
        <v>9494.39992</v>
      </c>
      <c r="BC134" s="92" t="n">
        <f aca="false">SUM(M$4:M$503)/COUNTA(A$4:A$503)</f>
        <v>667.20008</v>
      </c>
      <c r="BD134" s="92" t="n">
        <f aca="false">SUM(N$4:N$503)/COUNTA(A$4:A$503)</f>
        <v>697.19996</v>
      </c>
      <c r="BE134" s="92" t="n">
        <f aca="false">SUM(O$4:O$503)/COUNTA(A$4:A$503)</f>
        <v>713.9999</v>
      </c>
      <c r="BF134" s="92" t="n">
        <f aca="false">SUM(P$4:P$503)/COUNTA(A$4:A$503)</f>
        <v>732.59984</v>
      </c>
      <c r="BG134" s="92" t="n">
        <f aca="false">SUM(Q$4:Q$503)/COUNTA(A$4:A$503)</f>
        <v>756.59992</v>
      </c>
      <c r="BH134" s="92" t="n">
        <f aca="false">SUM(R$4:R$503)/COUNTA(A$4:A$503)</f>
        <v>776.40004</v>
      </c>
      <c r="BI134" s="92" t="n">
        <f aca="false">SUM(S$4:S$503)/COUNTA(A$4:A$503)</f>
        <v>806.40012</v>
      </c>
      <c r="BJ134" s="92" t="n">
        <f aca="false">SUM(T$4:T$503)/COUNTA(A$4:A$503)</f>
        <v>826.1999</v>
      </c>
      <c r="BK134" s="92" t="n">
        <f aca="false">SUM(U$4:U$503)/COUNTA(A$4:A$503)</f>
        <v>844.8002</v>
      </c>
      <c r="BL134" s="92" t="n">
        <f aca="false">SUM(V$4:V$503)/COUNTA(A$4:A$503)</f>
        <v>865.7998</v>
      </c>
      <c r="BM134" s="92" t="n">
        <f aca="false">SUM(W$4:W$503)/COUNTA(A$4:A$503)</f>
        <v>888.59982</v>
      </c>
      <c r="BN134" s="93" t="n">
        <f aca="false">SUM(X$4:X$503)/COUNTA(A$4:A$503)</f>
        <v>918.60034</v>
      </c>
      <c r="BO134" s="94" t="s">
        <v>20</v>
      </c>
      <c r="BP134" s="91" t="n">
        <f aca="false">IF(Z134&gt;=BB134,0,IFERROR(BB134+(SUMPRODUCT((Z$4:Z$503&gt;=BB$4:BB$503)*(Z$4:Z$503-BB$4:BB$503))/MAX(1,COUNTIF(Z$4:Z$503,"&lt;"&amp;BB134+0.01))),BB134))</f>
        <v>10695.5432177778</v>
      </c>
      <c r="BQ134" s="92" t="n">
        <f aca="false">IF(AA134&gt;=BC134,0,IFERROR(BC134+SUMPRODUCT((AA$4:AA$503&gt;=BC$4:BC$503)*(AA$4:AA$503-BC$4:BC$503))/MAX(1,COUNTIF(AA$4:AA$503,"&lt;"&amp;BC134+0.01)),BC134))</f>
        <v>2238.46589176471</v>
      </c>
      <c r="BR134" s="92" t="n">
        <f aca="false">IF(AB134&gt;=BD134,0,IFERROR(BD134+SUMPRODUCT((AB$4:AB$503&gt;=BD$4:BD$503)*(AB$4:AB$503-BD$4:BD$503))/MAX(1,COUNTIF(AB$4:AB$503,"&lt;"&amp;BD134+0.01)),BD134))</f>
        <v>3335.2938</v>
      </c>
      <c r="BS134" s="92" t="n">
        <f aca="false">IF(AC134&gt;=BE134,0,IFERROR(BE134+SUMPRODUCT((AC$4:AC$503&gt;=BE$4:BE$503)*(AC$4:AC$503-BE$4:BE$503))/MAX(1,COUNTIF(AC$4:AC$503,"&lt;"&amp;BE134+0.01)),BE134))</f>
        <v>6188.73352</v>
      </c>
      <c r="BT134" s="92" t="n">
        <f aca="false">IF(AD134&gt;=BF134,0,IFERROR(BF134+SUMPRODUCT((AD$4:AD$503&gt;=BF$4:BF$503)*(AD$4:AD$503-BF$4:BF$503))/MAX(1,COUNTIF(AD$4:AD$503,"&lt;"&amp;BF134+0.01)),BF134))</f>
        <v>11354.35411</v>
      </c>
      <c r="BU134" s="92" t="n">
        <f aca="false">IF(AE134&gt;=BG134,0,IFERROR(BG134+SUMPRODUCT((AE$4:AE$503&gt;=BG$4:BG$503)*(AE$4:AE$503-BG$4:BG$503))/MAX(1,COUNTIF(AE$4:AE$503,"&lt;"&amp;BG134+0.01)),BG134))</f>
        <v>7704.85920380952</v>
      </c>
      <c r="BV134" s="92" t="n">
        <f aca="false">IF(AF134&gt;=BH134,0,IFERROR(BH134+SUMPRODUCT((AF$4:AF$503&gt;=BH$4:BH$503)*(AF$4:AF$503-BH$4:BH$503))/MAX(1,COUNTIF(AF$4:AF$503,"&lt;"&amp;BH134+0.01)),BH134))</f>
        <v>9942.6503831579</v>
      </c>
      <c r="BW134" s="92" t="n">
        <f aca="false">IF(AG134&gt;=BI134,0,IFERROR(BI134+SUMPRODUCT((AG$4:AG$503&gt;=BI$4:BI$503)*(AG$4:AG$503-BI$4:BI$503))/MAX(1,COUNTIF(AG$4:AG$503,"&lt;"&amp;BI134+0.01)),BI134))</f>
        <v>9142.15870461538</v>
      </c>
      <c r="BX134" s="92" t="n">
        <f aca="false">IF(AH134&gt;=BJ134,0,IFERROR(BJ134+SUMPRODUCT((AH$4:AH$503&gt;=BJ$4:BJ$503)*(AH$4:AH$503-BJ$4:BJ$503))/MAX(1,COUNTIF(AH$4:AH$503,"&lt;"&amp;BJ134+0.01)),BJ134))</f>
        <v>5621.50263448276</v>
      </c>
      <c r="BY134" s="92" t="n">
        <f aca="false">IF(AI134&gt;=BK134,0,IFERROR(BK134+SUMPRODUCT((AI$4:AI$503&gt;=BK$4:BK$503)*(AI$4:AI$503-BK$4:BK$503))/MAX(1,COUNTIF(AI$4:AI$503,"&lt;"&amp;BK134+0.01)),BK134))</f>
        <v>7878.25652380952</v>
      </c>
      <c r="BZ134" s="92" t="n">
        <f aca="false">IF(AJ134&gt;=BL134,0,IFERROR(BL134+SUMPRODUCT((AJ$4:AJ$503&gt;=BL$4:BL$503)*(AJ$4:AJ$503-BL$4:BL$503))/MAX(1,COUNTIF(AJ$4:AJ$503,"&lt;"&amp;BL134+0.01)),BL134))</f>
        <v>0</v>
      </c>
      <c r="CA134" s="92" t="n">
        <f aca="false">IF(AK134&gt;=BM134,0,IFERROR(BM134+SUMPRODUCT((AK$4:AK$503&gt;=BM$4:BM$503)*(AK$4:AK$503-BM$4:BM$503))/MAX(1,COUNTIF(AK$4:AK$503,"&lt;"&amp;BM134+0.01)),BM134))</f>
        <v>7314.89836842105</v>
      </c>
      <c r="CB134" s="93" t="n">
        <f aca="false">IF(AL134&gt;=BN134,0,IFERROR(BN134+SUMPRODUCT((AL$4:AL$503&gt;=BN$4:BN$503)*(AL$4:AL$503-BN$4:BN$503))/MAX(1,COUNTIF(AL$4:AL$503,"&lt;"&amp;BN134+0.01)),BN134))</f>
        <v>3597.2614925</v>
      </c>
      <c r="CC134" s="95" t="str">
        <f aca="false">IF(AO134="🟢","VERDE",IF(AO134="🟡","AMARELO",IF(AO134="🟠","VERMELHO",IF(AO134="🔴","VERMELHO","ROXO"))))</f>
        <v>VERMELHO</v>
      </c>
      <c r="CD134" s="96" t="s">
        <v>103</v>
      </c>
      <c r="CE134" s="96" t="s">
        <v>104</v>
      </c>
    </row>
    <row r="135" customFormat="false" ht="14.25" hidden="false" customHeight="true" outlineLevel="0" collapsed="false">
      <c r="A135" s="65" t="s">
        <v>409</v>
      </c>
      <c r="B135" s="66" t="s">
        <v>410</v>
      </c>
      <c r="C135" s="67" t="s">
        <v>123</v>
      </c>
      <c r="D135" s="68" t="s">
        <v>108</v>
      </c>
      <c r="E135" s="56" t="s">
        <v>20</v>
      </c>
      <c r="F135" s="70" t="n">
        <f aca="false">IFERROR(VLOOKUP(C135,$AS$3:$AT$10,2,FALSE()),IFERROR(VLOOKUP(C135,$AS$15:$AT$22,2,FALSE()),""))</f>
        <v>49</v>
      </c>
      <c r="G135" s="71" t="n">
        <f aca="false">IFERROR(VLOOKUP(C135,$AS$3:$AX$10,6,FALSE()),IFERROR(VLOOKUP(C135,$AS$15:$AX$22,6,FALSE()),""))</f>
        <v>0.436391353881959</v>
      </c>
      <c r="H135" s="72" t="str">
        <f aca="false">IFERROR(VLOOKUP(C135,$AS$3:$AY$10,7,FALSE()),IFERROR(VLOOKUP(C135,$AS$15:$AY$22,7,FALSE()),""))</f>
        <v>🟡 AMARELO</v>
      </c>
      <c r="I135" s="72" t="str">
        <f aca="false">IFERROR(VLOOKUP(C135,$AS$3:$AZ$10,8,FALSE()),IFERROR(VLOOKUP(C135,$AS$15:$AZ$22,8,FALSE()),""))</f>
        <v>Sell Out</v>
      </c>
      <c r="J135" s="73"/>
      <c r="K135" s="56" t="s">
        <v>20</v>
      </c>
      <c r="L135" s="74" t="n">
        <v>8745.51</v>
      </c>
      <c r="M135" s="75" t="n">
        <v>614.57</v>
      </c>
      <c r="N135" s="75" t="n">
        <v>642.21</v>
      </c>
      <c r="O135" s="75" t="n">
        <v>657.68</v>
      </c>
      <c r="P135" s="75" t="n">
        <v>674.82</v>
      </c>
      <c r="Q135" s="75" t="n">
        <v>696.92</v>
      </c>
      <c r="R135" s="75" t="n">
        <v>715.16</v>
      </c>
      <c r="S135" s="75" t="n">
        <v>742.79</v>
      </c>
      <c r="T135" s="75" t="n">
        <v>761.03</v>
      </c>
      <c r="U135" s="75" t="n">
        <v>778.17</v>
      </c>
      <c r="V135" s="75" t="n">
        <v>797.51</v>
      </c>
      <c r="W135" s="75" t="n">
        <v>818.51</v>
      </c>
      <c r="X135" s="76" t="n">
        <v>846.14</v>
      </c>
      <c r="Y135" s="77" t="s">
        <v>20</v>
      </c>
      <c r="Z135" s="78" t="n">
        <f aca="false">SUM(AA135:AL135)</f>
        <v>3517.02</v>
      </c>
      <c r="AA135" s="75"/>
      <c r="AB135" s="75"/>
      <c r="AC135" s="75"/>
      <c r="AD135" s="75"/>
      <c r="AE135" s="75"/>
      <c r="AF135" s="75"/>
      <c r="AG135" s="75"/>
      <c r="AH135" s="75" t="n">
        <v>898</v>
      </c>
      <c r="AI135" s="75" t="n">
        <v>712.14</v>
      </c>
      <c r="AJ135" s="75" t="n">
        <v>1315.68</v>
      </c>
      <c r="AK135" s="75" t="n">
        <v>591.2</v>
      </c>
      <c r="AL135" s="76"/>
      <c r="AM135" s="56" t="s">
        <v>20</v>
      </c>
      <c r="AN135" s="80" t="n">
        <f aca="false">IF(L135=0,0,Z135/L135)</f>
        <v>0.402151504028925</v>
      </c>
      <c r="AO135" s="81" t="str">
        <f aca="false">IF(AN135="","",IF(AN135&gt;=0.9,"🟢",IF(AN135&gt;=0.7,"🟡",IF(AN135&gt;=0.5,"🟠","🔴"))))</f>
        <v>🔴</v>
      </c>
      <c r="AP135" s="82" t="n">
        <f aca="false">IF(L135=0,0,L135-Z135)</f>
        <v>5228.49</v>
      </c>
      <c r="AQ135" s="83" t="n">
        <f aca="false">IF(AP135=0,"",RANK(AP135,AP$4:AP$503,0))</f>
        <v>121</v>
      </c>
      <c r="AR135" s="84" t="s">
        <v>20</v>
      </c>
      <c r="AS135" s="141"/>
      <c r="AT135" s="141"/>
      <c r="AU135" s="141"/>
      <c r="AV135" s="141"/>
      <c r="AW135" s="141"/>
      <c r="AX135" s="141"/>
      <c r="AY135" s="142"/>
      <c r="AZ135" s="142"/>
      <c r="BA135" s="56" t="s">
        <v>20</v>
      </c>
      <c r="BB135" s="91" t="n">
        <f aca="false">SUM(L$4:L$503)/COUNTA(A$4:A$503)</f>
        <v>9494.39992</v>
      </c>
      <c r="BC135" s="92" t="n">
        <f aca="false">SUM(M$4:M$503)/COUNTA(A$4:A$503)</f>
        <v>667.20008</v>
      </c>
      <c r="BD135" s="92" t="n">
        <f aca="false">SUM(N$4:N$503)/COUNTA(A$4:A$503)</f>
        <v>697.19996</v>
      </c>
      <c r="BE135" s="92" t="n">
        <f aca="false">SUM(O$4:O$503)/COUNTA(A$4:A$503)</f>
        <v>713.9999</v>
      </c>
      <c r="BF135" s="92" t="n">
        <f aca="false">SUM(P$4:P$503)/COUNTA(A$4:A$503)</f>
        <v>732.59984</v>
      </c>
      <c r="BG135" s="92" t="n">
        <f aca="false">SUM(Q$4:Q$503)/COUNTA(A$4:A$503)</f>
        <v>756.59992</v>
      </c>
      <c r="BH135" s="92" t="n">
        <f aca="false">SUM(R$4:R$503)/COUNTA(A$4:A$503)</f>
        <v>776.40004</v>
      </c>
      <c r="BI135" s="92" t="n">
        <f aca="false">SUM(S$4:S$503)/COUNTA(A$4:A$503)</f>
        <v>806.40012</v>
      </c>
      <c r="BJ135" s="92" t="n">
        <f aca="false">SUM(T$4:T$503)/COUNTA(A$4:A$503)</f>
        <v>826.1999</v>
      </c>
      <c r="BK135" s="92" t="n">
        <f aca="false">SUM(U$4:U$503)/COUNTA(A$4:A$503)</f>
        <v>844.8002</v>
      </c>
      <c r="BL135" s="92" t="n">
        <f aca="false">SUM(V$4:V$503)/COUNTA(A$4:A$503)</f>
        <v>865.7998</v>
      </c>
      <c r="BM135" s="92" t="n">
        <f aca="false">SUM(W$4:W$503)/COUNTA(A$4:A$503)</f>
        <v>888.59982</v>
      </c>
      <c r="BN135" s="93" t="n">
        <f aca="false">SUM(X$4:X$503)/COUNTA(A$4:A$503)</f>
        <v>918.60034</v>
      </c>
      <c r="BO135" s="94" t="s">
        <v>20</v>
      </c>
      <c r="BP135" s="91" t="n">
        <f aca="false">IF(Z135&gt;=BB135,0,IFERROR(BB135+(SUMPRODUCT((Z$4:Z$503&gt;=BB$4:BB$503)*(Z$4:Z$503-BB$4:BB$503))/MAX(1,COUNTIF(Z$4:Z$503,"&lt;"&amp;BB135+0.01))),BB135))</f>
        <v>10695.5432177778</v>
      </c>
      <c r="BQ135" s="92" t="n">
        <f aca="false">IF(AA135&gt;=BC135,0,IFERROR(BC135+SUMPRODUCT((AA$4:AA$503&gt;=BC$4:BC$503)*(AA$4:AA$503-BC$4:BC$503))/MAX(1,COUNTIF(AA$4:AA$503,"&lt;"&amp;BC135+0.01)),BC135))</f>
        <v>2238.46589176471</v>
      </c>
      <c r="BR135" s="92" t="n">
        <f aca="false">IF(AB135&gt;=BD135,0,IFERROR(BD135+SUMPRODUCT((AB$4:AB$503&gt;=BD$4:BD$503)*(AB$4:AB$503-BD$4:BD$503))/MAX(1,COUNTIF(AB$4:AB$503,"&lt;"&amp;BD135+0.01)),BD135))</f>
        <v>3335.2938</v>
      </c>
      <c r="BS135" s="92" t="n">
        <f aca="false">IF(AC135&gt;=BE135,0,IFERROR(BE135+SUMPRODUCT((AC$4:AC$503&gt;=BE$4:BE$503)*(AC$4:AC$503-BE$4:BE$503))/MAX(1,COUNTIF(AC$4:AC$503,"&lt;"&amp;BE135+0.01)),BE135))</f>
        <v>6188.73352</v>
      </c>
      <c r="BT135" s="92" t="n">
        <f aca="false">IF(AD135&gt;=BF135,0,IFERROR(BF135+SUMPRODUCT((AD$4:AD$503&gt;=BF$4:BF$503)*(AD$4:AD$503-BF$4:BF$503))/MAX(1,COUNTIF(AD$4:AD$503,"&lt;"&amp;BF135+0.01)),BF135))</f>
        <v>11354.35411</v>
      </c>
      <c r="BU135" s="92" t="n">
        <f aca="false">IF(AE135&gt;=BG135,0,IFERROR(BG135+SUMPRODUCT((AE$4:AE$503&gt;=BG$4:BG$503)*(AE$4:AE$503-BG$4:BG$503))/MAX(1,COUNTIF(AE$4:AE$503,"&lt;"&amp;BG135+0.01)),BG135))</f>
        <v>7704.85920380952</v>
      </c>
      <c r="BV135" s="92" t="n">
        <f aca="false">IF(AF135&gt;=BH135,0,IFERROR(BH135+SUMPRODUCT((AF$4:AF$503&gt;=BH$4:BH$503)*(AF$4:AF$503-BH$4:BH$503))/MAX(1,COUNTIF(AF$4:AF$503,"&lt;"&amp;BH135+0.01)),BH135))</f>
        <v>9942.6503831579</v>
      </c>
      <c r="BW135" s="92" t="n">
        <f aca="false">IF(AG135&gt;=BI135,0,IFERROR(BI135+SUMPRODUCT((AG$4:AG$503&gt;=BI$4:BI$503)*(AG$4:AG$503-BI$4:BI$503))/MAX(1,COUNTIF(AG$4:AG$503,"&lt;"&amp;BI135+0.01)),BI135))</f>
        <v>9142.15870461538</v>
      </c>
      <c r="BX135" s="92" t="n">
        <f aca="false">IF(AH135&gt;=BJ135,0,IFERROR(BJ135+SUMPRODUCT((AH$4:AH$503&gt;=BJ$4:BJ$503)*(AH$4:AH$503-BJ$4:BJ$503))/MAX(1,COUNTIF(AH$4:AH$503,"&lt;"&amp;BJ135+0.01)),BJ135))</f>
        <v>0</v>
      </c>
      <c r="BY135" s="92" t="n">
        <f aca="false">IF(AI135&gt;=BK135,0,IFERROR(BK135+SUMPRODUCT((AI$4:AI$503&gt;=BK$4:BK$503)*(AI$4:AI$503-BK$4:BK$503))/MAX(1,COUNTIF(AI$4:AI$503,"&lt;"&amp;BK135+0.01)),BK135))</f>
        <v>7878.25652380952</v>
      </c>
      <c r="BZ135" s="92" t="n">
        <f aca="false">IF(AJ135&gt;=BL135,0,IFERROR(BL135+SUMPRODUCT((AJ$4:AJ$503&gt;=BL$4:BL$503)*(AJ$4:AJ$503-BL$4:BL$503))/MAX(1,COUNTIF(AJ$4:AJ$503,"&lt;"&amp;BL135+0.01)),BL135))</f>
        <v>0</v>
      </c>
      <c r="CA135" s="92" t="n">
        <f aca="false">IF(AK135&gt;=BM135,0,IFERROR(BM135+SUMPRODUCT((AK$4:AK$503&gt;=BM$4:BM$503)*(AK$4:AK$503-BM$4:BM$503))/MAX(1,COUNTIF(AK$4:AK$503,"&lt;"&amp;BM135+0.01)),BM135))</f>
        <v>7314.89836842105</v>
      </c>
      <c r="CB135" s="93" t="n">
        <f aca="false">IF(AL135&gt;=BN135,0,IFERROR(BN135+SUMPRODUCT((AL$4:AL$503&gt;=BN$4:BN$503)*(AL$4:AL$503-BN$4:BN$503))/MAX(1,COUNTIF(AL$4:AL$503,"&lt;"&amp;BN135+0.01)),BN135))</f>
        <v>3597.2614925</v>
      </c>
      <c r="CC135" s="95" t="str">
        <f aca="false">IF(AO135="🟢","VERDE",IF(AO135="🟡","AMARELO",IF(AO135="🟠","VERMELHO",IF(AO135="🔴","VERMELHO","ROXO"))))</f>
        <v>VERMELHO</v>
      </c>
      <c r="CD135" s="96" t="s">
        <v>103</v>
      </c>
      <c r="CE135" s="96" t="s">
        <v>104</v>
      </c>
    </row>
    <row r="136" customFormat="false" ht="14.25" hidden="false" customHeight="true" outlineLevel="0" collapsed="false">
      <c r="A136" s="65" t="s">
        <v>411</v>
      </c>
      <c r="B136" s="66" t="s">
        <v>412</v>
      </c>
      <c r="C136" s="67" t="s">
        <v>99</v>
      </c>
      <c r="D136" s="68" t="s">
        <v>100</v>
      </c>
      <c r="E136" s="69" t="s">
        <v>281</v>
      </c>
      <c r="F136" s="70" t="n">
        <f aca="false">IFERROR(VLOOKUP(C136,$AS$3:$AT$10,2,FALSE()),IFERROR(VLOOKUP(C136,$AS$15:$AT$22,2,FALSE()),""))</f>
        <v>33</v>
      </c>
      <c r="G136" s="71" t="n">
        <f aca="false">IFERROR(VLOOKUP(C136,$AS$3:$AX$10,6,FALSE()),IFERROR(VLOOKUP(C136,$AS$15:$AX$22,6,FALSE()),""))</f>
        <v>0.341494038351172</v>
      </c>
      <c r="H136" s="72" t="str">
        <f aca="false">IFERROR(VLOOKUP(C136,$AS$3:$AY$10,7,FALSE()),IFERROR(VLOOKUP(C136,$AS$15:$AY$22,7,FALSE()),""))</f>
        <v>🔴 VERMELHO</v>
      </c>
      <c r="I136" s="72" t="str">
        <f aca="false">IFERROR(VLOOKUP(C136,$AS$3:$AZ$10,8,FALSE()),IFERROR(VLOOKUP(C136,$AS$15:$AZ$22,8,FALSE()),""))</f>
        <v>Positivação + Expandir</v>
      </c>
      <c r="J136" s="73"/>
      <c r="K136" s="69" t="s">
        <v>99</v>
      </c>
      <c r="L136" s="74" t="n">
        <v>8636.71</v>
      </c>
      <c r="M136" s="75" t="n">
        <v>606.93</v>
      </c>
      <c r="N136" s="75" t="n">
        <v>634.22</v>
      </c>
      <c r="O136" s="75" t="n">
        <v>649.5</v>
      </c>
      <c r="P136" s="75" t="n">
        <v>666.42</v>
      </c>
      <c r="Q136" s="75" t="n">
        <v>688.25</v>
      </c>
      <c r="R136" s="75" t="n">
        <v>706.26</v>
      </c>
      <c r="S136" s="75" t="n">
        <v>733.55</v>
      </c>
      <c r="T136" s="75" t="n">
        <v>751.56</v>
      </c>
      <c r="U136" s="75" t="n">
        <v>768.48</v>
      </c>
      <c r="V136" s="75" t="n">
        <v>787.59</v>
      </c>
      <c r="W136" s="75" t="n">
        <v>808.33</v>
      </c>
      <c r="X136" s="76" t="n">
        <v>835.62</v>
      </c>
      <c r="Y136" s="77" t="s">
        <v>20</v>
      </c>
      <c r="Z136" s="78" t="n">
        <f aca="false">SUM(AA136:AL136)</f>
        <v>3478.26</v>
      </c>
      <c r="AA136" s="79" t="n">
        <v>696.9</v>
      </c>
      <c r="AB136" s="79" t="n">
        <v>946.98</v>
      </c>
      <c r="AC136" s="75"/>
      <c r="AD136" s="75"/>
      <c r="AE136" s="75"/>
      <c r="AF136" s="75"/>
      <c r="AG136" s="79" t="n">
        <v>1184.36</v>
      </c>
      <c r="AH136" s="75"/>
      <c r="AI136" s="75"/>
      <c r="AJ136" s="75"/>
      <c r="AK136" s="75"/>
      <c r="AL136" s="107" t="n">
        <v>650.02</v>
      </c>
      <c r="AM136" s="56" t="s">
        <v>20</v>
      </c>
      <c r="AN136" s="80" t="n">
        <f aca="false">IF(L136=0,0,Z136/L136)</f>
        <v>0.402729743154511</v>
      </c>
      <c r="AO136" s="81" t="str">
        <f aca="false">IF(AN136="","",IF(AN136&gt;=0.9,"🟢",IF(AN136&gt;=0.7,"🟡",IF(AN136&gt;=0.5,"🟠","🔴"))))</f>
        <v>🔴</v>
      </c>
      <c r="AP136" s="82" t="n">
        <f aca="false">IF(L136=0,0,L136-Z136)</f>
        <v>5158.45</v>
      </c>
      <c r="AQ136" s="83" t="n">
        <f aca="false">IF(AP136=0,"",RANK(AP136,AP$4:AP$503,0))</f>
        <v>123</v>
      </c>
      <c r="AR136" s="84" t="s">
        <v>20</v>
      </c>
      <c r="AS136" s="141"/>
      <c r="AT136" s="141"/>
      <c r="AU136" s="141"/>
      <c r="AV136" s="141"/>
      <c r="AW136" s="141"/>
      <c r="AX136" s="141"/>
      <c r="AY136" s="142"/>
      <c r="AZ136" s="142"/>
      <c r="BA136" s="56" t="s">
        <v>20</v>
      </c>
      <c r="BB136" s="91" t="n">
        <f aca="false">SUM(L$4:L$503)/COUNTA(A$4:A$503)</f>
        <v>9494.39992</v>
      </c>
      <c r="BC136" s="92" t="n">
        <f aca="false">SUM(M$4:M$503)/COUNTA(A$4:A$503)</f>
        <v>667.20008</v>
      </c>
      <c r="BD136" s="92" t="n">
        <f aca="false">SUM(N$4:N$503)/COUNTA(A$4:A$503)</f>
        <v>697.19996</v>
      </c>
      <c r="BE136" s="92" t="n">
        <f aca="false">SUM(O$4:O$503)/COUNTA(A$4:A$503)</f>
        <v>713.9999</v>
      </c>
      <c r="BF136" s="92" t="n">
        <f aca="false">SUM(P$4:P$503)/COUNTA(A$4:A$503)</f>
        <v>732.59984</v>
      </c>
      <c r="BG136" s="92" t="n">
        <f aca="false">SUM(Q$4:Q$503)/COUNTA(A$4:A$503)</f>
        <v>756.59992</v>
      </c>
      <c r="BH136" s="92" t="n">
        <f aca="false">SUM(R$4:R$503)/COUNTA(A$4:A$503)</f>
        <v>776.40004</v>
      </c>
      <c r="BI136" s="92" t="n">
        <f aca="false">SUM(S$4:S$503)/COUNTA(A$4:A$503)</f>
        <v>806.40012</v>
      </c>
      <c r="BJ136" s="92" t="n">
        <f aca="false">SUM(T$4:T$503)/COUNTA(A$4:A$503)</f>
        <v>826.1999</v>
      </c>
      <c r="BK136" s="92" t="n">
        <f aca="false">SUM(U$4:U$503)/COUNTA(A$4:A$503)</f>
        <v>844.8002</v>
      </c>
      <c r="BL136" s="92" t="n">
        <f aca="false">SUM(V$4:V$503)/COUNTA(A$4:A$503)</f>
        <v>865.7998</v>
      </c>
      <c r="BM136" s="92" t="n">
        <f aca="false">SUM(W$4:W$503)/COUNTA(A$4:A$503)</f>
        <v>888.59982</v>
      </c>
      <c r="BN136" s="93" t="n">
        <f aca="false">SUM(X$4:X$503)/COUNTA(A$4:A$503)</f>
        <v>918.60034</v>
      </c>
      <c r="BO136" s="94" t="s">
        <v>20</v>
      </c>
      <c r="BP136" s="91" t="n">
        <f aca="false">IF(Z136&gt;=BB136,0,IFERROR(BB136+(SUMPRODUCT((Z$4:Z$503&gt;=BB$4:BB$503)*(Z$4:Z$503-BB$4:BB$503))/MAX(1,COUNTIF(Z$4:Z$503,"&lt;"&amp;BB136+0.01))),BB136))</f>
        <v>10695.5432177778</v>
      </c>
      <c r="BQ136" s="92" t="n">
        <f aca="false">IF(AA136&gt;=BC136,0,IFERROR(BC136+SUMPRODUCT((AA$4:AA$503&gt;=BC$4:BC$503)*(AA$4:AA$503-BC$4:BC$503))/MAX(1,COUNTIF(AA$4:AA$503,"&lt;"&amp;BC136+0.01)),BC136))</f>
        <v>0</v>
      </c>
      <c r="BR136" s="92" t="n">
        <f aca="false">IF(AB136&gt;=BD136,0,IFERROR(BD136+SUMPRODUCT((AB$4:AB$503&gt;=BD$4:BD$503)*(AB$4:AB$503-BD$4:BD$503))/MAX(1,COUNTIF(AB$4:AB$503,"&lt;"&amp;BD136+0.01)),BD136))</f>
        <v>0</v>
      </c>
      <c r="BS136" s="92" t="n">
        <f aca="false">IF(AC136&gt;=BE136,0,IFERROR(BE136+SUMPRODUCT((AC$4:AC$503&gt;=BE$4:BE$503)*(AC$4:AC$503-BE$4:BE$503))/MAX(1,COUNTIF(AC$4:AC$503,"&lt;"&amp;BE136+0.01)),BE136))</f>
        <v>6188.73352</v>
      </c>
      <c r="BT136" s="92" t="n">
        <f aca="false">IF(AD136&gt;=BF136,0,IFERROR(BF136+SUMPRODUCT((AD$4:AD$503&gt;=BF$4:BF$503)*(AD$4:AD$503-BF$4:BF$503))/MAX(1,COUNTIF(AD$4:AD$503,"&lt;"&amp;BF136+0.01)),BF136))</f>
        <v>11354.35411</v>
      </c>
      <c r="BU136" s="92" t="n">
        <f aca="false">IF(AE136&gt;=BG136,0,IFERROR(BG136+SUMPRODUCT((AE$4:AE$503&gt;=BG$4:BG$503)*(AE$4:AE$503-BG$4:BG$503))/MAX(1,COUNTIF(AE$4:AE$503,"&lt;"&amp;BG136+0.01)),BG136))</f>
        <v>7704.85920380952</v>
      </c>
      <c r="BV136" s="92" t="n">
        <f aca="false">IF(AF136&gt;=BH136,0,IFERROR(BH136+SUMPRODUCT((AF$4:AF$503&gt;=BH$4:BH$503)*(AF$4:AF$503-BH$4:BH$503))/MAX(1,COUNTIF(AF$4:AF$503,"&lt;"&amp;BH136+0.01)),BH136))</f>
        <v>9942.6503831579</v>
      </c>
      <c r="BW136" s="92" t="n">
        <f aca="false">IF(AG136&gt;=BI136,0,IFERROR(BI136+SUMPRODUCT((AG$4:AG$503&gt;=BI$4:BI$503)*(AG$4:AG$503-BI$4:BI$503))/MAX(1,COUNTIF(AG$4:AG$503,"&lt;"&amp;BI136+0.01)),BI136))</f>
        <v>0</v>
      </c>
      <c r="BX136" s="92" t="n">
        <f aca="false">IF(AH136&gt;=BJ136,0,IFERROR(BJ136+SUMPRODUCT((AH$4:AH$503&gt;=BJ$4:BJ$503)*(AH$4:AH$503-BJ$4:BJ$503))/MAX(1,COUNTIF(AH$4:AH$503,"&lt;"&amp;BJ136+0.01)),BJ136))</f>
        <v>5621.50263448276</v>
      </c>
      <c r="BY136" s="92" t="n">
        <f aca="false">IF(AI136&gt;=BK136,0,IFERROR(BK136+SUMPRODUCT((AI$4:AI$503&gt;=BK$4:BK$503)*(AI$4:AI$503-BK$4:BK$503))/MAX(1,COUNTIF(AI$4:AI$503,"&lt;"&amp;BK136+0.01)),BK136))</f>
        <v>7878.25652380952</v>
      </c>
      <c r="BZ136" s="92" t="n">
        <f aca="false">IF(AJ136&gt;=BL136,0,IFERROR(BL136+SUMPRODUCT((AJ$4:AJ$503&gt;=BL$4:BL$503)*(AJ$4:AJ$503-BL$4:BL$503))/MAX(1,COUNTIF(AJ$4:AJ$503,"&lt;"&amp;BL136+0.01)),BL136))</f>
        <v>6710.03292307692</v>
      </c>
      <c r="CA136" s="92" t="n">
        <f aca="false">IF(AK136&gt;=BM136,0,IFERROR(BM136+SUMPRODUCT((AK$4:AK$503&gt;=BM$4:BM$503)*(AK$4:AK$503-BM$4:BM$503))/MAX(1,COUNTIF(AK$4:AK$503,"&lt;"&amp;BM136+0.01)),BM136))</f>
        <v>7314.89836842105</v>
      </c>
      <c r="CB136" s="93" t="n">
        <f aca="false">IF(AL136&gt;=BN136,0,IFERROR(BN136+SUMPRODUCT((AL$4:AL$503&gt;=BN$4:BN$503)*(AL$4:AL$503-BN$4:BN$503))/MAX(1,COUNTIF(AL$4:AL$503,"&lt;"&amp;BN136+0.01)),BN136))</f>
        <v>3597.2614925</v>
      </c>
      <c r="CC136" s="95" t="str">
        <f aca="false">IF(AO136="🟢","VERDE",IF(AO136="🟡","AMARELO",IF(AO136="🟠","VERMELHO",IF(AO136="🔴","VERMELHO","ROXO"))))</f>
        <v>VERMELHO</v>
      </c>
      <c r="CD136" s="96" t="s">
        <v>103</v>
      </c>
      <c r="CE136" s="96" t="s">
        <v>104</v>
      </c>
    </row>
    <row r="137" customFormat="false" ht="14.25" hidden="false" customHeight="true" outlineLevel="0" collapsed="false">
      <c r="A137" s="65" t="s">
        <v>413</v>
      </c>
      <c r="B137" s="66" t="s">
        <v>414</v>
      </c>
      <c r="C137" s="67" t="s">
        <v>158</v>
      </c>
      <c r="D137" s="68" t="s">
        <v>100</v>
      </c>
      <c r="E137" s="69" t="s">
        <v>187</v>
      </c>
      <c r="F137" s="70" t="n">
        <f aca="false">IFERROR(VLOOKUP(C137,$AS$3:$AT$10,2,FALSE()),IFERROR(VLOOKUP(C137,$AS$15:$AT$22,2,FALSE()),""))</f>
        <v>29</v>
      </c>
      <c r="G137" s="71" t="n">
        <f aca="false">IFERROR(VLOOKUP(C137,$AS$3:$AX$10,6,FALSE()),IFERROR(VLOOKUP(C137,$AS$15:$AX$22,6,FALSE()),""))</f>
        <v>0.458564072601712</v>
      </c>
      <c r="H137" s="72" t="str">
        <f aca="false">IFERROR(VLOOKUP(C137,$AS$3:$AY$10,7,FALSE()),IFERROR(VLOOKUP(C137,$AS$15:$AY$22,7,FALSE()),""))</f>
        <v>🟡 AMARELO</v>
      </c>
      <c r="I137" s="72" t="str">
        <f aca="false">IFERROR(VLOOKUP(C137,$AS$3:$AZ$10,8,FALSE()),IFERROR(VLOOKUP(C137,$AS$15:$AZ$22,8,FALSE()),""))</f>
        <v>Sell Out</v>
      </c>
      <c r="J137" s="73"/>
      <c r="K137" s="69" t="s">
        <v>158</v>
      </c>
      <c r="L137" s="74" t="n">
        <v>8591.25</v>
      </c>
      <c r="M137" s="75" t="n">
        <v>603.73</v>
      </c>
      <c r="N137" s="75" t="n">
        <v>630.88</v>
      </c>
      <c r="O137" s="75" t="n">
        <v>646.08</v>
      </c>
      <c r="P137" s="75" t="n">
        <v>662.91</v>
      </c>
      <c r="Q137" s="75" t="n">
        <v>684.63</v>
      </c>
      <c r="R137" s="75" t="n">
        <v>702.55</v>
      </c>
      <c r="S137" s="75" t="n">
        <v>729.69</v>
      </c>
      <c r="T137" s="75" t="n">
        <v>747.61</v>
      </c>
      <c r="U137" s="75" t="n">
        <v>764.44</v>
      </c>
      <c r="V137" s="75" t="n">
        <v>783.44</v>
      </c>
      <c r="W137" s="75" t="n">
        <v>804.07</v>
      </c>
      <c r="X137" s="76" t="n">
        <v>831.22</v>
      </c>
      <c r="Y137" s="77" t="s">
        <v>20</v>
      </c>
      <c r="Z137" s="78" t="n">
        <f aca="false">SUM(AA137:AL137)</f>
        <v>5006.53</v>
      </c>
      <c r="AA137" s="75"/>
      <c r="AB137" s="75"/>
      <c r="AC137" s="75"/>
      <c r="AD137" s="75"/>
      <c r="AE137" s="75"/>
      <c r="AF137" s="79" t="n">
        <v>1442.74</v>
      </c>
      <c r="AG137" s="75"/>
      <c r="AH137" s="79" t="n">
        <v>1009.9</v>
      </c>
      <c r="AI137" s="75"/>
      <c r="AJ137" s="75" t="n">
        <v>1365.73</v>
      </c>
      <c r="AK137" s="79" t="n">
        <v>1188.16</v>
      </c>
      <c r="AL137" s="76"/>
      <c r="AM137" s="56" t="s">
        <v>20</v>
      </c>
      <c r="AN137" s="80" t="n">
        <f aca="false">IF(L137=0,0,Z137/L137)</f>
        <v>0.582747562927397</v>
      </c>
      <c r="AO137" s="81" t="str">
        <f aca="false">IF(AN137="","",IF(AN137&gt;=0.9,"🟢",IF(AN137&gt;=0.7,"🟡",IF(AN137&gt;=0.5,"🟠","🔴"))))</f>
        <v>🟠</v>
      </c>
      <c r="AP137" s="82" t="n">
        <f aca="false">IF(L137=0,0,L137-Z137)</f>
        <v>3584.72</v>
      </c>
      <c r="AQ137" s="83" t="n">
        <f aca="false">IF(AP137=0,"",RANK(AP137,AP$4:AP$503,0))</f>
        <v>178</v>
      </c>
      <c r="AR137" s="84" t="s">
        <v>20</v>
      </c>
      <c r="AS137" s="141"/>
      <c r="AT137" s="141"/>
      <c r="AU137" s="141"/>
      <c r="AV137" s="141"/>
      <c r="AW137" s="141"/>
      <c r="AX137" s="141"/>
      <c r="AY137" s="142"/>
      <c r="AZ137" s="142"/>
      <c r="BA137" s="56" t="s">
        <v>20</v>
      </c>
      <c r="BB137" s="91" t="n">
        <f aca="false">SUM(L$4:L$503)/COUNTA(A$4:A$503)</f>
        <v>9494.39992</v>
      </c>
      <c r="BC137" s="92" t="n">
        <f aca="false">SUM(M$4:M$503)/COUNTA(A$4:A$503)</f>
        <v>667.20008</v>
      </c>
      <c r="BD137" s="92" t="n">
        <f aca="false">SUM(N$4:N$503)/COUNTA(A$4:A$503)</f>
        <v>697.19996</v>
      </c>
      <c r="BE137" s="92" t="n">
        <f aca="false">SUM(O$4:O$503)/COUNTA(A$4:A$503)</f>
        <v>713.9999</v>
      </c>
      <c r="BF137" s="92" t="n">
        <f aca="false">SUM(P$4:P$503)/COUNTA(A$4:A$503)</f>
        <v>732.59984</v>
      </c>
      <c r="BG137" s="92" t="n">
        <f aca="false">SUM(Q$4:Q$503)/COUNTA(A$4:A$503)</f>
        <v>756.59992</v>
      </c>
      <c r="BH137" s="92" t="n">
        <f aca="false">SUM(R$4:R$503)/COUNTA(A$4:A$503)</f>
        <v>776.40004</v>
      </c>
      <c r="BI137" s="92" t="n">
        <f aca="false">SUM(S$4:S$503)/COUNTA(A$4:A$503)</f>
        <v>806.40012</v>
      </c>
      <c r="BJ137" s="92" t="n">
        <f aca="false">SUM(T$4:T$503)/COUNTA(A$4:A$503)</f>
        <v>826.1999</v>
      </c>
      <c r="BK137" s="92" t="n">
        <f aca="false">SUM(U$4:U$503)/COUNTA(A$4:A$503)</f>
        <v>844.8002</v>
      </c>
      <c r="BL137" s="92" t="n">
        <f aca="false">SUM(V$4:V$503)/COUNTA(A$4:A$503)</f>
        <v>865.7998</v>
      </c>
      <c r="BM137" s="92" t="n">
        <f aca="false">SUM(W$4:W$503)/COUNTA(A$4:A$503)</f>
        <v>888.59982</v>
      </c>
      <c r="BN137" s="93" t="n">
        <f aca="false">SUM(X$4:X$503)/COUNTA(A$4:A$503)</f>
        <v>918.60034</v>
      </c>
      <c r="BO137" s="94" t="s">
        <v>20</v>
      </c>
      <c r="BP137" s="91" t="n">
        <f aca="false">IF(Z137&gt;=BB137,0,IFERROR(BB137+(SUMPRODUCT((Z$4:Z$503&gt;=BB$4:BB$503)*(Z$4:Z$503-BB$4:BB$503))/MAX(1,COUNTIF(Z$4:Z$503,"&lt;"&amp;BB137+0.01))),BB137))</f>
        <v>10695.5432177778</v>
      </c>
      <c r="BQ137" s="92" t="n">
        <f aca="false">IF(AA137&gt;=BC137,0,IFERROR(BC137+SUMPRODUCT((AA$4:AA$503&gt;=BC$4:BC$503)*(AA$4:AA$503-BC$4:BC$503))/MAX(1,COUNTIF(AA$4:AA$503,"&lt;"&amp;BC137+0.01)),BC137))</f>
        <v>2238.46589176471</v>
      </c>
      <c r="BR137" s="92" t="n">
        <f aca="false">IF(AB137&gt;=BD137,0,IFERROR(BD137+SUMPRODUCT((AB$4:AB$503&gt;=BD$4:BD$503)*(AB$4:AB$503-BD$4:BD$503))/MAX(1,COUNTIF(AB$4:AB$503,"&lt;"&amp;BD137+0.01)),BD137))</f>
        <v>3335.2938</v>
      </c>
      <c r="BS137" s="92" t="n">
        <f aca="false">IF(AC137&gt;=BE137,0,IFERROR(BE137+SUMPRODUCT((AC$4:AC$503&gt;=BE$4:BE$503)*(AC$4:AC$503-BE$4:BE$503))/MAX(1,COUNTIF(AC$4:AC$503,"&lt;"&amp;BE137+0.01)),BE137))</f>
        <v>6188.73352</v>
      </c>
      <c r="BT137" s="92" t="n">
        <f aca="false">IF(AD137&gt;=BF137,0,IFERROR(BF137+SUMPRODUCT((AD$4:AD$503&gt;=BF$4:BF$503)*(AD$4:AD$503-BF$4:BF$503))/MAX(1,COUNTIF(AD$4:AD$503,"&lt;"&amp;BF137+0.01)),BF137))</f>
        <v>11354.35411</v>
      </c>
      <c r="BU137" s="92" t="n">
        <f aca="false">IF(AE137&gt;=BG137,0,IFERROR(BG137+SUMPRODUCT((AE$4:AE$503&gt;=BG$4:BG$503)*(AE$4:AE$503-BG$4:BG$503))/MAX(1,COUNTIF(AE$4:AE$503,"&lt;"&amp;BG137+0.01)),BG137))</f>
        <v>7704.85920380952</v>
      </c>
      <c r="BV137" s="92" t="n">
        <f aca="false">IF(AF137&gt;=BH137,0,IFERROR(BH137+SUMPRODUCT((AF$4:AF$503&gt;=BH$4:BH$503)*(AF$4:AF$503-BH$4:BH$503))/MAX(1,COUNTIF(AF$4:AF$503,"&lt;"&amp;BH137+0.01)),BH137))</f>
        <v>0</v>
      </c>
      <c r="BW137" s="92" t="n">
        <f aca="false">IF(AG137&gt;=BI137,0,IFERROR(BI137+SUMPRODUCT((AG$4:AG$503&gt;=BI$4:BI$503)*(AG$4:AG$503-BI$4:BI$503))/MAX(1,COUNTIF(AG$4:AG$503,"&lt;"&amp;BI137+0.01)),BI137))</f>
        <v>9142.15870461538</v>
      </c>
      <c r="BX137" s="92" t="n">
        <f aca="false">IF(AH137&gt;=BJ137,0,IFERROR(BJ137+SUMPRODUCT((AH$4:AH$503&gt;=BJ$4:BJ$503)*(AH$4:AH$503-BJ$4:BJ$503))/MAX(1,COUNTIF(AH$4:AH$503,"&lt;"&amp;BJ137+0.01)),BJ137))</f>
        <v>0</v>
      </c>
      <c r="BY137" s="92" t="n">
        <f aca="false">IF(AI137&gt;=BK137,0,IFERROR(BK137+SUMPRODUCT((AI$4:AI$503&gt;=BK$4:BK$503)*(AI$4:AI$503-BK$4:BK$503))/MAX(1,COUNTIF(AI$4:AI$503,"&lt;"&amp;BK137+0.01)),BK137))</f>
        <v>7878.25652380952</v>
      </c>
      <c r="BZ137" s="92" t="n">
        <f aca="false">IF(AJ137&gt;=BL137,0,IFERROR(BL137+SUMPRODUCT((AJ$4:AJ$503&gt;=BL$4:BL$503)*(AJ$4:AJ$503-BL$4:BL$503))/MAX(1,COUNTIF(AJ$4:AJ$503,"&lt;"&amp;BL137+0.01)),BL137))</f>
        <v>0</v>
      </c>
      <c r="CA137" s="92" t="n">
        <f aca="false">IF(AK137&gt;=BM137,0,IFERROR(BM137+SUMPRODUCT((AK$4:AK$503&gt;=BM$4:BM$503)*(AK$4:AK$503-BM$4:BM$503))/MAX(1,COUNTIF(AK$4:AK$503,"&lt;"&amp;BM137+0.01)),BM137))</f>
        <v>0</v>
      </c>
      <c r="CB137" s="93" t="n">
        <f aca="false">IF(AL137&gt;=BN137,0,IFERROR(BN137+SUMPRODUCT((AL$4:AL$503&gt;=BN$4:BN$503)*(AL$4:AL$503-BN$4:BN$503))/MAX(1,COUNTIF(AL$4:AL$503,"&lt;"&amp;BN137+0.01)),BN137))</f>
        <v>3597.2614925</v>
      </c>
      <c r="CC137" s="95" t="str">
        <f aca="false">IF(AO137="🟢","VERDE",IF(AO137="🟡","AMARELO",IF(AO137="🟠","VERMELHO",IF(AO137="🔴","VERMELHO","ROXO"))))</f>
        <v>VERMELHO</v>
      </c>
      <c r="CD137" s="96" t="s">
        <v>103</v>
      </c>
      <c r="CE137" s="96" t="s">
        <v>104</v>
      </c>
    </row>
    <row r="138" customFormat="false" ht="14.25" hidden="false" customHeight="true" outlineLevel="0" collapsed="false">
      <c r="A138" s="65" t="s">
        <v>415</v>
      </c>
      <c r="B138" s="66" t="s">
        <v>416</v>
      </c>
      <c r="C138" s="67" t="s">
        <v>118</v>
      </c>
      <c r="D138" s="68" t="s">
        <v>100</v>
      </c>
      <c r="E138" s="69" t="s">
        <v>119</v>
      </c>
      <c r="F138" s="70" t="n">
        <f aca="false">IFERROR(VLOOKUP(C138,$AS$3:$AT$10,2,FALSE()),IFERROR(VLOOKUP(C138,$AS$15:$AT$22,2,FALSE()),""))</f>
        <v>42</v>
      </c>
      <c r="G138" s="71" t="n">
        <f aca="false">IFERROR(VLOOKUP(C138,$AS$3:$AX$10,6,FALSE()),IFERROR(VLOOKUP(C138,$AS$15:$AX$22,6,FALSE()),""))</f>
        <v>0.424872083346704</v>
      </c>
      <c r="H138" s="72" t="str">
        <f aca="false">IFERROR(VLOOKUP(C138,$AS$3:$AY$10,7,FALSE()),IFERROR(VLOOKUP(C138,$AS$15:$AY$22,7,FALSE()),""))</f>
        <v>🟡 AMARELO</v>
      </c>
      <c r="I138" s="72" t="str">
        <f aca="false">IFERROR(VLOOKUP(C138,$AS$3:$AZ$10,8,FALSE()),IFERROR(VLOOKUP(C138,$AS$15:$AZ$22,8,FALSE()),""))</f>
        <v>Sell Out</v>
      </c>
      <c r="J138" s="73"/>
      <c r="K138" s="69" t="s">
        <v>118</v>
      </c>
      <c r="L138" s="74" t="n">
        <v>8472.69</v>
      </c>
      <c r="M138" s="75" t="n">
        <v>595.4</v>
      </c>
      <c r="N138" s="75" t="n">
        <v>622.17</v>
      </c>
      <c r="O138" s="75" t="n">
        <v>637.17</v>
      </c>
      <c r="P138" s="75" t="n">
        <v>653.76</v>
      </c>
      <c r="Q138" s="75" t="n">
        <v>675.18</v>
      </c>
      <c r="R138" s="75" t="n">
        <v>692.85</v>
      </c>
      <c r="S138" s="75" t="n">
        <v>719.62</v>
      </c>
      <c r="T138" s="75" t="n">
        <v>737.29</v>
      </c>
      <c r="U138" s="75" t="n">
        <v>753.89</v>
      </c>
      <c r="V138" s="75" t="n">
        <v>772.63</v>
      </c>
      <c r="W138" s="75" t="n">
        <v>792.98</v>
      </c>
      <c r="X138" s="76" t="n">
        <v>819.75</v>
      </c>
      <c r="Y138" s="77" t="s">
        <v>20</v>
      </c>
      <c r="Z138" s="78" t="n">
        <f aca="false">SUM(AA138:AL138)</f>
        <v>3407.3</v>
      </c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107" t="n">
        <v>3407.3</v>
      </c>
      <c r="AM138" s="56" t="s">
        <v>20</v>
      </c>
      <c r="AN138" s="80" t="n">
        <f aca="false">IF(L138=0,0,Z138/L138)</f>
        <v>0.402150910749715</v>
      </c>
      <c r="AO138" s="81" t="str">
        <f aca="false">IF(AN138="","",IF(AN138&gt;=0.9,"🟢",IF(AN138&gt;=0.7,"🟡",IF(AN138&gt;=0.5,"🟠","🔴"))))</f>
        <v>🔴</v>
      </c>
      <c r="AP138" s="82" t="n">
        <f aca="false">IF(L138=0,0,L138-Z138)</f>
        <v>5065.39</v>
      </c>
      <c r="AQ138" s="83" t="n">
        <f aca="false">IF(AP138=0,"",RANK(AP138,AP$4:AP$503,0))</f>
        <v>127</v>
      </c>
      <c r="AR138" s="84" t="s">
        <v>20</v>
      </c>
      <c r="AS138" s="141"/>
      <c r="AT138" s="141"/>
      <c r="AU138" s="141"/>
      <c r="AV138" s="141"/>
      <c r="AW138" s="141"/>
      <c r="AX138" s="141"/>
      <c r="AY138" s="142"/>
      <c r="AZ138" s="142"/>
      <c r="BA138" s="56" t="s">
        <v>20</v>
      </c>
      <c r="BB138" s="91" t="n">
        <f aca="false">SUM(L$4:L$503)/COUNTA(A$4:A$503)</f>
        <v>9494.39992</v>
      </c>
      <c r="BC138" s="92" t="n">
        <f aca="false">SUM(M$4:M$503)/COUNTA(A$4:A$503)</f>
        <v>667.20008</v>
      </c>
      <c r="BD138" s="92" t="n">
        <f aca="false">SUM(N$4:N$503)/COUNTA(A$4:A$503)</f>
        <v>697.19996</v>
      </c>
      <c r="BE138" s="92" t="n">
        <f aca="false">SUM(O$4:O$503)/COUNTA(A$4:A$503)</f>
        <v>713.9999</v>
      </c>
      <c r="BF138" s="92" t="n">
        <f aca="false">SUM(P$4:P$503)/COUNTA(A$4:A$503)</f>
        <v>732.59984</v>
      </c>
      <c r="BG138" s="92" t="n">
        <f aca="false">SUM(Q$4:Q$503)/COUNTA(A$4:A$503)</f>
        <v>756.59992</v>
      </c>
      <c r="BH138" s="92" t="n">
        <f aca="false">SUM(R$4:R$503)/COUNTA(A$4:A$503)</f>
        <v>776.40004</v>
      </c>
      <c r="BI138" s="92" t="n">
        <f aca="false">SUM(S$4:S$503)/COUNTA(A$4:A$503)</f>
        <v>806.40012</v>
      </c>
      <c r="BJ138" s="92" t="n">
        <f aca="false">SUM(T$4:T$503)/COUNTA(A$4:A$503)</f>
        <v>826.1999</v>
      </c>
      <c r="BK138" s="92" t="n">
        <f aca="false">SUM(U$4:U$503)/COUNTA(A$4:A$503)</f>
        <v>844.8002</v>
      </c>
      <c r="BL138" s="92" t="n">
        <f aca="false">SUM(V$4:V$503)/COUNTA(A$4:A$503)</f>
        <v>865.7998</v>
      </c>
      <c r="BM138" s="92" t="n">
        <f aca="false">SUM(W$4:W$503)/COUNTA(A$4:A$503)</f>
        <v>888.59982</v>
      </c>
      <c r="BN138" s="93" t="n">
        <f aca="false">SUM(X$4:X$503)/COUNTA(A$4:A$503)</f>
        <v>918.60034</v>
      </c>
      <c r="BO138" s="94" t="s">
        <v>20</v>
      </c>
      <c r="BP138" s="91" t="n">
        <f aca="false">IF(Z138&gt;=BB138,0,IFERROR(BB138+(SUMPRODUCT((Z$4:Z$503&gt;=BB$4:BB$503)*(Z$4:Z$503-BB$4:BB$503))/MAX(1,COUNTIF(Z$4:Z$503,"&lt;"&amp;BB138+0.01))),BB138))</f>
        <v>10695.5432177778</v>
      </c>
      <c r="BQ138" s="92" t="n">
        <f aca="false">IF(AA138&gt;=BC138,0,IFERROR(BC138+SUMPRODUCT((AA$4:AA$503&gt;=BC$4:BC$503)*(AA$4:AA$503-BC$4:BC$503))/MAX(1,COUNTIF(AA$4:AA$503,"&lt;"&amp;BC138+0.01)),BC138))</f>
        <v>2238.46589176471</v>
      </c>
      <c r="BR138" s="92" t="n">
        <f aca="false">IF(AB138&gt;=BD138,0,IFERROR(BD138+SUMPRODUCT((AB$4:AB$503&gt;=BD$4:BD$503)*(AB$4:AB$503-BD$4:BD$503))/MAX(1,COUNTIF(AB$4:AB$503,"&lt;"&amp;BD138+0.01)),BD138))</f>
        <v>3335.2938</v>
      </c>
      <c r="BS138" s="92" t="n">
        <f aca="false">IF(AC138&gt;=BE138,0,IFERROR(BE138+SUMPRODUCT((AC$4:AC$503&gt;=BE$4:BE$503)*(AC$4:AC$503-BE$4:BE$503))/MAX(1,COUNTIF(AC$4:AC$503,"&lt;"&amp;BE138+0.01)),BE138))</f>
        <v>6188.73352</v>
      </c>
      <c r="BT138" s="92" t="n">
        <f aca="false">IF(AD138&gt;=BF138,0,IFERROR(BF138+SUMPRODUCT((AD$4:AD$503&gt;=BF$4:BF$503)*(AD$4:AD$503-BF$4:BF$503))/MAX(1,COUNTIF(AD$4:AD$503,"&lt;"&amp;BF138+0.01)),BF138))</f>
        <v>11354.35411</v>
      </c>
      <c r="BU138" s="92" t="n">
        <f aca="false">IF(AE138&gt;=BG138,0,IFERROR(BG138+SUMPRODUCT((AE$4:AE$503&gt;=BG$4:BG$503)*(AE$4:AE$503-BG$4:BG$503))/MAX(1,COUNTIF(AE$4:AE$503,"&lt;"&amp;BG138+0.01)),BG138))</f>
        <v>7704.85920380952</v>
      </c>
      <c r="BV138" s="92" t="n">
        <f aca="false">IF(AF138&gt;=BH138,0,IFERROR(BH138+SUMPRODUCT((AF$4:AF$503&gt;=BH$4:BH$503)*(AF$4:AF$503-BH$4:BH$503))/MAX(1,COUNTIF(AF$4:AF$503,"&lt;"&amp;BH138+0.01)),BH138))</f>
        <v>9942.6503831579</v>
      </c>
      <c r="BW138" s="92" t="n">
        <f aca="false">IF(AG138&gt;=BI138,0,IFERROR(BI138+SUMPRODUCT((AG$4:AG$503&gt;=BI$4:BI$503)*(AG$4:AG$503-BI$4:BI$503))/MAX(1,COUNTIF(AG$4:AG$503,"&lt;"&amp;BI138+0.01)),BI138))</f>
        <v>9142.15870461538</v>
      </c>
      <c r="BX138" s="92" t="n">
        <f aca="false">IF(AH138&gt;=BJ138,0,IFERROR(BJ138+SUMPRODUCT((AH$4:AH$503&gt;=BJ$4:BJ$503)*(AH$4:AH$503-BJ$4:BJ$503))/MAX(1,COUNTIF(AH$4:AH$503,"&lt;"&amp;BJ138+0.01)),BJ138))</f>
        <v>5621.50263448276</v>
      </c>
      <c r="BY138" s="92" t="n">
        <f aca="false">IF(AI138&gt;=BK138,0,IFERROR(BK138+SUMPRODUCT((AI$4:AI$503&gt;=BK$4:BK$503)*(AI$4:AI$503-BK$4:BK$503))/MAX(1,COUNTIF(AI$4:AI$503,"&lt;"&amp;BK138+0.01)),BK138))</f>
        <v>7878.25652380952</v>
      </c>
      <c r="BZ138" s="92" t="n">
        <f aca="false">IF(AJ138&gt;=BL138,0,IFERROR(BL138+SUMPRODUCT((AJ$4:AJ$503&gt;=BL$4:BL$503)*(AJ$4:AJ$503-BL$4:BL$503))/MAX(1,COUNTIF(AJ$4:AJ$503,"&lt;"&amp;BL138+0.01)),BL138))</f>
        <v>6710.03292307692</v>
      </c>
      <c r="CA138" s="92" t="n">
        <f aca="false">IF(AK138&gt;=BM138,0,IFERROR(BM138+SUMPRODUCT((AK$4:AK$503&gt;=BM$4:BM$503)*(AK$4:AK$503-BM$4:BM$503))/MAX(1,COUNTIF(AK$4:AK$503,"&lt;"&amp;BM138+0.01)),BM138))</f>
        <v>7314.89836842105</v>
      </c>
      <c r="CB138" s="93" t="n">
        <f aca="false">IF(AL138&gt;=BN138,0,IFERROR(BN138+SUMPRODUCT((AL$4:AL$503&gt;=BN$4:BN$503)*(AL$4:AL$503-BN$4:BN$503))/MAX(1,COUNTIF(AL$4:AL$503,"&lt;"&amp;BN138+0.01)),BN138))</f>
        <v>0</v>
      </c>
      <c r="CC138" s="95" t="str">
        <f aca="false">IF(AO138="🟢","VERDE",IF(AO138="🟡","AMARELO",IF(AO138="🟠","VERMELHO",IF(AO138="🔴","VERMELHO","ROXO"))))</f>
        <v>VERMELHO</v>
      </c>
      <c r="CD138" s="96" t="s">
        <v>103</v>
      </c>
      <c r="CE138" s="96" t="s">
        <v>104</v>
      </c>
    </row>
    <row r="139" customFormat="false" ht="14.25" hidden="false" customHeight="true" outlineLevel="0" collapsed="false">
      <c r="A139" s="65" t="s">
        <v>417</v>
      </c>
      <c r="B139" s="66" t="s">
        <v>238</v>
      </c>
      <c r="C139" s="67" t="s">
        <v>149</v>
      </c>
      <c r="D139" s="68" t="s">
        <v>100</v>
      </c>
      <c r="E139" s="69" t="s">
        <v>119</v>
      </c>
      <c r="F139" s="70" t="n">
        <f aca="false">IFERROR(VLOOKUP(C139,$AS$3:$AT$10,2,FALSE()),IFERROR(VLOOKUP(C139,$AS$15:$AT$22,2,FALSE()),""))</f>
        <v>29</v>
      </c>
      <c r="G139" s="71" t="n">
        <f aca="false">IFERROR(VLOOKUP(C139,$AS$3:$AX$10,6,FALSE()),IFERROR(VLOOKUP(C139,$AS$15:$AX$22,6,FALSE()),""))</f>
        <v>0.425845065256079</v>
      </c>
      <c r="H139" s="72" t="str">
        <f aca="false">IFERROR(VLOOKUP(C139,$AS$3:$AY$10,7,FALSE()),IFERROR(VLOOKUP(C139,$AS$15:$AY$22,7,FALSE()),""))</f>
        <v>🟡 AMARELO</v>
      </c>
      <c r="I139" s="72" t="str">
        <f aca="false">IFERROR(VLOOKUP(C139,$AS$3:$AZ$10,8,FALSE()),IFERROR(VLOOKUP(C139,$AS$15:$AZ$22,8,FALSE()),""))</f>
        <v>Sell Out</v>
      </c>
      <c r="J139" s="73"/>
      <c r="K139" s="69" t="s">
        <v>149</v>
      </c>
      <c r="L139" s="74" t="n">
        <v>8464.68</v>
      </c>
      <c r="M139" s="75" t="n">
        <v>594.84</v>
      </c>
      <c r="N139" s="75" t="n">
        <v>621.58</v>
      </c>
      <c r="O139" s="75" t="n">
        <v>636.56</v>
      </c>
      <c r="P139" s="75" t="n">
        <v>653.15</v>
      </c>
      <c r="Q139" s="75" t="n">
        <v>674.54</v>
      </c>
      <c r="R139" s="75" t="n">
        <v>692.2</v>
      </c>
      <c r="S139" s="75" t="n">
        <v>718.94</v>
      </c>
      <c r="T139" s="75" t="n">
        <v>736.59</v>
      </c>
      <c r="U139" s="75" t="n">
        <v>753.18</v>
      </c>
      <c r="V139" s="75" t="n">
        <v>771.9</v>
      </c>
      <c r="W139" s="75" t="n">
        <v>792.23</v>
      </c>
      <c r="X139" s="76" t="n">
        <v>818.97</v>
      </c>
      <c r="Y139" s="77" t="s">
        <v>20</v>
      </c>
      <c r="Z139" s="78" t="n">
        <f aca="false">SUM(AA139:AL139)</f>
        <v>7036.65</v>
      </c>
      <c r="AA139" s="75"/>
      <c r="AB139" s="75"/>
      <c r="AC139" s="75"/>
      <c r="AD139" s="75"/>
      <c r="AE139" s="75" t="n">
        <v>3316.08</v>
      </c>
      <c r="AF139" s="75"/>
      <c r="AG139" s="79" t="n">
        <v>1502.69</v>
      </c>
      <c r="AH139" s="79" t="n">
        <v>646.88</v>
      </c>
      <c r="AI139" s="75"/>
      <c r="AJ139" s="79" t="n">
        <v>1571</v>
      </c>
      <c r="AK139" s="75"/>
      <c r="AL139" s="76"/>
      <c r="AM139" s="56" t="s">
        <v>20</v>
      </c>
      <c r="AN139" s="80" t="n">
        <f aca="false">IF(L139=0,0,Z139/L139)</f>
        <v>0.831295453578871</v>
      </c>
      <c r="AO139" s="81" t="str">
        <f aca="false">IF(AN139="","",IF(AN139&gt;=0.9,"🟢",IF(AN139&gt;=0.7,"🟡",IF(AN139&gt;=0.5,"🟠","🔴"))))</f>
        <v>🟡</v>
      </c>
      <c r="AP139" s="82" t="n">
        <f aca="false">IF(L139=0,0,L139-Z139)</f>
        <v>1428.03</v>
      </c>
      <c r="AQ139" s="83" t="n">
        <f aca="false">IF(AP139=0,"",RANK(AP139,AP$4:AP$503,0))</f>
        <v>334</v>
      </c>
      <c r="AR139" s="84" t="s">
        <v>20</v>
      </c>
      <c r="AS139" s="141"/>
      <c r="AT139" s="141"/>
      <c r="AU139" s="141"/>
      <c r="AV139" s="141"/>
      <c r="AW139" s="141"/>
      <c r="AX139" s="141"/>
      <c r="AY139" s="142"/>
      <c r="AZ139" s="142"/>
      <c r="BA139" s="56" t="s">
        <v>20</v>
      </c>
      <c r="BB139" s="91" t="n">
        <f aca="false">SUM(L$4:L$503)/COUNTA(A$4:A$503)</f>
        <v>9494.39992</v>
      </c>
      <c r="BC139" s="92" t="n">
        <f aca="false">SUM(M$4:M$503)/COUNTA(A$4:A$503)</f>
        <v>667.20008</v>
      </c>
      <c r="BD139" s="92" t="n">
        <f aca="false">SUM(N$4:N$503)/COUNTA(A$4:A$503)</f>
        <v>697.19996</v>
      </c>
      <c r="BE139" s="92" t="n">
        <f aca="false">SUM(O$4:O$503)/COUNTA(A$4:A$503)</f>
        <v>713.9999</v>
      </c>
      <c r="BF139" s="92" t="n">
        <f aca="false">SUM(P$4:P$503)/COUNTA(A$4:A$503)</f>
        <v>732.59984</v>
      </c>
      <c r="BG139" s="92" t="n">
        <f aca="false">SUM(Q$4:Q$503)/COUNTA(A$4:A$503)</f>
        <v>756.59992</v>
      </c>
      <c r="BH139" s="92" t="n">
        <f aca="false">SUM(R$4:R$503)/COUNTA(A$4:A$503)</f>
        <v>776.40004</v>
      </c>
      <c r="BI139" s="92" t="n">
        <f aca="false">SUM(S$4:S$503)/COUNTA(A$4:A$503)</f>
        <v>806.40012</v>
      </c>
      <c r="BJ139" s="92" t="n">
        <f aca="false">SUM(T$4:T$503)/COUNTA(A$4:A$503)</f>
        <v>826.1999</v>
      </c>
      <c r="BK139" s="92" t="n">
        <f aca="false">SUM(U$4:U$503)/COUNTA(A$4:A$503)</f>
        <v>844.8002</v>
      </c>
      <c r="BL139" s="92" t="n">
        <f aca="false">SUM(V$4:V$503)/COUNTA(A$4:A$503)</f>
        <v>865.7998</v>
      </c>
      <c r="BM139" s="92" t="n">
        <f aca="false">SUM(W$4:W$503)/COUNTA(A$4:A$503)</f>
        <v>888.59982</v>
      </c>
      <c r="BN139" s="93" t="n">
        <f aca="false">SUM(X$4:X$503)/COUNTA(A$4:A$503)</f>
        <v>918.60034</v>
      </c>
      <c r="BO139" s="94" t="s">
        <v>20</v>
      </c>
      <c r="BP139" s="91" t="n">
        <f aca="false">IF(Z139&gt;=BB139,0,IFERROR(BB139+(SUMPRODUCT((Z$4:Z$503&gt;=BB$4:BB$503)*(Z$4:Z$503-BB$4:BB$503))/MAX(1,COUNTIF(Z$4:Z$503,"&lt;"&amp;BB139+0.01))),BB139))</f>
        <v>10695.5432177778</v>
      </c>
      <c r="BQ139" s="92" t="n">
        <f aca="false">IF(AA139&gt;=BC139,0,IFERROR(BC139+SUMPRODUCT((AA$4:AA$503&gt;=BC$4:BC$503)*(AA$4:AA$503-BC$4:BC$503))/MAX(1,COUNTIF(AA$4:AA$503,"&lt;"&amp;BC139+0.01)),BC139))</f>
        <v>2238.46589176471</v>
      </c>
      <c r="BR139" s="92" t="n">
        <f aca="false">IF(AB139&gt;=BD139,0,IFERROR(BD139+SUMPRODUCT((AB$4:AB$503&gt;=BD$4:BD$503)*(AB$4:AB$503-BD$4:BD$503))/MAX(1,COUNTIF(AB$4:AB$503,"&lt;"&amp;BD139+0.01)),BD139))</f>
        <v>3335.2938</v>
      </c>
      <c r="BS139" s="92" t="n">
        <f aca="false">IF(AC139&gt;=BE139,0,IFERROR(BE139+SUMPRODUCT((AC$4:AC$503&gt;=BE$4:BE$503)*(AC$4:AC$503-BE$4:BE$503))/MAX(1,COUNTIF(AC$4:AC$503,"&lt;"&amp;BE139+0.01)),BE139))</f>
        <v>6188.73352</v>
      </c>
      <c r="BT139" s="92" t="n">
        <f aca="false">IF(AD139&gt;=BF139,0,IFERROR(BF139+SUMPRODUCT((AD$4:AD$503&gt;=BF$4:BF$503)*(AD$4:AD$503-BF$4:BF$503))/MAX(1,COUNTIF(AD$4:AD$503,"&lt;"&amp;BF139+0.01)),BF139))</f>
        <v>11354.35411</v>
      </c>
      <c r="BU139" s="92" t="n">
        <f aca="false">IF(AE139&gt;=BG139,0,IFERROR(BG139+SUMPRODUCT((AE$4:AE$503&gt;=BG$4:BG$503)*(AE$4:AE$503-BG$4:BG$503))/MAX(1,COUNTIF(AE$4:AE$503,"&lt;"&amp;BG139+0.01)),BG139))</f>
        <v>0</v>
      </c>
      <c r="BV139" s="92" t="n">
        <f aca="false">IF(AF139&gt;=BH139,0,IFERROR(BH139+SUMPRODUCT((AF$4:AF$503&gt;=BH$4:BH$503)*(AF$4:AF$503-BH$4:BH$503))/MAX(1,COUNTIF(AF$4:AF$503,"&lt;"&amp;BH139+0.01)),BH139))</f>
        <v>9942.6503831579</v>
      </c>
      <c r="BW139" s="92" t="n">
        <f aca="false">IF(AG139&gt;=BI139,0,IFERROR(BI139+SUMPRODUCT((AG$4:AG$503&gt;=BI$4:BI$503)*(AG$4:AG$503-BI$4:BI$503))/MAX(1,COUNTIF(AG$4:AG$503,"&lt;"&amp;BI139+0.01)),BI139))</f>
        <v>0</v>
      </c>
      <c r="BX139" s="92" t="n">
        <f aca="false">IF(AH139&gt;=BJ139,0,IFERROR(BJ139+SUMPRODUCT((AH$4:AH$503&gt;=BJ$4:BJ$503)*(AH$4:AH$503-BJ$4:BJ$503))/MAX(1,COUNTIF(AH$4:AH$503,"&lt;"&amp;BJ139+0.01)),BJ139))</f>
        <v>5621.50263448276</v>
      </c>
      <c r="BY139" s="92" t="n">
        <f aca="false">IF(AI139&gt;=BK139,0,IFERROR(BK139+SUMPRODUCT((AI$4:AI$503&gt;=BK$4:BK$503)*(AI$4:AI$503-BK$4:BK$503))/MAX(1,COUNTIF(AI$4:AI$503,"&lt;"&amp;BK139+0.01)),BK139))</f>
        <v>7878.25652380952</v>
      </c>
      <c r="BZ139" s="92" t="n">
        <f aca="false">IF(AJ139&gt;=BL139,0,IFERROR(BL139+SUMPRODUCT((AJ$4:AJ$503&gt;=BL$4:BL$503)*(AJ$4:AJ$503-BL$4:BL$503))/MAX(1,COUNTIF(AJ$4:AJ$503,"&lt;"&amp;BL139+0.01)),BL139))</f>
        <v>0</v>
      </c>
      <c r="CA139" s="92" t="n">
        <f aca="false">IF(AK139&gt;=BM139,0,IFERROR(BM139+SUMPRODUCT((AK$4:AK$503&gt;=BM$4:BM$503)*(AK$4:AK$503-BM$4:BM$503))/MAX(1,COUNTIF(AK$4:AK$503,"&lt;"&amp;BM139+0.01)),BM139))</f>
        <v>7314.89836842105</v>
      </c>
      <c r="CB139" s="93" t="n">
        <f aca="false">IF(AL139&gt;=BN139,0,IFERROR(BN139+SUMPRODUCT((AL$4:AL$503&gt;=BN$4:BN$503)*(AL$4:AL$503-BN$4:BN$503))/MAX(1,COUNTIF(AL$4:AL$503,"&lt;"&amp;BN139+0.01)),BN139))</f>
        <v>3597.2614925</v>
      </c>
      <c r="CC139" s="95" t="str">
        <f aca="false">IF(AO139="🟢","VERDE",IF(AO139="🟡","AMARELO",IF(AO139="🟠","VERMELHO",IF(AO139="🔴","VERMELHO","ROXO"))))</f>
        <v>AMARELO</v>
      </c>
      <c r="CD139" s="96" t="s">
        <v>103</v>
      </c>
      <c r="CE139" s="96" t="s">
        <v>104</v>
      </c>
    </row>
    <row r="140" customFormat="false" ht="14.25" hidden="false" customHeight="true" outlineLevel="0" collapsed="false">
      <c r="A140" s="65" t="s">
        <v>418</v>
      </c>
      <c r="B140" s="66" t="s">
        <v>419</v>
      </c>
      <c r="C140" s="67" t="s">
        <v>145</v>
      </c>
      <c r="D140" s="68" t="s">
        <v>100</v>
      </c>
      <c r="E140" s="69" t="s">
        <v>420</v>
      </c>
      <c r="F140" s="70" t="n">
        <f aca="false">IFERROR(VLOOKUP(C140,$AS$3:$AT$10,2,FALSE()),IFERROR(VLOOKUP(C140,$AS$15:$AT$22,2,FALSE()),""))</f>
        <v>10</v>
      </c>
      <c r="G140" s="71" t="n">
        <f aca="false">IFERROR(VLOOKUP(C140,$AS$3:$AX$10,6,FALSE()),IFERROR(VLOOKUP(C140,$AS$15:$AX$22,6,FALSE()),""))</f>
        <v>0.45643525037644</v>
      </c>
      <c r="H140" s="72" t="str">
        <f aca="false">IFERROR(VLOOKUP(C140,$AS$3:$AY$10,7,FALSE()),IFERROR(VLOOKUP(C140,$AS$15:$AY$22,7,FALSE()),""))</f>
        <v>🟡 AMARELO</v>
      </c>
      <c r="I140" s="72" t="str">
        <f aca="false">IFERROR(VLOOKUP(C140,$AS$3:$AZ$10,8,FALSE()),IFERROR(VLOOKUP(C140,$AS$15:$AZ$22,8,FALSE()),""))</f>
        <v>Sell Out</v>
      </c>
      <c r="J140" s="73"/>
      <c r="K140" s="69" t="s">
        <v>145</v>
      </c>
      <c r="L140" s="74" t="n">
        <v>8461.94</v>
      </c>
      <c r="M140" s="75" t="n">
        <v>594.65</v>
      </c>
      <c r="N140" s="75" t="n">
        <v>621.38</v>
      </c>
      <c r="O140" s="75" t="n">
        <v>636.36</v>
      </c>
      <c r="P140" s="75" t="n">
        <v>652.93</v>
      </c>
      <c r="Q140" s="75" t="n">
        <v>674.32</v>
      </c>
      <c r="R140" s="75" t="n">
        <v>691.97</v>
      </c>
      <c r="S140" s="75" t="n">
        <v>718.71</v>
      </c>
      <c r="T140" s="75" t="n">
        <v>736.36</v>
      </c>
      <c r="U140" s="75" t="n">
        <v>752.93</v>
      </c>
      <c r="V140" s="75" t="n">
        <v>771.65</v>
      </c>
      <c r="W140" s="75" t="n">
        <v>791.97</v>
      </c>
      <c r="X140" s="76" t="n">
        <v>818.71</v>
      </c>
      <c r="Y140" s="77" t="s">
        <v>20</v>
      </c>
      <c r="Z140" s="78" t="n">
        <f aca="false">SUM(AA140:AL140)</f>
        <v>3469.32</v>
      </c>
      <c r="AA140" s="75"/>
      <c r="AB140" s="75"/>
      <c r="AC140" s="75"/>
      <c r="AD140" s="75"/>
      <c r="AE140" s="75"/>
      <c r="AF140" s="79" t="n">
        <v>3469.32</v>
      </c>
      <c r="AG140" s="75"/>
      <c r="AH140" s="75"/>
      <c r="AI140" s="75"/>
      <c r="AJ140" s="75"/>
      <c r="AK140" s="75"/>
      <c r="AL140" s="76"/>
      <c r="AM140" s="56" t="s">
        <v>20</v>
      </c>
      <c r="AN140" s="80" t="n">
        <f aca="false">IF(L140=0,0,Z140/L140)</f>
        <v>0.409991089513752</v>
      </c>
      <c r="AO140" s="81" t="str">
        <f aca="false">IF(AN140="","",IF(AN140&gt;=0.9,"🟢",IF(AN140&gt;=0.7,"🟡",IF(AN140&gt;=0.5,"🟠","🔴"))))</f>
        <v>🔴</v>
      </c>
      <c r="AP140" s="82" t="n">
        <f aca="false">IF(L140=0,0,L140-Z140)</f>
        <v>4992.62</v>
      </c>
      <c r="AQ140" s="83" t="n">
        <f aca="false">IF(AP140=0,"",RANK(AP140,AP$4:AP$503,0))</f>
        <v>128</v>
      </c>
      <c r="AR140" s="84" t="s">
        <v>20</v>
      </c>
      <c r="AS140" s="141"/>
      <c r="AT140" s="141"/>
      <c r="AU140" s="141"/>
      <c r="AV140" s="141"/>
      <c r="AW140" s="141"/>
      <c r="AX140" s="141"/>
      <c r="AY140" s="142"/>
      <c r="AZ140" s="142"/>
      <c r="BA140" s="56" t="s">
        <v>20</v>
      </c>
      <c r="BB140" s="91" t="n">
        <f aca="false">SUM(L$4:L$503)/COUNTA(A$4:A$503)</f>
        <v>9494.39992</v>
      </c>
      <c r="BC140" s="92" t="n">
        <f aca="false">SUM(M$4:M$503)/COUNTA(A$4:A$503)</f>
        <v>667.20008</v>
      </c>
      <c r="BD140" s="92" t="n">
        <f aca="false">SUM(N$4:N$503)/COUNTA(A$4:A$503)</f>
        <v>697.19996</v>
      </c>
      <c r="BE140" s="92" t="n">
        <f aca="false">SUM(O$4:O$503)/COUNTA(A$4:A$503)</f>
        <v>713.9999</v>
      </c>
      <c r="BF140" s="92" t="n">
        <f aca="false">SUM(P$4:P$503)/COUNTA(A$4:A$503)</f>
        <v>732.59984</v>
      </c>
      <c r="BG140" s="92" t="n">
        <f aca="false">SUM(Q$4:Q$503)/COUNTA(A$4:A$503)</f>
        <v>756.59992</v>
      </c>
      <c r="BH140" s="92" t="n">
        <f aca="false">SUM(R$4:R$503)/COUNTA(A$4:A$503)</f>
        <v>776.40004</v>
      </c>
      <c r="BI140" s="92" t="n">
        <f aca="false">SUM(S$4:S$503)/COUNTA(A$4:A$503)</f>
        <v>806.40012</v>
      </c>
      <c r="BJ140" s="92" t="n">
        <f aca="false">SUM(T$4:T$503)/COUNTA(A$4:A$503)</f>
        <v>826.1999</v>
      </c>
      <c r="BK140" s="92" t="n">
        <f aca="false">SUM(U$4:U$503)/COUNTA(A$4:A$503)</f>
        <v>844.8002</v>
      </c>
      <c r="BL140" s="92" t="n">
        <f aca="false">SUM(V$4:V$503)/COUNTA(A$4:A$503)</f>
        <v>865.7998</v>
      </c>
      <c r="BM140" s="92" t="n">
        <f aca="false">SUM(W$4:W$503)/COUNTA(A$4:A$503)</f>
        <v>888.59982</v>
      </c>
      <c r="BN140" s="93" t="n">
        <f aca="false">SUM(X$4:X$503)/COUNTA(A$4:A$503)</f>
        <v>918.60034</v>
      </c>
      <c r="BO140" s="94" t="s">
        <v>20</v>
      </c>
      <c r="BP140" s="91" t="n">
        <f aca="false">IF(Z140&gt;=BB140,0,IFERROR(BB140+(SUMPRODUCT((Z$4:Z$503&gt;=BB$4:BB$503)*(Z$4:Z$503-BB$4:BB$503))/MAX(1,COUNTIF(Z$4:Z$503,"&lt;"&amp;BB140+0.01))),BB140))</f>
        <v>10695.5432177778</v>
      </c>
      <c r="BQ140" s="92" t="n">
        <f aca="false">IF(AA140&gt;=BC140,0,IFERROR(BC140+SUMPRODUCT((AA$4:AA$503&gt;=BC$4:BC$503)*(AA$4:AA$503-BC$4:BC$503))/MAX(1,COUNTIF(AA$4:AA$503,"&lt;"&amp;BC140+0.01)),BC140))</f>
        <v>2238.46589176471</v>
      </c>
      <c r="BR140" s="92" t="n">
        <f aca="false">IF(AB140&gt;=BD140,0,IFERROR(BD140+SUMPRODUCT((AB$4:AB$503&gt;=BD$4:BD$503)*(AB$4:AB$503-BD$4:BD$503))/MAX(1,COUNTIF(AB$4:AB$503,"&lt;"&amp;BD140+0.01)),BD140))</f>
        <v>3335.2938</v>
      </c>
      <c r="BS140" s="92" t="n">
        <f aca="false">IF(AC140&gt;=BE140,0,IFERROR(BE140+SUMPRODUCT((AC$4:AC$503&gt;=BE$4:BE$503)*(AC$4:AC$503-BE$4:BE$503))/MAX(1,COUNTIF(AC$4:AC$503,"&lt;"&amp;BE140+0.01)),BE140))</f>
        <v>6188.73352</v>
      </c>
      <c r="BT140" s="92" t="n">
        <f aca="false">IF(AD140&gt;=BF140,0,IFERROR(BF140+SUMPRODUCT((AD$4:AD$503&gt;=BF$4:BF$503)*(AD$4:AD$503-BF$4:BF$503))/MAX(1,COUNTIF(AD$4:AD$503,"&lt;"&amp;BF140+0.01)),BF140))</f>
        <v>11354.35411</v>
      </c>
      <c r="BU140" s="92" t="n">
        <f aca="false">IF(AE140&gt;=BG140,0,IFERROR(BG140+SUMPRODUCT((AE$4:AE$503&gt;=BG$4:BG$503)*(AE$4:AE$503-BG$4:BG$503))/MAX(1,COUNTIF(AE$4:AE$503,"&lt;"&amp;BG140+0.01)),BG140))</f>
        <v>7704.85920380952</v>
      </c>
      <c r="BV140" s="92" t="n">
        <f aca="false">IF(AF140&gt;=BH140,0,IFERROR(BH140+SUMPRODUCT((AF$4:AF$503&gt;=BH$4:BH$503)*(AF$4:AF$503-BH$4:BH$503))/MAX(1,COUNTIF(AF$4:AF$503,"&lt;"&amp;BH140+0.01)),BH140))</f>
        <v>0</v>
      </c>
      <c r="BW140" s="92" t="n">
        <f aca="false">IF(AG140&gt;=BI140,0,IFERROR(BI140+SUMPRODUCT((AG$4:AG$503&gt;=BI$4:BI$503)*(AG$4:AG$503-BI$4:BI$503))/MAX(1,COUNTIF(AG$4:AG$503,"&lt;"&amp;BI140+0.01)),BI140))</f>
        <v>9142.15870461538</v>
      </c>
      <c r="BX140" s="92" t="n">
        <f aca="false">IF(AH140&gt;=BJ140,0,IFERROR(BJ140+SUMPRODUCT((AH$4:AH$503&gt;=BJ$4:BJ$503)*(AH$4:AH$503-BJ$4:BJ$503))/MAX(1,COUNTIF(AH$4:AH$503,"&lt;"&amp;BJ140+0.01)),BJ140))</f>
        <v>5621.50263448276</v>
      </c>
      <c r="BY140" s="92" t="n">
        <f aca="false">IF(AI140&gt;=BK140,0,IFERROR(BK140+SUMPRODUCT((AI$4:AI$503&gt;=BK$4:BK$503)*(AI$4:AI$503-BK$4:BK$503))/MAX(1,COUNTIF(AI$4:AI$503,"&lt;"&amp;BK140+0.01)),BK140))</f>
        <v>7878.25652380952</v>
      </c>
      <c r="BZ140" s="92" t="n">
        <f aca="false">IF(AJ140&gt;=BL140,0,IFERROR(BL140+SUMPRODUCT((AJ$4:AJ$503&gt;=BL$4:BL$503)*(AJ$4:AJ$503-BL$4:BL$503))/MAX(1,COUNTIF(AJ$4:AJ$503,"&lt;"&amp;BL140+0.01)),BL140))</f>
        <v>6710.03292307692</v>
      </c>
      <c r="CA140" s="92" t="n">
        <f aca="false">IF(AK140&gt;=BM140,0,IFERROR(BM140+SUMPRODUCT((AK$4:AK$503&gt;=BM$4:BM$503)*(AK$4:AK$503-BM$4:BM$503))/MAX(1,COUNTIF(AK$4:AK$503,"&lt;"&amp;BM140+0.01)),BM140))</f>
        <v>7314.89836842105</v>
      </c>
      <c r="CB140" s="93" t="n">
        <f aca="false">IF(AL140&gt;=BN140,0,IFERROR(BN140+SUMPRODUCT((AL$4:AL$503&gt;=BN$4:BN$503)*(AL$4:AL$503-BN$4:BN$503))/MAX(1,COUNTIF(AL$4:AL$503,"&lt;"&amp;BN140+0.01)),BN140))</f>
        <v>3597.2614925</v>
      </c>
      <c r="CC140" s="95" t="str">
        <f aca="false">IF(AO140="🟢","VERDE",IF(AO140="🟡","AMARELO",IF(AO140="🟠","VERMELHO",IF(AO140="🔴","VERMELHO","ROXO"))))</f>
        <v>VERMELHO</v>
      </c>
      <c r="CD140" s="96" t="s">
        <v>103</v>
      </c>
      <c r="CE140" s="96" t="s">
        <v>104</v>
      </c>
    </row>
    <row r="141" customFormat="false" ht="14.25" hidden="false" customHeight="true" outlineLevel="0" collapsed="false">
      <c r="A141" s="65" t="s">
        <v>421</v>
      </c>
      <c r="B141" s="66" t="s">
        <v>399</v>
      </c>
      <c r="C141" s="67" t="s">
        <v>123</v>
      </c>
      <c r="D141" s="68" t="s">
        <v>108</v>
      </c>
      <c r="E141" s="56" t="s">
        <v>20</v>
      </c>
      <c r="F141" s="70" t="n">
        <f aca="false">IFERROR(VLOOKUP(C141,$AS$3:$AT$10,2,FALSE()),IFERROR(VLOOKUP(C141,$AS$15:$AT$22,2,FALSE()),""))</f>
        <v>49</v>
      </c>
      <c r="G141" s="71" t="n">
        <f aca="false">IFERROR(VLOOKUP(C141,$AS$3:$AX$10,6,FALSE()),IFERROR(VLOOKUP(C141,$AS$15:$AX$22,6,FALSE()),""))</f>
        <v>0.436391353881959</v>
      </c>
      <c r="H141" s="72" t="str">
        <f aca="false">IFERROR(VLOOKUP(C141,$AS$3:$AY$10,7,FALSE()),IFERROR(VLOOKUP(C141,$AS$15:$AY$22,7,FALSE()),""))</f>
        <v>🟡 AMARELO</v>
      </c>
      <c r="I141" s="72" t="str">
        <f aca="false">IFERROR(VLOOKUP(C141,$AS$3:$AZ$10,8,FALSE()),IFERROR(VLOOKUP(C141,$AS$15:$AZ$22,8,FALSE()),""))</f>
        <v>Sell Out</v>
      </c>
      <c r="J141" s="73"/>
      <c r="K141" s="56" t="s">
        <v>20</v>
      </c>
      <c r="L141" s="74" t="n">
        <v>8441.33</v>
      </c>
      <c r="M141" s="75" t="n">
        <v>593.2</v>
      </c>
      <c r="N141" s="75" t="n">
        <v>619.87</v>
      </c>
      <c r="O141" s="75" t="n">
        <v>634.81</v>
      </c>
      <c r="P141" s="75" t="n">
        <v>651.34</v>
      </c>
      <c r="Q141" s="75" t="n">
        <v>672.68</v>
      </c>
      <c r="R141" s="75" t="n">
        <v>690.29</v>
      </c>
      <c r="S141" s="75" t="n">
        <v>716.96</v>
      </c>
      <c r="T141" s="75" t="n">
        <v>734.56</v>
      </c>
      <c r="U141" s="75" t="n">
        <v>751.1</v>
      </c>
      <c r="V141" s="75" t="n">
        <v>769.77</v>
      </c>
      <c r="W141" s="75" t="n">
        <v>790.04</v>
      </c>
      <c r="X141" s="76" t="n">
        <v>816.71</v>
      </c>
      <c r="Y141" s="77" t="s">
        <v>20</v>
      </c>
      <c r="Z141" s="78" t="n">
        <f aca="false">SUM(AA141:AL141)</f>
        <v>3514.69</v>
      </c>
      <c r="AA141" s="75"/>
      <c r="AB141" s="75"/>
      <c r="AC141" s="75"/>
      <c r="AD141" s="75"/>
      <c r="AE141" s="75" t="n">
        <v>3514.69</v>
      </c>
      <c r="AF141" s="75"/>
      <c r="AG141" s="75"/>
      <c r="AH141" s="75"/>
      <c r="AI141" s="75"/>
      <c r="AJ141" s="75"/>
      <c r="AK141" s="75"/>
      <c r="AL141" s="76"/>
      <c r="AM141" s="56" t="s">
        <v>20</v>
      </c>
      <c r="AN141" s="80" t="n">
        <f aca="false">IF(L141=0,0,Z141/L141)</f>
        <v>0.416366852142968</v>
      </c>
      <c r="AO141" s="81" t="str">
        <f aca="false">IF(AN141="","",IF(AN141&gt;=0.9,"🟢",IF(AN141&gt;=0.7,"🟡",IF(AN141&gt;=0.5,"🟠","🔴"))))</f>
        <v>🔴</v>
      </c>
      <c r="AP141" s="82" t="n">
        <f aca="false">IF(L141=0,0,L141-Z141)</f>
        <v>4926.64</v>
      </c>
      <c r="AQ141" s="83" t="n">
        <f aca="false">IF(AP141=0,"",RANK(AP141,AP$4:AP$503,0))</f>
        <v>130</v>
      </c>
      <c r="AR141" s="84" t="s">
        <v>20</v>
      </c>
      <c r="AS141" s="141"/>
      <c r="AT141" s="141"/>
      <c r="AU141" s="141"/>
      <c r="AV141" s="141"/>
      <c r="AW141" s="141"/>
      <c r="AX141" s="141"/>
      <c r="AY141" s="142"/>
      <c r="AZ141" s="142"/>
      <c r="BA141" s="56" t="s">
        <v>20</v>
      </c>
      <c r="BB141" s="91" t="n">
        <f aca="false">SUM(L$4:L$503)/COUNTA(A$4:A$503)</f>
        <v>9494.39992</v>
      </c>
      <c r="BC141" s="92" t="n">
        <f aca="false">SUM(M$4:M$503)/COUNTA(A$4:A$503)</f>
        <v>667.20008</v>
      </c>
      <c r="BD141" s="92" t="n">
        <f aca="false">SUM(N$4:N$503)/COUNTA(A$4:A$503)</f>
        <v>697.19996</v>
      </c>
      <c r="BE141" s="92" t="n">
        <f aca="false">SUM(O$4:O$503)/COUNTA(A$4:A$503)</f>
        <v>713.9999</v>
      </c>
      <c r="BF141" s="92" t="n">
        <f aca="false">SUM(P$4:P$503)/COUNTA(A$4:A$503)</f>
        <v>732.59984</v>
      </c>
      <c r="BG141" s="92" t="n">
        <f aca="false">SUM(Q$4:Q$503)/COUNTA(A$4:A$503)</f>
        <v>756.59992</v>
      </c>
      <c r="BH141" s="92" t="n">
        <f aca="false">SUM(R$4:R$503)/COUNTA(A$4:A$503)</f>
        <v>776.40004</v>
      </c>
      <c r="BI141" s="92" t="n">
        <f aca="false">SUM(S$4:S$503)/COUNTA(A$4:A$503)</f>
        <v>806.40012</v>
      </c>
      <c r="BJ141" s="92" t="n">
        <f aca="false">SUM(T$4:T$503)/COUNTA(A$4:A$503)</f>
        <v>826.1999</v>
      </c>
      <c r="BK141" s="92" t="n">
        <f aca="false">SUM(U$4:U$503)/COUNTA(A$4:A$503)</f>
        <v>844.8002</v>
      </c>
      <c r="BL141" s="92" t="n">
        <f aca="false">SUM(V$4:V$503)/COUNTA(A$4:A$503)</f>
        <v>865.7998</v>
      </c>
      <c r="BM141" s="92" t="n">
        <f aca="false">SUM(W$4:W$503)/COUNTA(A$4:A$503)</f>
        <v>888.59982</v>
      </c>
      <c r="BN141" s="93" t="n">
        <f aca="false">SUM(X$4:X$503)/COUNTA(A$4:A$503)</f>
        <v>918.60034</v>
      </c>
      <c r="BO141" s="94" t="s">
        <v>20</v>
      </c>
      <c r="BP141" s="91" t="n">
        <f aca="false">IF(Z141&gt;=BB141,0,IFERROR(BB141+(SUMPRODUCT((Z$4:Z$503&gt;=BB$4:BB$503)*(Z$4:Z$503-BB$4:BB$503))/MAX(1,COUNTIF(Z$4:Z$503,"&lt;"&amp;BB141+0.01))),BB141))</f>
        <v>10695.5432177778</v>
      </c>
      <c r="BQ141" s="92" t="n">
        <f aca="false">IF(AA141&gt;=BC141,0,IFERROR(BC141+SUMPRODUCT((AA$4:AA$503&gt;=BC$4:BC$503)*(AA$4:AA$503-BC$4:BC$503))/MAX(1,COUNTIF(AA$4:AA$503,"&lt;"&amp;BC141+0.01)),BC141))</f>
        <v>2238.46589176471</v>
      </c>
      <c r="BR141" s="92" t="n">
        <f aca="false">IF(AB141&gt;=BD141,0,IFERROR(BD141+SUMPRODUCT((AB$4:AB$503&gt;=BD$4:BD$503)*(AB$4:AB$503-BD$4:BD$503))/MAX(1,COUNTIF(AB$4:AB$503,"&lt;"&amp;BD141+0.01)),BD141))</f>
        <v>3335.2938</v>
      </c>
      <c r="BS141" s="92" t="n">
        <f aca="false">IF(AC141&gt;=BE141,0,IFERROR(BE141+SUMPRODUCT((AC$4:AC$503&gt;=BE$4:BE$503)*(AC$4:AC$503-BE$4:BE$503))/MAX(1,COUNTIF(AC$4:AC$503,"&lt;"&amp;BE141+0.01)),BE141))</f>
        <v>6188.73352</v>
      </c>
      <c r="BT141" s="92" t="n">
        <f aca="false">IF(AD141&gt;=BF141,0,IFERROR(BF141+SUMPRODUCT((AD$4:AD$503&gt;=BF$4:BF$503)*(AD$4:AD$503-BF$4:BF$503))/MAX(1,COUNTIF(AD$4:AD$503,"&lt;"&amp;BF141+0.01)),BF141))</f>
        <v>11354.35411</v>
      </c>
      <c r="BU141" s="92" t="n">
        <f aca="false">IF(AE141&gt;=BG141,0,IFERROR(BG141+SUMPRODUCT((AE$4:AE$503&gt;=BG$4:BG$503)*(AE$4:AE$503-BG$4:BG$503))/MAX(1,COUNTIF(AE$4:AE$503,"&lt;"&amp;BG141+0.01)),BG141))</f>
        <v>0</v>
      </c>
      <c r="BV141" s="92" t="n">
        <f aca="false">IF(AF141&gt;=BH141,0,IFERROR(BH141+SUMPRODUCT((AF$4:AF$503&gt;=BH$4:BH$503)*(AF$4:AF$503-BH$4:BH$503))/MAX(1,COUNTIF(AF$4:AF$503,"&lt;"&amp;BH141+0.01)),BH141))</f>
        <v>9942.6503831579</v>
      </c>
      <c r="BW141" s="92" t="n">
        <f aca="false">IF(AG141&gt;=BI141,0,IFERROR(BI141+SUMPRODUCT((AG$4:AG$503&gt;=BI$4:BI$503)*(AG$4:AG$503-BI$4:BI$503))/MAX(1,COUNTIF(AG$4:AG$503,"&lt;"&amp;BI141+0.01)),BI141))</f>
        <v>9142.15870461538</v>
      </c>
      <c r="BX141" s="92" t="n">
        <f aca="false">IF(AH141&gt;=BJ141,0,IFERROR(BJ141+SUMPRODUCT((AH$4:AH$503&gt;=BJ$4:BJ$503)*(AH$4:AH$503-BJ$4:BJ$503))/MAX(1,COUNTIF(AH$4:AH$503,"&lt;"&amp;BJ141+0.01)),BJ141))</f>
        <v>5621.50263448276</v>
      </c>
      <c r="BY141" s="92" t="n">
        <f aca="false">IF(AI141&gt;=BK141,0,IFERROR(BK141+SUMPRODUCT((AI$4:AI$503&gt;=BK$4:BK$503)*(AI$4:AI$503-BK$4:BK$503))/MAX(1,COUNTIF(AI$4:AI$503,"&lt;"&amp;BK141+0.01)),BK141))</f>
        <v>7878.25652380952</v>
      </c>
      <c r="BZ141" s="92" t="n">
        <f aca="false">IF(AJ141&gt;=BL141,0,IFERROR(BL141+SUMPRODUCT((AJ$4:AJ$503&gt;=BL$4:BL$503)*(AJ$4:AJ$503-BL$4:BL$503))/MAX(1,COUNTIF(AJ$4:AJ$503,"&lt;"&amp;BL141+0.01)),BL141))</f>
        <v>6710.03292307692</v>
      </c>
      <c r="CA141" s="92" t="n">
        <f aca="false">IF(AK141&gt;=BM141,0,IFERROR(BM141+SUMPRODUCT((AK$4:AK$503&gt;=BM$4:BM$503)*(AK$4:AK$503-BM$4:BM$503))/MAX(1,COUNTIF(AK$4:AK$503,"&lt;"&amp;BM141+0.01)),BM141))</f>
        <v>7314.89836842105</v>
      </c>
      <c r="CB141" s="93" t="n">
        <f aca="false">IF(AL141&gt;=BN141,0,IFERROR(BN141+SUMPRODUCT((AL$4:AL$503&gt;=BN$4:BN$503)*(AL$4:AL$503-BN$4:BN$503))/MAX(1,COUNTIF(AL$4:AL$503,"&lt;"&amp;BN141+0.01)),BN141))</f>
        <v>3597.2614925</v>
      </c>
      <c r="CC141" s="95" t="str">
        <f aca="false">IF(AO141="🟢","VERDE",IF(AO141="🟡","AMARELO",IF(AO141="🟠","VERMELHO",IF(AO141="🔴","VERMELHO","ROXO"))))</f>
        <v>VERMELHO</v>
      </c>
      <c r="CD141" s="96" t="s">
        <v>103</v>
      </c>
      <c r="CE141" s="96" t="s">
        <v>104</v>
      </c>
    </row>
    <row r="142" customFormat="false" ht="14.25" hidden="false" customHeight="true" outlineLevel="0" collapsed="false">
      <c r="A142" s="65" t="s">
        <v>422</v>
      </c>
      <c r="B142" s="66" t="s">
        <v>399</v>
      </c>
      <c r="C142" s="67" t="s">
        <v>123</v>
      </c>
      <c r="D142" s="68" t="s">
        <v>108</v>
      </c>
      <c r="E142" s="56" t="s">
        <v>20</v>
      </c>
      <c r="F142" s="70" t="n">
        <f aca="false">IFERROR(VLOOKUP(C142,$AS$3:$AT$10,2,FALSE()),IFERROR(VLOOKUP(C142,$AS$15:$AT$22,2,FALSE()),""))</f>
        <v>49</v>
      </c>
      <c r="G142" s="71" t="n">
        <f aca="false">IFERROR(VLOOKUP(C142,$AS$3:$AX$10,6,FALSE()),IFERROR(VLOOKUP(C142,$AS$15:$AX$22,6,FALSE()),""))</f>
        <v>0.436391353881959</v>
      </c>
      <c r="H142" s="72" t="str">
        <f aca="false">IFERROR(VLOOKUP(C142,$AS$3:$AY$10,7,FALSE()),IFERROR(VLOOKUP(C142,$AS$15:$AY$22,7,FALSE()),""))</f>
        <v>🟡 AMARELO</v>
      </c>
      <c r="I142" s="72" t="str">
        <f aca="false">IFERROR(VLOOKUP(C142,$AS$3:$AZ$10,8,FALSE()),IFERROR(VLOOKUP(C142,$AS$15:$AZ$22,8,FALSE()),""))</f>
        <v>Sell Out</v>
      </c>
      <c r="J142" s="73"/>
      <c r="K142" s="56" t="s">
        <v>20</v>
      </c>
      <c r="L142" s="74" t="n">
        <v>8441.33</v>
      </c>
      <c r="M142" s="75" t="n">
        <v>593.2</v>
      </c>
      <c r="N142" s="75" t="n">
        <v>619.87</v>
      </c>
      <c r="O142" s="75" t="n">
        <v>634.81</v>
      </c>
      <c r="P142" s="75" t="n">
        <v>651.34</v>
      </c>
      <c r="Q142" s="75" t="n">
        <v>672.68</v>
      </c>
      <c r="R142" s="75" t="n">
        <v>690.29</v>
      </c>
      <c r="S142" s="75" t="n">
        <v>716.96</v>
      </c>
      <c r="T142" s="75" t="n">
        <v>734.56</v>
      </c>
      <c r="U142" s="75" t="n">
        <v>751.1</v>
      </c>
      <c r="V142" s="75" t="n">
        <v>769.77</v>
      </c>
      <c r="W142" s="75" t="n">
        <v>790.04</v>
      </c>
      <c r="X142" s="76" t="n">
        <v>816.71</v>
      </c>
      <c r="Y142" s="77" t="s">
        <v>20</v>
      </c>
      <c r="Z142" s="78" t="n">
        <f aca="false">SUM(AA142:AL142)</f>
        <v>3514.69</v>
      </c>
      <c r="AA142" s="75"/>
      <c r="AB142" s="75"/>
      <c r="AC142" s="75"/>
      <c r="AD142" s="75"/>
      <c r="AE142" s="75" t="n">
        <v>3514.69</v>
      </c>
      <c r="AF142" s="75"/>
      <c r="AG142" s="75"/>
      <c r="AH142" s="75"/>
      <c r="AI142" s="75"/>
      <c r="AJ142" s="75"/>
      <c r="AK142" s="75"/>
      <c r="AL142" s="76"/>
      <c r="AM142" s="56" t="s">
        <v>20</v>
      </c>
      <c r="AN142" s="80" t="n">
        <f aca="false">IF(L142=0,0,Z142/L142)</f>
        <v>0.416366852142968</v>
      </c>
      <c r="AO142" s="81" t="str">
        <f aca="false">IF(AN142="","",IF(AN142&gt;=0.9,"🟢",IF(AN142&gt;=0.7,"🟡",IF(AN142&gt;=0.5,"🟠","🔴"))))</f>
        <v>🔴</v>
      </c>
      <c r="AP142" s="82" t="n">
        <f aca="false">IF(L142=0,0,L142-Z142)</f>
        <v>4926.64</v>
      </c>
      <c r="AQ142" s="83" t="n">
        <f aca="false">IF(AP142=0,"",RANK(AP142,AP$4:AP$503,0))</f>
        <v>130</v>
      </c>
      <c r="AR142" s="84" t="s">
        <v>20</v>
      </c>
      <c r="AS142" s="141"/>
      <c r="AT142" s="141"/>
      <c r="AU142" s="141"/>
      <c r="AV142" s="141"/>
      <c r="AW142" s="141"/>
      <c r="AX142" s="141"/>
      <c r="AY142" s="142"/>
      <c r="AZ142" s="142"/>
      <c r="BA142" s="56" t="s">
        <v>20</v>
      </c>
      <c r="BB142" s="91" t="n">
        <f aca="false">SUM(L$4:L$503)/COUNTA(A$4:A$503)</f>
        <v>9494.39992</v>
      </c>
      <c r="BC142" s="92" t="n">
        <f aca="false">SUM(M$4:M$503)/COUNTA(A$4:A$503)</f>
        <v>667.20008</v>
      </c>
      <c r="BD142" s="92" t="n">
        <f aca="false">SUM(N$4:N$503)/COUNTA(A$4:A$503)</f>
        <v>697.19996</v>
      </c>
      <c r="BE142" s="92" t="n">
        <f aca="false">SUM(O$4:O$503)/COUNTA(A$4:A$503)</f>
        <v>713.9999</v>
      </c>
      <c r="BF142" s="92" t="n">
        <f aca="false">SUM(P$4:P$503)/COUNTA(A$4:A$503)</f>
        <v>732.59984</v>
      </c>
      <c r="BG142" s="92" t="n">
        <f aca="false">SUM(Q$4:Q$503)/COUNTA(A$4:A$503)</f>
        <v>756.59992</v>
      </c>
      <c r="BH142" s="92" t="n">
        <f aca="false">SUM(R$4:R$503)/COUNTA(A$4:A$503)</f>
        <v>776.40004</v>
      </c>
      <c r="BI142" s="92" t="n">
        <f aca="false">SUM(S$4:S$503)/COUNTA(A$4:A$503)</f>
        <v>806.40012</v>
      </c>
      <c r="BJ142" s="92" t="n">
        <f aca="false">SUM(T$4:T$503)/COUNTA(A$4:A$503)</f>
        <v>826.1999</v>
      </c>
      <c r="BK142" s="92" t="n">
        <f aca="false">SUM(U$4:U$503)/COUNTA(A$4:A$503)</f>
        <v>844.8002</v>
      </c>
      <c r="BL142" s="92" t="n">
        <f aca="false">SUM(V$4:V$503)/COUNTA(A$4:A$503)</f>
        <v>865.7998</v>
      </c>
      <c r="BM142" s="92" t="n">
        <f aca="false">SUM(W$4:W$503)/COUNTA(A$4:A$503)</f>
        <v>888.59982</v>
      </c>
      <c r="BN142" s="93" t="n">
        <f aca="false">SUM(X$4:X$503)/COUNTA(A$4:A$503)</f>
        <v>918.60034</v>
      </c>
      <c r="BO142" s="94" t="s">
        <v>20</v>
      </c>
      <c r="BP142" s="91" t="n">
        <f aca="false">IF(Z142&gt;=BB142,0,IFERROR(BB142+(SUMPRODUCT((Z$4:Z$503&gt;=BB$4:BB$503)*(Z$4:Z$503-BB$4:BB$503))/MAX(1,COUNTIF(Z$4:Z$503,"&lt;"&amp;BB142+0.01))),BB142))</f>
        <v>10695.5432177778</v>
      </c>
      <c r="BQ142" s="92" t="n">
        <f aca="false">IF(AA142&gt;=BC142,0,IFERROR(BC142+SUMPRODUCT((AA$4:AA$503&gt;=BC$4:BC$503)*(AA$4:AA$503-BC$4:BC$503))/MAX(1,COUNTIF(AA$4:AA$503,"&lt;"&amp;BC142+0.01)),BC142))</f>
        <v>2238.46589176471</v>
      </c>
      <c r="BR142" s="92" t="n">
        <f aca="false">IF(AB142&gt;=BD142,0,IFERROR(BD142+SUMPRODUCT((AB$4:AB$503&gt;=BD$4:BD$503)*(AB$4:AB$503-BD$4:BD$503))/MAX(1,COUNTIF(AB$4:AB$503,"&lt;"&amp;BD142+0.01)),BD142))</f>
        <v>3335.2938</v>
      </c>
      <c r="BS142" s="92" t="n">
        <f aca="false">IF(AC142&gt;=BE142,0,IFERROR(BE142+SUMPRODUCT((AC$4:AC$503&gt;=BE$4:BE$503)*(AC$4:AC$503-BE$4:BE$503))/MAX(1,COUNTIF(AC$4:AC$503,"&lt;"&amp;BE142+0.01)),BE142))</f>
        <v>6188.73352</v>
      </c>
      <c r="BT142" s="92" t="n">
        <f aca="false">IF(AD142&gt;=BF142,0,IFERROR(BF142+SUMPRODUCT((AD$4:AD$503&gt;=BF$4:BF$503)*(AD$4:AD$503-BF$4:BF$503))/MAX(1,COUNTIF(AD$4:AD$503,"&lt;"&amp;BF142+0.01)),BF142))</f>
        <v>11354.35411</v>
      </c>
      <c r="BU142" s="92" t="n">
        <f aca="false">IF(AE142&gt;=BG142,0,IFERROR(BG142+SUMPRODUCT((AE$4:AE$503&gt;=BG$4:BG$503)*(AE$4:AE$503-BG$4:BG$503))/MAX(1,COUNTIF(AE$4:AE$503,"&lt;"&amp;BG142+0.01)),BG142))</f>
        <v>0</v>
      </c>
      <c r="BV142" s="92" t="n">
        <f aca="false">IF(AF142&gt;=BH142,0,IFERROR(BH142+SUMPRODUCT((AF$4:AF$503&gt;=BH$4:BH$503)*(AF$4:AF$503-BH$4:BH$503))/MAX(1,COUNTIF(AF$4:AF$503,"&lt;"&amp;BH142+0.01)),BH142))</f>
        <v>9942.6503831579</v>
      </c>
      <c r="BW142" s="92" t="n">
        <f aca="false">IF(AG142&gt;=BI142,0,IFERROR(BI142+SUMPRODUCT((AG$4:AG$503&gt;=BI$4:BI$503)*(AG$4:AG$503-BI$4:BI$503))/MAX(1,COUNTIF(AG$4:AG$503,"&lt;"&amp;BI142+0.01)),BI142))</f>
        <v>9142.15870461538</v>
      </c>
      <c r="BX142" s="92" t="n">
        <f aca="false">IF(AH142&gt;=BJ142,0,IFERROR(BJ142+SUMPRODUCT((AH$4:AH$503&gt;=BJ$4:BJ$503)*(AH$4:AH$503-BJ$4:BJ$503))/MAX(1,COUNTIF(AH$4:AH$503,"&lt;"&amp;BJ142+0.01)),BJ142))</f>
        <v>5621.50263448276</v>
      </c>
      <c r="BY142" s="92" t="n">
        <f aca="false">IF(AI142&gt;=BK142,0,IFERROR(BK142+SUMPRODUCT((AI$4:AI$503&gt;=BK$4:BK$503)*(AI$4:AI$503-BK$4:BK$503))/MAX(1,COUNTIF(AI$4:AI$503,"&lt;"&amp;BK142+0.01)),BK142))</f>
        <v>7878.25652380952</v>
      </c>
      <c r="BZ142" s="92" t="n">
        <f aca="false">IF(AJ142&gt;=BL142,0,IFERROR(BL142+SUMPRODUCT((AJ$4:AJ$503&gt;=BL$4:BL$503)*(AJ$4:AJ$503-BL$4:BL$503))/MAX(1,COUNTIF(AJ$4:AJ$503,"&lt;"&amp;BL142+0.01)),BL142))</f>
        <v>6710.03292307692</v>
      </c>
      <c r="CA142" s="92" t="n">
        <f aca="false">IF(AK142&gt;=BM142,0,IFERROR(BM142+SUMPRODUCT((AK$4:AK$503&gt;=BM$4:BM$503)*(AK$4:AK$503-BM$4:BM$503))/MAX(1,COUNTIF(AK$4:AK$503,"&lt;"&amp;BM142+0.01)),BM142))</f>
        <v>7314.89836842105</v>
      </c>
      <c r="CB142" s="93" t="n">
        <f aca="false">IF(AL142&gt;=BN142,0,IFERROR(BN142+SUMPRODUCT((AL$4:AL$503&gt;=BN$4:BN$503)*(AL$4:AL$503-BN$4:BN$503))/MAX(1,COUNTIF(AL$4:AL$503,"&lt;"&amp;BN142+0.01)),BN142))</f>
        <v>3597.2614925</v>
      </c>
      <c r="CC142" s="95" t="str">
        <f aca="false">IF(AO142="🟢","VERDE",IF(AO142="🟡","AMARELO",IF(AO142="🟠","VERMELHO",IF(AO142="🔴","VERMELHO","ROXO"))))</f>
        <v>VERMELHO</v>
      </c>
      <c r="CD142" s="96" t="s">
        <v>103</v>
      </c>
      <c r="CE142" s="96" t="s">
        <v>104</v>
      </c>
    </row>
    <row r="143" customFormat="false" ht="14.25" hidden="false" customHeight="true" outlineLevel="0" collapsed="false">
      <c r="A143" s="65" t="s">
        <v>423</v>
      </c>
      <c r="B143" s="66" t="s">
        <v>399</v>
      </c>
      <c r="C143" s="67" t="s">
        <v>123</v>
      </c>
      <c r="D143" s="68" t="s">
        <v>108</v>
      </c>
      <c r="E143" s="56" t="s">
        <v>20</v>
      </c>
      <c r="F143" s="70" t="n">
        <f aca="false">IFERROR(VLOOKUP(C143,$AS$3:$AT$10,2,FALSE()),IFERROR(VLOOKUP(C143,$AS$15:$AT$22,2,FALSE()),""))</f>
        <v>49</v>
      </c>
      <c r="G143" s="71" t="n">
        <f aca="false">IFERROR(VLOOKUP(C143,$AS$3:$AX$10,6,FALSE()),IFERROR(VLOOKUP(C143,$AS$15:$AX$22,6,FALSE()),""))</f>
        <v>0.436391353881959</v>
      </c>
      <c r="H143" s="72" t="str">
        <f aca="false">IFERROR(VLOOKUP(C143,$AS$3:$AY$10,7,FALSE()),IFERROR(VLOOKUP(C143,$AS$15:$AY$22,7,FALSE()),""))</f>
        <v>🟡 AMARELO</v>
      </c>
      <c r="I143" s="72" t="str">
        <f aca="false">IFERROR(VLOOKUP(C143,$AS$3:$AZ$10,8,FALSE()),IFERROR(VLOOKUP(C143,$AS$15:$AZ$22,8,FALSE()),""))</f>
        <v>Sell Out</v>
      </c>
      <c r="J143" s="73"/>
      <c r="K143" s="56" t="s">
        <v>20</v>
      </c>
      <c r="L143" s="74" t="n">
        <v>8435.42</v>
      </c>
      <c r="M143" s="75" t="n">
        <v>592.78</v>
      </c>
      <c r="N143" s="75" t="n">
        <v>619.44</v>
      </c>
      <c r="O143" s="75" t="n">
        <v>634.36</v>
      </c>
      <c r="P143" s="75" t="n">
        <v>650.89</v>
      </c>
      <c r="Q143" s="75" t="n">
        <v>672.21</v>
      </c>
      <c r="R143" s="75" t="n">
        <v>689.8</v>
      </c>
      <c r="S143" s="75" t="n">
        <v>716.46</v>
      </c>
      <c r="T143" s="75" t="n">
        <v>734.05</v>
      </c>
      <c r="U143" s="75" t="n">
        <v>750.57</v>
      </c>
      <c r="V143" s="75" t="n">
        <v>769.23</v>
      </c>
      <c r="W143" s="75" t="n">
        <v>789.49</v>
      </c>
      <c r="X143" s="76" t="n">
        <v>816.14</v>
      </c>
      <c r="Y143" s="77" t="s">
        <v>20</v>
      </c>
      <c r="Z143" s="78" t="n">
        <f aca="false">SUM(AA143:AL143)</f>
        <v>3512.32</v>
      </c>
      <c r="AA143" s="75"/>
      <c r="AB143" s="75"/>
      <c r="AC143" s="75"/>
      <c r="AD143" s="75"/>
      <c r="AE143" s="75" t="n">
        <v>3512.32</v>
      </c>
      <c r="AF143" s="75"/>
      <c r="AG143" s="75"/>
      <c r="AH143" s="75"/>
      <c r="AI143" s="75"/>
      <c r="AJ143" s="75"/>
      <c r="AK143" s="75"/>
      <c r="AL143" s="76"/>
      <c r="AM143" s="56" t="s">
        <v>20</v>
      </c>
      <c r="AN143" s="80" t="n">
        <f aca="false">IF(L143=0,0,Z143/L143)</f>
        <v>0.416377607753971</v>
      </c>
      <c r="AO143" s="81" t="str">
        <f aca="false">IF(AN143="","",IF(AN143&gt;=0.9,"🟢",IF(AN143&gt;=0.7,"🟡",IF(AN143&gt;=0.5,"🟠","🔴"))))</f>
        <v>🔴</v>
      </c>
      <c r="AP143" s="82" t="n">
        <f aca="false">IF(L143=0,0,L143-Z143)</f>
        <v>4923.1</v>
      </c>
      <c r="AQ143" s="83" t="n">
        <f aca="false">IF(AP143=0,"",RANK(AP143,AP$4:AP$503,0))</f>
        <v>132</v>
      </c>
      <c r="AR143" s="84" t="s">
        <v>20</v>
      </c>
      <c r="AS143" s="141"/>
      <c r="AT143" s="141"/>
      <c r="AU143" s="141"/>
      <c r="AV143" s="141"/>
      <c r="AW143" s="141"/>
      <c r="AX143" s="141"/>
      <c r="AY143" s="142"/>
      <c r="AZ143" s="142"/>
      <c r="BA143" s="56" t="s">
        <v>20</v>
      </c>
      <c r="BB143" s="91" t="n">
        <f aca="false">SUM(L$4:L$503)/COUNTA(A$4:A$503)</f>
        <v>9494.39992</v>
      </c>
      <c r="BC143" s="92" t="n">
        <f aca="false">SUM(M$4:M$503)/COUNTA(A$4:A$503)</f>
        <v>667.20008</v>
      </c>
      <c r="BD143" s="92" t="n">
        <f aca="false">SUM(N$4:N$503)/COUNTA(A$4:A$503)</f>
        <v>697.19996</v>
      </c>
      <c r="BE143" s="92" t="n">
        <f aca="false">SUM(O$4:O$503)/COUNTA(A$4:A$503)</f>
        <v>713.9999</v>
      </c>
      <c r="BF143" s="92" t="n">
        <f aca="false">SUM(P$4:P$503)/COUNTA(A$4:A$503)</f>
        <v>732.59984</v>
      </c>
      <c r="BG143" s="92" t="n">
        <f aca="false">SUM(Q$4:Q$503)/COUNTA(A$4:A$503)</f>
        <v>756.59992</v>
      </c>
      <c r="BH143" s="92" t="n">
        <f aca="false">SUM(R$4:R$503)/COUNTA(A$4:A$503)</f>
        <v>776.40004</v>
      </c>
      <c r="BI143" s="92" t="n">
        <f aca="false">SUM(S$4:S$503)/COUNTA(A$4:A$503)</f>
        <v>806.40012</v>
      </c>
      <c r="BJ143" s="92" t="n">
        <f aca="false">SUM(T$4:T$503)/COUNTA(A$4:A$503)</f>
        <v>826.1999</v>
      </c>
      <c r="BK143" s="92" t="n">
        <f aca="false">SUM(U$4:U$503)/COUNTA(A$4:A$503)</f>
        <v>844.8002</v>
      </c>
      <c r="BL143" s="92" t="n">
        <f aca="false">SUM(V$4:V$503)/COUNTA(A$4:A$503)</f>
        <v>865.7998</v>
      </c>
      <c r="BM143" s="92" t="n">
        <f aca="false">SUM(W$4:W$503)/COUNTA(A$4:A$503)</f>
        <v>888.59982</v>
      </c>
      <c r="BN143" s="93" t="n">
        <f aca="false">SUM(X$4:X$503)/COUNTA(A$4:A$503)</f>
        <v>918.60034</v>
      </c>
      <c r="BO143" s="94" t="s">
        <v>20</v>
      </c>
      <c r="BP143" s="91" t="n">
        <f aca="false">IF(Z143&gt;=BB143,0,IFERROR(BB143+(SUMPRODUCT((Z$4:Z$503&gt;=BB$4:BB$503)*(Z$4:Z$503-BB$4:BB$503))/MAX(1,COUNTIF(Z$4:Z$503,"&lt;"&amp;BB143+0.01))),BB143))</f>
        <v>10695.5432177778</v>
      </c>
      <c r="BQ143" s="92" t="n">
        <f aca="false">IF(AA143&gt;=BC143,0,IFERROR(BC143+SUMPRODUCT((AA$4:AA$503&gt;=BC$4:BC$503)*(AA$4:AA$503-BC$4:BC$503))/MAX(1,COUNTIF(AA$4:AA$503,"&lt;"&amp;BC143+0.01)),BC143))</f>
        <v>2238.46589176471</v>
      </c>
      <c r="BR143" s="92" t="n">
        <f aca="false">IF(AB143&gt;=BD143,0,IFERROR(BD143+SUMPRODUCT((AB$4:AB$503&gt;=BD$4:BD$503)*(AB$4:AB$503-BD$4:BD$503))/MAX(1,COUNTIF(AB$4:AB$503,"&lt;"&amp;BD143+0.01)),BD143))</f>
        <v>3335.2938</v>
      </c>
      <c r="BS143" s="92" t="n">
        <f aca="false">IF(AC143&gt;=BE143,0,IFERROR(BE143+SUMPRODUCT((AC$4:AC$503&gt;=BE$4:BE$503)*(AC$4:AC$503-BE$4:BE$503))/MAX(1,COUNTIF(AC$4:AC$503,"&lt;"&amp;BE143+0.01)),BE143))</f>
        <v>6188.73352</v>
      </c>
      <c r="BT143" s="92" t="n">
        <f aca="false">IF(AD143&gt;=BF143,0,IFERROR(BF143+SUMPRODUCT((AD$4:AD$503&gt;=BF$4:BF$503)*(AD$4:AD$503-BF$4:BF$503))/MAX(1,COUNTIF(AD$4:AD$503,"&lt;"&amp;BF143+0.01)),BF143))</f>
        <v>11354.35411</v>
      </c>
      <c r="BU143" s="92" t="n">
        <f aca="false">IF(AE143&gt;=BG143,0,IFERROR(BG143+SUMPRODUCT((AE$4:AE$503&gt;=BG$4:BG$503)*(AE$4:AE$503-BG$4:BG$503))/MAX(1,COUNTIF(AE$4:AE$503,"&lt;"&amp;BG143+0.01)),BG143))</f>
        <v>0</v>
      </c>
      <c r="BV143" s="92" t="n">
        <f aca="false">IF(AF143&gt;=BH143,0,IFERROR(BH143+SUMPRODUCT((AF$4:AF$503&gt;=BH$4:BH$503)*(AF$4:AF$503-BH$4:BH$503))/MAX(1,COUNTIF(AF$4:AF$503,"&lt;"&amp;BH143+0.01)),BH143))</f>
        <v>9942.6503831579</v>
      </c>
      <c r="BW143" s="92" t="n">
        <f aca="false">IF(AG143&gt;=BI143,0,IFERROR(BI143+SUMPRODUCT((AG$4:AG$503&gt;=BI$4:BI$503)*(AG$4:AG$503-BI$4:BI$503))/MAX(1,COUNTIF(AG$4:AG$503,"&lt;"&amp;BI143+0.01)),BI143))</f>
        <v>9142.15870461538</v>
      </c>
      <c r="BX143" s="92" t="n">
        <f aca="false">IF(AH143&gt;=BJ143,0,IFERROR(BJ143+SUMPRODUCT((AH$4:AH$503&gt;=BJ$4:BJ$503)*(AH$4:AH$503-BJ$4:BJ$503))/MAX(1,COUNTIF(AH$4:AH$503,"&lt;"&amp;BJ143+0.01)),BJ143))</f>
        <v>5621.50263448276</v>
      </c>
      <c r="BY143" s="92" t="n">
        <f aca="false">IF(AI143&gt;=BK143,0,IFERROR(BK143+SUMPRODUCT((AI$4:AI$503&gt;=BK$4:BK$503)*(AI$4:AI$503-BK$4:BK$503))/MAX(1,COUNTIF(AI$4:AI$503,"&lt;"&amp;BK143+0.01)),BK143))</f>
        <v>7878.25652380952</v>
      </c>
      <c r="BZ143" s="92" t="n">
        <f aca="false">IF(AJ143&gt;=BL143,0,IFERROR(BL143+SUMPRODUCT((AJ$4:AJ$503&gt;=BL$4:BL$503)*(AJ$4:AJ$503-BL$4:BL$503))/MAX(1,COUNTIF(AJ$4:AJ$503,"&lt;"&amp;BL143+0.01)),BL143))</f>
        <v>6710.03292307692</v>
      </c>
      <c r="CA143" s="92" t="n">
        <f aca="false">IF(AK143&gt;=BM143,0,IFERROR(BM143+SUMPRODUCT((AK$4:AK$503&gt;=BM$4:BM$503)*(AK$4:AK$503-BM$4:BM$503))/MAX(1,COUNTIF(AK$4:AK$503,"&lt;"&amp;BM143+0.01)),BM143))</f>
        <v>7314.89836842105</v>
      </c>
      <c r="CB143" s="93" t="n">
        <f aca="false">IF(AL143&gt;=BN143,0,IFERROR(BN143+SUMPRODUCT((AL$4:AL$503&gt;=BN$4:BN$503)*(AL$4:AL$503-BN$4:BN$503))/MAX(1,COUNTIF(AL$4:AL$503,"&lt;"&amp;BN143+0.01)),BN143))</f>
        <v>3597.2614925</v>
      </c>
      <c r="CC143" s="95" t="str">
        <f aca="false">IF(AO143="🟢","VERDE",IF(AO143="🟡","AMARELO",IF(AO143="🟠","VERMELHO",IF(AO143="🔴","VERMELHO","ROXO"))))</f>
        <v>VERMELHO</v>
      </c>
      <c r="CD143" s="96" t="s">
        <v>103</v>
      </c>
      <c r="CE143" s="96" t="s">
        <v>104</v>
      </c>
    </row>
    <row r="144" customFormat="false" ht="14.25" hidden="false" customHeight="true" outlineLevel="0" collapsed="false">
      <c r="A144" s="65" t="s">
        <v>424</v>
      </c>
      <c r="B144" s="66" t="s">
        <v>425</v>
      </c>
      <c r="C144" s="67" t="s">
        <v>107</v>
      </c>
      <c r="D144" s="68" t="s">
        <v>108</v>
      </c>
      <c r="E144" s="69" t="s">
        <v>109</v>
      </c>
      <c r="F144" s="70" t="n">
        <f aca="false">IFERROR(VLOOKUP(C144,$AS$3:$AT$10,2,FALSE()),IFERROR(VLOOKUP(C144,$AS$15:$AT$22,2,FALSE()),""))</f>
        <v>132</v>
      </c>
      <c r="G144" s="71" t="n">
        <f aca="false">IFERROR(VLOOKUP(C144,$AS$3:$AX$10,6,FALSE()),IFERROR(VLOOKUP(C144,$AS$15:$AX$22,6,FALSE()),""))</f>
        <v>0.468190175850689</v>
      </c>
      <c r="H144" s="72" t="str">
        <f aca="false">IFERROR(VLOOKUP(C144,$AS$3:$AY$10,7,FALSE()),IFERROR(VLOOKUP(C144,$AS$15:$AY$22,7,FALSE()),""))</f>
        <v>🟡 AMARELO</v>
      </c>
      <c r="I144" s="72" t="str">
        <f aca="false">IFERROR(VLOOKUP(C144,$AS$3:$AZ$10,8,FALSE()),IFERROR(VLOOKUP(C144,$AS$15:$AZ$22,8,FALSE()),""))</f>
        <v>Sell Out</v>
      </c>
      <c r="J144" s="73"/>
      <c r="K144" s="69" t="s">
        <v>107</v>
      </c>
      <c r="L144" s="74" t="n">
        <v>8288.56</v>
      </c>
      <c r="M144" s="75" t="n">
        <v>582.46</v>
      </c>
      <c r="N144" s="75" t="n">
        <v>608.65</v>
      </c>
      <c r="O144" s="75" t="n">
        <v>623.32</v>
      </c>
      <c r="P144" s="75" t="n">
        <v>639.56</v>
      </c>
      <c r="Q144" s="75" t="n">
        <v>660.51</v>
      </c>
      <c r="R144" s="75" t="n">
        <v>677.79</v>
      </c>
      <c r="S144" s="75" t="n">
        <v>703.98</v>
      </c>
      <c r="T144" s="75" t="n">
        <v>721.27</v>
      </c>
      <c r="U144" s="75" t="n">
        <v>737.51</v>
      </c>
      <c r="V144" s="75" t="n">
        <v>755.84</v>
      </c>
      <c r="W144" s="75" t="n">
        <v>775.74</v>
      </c>
      <c r="X144" s="76" t="n">
        <v>801.93</v>
      </c>
      <c r="Y144" s="77" t="s">
        <v>20</v>
      </c>
      <c r="Z144" s="78" t="n">
        <f aca="false">SUM(AA144:AL144)</f>
        <v>3546.06</v>
      </c>
      <c r="AA144" s="75"/>
      <c r="AB144" s="75"/>
      <c r="AC144" s="75"/>
      <c r="AD144" s="75"/>
      <c r="AE144" s="79" t="n">
        <v>1145.41</v>
      </c>
      <c r="AF144" s="79" t="n">
        <v>847.93</v>
      </c>
      <c r="AG144" s="75"/>
      <c r="AH144" s="79" t="n">
        <v>767.84</v>
      </c>
      <c r="AI144" s="75"/>
      <c r="AJ144" s="79" t="n">
        <v>784.88</v>
      </c>
      <c r="AK144" s="75"/>
      <c r="AL144" s="76"/>
      <c r="AM144" s="56" t="s">
        <v>20</v>
      </c>
      <c r="AN144" s="80" t="n">
        <f aca="false">IF(L144=0,0,Z144/L144)</f>
        <v>0.427825822579556</v>
      </c>
      <c r="AO144" s="81" t="str">
        <f aca="false">IF(AN144="","",IF(AN144&gt;=0.9,"🟢",IF(AN144&gt;=0.7,"🟡",IF(AN144&gt;=0.5,"🟠","🔴"))))</f>
        <v>🔴</v>
      </c>
      <c r="AP144" s="82" t="n">
        <f aca="false">IF(L144=0,0,L144-Z144)</f>
        <v>4742.5</v>
      </c>
      <c r="AQ144" s="83" t="n">
        <f aca="false">IF(AP144=0,"",RANK(AP144,AP$4:AP$503,0))</f>
        <v>143</v>
      </c>
      <c r="AR144" s="84" t="s">
        <v>20</v>
      </c>
      <c r="AS144" s="141"/>
      <c r="AT144" s="141"/>
      <c r="AU144" s="141"/>
      <c r="AV144" s="141"/>
      <c r="AW144" s="141"/>
      <c r="AX144" s="141"/>
      <c r="AY144" s="142"/>
      <c r="AZ144" s="142"/>
      <c r="BA144" s="56" t="s">
        <v>20</v>
      </c>
      <c r="BB144" s="91" t="n">
        <f aca="false">SUM(L$4:L$503)/COUNTA(A$4:A$503)</f>
        <v>9494.39992</v>
      </c>
      <c r="BC144" s="92" t="n">
        <f aca="false">SUM(M$4:M$503)/COUNTA(A$4:A$503)</f>
        <v>667.20008</v>
      </c>
      <c r="BD144" s="92" t="n">
        <f aca="false">SUM(N$4:N$503)/COUNTA(A$4:A$503)</f>
        <v>697.19996</v>
      </c>
      <c r="BE144" s="92" t="n">
        <f aca="false">SUM(O$4:O$503)/COUNTA(A$4:A$503)</f>
        <v>713.9999</v>
      </c>
      <c r="BF144" s="92" t="n">
        <f aca="false">SUM(P$4:P$503)/COUNTA(A$4:A$503)</f>
        <v>732.59984</v>
      </c>
      <c r="BG144" s="92" t="n">
        <f aca="false">SUM(Q$4:Q$503)/COUNTA(A$4:A$503)</f>
        <v>756.59992</v>
      </c>
      <c r="BH144" s="92" t="n">
        <f aca="false">SUM(R$4:R$503)/COUNTA(A$4:A$503)</f>
        <v>776.40004</v>
      </c>
      <c r="BI144" s="92" t="n">
        <f aca="false">SUM(S$4:S$503)/COUNTA(A$4:A$503)</f>
        <v>806.40012</v>
      </c>
      <c r="BJ144" s="92" t="n">
        <f aca="false">SUM(T$4:T$503)/COUNTA(A$4:A$503)</f>
        <v>826.1999</v>
      </c>
      <c r="BK144" s="92" t="n">
        <f aca="false">SUM(U$4:U$503)/COUNTA(A$4:A$503)</f>
        <v>844.8002</v>
      </c>
      <c r="BL144" s="92" t="n">
        <f aca="false">SUM(V$4:V$503)/COUNTA(A$4:A$503)</f>
        <v>865.7998</v>
      </c>
      <c r="BM144" s="92" t="n">
        <f aca="false">SUM(W$4:W$503)/COUNTA(A$4:A$503)</f>
        <v>888.59982</v>
      </c>
      <c r="BN144" s="93" t="n">
        <f aca="false">SUM(X$4:X$503)/COUNTA(A$4:A$503)</f>
        <v>918.60034</v>
      </c>
      <c r="BO144" s="94" t="s">
        <v>20</v>
      </c>
      <c r="BP144" s="91" t="n">
        <f aca="false">IF(Z144&gt;=BB144,0,IFERROR(BB144+(SUMPRODUCT((Z$4:Z$503&gt;=BB$4:BB$503)*(Z$4:Z$503-BB$4:BB$503))/MAX(1,COUNTIF(Z$4:Z$503,"&lt;"&amp;BB144+0.01))),BB144))</f>
        <v>10695.5432177778</v>
      </c>
      <c r="BQ144" s="92" t="n">
        <f aca="false">IF(AA144&gt;=BC144,0,IFERROR(BC144+SUMPRODUCT((AA$4:AA$503&gt;=BC$4:BC$503)*(AA$4:AA$503-BC$4:BC$503))/MAX(1,COUNTIF(AA$4:AA$503,"&lt;"&amp;BC144+0.01)),BC144))</f>
        <v>2238.46589176471</v>
      </c>
      <c r="BR144" s="92" t="n">
        <f aca="false">IF(AB144&gt;=BD144,0,IFERROR(BD144+SUMPRODUCT((AB$4:AB$503&gt;=BD$4:BD$503)*(AB$4:AB$503-BD$4:BD$503))/MAX(1,COUNTIF(AB$4:AB$503,"&lt;"&amp;BD144+0.01)),BD144))</f>
        <v>3335.2938</v>
      </c>
      <c r="BS144" s="92" t="n">
        <f aca="false">IF(AC144&gt;=BE144,0,IFERROR(BE144+SUMPRODUCT((AC$4:AC$503&gt;=BE$4:BE$503)*(AC$4:AC$503-BE$4:BE$503))/MAX(1,COUNTIF(AC$4:AC$503,"&lt;"&amp;BE144+0.01)),BE144))</f>
        <v>6188.73352</v>
      </c>
      <c r="BT144" s="92" t="n">
        <f aca="false">IF(AD144&gt;=BF144,0,IFERROR(BF144+SUMPRODUCT((AD$4:AD$503&gt;=BF$4:BF$503)*(AD$4:AD$503-BF$4:BF$503))/MAX(1,COUNTIF(AD$4:AD$503,"&lt;"&amp;BF144+0.01)),BF144))</f>
        <v>11354.35411</v>
      </c>
      <c r="BU144" s="92" t="n">
        <f aca="false">IF(AE144&gt;=BG144,0,IFERROR(BG144+SUMPRODUCT((AE$4:AE$503&gt;=BG$4:BG$503)*(AE$4:AE$503-BG$4:BG$503))/MAX(1,COUNTIF(AE$4:AE$503,"&lt;"&amp;BG144+0.01)),BG144))</f>
        <v>0</v>
      </c>
      <c r="BV144" s="92" t="n">
        <f aca="false">IF(AF144&gt;=BH144,0,IFERROR(BH144+SUMPRODUCT((AF$4:AF$503&gt;=BH$4:BH$503)*(AF$4:AF$503-BH$4:BH$503))/MAX(1,COUNTIF(AF$4:AF$503,"&lt;"&amp;BH144+0.01)),BH144))</f>
        <v>0</v>
      </c>
      <c r="BW144" s="92" t="n">
        <f aca="false">IF(AG144&gt;=BI144,0,IFERROR(BI144+SUMPRODUCT((AG$4:AG$503&gt;=BI$4:BI$503)*(AG$4:AG$503-BI$4:BI$503))/MAX(1,COUNTIF(AG$4:AG$503,"&lt;"&amp;BI144+0.01)),BI144))</f>
        <v>9142.15870461538</v>
      </c>
      <c r="BX144" s="92" t="n">
        <f aca="false">IF(AH144&gt;=BJ144,0,IFERROR(BJ144+SUMPRODUCT((AH$4:AH$503&gt;=BJ$4:BJ$503)*(AH$4:AH$503-BJ$4:BJ$503))/MAX(1,COUNTIF(AH$4:AH$503,"&lt;"&amp;BJ144+0.01)),BJ144))</f>
        <v>5621.50263448276</v>
      </c>
      <c r="BY144" s="92" t="n">
        <f aca="false">IF(AI144&gt;=BK144,0,IFERROR(BK144+SUMPRODUCT((AI$4:AI$503&gt;=BK$4:BK$503)*(AI$4:AI$503-BK$4:BK$503))/MAX(1,COUNTIF(AI$4:AI$503,"&lt;"&amp;BK144+0.01)),BK144))</f>
        <v>7878.25652380952</v>
      </c>
      <c r="BZ144" s="92" t="n">
        <f aca="false">IF(AJ144&gt;=BL144,0,IFERROR(BL144+SUMPRODUCT((AJ$4:AJ$503&gt;=BL$4:BL$503)*(AJ$4:AJ$503-BL$4:BL$503))/MAX(1,COUNTIF(AJ$4:AJ$503,"&lt;"&amp;BL144+0.01)),BL144))</f>
        <v>6710.03292307692</v>
      </c>
      <c r="CA144" s="92" t="n">
        <f aca="false">IF(AK144&gt;=BM144,0,IFERROR(BM144+SUMPRODUCT((AK$4:AK$503&gt;=BM$4:BM$503)*(AK$4:AK$503-BM$4:BM$503))/MAX(1,COUNTIF(AK$4:AK$503,"&lt;"&amp;BM144+0.01)),BM144))</f>
        <v>7314.89836842105</v>
      </c>
      <c r="CB144" s="93" t="n">
        <f aca="false">IF(AL144&gt;=BN144,0,IFERROR(BN144+SUMPRODUCT((AL$4:AL$503&gt;=BN$4:BN$503)*(AL$4:AL$503-BN$4:BN$503))/MAX(1,COUNTIF(AL$4:AL$503,"&lt;"&amp;BN144+0.01)),BN144))</f>
        <v>3597.2614925</v>
      </c>
      <c r="CC144" s="95" t="str">
        <f aca="false">IF(AO144="🟢","VERDE",IF(AO144="🟡","AMARELO",IF(AO144="🟠","VERMELHO",IF(AO144="🔴","VERMELHO","ROXO"))))</f>
        <v>VERMELHO</v>
      </c>
      <c r="CD144" s="96" t="s">
        <v>103</v>
      </c>
      <c r="CE144" s="96" t="s">
        <v>104</v>
      </c>
    </row>
    <row r="145" customFormat="false" ht="14.25" hidden="false" customHeight="true" outlineLevel="0" collapsed="false">
      <c r="A145" s="65" t="s">
        <v>426</v>
      </c>
      <c r="B145" s="66" t="s">
        <v>427</v>
      </c>
      <c r="C145" s="67" t="s">
        <v>158</v>
      </c>
      <c r="D145" s="68" t="s">
        <v>100</v>
      </c>
      <c r="E145" s="69" t="s">
        <v>243</v>
      </c>
      <c r="F145" s="70" t="n">
        <f aca="false">IFERROR(VLOOKUP(C145,$AS$3:$AT$10,2,FALSE()),IFERROR(VLOOKUP(C145,$AS$15:$AT$22,2,FALSE()),""))</f>
        <v>29</v>
      </c>
      <c r="G145" s="71" t="n">
        <f aca="false">IFERROR(VLOOKUP(C145,$AS$3:$AX$10,6,FALSE()),IFERROR(VLOOKUP(C145,$AS$15:$AX$22,6,FALSE()),""))</f>
        <v>0.458564072601712</v>
      </c>
      <c r="H145" s="72" t="str">
        <f aca="false">IFERROR(VLOOKUP(C145,$AS$3:$AY$10,7,FALSE()),IFERROR(VLOOKUP(C145,$AS$15:$AY$22,7,FALSE()),""))</f>
        <v>🟡 AMARELO</v>
      </c>
      <c r="I145" s="72" t="str">
        <f aca="false">IFERROR(VLOOKUP(C145,$AS$3:$AZ$10,8,FALSE()),IFERROR(VLOOKUP(C145,$AS$15:$AZ$22,8,FALSE()),""))</f>
        <v>Sell Out</v>
      </c>
      <c r="J145" s="73"/>
      <c r="K145" s="69" t="s">
        <v>158</v>
      </c>
      <c r="L145" s="74" t="n">
        <v>8270.52</v>
      </c>
      <c r="M145" s="75" t="n">
        <v>581.19</v>
      </c>
      <c r="N145" s="75" t="n">
        <v>607.33</v>
      </c>
      <c r="O145" s="75" t="n">
        <v>621.96</v>
      </c>
      <c r="P145" s="75" t="n">
        <v>638.16</v>
      </c>
      <c r="Q145" s="75" t="n">
        <v>659.07</v>
      </c>
      <c r="R145" s="75" t="n">
        <v>676.32</v>
      </c>
      <c r="S145" s="75" t="n">
        <v>702.45</v>
      </c>
      <c r="T145" s="75" t="n">
        <v>719.7</v>
      </c>
      <c r="U145" s="75" t="n">
        <v>735.9</v>
      </c>
      <c r="V145" s="75" t="n">
        <v>754.19</v>
      </c>
      <c r="W145" s="75" t="n">
        <v>774.06</v>
      </c>
      <c r="X145" s="76" t="n">
        <v>800.19</v>
      </c>
      <c r="Y145" s="77" t="s">
        <v>20</v>
      </c>
      <c r="Z145" s="78" t="n">
        <f aca="false">SUM(AA145:AL145)</f>
        <v>3326</v>
      </c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9" t="n">
        <v>3326</v>
      </c>
      <c r="AL145" s="76"/>
      <c r="AM145" s="56" t="s">
        <v>20</v>
      </c>
      <c r="AN145" s="80" t="n">
        <f aca="false">IF(L145=0,0,Z145/L145)</f>
        <v>0.402151255301964</v>
      </c>
      <c r="AO145" s="81" t="str">
        <f aca="false">IF(AN145="","",IF(AN145&gt;=0.9,"🟢",IF(AN145&gt;=0.7,"🟡",IF(AN145&gt;=0.5,"🟠","🔴"))))</f>
        <v>🔴</v>
      </c>
      <c r="AP145" s="82" t="n">
        <f aca="false">IF(L145=0,0,L145-Z145)</f>
        <v>4944.52</v>
      </c>
      <c r="AQ145" s="83" t="n">
        <f aca="false">IF(AP145=0,"",RANK(AP145,AP$4:AP$503,0))</f>
        <v>129</v>
      </c>
      <c r="AR145" s="84" t="s">
        <v>20</v>
      </c>
      <c r="AS145" s="141"/>
      <c r="AT145" s="141"/>
      <c r="AU145" s="141"/>
      <c r="AV145" s="141"/>
      <c r="AW145" s="141"/>
      <c r="AX145" s="141"/>
      <c r="AY145" s="142"/>
      <c r="AZ145" s="142"/>
      <c r="BA145" s="56" t="s">
        <v>20</v>
      </c>
      <c r="BB145" s="91" t="n">
        <f aca="false">SUM(L$4:L$503)/COUNTA(A$4:A$503)</f>
        <v>9494.39992</v>
      </c>
      <c r="BC145" s="92" t="n">
        <f aca="false">SUM(M$4:M$503)/COUNTA(A$4:A$503)</f>
        <v>667.20008</v>
      </c>
      <c r="BD145" s="92" t="n">
        <f aca="false">SUM(N$4:N$503)/COUNTA(A$4:A$503)</f>
        <v>697.19996</v>
      </c>
      <c r="BE145" s="92" t="n">
        <f aca="false">SUM(O$4:O$503)/COUNTA(A$4:A$503)</f>
        <v>713.9999</v>
      </c>
      <c r="BF145" s="92" t="n">
        <f aca="false">SUM(P$4:P$503)/COUNTA(A$4:A$503)</f>
        <v>732.59984</v>
      </c>
      <c r="BG145" s="92" t="n">
        <f aca="false">SUM(Q$4:Q$503)/COUNTA(A$4:A$503)</f>
        <v>756.59992</v>
      </c>
      <c r="BH145" s="92" t="n">
        <f aca="false">SUM(R$4:R$503)/COUNTA(A$4:A$503)</f>
        <v>776.40004</v>
      </c>
      <c r="BI145" s="92" t="n">
        <f aca="false">SUM(S$4:S$503)/COUNTA(A$4:A$503)</f>
        <v>806.40012</v>
      </c>
      <c r="BJ145" s="92" t="n">
        <f aca="false">SUM(T$4:T$503)/COUNTA(A$4:A$503)</f>
        <v>826.1999</v>
      </c>
      <c r="BK145" s="92" t="n">
        <f aca="false">SUM(U$4:U$503)/COUNTA(A$4:A$503)</f>
        <v>844.8002</v>
      </c>
      <c r="BL145" s="92" t="n">
        <f aca="false">SUM(V$4:V$503)/COUNTA(A$4:A$503)</f>
        <v>865.7998</v>
      </c>
      <c r="BM145" s="92" t="n">
        <f aca="false">SUM(W$4:W$503)/COUNTA(A$4:A$503)</f>
        <v>888.59982</v>
      </c>
      <c r="BN145" s="93" t="n">
        <f aca="false">SUM(X$4:X$503)/COUNTA(A$4:A$503)</f>
        <v>918.60034</v>
      </c>
      <c r="BO145" s="94" t="s">
        <v>20</v>
      </c>
      <c r="BP145" s="91" t="n">
        <f aca="false">IF(Z145&gt;=BB145,0,IFERROR(BB145+(SUMPRODUCT((Z$4:Z$503&gt;=BB$4:BB$503)*(Z$4:Z$503-BB$4:BB$503))/MAX(1,COUNTIF(Z$4:Z$503,"&lt;"&amp;BB145+0.01))),BB145))</f>
        <v>10695.5432177778</v>
      </c>
      <c r="BQ145" s="92" t="n">
        <f aca="false">IF(AA145&gt;=BC145,0,IFERROR(BC145+SUMPRODUCT((AA$4:AA$503&gt;=BC$4:BC$503)*(AA$4:AA$503-BC$4:BC$503))/MAX(1,COUNTIF(AA$4:AA$503,"&lt;"&amp;BC145+0.01)),BC145))</f>
        <v>2238.46589176471</v>
      </c>
      <c r="BR145" s="92" t="n">
        <f aca="false">IF(AB145&gt;=BD145,0,IFERROR(BD145+SUMPRODUCT((AB$4:AB$503&gt;=BD$4:BD$503)*(AB$4:AB$503-BD$4:BD$503))/MAX(1,COUNTIF(AB$4:AB$503,"&lt;"&amp;BD145+0.01)),BD145))</f>
        <v>3335.2938</v>
      </c>
      <c r="BS145" s="92" t="n">
        <f aca="false">IF(AC145&gt;=BE145,0,IFERROR(BE145+SUMPRODUCT((AC$4:AC$503&gt;=BE$4:BE$503)*(AC$4:AC$503-BE$4:BE$503))/MAX(1,COUNTIF(AC$4:AC$503,"&lt;"&amp;BE145+0.01)),BE145))</f>
        <v>6188.73352</v>
      </c>
      <c r="BT145" s="92" t="n">
        <f aca="false">IF(AD145&gt;=BF145,0,IFERROR(BF145+SUMPRODUCT((AD$4:AD$503&gt;=BF$4:BF$503)*(AD$4:AD$503-BF$4:BF$503))/MAX(1,COUNTIF(AD$4:AD$503,"&lt;"&amp;BF145+0.01)),BF145))</f>
        <v>11354.35411</v>
      </c>
      <c r="BU145" s="92" t="n">
        <f aca="false">IF(AE145&gt;=BG145,0,IFERROR(BG145+SUMPRODUCT((AE$4:AE$503&gt;=BG$4:BG$503)*(AE$4:AE$503-BG$4:BG$503))/MAX(1,COUNTIF(AE$4:AE$503,"&lt;"&amp;BG145+0.01)),BG145))</f>
        <v>7704.85920380952</v>
      </c>
      <c r="BV145" s="92" t="n">
        <f aca="false">IF(AF145&gt;=BH145,0,IFERROR(BH145+SUMPRODUCT((AF$4:AF$503&gt;=BH$4:BH$503)*(AF$4:AF$503-BH$4:BH$503))/MAX(1,COUNTIF(AF$4:AF$503,"&lt;"&amp;BH145+0.01)),BH145))</f>
        <v>9942.6503831579</v>
      </c>
      <c r="BW145" s="92" t="n">
        <f aca="false">IF(AG145&gt;=BI145,0,IFERROR(BI145+SUMPRODUCT((AG$4:AG$503&gt;=BI$4:BI$503)*(AG$4:AG$503-BI$4:BI$503))/MAX(1,COUNTIF(AG$4:AG$503,"&lt;"&amp;BI145+0.01)),BI145))</f>
        <v>9142.15870461538</v>
      </c>
      <c r="BX145" s="92" t="n">
        <f aca="false">IF(AH145&gt;=BJ145,0,IFERROR(BJ145+SUMPRODUCT((AH$4:AH$503&gt;=BJ$4:BJ$503)*(AH$4:AH$503-BJ$4:BJ$503))/MAX(1,COUNTIF(AH$4:AH$503,"&lt;"&amp;BJ145+0.01)),BJ145))</f>
        <v>5621.50263448276</v>
      </c>
      <c r="BY145" s="92" t="n">
        <f aca="false">IF(AI145&gt;=BK145,0,IFERROR(BK145+SUMPRODUCT((AI$4:AI$503&gt;=BK$4:BK$503)*(AI$4:AI$503-BK$4:BK$503))/MAX(1,COUNTIF(AI$4:AI$503,"&lt;"&amp;BK145+0.01)),BK145))</f>
        <v>7878.25652380952</v>
      </c>
      <c r="BZ145" s="92" t="n">
        <f aca="false">IF(AJ145&gt;=BL145,0,IFERROR(BL145+SUMPRODUCT((AJ$4:AJ$503&gt;=BL$4:BL$503)*(AJ$4:AJ$503-BL$4:BL$503))/MAX(1,COUNTIF(AJ$4:AJ$503,"&lt;"&amp;BL145+0.01)),BL145))</f>
        <v>6710.03292307692</v>
      </c>
      <c r="CA145" s="92" t="n">
        <f aca="false">IF(AK145&gt;=BM145,0,IFERROR(BM145+SUMPRODUCT((AK$4:AK$503&gt;=BM$4:BM$503)*(AK$4:AK$503-BM$4:BM$503))/MAX(1,COUNTIF(AK$4:AK$503,"&lt;"&amp;BM145+0.01)),BM145))</f>
        <v>0</v>
      </c>
      <c r="CB145" s="93" t="n">
        <f aca="false">IF(AL145&gt;=BN145,0,IFERROR(BN145+SUMPRODUCT((AL$4:AL$503&gt;=BN$4:BN$503)*(AL$4:AL$503-BN$4:BN$503))/MAX(1,COUNTIF(AL$4:AL$503,"&lt;"&amp;BN145+0.01)),BN145))</f>
        <v>3597.2614925</v>
      </c>
      <c r="CC145" s="95" t="str">
        <f aca="false">IF(AO145="🟢","VERDE",IF(AO145="🟡","AMARELO",IF(AO145="🟠","VERMELHO",IF(AO145="🔴","VERMELHO","ROXO"))))</f>
        <v>VERMELHO</v>
      </c>
      <c r="CD145" s="96" t="s">
        <v>103</v>
      </c>
      <c r="CE145" s="96" t="s">
        <v>104</v>
      </c>
    </row>
    <row r="146" customFormat="false" ht="14.25" hidden="false" customHeight="true" outlineLevel="0" collapsed="false">
      <c r="A146" s="65" t="s">
        <v>428</v>
      </c>
      <c r="B146" s="66" t="s">
        <v>429</v>
      </c>
      <c r="C146" s="67" t="s">
        <v>99</v>
      </c>
      <c r="D146" s="68" t="s">
        <v>100</v>
      </c>
      <c r="E146" s="69" t="s">
        <v>311</v>
      </c>
      <c r="F146" s="70" t="n">
        <f aca="false">IFERROR(VLOOKUP(C146,$AS$3:$AT$10,2,FALSE()),IFERROR(VLOOKUP(C146,$AS$15:$AT$22,2,FALSE()),""))</f>
        <v>33</v>
      </c>
      <c r="G146" s="71" t="n">
        <f aca="false">IFERROR(VLOOKUP(C146,$AS$3:$AX$10,6,FALSE()),IFERROR(VLOOKUP(C146,$AS$15:$AX$22,6,FALSE()),""))</f>
        <v>0.341494038351172</v>
      </c>
      <c r="H146" s="72" t="str">
        <f aca="false">IFERROR(VLOOKUP(C146,$AS$3:$AY$10,7,FALSE()),IFERROR(VLOOKUP(C146,$AS$15:$AY$22,7,FALSE()),""))</f>
        <v>🔴 VERMELHO</v>
      </c>
      <c r="I146" s="72" t="str">
        <f aca="false">IFERROR(VLOOKUP(C146,$AS$3:$AZ$10,8,FALSE()),IFERROR(VLOOKUP(C146,$AS$15:$AZ$22,8,FALSE()),""))</f>
        <v>Positivação + Expandir</v>
      </c>
      <c r="J146" s="73"/>
      <c r="K146" s="69" t="s">
        <v>99</v>
      </c>
      <c r="L146" s="74" t="n">
        <v>8261.25</v>
      </c>
      <c r="M146" s="75" t="n">
        <v>580.54</v>
      </c>
      <c r="N146" s="75" t="n">
        <v>606.65</v>
      </c>
      <c r="O146" s="75" t="n">
        <v>621.26</v>
      </c>
      <c r="P146" s="75" t="n">
        <v>637.45</v>
      </c>
      <c r="Q146" s="75" t="n">
        <v>658.33</v>
      </c>
      <c r="R146" s="75" t="n">
        <v>675.56</v>
      </c>
      <c r="S146" s="75" t="n">
        <v>701.66</v>
      </c>
      <c r="T146" s="75" t="n">
        <v>718.89</v>
      </c>
      <c r="U146" s="75" t="n">
        <v>735.08</v>
      </c>
      <c r="V146" s="75" t="n">
        <v>753.35</v>
      </c>
      <c r="W146" s="75" t="n">
        <v>773.19</v>
      </c>
      <c r="X146" s="76" t="n">
        <v>799.29</v>
      </c>
      <c r="Y146" s="77" t="s">
        <v>20</v>
      </c>
      <c r="Z146" s="78" t="n">
        <f aca="false">SUM(AA146:AL146)</f>
        <v>4474.16</v>
      </c>
      <c r="AA146" s="75"/>
      <c r="AB146" s="75"/>
      <c r="AC146" s="75"/>
      <c r="AD146" s="75"/>
      <c r="AE146" s="75"/>
      <c r="AF146" s="79" t="n">
        <v>2758.95</v>
      </c>
      <c r="AG146" s="75"/>
      <c r="AH146" s="79" t="n">
        <v>1715.21</v>
      </c>
      <c r="AI146" s="75"/>
      <c r="AJ146" s="75"/>
      <c r="AK146" s="75"/>
      <c r="AL146" s="76"/>
      <c r="AM146" s="56" t="s">
        <v>20</v>
      </c>
      <c r="AN146" s="80" t="n">
        <f aca="false">IF(L146=0,0,Z146/L146)</f>
        <v>0.541583900741413</v>
      </c>
      <c r="AO146" s="81" t="str">
        <f aca="false">IF(AN146="","",IF(AN146&gt;=0.9,"🟢",IF(AN146&gt;=0.7,"🟡",IF(AN146&gt;=0.5,"🟠","🔴"))))</f>
        <v>🟠</v>
      </c>
      <c r="AP146" s="82" t="n">
        <f aca="false">IF(L146=0,0,L146-Z146)</f>
        <v>3787.09</v>
      </c>
      <c r="AQ146" s="83" t="n">
        <f aca="false">IF(AP146=0,"",RANK(AP146,AP$4:AP$503,0))</f>
        <v>170</v>
      </c>
      <c r="AR146" s="84" t="s">
        <v>20</v>
      </c>
      <c r="AS146" s="141"/>
      <c r="AT146" s="141"/>
      <c r="AU146" s="141"/>
      <c r="AV146" s="141"/>
      <c r="AW146" s="141"/>
      <c r="AX146" s="141"/>
      <c r="AY146" s="142"/>
      <c r="AZ146" s="142"/>
      <c r="BA146" s="56" t="s">
        <v>20</v>
      </c>
      <c r="BB146" s="91" t="n">
        <f aca="false">SUM(L$4:L$503)/COUNTA(A$4:A$503)</f>
        <v>9494.39992</v>
      </c>
      <c r="BC146" s="92" t="n">
        <f aca="false">SUM(M$4:M$503)/COUNTA(A$4:A$503)</f>
        <v>667.20008</v>
      </c>
      <c r="BD146" s="92" t="n">
        <f aca="false">SUM(N$4:N$503)/COUNTA(A$4:A$503)</f>
        <v>697.19996</v>
      </c>
      <c r="BE146" s="92" t="n">
        <f aca="false">SUM(O$4:O$503)/COUNTA(A$4:A$503)</f>
        <v>713.9999</v>
      </c>
      <c r="BF146" s="92" t="n">
        <f aca="false">SUM(P$4:P$503)/COUNTA(A$4:A$503)</f>
        <v>732.59984</v>
      </c>
      <c r="BG146" s="92" t="n">
        <f aca="false">SUM(Q$4:Q$503)/COUNTA(A$4:A$503)</f>
        <v>756.59992</v>
      </c>
      <c r="BH146" s="92" t="n">
        <f aca="false">SUM(R$4:R$503)/COUNTA(A$4:A$503)</f>
        <v>776.40004</v>
      </c>
      <c r="BI146" s="92" t="n">
        <f aca="false">SUM(S$4:S$503)/COUNTA(A$4:A$503)</f>
        <v>806.40012</v>
      </c>
      <c r="BJ146" s="92" t="n">
        <f aca="false">SUM(T$4:T$503)/COUNTA(A$4:A$503)</f>
        <v>826.1999</v>
      </c>
      <c r="BK146" s="92" t="n">
        <f aca="false">SUM(U$4:U$503)/COUNTA(A$4:A$503)</f>
        <v>844.8002</v>
      </c>
      <c r="BL146" s="92" t="n">
        <f aca="false">SUM(V$4:V$503)/COUNTA(A$4:A$503)</f>
        <v>865.7998</v>
      </c>
      <c r="BM146" s="92" t="n">
        <f aca="false">SUM(W$4:W$503)/COUNTA(A$4:A$503)</f>
        <v>888.59982</v>
      </c>
      <c r="BN146" s="93" t="n">
        <f aca="false">SUM(X$4:X$503)/COUNTA(A$4:A$503)</f>
        <v>918.60034</v>
      </c>
      <c r="BO146" s="94" t="s">
        <v>20</v>
      </c>
      <c r="BP146" s="91" t="n">
        <f aca="false">IF(Z146&gt;=BB146,0,IFERROR(BB146+(SUMPRODUCT((Z$4:Z$503&gt;=BB$4:BB$503)*(Z$4:Z$503-BB$4:BB$503))/MAX(1,COUNTIF(Z$4:Z$503,"&lt;"&amp;BB146+0.01))),BB146))</f>
        <v>10695.5432177778</v>
      </c>
      <c r="BQ146" s="92" t="n">
        <f aca="false">IF(AA146&gt;=BC146,0,IFERROR(BC146+SUMPRODUCT((AA$4:AA$503&gt;=BC$4:BC$503)*(AA$4:AA$503-BC$4:BC$503))/MAX(1,COUNTIF(AA$4:AA$503,"&lt;"&amp;BC146+0.01)),BC146))</f>
        <v>2238.46589176471</v>
      </c>
      <c r="BR146" s="92" t="n">
        <f aca="false">IF(AB146&gt;=BD146,0,IFERROR(BD146+SUMPRODUCT((AB$4:AB$503&gt;=BD$4:BD$503)*(AB$4:AB$503-BD$4:BD$503))/MAX(1,COUNTIF(AB$4:AB$503,"&lt;"&amp;BD146+0.01)),BD146))</f>
        <v>3335.2938</v>
      </c>
      <c r="BS146" s="92" t="n">
        <f aca="false">IF(AC146&gt;=BE146,0,IFERROR(BE146+SUMPRODUCT((AC$4:AC$503&gt;=BE$4:BE$503)*(AC$4:AC$503-BE$4:BE$503))/MAX(1,COUNTIF(AC$4:AC$503,"&lt;"&amp;BE146+0.01)),BE146))</f>
        <v>6188.73352</v>
      </c>
      <c r="BT146" s="92" t="n">
        <f aca="false">IF(AD146&gt;=BF146,0,IFERROR(BF146+SUMPRODUCT((AD$4:AD$503&gt;=BF$4:BF$503)*(AD$4:AD$503-BF$4:BF$503))/MAX(1,COUNTIF(AD$4:AD$503,"&lt;"&amp;BF146+0.01)),BF146))</f>
        <v>11354.35411</v>
      </c>
      <c r="BU146" s="92" t="n">
        <f aca="false">IF(AE146&gt;=BG146,0,IFERROR(BG146+SUMPRODUCT((AE$4:AE$503&gt;=BG$4:BG$503)*(AE$4:AE$503-BG$4:BG$503))/MAX(1,COUNTIF(AE$4:AE$503,"&lt;"&amp;BG146+0.01)),BG146))</f>
        <v>7704.85920380952</v>
      </c>
      <c r="BV146" s="92" t="n">
        <f aca="false">IF(AF146&gt;=BH146,0,IFERROR(BH146+SUMPRODUCT((AF$4:AF$503&gt;=BH$4:BH$503)*(AF$4:AF$503-BH$4:BH$503))/MAX(1,COUNTIF(AF$4:AF$503,"&lt;"&amp;BH146+0.01)),BH146))</f>
        <v>0</v>
      </c>
      <c r="BW146" s="92" t="n">
        <f aca="false">IF(AG146&gt;=BI146,0,IFERROR(BI146+SUMPRODUCT((AG$4:AG$503&gt;=BI$4:BI$503)*(AG$4:AG$503-BI$4:BI$503))/MAX(1,COUNTIF(AG$4:AG$503,"&lt;"&amp;BI146+0.01)),BI146))</f>
        <v>9142.15870461538</v>
      </c>
      <c r="BX146" s="92" t="n">
        <f aca="false">IF(AH146&gt;=BJ146,0,IFERROR(BJ146+SUMPRODUCT((AH$4:AH$503&gt;=BJ$4:BJ$503)*(AH$4:AH$503-BJ$4:BJ$503))/MAX(1,COUNTIF(AH$4:AH$503,"&lt;"&amp;BJ146+0.01)),BJ146))</f>
        <v>0</v>
      </c>
      <c r="BY146" s="92" t="n">
        <f aca="false">IF(AI146&gt;=BK146,0,IFERROR(BK146+SUMPRODUCT((AI$4:AI$503&gt;=BK$4:BK$503)*(AI$4:AI$503-BK$4:BK$503))/MAX(1,COUNTIF(AI$4:AI$503,"&lt;"&amp;BK146+0.01)),BK146))</f>
        <v>7878.25652380952</v>
      </c>
      <c r="BZ146" s="92" t="n">
        <f aca="false">IF(AJ146&gt;=BL146,0,IFERROR(BL146+SUMPRODUCT((AJ$4:AJ$503&gt;=BL$4:BL$503)*(AJ$4:AJ$503-BL$4:BL$503))/MAX(1,COUNTIF(AJ$4:AJ$503,"&lt;"&amp;BL146+0.01)),BL146))</f>
        <v>6710.03292307692</v>
      </c>
      <c r="CA146" s="92" t="n">
        <f aca="false">IF(AK146&gt;=BM146,0,IFERROR(BM146+SUMPRODUCT((AK$4:AK$503&gt;=BM$4:BM$503)*(AK$4:AK$503-BM$4:BM$503))/MAX(1,COUNTIF(AK$4:AK$503,"&lt;"&amp;BM146+0.01)),BM146))</f>
        <v>7314.89836842105</v>
      </c>
      <c r="CB146" s="93" t="n">
        <f aca="false">IF(AL146&gt;=BN146,0,IFERROR(BN146+SUMPRODUCT((AL$4:AL$503&gt;=BN$4:BN$503)*(AL$4:AL$503-BN$4:BN$503))/MAX(1,COUNTIF(AL$4:AL$503,"&lt;"&amp;BN146+0.01)),BN146))</f>
        <v>3597.2614925</v>
      </c>
      <c r="CC146" s="95" t="str">
        <f aca="false">IF(AO146="🟢","VERDE",IF(AO146="🟡","AMARELO",IF(AO146="🟠","VERMELHO",IF(AO146="🔴","VERMELHO","ROXO"))))</f>
        <v>VERMELHO</v>
      </c>
      <c r="CD146" s="96" t="s">
        <v>103</v>
      </c>
      <c r="CE146" s="96" t="s">
        <v>104</v>
      </c>
    </row>
    <row r="147" customFormat="false" ht="14.25" hidden="false" customHeight="true" outlineLevel="0" collapsed="false">
      <c r="A147" s="65" t="s">
        <v>430</v>
      </c>
      <c r="B147" s="66" t="s">
        <v>431</v>
      </c>
      <c r="C147" s="67" t="s">
        <v>149</v>
      </c>
      <c r="D147" s="68" t="s">
        <v>100</v>
      </c>
      <c r="E147" s="69" t="s">
        <v>119</v>
      </c>
      <c r="F147" s="70" t="n">
        <f aca="false">IFERROR(VLOOKUP(C147,$AS$3:$AT$10,2,FALSE()),IFERROR(VLOOKUP(C147,$AS$15:$AT$22,2,FALSE()),""))</f>
        <v>29</v>
      </c>
      <c r="G147" s="71" t="n">
        <f aca="false">IFERROR(VLOOKUP(C147,$AS$3:$AX$10,6,FALSE()),IFERROR(VLOOKUP(C147,$AS$15:$AX$22,6,FALSE()),""))</f>
        <v>0.425845065256079</v>
      </c>
      <c r="H147" s="72" t="str">
        <f aca="false">IFERROR(VLOOKUP(C147,$AS$3:$AY$10,7,FALSE()),IFERROR(VLOOKUP(C147,$AS$15:$AY$22,7,FALSE()),""))</f>
        <v>🟡 AMARELO</v>
      </c>
      <c r="I147" s="72" t="str">
        <f aca="false">IFERROR(VLOOKUP(C147,$AS$3:$AZ$10,8,FALSE()),IFERROR(VLOOKUP(C147,$AS$15:$AZ$22,8,FALSE()),""))</f>
        <v>Sell Out</v>
      </c>
      <c r="J147" s="73"/>
      <c r="K147" s="69" t="s">
        <v>149</v>
      </c>
      <c r="L147" s="74" t="n">
        <v>8206.44</v>
      </c>
      <c r="M147" s="75" t="n">
        <v>576.69</v>
      </c>
      <c r="N147" s="75" t="n">
        <v>602.62</v>
      </c>
      <c r="O147" s="75" t="n">
        <v>617.14</v>
      </c>
      <c r="P147" s="75" t="n">
        <v>633.22</v>
      </c>
      <c r="Q147" s="75" t="n">
        <v>653.96</v>
      </c>
      <c r="R147" s="75" t="n">
        <v>671.08</v>
      </c>
      <c r="S147" s="75" t="n">
        <v>697.01</v>
      </c>
      <c r="T147" s="75" t="n">
        <v>714.12</v>
      </c>
      <c r="U147" s="75" t="n">
        <v>730.2</v>
      </c>
      <c r="V147" s="75" t="n">
        <v>748.35</v>
      </c>
      <c r="W147" s="75" t="n">
        <v>768.06</v>
      </c>
      <c r="X147" s="76" t="n">
        <v>793.99</v>
      </c>
      <c r="Y147" s="77" t="s">
        <v>20</v>
      </c>
      <c r="Z147" s="78" t="n">
        <f aca="false">SUM(AA147:AL147)</f>
        <v>3412.75</v>
      </c>
      <c r="AA147" s="75"/>
      <c r="AB147" s="75"/>
      <c r="AC147" s="75"/>
      <c r="AD147" s="79" t="n">
        <v>1136.3</v>
      </c>
      <c r="AE147" s="75"/>
      <c r="AF147" s="79" t="n">
        <v>1643.35</v>
      </c>
      <c r="AG147" s="75"/>
      <c r="AH147" s="75"/>
      <c r="AI147" s="75"/>
      <c r="AJ147" s="75"/>
      <c r="AK147" s="79" t="n">
        <v>633.1</v>
      </c>
      <c r="AL147" s="76"/>
      <c r="AM147" s="56" t="s">
        <v>20</v>
      </c>
      <c r="AN147" s="80" t="n">
        <f aca="false">IF(L147=0,0,Z147/L147)</f>
        <v>0.415862420245563</v>
      </c>
      <c r="AO147" s="81" t="str">
        <f aca="false">IF(AN147="","",IF(AN147&gt;=0.9,"🟢",IF(AN147&gt;=0.7,"🟡",IF(AN147&gt;=0.5,"🟠","🔴"))))</f>
        <v>🔴</v>
      </c>
      <c r="AP147" s="82" t="n">
        <f aca="false">IF(L147=0,0,L147-Z147)</f>
        <v>4793.69</v>
      </c>
      <c r="AQ147" s="83" t="n">
        <f aca="false">IF(AP147=0,"",RANK(AP147,AP$4:AP$503,0))</f>
        <v>137</v>
      </c>
      <c r="AR147" s="84" t="s">
        <v>20</v>
      </c>
      <c r="AS147" s="141"/>
      <c r="AT147" s="141"/>
      <c r="AU147" s="141"/>
      <c r="AV147" s="141"/>
      <c r="AW147" s="141"/>
      <c r="AX147" s="141"/>
      <c r="AY147" s="142"/>
      <c r="AZ147" s="142"/>
      <c r="BA147" s="56" t="s">
        <v>20</v>
      </c>
      <c r="BB147" s="91" t="n">
        <f aca="false">SUM(L$4:L$503)/COUNTA(A$4:A$503)</f>
        <v>9494.39992</v>
      </c>
      <c r="BC147" s="92" t="n">
        <f aca="false">SUM(M$4:M$503)/COUNTA(A$4:A$503)</f>
        <v>667.20008</v>
      </c>
      <c r="BD147" s="92" t="n">
        <f aca="false">SUM(N$4:N$503)/COUNTA(A$4:A$503)</f>
        <v>697.19996</v>
      </c>
      <c r="BE147" s="92" t="n">
        <f aca="false">SUM(O$4:O$503)/COUNTA(A$4:A$503)</f>
        <v>713.9999</v>
      </c>
      <c r="BF147" s="92" t="n">
        <f aca="false">SUM(P$4:P$503)/COUNTA(A$4:A$503)</f>
        <v>732.59984</v>
      </c>
      <c r="BG147" s="92" t="n">
        <f aca="false">SUM(Q$4:Q$503)/COUNTA(A$4:A$503)</f>
        <v>756.59992</v>
      </c>
      <c r="BH147" s="92" t="n">
        <f aca="false">SUM(R$4:R$503)/COUNTA(A$4:A$503)</f>
        <v>776.40004</v>
      </c>
      <c r="BI147" s="92" t="n">
        <f aca="false">SUM(S$4:S$503)/COUNTA(A$4:A$503)</f>
        <v>806.40012</v>
      </c>
      <c r="BJ147" s="92" t="n">
        <f aca="false">SUM(T$4:T$503)/COUNTA(A$4:A$503)</f>
        <v>826.1999</v>
      </c>
      <c r="BK147" s="92" t="n">
        <f aca="false">SUM(U$4:U$503)/COUNTA(A$4:A$503)</f>
        <v>844.8002</v>
      </c>
      <c r="BL147" s="92" t="n">
        <f aca="false">SUM(V$4:V$503)/COUNTA(A$4:A$503)</f>
        <v>865.7998</v>
      </c>
      <c r="BM147" s="92" t="n">
        <f aca="false">SUM(W$4:W$503)/COUNTA(A$4:A$503)</f>
        <v>888.59982</v>
      </c>
      <c r="BN147" s="93" t="n">
        <f aca="false">SUM(X$4:X$503)/COUNTA(A$4:A$503)</f>
        <v>918.60034</v>
      </c>
      <c r="BO147" s="94" t="s">
        <v>20</v>
      </c>
      <c r="BP147" s="91" t="n">
        <f aca="false">IF(Z147&gt;=BB147,0,IFERROR(BB147+(SUMPRODUCT((Z$4:Z$503&gt;=BB$4:BB$503)*(Z$4:Z$503-BB$4:BB$503))/MAX(1,COUNTIF(Z$4:Z$503,"&lt;"&amp;BB147+0.01))),BB147))</f>
        <v>10695.5432177778</v>
      </c>
      <c r="BQ147" s="92" t="n">
        <f aca="false">IF(AA147&gt;=BC147,0,IFERROR(BC147+SUMPRODUCT((AA$4:AA$503&gt;=BC$4:BC$503)*(AA$4:AA$503-BC$4:BC$503))/MAX(1,COUNTIF(AA$4:AA$503,"&lt;"&amp;BC147+0.01)),BC147))</f>
        <v>2238.46589176471</v>
      </c>
      <c r="BR147" s="92" t="n">
        <f aca="false">IF(AB147&gt;=BD147,0,IFERROR(BD147+SUMPRODUCT((AB$4:AB$503&gt;=BD$4:BD$503)*(AB$4:AB$503-BD$4:BD$503))/MAX(1,COUNTIF(AB$4:AB$503,"&lt;"&amp;BD147+0.01)),BD147))</f>
        <v>3335.2938</v>
      </c>
      <c r="BS147" s="92" t="n">
        <f aca="false">IF(AC147&gt;=BE147,0,IFERROR(BE147+SUMPRODUCT((AC$4:AC$503&gt;=BE$4:BE$503)*(AC$4:AC$503-BE$4:BE$503))/MAX(1,COUNTIF(AC$4:AC$503,"&lt;"&amp;BE147+0.01)),BE147))</f>
        <v>6188.73352</v>
      </c>
      <c r="BT147" s="92" t="n">
        <f aca="false">IF(AD147&gt;=BF147,0,IFERROR(BF147+SUMPRODUCT((AD$4:AD$503&gt;=BF$4:BF$503)*(AD$4:AD$503-BF$4:BF$503))/MAX(1,COUNTIF(AD$4:AD$503,"&lt;"&amp;BF147+0.01)),BF147))</f>
        <v>0</v>
      </c>
      <c r="BU147" s="92" t="n">
        <f aca="false">IF(AE147&gt;=BG147,0,IFERROR(BG147+SUMPRODUCT((AE$4:AE$503&gt;=BG$4:BG$503)*(AE$4:AE$503-BG$4:BG$503))/MAX(1,COUNTIF(AE$4:AE$503,"&lt;"&amp;BG147+0.01)),BG147))</f>
        <v>7704.85920380952</v>
      </c>
      <c r="BV147" s="92" t="n">
        <f aca="false">IF(AF147&gt;=BH147,0,IFERROR(BH147+SUMPRODUCT((AF$4:AF$503&gt;=BH$4:BH$503)*(AF$4:AF$503-BH$4:BH$503))/MAX(1,COUNTIF(AF$4:AF$503,"&lt;"&amp;BH147+0.01)),BH147))</f>
        <v>0</v>
      </c>
      <c r="BW147" s="92" t="n">
        <f aca="false">IF(AG147&gt;=BI147,0,IFERROR(BI147+SUMPRODUCT((AG$4:AG$503&gt;=BI$4:BI$503)*(AG$4:AG$503-BI$4:BI$503))/MAX(1,COUNTIF(AG$4:AG$503,"&lt;"&amp;BI147+0.01)),BI147))</f>
        <v>9142.15870461538</v>
      </c>
      <c r="BX147" s="92" t="n">
        <f aca="false">IF(AH147&gt;=BJ147,0,IFERROR(BJ147+SUMPRODUCT((AH$4:AH$503&gt;=BJ$4:BJ$503)*(AH$4:AH$503-BJ$4:BJ$503))/MAX(1,COUNTIF(AH$4:AH$503,"&lt;"&amp;BJ147+0.01)),BJ147))</f>
        <v>5621.50263448276</v>
      </c>
      <c r="BY147" s="92" t="n">
        <f aca="false">IF(AI147&gt;=BK147,0,IFERROR(BK147+SUMPRODUCT((AI$4:AI$503&gt;=BK$4:BK$503)*(AI$4:AI$503-BK$4:BK$503))/MAX(1,COUNTIF(AI$4:AI$503,"&lt;"&amp;BK147+0.01)),BK147))</f>
        <v>7878.25652380952</v>
      </c>
      <c r="BZ147" s="92" t="n">
        <f aca="false">IF(AJ147&gt;=BL147,0,IFERROR(BL147+SUMPRODUCT((AJ$4:AJ$503&gt;=BL$4:BL$503)*(AJ$4:AJ$503-BL$4:BL$503))/MAX(1,COUNTIF(AJ$4:AJ$503,"&lt;"&amp;BL147+0.01)),BL147))</f>
        <v>6710.03292307692</v>
      </c>
      <c r="CA147" s="92" t="n">
        <f aca="false">IF(AK147&gt;=BM147,0,IFERROR(BM147+SUMPRODUCT((AK$4:AK$503&gt;=BM$4:BM$503)*(AK$4:AK$503-BM$4:BM$503))/MAX(1,COUNTIF(AK$4:AK$503,"&lt;"&amp;BM147+0.01)),BM147))</f>
        <v>7314.89836842105</v>
      </c>
      <c r="CB147" s="93" t="n">
        <f aca="false">IF(AL147&gt;=BN147,0,IFERROR(BN147+SUMPRODUCT((AL$4:AL$503&gt;=BN$4:BN$503)*(AL$4:AL$503-BN$4:BN$503))/MAX(1,COUNTIF(AL$4:AL$503,"&lt;"&amp;BN147+0.01)),BN147))</f>
        <v>3597.2614925</v>
      </c>
      <c r="CC147" s="95" t="str">
        <f aca="false">IF(AO147="🟢","VERDE",IF(AO147="🟡","AMARELO",IF(AO147="🟠","VERMELHO",IF(AO147="🔴","VERMELHO","ROXO"))))</f>
        <v>VERMELHO</v>
      </c>
      <c r="CD147" s="96" t="s">
        <v>103</v>
      </c>
      <c r="CE147" s="96" t="s">
        <v>104</v>
      </c>
    </row>
    <row r="148" customFormat="false" ht="14.25" hidden="false" customHeight="true" outlineLevel="0" collapsed="false">
      <c r="A148" s="65" t="s">
        <v>432</v>
      </c>
      <c r="B148" s="66" t="s">
        <v>433</v>
      </c>
      <c r="C148" s="67" t="s">
        <v>123</v>
      </c>
      <c r="D148" s="68" t="s">
        <v>100</v>
      </c>
      <c r="E148" s="56" t="s">
        <v>20</v>
      </c>
      <c r="F148" s="70" t="n">
        <f aca="false">IFERROR(VLOOKUP(C148,$AS$3:$AT$10,2,FALSE()),IFERROR(VLOOKUP(C148,$AS$15:$AT$22,2,FALSE()),""))</f>
        <v>49</v>
      </c>
      <c r="G148" s="71" t="n">
        <f aca="false">IFERROR(VLOOKUP(C148,$AS$3:$AX$10,6,FALSE()),IFERROR(VLOOKUP(C148,$AS$15:$AX$22,6,FALSE()),""))</f>
        <v>0.436391353881959</v>
      </c>
      <c r="H148" s="72" t="str">
        <f aca="false">IFERROR(VLOOKUP(C148,$AS$3:$AY$10,7,FALSE()),IFERROR(VLOOKUP(C148,$AS$15:$AY$22,7,FALSE()),""))</f>
        <v>🟡 AMARELO</v>
      </c>
      <c r="I148" s="72" t="str">
        <f aca="false">IFERROR(VLOOKUP(C148,$AS$3:$AZ$10,8,FALSE()),IFERROR(VLOOKUP(C148,$AS$15:$AZ$22,8,FALSE()),""))</f>
        <v>Sell Out</v>
      </c>
      <c r="J148" s="73"/>
      <c r="K148" s="56" t="s">
        <v>20</v>
      </c>
      <c r="L148" s="74" t="n">
        <v>8205.87</v>
      </c>
      <c r="M148" s="75" t="n">
        <v>576.65</v>
      </c>
      <c r="N148" s="75" t="n">
        <v>602.58</v>
      </c>
      <c r="O148" s="75" t="n">
        <v>617.1</v>
      </c>
      <c r="P148" s="75" t="n">
        <v>633.18</v>
      </c>
      <c r="Q148" s="75" t="n">
        <v>653.92</v>
      </c>
      <c r="R148" s="75" t="n">
        <v>671.03</v>
      </c>
      <c r="S148" s="75" t="n">
        <v>696.96</v>
      </c>
      <c r="T148" s="75" t="n">
        <v>714.07</v>
      </c>
      <c r="U148" s="75" t="n">
        <v>730.15</v>
      </c>
      <c r="V148" s="75" t="n">
        <v>748.3</v>
      </c>
      <c r="W148" s="75" t="n">
        <v>768</v>
      </c>
      <c r="X148" s="76" t="n">
        <v>793.93</v>
      </c>
      <c r="Y148" s="77" t="s">
        <v>20</v>
      </c>
      <c r="Z148" s="78" t="n">
        <f aca="false">SUM(AA148:AL148)</f>
        <v>3300</v>
      </c>
      <c r="AA148" s="75"/>
      <c r="AB148" s="75"/>
      <c r="AC148" s="75"/>
      <c r="AD148" s="75"/>
      <c r="AE148" s="75"/>
      <c r="AF148" s="75" t="n">
        <v>3300</v>
      </c>
      <c r="AG148" s="75"/>
      <c r="AH148" s="75"/>
      <c r="AI148" s="75"/>
      <c r="AJ148" s="75"/>
      <c r="AK148" s="75"/>
      <c r="AL148" s="76"/>
      <c r="AM148" s="56" t="s">
        <v>20</v>
      </c>
      <c r="AN148" s="80" t="n">
        <f aca="false">IF(L148=0,0,Z148/L148)</f>
        <v>0.402151143023226</v>
      </c>
      <c r="AO148" s="81" t="str">
        <f aca="false">IF(AN148="","",IF(AN148&gt;=0.9,"🟢",IF(AN148&gt;=0.7,"🟡",IF(AN148&gt;=0.5,"🟠","🔴"))))</f>
        <v>🔴</v>
      </c>
      <c r="AP148" s="82" t="n">
        <f aca="false">IF(L148=0,0,L148-Z148)</f>
        <v>4905.87</v>
      </c>
      <c r="AQ148" s="83" t="n">
        <f aca="false">IF(AP148=0,"",RANK(AP148,AP$4:AP$503,0))</f>
        <v>133</v>
      </c>
      <c r="AR148" s="84" t="s">
        <v>20</v>
      </c>
      <c r="AS148" s="141"/>
      <c r="AT148" s="141"/>
      <c r="AU148" s="141"/>
      <c r="AV148" s="141"/>
      <c r="AW148" s="141"/>
      <c r="AX148" s="141"/>
      <c r="AY148" s="142"/>
      <c r="AZ148" s="142"/>
      <c r="BA148" s="56" t="s">
        <v>20</v>
      </c>
      <c r="BB148" s="91" t="n">
        <f aca="false">SUM(L$4:L$503)/COUNTA(A$4:A$503)</f>
        <v>9494.39992</v>
      </c>
      <c r="BC148" s="92" t="n">
        <f aca="false">SUM(M$4:M$503)/COUNTA(A$4:A$503)</f>
        <v>667.20008</v>
      </c>
      <c r="BD148" s="92" t="n">
        <f aca="false">SUM(N$4:N$503)/COUNTA(A$4:A$503)</f>
        <v>697.19996</v>
      </c>
      <c r="BE148" s="92" t="n">
        <f aca="false">SUM(O$4:O$503)/COUNTA(A$4:A$503)</f>
        <v>713.9999</v>
      </c>
      <c r="BF148" s="92" t="n">
        <f aca="false">SUM(P$4:P$503)/COUNTA(A$4:A$503)</f>
        <v>732.59984</v>
      </c>
      <c r="BG148" s="92" t="n">
        <f aca="false">SUM(Q$4:Q$503)/COUNTA(A$4:A$503)</f>
        <v>756.59992</v>
      </c>
      <c r="BH148" s="92" t="n">
        <f aca="false">SUM(R$4:R$503)/COUNTA(A$4:A$503)</f>
        <v>776.40004</v>
      </c>
      <c r="BI148" s="92" t="n">
        <f aca="false">SUM(S$4:S$503)/COUNTA(A$4:A$503)</f>
        <v>806.40012</v>
      </c>
      <c r="BJ148" s="92" t="n">
        <f aca="false">SUM(T$4:T$503)/COUNTA(A$4:A$503)</f>
        <v>826.1999</v>
      </c>
      <c r="BK148" s="92" t="n">
        <f aca="false">SUM(U$4:U$503)/COUNTA(A$4:A$503)</f>
        <v>844.8002</v>
      </c>
      <c r="BL148" s="92" t="n">
        <f aca="false">SUM(V$4:V$503)/COUNTA(A$4:A$503)</f>
        <v>865.7998</v>
      </c>
      <c r="BM148" s="92" t="n">
        <f aca="false">SUM(W$4:W$503)/COUNTA(A$4:A$503)</f>
        <v>888.59982</v>
      </c>
      <c r="BN148" s="93" t="n">
        <f aca="false">SUM(X$4:X$503)/COUNTA(A$4:A$503)</f>
        <v>918.60034</v>
      </c>
      <c r="BO148" s="94" t="s">
        <v>20</v>
      </c>
      <c r="BP148" s="91" t="n">
        <f aca="false">IF(Z148&gt;=BB148,0,IFERROR(BB148+(SUMPRODUCT((Z$4:Z$503&gt;=BB$4:BB$503)*(Z$4:Z$503-BB$4:BB$503))/MAX(1,COUNTIF(Z$4:Z$503,"&lt;"&amp;BB148+0.01))),BB148))</f>
        <v>10695.5432177778</v>
      </c>
      <c r="BQ148" s="92" t="n">
        <f aca="false">IF(AA148&gt;=BC148,0,IFERROR(BC148+SUMPRODUCT((AA$4:AA$503&gt;=BC$4:BC$503)*(AA$4:AA$503-BC$4:BC$503))/MAX(1,COUNTIF(AA$4:AA$503,"&lt;"&amp;BC148+0.01)),BC148))</f>
        <v>2238.46589176471</v>
      </c>
      <c r="BR148" s="92" t="n">
        <f aca="false">IF(AB148&gt;=BD148,0,IFERROR(BD148+SUMPRODUCT((AB$4:AB$503&gt;=BD$4:BD$503)*(AB$4:AB$503-BD$4:BD$503))/MAX(1,COUNTIF(AB$4:AB$503,"&lt;"&amp;BD148+0.01)),BD148))</f>
        <v>3335.2938</v>
      </c>
      <c r="BS148" s="92" t="n">
        <f aca="false">IF(AC148&gt;=BE148,0,IFERROR(BE148+SUMPRODUCT((AC$4:AC$503&gt;=BE$4:BE$503)*(AC$4:AC$503-BE$4:BE$503))/MAX(1,COUNTIF(AC$4:AC$503,"&lt;"&amp;BE148+0.01)),BE148))</f>
        <v>6188.73352</v>
      </c>
      <c r="BT148" s="92" t="n">
        <f aca="false">IF(AD148&gt;=BF148,0,IFERROR(BF148+SUMPRODUCT((AD$4:AD$503&gt;=BF$4:BF$503)*(AD$4:AD$503-BF$4:BF$503))/MAX(1,COUNTIF(AD$4:AD$503,"&lt;"&amp;BF148+0.01)),BF148))</f>
        <v>11354.35411</v>
      </c>
      <c r="BU148" s="92" t="n">
        <f aca="false">IF(AE148&gt;=BG148,0,IFERROR(BG148+SUMPRODUCT((AE$4:AE$503&gt;=BG$4:BG$503)*(AE$4:AE$503-BG$4:BG$503))/MAX(1,COUNTIF(AE$4:AE$503,"&lt;"&amp;BG148+0.01)),BG148))</f>
        <v>7704.85920380952</v>
      </c>
      <c r="BV148" s="92" t="n">
        <f aca="false">IF(AF148&gt;=BH148,0,IFERROR(BH148+SUMPRODUCT((AF$4:AF$503&gt;=BH$4:BH$503)*(AF$4:AF$503-BH$4:BH$503))/MAX(1,COUNTIF(AF$4:AF$503,"&lt;"&amp;BH148+0.01)),BH148))</f>
        <v>0</v>
      </c>
      <c r="BW148" s="92" t="n">
        <f aca="false">IF(AG148&gt;=BI148,0,IFERROR(BI148+SUMPRODUCT((AG$4:AG$503&gt;=BI$4:BI$503)*(AG$4:AG$503-BI$4:BI$503))/MAX(1,COUNTIF(AG$4:AG$503,"&lt;"&amp;BI148+0.01)),BI148))</f>
        <v>9142.15870461538</v>
      </c>
      <c r="BX148" s="92" t="n">
        <f aca="false">IF(AH148&gt;=BJ148,0,IFERROR(BJ148+SUMPRODUCT((AH$4:AH$503&gt;=BJ$4:BJ$503)*(AH$4:AH$503-BJ$4:BJ$503))/MAX(1,COUNTIF(AH$4:AH$503,"&lt;"&amp;BJ148+0.01)),BJ148))</f>
        <v>5621.50263448276</v>
      </c>
      <c r="BY148" s="92" t="n">
        <f aca="false">IF(AI148&gt;=BK148,0,IFERROR(BK148+SUMPRODUCT((AI$4:AI$503&gt;=BK$4:BK$503)*(AI$4:AI$503-BK$4:BK$503))/MAX(1,COUNTIF(AI$4:AI$503,"&lt;"&amp;BK148+0.01)),BK148))</f>
        <v>7878.25652380952</v>
      </c>
      <c r="BZ148" s="92" t="n">
        <f aca="false">IF(AJ148&gt;=BL148,0,IFERROR(BL148+SUMPRODUCT((AJ$4:AJ$503&gt;=BL$4:BL$503)*(AJ$4:AJ$503-BL$4:BL$503))/MAX(1,COUNTIF(AJ$4:AJ$503,"&lt;"&amp;BL148+0.01)),BL148))</f>
        <v>6710.03292307692</v>
      </c>
      <c r="CA148" s="92" t="n">
        <f aca="false">IF(AK148&gt;=BM148,0,IFERROR(BM148+SUMPRODUCT((AK$4:AK$503&gt;=BM$4:BM$503)*(AK$4:AK$503-BM$4:BM$503))/MAX(1,COUNTIF(AK$4:AK$503,"&lt;"&amp;BM148+0.01)),BM148))</f>
        <v>7314.89836842105</v>
      </c>
      <c r="CB148" s="93" t="n">
        <f aca="false">IF(AL148&gt;=BN148,0,IFERROR(BN148+SUMPRODUCT((AL$4:AL$503&gt;=BN$4:BN$503)*(AL$4:AL$503-BN$4:BN$503))/MAX(1,COUNTIF(AL$4:AL$503,"&lt;"&amp;BN148+0.01)),BN148))</f>
        <v>3597.2614925</v>
      </c>
      <c r="CC148" s="95" t="str">
        <f aca="false">IF(AO148="🟢","VERDE",IF(AO148="🟡","AMARELO",IF(AO148="🟠","VERMELHO",IF(AO148="🔴","VERMELHO","ROXO"))))</f>
        <v>VERMELHO</v>
      </c>
      <c r="CD148" s="96" t="s">
        <v>103</v>
      </c>
      <c r="CE148" s="96" t="s">
        <v>104</v>
      </c>
    </row>
    <row r="149" customFormat="false" ht="14.25" hidden="false" customHeight="true" outlineLevel="0" collapsed="false">
      <c r="A149" s="65" t="s">
        <v>434</v>
      </c>
      <c r="B149" s="66" t="s">
        <v>306</v>
      </c>
      <c r="C149" s="67" t="s">
        <v>123</v>
      </c>
      <c r="D149" s="68" t="s">
        <v>108</v>
      </c>
      <c r="E149" s="56" t="s">
        <v>20</v>
      </c>
      <c r="F149" s="70" t="n">
        <f aca="false">IFERROR(VLOOKUP(C149,$AS$3:$AT$10,2,FALSE()),IFERROR(VLOOKUP(C149,$AS$15:$AT$22,2,FALSE()),""))</f>
        <v>49</v>
      </c>
      <c r="G149" s="71" t="n">
        <f aca="false">IFERROR(VLOOKUP(C149,$AS$3:$AX$10,6,FALSE()),IFERROR(VLOOKUP(C149,$AS$15:$AX$22,6,FALSE()),""))</f>
        <v>0.436391353881959</v>
      </c>
      <c r="H149" s="72" t="str">
        <f aca="false">IFERROR(VLOOKUP(C149,$AS$3:$AY$10,7,FALSE()),IFERROR(VLOOKUP(C149,$AS$15:$AY$22,7,FALSE()),""))</f>
        <v>🟡 AMARELO</v>
      </c>
      <c r="I149" s="72" t="str">
        <f aca="false">IFERROR(VLOOKUP(C149,$AS$3:$AZ$10,8,FALSE()),IFERROR(VLOOKUP(C149,$AS$15:$AZ$22,8,FALSE()),""))</f>
        <v>Sell Out</v>
      </c>
      <c r="J149" s="73"/>
      <c r="K149" s="56" t="s">
        <v>20</v>
      </c>
      <c r="L149" s="74" t="n">
        <v>8179.37</v>
      </c>
      <c r="M149" s="75" t="n">
        <v>574.79</v>
      </c>
      <c r="N149" s="75" t="n">
        <v>600.63</v>
      </c>
      <c r="O149" s="75" t="n">
        <v>615.11</v>
      </c>
      <c r="P149" s="75" t="n">
        <v>631.13</v>
      </c>
      <c r="Q149" s="75" t="n">
        <v>651.81</v>
      </c>
      <c r="R149" s="75" t="n">
        <v>668.86</v>
      </c>
      <c r="S149" s="75" t="n">
        <v>694.71</v>
      </c>
      <c r="T149" s="75" t="n">
        <v>711.77</v>
      </c>
      <c r="U149" s="75" t="n">
        <v>727.79</v>
      </c>
      <c r="V149" s="75" t="n">
        <v>745.88</v>
      </c>
      <c r="W149" s="75" t="n">
        <v>765.52</v>
      </c>
      <c r="X149" s="76" t="n">
        <v>791.37</v>
      </c>
      <c r="Y149" s="77" t="s">
        <v>20</v>
      </c>
      <c r="Z149" s="78" t="n">
        <f aca="false">SUM(AA149:AL149)</f>
        <v>4813.87</v>
      </c>
      <c r="AA149" s="75"/>
      <c r="AB149" s="75"/>
      <c r="AC149" s="75" t="n">
        <v>2371.34</v>
      </c>
      <c r="AD149" s="75"/>
      <c r="AE149" s="75" t="n">
        <v>918</v>
      </c>
      <c r="AF149" s="75"/>
      <c r="AG149" s="75"/>
      <c r="AH149" s="75" t="n">
        <v>1524.53</v>
      </c>
      <c r="AI149" s="75"/>
      <c r="AJ149" s="75"/>
      <c r="AK149" s="75"/>
      <c r="AL149" s="76"/>
      <c r="AM149" s="56" t="s">
        <v>20</v>
      </c>
      <c r="AN149" s="80" t="n">
        <f aca="false">IF(L149=0,0,Z149/L149)</f>
        <v>0.588537992534877</v>
      </c>
      <c r="AO149" s="81" t="str">
        <f aca="false">IF(AN149="","",IF(AN149&gt;=0.9,"🟢",IF(AN149&gt;=0.7,"🟡",IF(AN149&gt;=0.5,"🟠","🔴"))))</f>
        <v>🟠</v>
      </c>
      <c r="AP149" s="82" t="n">
        <f aca="false">IF(L149=0,0,L149-Z149)</f>
        <v>3365.5</v>
      </c>
      <c r="AQ149" s="83" t="n">
        <f aca="false">IF(AP149=0,"",RANK(AP149,AP$4:AP$503,0))</f>
        <v>192</v>
      </c>
      <c r="AR149" s="84" t="s">
        <v>20</v>
      </c>
      <c r="AS149" s="141"/>
      <c r="AT149" s="141"/>
      <c r="AU149" s="141"/>
      <c r="AV149" s="141"/>
      <c r="AW149" s="141"/>
      <c r="AX149" s="141"/>
      <c r="AY149" s="142"/>
      <c r="AZ149" s="142"/>
      <c r="BA149" s="56" t="s">
        <v>20</v>
      </c>
      <c r="BB149" s="91" t="n">
        <f aca="false">SUM(L$4:L$503)/COUNTA(A$4:A$503)</f>
        <v>9494.39992</v>
      </c>
      <c r="BC149" s="92" t="n">
        <f aca="false">SUM(M$4:M$503)/COUNTA(A$4:A$503)</f>
        <v>667.20008</v>
      </c>
      <c r="BD149" s="92" t="n">
        <f aca="false">SUM(N$4:N$503)/COUNTA(A$4:A$503)</f>
        <v>697.19996</v>
      </c>
      <c r="BE149" s="92" t="n">
        <f aca="false">SUM(O$4:O$503)/COUNTA(A$4:A$503)</f>
        <v>713.9999</v>
      </c>
      <c r="BF149" s="92" t="n">
        <f aca="false">SUM(P$4:P$503)/COUNTA(A$4:A$503)</f>
        <v>732.59984</v>
      </c>
      <c r="BG149" s="92" t="n">
        <f aca="false">SUM(Q$4:Q$503)/COUNTA(A$4:A$503)</f>
        <v>756.59992</v>
      </c>
      <c r="BH149" s="92" t="n">
        <f aca="false">SUM(R$4:R$503)/COUNTA(A$4:A$503)</f>
        <v>776.40004</v>
      </c>
      <c r="BI149" s="92" t="n">
        <f aca="false">SUM(S$4:S$503)/COUNTA(A$4:A$503)</f>
        <v>806.40012</v>
      </c>
      <c r="BJ149" s="92" t="n">
        <f aca="false">SUM(T$4:T$503)/COUNTA(A$4:A$503)</f>
        <v>826.1999</v>
      </c>
      <c r="BK149" s="92" t="n">
        <f aca="false">SUM(U$4:U$503)/COUNTA(A$4:A$503)</f>
        <v>844.8002</v>
      </c>
      <c r="BL149" s="92" t="n">
        <f aca="false">SUM(V$4:V$503)/COUNTA(A$4:A$503)</f>
        <v>865.7998</v>
      </c>
      <c r="BM149" s="92" t="n">
        <f aca="false">SUM(W$4:W$503)/COUNTA(A$4:A$503)</f>
        <v>888.59982</v>
      </c>
      <c r="BN149" s="93" t="n">
        <f aca="false">SUM(X$4:X$503)/COUNTA(A$4:A$503)</f>
        <v>918.60034</v>
      </c>
      <c r="BO149" s="94" t="s">
        <v>20</v>
      </c>
      <c r="BP149" s="91" t="n">
        <f aca="false">IF(Z149&gt;=BB149,0,IFERROR(BB149+(SUMPRODUCT((Z$4:Z$503&gt;=BB$4:BB$503)*(Z$4:Z$503-BB$4:BB$503))/MAX(1,COUNTIF(Z$4:Z$503,"&lt;"&amp;BB149+0.01))),BB149))</f>
        <v>10695.5432177778</v>
      </c>
      <c r="BQ149" s="92" t="n">
        <f aca="false">IF(AA149&gt;=BC149,0,IFERROR(BC149+SUMPRODUCT((AA$4:AA$503&gt;=BC$4:BC$503)*(AA$4:AA$503-BC$4:BC$503))/MAX(1,COUNTIF(AA$4:AA$503,"&lt;"&amp;BC149+0.01)),BC149))</f>
        <v>2238.46589176471</v>
      </c>
      <c r="BR149" s="92" t="n">
        <f aca="false">IF(AB149&gt;=BD149,0,IFERROR(BD149+SUMPRODUCT((AB$4:AB$503&gt;=BD$4:BD$503)*(AB$4:AB$503-BD$4:BD$503))/MAX(1,COUNTIF(AB$4:AB$503,"&lt;"&amp;BD149+0.01)),BD149))</f>
        <v>3335.2938</v>
      </c>
      <c r="BS149" s="92" t="n">
        <f aca="false">IF(AC149&gt;=BE149,0,IFERROR(BE149+SUMPRODUCT((AC$4:AC$503&gt;=BE$4:BE$503)*(AC$4:AC$503-BE$4:BE$503))/MAX(1,COUNTIF(AC$4:AC$503,"&lt;"&amp;BE149+0.01)),BE149))</f>
        <v>0</v>
      </c>
      <c r="BT149" s="92" t="n">
        <f aca="false">IF(AD149&gt;=BF149,0,IFERROR(BF149+SUMPRODUCT((AD$4:AD$503&gt;=BF$4:BF$503)*(AD$4:AD$503-BF$4:BF$503))/MAX(1,COUNTIF(AD$4:AD$503,"&lt;"&amp;BF149+0.01)),BF149))</f>
        <v>11354.35411</v>
      </c>
      <c r="BU149" s="92" t="n">
        <f aca="false">IF(AE149&gt;=BG149,0,IFERROR(BG149+SUMPRODUCT((AE$4:AE$503&gt;=BG$4:BG$503)*(AE$4:AE$503-BG$4:BG$503))/MAX(1,COUNTIF(AE$4:AE$503,"&lt;"&amp;BG149+0.01)),BG149))</f>
        <v>0</v>
      </c>
      <c r="BV149" s="92" t="n">
        <f aca="false">IF(AF149&gt;=BH149,0,IFERROR(BH149+SUMPRODUCT((AF$4:AF$503&gt;=BH$4:BH$503)*(AF$4:AF$503-BH$4:BH$503))/MAX(1,COUNTIF(AF$4:AF$503,"&lt;"&amp;BH149+0.01)),BH149))</f>
        <v>9942.6503831579</v>
      </c>
      <c r="BW149" s="92" t="n">
        <f aca="false">IF(AG149&gt;=BI149,0,IFERROR(BI149+SUMPRODUCT((AG$4:AG$503&gt;=BI$4:BI$503)*(AG$4:AG$503-BI$4:BI$503))/MAX(1,COUNTIF(AG$4:AG$503,"&lt;"&amp;BI149+0.01)),BI149))</f>
        <v>9142.15870461538</v>
      </c>
      <c r="BX149" s="92" t="n">
        <f aca="false">IF(AH149&gt;=BJ149,0,IFERROR(BJ149+SUMPRODUCT((AH$4:AH$503&gt;=BJ$4:BJ$503)*(AH$4:AH$503-BJ$4:BJ$503))/MAX(1,COUNTIF(AH$4:AH$503,"&lt;"&amp;BJ149+0.01)),BJ149))</f>
        <v>0</v>
      </c>
      <c r="BY149" s="92" t="n">
        <f aca="false">IF(AI149&gt;=BK149,0,IFERROR(BK149+SUMPRODUCT((AI$4:AI$503&gt;=BK$4:BK$503)*(AI$4:AI$503-BK$4:BK$503))/MAX(1,COUNTIF(AI$4:AI$503,"&lt;"&amp;BK149+0.01)),BK149))</f>
        <v>7878.25652380952</v>
      </c>
      <c r="BZ149" s="92" t="n">
        <f aca="false">IF(AJ149&gt;=BL149,0,IFERROR(BL149+SUMPRODUCT((AJ$4:AJ$503&gt;=BL$4:BL$503)*(AJ$4:AJ$503-BL$4:BL$503))/MAX(1,COUNTIF(AJ$4:AJ$503,"&lt;"&amp;BL149+0.01)),BL149))</f>
        <v>6710.03292307692</v>
      </c>
      <c r="CA149" s="92" t="n">
        <f aca="false">IF(AK149&gt;=BM149,0,IFERROR(BM149+SUMPRODUCT((AK$4:AK$503&gt;=BM$4:BM$503)*(AK$4:AK$503-BM$4:BM$503))/MAX(1,COUNTIF(AK$4:AK$503,"&lt;"&amp;BM149+0.01)),BM149))</f>
        <v>7314.89836842105</v>
      </c>
      <c r="CB149" s="93" t="n">
        <f aca="false">IF(AL149&gt;=BN149,0,IFERROR(BN149+SUMPRODUCT((AL$4:AL$503&gt;=BN$4:BN$503)*(AL$4:AL$503-BN$4:BN$503))/MAX(1,COUNTIF(AL$4:AL$503,"&lt;"&amp;BN149+0.01)),BN149))</f>
        <v>3597.2614925</v>
      </c>
      <c r="CC149" s="95" t="str">
        <f aca="false">IF(AO149="🟢","VERDE",IF(AO149="🟡","AMARELO",IF(AO149="🟠","VERMELHO",IF(AO149="🔴","VERMELHO","ROXO"))))</f>
        <v>VERMELHO</v>
      </c>
      <c r="CD149" s="96" t="s">
        <v>103</v>
      </c>
      <c r="CE149" s="96" t="s">
        <v>104</v>
      </c>
    </row>
    <row r="150" customFormat="false" ht="14.25" hidden="false" customHeight="true" outlineLevel="0" collapsed="false">
      <c r="A150" s="65" t="s">
        <v>435</v>
      </c>
      <c r="B150" s="66" t="s">
        <v>436</v>
      </c>
      <c r="C150" s="67" t="s">
        <v>107</v>
      </c>
      <c r="D150" s="68" t="s">
        <v>108</v>
      </c>
      <c r="E150" s="69" t="s">
        <v>139</v>
      </c>
      <c r="F150" s="70" t="n">
        <f aca="false">IFERROR(VLOOKUP(C150,$AS$3:$AT$10,2,FALSE()),IFERROR(VLOOKUP(C150,$AS$15:$AT$22,2,FALSE()),""))</f>
        <v>132</v>
      </c>
      <c r="G150" s="71" t="n">
        <f aca="false">IFERROR(VLOOKUP(C150,$AS$3:$AX$10,6,FALSE()),IFERROR(VLOOKUP(C150,$AS$15:$AX$22,6,FALSE()),""))</f>
        <v>0.468190175850689</v>
      </c>
      <c r="H150" s="72" t="str">
        <f aca="false">IFERROR(VLOOKUP(C150,$AS$3:$AY$10,7,FALSE()),IFERROR(VLOOKUP(C150,$AS$15:$AY$22,7,FALSE()),""))</f>
        <v>🟡 AMARELO</v>
      </c>
      <c r="I150" s="72" t="str">
        <f aca="false">IFERROR(VLOOKUP(C150,$AS$3:$AZ$10,8,FALSE()),IFERROR(VLOOKUP(C150,$AS$15:$AZ$22,8,FALSE()),""))</f>
        <v>Sell Out</v>
      </c>
      <c r="J150" s="73"/>
      <c r="K150" s="69" t="s">
        <v>107</v>
      </c>
      <c r="L150" s="74" t="n">
        <v>8144.62</v>
      </c>
      <c r="M150" s="75" t="n">
        <v>572.35</v>
      </c>
      <c r="N150" s="75" t="n">
        <v>598.08</v>
      </c>
      <c r="O150" s="75" t="n">
        <v>612.49</v>
      </c>
      <c r="P150" s="75" t="n">
        <v>628.45</v>
      </c>
      <c r="Q150" s="75" t="n">
        <v>649.04</v>
      </c>
      <c r="R150" s="75" t="n">
        <v>666.02</v>
      </c>
      <c r="S150" s="75" t="n">
        <v>691.76</v>
      </c>
      <c r="T150" s="75" t="n">
        <v>708.74</v>
      </c>
      <c r="U150" s="75" t="n">
        <v>724.7</v>
      </c>
      <c r="V150" s="75" t="n">
        <v>742.71</v>
      </c>
      <c r="W150" s="75" t="n">
        <v>762.27</v>
      </c>
      <c r="X150" s="76" t="n">
        <v>788.01</v>
      </c>
      <c r="Y150" s="77" t="s">
        <v>20</v>
      </c>
      <c r="Z150" s="78" t="n">
        <f aca="false">SUM(AA150:AL150)</f>
        <v>3275.37</v>
      </c>
      <c r="AA150" s="75"/>
      <c r="AB150" s="75"/>
      <c r="AC150" s="75"/>
      <c r="AD150" s="75"/>
      <c r="AE150" s="75"/>
      <c r="AF150" s="75"/>
      <c r="AG150" s="75"/>
      <c r="AH150" s="75"/>
      <c r="AI150" s="79" t="n">
        <v>2011.8</v>
      </c>
      <c r="AJ150" s="75"/>
      <c r="AK150" s="79" t="n">
        <v>1263.57</v>
      </c>
      <c r="AL150" s="76"/>
      <c r="AM150" s="56" t="s">
        <v>20</v>
      </c>
      <c r="AN150" s="80" t="n">
        <f aca="false">IF(L150=0,0,Z150/L150)</f>
        <v>0.402151358811093</v>
      </c>
      <c r="AO150" s="81" t="str">
        <f aca="false">IF(AN150="","",IF(AN150&gt;=0.9,"🟢",IF(AN150&gt;=0.7,"🟡",IF(AN150&gt;=0.5,"🟠","🔴"))))</f>
        <v>🔴</v>
      </c>
      <c r="AP150" s="82" t="n">
        <f aca="false">IF(L150=0,0,L150-Z150)</f>
        <v>4869.25</v>
      </c>
      <c r="AQ150" s="83" t="n">
        <f aca="false">IF(AP150=0,"",RANK(AP150,AP$4:AP$503,0))</f>
        <v>134</v>
      </c>
      <c r="AR150" s="84" t="s">
        <v>20</v>
      </c>
      <c r="AS150" s="141"/>
      <c r="AT150" s="141"/>
      <c r="AU150" s="141"/>
      <c r="AV150" s="141"/>
      <c r="AW150" s="141"/>
      <c r="AX150" s="141"/>
      <c r="AY150" s="142"/>
      <c r="AZ150" s="142"/>
      <c r="BA150" s="56" t="s">
        <v>20</v>
      </c>
      <c r="BB150" s="91" t="n">
        <f aca="false">SUM(L$4:L$503)/COUNTA(A$4:A$503)</f>
        <v>9494.39992</v>
      </c>
      <c r="BC150" s="92" t="n">
        <f aca="false">SUM(M$4:M$503)/COUNTA(A$4:A$503)</f>
        <v>667.20008</v>
      </c>
      <c r="BD150" s="92" t="n">
        <f aca="false">SUM(N$4:N$503)/COUNTA(A$4:A$503)</f>
        <v>697.19996</v>
      </c>
      <c r="BE150" s="92" t="n">
        <f aca="false">SUM(O$4:O$503)/COUNTA(A$4:A$503)</f>
        <v>713.9999</v>
      </c>
      <c r="BF150" s="92" t="n">
        <f aca="false">SUM(P$4:P$503)/COUNTA(A$4:A$503)</f>
        <v>732.59984</v>
      </c>
      <c r="BG150" s="92" t="n">
        <f aca="false">SUM(Q$4:Q$503)/COUNTA(A$4:A$503)</f>
        <v>756.59992</v>
      </c>
      <c r="BH150" s="92" t="n">
        <f aca="false">SUM(R$4:R$503)/COUNTA(A$4:A$503)</f>
        <v>776.40004</v>
      </c>
      <c r="BI150" s="92" t="n">
        <f aca="false">SUM(S$4:S$503)/COUNTA(A$4:A$503)</f>
        <v>806.40012</v>
      </c>
      <c r="BJ150" s="92" t="n">
        <f aca="false">SUM(T$4:T$503)/COUNTA(A$4:A$503)</f>
        <v>826.1999</v>
      </c>
      <c r="BK150" s="92" t="n">
        <f aca="false">SUM(U$4:U$503)/COUNTA(A$4:A$503)</f>
        <v>844.8002</v>
      </c>
      <c r="BL150" s="92" t="n">
        <f aca="false">SUM(V$4:V$503)/COUNTA(A$4:A$503)</f>
        <v>865.7998</v>
      </c>
      <c r="BM150" s="92" t="n">
        <f aca="false">SUM(W$4:W$503)/COUNTA(A$4:A$503)</f>
        <v>888.59982</v>
      </c>
      <c r="BN150" s="93" t="n">
        <f aca="false">SUM(X$4:X$503)/COUNTA(A$4:A$503)</f>
        <v>918.60034</v>
      </c>
      <c r="BO150" s="94" t="s">
        <v>20</v>
      </c>
      <c r="BP150" s="91" t="n">
        <f aca="false">IF(Z150&gt;=BB150,0,IFERROR(BB150+(SUMPRODUCT((Z$4:Z$503&gt;=BB$4:BB$503)*(Z$4:Z$503-BB$4:BB$503))/MAX(1,COUNTIF(Z$4:Z$503,"&lt;"&amp;BB150+0.01))),BB150))</f>
        <v>10695.5432177778</v>
      </c>
      <c r="BQ150" s="92" t="n">
        <f aca="false">IF(AA150&gt;=BC150,0,IFERROR(BC150+SUMPRODUCT((AA$4:AA$503&gt;=BC$4:BC$503)*(AA$4:AA$503-BC$4:BC$503))/MAX(1,COUNTIF(AA$4:AA$503,"&lt;"&amp;BC150+0.01)),BC150))</f>
        <v>2238.46589176471</v>
      </c>
      <c r="BR150" s="92" t="n">
        <f aca="false">IF(AB150&gt;=BD150,0,IFERROR(BD150+SUMPRODUCT((AB$4:AB$503&gt;=BD$4:BD$503)*(AB$4:AB$503-BD$4:BD$503))/MAX(1,COUNTIF(AB$4:AB$503,"&lt;"&amp;BD150+0.01)),BD150))</f>
        <v>3335.2938</v>
      </c>
      <c r="BS150" s="92" t="n">
        <f aca="false">IF(AC150&gt;=BE150,0,IFERROR(BE150+SUMPRODUCT((AC$4:AC$503&gt;=BE$4:BE$503)*(AC$4:AC$503-BE$4:BE$503))/MAX(1,COUNTIF(AC$4:AC$503,"&lt;"&amp;BE150+0.01)),BE150))</f>
        <v>6188.73352</v>
      </c>
      <c r="BT150" s="92" t="n">
        <f aca="false">IF(AD150&gt;=BF150,0,IFERROR(BF150+SUMPRODUCT((AD$4:AD$503&gt;=BF$4:BF$503)*(AD$4:AD$503-BF$4:BF$503))/MAX(1,COUNTIF(AD$4:AD$503,"&lt;"&amp;BF150+0.01)),BF150))</f>
        <v>11354.35411</v>
      </c>
      <c r="BU150" s="92" t="n">
        <f aca="false">IF(AE150&gt;=BG150,0,IFERROR(BG150+SUMPRODUCT((AE$4:AE$503&gt;=BG$4:BG$503)*(AE$4:AE$503-BG$4:BG$503))/MAX(1,COUNTIF(AE$4:AE$503,"&lt;"&amp;BG150+0.01)),BG150))</f>
        <v>7704.85920380952</v>
      </c>
      <c r="BV150" s="92" t="n">
        <f aca="false">IF(AF150&gt;=BH150,0,IFERROR(BH150+SUMPRODUCT((AF$4:AF$503&gt;=BH$4:BH$503)*(AF$4:AF$503-BH$4:BH$503))/MAX(1,COUNTIF(AF$4:AF$503,"&lt;"&amp;BH150+0.01)),BH150))</f>
        <v>9942.6503831579</v>
      </c>
      <c r="BW150" s="92" t="n">
        <f aca="false">IF(AG150&gt;=BI150,0,IFERROR(BI150+SUMPRODUCT((AG$4:AG$503&gt;=BI$4:BI$503)*(AG$4:AG$503-BI$4:BI$503))/MAX(1,COUNTIF(AG$4:AG$503,"&lt;"&amp;BI150+0.01)),BI150))</f>
        <v>9142.15870461538</v>
      </c>
      <c r="BX150" s="92" t="n">
        <f aca="false">IF(AH150&gt;=BJ150,0,IFERROR(BJ150+SUMPRODUCT((AH$4:AH$503&gt;=BJ$4:BJ$503)*(AH$4:AH$503-BJ$4:BJ$503))/MAX(1,COUNTIF(AH$4:AH$503,"&lt;"&amp;BJ150+0.01)),BJ150))</f>
        <v>5621.50263448276</v>
      </c>
      <c r="BY150" s="92" t="n">
        <f aca="false">IF(AI150&gt;=BK150,0,IFERROR(BK150+SUMPRODUCT((AI$4:AI$503&gt;=BK$4:BK$503)*(AI$4:AI$503-BK$4:BK$503))/MAX(1,COUNTIF(AI$4:AI$503,"&lt;"&amp;BK150+0.01)),BK150))</f>
        <v>0</v>
      </c>
      <c r="BZ150" s="92" t="n">
        <f aca="false">IF(AJ150&gt;=BL150,0,IFERROR(BL150+SUMPRODUCT((AJ$4:AJ$503&gt;=BL$4:BL$503)*(AJ$4:AJ$503-BL$4:BL$503))/MAX(1,COUNTIF(AJ$4:AJ$503,"&lt;"&amp;BL150+0.01)),BL150))</f>
        <v>6710.03292307692</v>
      </c>
      <c r="CA150" s="92" t="n">
        <f aca="false">IF(AK150&gt;=BM150,0,IFERROR(BM150+SUMPRODUCT((AK$4:AK$503&gt;=BM$4:BM$503)*(AK$4:AK$503-BM$4:BM$503))/MAX(1,COUNTIF(AK$4:AK$503,"&lt;"&amp;BM150+0.01)),BM150))</f>
        <v>0</v>
      </c>
      <c r="CB150" s="93" t="n">
        <f aca="false">IF(AL150&gt;=BN150,0,IFERROR(BN150+SUMPRODUCT((AL$4:AL$503&gt;=BN$4:BN$503)*(AL$4:AL$503-BN$4:BN$503))/MAX(1,COUNTIF(AL$4:AL$503,"&lt;"&amp;BN150+0.01)),BN150))</f>
        <v>3597.2614925</v>
      </c>
      <c r="CC150" s="95" t="str">
        <f aca="false">IF(AO150="🟢","VERDE",IF(AO150="🟡","AMARELO",IF(AO150="🟠","VERMELHO",IF(AO150="🔴","VERMELHO","ROXO"))))</f>
        <v>VERMELHO</v>
      </c>
      <c r="CD150" s="96" t="s">
        <v>103</v>
      </c>
      <c r="CE150" s="96" t="s">
        <v>104</v>
      </c>
    </row>
    <row r="151" customFormat="false" ht="14.25" hidden="false" customHeight="true" outlineLevel="0" collapsed="false">
      <c r="A151" s="65" t="s">
        <v>437</v>
      </c>
      <c r="B151" s="66" t="s">
        <v>438</v>
      </c>
      <c r="C151" s="67" t="s">
        <v>145</v>
      </c>
      <c r="D151" s="68" t="s">
        <v>100</v>
      </c>
      <c r="E151" s="69" t="s">
        <v>420</v>
      </c>
      <c r="F151" s="70" t="n">
        <f aca="false">IFERROR(VLOOKUP(C151,$AS$3:$AT$10,2,FALSE()),IFERROR(VLOOKUP(C151,$AS$15:$AT$22,2,FALSE()),""))</f>
        <v>10</v>
      </c>
      <c r="G151" s="71" t="n">
        <f aca="false">IFERROR(VLOOKUP(C151,$AS$3:$AX$10,6,FALSE()),IFERROR(VLOOKUP(C151,$AS$15:$AX$22,6,FALSE()),""))</f>
        <v>0.45643525037644</v>
      </c>
      <c r="H151" s="72" t="str">
        <f aca="false">IFERROR(VLOOKUP(C151,$AS$3:$AY$10,7,FALSE()),IFERROR(VLOOKUP(C151,$AS$15:$AY$22,7,FALSE()),""))</f>
        <v>🟡 AMARELO</v>
      </c>
      <c r="I151" s="72" t="str">
        <f aca="false">IFERROR(VLOOKUP(C151,$AS$3:$AZ$10,8,FALSE()),IFERROR(VLOOKUP(C151,$AS$15:$AZ$22,8,FALSE()),""))</f>
        <v>Sell Out</v>
      </c>
      <c r="J151" s="73"/>
      <c r="K151" s="69" t="s">
        <v>145</v>
      </c>
      <c r="L151" s="74" t="n">
        <v>8080.26</v>
      </c>
      <c r="M151" s="75" t="n">
        <v>567.83</v>
      </c>
      <c r="N151" s="75" t="n">
        <v>593.36</v>
      </c>
      <c r="O151" s="75" t="n">
        <v>607.65</v>
      </c>
      <c r="P151" s="75" t="n">
        <v>623.48</v>
      </c>
      <c r="Q151" s="75" t="n">
        <v>643.91</v>
      </c>
      <c r="R151" s="75" t="n">
        <v>660.76</v>
      </c>
      <c r="S151" s="75" t="n">
        <v>686.29</v>
      </c>
      <c r="T151" s="75" t="n">
        <v>703.14</v>
      </c>
      <c r="U151" s="75" t="n">
        <v>718.97</v>
      </c>
      <c r="V151" s="75" t="n">
        <v>736.84</v>
      </c>
      <c r="W151" s="75" t="n">
        <v>756.25</v>
      </c>
      <c r="X151" s="76" t="n">
        <v>781.78</v>
      </c>
      <c r="Y151" s="77" t="s">
        <v>20</v>
      </c>
      <c r="Z151" s="78" t="n">
        <f aca="false">SUM(AA151:AL151)</f>
        <v>3271</v>
      </c>
      <c r="AA151" s="75"/>
      <c r="AB151" s="75"/>
      <c r="AC151" s="75"/>
      <c r="AD151" s="75"/>
      <c r="AE151" s="79" t="n">
        <v>951.12</v>
      </c>
      <c r="AF151" s="79" t="n">
        <v>815.05</v>
      </c>
      <c r="AG151" s="75"/>
      <c r="AH151" s="75"/>
      <c r="AI151" s="75"/>
      <c r="AJ151" s="79" t="n">
        <v>1504.83</v>
      </c>
      <c r="AK151" s="75"/>
      <c r="AL151" s="76"/>
      <c r="AM151" s="56" t="s">
        <v>20</v>
      </c>
      <c r="AN151" s="80" t="n">
        <f aca="false">IF(L151=0,0,Z151/L151)</f>
        <v>0.404813706489643</v>
      </c>
      <c r="AO151" s="81" t="str">
        <f aca="false">IF(AN151="","",IF(AN151&gt;=0.9,"🟢",IF(AN151&gt;=0.7,"🟡",IF(AN151&gt;=0.5,"🟠","🔴"))))</f>
        <v>🔴</v>
      </c>
      <c r="AP151" s="82" t="n">
        <f aca="false">IF(L151=0,0,L151-Z151)</f>
        <v>4809.26</v>
      </c>
      <c r="AQ151" s="83" t="n">
        <f aca="false">IF(AP151=0,"",RANK(AP151,AP$4:AP$503,0))</f>
        <v>136</v>
      </c>
      <c r="AR151" s="84" t="s">
        <v>20</v>
      </c>
      <c r="AS151" s="141"/>
      <c r="AT151" s="141"/>
      <c r="AU151" s="141"/>
      <c r="AV151" s="141"/>
      <c r="AW151" s="141"/>
      <c r="AX151" s="141"/>
      <c r="AY151" s="142"/>
      <c r="AZ151" s="142"/>
      <c r="BA151" s="56" t="s">
        <v>20</v>
      </c>
      <c r="BB151" s="91" t="n">
        <f aca="false">SUM(L$4:L$503)/COUNTA(A$4:A$503)</f>
        <v>9494.39992</v>
      </c>
      <c r="BC151" s="92" t="n">
        <f aca="false">SUM(M$4:M$503)/COUNTA(A$4:A$503)</f>
        <v>667.20008</v>
      </c>
      <c r="BD151" s="92" t="n">
        <f aca="false">SUM(N$4:N$503)/COUNTA(A$4:A$503)</f>
        <v>697.19996</v>
      </c>
      <c r="BE151" s="92" t="n">
        <f aca="false">SUM(O$4:O$503)/COUNTA(A$4:A$503)</f>
        <v>713.9999</v>
      </c>
      <c r="BF151" s="92" t="n">
        <f aca="false">SUM(P$4:P$503)/COUNTA(A$4:A$503)</f>
        <v>732.59984</v>
      </c>
      <c r="BG151" s="92" t="n">
        <f aca="false">SUM(Q$4:Q$503)/COUNTA(A$4:A$503)</f>
        <v>756.59992</v>
      </c>
      <c r="BH151" s="92" t="n">
        <f aca="false">SUM(R$4:R$503)/COUNTA(A$4:A$503)</f>
        <v>776.40004</v>
      </c>
      <c r="BI151" s="92" t="n">
        <f aca="false">SUM(S$4:S$503)/COUNTA(A$4:A$503)</f>
        <v>806.40012</v>
      </c>
      <c r="BJ151" s="92" t="n">
        <f aca="false">SUM(T$4:T$503)/COUNTA(A$4:A$503)</f>
        <v>826.1999</v>
      </c>
      <c r="BK151" s="92" t="n">
        <f aca="false">SUM(U$4:U$503)/COUNTA(A$4:A$503)</f>
        <v>844.8002</v>
      </c>
      <c r="BL151" s="92" t="n">
        <f aca="false">SUM(V$4:V$503)/COUNTA(A$4:A$503)</f>
        <v>865.7998</v>
      </c>
      <c r="BM151" s="92" t="n">
        <f aca="false">SUM(W$4:W$503)/COUNTA(A$4:A$503)</f>
        <v>888.59982</v>
      </c>
      <c r="BN151" s="93" t="n">
        <f aca="false">SUM(X$4:X$503)/COUNTA(A$4:A$503)</f>
        <v>918.60034</v>
      </c>
      <c r="BO151" s="94" t="s">
        <v>20</v>
      </c>
      <c r="BP151" s="91" t="n">
        <f aca="false">IF(Z151&gt;=BB151,0,IFERROR(BB151+(SUMPRODUCT((Z$4:Z$503&gt;=BB$4:BB$503)*(Z$4:Z$503-BB$4:BB$503))/MAX(1,COUNTIF(Z$4:Z$503,"&lt;"&amp;BB151+0.01))),BB151))</f>
        <v>10695.5432177778</v>
      </c>
      <c r="BQ151" s="92" t="n">
        <f aca="false">IF(AA151&gt;=BC151,0,IFERROR(BC151+SUMPRODUCT((AA$4:AA$503&gt;=BC$4:BC$503)*(AA$4:AA$503-BC$4:BC$503))/MAX(1,COUNTIF(AA$4:AA$503,"&lt;"&amp;BC151+0.01)),BC151))</f>
        <v>2238.46589176471</v>
      </c>
      <c r="BR151" s="92" t="n">
        <f aca="false">IF(AB151&gt;=BD151,0,IFERROR(BD151+SUMPRODUCT((AB$4:AB$503&gt;=BD$4:BD$503)*(AB$4:AB$503-BD$4:BD$503))/MAX(1,COUNTIF(AB$4:AB$503,"&lt;"&amp;BD151+0.01)),BD151))</f>
        <v>3335.2938</v>
      </c>
      <c r="BS151" s="92" t="n">
        <f aca="false">IF(AC151&gt;=BE151,0,IFERROR(BE151+SUMPRODUCT((AC$4:AC$503&gt;=BE$4:BE$503)*(AC$4:AC$503-BE$4:BE$503))/MAX(1,COUNTIF(AC$4:AC$503,"&lt;"&amp;BE151+0.01)),BE151))</f>
        <v>6188.73352</v>
      </c>
      <c r="BT151" s="92" t="n">
        <f aca="false">IF(AD151&gt;=BF151,0,IFERROR(BF151+SUMPRODUCT((AD$4:AD$503&gt;=BF$4:BF$503)*(AD$4:AD$503-BF$4:BF$503))/MAX(1,COUNTIF(AD$4:AD$503,"&lt;"&amp;BF151+0.01)),BF151))</f>
        <v>11354.35411</v>
      </c>
      <c r="BU151" s="92" t="n">
        <f aca="false">IF(AE151&gt;=BG151,0,IFERROR(BG151+SUMPRODUCT((AE$4:AE$503&gt;=BG$4:BG$503)*(AE$4:AE$503-BG$4:BG$503))/MAX(1,COUNTIF(AE$4:AE$503,"&lt;"&amp;BG151+0.01)),BG151))</f>
        <v>0</v>
      </c>
      <c r="BV151" s="92" t="n">
        <f aca="false">IF(AF151&gt;=BH151,0,IFERROR(BH151+SUMPRODUCT((AF$4:AF$503&gt;=BH$4:BH$503)*(AF$4:AF$503-BH$4:BH$503))/MAX(1,COUNTIF(AF$4:AF$503,"&lt;"&amp;BH151+0.01)),BH151))</f>
        <v>0</v>
      </c>
      <c r="BW151" s="92" t="n">
        <f aca="false">IF(AG151&gt;=BI151,0,IFERROR(BI151+SUMPRODUCT((AG$4:AG$503&gt;=BI$4:BI$503)*(AG$4:AG$503-BI$4:BI$503))/MAX(1,COUNTIF(AG$4:AG$503,"&lt;"&amp;BI151+0.01)),BI151))</f>
        <v>9142.15870461538</v>
      </c>
      <c r="BX151" s="92" t="n">
        <f aca="false">IF(AH151&gt;=BJ151,0,IFERROR(BJ151+SUMPRODUCT((AH$4:AH$503&gt;=BJ$4:BJ$503)*(AH$4:AH$503-BJ$4:BJ$503))/MAX(1,COUNTIF(AH$4:AH$503,"&lt;"&amp;BJ151+0.01)),BJ151))</f>
        <v>5621.50263448276</v>
      </c>
      <c r="BY151" s="92" t="n">
        <f aca="false">IF(AI151&gt;=BK151,0,IFERROR(BK151+SUMPRODUCT((AI$4:AI$503&gt;=BK$4:BK$503)*(AI$4:AI$503-BK$4:BK$503))/MAX(1,COUNTIF(AI$4:AI$503,"&lt;"&amp;BK151+0.01)),BK151))</f>
        <v>7878.25652380952</v>
      </c>
      <c r="BZ151" s="92" t="n">
        <f aca="false">IF(AJ151&gt;=BL151,0,IFERROR(BL151+SUMPRODUCT((AJ$4:AJ$503&gt;=BL$4:BL$503)*(AJ$4:AJ$503-BL$4:BL$503))/MAX(1,COUNTIF(AJ$4:AJ$503,"&lt;"&amp;BL151+0.01)),BL151))</f>
        <v>0</v>
      </c>
      <c r="CA151" s="92" t="n">
        <f aca="false">IF(AK151&gt;=BM151,0,IFERROR(BM151+SUMPRODUCT((AK$4:AK$503&gt;=BM$4:BM$503)*(AK$4:AK$503-BM$4:BM$503))/MAX(1,COUNTIF(AK$4:AK$503,"&lt;"&amp;BM151+0.01)),BM151))</f>
        <v>7314.89836842105</v>
      </c>
      <c r="CB151" s="93" t="n">
        <f aca="false">IF(AL151&gt;=BN151,0,IFERROR(BN151+SUMPRODUCT((AL$4:AL$503&gt;=BN$4:BN$503)*(AL$4:AL$503-BN$4:BN$503))/MAX(1,COUNTIF(AL$4:AL$503,"&lt;"&amp;BN151+0.01)),BN151))</f>
        <v>3597.2614925</v>
      </c>
      <c r="CC151" s="95" t="str">
        <f aca="false">IF(AO151="🟢","VERDE",IF(AO151="🟡","AMARELO",IF(AO151="🟠","VERMELHO",IF(AO151="🔴","VERMELHO","ROXO"))))</f>
        <v>VERMELHO</v>
      </c>
      <c r="CD151" s="96" t="s">
        <v>103</v>
      </c>
      <c r="CE151" s="96" t="s">
        <v>104</v>
      </c>
    </row>
    <row r="152" customFormat="false" ht="14.25" hidden="false" customHeight="true" outlineLevel="0" collapsed="false">
      <c r="A152" s="65" t="s">
        <v>439</v>
      </c>
      <c r="B152" s="66" t="s">
        <v>440</v>
      </c>
      <c r="C152" s="67" t="s">
        <v>113</v>
      </c>
      <c r="D152" s="68" t="s">
        <v>100</v>
      </c>
      <c r="E152" s="69" t="s">
        <v>250</v>
      </c>
      <c r="F152" s="70" t="n">
        <f aca="false">IFERROR(VLOOKUP(C152,$AS$3:$AT$10,2,FALSE()),IFERROR(VLOOKUP(C152,$AS$15:$AT$22,2,FALSE()),""))</f>
        <v>49</v>
      </c>
      <c r="G152" s="71" t="n">
        <f aca="false">IFERROR(VLOOKUP(C152,$AS$3:$AX$10,6,FALSE()),IFERROR(VLOOKUP(C152,$AS$15:$AX$22,6,FALSE()),""))</f>
        <v>0.463965086137302</v>
      </c>
      <c r="H152" s="72" t="str">
        <f aca="false">IFERROR(VLOOKUP(C152,$AS$3:$AY$10,7,FALSE()),IFERROR(VLOOKUP(C152,$AS$15:$AY$22,7,FALSE()),""))</f>
        <v>🟡 AMARELO</v>
      </c>
      <c r="I152" s="72" t="str">
        <f aca="false">IFERROR(VLOOKUP(C152,$AS$3:$AZ$10,8,FALSE()),IFERROR(VLOOKUP(C152,$AS$15:$AZ$22,8,FALSE()),""))</f>
        <v>Sell Out</v>
      </c>
      <c r="J152" s="73"/>
      <c r="K152" s="69" t="s">
        <v>113</v>
      </c>
      <c r="L152" s="74" t="n">
        <v>8073.24</v>
      </c>
      <c r="M152" s="75" t="n">
        <v>567.33</v>
      </c>
      <c r="N152" s="75" t="n">
        <v>592.84</v>
      </c>
      <c r="O152" s="75" t="n">
        <v>607.13</v>
      </c>
      <c r="P152" s="75" t="n">
        <v>622.94</v>
      </c>
      <c r="Q152" s="75" t="n">
        <v>643.35</v>
      </c>
      <c r="R152" s="75" t="n">
        <v>660.19</v>
      </c>
      <c r="S152" s="75" t="n">
        <v>685.69</v>
      </c>
      <c r="T152" s="75" t="n">
        <v>702.53</v>
      </c>
      <c r="U152" s="75" t="n">
        <v>718.35</v>
      </c>
      <c r="V152" s="75" t="n">
        <v>736.2</v>
      </c>
      <c r="W152" s="75" t="n">
        <v>755.59</v>
      </c>
      <c r="X152" s="76" t="n">
        <v>781.1</v>
      </c>
      <c r="Y152" s="77" t="s">
        <v>20</v>
      </c>
      <c r="Z152" s="78" t="n">
        <f aca="false">SUM(AA152:AL152)</f>
        <v>3292.1</v>
      </c>
      <c r="AA152" s="75"/>
      <c r="AB152" s="75"/>
      <c r="AC152" s="75"/>
      <c r="AD152" s="75"/>
      <c r="AE152" s="79" t="n">
        <v>1735.25</v>
      </c>
      <c r="AF152" s="75"/>
      <c r="AG152" s="79" t="n">
        <v>1556.85</v>
      </c>
      <c r="AH152" s="75"/>
      <c r="AI152" s="75"/>
      <c r="AJ152" s="75"/>
      <c r="AK152" s="75"/>
      <c r="AL152" s="76"/>
      <c r="AM152" s="56" t="s">
        <v>20</v>
      </c>
      <c r="AN152" s="80" t="n">
        <f aca="false">IF(L152=0,0,Z152/L152)</f>
        <v>0.407779280685326</v>
      </c>
      <c r="AO152" s="81" t="str">
        <f aca="false">IF(AN152="","",IF(AN152&gt;=0.9,"🟢",IF(AN152&gt;=0.7,"🟡",IF(AN152&gt;=0.5,"🟠","🔴"))))</f>
        <v>🔴</v>
      </c>
      <c r="AP152" s="82" t="n">
        <f aca="false">IF(L152=0,0,L152-Z152)</f>
        <v>4781.14</v>
      </c>
      <c r="AQ152" s="83" t="n">
        <f aca="false">IF(AP152=0,"",RANK(AP152,AP$4:AP$503,0))</f>
        <v>138</v>
      </c>
      <c r="AR152" s="84" t="s">
        <v>20</v>
      </c>
      <c r="AS152" s="141"/>
      <c r="AT152" s="141"/>
      <c r="AU152" s="141"/>
      <c r="AV152" s="141"/>
      <c r="AW152" s="141"/>
      <c r="AX152" s="141"/>
      <c r="AY152" s="142"/>
      <c r="AZ152" s="142"/>
      <c r="BA152" s="56" t="s">
        <v>20</v>
      </c>
      <c r="BB152" s="91" t="n">
        <f aca="false">SUM(L$4:L$503)/COUNTA(A$4:A$503)</f>
        <v>9494.39992</v>
      </c>
      <c r="BC152" s="92" t="n">
        <f aca="false">SUM(M$4:M$503)/COUNTA(A$4:A$503)</f>
        <v>667.20008</v>
      </c>
      <c r="BD152" s="92" t="n">
        <f aca="false">SUM(N$4:N$503)/COUNTA(A$4:A$503)</f>
        <v>697.19996</v>
      </c>
      <c r="BE152" s="92" t="n">
        <f aca="false">SUM(O$4:O$503)/COUNTA(A$4:A$503)</f>
        <v>713.9999</v>
      </c>
      <c r="BF152" s="92" t="n">
        <f aca="false">SUM(P$4:P$503)/COUNTA(A$4:A$503)</f>
        <v>732.59984</v>
      </c>
      <c r="BG152" s="92" t="n">
        <f aca="false">SUM(Q$4:Q$503)/COUNTA(A$4:A$503)</f>
        <v>756.59992</v>
      </c>
      <c r="BH152" s="92" t="n">
        <f aca="false">SUM(R$4:R$503)/COUNTA(A$4:A$503)</f>
        <v>776.40004</v>
      </c>
      <c r="BI152" s="92" t="n">
        <f aca="false">SUM(S$4:S$503)/COUNTA(A$4:A$503)</f>
        <v>806.40012</v>
      </c>
      <c r="BJ152" s="92" t="n">
        <f aca="false">SUM(T$4:T$503)/COUNTA(A$4:A$503)</f>
        <v>826.1999</v>
      </c>
      <c r="BK152" s="92" t="n">
        <f aca="false">SUM(U$4:U$503)/COUNTA(A$4:A$503)</f>
        <v>844.8002</v>
      </c>
      <c r="BL152" s="92" t="n">
        <f aca="false">SUM(V$4:V$503)/COUNTA(A$4:A$503)</f>
        <v>865.7998</v>
      </c>
      <c r="BM152" s="92" t="n">
        <f aca="false">SUM(W$4:W$503)/COUNTA(A$4:A$503)</f>
        <v>888.59982</v>
      </c>
      <c r="BN152" s="93" t="n">
        <f aca="false">SUM(X$4:X$503)/COUNTA(A$4:A$503)</f>
        <v>918.60034</v>
      </c>
      <c r="BO152" s="94" t="s">
        <v>20</v>
      </c>
      <c r="BP152" s="91" t="n">
        <f aca="false">IF(Z152&gt;=BB152,0,IFERROR(BB152+(SUMPRODUCT((Z$4:Z$503&gt;=BB$4:BB$503)*(Z$4:Z$503-BB$4:BB$503))/MAX(1,COUNTIF(Z$4:Z$503,"&lt;"&amp;BB152+0.01))),BB152))</f>
        <v>10695.5432177778</v>
      </c>
      <c r="BQ152" s="92" t="n">
        <f aca="false">IF(AA152&gt;=BC152,0,IFERROR(BC152+SUMPRODUCT((AA$4:AA$503&gt;=BC$4:BC$503)*(AA$4:AA$503-BC$4:BC$503))/MAX(1,COUNTIF(AA$4:AA$503,"&lt;"&amp;BC152+0.01)),BC152))</f>
        <v>2238.46589176471</v>
      </c>
      <c r="BR152" s="92" t="n">
        <f aca="false">IF(AB152&gt;=BD152,0,IFERROR(BD152+SUMPRODUCT((AB$4:AB$503&gt;=BD$4:BD$503)*(AB$4:AB$503-BD$4:BD$503))/MAX(1,COUNTIF(AB$4:AB$503,"&lt;"&amp;BD152+0.01)),BD152))</f>
        <v>3335.2938</v>
      </c>
      <c r="BS152" s="92" t="n">
        <f aca="false">IF(AC152&gt;=BE152,0,IFERROR(BE152+SUMPRODUCT((AC$4:AC$503&gt;=BE$4:BE$503)*(AC$4:AC$503-BE$4:BE$503))/MAX(1,COUNTIF(AC$4:AC$503,"&lt;"&amp;BE152+0.01)),BE152))</f>
        <v>6188.73352</v>
      </c>
      <c r="BT152" s="92" t="n">
        <f aca="false">IF(AD152&gt;=BF152,0,IFERROR(BF152+SUMPRODUCT((AD$4:AD$503&gt;=BF$4:BF$503)*(AD$4:AD$503-BF$4:BF$503))/MAX(1,COUNTIF(AD$4:AD$503,"&lt;"&amp;BF152+0.01)),BF152))</f>
        <v>11354.35411</v>
      </c>
      <c r="BU152" s="92" t="n">
        <f aca="false">IF(AE152&gt;=BG152,0,IFERROR(BG152+SUMPRODUCT((AE$4:AE$503&gt;=BG$4:BG$503)*(AE$4:AE$503-BG$4:BG$503))/MAX(1,COUNTIF(AE$4:AE$503,"&lt;"&amp;BG152+0.01)),BG152))</f>
        <v>0</v>
      </c>
      <c r="BV152" s="92" t="n">
        <f aca="false">IF(AF152&gt;=BH152,0,IFERROR(BH152+SUMPRODUCT((AF$4:AF$503&gt;=BH$4:BH$503)*(AF$4:AF$503-BH$4:BH$503))/MAX(1,COUNTIF(AF$4:AF$503,"&lt;"&amp;BH152+0.01)),BH152))</f>
        <v>9942.6503831579</v>
      </c>
      <c r="BW152" s="92" t="n">
        <f aca="false">IF(AG152&gt;=BI152,0,IFERROR(BI152+SUMPRODUCT((AG$4:AG$503&gt;=BI$4:BI$503)*(AG$4:AG$503-BI$4:BI$503))/MAX(1,COUNTIF(AG$4:AG$503,"&lt;"&amp;BI152+0.01)),BI152))</f>
        <v>0</v>
      </c>
      <c r="BX152" s="92" t="n">
        <f aca="false">IF(AH152&gt;=BJ152,0,IFERROR(BJ152+SUMPRODUCT((AH$4:AH$503&gt;=BJ$4:BJ$503)*(AH$4:AH$503-BJ$4:BJ$503))/MAX(1,COUNTIF(AH$4:AH$503,"&lt;"&amp;BJ152+0.01)),BJ152))</f>
        <v>5621.50263448276</v>
      </c>
      <c r="BY152" s="92" t="n">
        <f aca="false">IF(AI152&gt;=BK152,0,IFERROR(BK152+SUMPRODUCT((AI$4:AI$503&gt;=BK$4:BK$503)*(AI$4:AI$503-BK$4:BK$503))/MAX(1,COUNTIF(AI$4:AI$503,"&lt;"&amp;BK152+0.01)),BK152))</f>
        <v>7878.25652380952</v>
      </c>
      <c r="BZ152" s="92" t="n">
        <f aca="false">IF(AJ152&gt;=BL152,0,IFERROR(BL152+SUMPRODUCT((AJ$4:AJ$503&gt;=BL$4:BL$503)*(AJ$4:AJ$503-BL$4:BL$503))/MAX(1,COUNTIF(AJ$4:AJ$503,"&lt;"&amp;BL152+0.01)),BL152))</f>
        <v>6710.03292307692</v>
      </c>
      <c r="CA152" s="92" t="n">
        <f aca="false">IF(AK152&gt;=BM152,0,IFERROR(BM152+SUMPRODUCT((AK$4:AK$503&gt;=BM$4:BM$503)*(AK$4:AK$503-BM$4:BM$503))/MAX(1,COUNTIF(AK$4:AK$503,"&lt;"&amp;BM152+0.01)),BM152))</f>
        <v>7314.89836842105</v>
      </c>
      <c r="CB152" s="93" t="n">
        <f aca="false">IF(AL152&gt;=BN152,0,IFERROR(BN152+SUMPRODUCT((AL$4:AL$503&gt;=BN$4:BN$503)*(AL$4:AL$503-BN$4:BN$503))/MAX(1,COUNTIF(AL$4:AL$503,"&lt;"&amp;BN152+0.01)),BN152))</f>
        <v>3597.2614925</v>
      </c>
      <c r="CC152" s="95" t="str">
        <f aca="false">IF(AO152="🟢","VERDE",IF(AO152="🟡","AMARELO",IF(AO152="🟠","VERMELHO",IF(AO152="🔴","VERMELHO","ROXO"))))</f>
        <v>VERMELHO</v>
      </c>
      <c r="CD152" s="96" t="s">
        <v>103</v>
      </c>
      <c r="CE152" s="96" t="s">
        <v>104</v>
      </c>
    </row>
    <row r="153" customFormat="false" ht="14.25" hidden="false" customHeight="true" outlineLevel="0" collapsed="false">
      <c r="A153" s="65" t="s">
        <v>441</v>
      </c>
      <c r="B153" s="66" t="s">
        <v>442</v>
      </c>
      <c r="C153" s="67" t="s">
        <v>113</v>
      </c>
      <c r="D153" s="68" t="s">
        <v>100</v>
      </c>
      <c r="E153" s="69" t="s">
        <v>114</v>
      </c>
      <c r="F153" s="70" t="n">
        <f aca="false">IFERROR(VLOOKUP(C153,$AS$3:$AT$10,2,FALSE()),IFERROR(VLOOKUP(C153,$AS$15:$AT$22,2,FALSE()),""))</f>
        <v>49</v>
      </c>
      <c r="G153" s="71" t="n">
        <f aca="false">IFERROR(VLOOKUP(C153,$AS$3:$AX$10,6,FALSE()),IFERROR(VLOOKUP(C153,$AS$15:$AX$22,6,FALSE()),""))</f>
        <v>0.463965086137302</v>
      </c>
      <c r="H153" s="72" t="str">
        <f aca="false">IFERROR(VLOOKUP(C153,$AS$3:$AY$10,7,FALSE()),IFERROR(VLOOKUP(C153,$AS$15:$AY$22,7,FALSE()),""))</f>
        <v>🟡 AMARELO</v>
      </c>
      <c r="I153" s="72" t="str">
        <f aca="false">IFERROR(VLOOKUP(C153,$AS$3:$AZ$10,8,FALSE()),IFERROR(VLOOKUP(C153,$AS$15:$AZ$22,8,FALSE()),""))</f>
        <v>Sell Out</v>
      </c>
      <c r="J153" s="73"/>
      <c r="K153" s="69" t="s">
        <v>113</v>
      </c>
      <c r="L153" s="74" t="n">
        <v>8014.67</v>
      </c>
      <c r="M153" s="75" t="n">
        <v>563.22</v>
      </c>
      <c r="N153" s="75" t="n">
        <v>588.54</v>
      </c>
      <c r="O153" s="75" t="n">
        <v>602.72</v>
      </c>
      <c r="P153" s="75" t="n">
        <v>618.42</v>
      </c>
      <c r="Q153" s="75" t="n">
        <v>638.68</v>
      </c>
      <c r="R153" s="75" t="n">
        <v>655.4</v>
      </c>
      <c r="S153" s="75" t="n">
        <v>680.72</v>
      </c>
      <c r="T153" s="75" t="n">
        <v>697.43</v>
      </c>
      <c r="U153" s="75" t="n">
        <v>713.14</v>
      </c>
      <c r="V153" s="75" t="n">
        <v>730.86</v>
      </c>
      <c r="W153" s="75" t="n">
        <v>750.11</v>
      </c>
      <c r="X153" s="76" t="n">
        <v>775.43</v>
      </c>
      <c r="Y153" s="77" t="s">
        <v>20</v>
      </c>
      <c r="Z153" s="78" t="n">
        <f aca="false">SUM(AA153:AL153)</f>
        <v>0</v>
      </c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6"/>
      <c r="AM153" s="56" t="s">
        <v>20</v>
      </c>
      <c r="AN153" s="80" t="n">
        <f aca="false">IF(L153=0,0,Z153/L153)</f>
        <v>0</v>
      </c>
      <c r="AO153" s="81" t="str">
        <f aca="false">IF(AN153="","",IF(AN153&gt;=0.9,"🟢",IF(AN153&gt;=0.7,"🟡",IF(AN153&gt;=0.5,"🟠","🔴"))))</f>
        <v>🔴</v>
      </c>
      <c r="AP153" s="82" t="n">
        <f aca="false">IF(L153=0,0,L153-Z153)</f>
        <v>8014.67</v>
      </c>
      <c r="AQ153" s="83" t="n">
        <f aca="false">IF(AP153=0,"",RANK(AP153,AP$4:AP$503,0))</f>
        <v>78</v>
      </c>
      <c r="AR153" s="84" t="s">
        <v>20</v>
      </c>
      <c r="AS153" s="141"/>
      <c r="AT153" s="141"/>
      <c r="AU153" s="141"/>
      <c r="AV153" s="141"/>
      <c r="AW153" s="141"/>
      <c r="AX153" s="141"/>
      <c r="AY153" s="142"/>
      <c r="AZ153" s="142"/>
      <c r="BA153" s="56" t="s">
        <v>20</v>
      </c>
      <c r="BB153" s="91" t="n">
        <f aca="false">SUM(L$4:L$503)/COUNTA(A$4:A$503)</f>
        <v>9494.39992</v>
      </c>
      <c r="BC153" s="92" t="n">
        <f aca="false">SUM(M$4:M$503)/COUNTA(A$4:A$503)</f>
        <v>667.20008</v>
      </c>
      <c r="BD153" s="92" t="n">
        <f aca="false">SUM(N$4:N$503)/COUNTA(A$4:A$503)</f>
        <v>697.19996</v>
      </c>
      <c r="BE153" s="92" t="n">
        <f aca="false">SUM(O$4:O$503)/COUNTA(A$4:A$503)</f>
        <v>713.9999</v>
      </c>
      <c r="BF153" s="92" t="n">
        <f aca="false">SUM(P$4:P$503)/COUNTA(A$4:A$503)</f>
        <v>732.59984</v>
      </c>
      <c r="BG153" s="92" t="n">
        <f aca="false">SUM(Q$4:Q$503)/COUNTA(A$4:A$503)</f>
        <v>756.59992</v>
      </c>
      <c r="BH153" s="92" t="n">
        <f aca="false">SUM(R$4:R$503)/COUNTA(A$4:A$503)</f>
        <v>776.40004</v>
      </c>
      <c r="BI153" s="92" t="n">
        <f aca="false">SUM(S$4:S$503)/COUNTA(A$4:A$503)</f>
        <v>806.40012</v>
      </c>
      <c r="BJ153" s="92" t="n">
        <f aca="false">SUM(T$4:T$503)/COUNTA(A$4:A$503)</f>
        <v>826.1999</v>
      </c>
      <c r="BK153" s="92" t="n">
        <f aca="false">SUM(U$4:U$503)/COUNTA(A$4:A$503)</f>
        <v>844.8002</v>
      </c>
      <c r="BL153" s="92" t="n">
        <f aca="false">SUM(V$4:V$503)/COUNTA(A$4:A$503)</f>
        <v>865.7998</v>
      </c>
      <c r="BM153" s="92" t="n">
        <f aca="false">SUM(W$4:W$503)/COUNTA(A$4:A$503)</f>
        <v>888.59982</v>
      </c>
      <c r="BN153" s="93" t="n">
        <f aca="false">SUM(X$4:X$503)/COUNTA(A$4:A$503)</f>
        <v>918.60034</v>
      </c>
      <c r="BO153" s="94" t="s">
        <v>20</v>
      </c>
      <c r="BP153" s="91" t="n">
        <f aca="false">IF(Z153&gt;=BB153,0,IFERROR(BB153+(SUMPRODUCT((Z$4:Z$503&gt;=BB$4:BB$503)*(Z$4:Z$503-BB$4:BB$503))/MAX(1,COUNTIF(Z$4:Z$503,"&lt;"&amp;BB153+0.01))),BB153))</f>
        <v>10695.5432177778</v>
      </c>
      <c r="BQ153" s="92" t="n">
        <f aca="false">IF(AA153&gt;=BC153,0,IFERROR(BC153+SUMPRODUCT((AA$4:AA$503&gt;=BC$4:BC$503)*(AA$4:AA$503-BC$4:BC$503))/MAX(1,COUNTIF(AA$4:AA$503,"&lt;"&amp;BC153+0.01)),BC153))</f>
        <v>2238.46589176471</v>
      </c>
      <c r="BR153" s="92" t="n">
        <f aca="false">IF(AB153&gt;=BD153,0,IFERROR(BD153+SUMPRODUCT((AB$4:AB$503&gt;=BD$4:BD$503)*(AB$4:AB$503-BD$4:BD$503))/MAX(1,COUNTIF(AB$4:AB$503,"&lt;"&amp;BD153+0.01)),BD153))</f>
        <v>3335.2938</v>
      </c>
      <c r="BS153" s="92" t="n">
        <f aca="false">IF(AC153&gt;=BE153,0,IFERROR(BE153+SUMPRODUCT((AC$4:AC$503&gt;=BE$4:BE$503)*(AC$4:AC$503-BE$4:BE$503))/MAX(1,COUNTIF(AC$4:AC$503,"&lt;"&amp;BE153+0.01)),BE153))</f>
        <v>6188.73352</v>
      </c>
      <c r="BT153" s="92" t="n">
        <f aca="false">IF(AD153&gt;=BF153,0,IFERROR(BF153+SUMPRODUCT((AD$4:AD$503&gt;=BF$4:BF$503)*(AD$4:AD$503-BF$4:BF$503))/MAX(1,COUNTIF(AD$4:AD$503,"&lt;"&amp;BF153+0.01)),BF153))</f>
        <v>11354.35411</v>
      </c>
      <c r="BU153" s="92" t="n">
        <f aca="false">IF(AE153&gt;=BG153,0,IFERROR(BG153+SUMPRODUCT((AE$4:AE$503&gt;=BG$4:BG$503)*(AE$4:AE$503-BG$4:BG$503))/MAX(1,COUNTIF(AE$4:AE$503,"&lt;"&amp;BG153+0.01)),BG153))</f>
        <v>7704.85920380952</v>
      </c>
      <c r="BV153" s="92" t="n">
        <f aca="false">IF(AF153&gt;=BH153,0,IFERROR(BH153+SUMPRODUCT((AF$4:AF$503&gt;=BH$4:BH$503)*(AF$4:AF$503-BH$4:BH$503))/MAX(1,COUNTIF(AF$4:AF$503,"&lt;"&amp;BH153+0.01)),BH153))</f>
        <v>9942.6503831579</v>
      </c>
      <c r="BW153" s="92" t="n">
        <f aca="false">IF(AG153&gt;=BI153,0,IFERROR(BI153+SUMPRODUCT((AG$4:AG$503&gt;=BI$4:BI$503)*(AG$4:AG$503-BI$4:BI$503))/MAX(1,COUNTIF(AG$4:AG$503,"&lt;"&amp;BI153+0.01)),BI153))</f>
        <v>9142.15870461538</v>
      </c>
      <c r="BX153" s="92" t="n">
        <f aca="false">IF(AH153&gt;=BJ153,0,IFERROR(BJ153+SUMPRODUCT((AH$4:AH$503&gt;=BJ$4:BJ$503)*(AH$4:AH$503-BJ$4:BJ$503))/MAX(1,COUNTIF(AH$4:AH$503,"&lt;"&amp;BJ153+0.01)),BJ153))</f>
        <v>5621.50263448276</v>
      </c>
      <c r="BY153" s="92" t="n">
        <f aca="false">IF(AI153&gt;=BK153,0,IFERROR(BK153+SUMPRODUCT((AI$4:AI$503&gt;=BK$4:BK$503)*(AI$4:AI$503-BK$4:BK$503))/MAX(1,COUNTIF(AI$4:AI$503,"&lt;"&amp;BK153+0.01)),BK153))</f>
        <v>7878.25652380952</v>
      </c>
      <c r="BZ153" s="92" t="n">
        <f aca="false">IF(AJ153&gt;=BL153,0,IFERROR(BL153+SUMPRODUCT((AJ$4:AJ$503&gt;=BL$4:BL$503)*(AJ$4:AJ$503-BL$4:BL$503))/MAX(1,COUNTIF(AJ$4:AJ$503,"&lt;"&amp;BL153+0.01)),BL153))</f>
        <v>6710.03292307692</v>
      </c>
      <c r="CA153" s="92" t="n">
        <f aca="false">IF(AK153&gt;=BM153,0,IFERROR(BM153+SUMPRODUCT((AK$4:AK$503&gt;=BM$4:BM$503)*(AK$4:AK$503-BM$4:BM$503))/MAX(1,COUNTIF(AK$4:AK$503,"&lt;"&amp;BM153+0.01)),BM153))</f>
        <v>7314.89836842105</v>
      </c>
      <c r="CB153" s="93" t="n">
        <f aca="false">IF(AL153&gt;=BN153,0,IFERROR(BN153+SUMPRODUCT((AL$4:AL$503&gt;=BN$4:BN$503)*(AL$4:AL$503-BN$4:BN$503))/MAX(1,COUNTIF(AL$4:AL$503,"&lt;"&amp;BN153+0.01)),BN153))</f>
        <v>3597.2614925</v>
      </c>
      <c r="CC153" s="95" t="str">
        <f aca="false">IF(AO153="🟢","VERDE",IF(AO153="🟡","AMARELO",IF(AO153="🟠","VERMELHO",IF(AO153="🔴","VERMELHO","ROXO"))))</f>
        <v>VERMELHO</v>
      </c>
      <c r="CD153" s="96" t="s">
        <v>103</v>
      </c>
      <c r="CE153" s="96" t="s">
        <v>104</v>
      </c>
    </row>
    <row r="154" customFormat="false" ht="14.25" hidden="false" customHeight="true" outlineLevel="0" collapsed="false">
      <c r="A154" s="65" t="s">
        <v>443</v>
      </c>
      <c r="B154" s="66" t="s">
        <v>444</v>
      </c>
      <c r="C154" s="67" t="s">
        <v>107</v>
      </c>
      <c r="D154" s="68" t="s">
        <v>108</v>
      </c>
      <c r="E154" s="69" t="s">
        <v>139</v>
      </c>
      <c r="F154" s="70" t="n">
        <f aca="false">IFERROR(VLOOKUP(C154,$AS$3:$AT$10,2,FALSE()),IFERROR(VLOOKUP(C154,$AS$15:$AT$22,2,FALSE()),""))</f>
        <v>132</v>
      </c>
      <c r="G154" s="71" t="n">
        <f aca="false">IFERROR(VLOOKUP(C154,$AS$3:$AX$10,6,FALSE()),IFERROR(VLOOKUP(C154,$AS$15:$AX$22,6,FALSE()),""))</f>
        <v>0.468190175850689</v>
      </c>
      <c r="H154" s="72" t="str">
        <f aca="false">IFERROR(VLOOKUP(C154,$AS$3:$AY$10,7,FALSE()),IFERROR(VLOOKUP(C154,$AS$15:$AY$22,7,FALSE()),""))</f>
        <v>🟡 AMARELO</v>
      </c>
      <c r="I154" s="72" t="str">
        <f aca="false">IFERROR(VLOOKUP(C154,$AS$3:$AZ$10,8,FALSE()),IFERROR(VLOOKUP(C154,$AS$15:$AZ$22,8,FALSE()),""))</f>
        <v>Sell Out</v>
      </c>
      <c r="J154" s="73"/>
      <c r="K154" s="69" t="s">
        <v>107</v>
      </c>
      <c r="L154" s="74" t="n">
        <v>7995.2</v>
      </c>
      <c r="M154" s="75" t="n">
        <v>561.85</v>
      </c>
      <c r="N154" s="75" t="n">
        <v>587.11</v>
      </c>
      <c r="O154" s="75" t="n">
        <v>601.26</v>
      </c>
      <c r="P154" s="75" t="n">
        <v>616.92</v>
      </c>
      <c r="Q154" s="75" t="n">
        <v>637.13</v>
      </c>
      <c r="R154" s="75" t="n">
        <v>653.8</v>
      </c>
      <c r="S154" s="75" t="n">
        <v>679.06</v>
      </c>
      <c r="T154" s="75" t="n">
        <v>695.74</v>
      </c>
      <c r="U154" s="75" t="n">
        <v>711.4</v>
      </c>
      <c r="V154" s="75" t="n">
        <v>729.09</v>
      </c>
      <c r="W154" s="75" t="n">
        <v>748.29</v>
      </c>
      <c r="X154" s="76" t="n">
        <v>773.55</v>
      </c>
      <c r="Y154" s="77" t="s">
        <v>20</v>
      </c>
      <c r="Z154" s="78" t="n">
        <f aca="false">SUM(AA154:AL154)</f>
        <v>4289.58</v>
      </c>
      <c r="AA154" s="75"/>
      <c r="AB154" s="75"/>
      <c r="AC154" s="75"/>
      <c r="AD154" s="75"/>
      <c r="AE154" s="75"/>
      <c r="AF154" s="79" t="n">
        <v>2272.6</v>
      </c>
      <c r="AG154" s="75"/>
      <c r="AH154" s="75"/>
      <c r="AI154" s="75" t="n">
        <v>1016.3</v>
      </c>
      <c r="AJ154" s="79" t="n">
        <v>1000.68</v>
      </c>
      <c r="AK154" s="75"/>
      <c r="AL154" s="76"/>
      <c r="AM154" s="56" t="s">
        <v>20</v>
      </c>
      <c r="AN154" s="80" t="n">
        <f aca="false">IF(L154=0,0,Z154/L154)</f>
        <v>0.536519411646988</v>
      </c>
      <c r="AO154" s="81" t="str">
        <f aca="false">IF(AN154="","",IF(AN154&gt;=0.9,"🟢",IF(AN154&gt;=0.7,"🟡",IF(AN154&gt;=0.5,"🟠","🔴"))))</f>
        <v>🟠</v>
      </c>
      <c r="AP154" s="82" t="n">
        <f aca="false">IF(L154=0,0,L154-Z154)</f>
        <v>3705.62</v>
      </c>
      <c r="AQ154" s="83" t="n">
        <f aca="false">IF(AP154=0,"",RANK(AP154,AP$4:AP$503,0))</f>
        <v>174</v>
      </c>
      <c r="AR154" s="84" t="s">
        <v>20</v>
      </c>
      <c r="AS154" s="141"/>
      <c r="AT154" s="141"/>
      <c r="AU154" s="141"/>
      <c r="AV154" s="141"/>
      <c r="AW154" s="141"/>
      <c r="AX154" s="141"/>
      <c r="AY154" s="142"/>
      <c r="AZ154" s="142"/>
      <c r="BA154" s="56" t="s">
        <v>20</v>
      </c>
      <c r="BB154" s="91" t="n">
        <f aca="false">SUM(L$4:L$503)/COUNTA(A$4:A$503)</f>
        <v>9494.39992</v>
      </c>
      <c r="BC154" s="92" t="n">
        <f aca="false">SUM(M$4:M$503)/COUNTA(A$4:A$503)</f>
        <v>667.20008</v>
      </c>
      <c r="BD154" s="92" t="n">
        <f aca="false">SUM(N$4:N$503)/COUNTA(A$4:A$503)</f>
        <v>697.19996</v>
      </c>
      <c r="BE154" s="92" t="n">
        <f aca="false">SUM(O$4:O$503)/COUNTA(A$4:A$503)</f>
        <v>713.9999</v>
      </c>
      <c r="BF154" s="92" t="n">
        <f aca="false">SUM(P$4:P$503)/COUNTA(A$4:A$503)</f>
        <v>732.59984</v>
      </c>
      <c r="BG154" s="92" t="n">
        <f aca="false">SUM(Q$4:Q$503)/COUNTA(A$4:A$503)</f>
        <v>756.59992</v>
      </c>
      <c r="BH154" s="92" t="n">
        <f aca="false">SUM(R$4:R$503)/COUNTA(A$4:A$503)</f>
        <v>776.40004</v>
      </c>
      <c r="BI154" s="92" t="n">
        <f aca="false">SUM(S$4:S$503)/COUNTA(A$4:A$503)</f>
        <v>806.40012</v>
      </c>
      <c r="BJ154" s="92" t="n">
        <f aca="false">SUM(T$4:T$503)/COUNTA(A$4:A$503)</f>
        <v>826.1999</v>
      </c>
      <c r="BK154" s="92" t="n">
        <f aca="false">SUM(U$4:U$503)/COUNTA(A$4:A$503)</f>
        <v>844.8002</v>
      </c>
      <c r="BL154" s="92" t="n">
        <f aca="false">SUM(V$4:V$503)/COUNTA(A$4:A$503)</f>
        <v>865.7998</v>
      </c>
      <c r="BM154" s="92" t="n">
        <f aca="false">SUM(W$4:W$503)/COUNTA(A$4:A$503)</f>
        <v>888.59982</v>
      </c>
      <c r="BN154" s="93" t="n">
        <f aca="false">SUM(X$4:X$503)/COUNTA(A$4:A$503)</f>
        <v>918.60034</v>
      </c>
      <c r="BO154" s="94" t="s">
        <v>20</v>
      </c>
      <c r="BP154" s="91" t="n">
        <f aca="false">IF(Z154&gt;=BB154,0,IFERROR(BB154+(SUMPRODUCT((Z$4:Z$503&gt;=BB$4:BB$503)*(Z$4:Z$503-BB$4:BB$503))/MAX(1,COUNTIF(Z$4:Z$503,"&lt;"&amp;BB154+0.01))),BB154))</f>
        <v>10695.5432177778</v>
      </c>
      <c r="BQ154" s="92" t="n">
        <f aca="false">IF(AA154&gt;=BC154,0,IFERROR(BC154+SUMPRODUCT((AA$4:AA$503&gt;=BC$4:BC$503)*(AA$4:AA$503-BC$4:BC$503))/MAX(1,COUNTIF(AA$4:AA$503,"&lt;"&amp;BC154+0.01)),BC154))</f>
        <v>2238.46589176471</v>
      </c>
      <c r="BR154" s="92" t="n">
        <f aca="false">IF(AB154&gt;=BD154,0,IFERROR(BD154+SUMPRODUCT((AB$4:AB$503&gt;=BD$4:BD$503)*(AB$4:AB$503-BD$4:BD$503))/MAX(1,COUNTIF(AB$4:AB$503,"&lt;"&amp;BD154+0.01)),BD154))</f>
        <v>3335.2938</v>
      </c>
      <c r="BS154" s="92" t="n">
        <f aca="false">IF(AC154&gt;=BE154,0,IFERROR(BE154+SUMPRODUCT((AC$4:AC$503&gt;=BE$4:BE$503)*(AC$4:AC$503-BE$4:BE$503))/MAX(1,COUNTIF(AC$4:AC$503,"&lt;"&amp;BE154+0.01)),BE154))</f>
        <v>6188.73352</v>
      </c>
      <c r="BT154" s="92" t="n">
        <f aca="false">IF(AD154&gt;=BF154,0,IFERROR(BF154+SUMPRODUCT((AD$4:AD$503&gt;=BF$4:BF$503)*(AD$4:AD$503-BF$4:BF$503))/MAX(1,COUNTIF(AD$4:AD$503,"&lt;"&amp;BF154+0.01)),BF154))</f>
        <v>11354.35411</v>
      </c>
      <c r="BU154" s="92" t="n">
        <f aca="false">IF(AE154&gt;=BG154,0,IFERROR(BG154+SUMPRODUCT((AE$4:AE$503&gt;=BG$4:BG$503)*(AE$4:AE$503-BG$4:BG$503))/MAX(1,COUNTIF(AE$4:AE$503,"&lt;"&amp;BG154+0.01)),BG154))</f>
        <v>7704.85920380952</v>
      </c>
      <c r="BV154" s="92" t="n">
        <f aca="false">IF(AF154&gt;=BH154,0,IFERROR(BH154+SUMPRODUCT((AF$4:AF$503&gt;=BH$4:BH$503)*(AF$4:AF$503-BH$4:BH$503))/MAX(1,COUNTIF(AF$4:AF$503,"&lt;"&amp;BH154+0.01)),BH154))</f>
        <v>0</v>
      </c>
      <c r="BW154" s="92" t="n">
        <f aca="false">IF(AG154&gt;=BI154,0,IFERROR(BI154+SUMPRODUCT((AG$4:AG$503&gt;=BI$4:BI$503)*(AG$4:AG$503-BI$4:BI$503))/MAX(1,COUNTIF(AG$4:AG$503,"&lt;"&amp;BI154+0.01)),BI154))</f>
        <v>9142.15870461538</v>
      </c>
      <c r="BX154" s="92" t="n">
        <f aca="false">IF(AH154&gt;=BJ154,0,IFERROR(BJ154+SUMPRODUCT((AH$4:AH$503&gt;=BJ$4:BJ$503)*(AH$4:AH$503-BJ$4:BJ$503))/MAX(1,COUNTIF(AH$4:AH$503,"&lt;"&amp;BJ154+0.01)),BJ154))</f>
        <v>5621.50263448276</v>
      </c>
      <c r="BY154" s="92" t="n">
        <f aca="false">IF(AI154&gt;=BK154,0,IFERROR(BK154+SUMPRODUCT((AI$4:AI$503&gt;=BK$4:BK$503)*(AI$4:AI$503-BK$4:BK$503))/MAX(1,COUNTIF(AI$4:AI$503,"&lt;"&amp;BK154+0.01)),BK154))</f>
        <v>0</v>
      </c>
      <c r="BZ154" s="92" t="n">
        <f aca="false">IF(AJ154&gt;=BL154,0,IFERROR(BL154+SUMPRODUCT((AJ$4:AJ$503&gt;=BL$4:BL$503)*(AJ$4:AJ$503-BL$4:BL$503))/MAX(1,COUNTIF(AJ$4:AJ$503,"&lt;"&amp;BL154+0.01)),BL154))</f>
        <v>0</v>
      </c>
      <c r="CA154" s="92" t="n">
        <f aca="false">IF(AK154&gt;=BM154,0,IFERROR(BM154+SUMPRODUCT((AK$4:AK$503&gt;=BM$4:BM$503)*(AK$4:AK$503-BM$4:BM$503))/MAX(1,COUNTIF(AK$4:AK$503,"&lt;"&amp;BM154+0.01)),BM154))</f>
        <v>7314.89836842105</v>
      </c>
      <c r="CB154" s="93" t="n">
        <f aca="false">IF(AL154&gt;=BN154,0,IFERROR(BN154+SUMPRODUCT((AL$4:AL$503&gt;=BN$4:BN$503)*(AL$4:AL$503-BN$4:BN$503))/MAX(1,COUNTIF(AL$4:AL$503,"&lt;"&amp;BN154+0.01)),BN154))</f>
        <v>3597.2614925</v>
      </c>
      <c r="CC154" s="95" t="str">
        <f aca="false">IF(AO154="🟢","VERDE",IF(AO154="🟡","AMARELO",IF(AO154="🟠","VERMELHO",IF(AO154="🔴","VERMELHO","ROXO"))))</f>
        <v>VERMELHO</v>
      </c>
      <c r="CD154" s="96" t="s">
        <v>103</v>
      </c>
      <c r="CE154" s="96" t="s">
        <v>104</v>
      </c>
    </row>
    <row r="155" customFormat="false" ht="14.25" hidden="false" customHeight="true" outlineLevel="0" collapsed="false">
      <c r="A155" s="65" t="s">
        <v>445</v>
      </c>
      <c r="B155" s="66" t="s">
        <v>446</v>
      </c>
      <c r="C155" s="67" t="s">
        <v>107</v>
      </c>
      <c r="D155" s="68" t="s">
        <v>108</v>
      </c>
      <c r="E155" s="69" t="s">
        <v>139</v>
      </c>
      <c r="F155" s="70" t="n">
        <f aca="false">IFERROR(VLOOKUP(C155,$AS$3:$AT$10,2,FALSE()),IFERROR(VLOOKUP(C155,$AS$15:$AT$22,2,FALSE()),""))</f>
        <v>132</v>
      </c>
      <c r="G155" s="71" t="n">
        <f aca="false">IFERROR(VLOOKUP(C155,$AS$3:$AX$10,6,FALSE()),IFERROR(VLOOKUP(C155,$AS$15:$AX$22,6,FALSE()),""))</f>
        <v>0.468190175850689</v>
      </c>
      <c r="H155" s="72" t="str">
        <f aca="false">IFERROR(VLOOKUP(C155,$AS$3:$AY$10,7,FALSE()),IFERROR(VLOOKUP(C155,$AS$15:$AY$22,7,FALSE()),""))</f>
        <v>🟡 AMARELO</v>
      </c>
      <c r="I155" s="72" t="str">
        <f aca="false">IFERROR(VLOOKUP(C155,$AS$3:$AZ$10,8,FALSE()),IFERROR(VLOOKUP(C155,$AS$15:$AZ$22,8,FALSE()),""))</f>
        <v>Sell Out</v>
      </c>
      <c r="J155" s="73"/>
      <c r="K155" s="69" t="s">
        <v>107</v>
      </c>
      <c r="L155" s="74" t="n">
        <v>7982.08</v>
      </c>
      <c r="M155" s="75" t="n">
        <v>560.92</v>
      </c>
      <c r="N155" s="75" t="n">
        <v>586.15</v>
      </c>
      <c r="O155" s="75" t="n">
        <v>600.27</v>
      </c>
      <c r="P155" s="75" t="n">
        <v>615.91</v>
      </c>
      <c r="Q155" s="75" t="n">
        <v>636.08</v>
      </c>
      <c r="R155" s="75" t="n">
        <v>652.73</v>
      </c>
      <c r="S155" s="75" t="n">
        <v>677.95</v>
      </c>
      <c r="T155" s="75" t="n">
        <v>694.6</v>
      </c>
      <c r="U155" s="75" t="n">
        <v>710.24</v>
      </c>
      <c r="V155" s="75" t="n">
        <v>727.89</v>
      </c>
      <c r="W155" s="75" t="n">
        <v>747.06</v>
      </c>
      <c r="X155" s="76" t="n">
        <v>772.28</v>
      </c>
      <c r="Y155" s="77" t="s">
        <v>20</v>
      </c>
      <c r="Z155" s="78" t="n">
        <f aca="false">SUM(AA155:AL155)</f>
        <v>3210</v>
      </c>
      <c r="AA155" s="75"/>
      <c r="AB155" s="75"/>
      <c r="AC155" s="75"/>
      <c r="AD155" s="75"/>
      <c r="AE155" s="75"/>
      <c r="AF155" s="75"/>
      <c r="AG155" s="75"/>
      <c r="AH155" s="75"/>
      <c r="AI155" s="79" t="n">
        <v>3210</v>
      </c>
      <c r="AJ155" s="75"/>
      <c r="AK155" s="75"/>
      <c r="AL155" s="76"/>
      <c r="AM155" s="56" t="s">
        <v>20</v>
      </c>
      <c r="AN155" s="80" t="n">
        <f aca="false">IF(L155=0,0,Z155/L155)</f>
        <v>0.402150817831944</v>
      </c>
      <c r="AO155" s="81" t="str">
        <f aca="false">IF(AN155="","",IF(AN155&gt;=0.9,"🟢",IF(AN155&gt;=0.7,"🟡",IF(AN155&gt;=0.5,"🟠","🔴"))))</f>
        <v>🔴</v>
      </c>
      <c r="AP155" s="82" t="n">
        <f aca="false">IF(L155=0,0,L155-Z155)</f>
        <v>4772.08</v>
      </c>
      <c r="AQ155" s="83" t="n">
        <f aca="false">IF(AP155=0,"",RANK(AP155,AP$4:AP$503,0))</f>
        <v>139</v>
      </c>
      <c r="AR155" s="84" t="s">
        <v>20</v>
      </c>
      <c r="AS155" s="141"/>
      <c r="AT155" s="141"/>
      <c r="AU155" s="141"/>
      <c r="AV155" s="141"/>
      <c r="AW155" s="141"/>
      <c r="AX155" s="141"/>
      <c r="AY155" s="142"/>
      <c r="AZ155" s="142"/>
      <c r="BA155" s="56" t="s">
        <v>20</v>
      </c>
      <c r="BB155" s="91" t="n">
        <f aca="false">SUM(L$4:L$503)/COUNTA(A$4:A$503)</f>
        <v>9494.39992</v>
      </c>
      <c r="BC155" s="92" t="n">
        <f aca="false">SUM(M$4:M$503)/COUNTA(A$4:A$503)</f>
        <v>667.20008</v>
      </c>
      <c r="BD155" s="92" t="n">
        <f aca="false">SUM(N$4:N$503)/COUNTA(A$4:A$503)</f>
        <v>697.19996</v>
      </c>
      <c r="BE155" s="92" t="n">
        <f aca="false">SUM(O$4:O$503)/COUNTA(A$4:A$503)</f>
        <v>713.9999</v>
      </c>
      <c r="BF155" s="92" t="n">
        <f aca="false">SUM(P$4:P$503)/COUNTA(A$4:A$503)</f>
        <v>732.59984</v>
      </c>
      <c r="BG155" s="92" t="n">
        <f aca="false">SUM(Q$4:Q$503)/COUNTA(A$4:A$503)</f>
        <v>756.59992</v>
      </c>
      <c r="BH155" s="92" t="n">
        <f aca="false">SUM(R$4:R$503)/COUNTA(A$4:A$503)</f>
        <v>776.40004</v>
      </c>
      <c r="BI155" s="92" t="n">
        <f aca="false">SUM(S$4:S$503)/COUNTA(A$4:A$503)</f>
        <v>806.40012</v>
      </c>
      <c r="BJ155" s="92" t="n">
        <f aca="false">SUM(T$4:T$503)/COUNTA(A$4:A$503)</f>
        <v>826.1999</v>
      </c>
      <c r="BK155" s="92" t="n">
        <f aca="false">SUM(U$4:U$503)/COUNTA(A$4:A$503)</f>
        <v>844.8002</v>
      </c>
      <c r="BL155" s="92" t="n">
        <f aca="false">SUM(V$4:V$503)/COUNTA(A$4:A$503)</f>
        <v>865.7998</v>
      </c>
      <c r="BM155" s="92" t="n">
        <f aca="false">SUM(W$4:W$503)/COUNTA(A$4:A$503)</f>
        <v>888.59982</v>
      </c>
      <c r="BN155" s="93" t="n">
        <f aca="false">SUM(X$4:X$503)/COUNTA(A$4:A$503)</f>
        <v>918.60034</v>
      </c>
      <c r="BO155" s="94" t="s">
        <v>20</v>
      </c>
      <c r="BP155" s="91" t="n">
        <f aca="false">IF(Z155&gt;=BB155,0,IFERROR(BB155+(SUMPRODUCT((Z$4:Z$503&gt;=BB$4:BB$503)*(Z$4:Z$503-BB$4:BB$503))/MAX(1,COUNTIF(Z$4:Z$503,"&lt;"&amp;BB155+0.01))),BB155))</f>
        <v>10695.5432177778</v>
      </c>
      <c r="BQ155" s="92" t="n">
        <f aca="false">IF(AA155&gt;=BC155,0,IFERROR(BC155+SUMPRODUCT((AA$4:AA$503&gt;=BC$4:BC$503)*(AA$4:AA$503-BC$4:BC$503))/MAX(1,COUNTIF(AA$4:AA$503,"&lt;"&amp;BC155+0.01)),BC155))</f>
        <v>2238.46589176471</v>
      </c>
      <c r="BR155" s="92" t="n">
        <f aca="false">IF(AB155&gt;=BD155,0,IFERROR(BD155+SUMPRODUCT((AB$4:AB$503&gt;=BD$4:BD$503)*(AB$4:AB$503-BD$4:BD$503))/MAX(1,COUNTIF(AB$4:AB$503,"&lt;"&amp;BD155+0.01)),BD155))</f>
        <v>3335.2938</v>
      </c>
      <c r="BS155" s="92" t="n">
        <f aca="false">IF(AC155&gt;=BE155,0,IFERROR(BE155+SUMPRODUCT((AC$4:AC$503&gt;=BE$4:BE$503)*(AC$4:AC$503-BE$4:BE$503))/MAX(1,COUNTIF(AC$4:AC$503,"&lt;"&amp;BE155+0.01)),BE155))</f>
        <v>6188.73352</v>
      </c>
      <c r="BT155" s="92" t="n">
        <f aca="false">IF(AD155&gt;=BF155,0,IFERROR(BF155+SUMPRODUCT((AD$4:AD$503&gt;=BF$4:BF$503)*(AD$4:AD$503-BF$4:BF$503))/MAX(1,COUNTIF(AD$4:AD$503,"&lt;"&amp;BF155+0.01)),BF155))</f>
        <v>11354.35411</v>
      </c>
      <c r="BU155" s="92" t="n">
        <f aca="false">IF(AE155&gt;=BG155,0,IFERROR(BG155+SUMPRODUCT((AE$4:AE$503&gt;=BG$4:BG$503)*(AE$4:AE$503-BG$4:BG$503))/MAX(1,COUNTIF(AE$4:AE$503,"&lt;"&amp;BG155+0.01)),BG155))</f>
        <v>7704.85920380952</v>
      </c>
      <c r="BV155" s="92" t="n">
        <f aca="false">IF(AF155&gt;=BH155,0,IFERROR(BH155+SUMPRODUCT((AF$4:AF$503&gt;=BH$4:BH$503)*(AF$4:AF$503-BH$4:BH$503))/MAX(1,COUNTIF(AF$4:AF$503,"&lt;"&amp;BH155+0.01)),BH155))</f>
        <v>9942.6503831579</v>
      </c>
      <c r="BW155" s="92" t="n">
        <f aca="false">IF(AG155&gt;=BI155,0,IFERROR(BI155+SUMPRODUCT((AG$4:AG$503&gt;=BI$4:BI$503)*(AG$4:AG$503-BI$4:BI$503))/MAX(1,COUNTIF(AG$4:AG$503,"&lt;"&amp;BI155+0.01)),BI155))</f>
        <v>9142.15870461538</v>
      </c>
      <c r="BX155" s="92" t="n">
        <f aca="false">IF(AH155&gt;=BJ155,0,IFERROR(BJ155+SUMPRODUCT((AH$4:AH$503&gt;=BJ$4:BJ$503)*(AH$4:AH$503-BJ$4:BJ$503))/MAX(1,COUNTIF(AH$4:AH$503,"&lt;"&amp;BJ155+0.01)),BJ155))</f>
        <v>5621.50263448276</v>
      </c>
      <c r="BY155" s="92" t="n">
        <f aca="false">IF(AI155&gt;=BK155,0,IFERROR(BK155+SUMPRODUCT((AI$4:AI$503&gt;=BK$4:BK$503)*(AI$4:AI$503-BK$4:BK$503))/MAX(1,COUNTIF(AI$4:AI$503,"&lt;"&amp;BK155+0.01)),BK155))</f>
        <v>0</v>
      </c>
      <c r="BZ155" s="92" t="n">
        <f aca="false">IF(AJ155&gt;=BL155,0,IFERROR(BL155+SUMPRODUCT((AJ$4:AJ$503&gt;=BL$4:BL$503)*(AJ$4:AJ$503-BL$4:BL$503))/MAX(1,COUNTIF(AJ$4:AJ$503,"&lt;"&amp;BL155+0.01)),BL155))</f>
        <v>6710.03292307692</v>
      </c>
      <c r="CA155" s="92" t="n">
        <f aca="false">IF(AK155&gt;=BM155,0,IFERROR(BM155+SUMPRODUCT((AK$4:AK$503&gt;=BM$4:BM$503)*(AK$4:AK$503-BM$4:BM$503))/MAX(1,COUNTIF(AK$4:AK$503,"&lt;"&amp;BM155+0.01)),BM155))</f>
        <v>7314.89836842105</v>
      </c>
      <c r="CB155" s="93" t="n">
        <f aca="false">IF(AL155&gt;=BN155,0,IFERROR(BN155+SUMPRODUCT((AL$4:AL$503&gt;=BN$4:BN$503)*(AL$4:AL$503-BN$4:BN$503))/MAX(1,COUNTIF(AL$4:AL$503,"&lt;"&amp;BN155+0.01)),BN155))</f>
        <v>3597.2614925</v>
      </c>
      <c r="CC155" s="95" t="str">
        <f aca="false">IF(AO155="🟢","VERDE",IF(AO155="🟡","AMARELO",IF(AO155="🟠","VERMELHO",IF(AO155="🔴","VERMELHO","ROXO"))))</f>
        <v>VERMELHO</v>
      </c>
      <c r="CD155" s="96" t="s">
        <v>103</v>
      </c>
      <c r="CE155" s="96" t="s">
        <v>104</v>
      </c>
    </row>
    <row r="156" customFormat="false" ht="14.25" hidden="false" customHeight="true" outlineLevel="0" collapsed="false">
      <c r="A156" s="65" t="s">
        <v>447</v>
      </c>
      <c r="B156" s="66" t="s">
        <v>448</v>
      </c>
      <c r="C156" s="67" t="s">
        <v>107</v>
      </c>
      <c r="D156" s="68" t="s">
        <v>108</v>
      </c>
      <c r="E156" s="69" t="s">
        <v>139</v>
      </c>
      <c r="F156" s="70" t="n">
        <f aca="false">IFERROR(VLOOKUP(C156,$AS$3:$AT$10,2,FALSE()),IFERROR(VLOOKUP(C156,$AS$15:$AT$22,2,FALSE()),""))</f>
        <v>132</v>
      </c>
      <c r="G156" s="71" t="n">
        <f aca="false">IFERROR(VLOOKUP(C156,$AS$3:$AX$10,6,FALSE()),IFERROR(VLOOKUP(C156,$AS$15:$AX$22,6,FALSE()),""))</f>
        <v>0.468190175850689</v>
      </c>
      <c r="H156" s="72" t="str">
        <f aca="false">IFERROR(VLOOKUP(C156,$AS$3:$AY$10,7,FALSE()),IFERROR(VLOOKUP(C156,$AS$15:$AY$22,7,FALSE()),""))</f>
        <v>🟡 AMARELO</v>
      </c>
      <c r="I156" s="72" t="str">
        <f aca="false">IFERROR(VLOOKUP(C156,$AS$3:$AZ$10,8,FALSE()),IFERROR(VLOOKUP(C156,$AS$15:$AZ$22,8,FALSE()),""))</f>
        <v>Sell Out</v>
      </c>
      <c r="J156" s="73"/>
      <c r="K156" s="69" t="s">
        <v>107</v>
      </c>
      <c r="L156" s="74" t="n">
        <v>7982.08</v>
      </c>
      <c r="M156" s="75" t="n">
        <v>560.92</v>
      </c>
      <c r="N156" s="75" t="n">
        <v>586.15</v>
      </c>
      <c r="O156" s="75" t="n">
        <v>600.27</v>
      </c>
      <c r="P156" s="75" t="n">
        <v>615.91</v>
      </c>
      <c r="Q156" s="75" t="n">
        <v>636.08</v>
      </c>
      <c r="R156" s="75" t="n">
        <v>652.73</v>
      </c>
      <c r="S156" s="75" t="n">
        <v>677.95</v>
      </c>
      <c r="T156" s="75" t="n">
        <v>694.6</v>
      </c>
      <c r="U156" s="75" t="n">
        <v>710.24</v>
      </c>
      <c r="V156" s="75" t="n">
        <v>727.89</v>
      </c>
      <c r="W156" s="75" t="n">
        <v>747.06</v>
      </c>
      <c r="X156" s="76" t="n">
        <v>772.28</v>
      </c>
      <c r="Y156" s="77" t="s">
        <v>20</v>
      </c>
      <c r="Z156" s="78" t="n">
        <f aca="false">SUM(AA156:AL156)</f>
        <v>3210</v>
      </c>
      <c r="AA156" s="75"/>
      <c r="AB156" s="75"/>
      <c r="AC156" s="75"/>
      <c r="AD156" s="75"/>
      <c r="AE156" s="75"/>
      <c r="AF156" s="75"/>
      <c r="AG156" s="75"/>
      <c r="AH156" s="75"/>
      <c r="AI156" s="75"/>
      <c r="AJ156" s="79" t="n">
        <v>3210</v>
      </c>
      <c r="AK156" s="75"/>
      <c r="AL156" s="76"/>
      <c r="AM156" s="56" t="s">
        <v>20</v>
      </c>
      <c r="AN156" s="80" t="n">
        <f aca="false">IF(L156=0,0,Z156/L156)</f>
        <v>0.402150817831944</v>
      </c>
      <c r="AO156" s="81" t="str">
        <f aca="false">IF(AN156="","",IF(AN156&gt;=0.9,"🟢",IF(AN156&gt;=0.7,"🟡",IF(AN156&gt;=0.5,"🟠","🔴"))))</f>
        <v>🔴</v>
      </c>
      <c r="AP156" s="82" t="n">
        <f aca="false">IF(L156=0,0,L156-Z156)</f>
        <v>4772.08</v>
      </c>
      <c r="AQ156" s="83" t="n">
        <f aca="false">IF(AP156=0,"",RANK(AP156,AP$4:AP$503,0))</f>
        <v>139</v>
      </c>
      <c r="AR156" s="84" t="s">
        <v>20</v>
      </c>
      <c r="AS156" s="141"/>
      <c r="AT156" s="141"/>
      <c r="AU156" s="141"/>
      <c r="AV156" s="141"/>
      <c r="AW156" s="141"/>
      <c r="AX156" s="141"/>
      <c r="AY156" s="142"/>
      <c r="AZ156" s="142"/>
      <c r="BA156" s="56" t="s">
        <v>20</v>
      </c>
      <c r="BB156" s="91" t="n">
        <f aca="false">SUM(L$4:L$503)/COUNTA(A$4:A$503)</f>
        <v>9494.39992</v>
      </c>
      <c r="BC156" s="92" t="n">
        <f aca="false">SUM(M$4:M$503)/COUNTA(A$4:A$503)</f>
        <v>667.20008</v>
      </c>
      <c r="BD156" s="92" t="n">
        <f aca="false">SUM(N$4:N$503)/COUNTA(A$4:A$503)</f>
        <v>697.19996</v>
      </c>
      <c r="BE156" s="92" t="n">
        <f aca="false">SUM(O$4:O$503)/COUNTA(A$4:A$503)</f>
        <v>713.9999</v>
      </c>
      <c r="BF156" s="92" t="n">
        <f aca="false">SUM(P$4:P$503)/COUNTA(A$4:A$503)</f>
        <v>732.59984</v>
      </c>
      <c r="BG156" s="92" t="n">
        <f aca="false">SUM(Q$4:Q$503)/COUNTA(A$4:A$503)</f>
        <v>756.59992</v>
      </c>
      <c r="BH156" s="92" t="n">
        <f aca="false">SUM(R$4:R$503)/COUNTA(A$4:A$503)</f>
        <v>776.40004</v>
      </c>
      <c r="BI156" s="92" t="n">
        <f aca="false">SUM(S$4:S$503)/COUNTA(A$4:A$503)</f>
        <v>806.40012</v>
      </c>
      <c r="BJ156" s="92" t="n">
        <f aca="false">SUM(T$4:T$503)/COUNTA(A$4:A$503)</f>
        <v>826.1999</v>
      </c>
      <c r="BK156" s="92" t="n">
        <f aca="false">SUM(U$4:U$503)/COUNTA(A$4:A$503)</f>
        <v>844.8002</v>
      </c>
      <c r="BL156" s="92" t="n">
        <f aca="false">SUM(V$4:V$503)/COUNTA(A$4:A$503)</f>
        <v>865.7998</v>
      </c>
      <c r="BM156" s="92" t="n">
        <f aca="false">SUM(W$4:W$503)/COUNTA(A$4:A$503)</f>
        <v>888.59982</v>
      </c>
      <c r="BN156" s="93" t="n">
        <f aca="false">SUM(X$4:X$503)/COUNTA(A$4:A$503)</f>
        <v>918.60034</v>
      </c>
      <c r="BO156" s="94" t="s">
        <v>20</v>
      </c>
      <c r="BP156" s="91" t="n">
        <f aca="false">IF(Z156&gt;=BB156,0,IFERROR(BB156+(SUMPRODUCT((Z$4:Z$503&gt;=BB$4:BB$503)*(Z$4:Z$503-BB$4:BB$503))/MAX(1,COUNTIF(Z$4:Z$503,"&lt;"&amp;BB156+0.01))),BB156))</f>
        <v>10695.5432177778</v>
      </c>
      <c r="BQ156" s="92" t="n">
        <f aca="false">IF(AA156&gt;=BC156,0,IFERROR(BC156+SUMPRODUCT((AA$4:AA$503&gt;=BC$4:BC$503)*(AA$4:AA$503-BC$4:BC$503))/MAX(1,COUNTIF(AA$4:AA$503,"&lt;"&amp;BC156+0.01)),BC156))</f>
        <v>2238.46589176471</v>
      </c>
      <c r="BR156" s="92" t="n">
        <f aca="false">IF(AB156&gt;=BD156,0,IFERROR(BD156+SUMPRODUCT((AB$4:AB$503&gt;=BD$4:BD$503)*(AB$4:AB$503-BD$4:BD$503))/MAX(1,COUNTIF(AB$4:AB$503,"&lt;"&amp;BD156+0.01)),BD156))</f>
        <v>3335.2938</v>
      </c>
      <c r="BS156" s="92" t="n">
        <f aca="false">IF(AC156&gt;=BE156,0,IFERROR(BE156+SUMPRODUCT((AC$4:AC$503&gt;=BE$4:BE$503)*(AC$4:AC$503-BE$4:BE$503))/MAX(1,COUNTIF(AC$4:AC$503,"&lt;"&amp;BE156+0.01)),BE156))</f>
        <v>6188.73352</v>
      </c>
      <c r="BT156" s="92" t="n">
        <f aca="false">IF(AD156&gt;=BF156,0,IFERROR(BF156+SUMPRODUCT((AD$4:AD$503&gt;=BF$4:BF$503)*(AD$4:AD$503-BF$4:BF$503))/MAX(1,COUNTIF(AD$4:AD$503,"&lt;"&amp;BF156+0.01)),BF156))</f>
        <v>11354.35411</v>
      </c>
      <c r="BU156" s="92" t="n">
        <f aca="false">IF(AE156&gt;=BG156,0,IFERROR(BG156+SUMPRODUCT((AE$4:AE$503&gt;=BG$4:BG$503)*(AE$4:AE$503-BG$4:BG$503))/MAX(1,COUNTIF(AE$4:AE$503,"&lt;"&amp;BG156+0.01)),BG156))</f>
        <v>7704.85920380952</v>
      </c>
      <c r="BV156" s="92" t="n">
        <f aca="false">IF(AF156&gt;=BH156,0,IFERROR(BH156+SUMPRODUCT((AF$4:AF$503&gt;=BH$4:BH$503)*(AF$4:AF$503-BH$4:BH$503))/MAX(1,COUNTIF(AF$4:AF$503,"&lt;"&amp;BH156+0.01)),BH156))</f>
        <v>9942.6503831579</v>
      </c>
      <c r="BW156" s="92" t="n">
        <f aca="false">IF(AG156&gt;=BI156,0,IFERROR(BI156+SUMPRODUCT((AG$4:AG$503&gt;=BI$4:BI$503)*(AG$4:AG$503-BI$4:BI$503))/MAX(1,COUNTIF(AG$4:AG$503,"&lt;"&amp;BI156+0.01)),BI156))</f>
        <v>9142.15870461538</v>
      </c>
      <c r="BX156" s="92" t="n">
        <f aca="false">IF(AH156&gt;=BJ156,0,IFERROR(BJ156+SUMPRODUCT((AH$4:AH$503&gt;=BJ$4:BJ$503)*(AH$4:AH$503-BJ$4:BJ$503))/MAX(1,COUNTIF(AH$4:AH$503,"&lt;"&amp;BJ156+0.01)),BJ156))</f>
        <v>5621.50263448276</v>
      </c>
      <c r="BY156" s="92" t="n">
        <f aca="false">IF(AI156&gt;=BK156,0,IFERROR(BK156+SUMPRODUCT((AI$4:AI$503&gt;=BK$4:BK$503)*(AI$4:AI$503-BK$4:BK$503))/MAX(1,COUNTIF(AI$4:AI$503,"&lt;"&amp;BK156+0.01)),BK156))</f>
        <v>7878.25652380952</v>
      </c>
      <c r="BZ156" s="92" t="n">
        <f aca="false">IF(AJ156&gt;=BL156,0,IFERROR(BL156+SUMPRODUCT((AJ$4:AJ$503&gt;=BL$4:BL$503)*(AJ$4:AJ$503-BL$4:BL$503))/MAX(1,COUNTIF(AJ$4:AJ$503,"&lt;"&amp;BL156+0.01)),BL156))</f>
        <v>0</v>
      </c>
      <c r="CA156" s="92" t="n">
        <f aca="false">IF(AK156&gt;=BM156,0,IFERROR(BM156+SUMPRODUCT((AK$4:AK$503&gt;=BM$4:BM$503)*(AK$4:AK$503-BM$4:BM$503))/MAX(1,COUNTIF(AK$4:AK$503,"&lt;"&amp;BM156+0.01)),BM156))</f>
        <v>7314.89836842105</v>
      </c>
      <c r="CB156" s="93" t="n">
        <f aca="false">IF(AL156&gt;=BN156,0,IFERROR(BN156+SUMPRODUCT((AL$4:AL$503&gt;=BN$4:BN$503)*(AL$4:AL$503-BN$4:BN$503))/MAX(1,COUNTIF(AL$4:AL$503,"&lt;"&amp;BN156+0.01)),BN156))</f>
        <v>3597.2614925</v>
      </c>
      <c r="CC156" s="95" t="str">
        <f aca="false">IF(AO156="🟢","VERDE",IF(AO156="🟡","AMARELO",IF(AO156="🟠","VERMELHO",IF(AO156="🔴","VERMELHO","ROXO"))))</f>
        <v>VERMELHO</v>
      </c>
      <c r="CD156" s="96" t="s">
        <v>103</v>
      </c>
      <c r="CE156" s="96" t="s">
        <v>104</v>
      </c>
    </row>
    <row r="157" customFormat="false" ht="14.25" hidden="false" customHeight="true" outlineLevel="0" collapsed="false">
      <c r="A157" s="65" t="s">
        <v>449</v>
      </c>
      <c r="B157" s="66" t="s">
        <v>450</v>
      </c>
      <c r="C157" s="67" t="s">
        <v>107</v>
      </c>
      <c r="D157" s="68" t="s">
        <v>108</v>
      </c>
      <c r="E157" s="69" t="s">
        <v>196</v>
      </c>
      <c r="F157" s="70" t="n">
        <f aca="false">IFERROR(VLOOKUP(C157,$AS$3:$AT$10,2,FALSE()),IFERROR(VLOOKUP(C157,$AS$15:$AT$22,2,FALSE()),""))</f>
        <v>132</v>
      </c>
      <c r="G157" s="71" t="n">
        <f aca="false">IFERROR(VLOOKUP(C157,$AS$3:$AX$10,6,FALSE()),IFERROR(VLOOKUP(C157,$AS$15:$AX$22,6,FALSE()),""))</f>
        <v>0.468190175850689</v>
      </c>
      <c r="H157" s="72" t="str">
        <f aca="false">IFERROR(VLOOKUP(C157,$AS$3:$AY$10,7,FALSE()),IFERROR(VLOOKUP(C157,$AS$15:$AY$22,7,FALSE()),""))</f>
        <v>🟡 AMARELO</v>
      </c>
      <c r="I157" s="72" t="str">
        <f aca="false">IFERROR(VLOOKUP(C157,$AS$3:$AZ$10,8,FALSE()),IFERROR(VLOOKUP(C157,$AS$15:$AZ$22,8,FALSE()),""))</f>
        <v>Sell Out</v>
      </c>
      <c r="J157" s="73"/>
      <c r="K157" s="69" t="s">
        <v>107</v>
      </c>
      <c r="L157" s="74" t="n">
        <v>7978.35</v>
      </c>
      <c r="M157" s="75" t="n">
        <v>560.66</v>
      </c>
      <c r="N157" s="75" t="n">
        <v>585.87</v>
      </c>
      <c r="O157" s="75" t="n">
        <v>599.99</v>
      </c>
      <c r="P157" s="75" t="n">
        <v>615.62</v>
      </c>
      <c r="Q157" s="75" t="n">
        <v>635.79</v>
      </c>
      <c r="R157" s="75" t="n">
        <v>652.43</v>
      </c>
      <c r="S157" s="75" t="n">
        <v>677.64</v>
      </c>
      <c r="T157" s="75" t="n">
        <v>694.27</v>
      </c>
      <c r="U157" s="75" t="n">
        <v>709.9</v>
      </c>
      <c r="V157" s="75" t="n">
        <v>727.55</v>
      </c>
      <c r="W157" s="75" t="n">
        <v>746.71</v>
      </c>
      <c r="X157" s="76" t="n">
        <v>771.92</v>
      </c>
      <c r="Y157" s="77" t="s">
        <v>20</v>
      </c>
      <c r="Z157" s="78" t="n">
        <f aca="false">SUM(AA157:AL157)</f>
        <v>3208.5</v>
      </c>
      <c r="AA157" s="75"/>
      <c r="AB157" s="75"/>
      <c r="AC157" s="75"/>
      <c r="AD157" s="79" t="n">
        <v>3208.5</v>
      </c>
      <c r="AE157" s="75"/>
      <c r="AF157" s="75"/>
      <c r="AG157" s="75"/>
      <c r="AH157" s="75"/>
      <c r="AI157" s="75"/>
      <c r="AJ157" s="75"/>
      <c r="AK157" s="75"/>
      <c r="AL157" s="76"/>
      <c r="AM157" s="56" t="s">
        <v>20</v>
      </c>
      <c r="AN157" s="80" t="n">
        <f aca="false">IF(L157=0,0,Z157/L157)</f>
        <v>0.402150820658407</v>
      </c>
      <c r="AO157" s="81" t="str">
        <f aca="false">IF(AN157="","",IF(AN157&gt;=0.9,"🟢",IF(AN157&gt;=0.7,"🟡",IF(AN157&gt;=0.5,"🟠","🔴"))))</f>
        <v>🔴</v>
      </c>
      <c r="AP157" s="82" t="n">
        <f aca="false">IF(L157=0,0,L157-Z157)</f>
        <v>4769.85</v>
      </c>
      <c r="AQ157" s="83" t="n">
        <f aca="false">IF(AP157=0,"",RANK(AP157,AP$4:AP$503,0))</f>
        <v>141</v>
      </c>
      <c r="AR157" s="84" t="s">
        <v>20</v>
      </c>
      <c r="AS157" s="141"/>
      <c r="AT157" s="141"/>
      <c r="AU157" s="141"/>
      <c r="AV157" s="141"/>
      <c r="AW157" s="141"/>
      <c r="AX157" s="141"/>
      <c r="AY157" s="142"/>
      <c r="AZ157" s="142"/>
      <c r="BA157" s="56" t="s">
        <v>20</v>
      </c>
      <c r="BB157" s="91" t="n">
        <f aca="false">SUM(L$4:L$503)/COUNTA(A$4:A$503)</f>
        <v>9494.39992</v>
      </c>
      <c r="BC157" s="92" t="n">
        <f aca="false">SUM(M$4:M$503)/COUNTA(A$4:A$503)</f>
        <v>667.20008</v>
      </c>
      <c r="BD157" s="92" t="n">
        <f aca="false">SUM(N$4:N$503)/COUNTA(A$4:A$503)</f>
        <v>697.19996</v>
      </c>
      <c r="BE157" s="92" t="n">
        <f aca="false">SUM(O$4:O$503)/COUNTA(A$4:A$503)</f>
        <v>713.9999</v>
      </c>
      <c r="BF157" s="92" t="n">
        <f aca="false">SUM(P$4:P$503)/COUNTA(A$4:A$503)</f>
        <v>732.59984</v>
      </c>
      <c r="BG157" s="92" t="n">
        <f aca="false">SUM(Q$4:Q$503)/COUNTA(A$4:A$503)</f>
        <v>756.59992</v>
      </c>
      <c r="BH157" s="92" t="n">
        <f aca="false">SUM(R$4:R$503)/COUNTA(A$4:A$503)</f>
        <v>776.40004</v>
      </c>
      <c r="BI157" s="92" t="n">
        <f aca="false">SUM(S$4:S$503)/COUNTA(A$4:A$503)</f>
        <v>806.40012</v>
      </c>
      <c r="BJ157" s="92" t="n">
        <f aca="false">SUM(T$4:T$503)/COUNTA(A$4:A$503)</f>
        <v>826.1999</v>
      </c>
      <c r="BK157" s="92" t="n">
        <f aca="false">SUM(U$4:U$503)/COUNTA(A$4:A$503)</f>
        <v>844.8002</v>
      </c>
      <c r="BL157" s="92" t="n">
        <f aca="false">SUM(V$4:V$503)/COUNTA(A$4:A$503)</f>
        <v>865.7998</v>
      </c>
      <c r="BM157" s="92" t="n">
        <f aca="false">SUM(W$4:W$503)/COUNTA(A$4:A$503)</f>
        <v>888.59982</v>
      </c>
      <c r="BN157" s="93" t="n">
        <f aca="false">SUM(X$4:X$503)/COUNTA(A$4:A$503)</f>
        <v>918.60034</v>
      </c>
      <c r="BO157" s="94" t="s">
        <v>20</v>
      </c>
      <c r="BP157" s="91" t="n">
        <f aca="false">IF(Z157&gt;=BB157,0,IFERROR(BB157+(SUMPRODUCT((Z$4:Z$503&gt;=BB$4:BB$503)*(Z$4:Z$503-BB$4:BB$503))/MAX(1,COUNTIF(Z$4:Z$503,"&lt;"&amp;BB157+0.01))),BB157))</f>
        <v>10695.5432177778</v>
      </c>
      <c r="BQ157" s="92" t="n">
        <f aca="false">IF(AA157&gt;=BC157,0,IFERROR(BC157+SUMPRODUCT((AA$4:AA$503&gt;=BC$4:BC$503)*(AA$4:AA$503-BC$4:BC$503))/MAX(1,COUNTIF(AA$4:AA$503,"&lt;"&amp;BC157+0.01)),BC157))</f>
        <v>2238.46589176471</v>
      </c>
      <c r="BR157" s="92" t="n">
        <f aca="false">IF(AB157&gt;=BD157,0,IFERROR(BD157+SUMPRODUCT((AB$4:AB$503&gt;=BD$4:BD$503)*(AB$4:AB$503-BD$4:BD$503))/MAX(1,COUNTIF(AB$4:AB$503,"&lt;"&amp;BD157+0.01)),BD157))</f>
        <v>3335.2938</v>
      </c>
      <c r="BS157" s="92" t="n">
        <f aca="false">IF(AC157&gt;=BE157,0,IFERROR(BE157+SUMPRODUCT((AC$4:AC$503&gt;=BE$4:BE$503)*(AC$4:AC$503-BE$4:BE$503))/MAX(1,COUNTIF(AC$4:AC$503,"&lt;"&amp;BE157+0.01)),BE157))</f>
        <v>6188.73352</v>
      </c>
      <c r="BT157" s="92" t="n">
        <f aca="false">IF(AD157&gt;=BF157,0,IFERROR(BF157+SUMPRODUCT((AD$4:AD$503&gt;=BF$4:BF$503)*(AD$4:AD$503-BF$4:BF$503))/MAX(1,COUNTIF(AD$4:AD$503,"&lt;"&amp;BF157+0.01)),BF157))</f>
        <v>0</v>
      </c>
      <c r="BU157" s="92" t="n">
        <f aca="false">IF(AE157&gt;=BG157,0,IFERROR(BG157+SUMPRODUCT((AE$4:AE$503&gt;=BG$4:BG$503)*(AE$4:AE$503-BG$4:BG$503))/MAX(1,COUNTIF(AE$4:AE$503,"&lt;"&amp;BG157+0.01)),BG157))</f>
        <v>7704.85920380952</v>
      </c>
      <c r="BV157" s="92" t="n">
        <f aca="false">IF(AF157&gt;=BH157,0,IFERROR(BH157+SUMPRODUCT((AF$4:AF$503&gt;=BH$4:BH$503)*(AF$4:AF$503-BH$4:BH$503))/MAX(1,COUNTIF(AF$4:AF$503,"&lt;"&amp;BH157+0.01)),BH157))</f>
        <v>9942.6503831579</v>
      </c>
      <c r="BW157" s="92" t="n">
        <f aca="false">IF(AG157&gt;=BI157,0,IFERROR(BI157+SUMPRODUCT((AG$4:AG$503&gt;=BI$4:BI$503)*(AG$4:AG$503-BI$4:BI$503))/MAX(1,COUNTIF(AG$4:AG$503,"&lt;"&amp;BI157+0.01)),BI157))</f>
        <v>9142.15870461538</v>
      </c>
      <c r="BX157" s="92" t="n">
        <f aca="false">IF(AH157&gt;=BJ157,0,IFERROR(BJ157+SUMPRODUCT((AH$4:AH$503&gt;=BJ$4:BJ$503)*(AH$4:AH$503-BJ$4:BJ$503))/MAX(1,COUNTIF(AH$4:AH$503,"&lt;"&amp;BJ157+0.01)),BJ157))</f>
        <v>5621.50263448276</v>
      </c>
      <c r="BY157" s="92" t="n">
        <f aca="false">IF(AI157&gt;=BK157,0,IFERROR(BK157+SUMPRODUCT((AI$4:AI$503&gt;=BK$4:BK$503)*(AI$4:AI$503-BK$4:BK$503))/MAX(1,COUNTIF(AI$4:AI$503,"&lt;"&amp;BK157+0.01)),BK157))</f>
        <v>7878.25652380952</v>
      </c>
      <c r="BZ157" s="92" t="n">
        <f aca="false">IF(AJ157&gt;=BL157,0,IFERROR(BL157+SUMPRODUCT((AJ$4:AJ$503&gt;=BL$4:BL$503)*(AJ$4:AJ$503-BL$4:BL$503))/MAX(1,COUNTIF(AJ$4:AJ$503,"&lt;"&amp;BL157+0.01)),BL157))</f>
        <v>6710.03292307692</v>
      </c>
      <c r="CA157" s="92" t="n">
        <f aca="false">IF(AK157&gt;=BM157,0,IFERROR(BM157+SUMPRODUCT((AK$4:AK$503&gt;=BM$4:BM$503)*(AK$4:AK$503-BM$4:BM$503))/MAX(1,COUNTIF(AK$4:AK$503,"&lt;"&amp;BM157+0.01)),BM157))</f>
        <v>7314.89836842105</v>
      </c>
      <c r="CB157" s="93" t="n">
        <f aca="false">IF(AL157&gt;=BN157,0,IFERROR(BN157+SUMPRODUCT((AL$4:AL$503&gt;=BN$4:BN$503)*(AL$4:AL$503-BN$4:BN$503))/MAX(1,COUNTIF(AL$4:AL$503,"&lt;"&amp;BN157+0.01)),BN157))</f>
        <v>3597.2614925</v>
      </c>
      <c r="CC157" s="95" t="str">
        <f aca="false">IF(AO157="🟢","VERDE",IF(AO157="🟡","AMARELO",IF(AO157="🟠","VERMELHO",IF(AO157="🔴","VERMELHO","ROXO"))))</f>
        <v>VERMELHO</v>
      </c>
      <c r="CD157" s="96" t="s">
        <v>103</v>
      </c>
      <c r="CE157" s="96" t="s">
        <v>104</v>
      </c>
    </row>
    <row r="158" customFormat="false" ht="14.25" hidden="false" customHeight="true" outlineLevel="0" collapsed="false">
      <c r="A158" s="65" t="s">
        <v>451</v>
      </c>
      <c r="B158" s="66" t="s">
        <v>452</v>
      </c>
      <c r="C158" s="67" t="s">
        <v>149</v>
      </c>
      <c r="D158" s="68" t="s">
        <v>100</v>
      </c>
      <c r="E158" s="69" t="s">
        <v>119</v>
      </c>
      <c r="F158" s="70" t="n">
        <f aca="false">IFERROR(VLOOKUP(C158,$AS$3:$AT$10,2,FALSE()),IFERROR(VLOOKUP(C158,$AS$15:$AT$22,2,FALSE()),""))</f>
        <v>29</v>
      </c>
      <c r="G158" s="71" t="n">
        <f aca="false">IFERROR(VLOOKUP(C158,$AS$3:$AX$10,6,FALSE()),IFERROR(VLOOKUP(C158,$AS$15:$AX$22,6,FALSE()),""))</f>
        <v>0.425845065256079</v>
      </c>
      <c r="H158" s="72" t="str">
        <f aca="false">IFERROR(VLOOKUP(C158,$AS$3:$AY$10,7,FALSE()),IFERROR(VLOOKUP(C158,$AS$15:$AY$22,7,FALSE()),""))</f>
        <v>🟡 AMARELO</v>
      </c>
      <c r="I158" s="72" t="str">
        <f aca="false">IFERROR(VLOOKUP(C158,$AS$3:$AZ$10,8,FALSE()),IFERROR(VLOOKUP(C158,$AS$15:$AZ$22,8,FALSE()),""))</f>
        <v>Sell Out</v>
      </c>
      <c r="J158" s="73"/>
      <c r="K158" s="69" t="s">
        <v>149</v>
      </c>
      <c r="L158" s="74" t="n">
        <v>7915.93</v>
      </c>
      <c r="M158" s="75" t="n">
        <v>556.28</v>
      </c>
      <c r="N158" s="75" t="n">
        <v>581.29</v>
      </c>
      <c r="O158" s="75" t="n">
        <v>595.3</v>
      </c>
      <c r="P158" s="75" t="n">
        <v>610.8</v>
      </c>
      <c r="Q158" s="75" t="n">
        <v>630.81</v>
      </c>
      <c r="R158" s="75" t="n">
        <v>647.32</v>
      </c>
      <c r="S158" s="75" t="n">
        <v>672.33</v>
      </c>
      <c r="T158" s="75" t="n">
        <v>688.84</v>
      </c>
      <c r="U158" s="75" t="n">
        <v>704.35</v>
      </c>
      <c r="V158" s="75" t="n">
        <v>721.86</v>
      </c>
      <c r="W158" s="75" t="n">
        <v>740.87</v>
      </c>
      <c r="X158" s="76" t="n">
        <v>765.88</v>
      </c>
      <c r="Y158" s="77" t="s">
        <v>20</v>
      </c>
      <c r="Z158" s="78" t="n">
        <f aca="false">SUM(AA158:AL158)</f>
        <v>3214.6</v>
      </c>
      <c r="AA158" s="75"/>
      <c r="AB158" s="75"/>
      <c r="AC158" s="75"/>
      <c r="AD158" s="75"/>
      <c r="AE158" s="75"/>
      <c r="AF158" s="75"/>
      <c r="AG158" s="79" t="n">
        <v>2287.64</v>
      </c>
      <c r="AH158" s="75"/>
      <c r="AI158" s="75"/>
      <c r="AJ158" s="75"/>
      <c r="AK158" s="75"/>
      <c r="AL158" s="107" t="n">
        <v>926.96</v>
      </c>
      <c r="AM158" s="56" t="s">
        <v>20</v>
      </c>
      <c r="AN158" s="80" t="n">
        <f aca="false">IF(L158=0,0,Z158/L158)</f>
        <v>0.406092524820204</v>
      </c>
      <c r="AO158" s="81" t="str">
        <f aca="false">IF(AN158="","",IF(AN158&gt;=0.9,"🟢",IF(AN158&gt;=0.7,"🟡",IF(AN158&gt;=0.5,"🟠","🔴"))))</f>
        <v>🔴</v>
      </c>
      <c r="AP158" s="82" t="n">
        <f aca="false">IF(L158=0,0,L158-Z158)</f>
        <v>4701.33</v>
      </c>
      <c r="AQ158" s="83" t="n">
        <f aca="false">IF(AP158=0,"",RANK(AP158,AP$4:AP$503,0))</f>
        <v>146</v>
      </c>
      <c r="AR158" s="84" t="s">
        <v>20</v>
      </c>
      <c r="AS158" s="141"/>
      <c r="AT158" s="141"/>
      <c r="AU158" s="141"/>
      <c r="AV158" s="141"/>
      <c r="AW158" s="141"/>
      <c r="AX158" s="141"/>
      <c r="AY158" s="142"/>
      <c r="AZ158" s="142"/>
      <c r="BA158" s="56" t="s">
        <v>20</v>
      </c>
      <c r="BB158" s="91" t="n">
        <f aca="false">SUM(L$4:L$503)/COUNTA(A$4:A$503)</f>
        <v>9494.39992</v>
      </c>
      <c r="BC158" s="92" t="n">
        <f aca="false">SUM(M$4:M$503)/COUNTA(A$4:A$503)</f>
        <v>667.20008</v>
      </c>
      <c r="BD158" s="92" t="n">
        <f aca="false">SUM(N$4:N$503)/COUNTA(A$4:A$503)</f>
        <v>697.19996</v>
      </c>
      <c r="BE158" s="92" t="n">
        <f aca="false">SUM(O$4:O$503)/COUNTA(A$4:A$503)</f>
        <v>713.9999</v>
      </c>
      <c r="BF158" s="92" t="n">
        <f aca="false">SUM(P$4:P$503)/COUNTA(A$4:A$503)</f>
        <v>732.59984</v>
      </c>
      <c r="BG158" s="92" t="n">
        <f aca="false">SUM(Q$4:Q$503)/COUNTA(A$4:A$503)</f>
        <v>756.59992</v>
      </c>
      <c r="BH158" s="92" t="n">
        <f aca="false">SUM(R$4:R$503)/COUNTA(A$4:A$503)</f>
        <v>776.40004</v>
      </c>
      <c r="BI158" s="92" t="n">
        <f aca="false">SUM(S$4:S$503)/COUNTA(A$4:A$503)</f>
        <v>806.40012</v>
      </c>
      <c r="BJ158" s="92" t="n">
        <f aca="false">SUM(T$4:T$503)/COUNTA(A$4:A$503)</f>
        <v>826.1999</v>
      </c>
      <c r="BK158" s="92" t="n">
        <f aca="false">SUM(U$4:U$503)/COUNTA(A$4:A$503)</f>
        <v>844.8002</v>
      </c>
      <c r="BL158" s="92" t="n">
        <f aca="false">SUM(V$4:V$503)/COUNTA(A$4:A$503)</f>
        <v>865.7998</v>
      </c>
      <c r="BM158" s="92" t="n">
        <f aca="false">SUM(W$4:W$503)/COUNTA(A$4:A$503)</f>
        <v>888.59982</v>
      </c>
      <c r="BN158" s="93" t="n">
        <f aca="false">SUM(X$4:X$503)/COUNTA(A$4:A$503)</f>
        <v>918.60034</v>
      </c>
      <c r="BO158" s="94" t="s">
        <v>20</v>
      </c>
      <c r="BP158" s="91" t="n">
        <f aca="false">IF(Z158&gt;=BB158,0,IFERROR(BB158+(SUMPRODUCT((Z$4:Z$503&gt;=BB$4:BB$503)*(Z$4:Z$503-BB$4:BB$503))/MAX(1,COUNTIF(Z$4:Z$503,"&lt;"&amp;BB158+0.01))),BB158))</f>
        <v>10695.5432177778</v>
      </c>
      <c r="BQ158" s="92" t="n">
        <f aca="false">IF(AA158&gt;=BC158,0,IFERROR(BC158+SUMPRODUCT((AA$4:AA$503&gt;=BC$4:BC$503)*(AA$4:AA$503-BC$4:BC$503))/MAX(1,COUNTIF(AA$4:AA$503,"&lt;"&amp;BC158+0.01)),BC158))</f>
        <v>2238.46589176471</v>
      </c>
      <c r="BR158" s="92" t="n">
        <f aca="false">IF(AB158&gt;=BD158,0,IFERROR(BD158+SUMPRODUCT((AB$4:AB$503&gt;=BD$4:BD$503)*(AB$4:AB$503-BD$4:BD$503))/MAX(1,COUNTIF(AB$4:AB$503,"&lt;"&amp;BD158+0.01)),BD158))</f>
        <v>3335.2938</v>
      </c>
      <c r="BS158" s="92" t="n">
        <f aca="false">IF(AC158&gt;=BE158,0,IFERROR(BE158+SUMPRODUCT((AC$4:AC$503&gt;=BE$4:BE$503)*(AC$4:AC$503-BE$4:BE$503))/MAX(1,COUNTIF(AC$4:AC$503,"&lt;"&amp;BE158+0.01)),BE158))</f>
        <v>6188.73352</v>
      </c>
      <c r="BT158" s="92" t="n">
        <f aca="false">IF(AD158&gt;=BF158,0,IFERROR(BF158+SUMPRODUCT((AD$4:AD$503&gt;=BF$4:BF$503)*(AD$4:AD$503-BF$4:BF$503))/MAX(1,COUNTIF(AD$4:AD$503,"&lt;"&amp;BF158+0.01)),BF158))</f>
        <v>11354.35411</v>
      </c>
      <c r="BU158" s="92" t="n">
        <f aca="false">IF(AE158&gt;=BG158,0,IFERROR(BG158+SUMPRODUCT((AE$4:AE$503&gt;=BG$4:BG$503)*(AE$4:AE$503-BG$4:BG$503))/MAX(1,COUNTIF(AE$4:AE$503,"&lt;"&amp;BG158+0.01)),BG158))</f>
        <v>7704.85920380952</v>
      </c>
      <c r="BV158" s="92" t="n">
        <f aca="false">IF(AF158&gt;=BH158,0,IFERROR(BH158+SUMPRODUCT((AF$4:AF$503&gt;=BH$4:BH$503)*(AF$4:AF$503-BH$4:BH$503))/MAX(1,COUNTIF(AF$4:AF$503,"&lt;"&amp;BH158+0.01)),BH158))</f>
        <v>9942.6503831579</v>
      </c>
      <c r="BW158" s="92" t="n">
        <f aca="false">IF(AG158&gt;=BI158,0,IFERROR(BI158+SUMPRODUCT((AG$4:AG$503&gt;=BI$4:BI$503)*(AG$4:AG$503-BI$4:BI$503))/MAX(1,COUNTIF(AG$4:AG$503,"&lt;"&amp;BI158+0.01)),BI158))</f>
        <v>0</v>
      </c>
      <c r="BX158" s="92" t="n">
        <f aca="false">IF(AH158&gt;=BJ158,0,IFERROR(BJ158+SUMPRODUCT((AH$4:AH$503&gt;=BJ$4:BJ$503)*(AH$4:AH$503-BJ$4:BJ$503))/MAX(1,COUNTIF(AH$4:AH$503,"&lt;"&amp;BJ158+0.01)),BJ158))</f>
        <v>5621.50263448276</v>
      </c>
      <c r="BY158" s="92" t="n">
        <f aca="false">IF(AI158&gt;=BK158,0,IFERROR(BK158+SUMPRODUCT((AI$4:AI$503&gt;=BK$4:BK$503)*(AI$4:AI$503-BK$4:BK$503))/MAX(1,COUNTIF(AI$4:AI$503,"&lt;"&amp;BK158+0.01)),BK158))</f>
        <v>7878.25652380952</v>
      </c>
      <c r="BZ158" s="92" t="n">
        <f aca="false">IF(AJ158&gt;=BL158,0,IFERROR(BL158+SUMPRODUCT((AJ$4:AJ$503&gt;=BL$4:BL$503)*(AJ$4:AJ$503-BL$4:BL$503))/MAX(1,COUNTIF(AJ$4:AJ$503,"&lt;"&amp;BL158+0.01)),BL158))</f>
        <v>6710.03292307692</v>
      </c>
      <c r="CA158" s="92" t="n">
        <f aca="false">IF(AK158&gt;=BM158,0,IFERROR(BM158+SUMPRODUCT((AK$4:AK$503&gt;=BM$4:BM$503)*(AK$4:AK$503-BM$4:BM$503))/MAX(1,COUNTIF(AK$4:AK$503,"&lt;"&amp;BM158+0.01)),BM158))</f>
        <v>7314.89836842105</v>
      </c>
      <c r="CB158" s="93" t="n">
        <f aca="false">IF(AL158&gt;=BN158,0,IFERROR(BN158+SUMPRODUCT((AL$4:AL$503&gt;=BN$4:BN$503)*(AL$4:AL$503-BN$4:BN$503))/MAX(1,COUNTIF(AL$4:AL$503,"&lt;"&amp;BN158+0.01)),BN158))</f>
        <v>0</v>
      </c>
      <c r="CC158" s="95" t="str">
        <f aca="false">IF(AO158="🟢","VERDE",IF(AO158="🟡","AMARELO",IF(AO158="🟠","VERMELHO",IF(AO158="🔴","VERMELHO","ROXO"))))</f>
        <v>VERMELHO</v>
      </c>
      <c r="CD158" s="96" t="s">
        <v>103</v>
      </c>
      <c r="CE158" s="96" t="s">
        <v>104</v>
      </c>
    </row>
    <row r="159" customFormat="false" ht="14.25" hidden="false" customHeight="true" outlineLevel="0" collapsed="false">
      <c r="A159" s="65" t="s">
        <v>453</v>
      </c>
      <c r="B159" s="66" t="s">
        <v>454</v>
      </c>
      <c r="C159" s="67" t="s">
        <v>99</v>
      </c>
      <c r="D159" s="68" t="s">
        <v>100</v>
      </c>
      <c r="E159" s="69" t="s">
        <v>127</v>
      </c>
      <c r="F159" s="70" t="n">
        <f aca="false">IFERROR(VLOOKUP(C159,$AS$3:$AT$10,2,FALSE()),IFERROR(VLOOKUP(C159,$AS$15:$AT$22,2,FALSE()),""))</f>
        <v>33</v>
      </c>
      <c r="G159" s="71" t="n">
        <f aca="false">IFERROR(VLOOKUP(C159,$AS$3:$AX$10,6,FALSE()),IFERROR(VLOOKUP(C159,$AS$15:$AX$22,6,FALSE()),""))</f>
        <v>0.341494038351172</v>
      </c>
      <c r="H159" s="72" t="str">
        <f aca="false">IFERROR(VLOOKUP(C159,$AS$3:$AY$10,7,FALSE()),IFERROR(VLOOKUP(C159,$AS$15:$AY$22,7,FALSE()),""))</f>
        <v>🔴 VERMELHO</v>
      </c>
      <c r="I159" s="72" t="str">
        <f aca="false">IFERROR(VLOOKUP(C159,$AS$3:$AZ$10,8,FALSE()),IFERROR(VLOOKUP(C159,$AS$15:$AZ$22,8,FALSE()),""))</f>
        <v>Positivação + Expandir</v>
      </c>
      <c r="J159" s="73"/>
      <c r="K159" s="69" t="s">
        <v>99</v>
      </c>
      <c r="L159" s="74" t="n">
        <v>7865.07</v>
      </c>
      <c r="M159" s="75" t="n">
        <v>552.7</v>
      </c>
      <c r="N159" s="75" t="n">
        <v>577.55</v>
      </c>
      <c r="O159" s="75" t="n">
        <v>591.47</v>
      </c>
      <c r="P159" s="75" t="n">
        <v>606.88</v>
      </c>
      <c r="Q159" s="75" t="n">
        <v>626.76</v>
      </c>
      <c r="R159" s="75" t="n">
        <v>643.16</v>
      </c>
      <c r="S159" s="75" t="n">
        <v>668.01</v>
      </c>
      <c r="T159" s="75" t="n">
        <v>684.42</v>
      </c>
      <c r="U159" s="75" t="n">
        <v>699.83</v>
      </c>
      <c r="V159" s="75" t="n">
        <v>717.22</v>
      </c>
      <c r="W159" s="75" t="n">
        <v>736.11</v>
      </c>
      <c r="X159" s="76" t="n">
        <v>760.96</v>
      </c>
      <c r="Y159" s="77" t="s">
        <v>20</v>
      </c>
      <c r="Z159" s="78" t="n">
        <f aca="false">SUM(AA159:AL159)</f>
        <v>3162.95</v>
      </c>
      <c r="AA159" s="75"/>
      <c r="AB159" s="75"/>
      <c r="AC159" s="75"/>
      <c r="AD159" s="75"/>
      <c r="AE159" s="75"/>
      <c r="AF159" s="75"/>
      <c r="AG159" s="75"/>
      <c r="AH159" s="75"/>
      <c r="AI159" s="75"/>
      <c r="AJ159" s="79" t="n">
        <v>3162.95</v>
      </c>
      <c r="AK159" s="75"/>
      <c r="AL159" s="76"/>
      <c r="AM159" s="56" t="s">
        <v>20</v>
      </c>
      <c r="AN159" s="80" t="n">
        <f aca="false">IF(L159=0,0,Z159/L159)</f>
        <v>0.402151538384274</v>
      </c>
      <c r="AO159" s="81" t="str">
        <f aca="false">IF(AN159="","",IF(AN159&gt;=0.9,"🟢",IF(AN159&gt;=0.7,"🟡",IF(AN159&gt;=0.5,"🟠","🔴"))))</f>
        <v>🔴</v>
      </c>
      <c r="AP159" s="82" t="n">
        <f aca="false">IF(L159=0,0,L159-Z159)</f>
        <v>4702.12</v>
      </c>
      <c r="AQ159" s="83" t="n">
        <f aca="false">IF(AP159=0,"",RANK(AP159,AP$4:AP$503,0))</f>
        <v>145</v>
      </c>
      <c r="AR159" s="84" t="s">
        <v>20</v>
      </c>
      <c r="AS159" s="141"/>
      <c r="AT159" s="141"/>
      <c r="AU159" s="141"/>
      <c r="AV159" s="141"/>
      <c r="AW159" s="141"/>
      <c r="AX159" s="141"/>
      <c r="AY159" s="142"/>
      <c r="AZ159" s="142"/>
      <c r="BA159" s="56" t="s">
        <v>20</v>
      </c>
      <c r="BB159" s="91" t="n">
        <f aca="false">SUM(L$4:L$503)/COUNTA(A$4:A$503)</f>
        <v>9494.39992</v>
      </c>
      <c r="BC159" s="92" t="n">
        <f aca="false">SUM(M$4:M$503)/COUNTA(A$4:A$503)</f>
        <v>667.20008</v>
      </c>
      <c r="BD159" s="92" t="n">
        <f aca="false">SUM(N$4:N$503)/COUNTA(A$4:A$503)</f>
        <v>697.19996</v>
      </c>
      <c r="BE159" s="92" t="n">
        <f aca="false">SUM(O$4:O$503)/COUNTA(A$4:A$503)</f>
        <v>713.9999</v>
      </c>
      <c r="BF159" s="92" t="n">
        <f aca="false">SUM(P$4:P$503)/COUNTA(A$4:A$503)</f>
        <v>732.59984</v>
      </c>
      <c r="BG159" s="92" t="n">
        <f aca="false">SUM(Q$4:Q$503)/COUNTA(A$4:A$503)</f>
        <v>756.59992</v>
      </c>
      <c r="BH159" s="92" t="n">
        <f aca="false">SUM(R$4:R$503)/COUNTA(A$4:A$503)</f>
        <v>776.40004</v>
      </c>
      <c r="BI159" s="92" t="n">
        <f aca="false">SUM(S$4:S$503)/COUNTA(A$4:A$503)</f>
        <v>806.40012</v>
      </c>
      <c r="BJ159" s="92" t="n">
        <f aca="false">SUM(T$4:T$503)/COUNTA(A$4:A$503)</f>
        <v>826.1999</v>
      </c>
      <c r="BK159" s="92" t="n">
        <f aca="false">SUM(U$4:U$503)/COUNTA(A$4:A$503)</f>
        <v>844.8002</v>
      </c>
      <c r="BL159" s="92" t="n">
        <f aca="false">SUM(V$4:V$503)/COUNTA(A$4:A$503)</f>
        <v>865.7998</v>
      </c>
      <c r="BM159" s="92" t="n">
        <f aca="false">SUM(W$4:W$503)/COUNTA(A$4:A$503)</f>
        <v>888.59982</v>
      </c>
      <c r="BN159" s="93" t="n">
        <f aca="false">SUM(X$4:X$503)/COUNTA(A$4:A$503)</f>
        <v>918.60034</v>
      </c>
      <c r="BO159" s="94" t="s">
        <v>20</v>
      </c>
      <c r="BP159" s="91" t="n">
        <f aca="false">IF(Z159&gt;=BB159,0,IFERROR(BB159+(SUMPRODUCT((Z$4:Z$503&gt;=BB$4:BB$503)*(Z$4:Z$503-BB$4:BB$503))/MAX(1,COUNTIF(Z$4:Z$503,"&lt;"&amp;BB159+0.01))),BB159))</f>
        <v>10695.5432177778</v>
      </c>
      <c r="BQ159" s="92" t="n">
        <f aca="false">IF(AA159&gt;=BC159,0,IFERROR(BC159+SUMPRODUCT((AA$4:AA$503&gt;=BC$4:BC$503)*(AA$4:AA$503-BC$4:BC$503))/MAX(1,COUNTIF(AA$4:AA$503,"&lt;"&amp;BC159+0.01)),BC159))</f>
        <v>2238.46589176471</v>
      </c>
      <c r="BR159" s="92" t="n">
        <f aca="false">IF(AB159&gt;=BD159,0,IFERROR(BD159+SUMPRODUCT((AB$4:AB$503&gt;=BD$4:BD$503)*(AB$4:AB$503-BD$4:BD$503))/MAX(1,COUNTIF(AB$4:AB$503,"&lt;"&amp;BD159+0.01)),BD159))</f>
        <v>3335.2938</v>
      </c>
      <c r="BS159" s="92" t="n">
        <f aca="false">IF(AC159&gt;=BE159,0,IFERROR(BE159+SUMPRODUCT((AC$4:AC$503&gt;=BE$4:BE$503)*(AC$4:AC$503-BE$4:BE$503))/MAX(1,COUNTIF(AC$4:AC$503,"&lt;"&amp;BE159+0.01)),BE159))</f>
        <v>6188.73352</v>
      </c>
      <c r="BT159" s="92" t="n">
        <f aca="false">IF(AD159&gt;=BF159,0,IFERROR(BF159+SUMPRODUCT((AD$4:AD$503&gt;=BF$4:BF$503)*(AD$4:AD$503-BF$4:BF$503))/MAX(1,COUNTIF(AD$4:AD$503,"&lt;"&amp;BF159+0.01)),BF159))</f>
        <v>11354.35411</v>
      </c>
      <c r="BU159" s="92" t="n">
        <f aca="false">IF(AE159&gt;=BG159,0,IFERROR(BG159+SUMPRODUCT((AE$4:AE$503&gt;=BG$4:BG$503)*(AE$4:AE$503-BG$4:BG$503))/MAX(1,COUNTIF(AE$4:AE$503,"&lt;"&amp;BG159+0.01)),BG159))</f>
        <v>7704.85920380952</v>
      </c>
      <c r="BV159" s="92" t="n">
        <f aca="false">IF(AF159&gt;=BH159,0,IFERROR(BH159+SUMPRODUCT((AF$4:AF$503&gt;=BH$4:BH$503)*(AF$4:AF$503-BH$4:BH$503))/MAX(1,COUNTIF(AF$4:AF$503,"&lt;"&amp;BH159+0.01)),BH159))</f>
        <v>9942.6503831579</v>
      </c>
      <c r="BW159" s="92" t="n">
        <f aca="false">IF(AG159&gt;=BI159,0,IFERROR(BI159+SUMPRODUCT((AG$4:AG$503&gt;=BI$4:BI$503)*(AG$4:AG$503-BI$4:BI$503))/MAX(1,COUNTIF(AG$4:AG$503,"&lt;"&amp;BI159+0.01)),BI159))</f>
        <v>9142.15870461538</v>
      </c>
      <c r="BX159" s="92" t="n">
        <f aca="false">IF(AH159&gt;=BJ159,0,IFERROR(BJ159+SUMPRODUCT((AH$4:AH$503&gt;=BJ$4:BJ$503)*(AH$4:AH$503-BJ$4:BJ$503))/MAX(1,COUNTIF(AH$4:AH$503,"&lt;"&amp;BJ159+0.01)),BJ159))</f>
        <v>5621.50263448276</v>
      </c>
      <c r="BY159" s="92" t="n">
        <f aca="false">IF(AI159&gt;=BK159,0,IFERROR(BK159+SUMPRODUCT((AI$4:AI$503&gt;=BK$4:BK$503)*(AI$4:AI$503-BK$4:BK$503))/MAX(1,COUNTIF(AI$4:AI$503,"&lt;"&amp;BK159+0.01)),BK159))</f>
        <v>7878.25652380952</v>
      </c>
      <c r="BZ159" s="92" t="n">
        <f aca="false">IF(AJ159&gt;=BL159,0,IFERROR(BL159+SUMPRODUCT((AJ$4:AJ$503&gt;=BL$4:BL$503)*(AJ$4:AJ$503-BL$4:BL$503))/MAX(1,COUNTIF(AJ$4:AJ$503,"&lt;"&amp;BL159+0.01)),BL159))</f>
        <v>0</v>
      </c>
      <c r="CA159" s="92" t="n">
        <f aca="false">IF(AK159&gt;=BM159,0,IFERROR(BM159+SUMPRODUCT((AK$4:AK$503&gt;=BM$4:BM$503)*(AK$4:AK$503-BM$4:BM$503))/MAX(1,COUNTIF(AK$4:AK$503,"&lt;"&amp;BM159+0.01)),BM159))</f>
        <v>7314.89836842105</v>
      </c>
      <c r="CB159" s="93" t="n">
        <f aca="false">IF(AL159&gt;=BN159,0,IFERROR(BN159+SUMPRODUCT((AL$4:AL$503&gt;=BN$4:BN$503)*(AL$4:AL$503-BN$4:BN$503))/MAX(1,COUNTIF(AL$4:AL$503,"&lt;"&amp;BN159+0.01)),BN159))</f>
        <v>3597.2614925</v>
      </c>
      <c r="CC159" s="95" t="str">
        <f aca="false">IF(AO159="🟢","VERDE",IF(AO159="🟡","AMARELO",IF(AO159="🟠","VERMELHO",IF(AO159="🔴","VERMELHO","ROXO"))))</f>
        <v>VERMELHO</v>
      </c>
      <c r="CD159" s="96" t="s">
        <v>103</v>
      </c>
      <c r="CE159" s="96" t="s">
        <v>104</v>
      </c>
    </row>
    <row r="160" customFormat="false" ht="14.25" hidden="false" customHeight="true" outlineLevel="0" collapsed="false">
      <c r="A160" s="65" t="s">
        <v>455</v>
      </c>
      <c r="B160" s="66" t="s">
        <v>399</v>
      </c>
      <c r="C160" s="67" t="s">
        <v>123</v>
      </c>
      <c r="D160" s="68" t="s">
        <v>108</v>
      </c>
      <c r="E160" s="56" t="s">
        <v>20</v>
      </c>
      <c r="F160" s="70" t="n">
        <f aca="false">IFERROR(VLOOKUP(C160,$AS$3:$AT$10,2,FALSE()),IFERROR(VLOOKUP(C160,$AS$15:$AT$22,2,FALSE()),""))</f>
        <v>49</v>
      </c>
      <c r="G160" s="71" t="n">
        <f aca="false">IFERROR(VLOOKUP(C160,$AS$3:$AX$10,6,FALSE()),IFERROR(VLOOKUP(C160,$AS$15:$AX$22,6,FALSE()),""))</f>
        <v>0.436391353881959</v>
      </c>
      <c r="H160" s="72" t="str">
        <f aca="false">IFERROR(VLOOKUP(C160,$AS$3:$AY$10,7,FALSE()),IFERROR(VLOOKUP(C160,$AS$15:$AY$22,7,FALSE()),""))</f>
        <v>🟡 AMARELO</v>
      </c>
      <c r="I160" s="72" t="str">
        <f aca="false">IFERROR(VLOOKUP(C160,$AS$3:$AZ$10,8,FALSE()),IFERROR(VLOOKUP(C160,$AS$15:$AZ$22,8,FALSE()),""))</f>
        <v>Sell Out</v>
      </c>
      <c r="J160" s="73"/>
      <c r="K160" s="56" t="s">
        <v>20</v>
      </c>
      <c r="L160" s="74" t="n">
        <v>7859.39</v>
      </c>
      <c r="M160" s="75" t="n">
        <v>552.3</v>
      </c>
      <c r="N160" s="75" t="n">
        <v>577.14</v>
      </c>
      <c r="O160" s="75" t="n">
        <v>591.04</v>
      </c>
      <c r="P160" s="75" t="n">
        <v>606.44</v>
      </c>
      <c r="Q160" s="75" t="n">
        <v>626.31</v>
      </c>
      <c r="R160" s="75" t="n">
        <v>642.7</v>
      </c>
      <c r="S160" s="75" t="n">
        <v>667.53</v>
      </c>
      <c r="T160" s="75" t="n">
        <v>683.92</v>
      </c>
      <c r="U160" s="75" t="n">
        <v>699.32</v>
      </c>
      <c r="V160" s="75" t="n">
        <v>716.7</v>
      </c>
      <c r="W160" s="75" t="n">
        <v>735.58</v>
      </c>
      <c r="X160" s="76" t="n">
        <v>760.41</v>
      </c>
      <c r="Y160" s="77" t="s">
        <v>20</v>
      </c>
      <c r="Z160" s="78" t="n">
        <f aca="false">SUM(AA160:AL160)</f>
        <v>3280.66</v>
      </c>
      <c r="AA160" s="75"/>
      <c r="AB160" s="75"/>
      <c r="AC160" s="75"/>
      <c r="AD160" s="75"/>
      <c r="AE160" s="75" t="n">
        <v>3280.66</v>
      </c>
      <c r="AF160" s="75"/>
      <c r="AG160" s="75"/>
      <c r="AH160" s="75"/>
      <c r="AI160" s="75"/>
      <c r="AJ160" s="75"/>
      <c r="AK160" s="75"/>
      <c r="AL160" s="76"/>
      <c r="AM160" s="56" t="s">
        <v>20</v>
      </c>
      <c r="AN160" s="80" t="n">
        <f aca="false">IF(L160=0,0,Z160/L160)</f>
        <v>0.417419163573763</v>
      </c>
      <c r="AO160" s="81" t="str">
        <f aca="false">IF(AN160="","",IF(AN160&gt;=0.9,"🟢",IF(AN160&gt;=0.7,"🟡",IF(AN160&gt;=0.5,"🟠","🔴"))))</f>
        <v>🔴</v>
      </c>
      <c r="AP160" s="82" t="n">
        <f aca="false">IF(L160=0,0,L160-Z160)</f>
        <v>4578.73</v>
      </c>
      <c r="AQ160" s="83" t="n">
        <f aca="false">IF(AP160=0,"",RANK(AP160,AP$4:AP$503,0))</f>
        <v>148</v>
      </c>
      <c r="AR160" s="84" t="s">
        <v>20</v>
      </c>
      <c r="AS160" s="141"/>
      <c r="AT160" s="141"/>
      <c r="AU160" s="141"/>
      <c r="AV160" s="141"/>
      <c r="AW160" s="141"/>
      <c r="AX160" s="141"/>
      <c r="AY160" s="142"/>
      <c r="AZ160" s="142"/>
      <c r="BA160" s="56" t="s">
        <v>20</v>
      </c>
      <c r="BB160" s="91" t="n">
        <f aca="false">SUM(L$4:L$503)/COUNTA(A$4:A$503)</f>
        <v>9494.39992</v>
      </c>
      <c r="BC160" s="92" t="n">
        <f aca="false">SUM(M$4:M$503)/COUNTA(A$4:A$503)</f>
        <v>667.20008</v>
      </c>
      <c r="BD160" s="92" t="n">
        <f aca="false">SUM(N$4:N$503)/COUNTA(A$4:A$503)</f>
        <v>697.19996</v>
      </c>
      <c r="BE160" s="92" t="n">
        <f aca="false">SUM(O$4:O$503)/COUNTA(A$4:A$503)</f>
        <v>713.9999</v>
      </c>
      <c r="BF160" s="92" t="n">
        <f aca="false">SUM(P$4:P$503)/COUNTA(A$4:A$503)</f>
        <v>732.59984</v>
      </c>
      <c r="BG160" s="92" t="n">
        <f aca="false">SUM(Q$4:Q$503)/COUNTA(A$4:A$503)</f>
        <v>756.59992</v>
      </c>
      <c r="BH160" s="92" t="n">
        <f aca="false">SUM(R$4:R$503)/COUNTA(A$4:A$503)</f>
        <v>776.40004</v>
      </c>
      <c r="BI160" s="92" t="n">
        <f aca="false">SUM(S$4:S$503)/COUNTA(A$4:A$503)</f>
        <v>806.40012</v>
      </c>
      <c r="BJ160" s="92" t="n">
        <f aca="false">SUM(T$4:T$503)/COUNTA(A$4:A$503)</f>
        <v>826.1999</v>
      </c>
      <c r="BK160" s="92" t="n">
        <f aca="false">SUM(U$4:U$503)/COUNTA(A$4:A$503)</f>
        <v>844.8002</v>
      </c>
      <c r="BL160" s="92" t="n">
        <f aca="false">SUM(V$4:V$503)/COUNTA(A$4:A$503)</f>
        <v>865.7998</v>
      </c>
      <c r="BM160" s="92" t="n">
        <f aca="false">SUM(W$4:W$503)/COUNTA(A$4:A$503)</f>
        <v>888.59982</v>
      </c>
      <c r="BN160" s="93" t="n">
        <f aca="false">SUM(X$4:X$503)/COUNTA(A$4:A$503)</f>
        <v>918.60034</v>
      </c>
      <c r="BO160" s="94" t="s">
        <v>20</v>
      </c>
      <c r="BP160" s="91" t="n">
        <f aca="false">IF(Z160&gt;=BB160,0,IFERROR(BB160+(SUMPRODUCT((Z$4:Z$503&gt;=BB$4:BB$503)*(Z$4:Z$503-BB$4:BB$503))/MAX(1,COUNTIF(Z$4:Z$503,"&lt;"&amp;BB160+0.01))),BB160))</f>
        <v>10695.5432177778</v>
      </c>
      <c r="BQ160" s="92" t="n">
        <f aca="false">IF(AA160&gt;=BC160,0,IFERROR(BC160+SUMPRODUCT((AA$4:AA$503&gt;=BC$4:BC$503)*(AA$4:AA$503-BC$4:BC$503))/MAX(1,COUNTIF(AA$4:AA$503,"&lt;"&amp;BC160+0.01)),BC160))</f>
        <v>2238.46589176471</v>
      </c>
      <c r="BR160" s="92" t="n">
        <f aca="false">IF(AB160&gt;=BD160,0,IFERROR(BD160+SUMPRODUCT((AB$4:AB$503&gt;=BD$4:BD$503)*(AB$4:AB$503-BD$4:BD$503))/MAX(1,COUNTIF(AB$4:AB$503,"&lt;"&amp;BD160+0.01)),BD160))</f>
        <v>3335.2938</v>
      </c>
      <c r="BS160" s="92" t="n">
        <f aca="false">IF(AC160&gt;=BE160,0,IFERROR(BE160+SUMPRODUCT((AC$4:AC$503&gt;=BE$4:BE$503)*(AC$4:AC$503-BE$4:BE$503))/MAX(1,COUNTIF(AC$4:AC$503,"&lt;"&amp;BE160+0.01)),BE160))</f>
        <v>6188.73352</v>
      </c>
      <c r="BT160" s="92" t="n">
        <f aca="false">IF(AD160&gt;=BF160,0,IFERROR(BF160+SUMPRODUCT((AD$4:AD$503&gt;=BF$4:BF$503)*(AD$4:AD$503-BF$4:BF$503))/MAX(1,COUNTIF(AD$4:AD$503,"&lt;"&amp;BF160+0.01)),BF160))</f>
        <v>11354.35411</v>
      </c>
      <c r="BU160" s="92" t="n">
        <f aca="false">IF(AE160&gt;=BG160,0,IFERROR(BG160+SUMPRODUCT((AE$4:AE$503&gt;=BG$4:BG$503)*(AE$4:AE$503-BG$4:BG$503))/MAX(1,COUNTIF(AE$4:AE$503,"&lt;"&amp;BG160+0.01)),BG160))</f>
        <v>0</v>
      </c>
      <c r="BV160" s="92" t="n">
        <f aca="false">IF(AF160&gt;=BH160,0,IFERROR(BH160+SUMPRODUCT((AF$4:AF$503&gt;=BH$4:BH$503)*(AF$4:AF$503-BH$4:BH$503))/MAX(1,COUNTIF(AF$4:AF$503,"&lt;"&amp;BH160+0.01)),BH160))</f>
        <v>9942.6503831579</v>
      </c>
      <c r="BW160" s="92" t="n">
        <f aca="false">IF(AG160&gt;=BI160,0,IFERROR(BI160+SUMPRODUCT((AG$4:AG$503&gt;=BI$4:BI$503)*(AG$4:AG$503-BI$4:BI$503))/MAX(1,COUNTIF(AG$4:AG$503,"&lt;"&amp;BI160+0.01)),BI160))</f>
        <v>9142.15870461538</v>
      </c>
      <c r="BX160" s="92" t="n">
        <f aca="false">IF(AH160&gt;=BJ160,0,IFERROR(BJ160+SUMPRODUCT((AH$4:AH$503&gt;=BJ$4:BJ$503)*(AH$4:AH$503-BJ$4:BJ$503))/MAX(1,COUNTIF(AH$4:AH$503,"&lt;"&amp;BJ160+0.01)),BJ160))</f>
        <v>5621.50263448276</v>
      </c>
      <c r="BY160" s="92" t="n">
        <f aca="false">IF(AI160&gt;=BK160,0,IFERROR(BK160+SUMPRODUCT((AI$4:AI$503&gt;=BK$4:BK$503)*(AI$4:AI$503-BK$4:BK$503))/MAX(1,COUNTIF(AI$4:AI$503,"&lt;"&amp;BK160+0.01)),BK160))</f>
        <v>7878.25652380952</v>
      </c>
      <c r="BZ160" s="92" t="n">
        <f aca="false">IF(AJ160&gt;=BL160,0,IFERROR(BL160+SUMPRODUCT((AJ$4:AJ$503&gt;=BL$4:BL$503)*(AJ$4:AJ$503-BL$4:BL$503))/MAX(1,COUNTIF(AJ$4:AJ$503,"&lt;"&amp;BL160+0.01)),BL160))</f>
        <v>6710.03292307692</v>
      </c>
      <c r="CA160" s="92" t="n">
        <f aca="false">IF(AK160&gt;=BM160,0,IFERROR(BM160+SUMPRODUCT((AK$4:AK$503&gt;=BM$4:BM$503)*(AK$4:AK$503-BM$4:BM$503))/MAX(1,COUNTIF(AK$4:AK$503,"&lt;"&amp;BM160+0.01)),BM160))</f>
        <v>7314.89836842105</v>
      </c>
      <c r="CB160" s="93" t="n">
        <f aca="false">IF(AL160&gt;=BN160,0,IFERROR(BN160+SUMPRODUCT((AL$4:AL$503&gt;=BN$4:BN$503)*(AL$4:AL$503-BN$4:BN$503))/MAX(1,COUNTIF(AL$4:AL$503,"&lt;"&amp;BN160+0.01)),BN160))</f>
        <v>3597.2614925</v>
      </c>
      <c r="CC160" s="95" t="str">
        <f aca="false">IF(AO160="🟢","VERDE",IF(AO160="🟡","AMARELO",IF(AO160="🟠","VERMELHO",IF(AO160="🔴","VERMELHO","ROXO"))))</f>
        <v>VERMELHO</v>
      </c>
      <c r="CD160" s="96" t="s">
        <v>103</v>
      </c>
      <c r="CE160" s="96" t="s">
        <v>104</v>
      </c>
    </row>
    <row r="161" customFormat="false" ht="14.25" hidden="false" customHeight="true" outlineLevel="0" collapsed="false">
      <c r="A161" s="65" t="s">
        <v>456</v>
      </c>
      <c r="B161" s="66" t="s">
        <v>399</v>
      </c>
      <c r="C161" s="67" t="s">
        <v>123</v>
      </c>
      <c r="D161" s="68" t="s">
        <v>108</v>
      </c>
      <c r="E161" s="56" t="s">
        <v>20</v>
      </c>
      <c r="F161" s="70" t="n">
        <f aca="false">IFERROR(VLOOKUP(C161,$AS$3:$AT$10,2,FALSE()),IFERROR(VLOOKUP(C161,$AS$15:$AT$22,2,FALSE()),""))</f>
        <v>49</v>
      </c>
      <c r="G161" s="71" t="n">
        <f aca="false">IFERROR(VLOOKUP(C161,$AS$3:$AX$10,6,FALSE()),IFERROR(VLOOKUP(C161,$AS$15:$AX$22,6,FALSE()),""))</f>
        <v>0.436391353881959</v>
      </c>
      <c r="H161" s="72" t="str">
        <f aca="false">IFERROR(VLOOKUP(C161,$AS$3:$AY$10,7,FALSE()),IFERROR(VLOOKUP(C161,$AS$15:$AY$22,7,FALSE()),""))</f>
        <v>🟡 AMARELO</v>
      </c>
      <c r="I161" s="72" t="str">
        <f aca="false">IFERROR(VLOOKUP(C161,$AS$3:$AZ$10,8,FALSE()),IFERROR(VLOOKUP(C161,$AS$15:$AZ$22,8,FALSE()),""))</f>
        <v>Sell Out</v>
      </c>
      <c r="J161" s="73"/>
      <c r="K161" s="56" t="s">
        <v>20</v>
      </c>
      <c r="L161" s="74" t="n">
        <v>7771.66</v>
      </c>
      <c r="M161" s="75" t="n">
        <v>546.14</v>
      </c>
      <c r="N161" s="75" t="n">
        <v>570.69</v>
      </c>
      <c r="O161" s="75" t="n">
        <v>584.45</v>
      </c>
      <c r="P161" s="75" t="n">
        <v>599.67</v>
      </c>
      <c r="Q161" s="75" t="n">
        <v>619.32</v>
      </c>
      <c r="R161" s="75" t="n">
        <v>635.52</v>
      </c>
      <c r="S161" s="75" t="n">
        <v>660.08</v>
      </c>
      <c r="T161" s="75" t="n">
        <v>676.29</v>
      </c>
      <c r="U161" s="75" t="n">
        <v>691.51</v>
      </c>
      <c r="V161" s="75" t="n">
        <v>708.7</v>
      </c>
      <c r="W161" s="75" t="n">
        <v>727.37</v>
      </c>
      <c r="X161" s="76" t="n">
        <v>751.92</v>
      </c>
      <c r="Y161" s="77" t="s">
        <v>20</v>
      </c>
      <c r="Z161" s="78" t="n">
        <f aca="false">SUM(AA161:AL161)</f>
        <v>7300.8</v>
      </c>
      <c r="AA161" s="75"/>
      <c r="AB161" s="75"/>
      <c r="AC161" s="75"/>
      <c r="AD161" s="75" t="n">
        <v>4607.55</v>
      </c>
      <c r="AE161" s="75" t="n">
        <v>2693.25</v>
      </c>
      <c r="AF161" s="75"/>
      <c r="AG161" s="75"/>
      <c r="AH161" s="75"/>
      <c r="AI161" s="75"/>
      <c r="AJ161" s="75"/>
      <c r="AK161" s="75"/>
      <c r="AL161" s="76"/>
      <c r="AM161" s="56" t="s">
        <v>20</v>
      </c>
      <c r="AN161" s="80" t="n">
        <f aca="false">IF(L161=0,0,Z161/L161)</f>
        <v>0.93941320129805</v>
      </c>
      <c r="AO161" s="81" t="str">
        <f aca="false">IF(AN161="","",IF(AN161&gt;=0.9,"🟢",IF(AN161&gt;=0.7,"🟡",IF(AN161&gt;=0.5,"🟠","🔴"))))</f>
        <v>🟢</v>
      </c>
      <c r="AP161" s="82" t="n">
        <f aca="false">IF(L161=0,0,L161-Z161)</f>
        <v>470.86</v>
      </c>
      <c r="AQ161" s="83" t="n">
        <f aca="false">IF(AP161=0,"",RANK(AP161,AP$4:AP$503,0))</f>
        <v>458</v>
      </c>
      <c r="AR161" s="84" t="s">
        <v>20</v>
      </c>
      <c r="AS161" s="141"/>
      <c r="AT161" s="141"/>
      <c r="AU161" s="141"/>
      <c r="AV161" s="141"/>
      <c r="AW161" s="141"/>
      <c r="AX161" s="141"/>
      <c r="AY161" s="142"/>
      <c r="AZ161" s="142"/>
      <c r="BA161" s="56" t="s">
        <v>20</v>
      </c>
      <c r="BB161" s="91" t="n">
        <f aca="false">SUM(L$4:L$503)/COUNTA(A$4:A$503)</f>
        <v>9494.39992</v>
      </c>
      <c r="BC161" s="92" t="n">
        <f aca="false">SUM(M$4:M$503)/COUNTA(A$4:A$503)</f>
        <v>667.20008</v>
      </c>
      <c r="BD161" s="92" t="n">
        <f aca="false">SUM(N$4:N$503)/COUNTA(A$4:A$503)</f>
        <v>697.19996</v>
      </c>
      <c r="BE161" s="92" t="n">
        <f aca="false">SUM(O$4:O$503)/COUNTA(A$4:A$503)</f>
        <v>713.9999</v>
      </c>
      <c r="BF161" s="92" t="n">
        <f aca="false">SUM(P$4:P$503)/COUNTA(A$4:A$503)</f>
        <v>732.59984</v>
      </c>
      <c r="BG161" s="92" t="n">
        <f aca="false">SUM(Q$4:Q$503)/COUNTA(A$4:A$503)</f>
        <v>756.59992</v>
      </c>
      <c r="BH161" s="92" t="n">
        <f aca="false">SUM(R$4:R$503)/COUNTA(A$4:A$503)</f>
        <v>776.40004</v>
      </c>
      <c r="BI161" s="92" t="n">
        <f aca="false">SUM(S$4:S$503)/COUNTA(A$4:A$503)</f>
        <v>806.40012</v>
      </c>
      <c r="BJ161" s="92" t="n">
        <f aca="false">SUM(T$4:T$503)/COUNTA(A$4:A$503)</f>
        <v>826.1999</v>
      </c>
      <c r="BK161" s="92" t="n">
        <f aca="false">SUM(U$4:U$503)/COUNTA(A$4:A$503)</f>
        <v>844.8002</v>
      </c>
      <c r="BL161" s="92" t="n">
        <f aca="false">SUM(V$4:V$503)/COUNTA(A$4:A$503)</f>
        <v>865.7998</v>
      </c>
      <c r="BM161" s="92" t="n">
        <f aca="false">SUM(W$4:W$503)/COUNTA(A$4:A$503)</f>
        <v>888.59982</v>
      </c>
      <c r="BN161" s="93" t="n">
        <f aca="false">SUM(X$4:X$503)/COUNTA(A$4:A$503)</f>
        <v>918.60034</v>
      </c>
      <c r="BO161" s="94" t="s">
        <v>20</v>
      </c>
      <c r="BP161" s="91" t="n">
        <f aca="false">IF(Z161&gt;=BB161,0,IFERROR(BB161+(SUMPRODUCT((Z$4:Z$503&gt;=BB$4:BB$503)*(Z$4:Z$503-BB$4:BB$503))/MAX(1,COUNTIF(Z$4:Z$503,"&lt;"&amp;BB161+0.01))),BB161))</f>
        <v>10695.5432177778</v>
      </c>
      <c r="BQ161" s="92" t="n">
        <f aca="false">IF(AA161&gt;=BC161,0,IFERROR(BC161+SUMPRODUCT((AA$4:AA$503&gt;=BC$4:BC$503)*(AA$4:AA$503-BC$4:BC$503))/MAX(1,COUNTIF(AA$4:AA$503,"&lt;"&amp;BC161+0.01)),BC161))</f>
        <v>2238.46589176471</v>
      </c>
      <c r="BR161" s="92" t="n">
        <f aca="false">IF(AB161&gt;=BD161,0,IFERROR(BD161+SUMPRODUCT((AB$4:AB$503&gt;=BD$4:BD$503)*(AB$4:AB$503-BD$4:BD$503))/MAX(1,COUNTIF(AB$4:AB$503,"&lt;"&amp;BD161+0.01)),BD161))</f>
        <v>3335.2938</v>
      </c>
      <c r="BS161" s="92" t="n">
        <f aca="false">IF(AC161&gt;=BE161,0,IFERROR(BE161+SUMPRODUCT((AC$4:AC$503&gt;=BE$4:BE$503)*(AC$4:AC$503-BE$4:BE$503))/MAX(1,COUNTIF(AC$4:AC$503,"&lt;"&amp;BE161+0.01)),BE161))</f>
        <v>6188.73352</v>
      </c>
      <c r="BT161" s="92" t="n">
        <f aca="false">IF(AD161&gt;=BF161,0,IFERROR(BF161+SUMPRODUCT((AD$4:AD$503&gt;=BF$4:BF$503)*(AD$4:AD$503-BF$4:BF$503))/MAX(1,COUNTIF(AD$4:AD$503,"&lt;"&amp;BF161+0.01)),BF161))</f>
        <v>0</v>
      </c>
      <c r="BU161" s="92" t="n">
        <f aca="false">IF(AE161&gt;=BG161,0,IFERROR(BG161+SUMPRODUCT((AE$4:AE$503&gt;=BG$4:BG$503)*(AE$4:AE$503-BG$4:BG$503))/MAX(1,COUNTIF(AE$4:AE$503,"&lt;"&amp;BG161+0.01)),BG161))</f>
        <v>0</v>
      </c>
      <c r="BV161" s="92" t="n">
        <f aca="false">IF(AF161&gt;=BH161,0,IFERROR(BH161+SUMPRODUCT((AF$4:AF$503&gt;=BH$4:BH$503)*(AF$4:AF$503-BH$4:BH$503))/MAX(1,COUNTIF(AF$4:AF$503,"&lt;"&amp;BH161+0.01)),BH161))</f>
        <v>9942.6503831579</v>
      </c>
      <c r="BW161" s="92" t="n">
        <f aca="false">IF(AG161&gt;=BI161,0,IFERROR(BI161+SUMPRODUCT((AG$4:AG$503&gt;=BI$4:BI$503)*(AG$4:AG$503-BI$4:BI$503))/MAX(1,COUNTIF(AG$4:AG$503,"&lt;"&amp;BI161+0.01)),BI161))</f>
        <v>9142.15870461538</v>
      </c>
      <c r="BX161" s="92" t="n">
        <f aca="false">IF(AH161&gt;=BJ161,0,IFERROR(BJ161+SUMPRODUCT((AH$4:AH$503&gt;=BJ$4:BJ$503)*(AH$4:AH$503-BJ$4:BJ$503))/MAX(1,COUNTIF(AH$4:AH$503,"&lt;"&amp;BJ161+0.01)),BJ161))</f>
        <v>5621.50263448276</v>
      </c>
      <c r="BY161" s="92" t="n">
        <f aca="false">IF(AI161&gt;=BK161,0,IFERROR(BK161+SUMPRODUCT((AI$4:AI$503&gt;=BK$4:BK$503)*(AI$4:AI$503-BK$4:BK$503))/MAX(1,COUNTIF(AI$4:AI$503,"&lt;"&amp;BK161+0.01)),BK161))</f>
        <v>7878.25652380952</v>
      </c>
      <c r="BZ161" s="92" t="n">
        <f aca="false">IF(AJ161&gt;=BL161,0,IFERROR(BL161+SUMPRODUCT((AJ$4:AJ$503&gt;=BL$4:BL$503)*(AJ$4:AJ$503-BL$4:BL$503))/MAX(1,COUNTIF(AJ$4:AJ$503,"&lt;"&amp;BL161+0.01)),BL161))</f>
        <v>6710.03292307692</v>
      </c>
      <c r="CA161" s="92" t="n">
        <f aca="false">IF(AK161&gt;=BM161,0,IFERROR(BM161+SUMPRODUCT((AK$4:AK$503&gt;=BM$4:BM$503)*(AK$4:AK$503-BM$4:BM$503))/MAX(1,COUNTIF(AK$4:AK$503,"&lt;"&amp;BM161+0.01)),BM161))</f>
        <v>7314.89836842105</v>
      </c>
      <c r="CB161" s="93" t="n">
        <f aca="false">IF(AL161&gt;=BN161,0,IFERROR(BN161+SUMPRODUCT((AL$4:AL$503&gt;=BN$4:BN$503)*(AL$4:AL$503-BN$4:BN$503))/MAX(1,COUNTIF(AL$4:AL$503,"&lt;"&amp;BN161+0.01)),BN161))</f>
        <v>3597.2614925</v>
      </c>
      <c r="CC161" s="95" t="str">
        <f aca="false">IF(AO161="🟢","VERDE",IF(AO161="🟡","AMARELO",IF(AO161="🟠","VERMELHO",IF(AO161="🔴","VERMELHO","ROXO"))))</f>
        <v>VERDE</v>
      </c>
      <c r="CD161" s="96" t="s">
        <v>103</v>
      </c>
      <c r="CE161" s="96" t="s">
        <v>104</v>
      </c>
    </row>
    <row r="162" customFormat="false" ht="14.25" hidden="false" customHeight="true" outlineLevel="0" collapsed="false">
      <c r="A162" s="65" t="s">
        <v>457</v>
      </c>
      <c r="B162" s="66" t="s">
        <v>458</v>
      </c>
      <c r="C162" s="66" t="s">
        <v>124</v>
      </c>
      <c r="D162" s="68" t="s">
        <v>184</v>
      </c>
      <c r="E162" s="69" t="s">
        <v>187</v>
      </c>
      <c r="F162" s="70" t="n">
        <f aca="false">IFERROR(VLOOKUP(C162,$AS$3:$AT$10,2,FALSE()),IFERROR(VLOOKUP(C162,$AS$15:$AT$22,2,FALSE()),""))</f>
        <v>7</v>
      </c>
      <c r="G162" s="71" t="n">
        <f aca="false">IFERROR(VLOOKUP(C162,$AS$3:$AX$10,6,FALSE()),IFERROR(VLOOKUP(C162,$AS$15:$AX$22,6,FALSE()),""))</f>
        <v>0.421338416191415</v>
      </c>
      <c r="H162" s="72" t="str">
        <f aca="false">IFERROR(VLOOKUP(C162,$AS$3:$AY$10,7,FALSE()),IFERROR(VLOOKUP(C162,$AS$15:$AY$22,7,FALSE()),""))</f>
        <v>🟡 AMARELO</v>
      </c>
      <c r="I162" s="72" t="str">
        <f aca="false">IFERROR(VLOOKUP(C162,$AS$3:$AZ$10,8,FALSE()),IFERROR(VLOOKUP(C162,$AS$15:$AZ$22,8,FALSE()),""))</f>
        <v>Sell Out</v>
      </c>
      <c r="J162" s="73"/>
      <c r="K162" s="69" t="s">
        <v>158</v>
      </c>
      <c r="L162" s="74" t="n">
        <v>7748.27</v>
      </c>
      <c r="M162" s="75" t="n">
        <v>544.49</v>
      </c>
      <c r="N162" s="75" t="n">
        <v>568.98</v>
      </c>
      <c r="O162" s="75" t="n">
        <v>582.69</v>
      </c>
      <c r="P162" s="75" t="n">
        <v>597.87</v>
      </c>
      <c r="Q162" s="75" t="n">
        <v>617.45</v>
      </c>
      <c r="R162" s="75" t="n">
        <v>633.61</v>
      </c>
      <c r="S162" s="75" t="n">
        <v>658.09</v>
      </c>
      <c r="T162" s="75" t="n">
        <v>674.25</v>
      </c>
      <c r="U162" s="75" t="n">
        <v>689.43</v>
      </c>
      <c r="V162" s="75" t="n">
        <v>706.57</v>
      </c>
      <c r="W162" s="75" t="n">
        <v>725.18</v>
      </c>
      <c r="X162" s="76" t="n">
        <v>749.66</v>
      </c>
      <c r="Y162" s="77" t="s">
        <v>20</v>
      </c>
      <c r="Z162" s="78" t="n">
        <f aca="false">SUM(AA162:AL162)</f>
        <v>1344.86</v>
      </c>
      <c r="AA162" s="75"/>
      <c r="AB162" s="75"/>
      <c r="AC162" s="75"/>
      <c r="AD162" s="75" t="n">
        <v>687.65</v>
      </c>
      <c r="AE162" s="75" t="n">
        <v>657.21</v>
      </c>
      <c r="AF162" s="75"/>
      <c r="AG162" s="75"/>
      <c r="AH162" s="75"/>
      <c r="AI162" s="75"/>
      <c r="AJ162" s="75"/>
      <c r="AK162" s="75"/>
      <c r="AL162" s="76"/>
      <c r="AM162" s="56" t="s">
        <v>20</v>
      </c>
      <c r="AN162" s="80" t="n">
        <f aca="false">IF(L162=0,0,Z162/L162)</f>
        <v>0.173569067675752</v>
      </c>
      <c r="AO162" s="81" t="str">
        <f aca="false">IF(AN162="","",IF(AN162&gt;=0.9,"🟢",IF(AN162&gt;=0.7,"🟡",IF(AN162&gt;=0.5,"🟠","🔴"))))</f>
        <v>🔴</v>
      </c>
      <c r="AP162" s="82" t="n">
        <f aca="false">IF(L162=0,0,L162-Z162)</f>
        <v>6403.41</v>
      </c>
      <c r="AQ162" s="83" t="n">
        <f aca="false">IF(AP162=0,"",RANK(AP162,AP$4:AP$503,0))</f>
        <v>94</v>
      </c>
      <c r="AR162" s="84" t="s">
        <v>20</v>
      </c>
      <c r="AS162" s="141"/>
      <c r="AT162" s="141"/>
      <c r="AU162" s="141"/>
      <c r="AV162" s="141"/>
      <c r="AW162" s="141"/>
      <c r="AX162" s="141"/>
      <c r="AY162" s="142"/>
      <c r="AZ162" s="142"/>
      <c r="BA162" s="56" t="s">
        <v>20</v>
      </c>
      <c r="BB162" s="91" t="n">
        <f aca="false">SUM(L$4:L$503)/COUNTA(A$4:A$503)</f>
        <v>9494.39992</v>
      </c>
      <c r="BC162" s="92" t="n">
        <f aca="false">SUM(M$4:M$503)/COUNTA(A$4:A$503)</f>
        <v>667.20008</v>
      </c>
      <c r="BD162" s="92" t="n">
        <f aca="false">SUM(N$4:N$503)/COUNTA(A$4:A$503)</f>
        <v>697.19996</v>
      </c>
      <c r="BE162" s="92" t="n">
        <f aca="false">SUM(O$4:O$503)/COUNTA(A$4:A$503)</f>
        <v>713.9999</v>
      </c>
      <c r="BF162" s="92" t="n">
        <f aca="false">SUM(P$4:P$503)/COUNTA(A$4:A$503)</f>
        <v>732.59984</v>
      </c>
      <c r="BG162" s="92" t="n">
        <f aca="false">SUM(Q$4:Q$503)/COUNTA(A$4:A$503)</f>
        <v>756.59992</v>
      </c>
      <c r="BH162" s="92" t="n">
        <f aca="false">SUM(R$4:R$503)/COUNTA(A$4:A$503)</f>
        <v>776.40004</v>
      </c>
      <c r="BI162" s="92" t="n">
        <f aca="false">SUM(S$4:S$503)/COUNTA(A$4:A$503)</f>
        <v>806.40012</v>
      </c>
      <c r="BJ162" s="92" t="n">
        <f aca="false">SUM(T$4:T$503)/COUNTA(A$4:A$503)</f>
        <v>826.1999</v>
      </c>
      <c r="BK162" s="92" t="n">
        <f aca="false">SUM(U$4:U$503)/COUNTA(A$4:A$503)</f>
        <v>844.8002</v>
      </c>
      <c r="BL162" s="92" t="n">
        <f aca="false">SUM(V$4:V$503)/COUNTA(A$4:A$503)</f>
        <v>865.7998</v>
      </c>
      <c r="BM162" s="92" t="n">
        <f aca="false">SUM(W$4:W$503)/COUNTA(A$4:A$503)</f>
        <v>888.59982</v>
      </c>
      <c r="BN162" s="93" t="n">
        <f aca="false">SUM(X$4:X$503)/COUNTA(A$4:A$503)</f>
        <v>918.60034</v>
      </c>
      <c r="BO162" s="94" t="s">
        <v>20</v>
      </c>
      <c r="BP162" s="91" t="n">
        <f aca="false">IF(Z162&gt;=BB162,0,IFERROR(BB162+(SUMPRODUCT((Z$4:Z$503&gt;=BB$4:BB$503)*(Z$4:Z$503-BB$4:BB$503))/MAX(1,COUNTIF(Z$4:Z$503,"&lt;"&amp;BB162+0.01))),BB162))</f>
        <v>10695.5432177778</v>
      </c>
      <c r="BQ162" s="92" t="n">
        <f aca="false">IF(AA162&gt;=BC162,0,IFERROR(BC162+SUMPRODUCT((AA$4:AA$503&gt;=BC$4:BC$503)*(AA$4:AA$503-BC$4:BC$503))/MAX(1,COUNTIF(AA$4:AA$503,"&lt;"&amp;BC162+0.01)),BC162))</f>
        <v>2238.46589176471</v>
      </c>
      <c r="BR162" s="92" t="n">
        <f aca="false">IF(AB162&gt;=BD162,0,IFERROR(BD162+SUMPRODUCT((AB$4:AB$503&gt;=BD$4:BD$503)*(AB$4:AB$503-BD$4:BD$503))/MAX(1,COUNTIF(AB$4:AB$503,"&lt;"&amp;BD162+0.01)),BD162))</f>
        <v>3335.2938</v>
      </c>
      <c r="BS162" s="92" t="n">
        <f aca="false">IF(AC162&gt;=BE162,0,IFERROR(BE162+SUMPRODUCT((AC$4:AC$503&gt;=BE$4:BE$503)*(AC$4:AC$503-BE$4:BE$503))/MAX(1,COUNTIF(AC$4:AC$503,"&lt;"&amp;BE162+0.01)),BE162))</f>
        <v>6188.73352</v>
      </c>
      <c r="BT162" s="92" t="n">
        <f aca="false">IF(AD162&gt;=BF162,0,IFERROR(BF162+SUMPRODUCT((AD$4:AD$503&gt;=BF$4:BF$503)*(AD$4:AD$503-BF$4:BF$503))/MAX(1,COUNTIF(AD$4:AD$503,"&lt;"&amp;BF162+0.01)),BF162))</f>
        <v>11354.35411</v>
      </c>
      <c r="BU162" s="92" t="n">
        <f aca="false">IF(AE162&gt;=BG162,0,IFERROR(BG162+SUMPRODUCT((AE$4:AE$503&gt;=BG$4:BG$503)*(AE$4:AE$503-BG$4:BG$503))/MAX(1,COUNTIF(AE$4:AE$503,"&lt;"&amp;BG162+0.01)),BG162))</f>
        <v>7704.85920380952</v>
      </c>
      <c r="BV162" s="92" t="n">
        <f aca="false">IF(AF162&gt;=BH162,0,IFERROR(BH162+SUMPRODUCT((AF$4:AF$503&gt;=BH$4:BH$503)*(AF$4:AF$503-BH$4:BH$503))/MAX(1,COUNTIF(AF$4:AF$503,"&lt;"&amp;BH162+0.01)),BH162))</f>
        <v>9942.6503831579</v>
      </c>
      <c r="BW162" s="92" t="n">
        <f aca="false">IF(AG162&gt;=BI162,0,IFERROR(BI162+SUMPRODUCT((AG$4:AG$503&gt;=BI$4:BI$503)*(AG$4:AG$503-BI$4:BI$503))/MAX(1,COUNTIF(AG$4:AG$503,"&lt;"&amp;BI162+0.01)),BI162))</f>
        <v>9142.15870461538</v>
      </c>
      <c r="BX162" s="92" t="n">
        <f aca="false">IF(AH162&gt;=BJ162,0,IFERROR(BJ162+SUMPRODUCT((AH$4:AH$503&gt;=BJ$4:BJ$503)*(AH$4:AH$503-BJ$4:BJ$503))/MAX(1,COUNTIF(AH$4:AH$503,"&lt;"&amp;BJ162+0.01)),BJ162))</f>
        <v>5621.50263448276</v>
      </c>
      <c r="BY162" s="92" t="n">
        <f aca="false">IF(AI162&gt;=BK162,0,IFERROR(BK162+SUMPRODUCT((AI$4:AI$503&gt;=BK$4:BK$503)*(AI$4:AI$503-BK$4:BK$503))/MAX(1,COUNTIF(AI$4:AI$503,"&lt;"&amp;BK162+0.01)),BK162))</f>
        <v>7878.25652380952</v>
      </c>
      <c r="BZ162" s="92" t="n">
        <f aca="false">IF(AJ162&gt;=BL162,0,IFERROR(BL162+SUMPRODUCT((AJ$4:AJ$503&gt;=BL$4:BL$503)*(AJ$4:AJ$503-BL$4:BL$503))/MAX(1,COUNTIF(AJ$4:AJ$503,"&lt;"&amp;BL162+0.01)),BL162))</f>
        <v>6710.03292307692</v>
      </c>
      <c r="CA162" s="92" t="n">
        <f aca="false">IF(AK162&gt;=BM162,0,IFERROR(BM162+SUMPRODUCT((AK$4:AK$503&gt;=BM$4:BM$503)*(AK$4:AK$503-BM$4:BM$503))/MAX(1,COUNTIF(AK$4:AK$503,"&lt;"&amp;BM162+0.01)),BM162))</f>
        <v>7314.89836842105</v>
      </c>
      <c r="CB162" s="93" t="n">
        <f aca="false">IF(AL162&gt;=BN162,0,IFERROR(BN162+SUMPRODUCT((AL$4:AL$503&gt;=BN$4:BN$503)*(AL$4:AL$503-BN$4:BN$503))/MAX(1,COUNTIF(AL$4:AL$503,"&lt;"&amp;BN162+0.01)),BN162))</f>
        <v>3597.2614925</v>
      </c>
      <c r="CC162" s="95" t="str">
        <f aca="false">IF(AO162="🟢","VERDE",IF(AO162="🟡","AMARELO",IF(AO162="🟠","VERMELHO",IF(AO162="🔴","VERMELHO","ROXO"))))</f>
        <v>VERMELHO</v>
      </c>
      <c r="CD162" s="96" t="s">
        <v>176</v>
      </c>
      <c r="CE162" s="96" t="s">
        <v>124</v>
      </c>
    </row>
    <row r="163" customFormat="false" ht="14.25" hidden="false" customHeight="true" outlineLevel="0" collapsed="false">
      <c r="A163" s="65" t="s">
        <v>459</v>
      </c>
      <c r="B163" s="66" t="s">
        <v>460</v>
      </c>
      <c r="C163" s="67" t="s">
        <v>107</v>
      </c>
      <c r="D163" s="68" t="s">
        <v>108</v>
      </c>
      <c r="E163" s="69" t="s">
        <v>139</v>
      </c>
      <c r="F163" s="70" t="n">
        <f aca="false">IFERROR(VLOOKUP(C163,$AS$3:$AT$10,2,FALSE()),IFERROR(VLOOKUP(C163,$AS$15:$AT$22,2,FALSE()),""))</f>
        <v>132</v>
      </c>
      <c r="G163" s="71" t="n">
        <f aca="false">IFERROR(VLOOKUP(C163,$AS$3:$AX$10,6,FALSE()),IFERROR(VLOOKUP(C163,$AS$15:$AX$22,6,FALSE()),""))</f>
        <v>0.468190175850689</v>
      </c>
      <c r="H163" s="72" t="str">
        <f aca="false">IFERROR(VLOOKUP(C163,$AS$3:$AY$10,7,FALSE()),IFERROR(VLOOKUP(C163,$AS$15:$AY$22,7,FALSE()),""))</f>
        <v>🟡 AMARELO</v>
      </c>
      <c r="I163" s="72" t="str">
        <f aca="false">IFERROR(VLOOKUP(C163,$AS$3:$AZ$10,8,FALSE()),IFERROR(VLOOKUP(C163,$AS$15:$AZ$22,8,FALSE()),""))</f>
        <v>Sell Out</v>
      </c>
      <c r="J163" s="73"/>
      <c r="K163" s="69" t="s">
        <v>107</v>
      </c>
      <c r="L163" s="74" t="n">
        <v>7697.91</v>
      </c>
      <c r="M163" s="75" t="n">
        <v>540.95</v>
      </c>
      <c r="N163" s="75" t="n">
        <v>565.28</v>
      </c>
      <c r="O163" s="75" t="n">
        <v>578.9</v>
      </c>
      <c r="P163" s="75" t="n">
        <v>593.98</v>
      </c>
      <c r="Q163" s="75" t="n">
        <v>613.44</v>
      </c>
      <c r="R163" s="75" t="n">
        <v>629.49</v>
      </c>
      <c r="S163" s="75" t="n">
        <v>653.82</v>
      </c>
      <c r="T163" s="75" t="n">
        <v>669.87</v>
      </c>
      <c r="U163" s="75" t="n">
        <v>684.95</v>
      </c>
      <c r="V163" s="75" t="n">
        <v>701.98</v>
      </c>
      <c r="W163" s="75" t="n">
        <v>720.46</v>
      </c>
      <c r="X163" s="76" t="n">
        <v>744.79</v>
      </c>
      <c r="Y163" s="77" t="s">
        <v>20</v>
      </c>
      <c r="Z163" s="78" t="n">
        <f aca="false">SUM(AA163:AL163)</f>
        <v>3673.36</v>
      </c>
      <c r="AA163" s="75"/>
      <c r="AB163" s="75"/>
      <c r="AC163" s="75"/>
      <c r="AD163" s="79" t="n">
        <v>2651.31</v>
      </c>
      <c r="AE163" s="75"/>
      <c r="AF163" s="75"/>
      <c r="AG163" s="75"/>
      <c r="AH163" s="75"/>
      <c r="AI163" s="75"/>
      <c r="AJ163" s="75"/>
      <c r="AK163" s="79" t="n">
        <v>1022.05</v>
      </c>
      <c r="AL163" s="76"/>
      <c r="AM163" s="56" t="s">
        <v>20</v>
      </c>
      <c r="AN163" s="80" t="n">
        <f aca="false">IF(L163=0,0,Z163/L163)</f>
        <v>0.477189263059714</v>
      </c>
      <c r="AO163" s="81" t="str">
        <f aca="false">IF(AN163="","",IF(AN163&gt;=0.9,"🟢",IF(AN163&gt;=0.7,"🟡",IF(AN163&gt;=0.5,"🟠","🔴"))))</f>
        <v>🔴</v>
      </c>
      <c r="AP163" s="82" t="n">
        <f aca="false">IF(L163=0,0,L163-Z163)</f>
        <v>4024.55</v>
      </c>
      <c r="AQ163" s="83" t="n">
        <f aca="false">IF(AP163=0,"",RANK(AP163,AP$4:AP$503,0))</f>
        <v>163</v>
      </c>
      <c r="AR163" s="84" t="s">
        <v>20</v>
      </c>
      <c r="AS163" s="141"/>
      <c r="AT163" s="141"/>
      <c r="AU163" s="141"/>
      <c r="AV163" s="141"/>
      <c r="AW163" s="141"/>
      <c r="AX163" s="141"/>
      <c r="AY163" s="142"/>
      <c r="AZ163" s="142"/>
      <c r="BA163" s="56" t="s">
        <v>20</v>
      </c>
      <c r="BB163" s="91" t="n">
        <f aca="false">SUM(L$4:L$503)/COUNTA(A$4:A$503)</f>
        <v>9494.39992</v>
      </c>
      <c r="BC163" s="92" t="n">
        <f aca="false">SUM(M$4:M$503)/COUNTA(A$4:A$503)</f>
        <v>667.20008</v>
      </c>
      <c r="BD163" s="92" t="n">
        <f aca="false">SUM(N$4:N$503)/COUNTA(A$4:A$503)</f>
        <v>697.19996</v>
      </c>
      <c r="BE163" s="92" t="n">
        <f aca="false">SUM(O$4:O$503)/COUNTA(A$4:A$503)</f>
        <v>713.9999</v>
      </c>
      <c r="BF163" s="92" t="n">
        <f aca="false">SUM(P$4:P$503)/COUNTA(A$4:A$503)</f>
        <v>732.59984</v>
      </c>
      <c r="BG163" s="92" t="n">
        <f aca="false">SUM(Q$4:Q$503)/COUNTA(A$4:A$503)</f>
        <v>756.59992</v>
      </c>
      <c r="BH163" s="92" t="n">
        <f aca="false">SUM(R$4:R$503)/COUNTA(A$4:A$503)</f>
        <v>776.40004</v>
      </c>
      <c r="BI163" s="92" t="n">
        <f aca="false">SUM(S$4:S$503)/COUNTA(A$4:A$503)</f>
        <v>806.40012</v>
      </c>
      <c r="BJ163" s="92" t="n">
        <f aca="false">SUM(T$4:T$503)/COUNTA(A$4:A$503)</f>
        <v>826.1999</v>
      </c>
      <c r="BK163" s="92" t="n">
        <f aca="false">SUM(U$4:U$503)/COUNTA(A$4:A$503)</f>
        <v>844.8002</v>
      </c>
      <c r="BL163" s="92" t="n">
        <f aca="false">SUM(V$4:V$503)/COUNTA(A$4:A$503)</f>
        <v>865.7998</v>
      </c>
      <c r="BM163" s="92" t="n">
        <f aca="false">SUM(W$4:W$503)/COUNTA(A$4:A$503)</f>
        <v>888.59982</v>
      </c>
      <c r="BN163" s="93" t="n">
        <f aca="false">SUM(X$4:X$503)/COUNTA(A$4:A$503)</f>
        <v>918.60034</v>
      </c>
      <c r="BO163" s="94" t="s">
        <v>20</v>
      </c>
      <c r="BP163" s="91" t="n">
        <f aca="false">IF(Z163&gt;=BB163,0,IFERROR(BB163+(SUMPRODUCT((Z$4:Z$503&gt;=BB$4:BB$503)*(Z$4:Z$503-BB$4:BB$503))/MAX(1,COUNTIF(Z$4:Z$503,"&lt;"&amp;BB163+0.01))),BB163))</f>
        <v>10695.5432177778</v>
      </c>
      <c r="BQ163" s="92" t="n">
        <f aca="false">IF(AA163&gt;=BC163,0,IFERROR(BC163+SUMPRODUCT((AA$4:AA$503&gt;=BC$4:BC$503)*(AA$4:AA$503-BC$4:BC$503))/MAX(1,COUNTIF(AA$4:AA$503,"&lt;"&amp;BC163+0.01)),BC163))</f>
        <v>2238.46589176471</v>
      </c>
      <c r="BR163" s="92" t="n">
        <f aca="false">IF(AB163&gt;=BD163,0,IFERROR(BD163+SUMPRODUCT((AB$4:AB$503&gt;=BD$4:BD$503)*(AB$4:AB$503-BD$4:BD$503))/MAX(1,COUNTIF(AB$4:AB$503,"&lt;"&amp;BD163+0.01)),BD163))</f>
        <v>3335.2938</v>
      </c>
      <c r="BS163" s="92" t="n">
        <f aca="false">IF(AC163&gt;=BE163,0,IFERROR(BE163+SUMPRODUCT((AC$4:AC$503&gt;=BE$4:BE$503)*(AC$4:AC$503-BE$4:BE$503))/MAX(1,COUNTIF(AC$4:AC$503,"&lt;"&amp;BE163+0.01)),BE163))</f>
        <v>6188.73352</v>
      </c>
      <c r="BT163" s="92" t="n">
        <f aca="false">IF(AD163&gt;=BF163,0,IFERROR(BF163+SUMPRODUCT((AD$4:AD$503&gt;=BF$4:BF$503)*(AD$4:AD$503-BF$4:BF$503))/MAX(1,COUNTIF(AD$4:AD$503,"&lt;"&amp;BF163+0.01)),BF163))</f>
        <v>0</v>
      </c>
      <c r="BU163" s="92" t="n">
        <f aca="false">IF(AE163&gt;=BG163,0,IFERROR(BG163+SUMPRODUCT((AE$4:AE$503&gt;=BG$4:BG$503)*(AE$4:AE$503-BG$4:BG$503))/MAX(1,COUNTIF(AE$4:AE$503,"&lt;"&amp;BG163+0.01)),BG163))</f>
        <v>7704.85920380952</v>
      </c>
      <c r="BV163" s="92" t="n">
        <f aca="false">IF(AF163&gt;=BH163,0,IFERROR(BH163+SUMPRODUCT((AF$4:AF$503&gt;=BH$4:BH$503)*(AF$4:AF$503-BH$4:BH$503))/MAX(1,COUNTIF(AF$4:AF$503,"&lt;"&amp;BH163+0.01)),BH163))</f>
        <v>9942.6503831579</v>
      </c>
      <c r="BW163" s="92" t="n">
        <f aca="false">IF(AG163&gt;=BI163,0,IFERROR(BI163+SUMPRODUCT((AG$4:AG$503&gt;=BI$4:BI$503)*(AG$4:AG$503-BI$4:BI$503))/MAX(1,COUNTIF(AG$4:AG$503,"&lt;"&amp;BI163+0.01)),BI163))</f>
        <v>9142.15870461538</v>
      </c>
      <c r="BX163" s="92" t="n">
        <f aca="false">IF(AH163&gt;=BJ163,0,IFERROR(BJ163+SUMPRODUCT((AH$4:AH$503&gt;=BJ$4:BJ$503)*(AH$4:AH$503-BJ$4:BJ$503))/MAX(1,COUNTIF(AH$4:AH$503,"&lt;"&amp;BJ163+0.01)),BJ163))</f>
        <v>5621.50263448276</v>
      </c>
      <c r="BY163" s="92" t="n">
        <f aca="false">IF(AI163&gt;=BK163,0,IFERROR(BK163+SUMPRODUCT((AI$4:AI$503&gt;=BK$4:BK$503)*(AI$4:AI$503-BK$4:BK$503))/MAX(1,COUNTIF(AI$4:AI$503,"&lt;"&amp;BK163+0.01)),BK163))</f>
        <v>7878.25652380952</v>
      </c>
      <c r="BZ163" s="92" t="n">
        <f aca="false">IF(AJ163&gt;=BL163,0,IFERROR(BL163+SUMPRODUCT((AJ$4:AJ$503&gt;=BL$4:BL$503)*(AJ$4:AJ$503-BL$4:BL$503))/MAX(1,COUNTIF(AJ$4:AJ$503,"&lt;"&amp;BL163+0.01)),BL163))</f>
        <v>6710.03292307692</v>
      </c>
      <c r="CA163" s="92" t="n">
        <f aca="false">IF(AK163&gt;=BM163,0,IFERROR(BM163+SUMPRODUCT((AK$4:AK$503&gt;=BM$4:BM$503)*(AK$4:AK$503-BM$4:BM$503))/MAX(1,COUNTIF(AK$4:AK$503,"&lt;"&amp;BM163+0.01)),BM163))</f>
        <v>0</v>
      </c>
      <c r="CB163" s="93" t="n">
        <f aca="false">IF(AL163&gt;=BN163,0,IFERROR(BN163+SUMPRODUCT((AL$4:AL$503&gt;=BN$4:BN$503)*(AL$4:AL$503-BN$4:BN$503))/MAX(1,COUNTIF(AL$4:AL$503,"&lt;"&amp;BN163+0.01)),BN163))</f>
        <v>3597.2614925</v>
      </c>
      <c r="CC163" s="95" t="str">
        <f aca="false">IF(AO163="🟢","VERDE",IF(AO163="🟡","AMARELO",IF(AO163="🟠","VERMELHO",IF(AO163="🔴","VERMELHO","ROXO"))))</f>
        <v>VERMELHO</v>
      </c>
      <c r="CD163" s="96" t="s">
        <v>103</v>
      </c>
      <c r="CE163" s="96" t="s">
        <v>104</v>
      </c>
    </row>
    <row r="164" customFormat="false" ht="14.25" hidden="false" customHeight="true" outlineLevel="0" collapsed="false">
      <c r="A164" s="65" t="s">
        <v>461</v>
      </c>
      <c r="B164" s="66" t="s">
        <v>462</v>
      </c>
      <c r="C164" s="67" t="s">
        <v>123</v>
      </c>
      <c r="D164" s="68" t="s">
        <v>100</v>
      </c>
      <c r="E164" s="56" t="s">
        <v>20</v>
      </c>
      <c r="F164" s="70" t="n">
        <f aca="false">IFERROR(VLOOKUP(C164,$AS$3:$AT$10,2,FALSE()),IFERROR(VLOOKUP(C164,$AS$15:$AT$22,2,FALSE()),""))</f>
        <v>49</v>
      </c>
      <c r="G164" s="71" t="n">
        <f aca="false">IFERROR(VLOOKUP(C164,$AS$3:$AX$10,6,FALSE()),IFERROR(VLOOKUP(C164,$AS$15:$AX$22,6,FALSE()),""))</f>
        <v>0.436391353881959</v>
      </c>
      <c r="H164" s="72" t="str">
        <f aca="false">IFERROR(VLOOKUP(C164,$AS$3:$AY$10,7,FALSE()),IFERROR(VLOOKUP(C164,$AS$15:$AY$22,7,FALSE()),""))</f>
        <v>🟡 AMARELO</v>
      </c>
      <c r="I164" s="72" t="str">
        <f aca="false">IFERROR(VLOOKUP(C164,$AS$3:$AZ$10,8,FALSE()),IFERROR(VLOOKUP(C164,$AS$15:$AZ$22,8,FALSE()),""))</f>
        <v>Sell Out</v>
      </c>
      <c r="J164" s="73"/>
      <c r="K164" s="56" t="s">
        <v>20</v>
      </c>
      <c r="L164" s="74" t="n">
        <v>7580.27</v>
      </c>
      <c r="M164" s="75" t="n">
        <v>532.69</v>
      </c>
      <c r="N164" s="75" t="n">
        <v>556.64</v>
      </c>
      <c r="O164" s="75" t="n">
        <v>570.05</v>
      </c>
      <c r="P164" s="75" t="n">
        <v>584.9</v>
      </c>
      <c r="Q164" s="75" t="n">
        <v>604.07</v>
      </c>
      <c r="R164" s="75" t="n">
        <v>619.87</v>
      </c>
      <c r="S164" s="75" t="n">
        <v>643.83</v>
      </c>
      <c r="T164" s="75" t="n">
        <v>659.63</v>
      </c>
      <c r="U164" s="75" t="n">
        <v>674.48</v>
      </c>
      <c r="V164" s="75" t="n">
        <v>691.25</v>
      </c>
      <c r="W164" s="75" t="n">
        <v>709.45</v>
      </c>
      <c r="X164" s="76" t="n">
        <v>733.41</v>
      </c>
      <c r="Y164" s="77" t="s">
        <v>20</v>
      </c>
      <c r="Z164" s="78" t="n">
        <f aca="false">SUM(AA164:AL164)</f>
        <v>3433.17</v>
      </c>
      <c r="AA164" s="75"/>
      <c r="AB164" s="75"/>
      <c r="AC164" s="75"/>
      <c r="AD164" s="75" t="n">
        <v>816.12</v>
      </c>
      <c r="AE164" s="75"/>
      <c r="AF164" s="75"/>
      <c r="AG164" s="75" t="n">
        <v>959.79</v>
      </c>
      <c r="AH164" s="75" t="n">
        <v>707.76</v>
      </c>
      <c r="AI164" s="75"/>
      <c r="AJ164" s="75" t="n">
        <v>949.5</v>
      </c>
      <c r="AK164" s="75"/>
      <c r="AL164" s="76"/>
      <c r="AM164" s="56" t="s">
        <v>20</v>
      </c>
      <c r="AN164" s="80" t="n">
        <f aca="false">IF(L164=0,0,Z164/L164)</f>
        <v>0.452908669480111</v>
      </c>
      <c r="AO164" s="81" t="str">
        <f aca="false">IF(AN164="","",IF(AN164&gt;=0.9,"🟢",IF(AN164&gt;=0.7,"🟡",IF(AN164&gt;=0.5,"🟠","🔴"))))</f>
        <v>🔴</v>
      </c>
      <c r="AP164" s="82" t="n">
        <f aca="false">IF(L164=0,0,L164-Z164)</f>
        <v>4147.1</v>
      </c>
      <c r="AQ164" s="83" t="n">
        <f aca="false">IF(AP164=0,"",RANK(AP164,AP$4:AP$503,0))</f>
        <v>157</v>
      </c>
      <c r="AR164" s="84" t="s">
        <v>20</v>
      </c>
      <c r="AS164" s="141"/>
      <c r="AT164" s="141"/>
      <c r="AU164" s="141"/>
      <c r="AV164" s="141"/>
      <c r="AW164" s="141"/>
      <c r="AX164" s="141"/>
      <c r="AY164" s="142"/>
      <c r="AZ164" s="142"/>
      <c r="BA164" s="56" t="s">
        <v>20</v>
      </c>
      <c r="BB164" s="91" t="n">
        <f aca="false">SUM(L$4:L$503)/COUNTA(A$4:A$503)</f>
        <v>9494.39992</v>
      </c>
      <c r="BC164" s="92" t="n">
        <f aca="false">SUM(M$4:M$503)/COUNTA(A$4:A$503)</f>
        <v>667.20008</v>
      </c>
      <c r="BD164" s="92" t="n">
        <f aca="false">SUM(N$4:N$503)/COUNTA(A$4:A$503)</f>
        <v>697.19996</v>
      </c>
      <c r="BE164" s="92" t="n">
        <f aca="false">SUM(O$4:O$503)/COUNTA(A$4:A$503)</f>
        <v>713.9999</v>
      </c>
      <c r="BF164" s="92" t="n">
        <f aca="false">SUM(P$4:P$503)/COUNTA(A$4:A$503)</f>
        <v>732.59984</v>
      </c>
      <c r="BG164" s="92" t="n">
        <f aca="false">SUM(Q$4:Q$503)/COUNTA(A$4:A$503)</f>
        <v>756.59992</v>
      </c>
      <c r="BH164" s="92" t="n">
        <f aca="false">SUM(R$4:R$503)/COUNTA(A$4:A$503)</f>
        <v>776.40004</v>
      </c>
      <c r="BI164" s="92" t="n">
        <f aca="false">SUM(S$4:S$503)/COUNTA(A$4:A$503)</f>
        <v>806.40012</v>
      </c>
      <c r="BJ164" s="92" t="n">
        <f aca="false">SUM(T$4:T$503)/COUNTA(A$4:A$503)</f>
        <v>826.1999</v>
      </c>
      <c r="BK164" s="92" t="n">
        <f aca="false">SUM(U$4:U$503)/COUNTA(A$4:A$503)</f>
        <v>844.8002</v>
      </c>
      <c r="BL164" s="92" t="n">
        <f aca="false">SUM(V$4:V$503)/COUNTA(A$4:A$503)</f>
        <v>865.7998</v>
      </c>
      <c r="BM164" s="92" t="n">
        <f aca="false">SUM(W$4:W$503)/COUNTA(A$4:A$503)</f>
        <v>888.59982</v>
      </c>
      <c r="BN164" s="93" t="n">
        <f aca="false">SUM(X$4:X$503)/COUNTA(A$4:A$503)</f>
        <v>918.60034</v>
      </c>
      <c r="BO164" s="94" t="s">
        <v>20</v>
      </c>
      <c r="BP164" s="91" t="n">
        <f aca="false">IF(Z164&gt;=BB164,0,IFERROR(BB164+(SUMPRODUCT((Z$4:Z$503&gt;=BB$4:BB$503)*(Z$4:Z$503-BB$4:BB$503))/MAX(1,COUNTIF(Z$4:Z$503,"&lt;"&amp;BB164+0.01))),BB164))</f>
        <v>10695.5432177778</v>
      </c>
      <c r="BQ164" s="92" t="n">
        <f aca="false">IF(AA164&gt;=BC164,0,IFERROR(BC164+SUMPRODUCT((AA$4:AA$503&gt;=BC$4:BC$503)*(AA$4:AA$503-BC$4:BC$503))/MAX(1,COUNTIF(AA$4:AA$503,"&lt;"&amp;BC164+0.01)),BC164))</f>
        <v>2238.46589176471</v>
      </c>
      <c r="BR164" s="92" t="n">
        <f aca="false">IF(AB164&gt;=BD164,0,IFERROR(BD164+SUMPRODUCT((AB$4:AB$503&gt;=BD$4:BD$503)*(AB$4:AB$503-BD$4:BD$503))/MAX(1,COUNTIF(AB$4:AB$503,"&lt;"&amp;BD164+0.01)),BD164))</f>
        <v>3335.2938</v>
      </c>
      <c r="BS164" s="92" t="n">
        <f aca="false">IF(AC164&gt;=BE164,0,IFERROR(BE164+SUMPRODUCT((AC$4:AC$503&gt;=BE$4:BE$503)*(AC$4:AC$503-BE$4:BE$503))/MAX(1,COUNTIF(AC$4:AC$503,"&lt;"&amp;BE164+0.01)),BE164))</f>
        <v>6188.73352</v>
      </c>
      <c r="BT164" s="92" t="n">
        <f aca="false">IF(AD164&gt;=BF164,0,IFERROR(BF164+SUMPRODUCT((AD$4:AD$503&gt;=BF$4:BF$503)*(AD$4:AD$503-BF$4:BF$503))/MAX(1,COUNTIF(AD$4:AD$503,"&lt;"&amp;BF164+0.01)),BF164))</f>
        <v>0</v>
      </c>
      <c r="BU164" s="92" t="n">
        <f aca="false">IF(AE164&gt;=BG164,0,IFERROR(BG164+SUMPRODUCT((AE$4:AE$503&gt;=BG$4:BG$503)*(AE$4:AE$503-BG$4:BG$503))/MAX(1,COUNTIF(AE$4:AE$503,"&lt;"&amp;BG164+0.01)),BG164))</f>
        <v>7704.85920380952</v>
      </c>
      <c r="BV164" s="92" t="n">
        <f aca="false">IF(AF164&gt;=BH164,0,IFERROR(BH164+SUMPRODUCT((AF$4:AF$503&gt;=BH$4:BH$503)*(AF$4:AF$503-BH$4:BH$503))/MAX(1,COUNTIF(AF$4:AF$503,"&lt;"&amp;BH164+0.01)),BH164))</f>
        <v>9942.6503831579</v>
      </c>
      <c r="BW164" s="92" t="n">
        <f aca="false">IF(AG164&gt;=BI164,0,IFERROR(BI164+SUMPRODUCT((AG$4:AG$503&gt;=BI$4:BI$503)*(AG$4:AG$503-BI$4:BI$503))/MAX(1,COUNTIF(AG$4:AG$503,"&lt;"&amp;BI164+0.01)),BI164))</f>
        <v>0</v>
      </c>
      <c r="BX164" s="92" t="n">
        <f aca="false">IF(AH164&gt;=BJ164,0,IFERROR(BJ164+SUMPRODUCT((AH$4:AH$503&gt;=BJ$4:BJ$503)*(AH$4:AH$503-BJ$4:BJ$503))/MAX(1,COUNTIF(AH$4:AH$503,"&lt;"&amp;BJ164+0.01)),BJ164))</f>
        <v>5621.50263448276</v>
      </c>
      <c r="BY164" s="92" t="n">
        <f aca="false">IF(AI164&gt;=BK164,0,IFERROR(BK164+SUMPRODUCT((AI$4:AI$503&gt;=BK$4:BK$503)*(AI$4:AI$503-BK$4:BK$503))/MAX(1,COUNTIF(AI$4:AI$503,"&lt;"&amp;BK164+0.01)),BK164))</f>
        <v>7878.25652380952</v>
      </c>
      <c r="BZ164" s="92" t="n">
        <f aca="false">IF(AJ164&gt;=BL164,0,IFERROR(BL164+SUMPRODUCT((AJ$4:AJ$503&gt;=BL$4:BL$503)*(AJ$4:AJ$503-BL$4:BL$503))/MAX(1,COUNTIF(AJ$4:AJ$503,"&lt;"&amp;BL164+0.01)),BL164))</f>
        <v>0</v>
      </c>
      <c r="CA164" s="92" t="n">
        <f aca="false">IF(AK164&gt;=BM164,0,IFERROR(BM164+SUMPRODUCT((AK$4:AK$503&gt;=BM$4:BM$503)*(AK$4:AK$503-BM$4:BM$503))/MAX(1,COUNTIF(AK$4:AK$503,"&lt;"&amp;BM164+0.01)),BM164))</f>
        <v>7314.89836842105</v>
      </c>
      <c r="CB164" s="93" t="n">
        <f aca="false">IF(AL164&gt;=BN164,0,IFERROR(BN164+SUMPRODUCT((AL$4:AL$503&gt;=BN$4:BN$503)*(AL$4:AL$503-BN$4:BN$503))/MAX(1,COUNTIF(AL$4:AL$503,"&lt;"&amp;BN164+0.01)),BN164))</f>
        <v>3597.2614925</v>
      </c>
      <c r="CC164" s="95" t="str">
        <f aca="false">IF(AO164="🟢","VERDE",IF(AO164="🟡","AMARELO",IF(AO164="🟠","VERMELHO",IF(AO164="🔴","VERMELHO","ROXO"))))</f>
        <v>VERMELHO</v>
      </c>
      <c r="CD164" s="96" t="s">
        <v>103</v>
      </c>
      <c r="CE164" s="96" t="s">
        <v>104</v>
      </c>
    </row>
    <row r="165" customFormat="false" ht="14.25" hidden="false" customHeight="true" outlineLevel="0" collapsed="false">
      <c r="A165" s="65" t="s">
        <v>463</v>
      </c>
      <c r="B165" s="66" t="s">
        <v>464</v>
      </c>
      <c r="C165" s="67" t="s">
        <v>149</v>
      </c>
      <c r="D165" s="68" t="s">
        <v>100</v>
      </c>
      <c r="E165" s="69" t="s">
        <v>119</v>
      </c>
      <c r="F165" s="70" t="n">
        <f aca="false">IFERROR(VLOOKUP(C165,$AS$3:$AT$10,2,FALSE()),IFERROR(VLOOKUP(C165,$AS$15:$AT$22,2,FALSE()),""))</f>
        <v>29</v>
      </c>
      <c r="G165" s="71" t="n">
        <f aca="false">IFERROR(VLOOKUP(C165,$AS$3:$AX$10,6,FALSE()),IFERROR(VLOOKUP(C165,$AS$15:$AX$22,6,FALSE()),""))</f>
        <v>0.425845065256079</v>
      </c>
      <c r="H165" s="72" t="str">
        <f aca="false">IFERROR(VLOOKUP(C165,$AS$3:$AY$10,7,FALSE()),IFERROR(VLOOKUP(C165,$AS$15:$AY$22,7,FALSE()),""))</f>
        <v>🟡 AMARELO</v>
      </c>
      <c r="I165" s="72" t="str">
        <f aca="false">IFERROR(VLOOKUP(C165,$AS$3:$AZ$10,8,FALSE()),IFERROR(VLOOKUP(C165,$AS$15:$AZ$22,8,FALSE()),""))</f>
        <v>Sell Out</v>
      </c>
      <c r="J165" s="73"/>
      <c r="K165" s="69" t="s">
        <v>149</v>
      </c>
      <c r="L165" s="74" t="n">
        <v>7376.34</v>
      </c>
      <c r="M165" s="75" t="n">
        <v>518.36</v>
      </c>
      <c r="N165" s="75" t="n">
        <v>541.66</v>
      </c>
      <c r="O165" s="75" t="n">
        <v>554.72</v>
      </c>
      <c r="P165" s="75" t="n">
        <v>569.17</v>
      </c>
      <c r="Q165" s="75" t="n">
        <v>587.81</v>
      </c>
      <c r="R165" s="75" t="n">
        <v>603.2</v>
      </c>
      <c r="S165" s="75" t="n">
        <v>626.5</v>
      </c>
      <c r="T165" s="75" t="n">
        <v>641.89</v>
      </c>
      <c r="U165" s="75" t="n">
        <v>656.34</v>
      </c>
      <c r="V165" s="75" t="n">
        <v>672.65</v>
      </c>
      <c r="W165" s="75" t="n">
        <v>690.37</v>
      </c>
      <c r="X165" s="76" t="n">
        <v>713.67</v>
      </c>
      <c r="Y165" s="77" t="s">
        <v>20</v>
      </c>
      <c r="Z165" s="78" t="n">
        <f aca="false">SUM(AA165:AL165)</f>
        <v>3085.82</v>
      </c>
      <c r="AA165" s="75"/>
      <c r="AB165" s="75"/>
      <c r="AC165" s="75"/>
      <c r="AD165" s="79" t="n">
        <v>252</v>
      </c>
      <c r="AE165" s="75"/>
      <c r="AF165" s="79" t="n">
        <v>239.4</v>
      </c>
      <c r="AG165" s="79" t="n">
        <v>599.4</v>
      </c>
      <c r="AH165" s="79" t="n">
        <v>617.8</v>
      </c>
      <c r="AI165" s="79" t="n">
        <v>397.4</v>
      </c>
      <c r="AJ165" s="75"/>
      <c r="AK165" s="79" t="n">
        <v>628</v>
      </c>
      <c r="AL165" s="76" t="n">
        <v>351.82</v>
      </c>
      <c r="AM165" s="56" t="s">
        <v>20</v>
      </c>
      <c r="AN165" s="80" t="n">
        <f aca="false">IF(L165=0,0,Z165/L165)</f>
        <v>0.418340260888191</v>
      </c>
      <c r="AO165" s="81" t="str">
        <f aca="false">IF(AN165="","",IF(AN165&gt;=0.9,"🟢",IF(AN165&gt;=0.7,"🟡",IF(AN165&gt;=0.5,"🟠","🔴"))))</f>
        <v>🔴</v>
      </c>
      <c r="AP165" s="82" t="n">
        <f aca="false">IF(L165=0,0,L165-Z165)</f>
        <v>4290.52</v>
      </c>
      <c r="AQ165" s="83" t="n">
        <f aca="false">IF(AP165=0,"",RANK(AP165,AP$4:AP$503,0))</f>
        <v>152</v>
      </c>
      <c r="AR165" s="84" t="s">
        <v>20</v>
      </c>
      <c r="AS165" s="141"/>
      <c r="AT165" s="141"/>
      <c r="AU165" s="141"/>
      <c r="AV165" s="141"/>
      <c r="AW165" s="141"/>
      <c r="AX165" s="141"/>
      <c r="AY165" s="142"/>
      <c r="AZ165" s="142"/>
      <c r="BA165" s="56" t="s">
        <v>20</v>
      </c>
      <c r="BB165" s="91" t="n">
        <f aca="false">SUM(L$4:L$503)/COUNTA(A$4:A$503)</f>
        <v>9494.39992</v>
      </c>
      <c r="BC165" s="92" t="n">
        <f aca="false">SUM(M$4:M$503)/COUNTA(A$4:A$503)</f>
        <v>667.20008</v>
      </c>
      <c r="BD165" s="92" t="n">
        <f aca="false">SUM(N$4:N$503)/COUNTA(A$4:A$503)</f>
        <v>697.19996</v>
      </c>
      <c r="BE165" s="92" t="n">
        <f aca="false">SUM(O$4:O$503)/COUNTA(A$4:A$503)</f>
        <v>713.9999</v>
      </c>
      <c r="BF165" s="92" t="n">
        <f aca="false">SUM(P$4:P$503)/COUNTA(A$4:A$503)</f>
        <v>732.59984</v>
      </c>
      <c r="BG165" s="92" t="n">
        <f aca="false">SUM(Q$4:Q$503)/COUNTA(A$4:A$503)</f>
        <v>756.59992</v>
      </c>
      <c r="BH165" s="92" t="n">
        <f aca="false">SUM(R$4:R$503)/COUNTA(A$4:A$503)</f>
        <v>776.40004</v>
      </c>
      <c r="BI165" s="92" t="n">
        <f aca="false">SUM(S$4:S$503)/COUNTA(A$4:A$503)</f>
        <v>806.40012</v>
      </c>
      <c r="BJ165" s="92" t="n">
        <f aca="false">SUM(T$4:T$503)/COUNTA(A$4:A$503)</f>
        <v>826.1999</v>
      </c>
      <c r="BK165" s="92" t="n">
        <f aca="false">SUM(U$4:U$503)/COUNTA(A$4:A$503)</f>
        <v>844.8002</v>
      </c>
      <c r="BL165" s="92" t="n">
        <f aca="false">SUM(V$4:V$503)/COUNTA(A$4:A$503)</f>
        <v>865.7998</v>
      </c>
      <c r="BM165" s="92" t="n">
        <f aca="false">SUM(W$4:W$503)/COUNTA(A$4:A$503)</f>
        <v>888.59982</v>
      </c>
      <c r="BN165" s="93" t="n">
        <f aca="false">SUM(X$4:X$503)/COUNTA(A$4:A$503)</f>
        <v>918.60034</v>
      </c>
      <c r="BO165" s="94" t="s">
        <v>20</v>
      </c>
      <c r="BP165" s="91" t="n">
        <f aca="false">IF(Z165&gt;=BB165,0,IFERROR(BB165+(SUMPRODUCT((Z$4:Z$503&gt;=BB$4:BB$503)*(Z$4:Z$503-BB$4:BB$503))/MAX(1,COUNTIF(Z$4:Z$503,"&lt;"&amp;BB165+0.01))),BB165))</f>
        <v>10695.5432177778</v>
      </c>
      <c r="BQ165" s="92" t="n">
        <f aca="false">IF(AA165&gt;=BC165,0,IFERROR(BC165+SUMPRODUCT((AA$4:AA$503&gt;=BC$4:BC$503)*(AA$4:AA$503-BC$4:BC$503))/MAX(1,COUNTIF(AA$4:AA$503,"&lt;"&amp;BC165+0.01)),BC165))</f>
        <v>2238.46589176471</v>
      </c>
      <c r="BR165" s="92" t="n">
        <f aca="false">IF(AB165&gt;=BD165,0,IFERROR(BD165+SUMPRODUCT((AB$4:AB$503&gt;=BD$4:BD$503)*(AB$4:AB$503-BD$4:BD$503))/MAX(1,COUNTIF(AB$4:AB$503,"&lt;"&amp;BD165+0.01)),BD165))</f>
        <v>3335.2938</v>
      </c>
      <c r="BS165" s="92" t="n">
        <f aca="false">IF(AC165&gt;=BE165,0,IFERROR(BE165+SUMPRODUCT((AC$4:AC$503&gt;=BE$4:BE$503)*(AC$4:AC$503-BE$4:BE$503))/MAX(1,COUNTIF(AC$4:AC$503,"&lt;"&amp;BE165+0.01)),BE165))</f>
        <v>6188.73352</v>
      </c>
      <c r="BT165" s="92" t="n">
        <f aca="false">IF(AD165&gt;=BF165,0,IFERROR(BF165+SUMPRODUCT((AD$4:AD$503&gt;=BF$4:BF$503)*(AD$4:AD$503-BF$4:BF$503))/MAX(1,COUNTIF(AD$4:AD$503,"&lt;"&amp;BF165+0.01)),BF165))</f>
        <v>11354.35411</v>
      </c>
      <c r="BU165" s="92" t="n">
        <f aca="false">IF(AE165&gt;=BG165,0,IFERROR(BG165+SUMPRODUCT((AE$4:AE$503&gt;=BG$4:BG$503)*(AE$4:AE$503-BG$4:BG$503))/MAX(1,COUNTIF(AE$4:AE$503,"&lt;"&amp;BG165+0.01)),BG165))</f>
        <v>7704.85920380952</v>
      </c>
      <c r="BV165" s="92" t="n">
        <f aca="false">IF(AF165&gt;=BH165,0,IFERROR(BH165+SUMPRODUCT((AF$4:AF$503&gt;=BH$4:BH$503)*(AF$4:AF$503-BH$4:BH$503))/MAX(1,COUNTIF(AF$4:AF$503,"&lt;"&amp;BH165+0.01)),BH165))</f>
        <v>9942.6503831579</v>
      </c>
      <c r="BW165" s="92" t="n">
        <f aca="false">IF(AG165&gt;=BI165,0,IFERROR(BI165+SUMPRODUCT((AG$4:AG$503&gt;=BI$4:BI$503)*(AG$4:AG$503-BI$4:BI$503))/MAX(1,COUNTIF(AG$4:AG$503,"&lt;"&amp;BI165+0.01)),BI165))</f>
        <v>9142.15870461538</v>
      </c>
      <c r="BX165" s="92" t="n">
        <f aca="false">IF(AH165&gt;=BJ165,0,IFERROR(BJ165+SUMPRODUCT((AH$4:AH$503&gt;=BJ$4:BJ$503)*(AH$4:AH$503-BJ$4:BJ$503))/MAX(1,COUNTIF(AH$4:AH$503,"&lt;"&amp;BJ165+0.01)),BJ165))</f>
        <v>5621.50263448276</v>
      </c>
      <c r="BY165" s="92" t="n">
        <f aca="false">IF(AI165&gt;=BK165,0,IFERROR(BK165+SUMPRODUCT((AI$4:AI$503&gt;=BK$4:BK$503)*(AI$4:AI$503-BK$4:BK$503))/MAX(1,COUNTIF(AI$4:AI$503,"&lt;"&amp;BK165+0.01)),BK165))</f>
        <v>7878.25652380952</v>
      </c>
      <c r="BZ165" s="92" t="n">
        <f aca="false">IF(AJ165&gt;=BL165,0,IFERROR(BL165+SUMPRODUCT((AJ$4:AJ$503&gt;=BL$4:BL$503)*(AJ$4:AJ$503-BL$4:BL$503))/MAX(1,COUNTIF(AJ$4:AJ$503,"&lt;"&amp;BL165+0.01)),BL165))</f>
        <v>6710.03292307692</v>
      </c>
      <c r="CA165" s="92" t="n">
        <f aca="false">IF(AK165&gt;=BM165,0,IFERROR(BM165+SUMPRODUCT((AK$4:AK$503&gt;=BM$4:BM$503)*(AK$4:AK$503-BM$4:BM$503))/MAX(1,COUNTIF(AK$4:AK$503,"&lt;"&amp;BM165+0.01)),BM165))</f>
        <v>7314.89836842105</v>
      </c>
      <c r="CB165" s="93" t="n">
        <f aca="false">IF(AL165&gt;=BN165,0,IFERROR(BN165+SUMPRODUCT((AL$4:AL$503&gt;=BN$4:BN$503)*(AL$4:AL$503-BN$4:BN$503))/MAX(1,COUNTIF(AL$4:AL$503,"&lt;"&amp;BN165+0.01)),BN165))</f>
        <v>3597.2614925</v>
      </c>
      <c r="CC165" s="95" t="str">
        <f aca="false">IF(AO165="🟢","VERDE",IF(AO165="🟡","AMARELO",IF(AO165="🟠","VERMELHO",IF(AO165="🔴","VERMELHO","ROXO"))))</f>
        <v>VERMELHO</v>
      </c>
      <c r="CD165" s="96" t="s">
        <v>103</v>
      </c>
      <c r="CE165" s="96" t="s">
        <v>104</v>
      </c>
    </row>
    <row r="166" customFormat="false" ht="14.25" hidden="false" customHeight="true" outlineLevel="0" collapsed="false">
      <c r="A166" s="65" t="s">
        <v>465</v>
      </c>
      <c r="B166" s="66" t="s">
        <v>466</v>
      </c>
      <c r="C166" s="67" t="s">
        <v>158</v>
      </c>
      <c r="D166" s="68" t="s">
        <v>100</v>
      </c>
      <c r="E166" s="69" t="s">
        <v>467</v>
      </c>
      <c r="F166" s="70" t="n">
        <f aca="false">IFERROR(VLOOKUP(C166,$AS$3:$AT$10,2,FALSE()),IFERROR(VLOOKUP(C166,$AS$15:$AT$22,2,FALSE()),""))</f>
        <v>29</v>
      </c>
      <c r="G166" s="71" t="n">
        <f aca="false">IFERROR(VLOOKUP(C166,$AS$3:$AX$10,6,FALSE()),IFERROR(VLOOKUP(C166,$AS$15:$AX$22,6,FALSE()),""))</f>
        <v>0.458564072601712</v>
      </c>
      <c r="H166" s="72" t="str">
        <f aca="false">IFERROR(VLOOKUP(C166,$AS$3:$AY$10,7,FALSE()),IFERROR(VLOOKUP(C166,$AS$15:$AY$22,7,FALSE()),""))</f>
        <v>🟡 AMARELO</v>
      </c>
      <c r="I166" s="72" t="str">
        <f aca="false">IFERROR(VLOOKUP(C166,$AS$3:$AZ$10,8,FALSE()),IFERROR(VLOOKUP(C166,$AS$15:$AZ$22,8,FALSE()),""))</f>
        <v>Sell Out</v>
      </c>
      <c r="J166" s="73"/>
      <c r="K166" s="69" t="s">
        <v>158</v>
      </c>
      <c r="L166" s="74" t="n">
        <v>7350.54</v>
      </c>
      <c r="M166" s="75" t="n">
        <v>516.54</v>
      </c>
      <c r="N166" s="75" t="n">
        <v>539.77</v>
      </c>
      <c r="O166" s="75" t="n">
        <v>552.78</v>
      </c>
      <c r="P166" s="75" t="n">
        <v>567.18</v>
      </c>
      <c r="Q166" s="75" t="n">
        <v>585.76</v>
      </c>
      <c r="R166" s="75" t="n">
        <v>601.09</v>
      </c>
      <c r="S166" s="75" t="n">
        <v>624.31</v>
      </c>
      <c r="T166" s="75" t="n">
        <v>639.64</v>
      </c>
      <c r="U166" s="75" t="n">
        <v>654.04</v>
      </c>
      <c r="V166" s="75" t="n">
        <v>670.3</v>
      </c>
      <c r="W166" s="75" t="n">
        <v>687.95</v>
      </c>
      <c r="X166" s="76" t="n">
        <v>711.18</v>
      </c>
      <c r="Y166" s="77" t="s">
        <v>20</v>
      </c>
      <c r="Z166" s="78" t="n">
        <f aca="false">SUM(AA166:AL166)</f>
        <v>3760.82</v>
      </c>
      <c r="AA166" s="75"/>
      <c r="AB166" s="75"/>
      <c r="AC166" s="75"/>
      <c r="AD166" s="75"/>
      <c r="AE166" s="79" t="n">
        <v>2061.1</v>
      </c>
      <c r="AF166" s="75"/>
      <c r="AG166" s="75"/>
      <c r="AH166" s="79" t="n">
        <v>1699.72</v>
      </c>
      <c r="AI166" s="75"/>
      <c r="AJ166" s="75"/>
      <c r="AK166" s="75"/>
      <c r="AL166" s="76"/>
      <c r="AM166" s="56" t="s">
        <v>20</v>
      </c>
      <c r="AN166" s="80" t="n">
        <f aca="false">IF(L166=0,0,Z166/L166)</f>
        <v>0.511638600701445</v>
      </c>
      <c r="AO166" s="81" t="str">
        <f aca="false">IF(AN166="","",IF(AN166&gt;=0.9,"🟢",IF(AN166&gt;=0.7,"🟡",IF(AN166&gt;=0.5,"🟠","🔴"))))</f>
        <v>🟠</v>
      </c>
      <c r="AP166" s="82" t="n">
        <f aca="false">IF(L166=0,0,L166-Z166)</f>
        <v>3589.72</v>
      </c>
      <c r="AQ166" s="83" t="n">
        <f aca="false">IF(AP166=0,"",RANK(AP166,AP$4:AP$503,0))</f>
        <v>177</v>
      </c>
      <c r="AR166" s="84" t="s">
        <v>20</v>
      </c>
      <c r="AS166" s="141"/>
      <c r="AT166" s="141"/>
      <c r="AU166" s="141"/>
      <c r="AV166" s="141"/>
      <c r="AW166" s="141"/>
      <c r="AX166" s="141"/>
      <c r="AY166" s="142"/>
      <c r="AZ166" s="142"/>
      <c r="BA166" s="56" t="s">
        <v>20</v>
      </c>
      <c r="BB166" s="91" t="n">
        <f aca="false">SUM(L$4:L$503)/COUNTA(A$4:A$503)</f>
        <v>9494.39992</v>
      </c>
      <c r="BC166" s="92" t="n">
        <f aca="false">SUM(M$4:M$503)/COUNTA(A$4:A$503)</f>
        <v>667.20008</v>
      </c>
      <c r="BD166" s="92" t="n">
        <f aca="false">SUM(N$4:N$503)/COUNTA(A$4:A$503)</f>
        <v>697.19996</v>
      </c>
      <c r="BE166" s="92" t="n">
        <f aca="false">SUM(O$4:O$503)/COUNTA(A$4:A$503)</f>
        <v>713.9999</v>
      </c>
      <c r="BF166" s="92" t="n">
        <f aca="false">SUM(P$4:P$503)/COUNTA(A$4:A$503)</f>
        <v>732.59984</v>
      </c>
      <c r="BG166" s="92" t="n">
        <f aca="false">SUM(Q$4:Q$503)/COUNTA(A$4:A$503)</f>
        <v>756.59992</v>
      </c>
      <c r="BH166" s="92" t="n">
        <f aca="false">SUM(R$4:R$503)/COUNTA(A$4:A$503)</f>
        <v>776.40004</v>
      </c>
      <c r="BI166" s="92" t="n">
        <f aca="false">SUM(S$4:S$503)/COUNTA(A$4:A$503)</f>
        <v>806.40012</v>
      </c>
      <c r="BJ166" s="92" t="n">
        <f aca="false">SUM(T$4:T$503)/COUNTA(A$4:A$503)</f>
        <v>826.1999</v>
      </c>
      <c r="BK166" s="92" t="n">
        <f aca="false">SUM(U$4:U$503)/COUNTA(A$4:A$503)</f>
        <v>844.8002</v>
      </c>
      <c r="BL166" s="92" t="n">
        <f aca="false">SUM(V$4:V$503)/COUNTA(A$4:A$503)</f>
        <v>865.7998</v>
      </c>
      <c r="BM166" s="92" t="n">
        <f aca="false">SUM(W$4:W$503)/COUNTA(A$4:A$503)</f>
        <v>888.59982</v>
      </c>
      <c r="BN166" s="93" t="n">
        <f aca="false">SUM(X$4:X$503)/COUNTA(A$4:A$503)</f>
        <v>918.60034</v>
      </c>
      <c r="BO166" s="94" t="s">
        <v>20</v>
      </c>
      <c r="BP166" s="91" t="n">
        <f aca="false">IF(Z166&gt;=BB166,0,IFERROR(BB166+(SUMPRODUCT((Z$4:Z$503&gt;=BB$4:BB$503)*(Z$4:Z$503-BB$4:BB$503))/MAX(1,COUNTIF(Z$4:Z$503,"&lt;"&amp;BB166+0.01))),BB166))</f>
        <v>10695.5432177778</v>
      </c>
      <c r="BQ166" s="92" t="n">
        <f aca="false">IF(AA166&gt;=BC166,0,IFERROR(BC166+SUMPRODUCT((AA$4:AA$503&gt;=BC$4:BC$503)*(AA$4:AA$503-BC$4:BC$503))/MAX(1,COUNTIF(AA$4:AA$503,"&lt;"&amp;BC166+0.01)),BC166))</f>
        <v>2238.46589176471</v>
      </c>
      <c r="BR166" s="92" t="n">
        <f aca="false">IF(AB166&gt;=BD166,0,IFERROR(BD166+SUMPRODUCT((AB$4:AB$503&gt;=BD$4:BD$503)*(AB$4:AB$503-BD$4:BD$503))/MAX(1,COUNTIF(AB$4:AB$503,"&lt;"&amp;BD166+0.01)),BD166))</f>
        <v>3335.2938</v>
      </c>
      <c r="BS166" s="92" t="n">
        <f aca="false">IF(AC166&gt;=BE166,0,IFERROR(BE166+SUMPRODUCT((AC$4:AC$503&gt;=BE$4:BE$503)*(AC$4:AC$503-BE$4:BE$503))/MAX(1,COUNTIF(AC$4:AC$503,"&lt;"&amp;BE166+0.01)),BE166))</f>
        <v>6188.73352</v>
      </c>
      <c r="BT166" s="92" t="n">
        <f aca="false">IF(AD166&gt;=BF166,0,IFERROR(BF166+SUMPRODUCT((AD$4:AD$503&gt;=BF$4:BF$503)*(AD$4:AD$503-BF$4:BF$503))/MAX(1,COUNTIF(AD$4:AD$503,"&lt;"&amp;BF166+0.01)),BF166))</f>
        <v>11354.35411</v>
      </c>
      <c r="BU166" s="92" t="n">
        <f aca="false">IF(AE166&gt;=BG166,0,IFERROR(BG166+SUMPRODUCT((AE$4:AE$503&gt;=BG$4:BG$503)*(AE$4:AE$503-BG$4:BG$503))/MAX(1,COUNTIF(AE$4:AE$503,"&lt;"&amp;BG166+0.01)),BG166))</f>
        <v>0</v>
      </c>
      <c r="BV166" s="92" t="n">
        <f aca="false">IF(AF166&gt;=BH166,0,IFERROR(BH166+SUMPRODUCT((AF$4:AF$503&gt;=BH$4:BH$503)*(AF$4:AF$503-BH$4:BH$503))/MAX(1,COUNTIF(AF$4:AF$503,"&lt;"&amp;BH166+0.01)),BH166))</f>
        <v>9942.6503831579</v>
      </c>
      <c r="BW166" s="92" t="n">
        <f aca="false">IF(AG166&gt;=BI166,0,IFERROR(BI166+SUMPRODUCT((AG$4:AG$503&gt;=BI$4:BI$503)*(AG$4:AG$503-BI$4:BI$503))/MAX(1,COUNTIF(AG$4:AG$503,"&lt;"&amp;BI166+0.01)),BI166))</f>
        <v>9142.15870461538</v>
      </c>
      <c r="BX166" s="92" t="n">
        <f aca="false">IF(AH166&gt;=BJ166,0,IFERROR(BJ166+SUMPRODUCT((AH$4:AH$503&gt;=BJ$4:BJ$503)*(AH$4:AH$503-BJ$4:BJ$503))/MAX(1,COUNTIF(AH$4:AH$503,"&lt;"&amp;BJ166+0.01)),BJ166))</f>
        <v>0</v>
      </c>
      <c r="BY166" s="92" t="n">
        <f aca="false">IF(AI166&gt;=BK166,0,IFERROR(BK166+SUMPRODUCT((AI$4:AI$503&gt;=BK$4:BK$503)*(AI$4:AI$503-BK$4:BK$503))/MAX(1,COUNTIF(AI$4:AI$503,"&lt;"&amp;BK166+0.01)),BK166))</f>
        <v>7878.25652380952</v>
      </c>
      <c r="BZ166" s="92" t="n">
        <f aca="false">IF(AJ166&gt;=BL166,0,IFERROR(BL166+SUMPRODUCT((AJ$4:AJ$503&gt;=BL$4:BL$503)*(AJ$4:AJ$503-BL$4:BL$503))/MAX(1,COUNTIF(AJ$4:AJ$503,"&lt;"&amp;BL166+0.01)),BL166))</f>
        <v>6710.03292307692</v>
      </c>
      <c r="CA166" s="92" t="n">
        <f aca="false">IF(AK166&gt;=BM166,0,IFERROR(BM166+SUMPRODUCT((AK$4:AK$503&gt;=BM$4:BM$503)*(AK$4:AK$503-BM$4:BM$503))/MAX(1,COUNTIF(AK$4:AK$503,"&lt;"&amp;BM166+0.01)),BM166))</f>
        <v>7314.89836842105</v>
      </c>
      <c r="CB166" s="93" t="n">
        <f aca="false">IF(AL166&gt;=BN166,0,IFERROR(BN166+SUMPRODUCT((AL$4:AL$503&gt;=BN$4:BN$503)*(AL$4:AL$503-BN$4:BN$503))/MAX(1,COUNTIF(AL$4:AL$503,"&lt;"&amp;BN166+0.01)),BN166))</f>
        <v>3597.2614925</v>
      </c>
      <c r="CC166" s="95" t="str">
        <f aca="false">IF(AO166="🟢","VERDE",IF(AO166="🟡","AMARELO",IF(AO166="🟠","VERMELHO",IF(AO166="🔴","VERMELHO","ROXO"))))</f>
        <v>VERMELHO</v>
      </c>
      <c r="CD166" s="96" t="s">
        <v>103</v>
      </c>
      <c r="CE166" s="96" t="s">
        <v>104</v>
      </c>
    </row>
    <row r="167" customFormat="false" ht="14.25" hidden="false" customHeight="true" outlineLevel="0" collapsed="false">
      <c r="A167" s="65" t="s">
        <v>468</v>
      </c>
      <c r="B167" s="66" t="s">
        <v>469</v>
      </c>
      <c r="C167" s="67" t="s">
        <v>107</v>
      </c>
      <c r="D167" s="68" t="s">
        <v>108</v>
      </c>
      <c r="E167" s="69" t="s">
        <v>196</v>
      </c>
      <c r="F167" s="70" t="n">
        <f aca="false">IFERROR(VLOOKUP(C167,$AS$3:$AT$10,2,FALSE()),IFERROR(VLOOKUP(C167,$AS$15:$AT$22,2,FALSE()),""))</f>
        <v>132</v>
      </c>
      <c r="G167" s="71" t="n">
        <f aca="false">IFERROR(VLOOKUP(C167,$AS$3:$AX$10,6,FALSE()),IFERROR(VLOOKUP(C167,$AS$15:$AX$22,6,FALSE()),""))</f>
        <v>0.468190175850689</v>
      </c>
      <c r="H167" s="72" t="str">
        <f aca="false">IFERROR(VLOOKUP(C167,$AS$3:$AY$10,7,FALSE()),IFERROR(VLOOKUP(C167,$AS$15:$AY$22,7,FALSE()),""))</f>
        <v>🟡 AMARELO</v>
      </c>
      <c r="I167" s="72" t="str">
        <f aca="false">IFERROR(VLOOKUP(C167,$AS$3:$AZ$10,8,FALSE()),IFERROR(VLOOKUP(C167,$AS$15:$AZ$22,8,FALSE()),""))</f>
        <v>Sell Out</v>
      </c>
      <c r="J167" s="73"/>
      <c r="K167" s="69" t="s">
        <v>107</v>
      </c>
      <c r="L167" s="74" t="n">
        <v>7314.19</v>
      </c>
      <c r="M167" s="75" t="n">
        <v>513.99</v>
      </c>
      <c r="N167" s="75" t="n">
        <v>537.1</v>
      </c>
      <c r="O167" s="75" t="n">
        <v>550.04</v>
      </c>
      <c r="P167" s="75" t="n">
        <v>564.37</v>
      </c>
      <c r="Q167" s="75" t="n">
        <v>582.86</v>
      </c>
      <c r="R167" s="75" t="n">
        <v>598.11</v>
      </c>
      <c r="S167" s="75" t="n">
        <v>621.23</v>
      </c>
      <c r="T167" s="75" t="n">
        <v>636.48</v>
      </c>
      <c r="U167" s="75" t="n">
        <v>650.81</v>
      </c>
      <c r="V167" s="75" t="n">
        <v>666.99</v>
      </c>
      <c r="W167" s="75" t="n">
        <v>684.55</v>
      </c>
      <c r="X167" s="76" t="n">
        <v>707.66</v>
      </c>
      <c r="Y167" s="77" t="s">
        <v>20</v>
      </c>
      <c r="Z167" s="78" t="n">
        <f aca="false">SUM(AA167:AL167)</f>
        <v>3801.71</v>
      </c>
      <c r="AA167" s="75"/>
      <c r="AB167" s="75"/>
      <c r="AC167" s="75"/>
      <c r="AD167" s="75"/>
      <c r="AE167" s="75"/>
      <c r="AF167" s="75"/>
      <c r="AG167" s="75"/>
      <c r="AH167" s="79" t="n">
        <v>2105.6</v>
      </c>
      <c r="AI167" s="75"/>
      <c r="AJ167" s="75" t="n">
        <v>850.4</v>
      </c>
      <c r="AK167" s="79" t="n">
        <v>845.71</v>
      </c>
      <c r="AL167" s="76"/>
      <c r="AM167" s="56" t="s">
        <v>20</v>
      </c>
      <c r="AN167" s="80" t="n">
        <f aca="false">IF(L167=0,0,Z167/L167)</f>
        <v>0.519771840764323</v>
      </c>
      <c r="AO167" s="81" t="str">
        <f aca="false">IF(AN167="","",IF(AN167&gt;=0.9,"🟢",IF(AN167&gt;=0.7,"🟡",IF(AN167&gt;=0.5,"🟠","🔴"))))</f>
        <v>🟠</v>
      </c>
      <c r="AP167" s="82" t="n">
        <f aca="false">IF(L167=0,0,L167-Z167)</f>
        <v>3512.48</v>
      </c>
      <c r="AQ167" s="83" t="n">
        <f aca="false">IF(AP167=0,"",RANK(AP167,AP$4:AP$503,0))</f>
        <v>184</v>
      </c>
      <c r="AR167" s="84" t="s">
        <v>20</v>
      </c>
      <c r="AS167" s="141"/>
      <c r="AT167" s="141"/>
      <c r="AU167" s="141"/>
      <c r="AV167" s="141"/>
      <c r="AW167" s="141"/>
      <c r="AX167" s="141"/>
      <c r="AY167" s="142"/>
      <c r="AZ167" s="142"/>
      <c r="BA167" s="56" t="s">
        <v>20</v>
      </c>
      <c r="BB167" s="91" t="n">
        <f aca="false">SUM(L$4:L$503)/COUNTA(A$4:A$503)</f>
        <v>9494.39992</v>
      </c>
      <c r="BC167" s="92" t="n">
        <f aca="false">SUM(M$4:M$503)/COUNTA(A$4:A$503)</f>
        <v>667.20008</v>
      </c>
      <c r="BD167" s="92" t="n">
        <f aca="false">SUM(N$4:N$503)/COUNTA(A$4:A$503)</f>
        <v>697.19996</v>
      </c>
      <c r="BE167" s="92" t="n">
        <f aca="false">SUM(O$4:O$503)/COUNTA(A$4:A$503)</f>
        <v>713.9999</v>
      </c>
      <c r="BF167" s="92" t="n">
        <f aca="false">SUM(P$4:P$503)/COUNTA(A$4:A$503)</f>
        <v>732.59984</v>
      </c>
      <c r="BG167" s="92" t="n">
        <f aca="false">SUM(Q$4:Q$503)/COUNTA(A$4:A$503)</f>
        <v>756.59992</v>
      </c>
      <c r="BH167" s="92" t="n">
        <f aca="false">SUM(R$4:R$503)/COUNTA(A$4:A$503)</f>
        <v>776.40004</v>
      </c>
      <c r="BI167" s="92" t="n">
        <f aca="false">SUM(S$4:S$503)/COUNTA(A$4:A$503)</f>
        <v>806.40012</v>
      </c>
      <c r="BJ167" s="92" t="n">
        <f aca="false">SUM(T$4:T$503)/COUNTA(A$4:A$503)</f>
        <v>826.1999</v>
      </c>
      <c r="BK167" s="92" t="n">
        <f aca="false">SUM(U$4:U$503)/COUNTA(A$4:A$503)</f>
        <v>844.8002</v>
      </c>
      <c r="BL167" s="92" t="n">
        <f aca="false">SUM(V$4:V$503)/COUNTA(A$4:A$503)</f>
        <v>865.7998</v>
      </c>
      <c r="BM167" s="92" t="n">
        <f aca="false">SUM(W$4:W$503)/COUNTA(A$4:A$503)</f>
        <v>888.59982</v>
      </c>
      <c r="BN167" s="93" t="n">
        <f aca="false">SUM(X$4:X$503)/COUNTA(A$4:A$503)</f>
        <v>918.60034</v>
      </c>
      <c r="BO167" s="94" t="s">
        <v>20</v>
      </c>
      <c r="BP167" s="91" t="n">
        <f aca="false">IF(Z167&gt;=BB167,0,IFERROR(BB167+(SUMPRODUCT((Z$4:Z$503&gt;=BB$4:BB$503)*(Z$4:Z$503-BB$4:BB$503))/MAX(1,COUNTIF(Z$4:Z$503,"&lt;"&amp;BB167+0.01))),BB167))</f>
        <v>10695.5432177778</v>
      </c>
      <c r="BQ167" s="92" t="n">
        <f aca="false">IF(AA167&gt;=BC167,0,IFERROR(BC167+SUMPRODUCT((AA$4:AA$503&gt;=BC$4:BC$503)*(AA$4:AA$503-BC$4:BC$503))/MAX(1,COUNTIF(AA$4:AA$503,"&lt;"&amp;BC167+0.01)),BC167))</f>
        <v>2238.46589176471</v>
      </c>
      <c r="BR167" s="92" t="n">
        <f aca="false">IF(AB167&gt;=BD167,0,IFERROR(BD167+SUMPRODUCT((AB$4:AB$503&gt;=BD$4:BD$503)*(AB$4:AB$503-BD$4:BD$503))/MAX(1,COUNTIF(AB$4:AB$503,"&lt;"&amp;BD167+0.01)),BD167))</f>
        <v>3335.2938</v>
      </c>
      <c r="BS167" s="92" t="n">
        <f aca="false">IF(AC167&gt;=BE167,0,IFERROR(BE167+SUMPRODUCT((AC$4:AC$503&gt;=BE$4:BE$503)*(AC$4:AC$503-BE$4:BE$503))/MAX(1,COUNTIF(AC$4:AC$503,"&lt;"&amp;BE167+0.01)),BE167))</f>
        <v>6188.73352</v>
      </c>
      <c r="BT167" s="92" t="n">
        <f aca="false">IF(AD167&gt;=BF167,0,IFERROR(BF167+SUMPRODUCT((AD$4:AD$503&gt;=BF$4:BF$503)*(AD$4:AD$503-BF$4:BF$503))/MAX(1,COUNTIF(AD$4:AD$503,"&lt;"&amp;BF167+0.01)),BF167))</f>
        <v>11354.35411</v>
      </c>
      <c r="BU167" s="92" t="n">
        <f aca="false">IF(AE167&gt;=BG167,0,IFERROR(BG167+SUMPRODUCT((AE$4:AE$503&gt;=BG$4:BG$503)*(AE$4:AE$503-BG$4:BG$503))/MAX(1,COUNTIF(AE$4:AE$503,"&lt;"&amp;BG167+0.01)),BG167))</f>
        <v>7704.85920380952</v>
      </c>
      <c r="BV167" s="92" t="n">
        <f aca="false">IF(AF167&gt;=BH167,0,IFERROR(BH167+SUMPRODUCT((AF$4:AF$503&gt;=BH$4:BH$503)*(AF$4:AF$503-BH$4:BH$503))/MAX(1,COUNTIF(AF$4:AF$503,"&lt;"&amp;BH167+0.01)),BH167))</f>
        <v>9942.6503831579</v>
      </c>
      <c r="BW167" s="92" t="n">
        <f aca="false">IF(AG167&gt;=BI167,0,IFERROR(BI167+SUMPRODUCT((AG$4:AG$503&gt;=BI$4:BI$503)*(AG$4:AG$503-BI$4:BI$503))/MAX(1,COUNTIF(AG$4:AG$503,"&lt;"&amp;BI167+0.01)),BI167))</f>
        <v>9142.15870461538</v>
      </c>
      <c r="BX167" s="92" t="n">
        <f aca="false">IF(AH167&gt;=BJ167,0,IFERROR(BJ167+SUMPRODUCT((AH$4:AH$503&gt;=BJ$4:BJ$503)*(AH$4:AH$503-BJ$4:BJ$503))/MAX(1,COUNTIF(AH$4:AH$503,"&lt;"&amp;BJ167+0.01)),BJ167))</f>
        <v>0</v>
      </c>
      <c r="BY167" s="92" t="n">
        <f aca="false">IF(AI167&gt;=BK167,0,IFERROR(BK167+SUMPRODUCT((AI$4:AI$503&gt;=BK$4:BK$503)*(AI$4:AI$503-BK$4:BK$503))/MAX(1,COUNTIF(AI$4:AI$503,"&lt;"&amp;BK167+0.01)),BK167))</f>
        <v>7878.25652380952</v>
      </c>
      <c r="BZ167" s="92" t="n">
        <f aca="false">IF(AJ167&gt;=BL167,0,IFERROR(BL167+SUMPRODUCT((AJ$4:AJ$503&gt;=BL$4:BL$503)*(AJ$4:AJ$503-BL$4:BL$503))/MAX(1,COUNTIF(AJ$4:AJ$503,"&lt;"&amp;BL167+0.01)),BL167))</f>
        <v>6710.03292307692</v>
      </c>
      <c r="CA167" s="92" t="n">
        <f aca="false">IF(AK167&gt;=BM167,0,IFERROR(BM167+SUMPRODUCT((AK$4:AK$503&gt;=BM$4:BM$503)*(AK$4:AK$503-BM$4:BM$503))/MAX(1,COUNTIF(AK$4:AK$503,"&lt;"&amp;BM167+0.01)),BM167))</f>
        <v>7314.89836842105</v>
      </c>
      <c r="CB167" s="93" t="n">
        <f aca="false">IF(AL167&gt;=BN167,0,IFERROR(BN167+SUMPRODUCT((AL$4:AL$503&gt;=BN$4:BN$503)*(AL$4:AL$503-BN$4:BN$503))/MAX(1,COUNTIF(AL$4:AL$503,"&lt;"&amp;BN167+0.01)),BN167))</f>
        <v>3597.2614925</v>
      </c>
      <c r="CC167" s="95" t="str">
        <f aca="false">IF(AO167="🟢","VERDE",IF(AO167="🟡","AMARELO",IF(AO167="🟠","VERMELHO",IF(AO167="🔴","VERMELHO","ROXO"))))</f>
        <v>VERMELHO</v>
      </c>
      <c r="CD167" s="96" t="s">
        <v>103</v>
      </c>
      <c r="CE167" s="96" t="s">
        <v>104</v>
      </c>
    </row>
    <row r="168" customFormat="false" ht="14.25" hidden="false" customHeight="true" outlineLevel="0" collapsed="false">
      <c r="A168" s="65" t="s">
        <v>470</v>
      </c>
      <c r="B168" s="66" t="s">
        <v>471</v>
      </c>
      <c r="C168" s="67" t="s">
        <v>118</v>
      </c>
      <c r="D168" s="68" t="s">
        <v>100</v>
      </c>
      <c r="E168" s="69" t="s">
        <v>119</v>
      </c>
      <c r="F168" s="70" t="n">
        <f aca="false">IFERROR(VLOOKUP(C168,$AS$3:$AT$10,2,FALSE()),IFERROR(VLOOKUP(C168,$AS$15:$AT$22,2,FALSE()),""))</f>
        <v>42</v>
      </c>
      <c r="G168" s="71" t="n">
        <f aca="false">IFERROR(VLOOKUP(C168,$AS$3:$AX$10,6,FALSE()),IFERROR(VLOOKUP(C168,$AS$15:$AX$22,6,FALSE()),""))</f>
        <v>0.424872083346704</v>
      </c>
      <c r="H168" s="72" t="str">
        <f aca="false">IFERROR(VLOOKUP(C168,$AS$3:$AY$10,7,FALSE()),IFERROR(VLOOKUP(C168,$AS$15:$AY$22,7,FALSE()),""))</f>
        <v>🟡 AMARELO</v>
      </c>
      <c r="I168" s="72" t="str">
        <f aca="false">IFERROR(VLOOKUP(C168,$AS$3:$AZ$10,8,FALSE()),IFERROR(VLOOKUP(C168,$AS$15:$AZ$22,8,FALSE()),""))</f>
        <v>Sell Out</v>
      </c>
      <c r="J168" s="73"/>
      <c r="K168" s="69" t="s">
        <v>118</v>
      </c>
      <c r="L168" s="74" t="n">
        <v>7152.34</v>
      </c>
      <c r="M168" s="75" t="n">
        <v>502.62</v>
      </c>
      <c r="N168" s="75" t="n">
        <v>525.22</v>
      </c>
      <c r="O168" s="75" t="n">
        <v>537.87</v>
      </c>
      <c r="P168" s="75" t="n">
        <v>551.88</v>
      </c>
      <c r="Q168" s="75" t="n">
        <v>569.96</v>
      </c>
      <c r="R168" s="75" t="n">
        <v>584.88</v>
      </c>
      <c r="S168" s="75" t="n">
        <v>607.48</v>
      </c>
      <c r="T168" s="75" t="n">
        <v>622.39</v>
      </c>
      <c r="U168" s="75" t="n">
        <v>636.41</v>
      </c>
      <c r="V168" s="75" t="n">
        <v>652.23</v>
      </c>
      <c r="W168" s="75" t="n">
        <v>669.4</v>
      </c>
      <c r="X168" s="76" t="n">
        <v>692</v>
      </c>
      <c r="Y168" s="77" t="s">
        <v>20</v>
      </c>
      <c r="Z168" s="78" t="n">
        <f aca="false">SUM(AA168:AL168)</f>
        <v>2974.03</v>
      </c>
      <c r="AA168" s="75"/>
      <c r="AB168" s="75"/>
      <c r="AC168" s="75"/>
      <c r="AD168" s="75"/>
      <c r="AE168" s="75"/>
      <c r="AF168" s="75"/>
      <c r="AG168" s="79" t="n">
        <v>664.12</v>
      </c>
      <c r="AH168" s="79" t="n">
        <v>898.7</v>
      </c>
      <c r="AI168" s="75"/>
      <c r="AJ168" s="75"/>
      <c r="AK168" s="75"/>
      <c r="AL168" s="107" t="n">
        <v>1411.21</v>
      </c>
      <c r="AM168" s="56" t="s">
        <v>20</v>
      </c>
      <c r="AN168" s="80" t="n">
        <f aca="false">IF(L168=0,0,Z168/L168)</f>
        <v>0.415812167766074</v>
      </c>
      <c r="AO168" s="81" t="str">
        <f aca="false">IF(AN168="","",IF(AN168&gt;=0.9,"🟢",IF(AN168&gt;=0.7,"🟡",IF(AN168&gt;=0.5,"🟠","🔴"))))</f>
        <v>🔴</v>
      </c>
      <c r="AP168" s="82" t="n">
        <f aca="false">IF(L168=0,0,L168-Z168)</f>
        <v>4178.31</v>
      </c>
      <c r="AQ168" s="83" t="n">
        <f aca="false">IF(AP168=0,"",RANK(AP168,AP$4:AP$503,0))</f>
        <v>155</v>
      </c>
      <c r="AR168" s="84" t="s">
        <v>20</v>
      </c>
      <c r="AS168" s="141"/>
      <c r="AT168" s="141"/>
      <c r="AU168" s="141"/>
      <c r="AV168" s="141"/>
      <c r="AW168" s="141"/>
      <c r="AX168" s="141"/>
      <c r="AY168" s="142"/>
      <c r="AZ168" s="142"/>
      <c r="BA168" s="56" t="s">
        <v>20</v>
      </c>
      <c r="BB168" s="91" t="n">
        <f aca="false">SUM(L$4:L$503)/COUNTA(A$4:A$503)</f>
        <v>9494.39992</v>
      </c>
      <c r="BC168" s="92" t="n">
        <f aca="false">SUM(M$4:M$503)/COUNTA(A$4:A$503)</f>
        <v>667.20008</v>
      </c>
      <c r="BD168" s="92" t="n">
        <f aca="false">SUM(N$4:N$503)/COUNTA(A$4:A$503)</f>
        <v>697.19996</v>
      </c>
      <c r="BE168" s="92" t="n">
        <f aca="false">SUM(O$4:O$503)/COUNTA(A$4:A$503)</f>
        <v>713.9999</v>
      </c>
      <c r="BF168" s="92" t="n">
        <f aca="false">SUM(P$4:P$503)/COUNTA(A$4:A$503)</f>
        <v>732.59984</v>
      </c>
      <c r="BG168" s="92" t="n">
        <f aca="false">SUM(Q$4:Q$503)/COUNTA(A$4:A$503)</f>
        <v>756.59992</v>
      </c>
      <c r="BH168" s="92" t="n">
        <f aca="false">SUM(R$4:R$503)/COUNTA(A$4:A$503)</f>
        <v>776.40004</v>
      </c>
      <c r="BI168" s="92" t="n">
        <f aca="false">SUM(S$4:S$503)/COUNTA(A$4:A$503)</f>
        <v>806.40012</v>
      </c>
      <c r="BJ168" s="92" t="n">
        <f aca="false">SUM(T$4:T$503)/COUNTA(A$4:A$503)</f>
        <v>826.1999</v>
      </c>
      <c r="BK168" s="92" t="n">
        <f aca="false">SUM(U$4:U$503)/COUNTA(A$4:A$503)</f>
        <v>844.8002</v>
      </c>
      <c r="BL168" s="92" t="n">
        <f aca="false">SUM(V$4:V$503)/COUNTA(A$4:A$503)</f>
        <v>865.7998</v>
      </c>
      <c r="BM168" s="92" t="n">
        <f aca="false">SUM(W$4:W$503)/COUNTA(A$4:A$503)</f>
        <v>888.59982</v>
      </c>
      <c r="BN168" s="93" t="n">
        <f aca="false">SUM(X$4:X$503)/COUNTA(A$4:A$503)</f>
        <v>918.60034</v>
      </c>
      <c r="BO168" s="94" t="s">
        <v>20</v>
      </c>
      <c r="BP168" s="91" t="n">
        <f aca="false">IF(Z168&gt;=BB168,0,IFERROR(BB168+(SUMPRODUCT((Z$4:Z$503&gt;=BB$4:BB$503)*(Z$4:Z$503-BB$4:BB$503))/MAX(1,COUNTIF(Z$4:Z$503,"&lt;"&amp;BB168+0.01))),BB168))</f>
        <v>10695.5432177778</v>
      </c>
      <c r="BQ168" s="92" t="n">
        <f aca="false">IF(AA168&gt;=BC168,0,IFERROR(BC168+SUMPRODUCT((AA$4:AA$503&gt;=BC$4:BC$503)*(AA$4:AA$503-BC$4:BC$503))/MAX(1,COUNTIF(AA$4:AA$503,"&lt;"&amp;BC168+0.01)),BC168))</f>
        <v>2238.46589176471</v>
      </c>
      <c r="BR168" s="92" t="n">
        <f aca="false">IF(AB168&gt;=BD168,0,IFERROR(BD168+SUMPRODUCT((AB$4:AB$503&gt;=BD$4:BD$503)*(AB$4:AB$503-BD$4:BD$503))/MAX(1,COUNTIF(AB$4:AB$503,"&lt;"&amp;BD168+0.01)),BD168))</f>
        <v>3335.2938</v>
      </c>
      <c r="BS168" s="92" t="n">
        <f aca="false">IF(AC168&gt;=BE168,0,IFERROR(BE168+SUMPRODUCT((AC$4:AC$503&gt;=BE$4:BE$503)*(AC$4:AC$503-BE$4:BE$503))/MAX(1,COUNTIF(AC$4:AC$503,"&lt;"&amp;BE168+0.01)),BE168))</f>
        <v>6188.73352</v>
      </c>
      <c r="BT168" s="92" t="n">
        <f aca="false">IF(AD168&gt;=BF168,0,IFERROR(BF168+SUMPRODUCT((AD$4:AD$503&gt;=BF$4:BF$503)*(AD$4:AD$503-BF$4:BF$503))/MAX(1,COUNTIF(AD$4:AD$503,"&lt;"&amp;BF168+0.01)),BF168))</f>
        <v>11354.35411</v>
      </c>
      <c r="BU168" s="92" t="n">
        <f aca="false">IF(AE168&gt;=BG168,0,IFERROR(BG168+SUMPRODUCT((AE$4:AE$503&gt;=BG$4:BG$503)*(AE$4:AE$503-BG$4:BG$503))/MAX(1,COUNTIF(AE$4:AE$503,"&lt;"&amp;BG168+0.01)),BG168))</f>
        <v>7704.85920380952</v>
      </c>
      <c r="BV168" s="92" t="n">
        <f aca="false">IF(AF168&gt;=BH168,0,IFERROR(BH168+SUMPRODUCT((AF$4:AF$503&gt;=BH$4:BH$503)*(AF$4:AF$503-BH$4:BH$503))/MAX(1,COUNTIF(AF$4:AF$503,"&lt;"&amp;BH168+0.01)),BH168))</f>
        <v>9942.6503831579</v>
      </c>
      <c r="BW168" s="92" t="n">
        <f aca="false">IF(AG168&gt;=BI168,0,IFERROR(BI168+SUMPRODUCT((AG$4:AG$503&gt;=BI$4:BI$503)*(AG$4:AG$503-BI$4:BI$503))/MAX(1,COUNTIF(AG$4:AG$503,"&lt;"&amp;BI168+0.01)),BI168))</f>
        <v>9142.15870461538</v>
      </c>
      <c r="BX168" s="92" t="n">
        <f aca="false">IF(AH168&gt;=BJ168,0,IFERROR(BJ168+SUMPRODUCT((AH$4:AH$503&gt;=BJ$4:BJ$503)*(AH$4:AH$503-BJ$4:BJ$503))/MAX(1,COUNTIF(AH$4:AH$503,"&lt;"&amp;BJ168+0.01)),BJ168))</f>
        <v>0</v>
      </c>
      <c r="BY168" s="92" t="n">
        <f aca="false">IF(AI168&gt;=BK168,0,IFERROR(BK168+SUMPRODUCT((AI$4:AI$503&gt;=BK$4:BK$503)*(AI$4:AI$503-BK$4:BK$503))/MAX(1,COUNTIF(AI$4:AI$503,"&lt;"&amp;BK168+0.01)),BK168))</f>
        <v>7878.25652380952</v>
      </c>
      <c r="BZ168" s="92" t="n">
        <f aca="false">IF(AJ168&gt;=BL168,0,IFERROR(BL168+SUMPRODUCT((AJ$4:AJ$503&gt;=BL$4:BL$503)*(AJ$4:AJ$503-BL$4:BL$503))/MAX(1,COUNTIF(AJ$4:AJ$503,"&lt;"&amp;BL168+0.01)),BL168))</f>
        <v>6710.03292307692</v>
      </c>
      <c r="CA168" s="92" t="n">
        <f aca="false">IF(AK168&gt;=BM168,0,IFERROR(BM168+SUMPRODUCT((AK$4:AK$503&gt;=BM$4:BM$503)*(AK$4:AK$503-BM$4:BM$503))/MAX(1,COUNTIF(AK$4:AK$503,"&lt;"&amp;BM168+0.01)),BM168))</f>
        <v>7314.89836842105</v>
      </c>
      <c r="CB168" s="93" t="n">
        <f aca="false">IF(AL168&gt;=BN168,0,IFERROR(BN168+SUMPRODUCT((AL$4:AL$503&gt;=BN$4:BN$503)*(AL$4:AL$503-BN$4:BN$503))/MAX(1,COUNTIF(AL$4:AL$503,"&lt;"&amp;BN168+0.01)),BN168))</f>
        <v>0</v>
      </c>
      <c r="CC168" s="95" t="str">
        <f aca="false">IF(AO168="🟢","VERDE",IF(AO168="🟡","AMARELO",IF(AO168="🟠","VERMELHO",IF(AO168="🔴","VERMELHO","ROXO"))))</f>
        <v>VERMELHO</v>
      </c>
      <c r="CD168" s="96" t="s">
        <v>103</v>
      </c>
      <c r="CE168" s="96" t="s">
        <v>104</v>
      </c>
    </row>
    <row r="169" customFormat="false" ht="14.25" hidden="false" customHeight="true" outlineLevel="0" collapsed="false">
      <c r="A169" s="65" t="s">
        <v>472</v>
      </c>
      <c r="B169" s="66" t="s">
        <v>473</v>
      </c>
      <c r="C169" s="66" t="s">
        <v>66</v>
      </c>
      <c r="D169" s="68" t="s">
        <v>175</v>
      </c>
      <c r="E169" s="69" t="s">
        <v>139</v>
      </c>
      <c r="F169" s="70" t="n">
        <f aca="false">IFERROR(VLOOKUP(C169,$AS$3:$AT$10,2,FALSE()),IFERROR(VLOOKUP(C169,$AS$15:$AT$22,2,FALSE()),""))</f>
        <v>44</v>
      </c>
      <c r="G169" s="71" t="n">
        <f aca="false">IFERROR(VLOOKUP(C169,$AS$3:$AX$10,6,FALSE()),IFERROR(VLOOKUP(C169,$AS$15:$AX$22,6,FALSE()),""))</f>
        <v>0.496839506257363</v>
      </c>
      <c r="H169" s="72" t="str">
        <f aca="false">IFERROR(VLOOKUP(C169,$AS$3:$AY$10,7,FALSE()),IFERROR(VLOOKUP(C169,$AS$15:$AY$22,7,FALSE()),""))</f>
        <v>🟡 AMARELO</v>
      </c>
      <c r="I169" s="72" t="str">
        <f aca="false">IFERROR(VLOOKUP(C169,$AS$3:$AZ$10,8,FALSE()),IFERROR(VLOOKUP(C169,$AS$15:$AZ$22,8,FALSE()),""))</f>
        <v>Sell Out</v>
      </c>
      <c r="J169" s="73"/>
      <c r="K169" s="69" t="s">
        <v>107</v>
      </c>
      <c r="L169" s="74" t="n">
        <v>7076.89</v>
      </c>
      <c r="M169" s="75" t="n">
        <v>497.31</v>
      </c>
      <c r="N169" s="75" t="n">
        <v>519.68</v>
      </c>
      <c r="O169" s="75" t="n">
        <v>532.2</v>
      </c>
      <c r="P169" s="75" t="n">
        <v>546.06</v>
      </c>
      <c r="Q169" s="75" t="n">
        <v>563.95</v>
      </c>
      <c r="R169" s="75" t="n">
        <v>578.71</v>
      </c>
      <c r="S169" s="75" t="n">
        <v>601.07</v>
      </c>
      <c r="T169" s="75" t="n">
        <v>615.83</v>
      </c>
      <c r="U169" s="75" t="n">
        <v>629.69</v>
      </c>
      <c r="V169" s="75" t="n">
        <v>645.35</v>
      </c>
      <c r="W169" s="75" t="n">
        <v>662.34</v>
      </c>
      <c r="X169" s="76" t="n">
        <v>684.7</v>
      </c>
      <c r="Y169" s="77" t="s">
        <v>20</v>
      </c>
      <c r="Z169" s="78" t="n">
        <f aca="false">SUM(AA169:AL169)</f>
        <v>2879.56</v>
      </c>
      <c r="AA169" s="79" t="n">
        <v>577.8</v>
      </c>
      <c r="AB169" s="75"/>
      <c r="AC169" s="75"/>
      <c r="AD169" s="79" t="n">
        <v>575.1</v>
      </c>
      <c r="AE169" s="75"/>
      <c r="AF169" s="79" t="n">
        <v>905.86</v>
      </c>
      <c r="AG169" s="75"/>
      <c r="AH169" s="79" t="n">
        <v>820.8</v>
      </c>
      <c r="AI169" s="75"/>
      <c r="AJ169" s="75"/>
      <c r="AK169" s="75"/>
      <c r="AL169" s="76"/>
      <c r="AM169" s="56" t="s">
        <v>20</v>
      </c>
      <c r="AN169" s="80" t="n">
        <f aca="false">IF(L169=0,0,Z169/L169)</f>
        <v>0.406896249623775</v>
      </c>
      <c r="AO169" s="81" t="str">
        <f aca="false">IF(AN169="","",IF(AN169&gt;=0.9,"🟢",IF(AN169&gt;=0.7,"🟡",IF(AN169&gt;=0.5,"🟠","🔴"))))</f>
        <v>🔴</v>
      </c>
      <c r="AP169" s="82" t="n">
        <f aca="false">IF(L169=0,0,L169-Z169)</f>
        <v>4197.33</v>
      </c>
      <c r="AQ169" s="83" t="n">
        <f aca="false">IF(AP169=0,"",RANK(AP169,AP$4:AP$503,0))</f>
        <v>153</v>
      </c>
      <c r="AR169" s="84" t="s">
        <v>20</v>
      </c>
      <c r="AS169" s="141"/>
      <c r="AT169" s="141"/>
      <c r="AU169" s="141"/>
      <c r="AV169" s="141"/>
      <c r="AW169" s="141"/>
      <c r="AX169" s="141"/>
      <c r="AY169" s="142"/>
      <c r="AZ169" s="142"/>
      <c r="BA169" s="56" t="s">
        <v>20</v>
      </c>
      <c r="BB169" s="91" t="n">
        <f aca="false">SUM(L$4:L$503)/COUNTA(A$4:A$503)</f>
        <v>9494.39992</v>
      </c>
      <c r="BC169" s="92" t="n">
        <f aca="false">SUM(M$4:M$503)/COUNTA(A$4:A$503)</f>
        <v>667.20008</v>
      </c>
      <c r="BD169" s="92" t="n">
        <f aca="false">SUM(N$4:N$503)/COUNTA(A$4:A$503)</f>
        <v>697.19996</v>
      </c>
      <c r="BE169" s="92" t="n">
        <f aca="false">SUM(O$4:O$503)/COUNTA(A$4:A$503)</f>
        <v>713.9999</v>
      </c>
      <c r="BF169" s="92" t="n">
        <f aca="false">SUM(P$4:P$503)/COUNTA(A$4:A$503)</f>
        <v>732.59984</v>
      </c>
      <c r="BG169" s="92" t="n">
        <f aca="false">SUM(Q$4:Q$503)/COUNTA(A$4:A$503)</f>
        <v>756.59992</v>
      </c>
      <c r="BH169" s="92" t="n">
        <f aca="false">SUM(R$4:R$503)/COUNTA(A$4:A$503)</f>
        <v>776.40004</v>
      </c>
      <c r="BI169" s="92" t="n">
        <f aca="false">SUM(S$4:S$503)/COUNTA(A$4:A$503)</f>
        <v>806.40012</v>
      </c>
      <c r="BJ169" s="92" t="n">
        <f aca="false">SUM(T$4:T$503)/COUNTA(A$4:A$503)</f>
        <v>826.1999</v>
      </c>
      <c r="BK169" s="92" t="n">
        <f aca="false">SUM(U$4:U$503)/COUNTA(A$4:A$503)</f>
        <v>844.8002</v>
      </c>
      <c r="BL169" s="92" t="n">
        <f aca="false">SUM(V$4:V$503)/COUNTA(A$4:A$503)</f>
        <v>865.7998</v>
      </c>
      <c r="BM169" s="92" t="n">
        <f aca="false">SUM(W$4:W$503)/COUNTA(A$4:A$503)</f>
        <v>888.59982</v>
      </c>
      <c r="BN169" s="93" t="n">
        <f aca="false">SUM(X$4:X$503)/COUNTA(A$4:A$503)</f>
        <v>918.60034</v>
      </c>
      <c r="BO169" s="94" t="s">
        <v>20</v>
      </c>
      <c r="BP169" s="91" t="n">
        <f aca="false">IF(Z169&gt;=BB169,0,IFERROR(BB169+(SUMPRODUCT((Z$4:Z$503&gt;=BB$4:BB$503)*(Z$4:Z$503-BB$4:BB$503))/MAX(1,COUNTIF(Z$4:Z$503,"&lt;"&amp;BB169+0.01))),BB169))</f>
        <v>10695.5432177778</v>
      </c>
      <c r="BQ169" s="92" t="n">
        <f aca="false">IF(AA169&gt;=BC169,0,IFERROR(BC169+SUMPRODUCT((AA$4:AA$503&gt;=BC$4:BC$503)*(AA$4:AA$503-BC$4:BC$503))/MAX(1,COUNTIF(AA$4:AA$503,"&lt;"&amp;BC169+0.01)),BC169))</f>
        <v>2238.46589176471</v>
      </c>
      <c r="BR169" s="92" t="n">
        <f aca="false">IF(AB169&gt;=BD169,0,IFERROR(BD169+SUMPRODUCT((AB$4:AB$503&gt;=BD$4:BD$503)*(AB$4:AB$503-BD$4:BD$503))/MAX(1,COUNTIF(AB$4:AB$503,"&lt;"&amp;BD169+0.01)),BD169))</f>
        <v>3335.2938</v>
      </c>
      <c r="BS169" s="92" t="n">
        <f aca="false">IF(AC169&gt;=BE169,0,IFERROR(BE169+SUMPRODUCT((AC$4:AC$503&gt;=BE$4:BE$503)*(AC$4:AC$503-BE$4:BE$503))/MAX(1,COUNTIF(AC$4:AC$503,"&lt;"&amp;BE169+0.01)),BE169))</f>
        <v>6188.73352</v>
      </c>
      <c r="BT169" s="92" t="n">
        <f aca="false">IF(AD169&gt;=BF169,0,IFERROR(BF169+SUMPRODUCT((AD$4:AD$503&gt;=BF$4:BF$503)*(AD$4:AD$503-BF$4:BF$503))/MAX(1,COUNTIF(AD$4:AD$503,"&lt;"&amp;BF169+0.01)),BF169))</f>
        <v>11354.35411</v>
      </c>
      <c r="BU169" s="92" t="n">
        <f aca="false">IF(AE169&gt;=BG169,0,IFERROR(BG169+SUMPRODUCT((AE$4:AE$503&gt;=BG$4:BG$503)*(AE$4:AE$503-BG$4:BG$503))/MAX(1,COUNTIF(AE$4:AE$503,"&lt;"&amp;BG169+0.01)),BG169))</f>
        <v>7704.85920380952</v>
      </c>
      <c r="BV169" s="92" t="n">
        <f aca="false">IF(AF169&gt;=BH169,0,IFERROR(BH169+SUMPRODUCT((AF$4:AF$503&gt;=BH$4:BH$503)*(AF$4:AF$503-BH$4:BH$503))/MAX(1,COUNTIF(AF$4:AF$503,"&lt;"&amp;BH169+0.01)),BH169))</f>
        <v>0</v>
      </c>
      <c r="BW169" s="92" t="n">
        <f aca="false">IF(AG169&gt;=BI169,0,IFERROR(BI169+SUMPRODUCT((AG$4:AG$503&gt;=BI$4:BI$503)*(AG$4:AG$503-BI$4:BI$503))/MAX(1,COUNTIF(AG$4:AG$503,"&lt;"&amp;BI169+0.01)),BI169))</f>
        <v>9142.15870461538</v>
      </c>
      <c r="BX169" s="92" t="n">
        <f aca="false">IF(AH169&gt;=BJ169,0,IFERROR(BJ169+SUMPRODUCT((AH$4:AH$503&gt;=BJ$4:BJ$503)*(AH$4:AH$503-BJ$4:BJ$503))/MAX(1,COUNTIF(AH$4:AH$503,"&lt;"&amp;BJ169+0.01)),BJ169))</f>
        <v>5621.50263448276</v>
      </c>
      <c r="BY169" s="92" t="n">
        <f aca="false">IF(AI169&gt;=BK169,0,IFERROR(BK169+SUMPRODUCT((AI$4:AI$503&gt;=BK$4:BK$503)*(AI$4:AI$503-BK$4:BK$503))/MAX(1,COUNTIF(AI$4:AI$503,"&lt;"&amp;BK169+0.01)),BK169))</f>
        <v>7878.25652380952</v>
      </c>
      <c r="BZ169" s="92" t="n">
        <f aca="false">IF(AJ169&gt;=BL169,0,IFERROR(BL169+SUMPRODUCT((AJ$4:AJ$503&gt;=BL$4:BL$503)*(AJ$4:AJ$503-BL$4:BL$503))/MAX(1,COUNTIF(AJ$4:AJ$503,"&lt;"&amp;BL169+0.01)),BL169))</f>
        <v>6710.03292307692</v>
      </c>
      <c r="CA169" s="92" t="n">
        <f aca="false">IF(AK169&gt;=BM169,0,IFERROR(BM169+SUMPRODUCT((AK$4:AK$503&gt;=BM$4:BM$503)*(AK$4:AK$503-BM$4:BM$503))/MAX(1,COUNTIF(AK$4:AK$503,"&lt;"&amp;BM169+0.01)),BM169))</f>
        <v>7314.89836842105</v>
      </c>
      <c r="CB169" s="93" t="n">
        <f aca="false">IF(AL169&gt;=BN169,0,IFERROR(BN169+SUMPRODUCT((AL$4:AL$503&gt;=BN$4:BN$503)*(AL$4:AL$503-BN$4:BN$503))/MAX(1,COUNTIF(AL$4:AL$503,"&lt;"&amp;BN169+0.01)),BN169))</f>
        <v>3597.2614925</v>
      </c>
      <c r="CC169" s="95" t="str">
        <f aca="false">IF(AO169="🟢","VERDE",IF(AO169="🟡","AMARELO",IF(AO169="🟠","VERMELHO",IF(AO169="🔴","VERMELHO","ROXO"))))</f>
        <v>VERMELHO</v>
      </c>
      <c r="CD169" s="96" t="s">
        <v>176</v>
      </c>
      <c r="CE169" s="96" t="s">
        <v>66</v>
      </c>
    </row>
    <row r="170" customFormat="false" ht="14.25" hidden="false" customHeight="true" outlineLevel="0" collapsed="false">
      <c r="A170" s="65" t="s">
        <v>474</v>
      </c>
      <c r="B170" s="66" t="s">
        <v>475</v>
      </c>
      <c r="C170" s="67" t="s">
        <v>113</v>
      </c>
      <c r="D170" s="68" t="s">
        <v>100</v>
      </c>
      <c r="E170" s="69" t="s">
        <v>260</v>
      </c>
      <c r="F170" s="70" t="n">
        <f aca="false">IFERROR(VLOOKUP(C170,$AS$3:$AT$10,2,FALSE()),IFERROR(VLOOKUP(C170,$AS$15:$AT$22,2,FALSE()),""))</f>
        <v>49</v>
      </c>
      <c r="G170" s="71" t="n">
        <f aca="false">IFERROR(VLOOKUP(C170,$AS$3:$AX$10,6,FALSE()),IFERROR(VLOOKUP(C170,$AS$15:$AX$22,6,FALSE()),""))</f>
        <v>0.463965086137302</v>
      </c>
      <c r="H170" s="72" t="str">
        <f aca="false">IFERROR(VLOOKUP(C170,$AS$3:$AY$10,7,FALSE()),IFERROR(VLOOKUP(C170,$AS$15:$AY$22,7,FALSE()),""))</f>
        <v>🟡 AMARELO</v>
      </c>
      <c r="I170" s="72" t="str">
        <f aca="false">IFERROR(VLOOKUP(C170,$AS$3:$AZ$10,8,FALSE()),IFERROR(VLOOKUP(C170,$AS$15:$AZ$22,8,FALSE()),""))</f>
        <v>Sell Out</v>
      </c>
      <c r="J170" s="73"/>
      <c r="K170" s="69" t="s">
        <v>113</v>
      </c>
      <c r="L170" s="74" t="n">
        <v>7065.07</v>
      </c>
      <c r="M170" s="75" t="n">
        <v>496.48</v>
      </c>
      <c r="N170" s="75" t="n">
        <v>518.81</v>
      </c>
      <c r="O170" s="75" t="n">
        <v>531.31</v>
      </c>
      <c r="P170" s="75" t="n">
        <v>545.15</v>
      </c>
      <c r="Q170" s="75" t="n">
        <v>563.01</v>
      </c>
      <c r="R170" s="75" t="n">
        <v>577.74</v>
      </c>
      <c r="S170" s="75" t="n">
        <v>600.07</v>
      </c>
      <c r="T170" s="75" t="n">
        <v>614.8</v>
      </c>
      <c r="U170" s="75" t="n">
        <v>628.64</v>
      </c>
      <c r="V170" s="75" t="n">
        <v>644.27</v>
      </c>
      <c r="W170" s="75" t="n">
        <v>661.23</v>
      </c>
      <c r="X170" s="76" t="n">
        <v>683.56</v>
      </c>
      <c r="Y170" s="77" t="s">
        <v>20</v>
      </c>
      <c r="Z170" s="78" t="n">
        <f aca="false">SUM(AA170:AL170)</f>
        <v>3538.66</v>
      </c>
      <c r="AA170" s="75"/>
      <c r="AB170" s="75"/>
      <c r="AC170" s="75"/>
      <c r="AD170" s="79" t="n">
        <v>1676.55</v>
      </c>
      <c r="AE170" s="75"/>
      <c r="AF170" s="75"/>
      <c r="AG170" s="79" t="n">
        <v>1862.11</v>
      </c>
      <c r="AH170" s="75"/>
      <c r="AI170" s="75"/>
      <c r="AJ170" s="75"/>
      <c r="AK170" s="75"/>
      <c r="AL170" s="76"/>
      <c r="AM170" s="56" t="s">
        <v>20</v>
      </c>
      <c r="AN170" s="80" t="n">
        <f aca="false">IF(L170=0,0,Z170/L170)</f>
        <v>0.50086694116265</v>
      </c>
      <c r="AO170" s="81" t="str">
        <f aca="false">IF(AN170="","",IF(AN170&gt;=0.9,"🟢",IF(AN170&gt;=0.7,"🟡",IF(AN170&gt;=0.5,"🟠","🔴"))))</f>
        <v>🟠</v>
      </c>
      <c r="AP170" s="82" t="n">
        <f aca="false">IF(L170=0,0,L170-Z170)</f>
        <v>3526.41</v>
      </c>
      <c r="AQ170" s="83" t="n">
        <f aca="false">IF(AP170=0,"",RANK(AP170,AP$4:AP$503,0))</f>
        <v>183</v>
      </c>
      <c r="AR170" s="84" t="s">
        <v>20</v>
      </c>
      <c r="AS170" s="141"/>
      <c r="AT170" s="141"/>
      <c r="AU170" s="141"/>
      <c r="AV170" s="141"/>
      <c r="AW170" s="141"/>
      <c r="AX170" s="141"/>
      <c r="AY170" s="142"/>
      <c r="AZ170" s="142"/>
      <c r="BA170" s="56" t="s">
        <v>20</v>
      </c>
      <c r="BB170" s="91" t="n">
        <f aca="false">SUM(L$4:L$503)/COUNTA(A$4:A$503)</f>
        <v>9494.39992</v>
      </c>
      <c r="BC170" s="92" t="n">
        <f aca="false">SUM(M$4:M$503)/COUNTA(A$4:A$503)</f>
        <v>667.20008</v>
      </c>
      <c r="BD170" s="92" t="n">
        <f aca="false">SUM(N$4:N$503)/COUNTA(A$4:A$503)</f>
        <v>697.19996</v>
      </c>
      <c r="BE170" s="92" t="n">
        <f aca="false">SUM(O$4:O$503)/COUNTA(A$4:A$503)</f>
        <v>713.9999</v>
      </c>
      <c r="BF170" s="92" t="n">
        <f aca="false">SUM(P$4:P$503)/COUNTA(A$4:A$503)</f>
        <v>732.59984</v>
      </c>
      <c r="BG170" s="92" t="n">
        <f aca="false">SUM(Q$4:Q$503)/COUNTA(A$4:A$503)</f>
        <v>756.59992</v>
      </c>
      <c r="BH170" s="92" t="n">
        <f aca="false">SUM(R$4:R$503)/COUNTA(A$4:A$503)</f>
        <v>776.40004</v>
      </c>
      <c r="BI170" s="92" t="n">
        <f aca="false">SUM(S$4:S$503)/COUNTA(A$4:A$503)</f>
        <v>806.40012</v>
      </c>
      <c r="BJ170" s="92" t="n">
        <f aca="false">SUM(T$4:T$503)/COUNTA(A$4:A$503)</f>
        <v>826.1999</v>
      </c>
      <c r="BK170" s="92" t="n">
        <f aca="false">SUM(U$4:U$503)/COUNTA(A$4:A$503)</f>
        <v>844.8002</v>
      </c>
      <c r="BL170" s="92" t="n">
        <f aca="false">SUM(V$4:V$503)/COUNTA(A$4:A$503)</f>
        <v>865.7998</v>
      </c>
      <c r="BM170" s="92" t="n">
        <f aca="false">SUM(W$4:W$503)/COUNTA(A$4:A$503)</f>
        <v>888.59982</v>
      </c>
      <c r="BN170" s="93" t="n">
        <f aca="false">SUM(X$4:X$503)/COUNTA(A$4:A$503)</f>
        <v>918.60034</v>
      </c>
      <c r="BO170" s="94" t="s">
        <v>20</v>
      </c>
      <c r="BP170" s="91" t="n">
        <f aca="false">IF(Z170&gt;=BB170,0,IFERROR(BB170+(SUMPRODUCT((Z$4:Z$503&gt;=BB$4:BB$503)*(Z$4:Z$503-BB$4:BB$503))/MAX(1,COUNTIF(Z$4:Z$503,"&lt;"&amp;BB170+0.01))),BB170))</f>
        <v>10695.5432177778</v>
      </c>
      <c r="BQ170" s="92" t="n">
        <f aca="false">IF(AA170&gt;=BC170,0,IFERROR(BC170+SUMPRODUCT((AA$4:AA$503&gt;=BC$4:BC$503)*(AA$4:AA$503-BC$4:BC$503))/MAX(1,COUNTIF(AA$4:AA$503,"&lt;"&amp;BC170+0.01)),BC170))</f>
        <v>2238.46589176471</v>
      </c>
      <c r="BR170" s="92" t="n">
        <f aca="false">IF(AB170&gt;=BD170,0,IFERROR(BD170+SUMPRODUCT((AB$4:AB$503&gt;=BD$4:BD$503)*(AB$4:AB$503-BD$4:BD$503))/MAX(1,COUNTIF(AB$4:AB$503,"&lt;"&amp;BD170+0.01)),BD170))</f>
        <v>3335.2938</v>
      </c>
      <c r="BS170" s="92" t="n">
        <f aca="false">IF(AC170&gt;=BE170,0,IFERROR(BE170+SUMPRODUCT((AC$4:AC$503&gt;=BE$4:BE$503)*(AC$4:AC$503-BE$4:BE$503))/MAX(1,COUNTIF(AC$4:AC$503,"&lt;"&amp;BE170+0.01)),BE170))</f>
        <v>6188.73352</v>
      </c>
      <c r="BT170" s="92" t="n">
        <f aca="false">IF(AD170&gt;=BF170,0,IFERROR(BF170+SUMPRODUCT((AD$4:AD$503&gt;=BF$4:BF$503)*(AD$4:AD$503-BF$4:BF$503))/MAX(1,COUNTIF(AD$4:AD$503,"&lt;"&amp;BF170+0.01)),BF170))</f>
        <v>0</v>
      </c>
      <c r="BU170" s="92" t="n">
        <f aca="false">IF(AE170&gt;=BG170,0,IFERROR(BG170+SUMPRODUCT((AE$4:AE$503&gt;=BG$4:BG$503)*(AE$4:AE$503-BG$4:BG$503))/MAX(1,COUNTIF(AE$4:AE$503,"&lt;"&amp;BG170+0.01)),BG170))</f>
        <v>7704.85920380952</v>
      </c>
      <c r="BV170" s="92" t="n">
        <f aca="false">IF(AF170&gt;=BH170,0,IFERROR(BH170+SUMPRODUCT((AF$4:AF$503&gt;=BH$4:BH$503)*(AF$4:AF$503-BH$4:BH$503))/MAX(1,COUNTIF(AF$4:AF$503,"&lt;"&amp;BH170+0.01)),BH170))</f>
        <v>9942.6503831579</v>
      </c>
      <c r="BW170" s="92" t="n">
        <f aca="false">IF(AG170&gt;=BI170,0,IFERROR(BI170+SUMPRODUCT((AG$4:AG$503&gt;=BI$4:BI$503)*(AG$4:AG$503-BI$4:BI$503))/MAX(1,COUNTIF(AG$4:AG$503,"&lt;"&amp;BI170+0.01)),BI170))</f>
        <v>0</v>
      </c>
      <c r="BX170" s="92" t="n">
        <f aca="false">IF(AH170&gt;=BJ170,0,IFERROR(BJ170+SUMPRODUCT((AH$4:AH$503&gt;=BJ$4:BJ$503)*(AH$4:AH$503-BJ$4:BJ$503))/MAX(1,COUNTIF(AH$4:AH$503,"&lt;"&amp;BJ170+0.01)),BJ170))</f>
        <v>5621.50263448276</v>
      </c>
      <c r="BY170" s="92" t="n">
        <f aca="false">IF(AI170&gt;=BK170,0,IFERROR(BK170+SUMPRODUCT((AI$4:AI$503&gt;=BK$4:BK$503)*(AI$4:AI$503-BK$4:BK$503))/MAX(1,COUNTIF(AI$4:AI$503,"&lt;"&amp;BK170+0.01)),BK170))</f>
        <v>7878.25652380952</v>
      </c>
      <c r="BZ170" s="92" t="n">
        <f aca="false">IF(AJ170&gt;=BL170,0,IFERROR(BL170+SUMPRODUCT((AJ$4:AJ$503&gt;=BL$4:BL$503)*(AJ$4:AJ$503-BL$4:BL$503))/MAX(1,COUNTIF(AJ$4:AJ$503,"&lt;"&amp;BL170+0.01)),BL170))</f>
        <v>6710.03292307692</v>
      </c>
      <c r="CA170" s="92" t="n">
        <f aca="false">IF(AK170&gt;=BM170,0,IFERROR(BM170+SUMPRODUCT((AK$4:AK$503&gt;=BM$4:BM$503)*(AK$4:AK$503-BM$4:BM$503))/MAX(1,COUNTIF(AK$4:AK$503,"&lt;"&amp;BM170+0.01)),BM170))</f>
        <v>7314.89836842105</v>
      </c>
      <c r="CB170" s="93" t="n">
        <f aca="false">IF(AL170&gt;=BN170,0,IFERROR(BN170+SUMPRODUCT((AL$4:AL$503&gt;=BN$4:BN$503)*(AL$4:AL$503-BN$4:BN$503))/MAX(1,COUNTIF(AL$4:AL$503,"&lt;"&amp;BN170+0.01)),BN170))</f>
        <v>3597.2614925</v>
      </c>
      <c r="CC170" s="95" t="str">
        <f aca="false">IF(AO170="🟢","VERDE",IF(AO170="🟡","AMARELO",IF(AO170="🟠","VERMELHO",IF(AO170="🔴","VERMELHO","ROXO"))))</f>
        <v>VERMELHO</v>
      </c>
      <c r="CD170" s="96" t="s">
        <v>103</v>
      </c>
      <c r="CE170" s="96" t="s">
        <v>104</v>
      </c>
    </row>
    <row r="171" customFormat="false" ht="14.25" hidden="false" customHeight="true" outlineLevel="0" collapsed="false">
      <c r="A171" s="65" t="s">
        <v>476</v>
      </c>
      <c r="B171" s="66" t="s">
        <v>477</v>
      </c>
      <c r="C171" s="67" t="s">
        <v>118</v>
      </c>
      <c r="D171" s="68" t="s">
        <v>100</v>
      </c>
      <c r="E171" s="69" t="s">
        <v>119</v>
      </c>
      <c r="F171" s="70" t="n">
        <f aca="false">IFERROR(VLOOKUP(C171,$AS$3:$AT$10,2,FALSE()),IFERROR(VLOOKUP(C171,$AS$15:$AT$22,2,FALSE()),""))</f>
        <v>42</v>
      </c>
      <c r="G171" s="71" t="n">
        <f aca="false">IFERROR(VLOOKUP(C171,$AS$3:$AX$10,6,FALSE()),IFERROR(VLOOKUP(C171,$AS$15:$AX$22,6,FALSE()),""))</f>
        <v>0.424872083346704</v>
      </c>
      <c r="H171" s="72" t="str">
        <f aca="false">IFERROR(VLOOKUP(C171,$AS$3:$AY$10,7,FALSE()),IFERROR(VLOOKUP(C171,$AS$15:$AY$22,7,FALSE()),""))</f>
        <v>🟡 AMARELO</v>
      </c>
      <c r="I171" s="72" t="str">
        <f aca="false">IFERROR(VLOOKUP(C171,$AS$3:$AZ$10,8,FALSE()),IFERROR(VLOOKUP(C171,$AS$15:$AZ$22,8,FALSE()),""))</f>
        <v>Sell Out</v>
      </c>
      <c r="J171" s="73"/>
      <c r="K171" s="69" t="s">
        <v>118</v>
      </c>
      <c r="L171" s="74" t="n">
        <v>7064.64</v>
      </c>
      <c r="M171" s="75" t="n">
        <v>496.45</v>
      </c>
      <c r="N171" s="75" t="n">
        <v>518.78</v>
      </c>
      <c r="O171" s="75" t="n">
        <v>531.28</v>
      </c>
      <c r="P171" s="75" t="n">
        <v>545.12</v>
      </c>
      <c r="Q171" s="75" t="n">
        <v>562.97</v>
      </c>
      <c r="R171" s="75" t="n">
        <v>577.71</v>
      </c>
      <c r="S171" s="75" t="n">
        <v>600.03</v>
      </c>
      <c r="T171" s="75" t="n">
        <v>614.76</v>
      </c>
      <c r="U171" s="75" t="n">
        <v>628.6</v>
      </c>
      <c r="V171" s="75" t="n">
        <v>644.23</v>
      </c>
      <c r="W171" s="75" t="n">
        <v>661.19</v>
      </c>
      <c r="X171" s="76" t="n">
        <v>683.52</v>
      </c>
      <c r="Y171" s="77" t="s">
        <v>20</v>
      </c>
      <c r="Z171" s="78" t="n">
        <f aca="false">SUM(AA171:AL171)</f>
        <v>3133.56</v>
      </c>
      <c r="AA171" s="75"/>
      <c r="AB171" s="75"/>
      <c r="AC171" s="75"/>
      <c r="AD171" s="75"/>
      <c r="AE171" s="75"/>
      <c r="AF171" s="75"/>
      <c r="AG171" s="79" t="n">
        <v>2077.88</v>
      </c>
      <c r="AH171" s="75"/>
      <c r="AI171" s="75"/>
      <c r="AJ171" s="75"/>
      <c r="AK171" s="75"/>
      <c r="AL171" s="107" t="n">
        <v>1055.68</v>
      </c>
      <c r="AM171" s="56" t="s">
        <v>20</v>
      </c>
      <c r="AN171" s="80" t="n">
        <f aca="false">IF(L171=0,0,Z171/L171)</f>
        <v>0.443555510259546</v>
      </c>
      <c r="AO171" s="81" t="str">
        <f aca="false">IF(AN171="","",IF(AN171&gt;=0.9,"🟢",IF(AN171&gt;=0.7,"🟡",IF(AN171&gt;=0.5,"🟠","🔴"))))</f>
        <v>🔴</v>
      </c>
      <c r="AP171" s="82" t="n">
        <f aca="false">IF(L171=0,0,L171-Z171)</f>
        <v>3931.08</v>
      </c>
      <c r="AQ171" s="83" t="n">
        <f aca="false">IF(AP171=0,"",RANK(AP171,AP$4:AP$503,0))</f>
        <v>166</v>
      </c>
      <c r="AR171" s="84" t="s">
        <v>20</v>
      </c>
      <c r="AS171" s="141"/>
      <c r="AT171" s="141"/>
      <c r="AU171" s="141"/>
      <c r="AV171" s="141"/>
      <c r="AW171" s="141"/>
      <c r="AX171" s="141"/>
      <c r="AY171" s="142"/>
      <c r="AZ171" s="142"/>
      <c r="BA171" s="56" t="s">
        <v>20</v>
      </c>
      <c r="BB171" s="91" t="n">
        <f aca="false">SUM(L$4:L$503)/COUNTA(A$4:A$503)</f>
        <v>9494.39992</v>
      </c>
      <c r="BC171" s="92" t="n">
        <f aca="false">SUM(M$4:M$503)/COUNTA(A$4:A$503)</f>
        <v>667.20008</v>
      </c>
      <c r="BD171" s="92" t="n">
        <f aca="false">SUM(N$4:N$503)/COUNTA(A$4:A$503)</f>
        <v>697.19996</v>
      </c>
      <c r="BE171" s="92" t="n">
        <f aca="false">SUM(O$4:O$503)/COUNTA(A$4:A$503)</f>
        <v>713.9999</v>
      </c>
      <c r="BF171" s="92" t="n">
        <f aca="false">SUM(P$4:P$503)/COUNTA(A$4:A$503)</f>
        <v>732.59984</v>
      </c>
      <c r="BG171" s="92" t="n">
        <f aca="false">SUM(Q$4:Q$503)/COUNTA(A$4:A$503)</f>
        <v>756.59992</v>
      </c>
      <c r="BH171" s="92" t="n">
        <f aca="false">SUM(R$4:R$503)/COUNTA(A$4:A$503)</f>
        <v>776.40004</v>
      </c>
      <c r="BI171" s="92" t="n">
        <f aca="false">SUM(S$4:S$503)/COUNTA(A$4:A$503)</f>
        <v>806.40012</v>
      </c>
      <c r="BJ171" s="92" t="n">
        <f aca="false">SUM(T$4:T$503)/COUNTA(A$4:A$503)</f>
        <v>826.1999</v>
      </c>
      <c r="BK171" s="92" t="n">
        <f aca="false">SUM(U$4:U$503)/COUNTA(A$4:A$503)</f>
        <v>844.8002</v>
      </c>
      <c r="BL171" s="92" t="n">
        <f aca="false">SUM(V$4:V$503)/COUNTA(A$4:A$503)</f>
        <v>865.7998</v>
      </c>
      <c r="BM171" s="92" t="n">
        <f aca="false">SUM(W$4:W$503)/COUNTA(A$4:A$503)</f>
        <v>888.59982</v>
      </c>
      <c r="BN171" s="93" t="n">
        <f aca="false">SUM(X$4:X$503)/COUNTA(A$4:A$503)</f>
        <v>918.60034</v>
      </c>
      <c r="BO171" s="94" t="s">
        <v>20</v>
      </c>
      <c r="BP171" s="91" t="n">
        <f aca="false">IF(Z171&gt;=BB171,0,IFERROR(BB171+(SUMPRODUCT((Z$4:Z$503&gt;=BB$4:BB$503)*(Z$4:Z$503-BB$4:BB$503))/MAX(1,COUNTIF(Z$4:Z$503,"&lt;"&amp;BB171+0.01))),BB171))</f>
        <v>10695.5432177778</v>
      </c>
      <c r="BQ171" s="92" t="n">
        <f aca="false">IF(AA171&gt;=BC171,0,IFERROR(BC171+SUMPRODUCT((AA$4:AA$503&gt;=BC$4:BC$503)*(AA$4:AA$503-BC$4:BC$503))/MAX(1,COUNTIF(AA$4:AA$503,"&lt;"&amp;BC171+0.01)),BC171))</f>
        <v>2238.46589176471</v>
      </c>
      <c r="BR171" s="92" t="n">
        <f aca="false">IF(AB171&gt;=BD171,0,IFERROR(BD171+SUMPRODUCT((AB$4:AB$503&gt;=BD$4:BD$503)*(AB$4:AB$503-BD$4:BD$503))/MAX(1,COUNTIF(AB$4:AB$503,"&lt;"&amp;BD171+0.01)),BD171))</f>
        <v>3335.2938</v>
      </c>
      <c r="BS171" s="92" t="n">
        <f aca="false">IF(AC171&gt;=BE171,0,IFERROR(BE171+SUMPRODUCT((AC$4:AC$503&gt;=BE$4:BE$503)*(AC$4:AC$503-BE$4:BE$503))/MAX(1,COUNTIF(AC$4:AC$503,"&lt;"&amp;BE171+0.01)),BE171))</f>
        <v>6188.73352</v>
      </c>
      <c r="BT171" s="92" t="n">
        <f aca="false">IF(AD171&gt;=BF171,0,IFERROR(BF171+SUMPRODUCT((AD$4:AD$503&gt;=BF$4:BF$503)*(AD$4:AD$503-BF$4:BF$503))/MAX(1,COUNTIF(AD$4:AD$503,"&lt;"&amp;BF171+0.01)),BF171))</f>
        <v>11354.35411</v>
      </c>
      <c r="BU171" s="92" t="n">
        <f aca="false">IF(AE171&gt;=BG171,0,IFERROR(BG171+SUMPRODUCT((AE$4:AE$503&gt;=BG$4:BG$503)*(AE$4:AE$503-BG$4:BG$503))/MAX(1,COUNTIF(AE$4:AE$503,"&lt;"&amp;BG171+0.01)),BG171))</f>
        <v>7704.85920380952</v>
      </c>
      <c r="BV171" s="92" t="n">
        <f aca="false">IF(AF171&gt;=BH171,0,IFERROR(BH171+SUMPRODUCT((AF$4:AF$503&gt;=BH$4:BH$503)*(AF$4:AF$503-BH$4:BH$503))/MAX(1,COUNTIF(AF$4:AF$503,"&lt;"&amp;BH171+0.01)),BH171))</f>
        <v>9942.6503831579</v>
      </c>
      <c r="BW171" s="92" t="n">
        <f aca="false">IF(AG171&gt;=BI171,0,IFERROR(BI171+SUMPRODUCT((AG$4:AG$503&gt;=BI$4:BI$503)*(AG$4:AG$503-BI$4:BI$503))/MAX(1,COUNTIF(AG$4:AG$503,"&lt;"&amp;BI171+0.01)),BI171))</f>
        <v>0</v>
      </c>
      <c r="BX171" s="92" t="n">
        <f aca="false">IF(AH171&gt;=BJ171,0,IFERROR(BJ171+SUMPRODUCT((AH$4:AH$503&gt;=BJ$4:BJ$503)*(AH$4:AH$503-BJ$4:BJ$503))/MAX(1,COUNTIF(AH$4:AH$503,"&lt;"&amp;BJ171+0.01)),BJ171))</f>
        <v>5621.50263448276</v>
      </c>
      <c r="BY171" s="92" t="n">
        <f aca="false">IF(AI171&gt;=BK171,0,IFERROR(BK171+SUMPRODUCT((AI$4:AI$503&gt;=BK$4:BK$503)*(AI$4:AI$503-BK$4:BK$503))/MAX(1,COUNTIF(AI$4:AI$503,"&lt;"&amp;BK171+0.01)),BK171))</f>
        <v>7878.25652380952</v>
      </c>
      <c r="BZ171" s="92" t="n">
        <f aca="false">IF(AJ171&gt;=BL171,0,IFERROR(BL171+SUMPRODUCT((AJ$4:AJ$503&gt;=BL$4:BL$503)*(AJ$4:AJ$503-BL$4:BL$503))/MAX(1,COUNTIF(AJ$4:AJ$503,"&lt;"&amp;BL171+0.01)),BL171))</f>
        <v>6710.03292307692</v>
      </c>
      <c r="CA171" s="92" t="n">
        <f aca="false">IF(AK171&gt;=BM171,0,IFERROR(BM171+SUMPRODUCT((AK$4:AK$503&gt;=BM$4:BM$503)*(AK$4:AK$503-BM$4:BM$503))/MAX(1,COUNTIF(AK$4:AK$503,"&lt;"&amp;BM171+0.01)),BM171))</f>
        <v>7314.89836842105</v>
      </c>
      <c r="CB171" s="93" t="n">
        <f aca="false">IF(AL171&gt;=BN171,0,IFERROR(BN171+SUMPRODUCT((AL$4:AL$503&gt;=BN$4:BN$503)*(AL$4:AL$503-BN$4:BN$503))/MAX(1,COUNTIF(AL$4:AL$503,"&lt;"&amp;BN171+0.01)),BN171))</f>
        <v>0</v>
      </c>
      <c r="CC171" s="95" t="str">
        <f aca="false">IF(AO171="🟢","VERDE",IF(AO171="🟡","AMARELO",IF(AO171="🟠","VERMELHO",IF(AO171="🔴","VERMELHO","ROXO"))))</f>
        <v>VERMELHO</v>
      </c>
      <c r="CD171" s="96" t="s">
        <v>103</v>
      </c>
      <c r="CE171" s="96" t="s">
        <v>104</v>
      </c>
    </row>
    <row r="172" customFormat="false" ht="14.25" hidden="false" customHeight="true" outlineLevel="0" collapsed="false">
      <c r="A172" s="65" t="s">
        <v>478</v>
      </c>
      <c r="B172" s="66" t="s">
        <v>479</v>
      </c>
      <c r="C172" s="67" t="s">
        <v>107</v>
      </c>
      <c r="D172" s="68" t="s">
        <v>108</v>
      </c>
      <c r="E172" s="69" t="s">
        <v>109</v>
      </c>
      <c r="F172" s="70" t="n">
        <f aca="false">IFERROR(VLOOKUP(C172,$AS$3:$AT$10,2,FALSE()),IFERROR(VLOOKUP(C172,$AS$15:$AT$22,2,FALSE()),""))</f>
        <v>132</v>
      </c>
      <c r="G172" s="71" t="n">
        <f aca="false">IFERROR(VLOOKUP(C172,$AS$3:$AX$10,6,FALSE()),IFERROR(VLOOKUP(C172,$AS$15:$AX$22,6,FALSE()),""))</f>
        <v>0.468190175850689</v>
      </c>
      <c r="H172" s="72" t="str">
        <f aca="false">IFERROR(VLOOKUP(C172,$AS$3:$AY$10,7,FALSE()),IFERROR(VLOOKUP(C172,$AS$15:$AY$22,7,FALSE()),""))</f>
        <v>🟡 AMARELO</v>
      </c>
      <c r="I172" s="72" t="str">
        <f aca="false">IFERROR(VLOOKUP(C172,$AS$3:$AZ$10,8,FALSE()),IFERROR(VLOOKUP(C172,$AS$15:$AZ$22,8,FALSE()),""))</f>
        <v>Sell Out</v>
      </c>
      <c r="J172" s="73"/>
      <c r="K172" s="69" t="s">
        <v>107</v>
      </c>
      <c r="L172" s="74" t="n">
        <v>7036.9</v>
      </c>
      <c r="M172" s="75" t="n">
        <v>494.5</v>
      </c>
      <c r="N172" s="75" t="n">
        <v>516.74</v>
      </c>
      <c r="O172" s="75" t="n">
        <v>529.19</v>
      </c>
      <c r="P172" s="75" t="n">
        <v>542.98</v>
      </c>
      <c r="Q172" s="75" t="n">
        <v>560.76</v>
      </c>
      <c r="R172" s="75" t="n">
        <v>575.44</v>
      </c>
      <c r="S172" s="75" t="n">
        <v>597.67</v>
      </c>
      <c r="T172" s="75" t="n">
        <v>612.35</v>
      </c>
      <c r="U172" s="75" t="n">
        <v>626.14</v>
      </c>
      <c r="V172" s="75" t="n">
        <v>641.7</v>
      </c>
      <c r="W172" s="75" t="n">
        <v>658.6</v>
      </c>
      <c r="X172" s="76" t="n">
        <v>680.83</v>
      </c>
      <c r="Y172" s="77" t="s">
        <v>20</v>
      </c>
      <c r="Z172" s="78" t="n">
        <f aca="false">SUM(AA172:AL172)</f>
        <v>2931.2</v>
      </c>
      <c r="AA172" s="75"/>
      <c r="AB172" s="75"/>
      <c r="AC172" s="75"/>
      <c r="AD172" s="75"/>
      <c r="AE172" s="75"/>
      <c r="AF172" s="75"/>
      <c r="AG172" s="75"/>
      <c r="AH172" s="79" t="n">
        <v>2931.2</v>
      </c>
      <c r="AI172" s="75"/>
      <c r="AJ172" s="75"/>
      <c r="AK172" s="75"/>
      <c r="AL172" s="76"/>
      <c r="AM172" s="56" t="s">
        <v>20</v>
      </c>
      <c r="AN172" s="80" t="n">
        <f aca="false">IF(L172=0,0,Z172/L172)</f>
        <v>0.416547059074308</v>
      </c>
      <c r="AO172" s="81" t="str">
        <f aca="false">IF(AN172="","",IF(AN172&gt;=0.9,"🟢",IF(AN172&gt;=0.7,"🟡",IF(AN172&gt;=0.5,"🟠","🔴"))))</f>
        <v>🔴</v>
      </c>
      <c r="AP172" s="82" t="n">
        <f aca="false">IF(L172=0,0,L172-Z172)</f>
        <v>4105.7</v>
      </c>
      <c r="AQ172" s="83" t="n">
        <f aca="false">IF(AP172=0,"",RANK(AP172,AP$4:AP$503,0))</f>
        <v>158</v>
      </c>
      <c r="AR172" s="84" t="s">
        <v>20</v>
      </c>
      <c r="AS172" s="141"/>
      <c r="AT172" s="141"/>
      <c r="AU172" s="141"/>
      <c r="AV172" s="141"/>
      <c r="AW172" s="141"/>
      <c r="AX172" s="141"/>
      <c r="AY172" s="142"/>
      <c r="AZ172" s="142"/>
      <c r="BA172" s="56" t="s">
        <v>20</v>
      </c>
      <c r="BB172" s="91" t="n">
        <f aca="false">SUM(L$4:L$503)/COUNTA(A$4:A$503)</f>
        <v>9494.39992</v>
      </c>
      <c r="BC172" s="92" t="n">
        <f aca="false">SUM(M$4:M$503)/COUNTA(A$4:A$503)</f>
        <v>667.20008</v>
      </c>
      <c r="BD172" s="92" t="n">
        <f aca="false">SUM(N$4:N$503)/COUNTA(A$4:A$503)</f>
        <v>697.19996</v>
      </c>
      <c r="BE172" s="92" t="n">
        <f aca="false">SUM(O$4:O$503)/COUNTA(A$4:A$503)</f>
        <v>713.9999</v>
      </c>
      <c r="BF172" s="92" t="n">
        <f aca="false">SUM(P$4:P$503)/COUNTA(A$4:A$503)</f>
        <v>732.59984</v>
      </c>
      <c r="BG172" s="92" t="n">
        <f aca="false">SUM(Q$4:Q$503)/COUNTA(A$4:A$503)</f>
        <v>756.59992</v>
      </c>
      <c r="BH172" s="92" t="n">
        <f aca="false">SUM(R$4:R$503)/COUNTA(A$4:A$503)</f>
        <v>776.40004</v>
      </c>
      <c r="BI172" s="92" t="n">
        <f aca="false">SUM(S$4:S$503)/COUNTA(A$4:A$503)</f>
        <v>806.40012</v>
      </c>
      <c r="BJ172" s="92" t="n">
        <f aca="false">SUM(T$4:T$503)/COUNTA(A$4:A$503)</f>
        <v>826.1999</v>
      </c>
      <c r="BK172" s="92" t="n">
        <f aca="false">SUM(U$4:U$503)/COUNTA(A$4:A$503)</f>
        <v>844.8002</v>
      </c>
      <c r="BL172" s="92" t="n">
        <f aca="false">SUM(V$4:V$503)/COUNTA(A$4:A$503)</f>
        <v>865.7998</v>
      </c>
      <c r="BM172" s="92" t="n">
        <f aca="false">SUM(W$4:W$503)/COUNTA(A$4:A$503)</f>
        <v>888.59982</v>
      </c>
      <c r="BN172" s="93" t="n">
        <f aca="false">SUM(X$4:X$503)/COUNTA(A$4:A$503)</f>
        <v>918.60034</v>
      </c>
      <c r="BO172" s="94" t="s">
        <v>20</v>
      </c>
      <c r="BP172" s="91" t="n">
        <f aca="false">IF(Z172&gt;=BB172,0,IFERROR(BB172+(SUMPRODUCT((Z$4:Z$503&gt;=BB$4:BB$503)*(Z$4:Z$503-BB$4:BB$503))/MAX(1,COUNTIF(Z$4:Z$503,"&lt;"&amp;BB172+0.01))),BB172))</f>
        <v>10695.5432177778</v>
      </c>
      <c r="BQ172" s="92" t="n">
        <f aca="false">IF(AA172&gt;=BC172,0,IFERROR(BC172+SUMPRODUCT((AA$4:AA$503&gt;=BC$4:BC$503)*(AA$4:AA$503-BC$4:BC$503))/MAX(1,COUNTIF(AA$4:AA$503,"&lt;"&amp;BC172+0.01)),BC172))</f>
        <v>2238.46589176471</v>
      </c>
      <c r="BR172" s="92" t="n">
        <f aca="false">IF(AB172&gt;=BD172,0,IFERROR(BD172+SUMPRODUCT((AB$4:AB$503&gt;=BD$4:BD$503)*(AB$4:AB$503-BD$4:BD$503))/MAX(1,COUNTIF(AB$4:AB$503,"&lt;"&amp;BD172+0.01)),BD172))</f>
        <v>3335.2938</v>
      </c>
      <c r="BS172" s="92" t="n">
        <f aca="false">IF(AC172&gt;=BE172,0,IFERROR(BE172+SUMPRODUCT((AC$4:AC$503&gt;=BE$4:BE$503)*(AC$4:AC$503-BE$4:BE$503))/MAX(1,COUNTIF(AC$4:AC$503,"&lt;"&amp;BE172+0.01)),BE172))</f>
        <v>6188.73352</v>
      </c>
      <c r="BT172" s="92" t="n">
        <f aca="false">IF(AD172&gt;=BF172,0,IFERROR(BF172+SUMPRODUCT((AD$4:AD$503&gt;=BF$4:BF$503)*(AD$4:AD$503-BF$4:BF$503))/MAX(1,COUNTIF(AD$4:AD$503,"&lt;"&amp;BF172+0.01)),BF172))</f>
        <v>11354.35411</v>
      </c>
      <c r="BU172" s="92" t="n">
        <f aca="false">IF(AE172&gt;=BG172,0,IFERROR(BG172+SUMPRODUCT((AE$4:AE$503&gt;=BG$4:BG$503)*(AE$4:AE$503-BG$4:BG$503))/MAX(1,COUNTIF(AE$4:AE$503,"&lt;"&amp;BG172+0.01)),BG172))</f>
        <v>7704.85920380952</v>
      </c>
      <c r="BV172" s="92" t="n">
        <f aca="false">IF(AF172&gt;=BH172,0,IFERROR(BH172+SUMPRODUCT((AF$4:AF$503&gt;=BH$4:BH$503)*(AF$4:AF$503-BH$4:BH$503))/MAX(1,COUNTIF(AF$4:AF$503,"&lt;"&amp;BH172+0.01)),BH172))</f>
        <v>9942.6503831579</v>
      </c>
      <c r="BW172" s="92" t="n">
        <f aca="false">IF(AG172&gt;=BI172,0,IFERROR(BI172+SUMPRODUCT((AG$4:AG$503&gt;=BI$4:BI$503)*(AG$4:AG$503-BI$4:BI$503))/MAX(1,COUNTIF(AG$4:AG$503,"&lt;"&amp;BI172+0.01)),BI172))</f>
        <v>9142.15870461538</v>
      </c>
      <c r="BX172" s="92" t="n">
        <f aca="false">IF(AH172&gt;=BJ172,0,IFERROR(BJ172+SUMPRODUCT((AH$4:AH$503&gt;=BJ$4:BJ$503)*(AH$4:AH$503-BJ$4:BJ$503))/MAX(1,COUNTIF(AH$4:AH$503,"&lt;"&amp;BJ172+0.01)),BJ172))</f>
        <v>0</v>
      </c>
      <c r="BY172" s="92" t="n">
        <f aca="false">IF(AI172&gt;=BK172,0,IFERROR(BK172+SUMPRODUCT((AI$4:AI$503&gt;=BK$4:BK$503)*(AI$4:AI$503-BK$4:BK$503))/MAX(1,COUNTIF(AI$4:AI$503,"&lt;"&amp;BK172+0.01)),BK172))</f>
        <v>7878.25652380952</v>
      </c>
      <c r="BZ172" s="92" t="n">
        <f aca="false">IF(AJ172&gt;=BL172,0,IFERROR(BL172+SUMPRODUCT((AJ$4:AJ$503&gt;=BL$4:BL$503)*(AJ$4:AJ$503-BL$4:BL$503))/MAX(1,COUNTIF(AJ$4:AJ$503,"&lt;"&amp;BL172+0.01)),BL172))</f>
        <v>6710.03292307692</v>
      </c>
      <c r="CA172" s="92" t="n">
        <f aca="false">IF(AK172&gt;=BM172,0,IFERROR(BM172+SUMPRODUCT((AK$4:AK$503&gt;=BM$4:BM$503)*(AK$4:AK$503-BM$4:BM$503))/MAX(1,COUNTIF(AK$4:AK$503,"&lt;"&amp;BM172+0.01)),BM172))</f>
        <v>7314.89836842105</v>
      </c>
      <c r="CB172" s="93" t="n">
        <f aca="false">IF(AL172&gt;=BN172,0,IFERROR(BN172+SUMPRODUCT((AL$4:AL$503&gt;=BN$4:BN$503)*(AL$4:AL$503-BN$4:BN$503))/MAX(1,COUNTIF(AL$4:AL$503,"&lt;"&amp;BN172+0.01)),BN172))</f>
        <v>3597.2614925</v>
      </c>
      <c r="CC172" s="95" t="str">
        <f aca="false">IF(AO172="🟢","VERDE",IF(AO172="🟡","AMARELO",IF(AO172="🟠","VERMELHO",IF(AO172="🔴","VERMELHO","ROXO"))))</f>
        <v>VERMELHO</v>
      </c>
      <c r="CD172" s="96" t="s">
        <v>103</v>
      </c>
      <c r="CE172" s="96" t="s">
        <v>104</v>
      </c>
    </row>
    <row r="173" customFormat="false" ht="14.25" hidden="false" customHeight="true" outlineLevel="0" collapsed="false">
      <c r="A173" s="65" t="s">
        <v>480</v>
      </c>
      <c r="B173" s="66" t="s">
        <v>481</v>
      </c>
      <c r="C173" s="66" t="s">
        <v>115</v>
      </c>
      <c r="D173" s="68" t="s">
        <v>184</v>
      </c>
      <c r="E173" s="69" t="s">
        <v>196</v>
      </c>
      <c r="F173" s="70" t="n">
        <f aca="false">IFERROR(VLOOKUP(C173,$AS$3:$AT$10,2,FALSE()),IFERROR(VLOOKUP(C173,$AS$15:$AT$22,2,FALSE()),""))</f>
        <v>25</v>
      </c>
      <c r="G173" s="71" t="n">
        <f aca="false">IFERROR(VLOOKUP(C173,$AS$3:$AX$10,6,FALSE()),IFERROR(VLOOKUP(C173,$AS$15:$AX$22,6,FALSE()),""))</f>
        <v>0.536751750851081</v>
      </c>
      <c r="H173" s="72" t="str">
        <f aca="false">IFERROR(VLOOKUP(C173,$AS$3:$AY$10,7,FALSE()),IFERROR(VLOOKUP(C173,$AS$15:$AY$22,7,FALSE()),""))</f>
        <v>🟡 AMARELO</v>
      </c>
      <c r="I173" s="72" t="str">
        <f aca="false">IFERROR(VLOOKUP(C173,$AS$3:$AZ$10,8,FALSE()),IFERROR(VLOOKUP(C173,$AS$15:$AZ$22,8,FALSE()),""))</f>
        <v>Sell Out</v>
      </c>
      <c r="J173" s="73"/>
      <c r="K173" s="69" t="s">
        <v>107</v>
      </c>
      <c r="L173" s="74" t="n">
        <v>7007.69</v>
      </c>
      <c r="M173" s="75" t="n">
        <v>492.45</v>
      </c>
      <c r="N173" s="75" t="n">
        <v>514.59</v>
      </c>
      <c r="O173" s="75" t="n">
        <v>526.99</v>
      </c>
      <c r="P173" s="75" t="n">
        <v>540.72</v>
      </c>
      <c r="Q173" s="75" t="n">
        <v>558.44</v>
      </c>
      <c r="R173" s="75" t="n">
        <v>573.05</v>
      </c>
      <c r="S173" s="75" t="n">
        <v>595.19</v>
      </c>
      <c r="T173" s="75" t="n">
        <v>609.81</v>
      </c>
      <c r="U173" s="75" t="n">
        <v>623.54</v>
      </c>
      <c r="V173" s="75" t="n">
        <v>639.04</v>
      </c>
      <c r="W173" s="75" t="n">
        <v>655.86</v>
      </c>
      <c r="X173" s="76" t="n">
        <v>678.01</v>
      </c>
      <c r="Y173" s="77" t="s">
        <v>20</v>
      </c>
      <c r="Z173" s="78" t="n">
        <f aca="false">SUM(AA173:AL173)</f>
        <v>5970.08</v>
      </c>
      <c r="AA173" s="75"/>
      <c r="AB173" s="75"/>
      <c r="AC173" s="75"/>
      <c r="AD173" s="75"/>
      <c r="AE173" s="75"/>
      <c r="AF173" s="75"/>
      <c r="AG173" s="75"/>
      <c r="AH173" s="75" t="n">
        <v>2969.26</v>
      </c>
      <c r="AI173" s="79" t="n">
        <v>3000.82</v>
      </c>
      <c r="AJ173" s="75"/>
      <c r="AK173" s="75"/>
      <c r="AL173" s="76"/>
      <c r="AM173" s="56" t="s">
        <v>20</v>
      </c>
      <c r="AN173" s="80" t="n">
        <f aca="false">IF(L173=0,0,Z173/L173)</f>
        <v>0.851932662546431</v>
      </c>
      <c r="AO173" s="81" t="str">
        <f aca="false">IF(AN173="","",IF(AN173&gt;=0.9,"🟢",IF(AN173&gt;=0.7,"🟡",IF(AN173&gt;=0.5,"🟠","🔴"))))</f>
        <v>🟡</v>
      </c>
      <c r="AP173" s="82" t="n">
        <f aca="false">IF(L173=0,0,L173-Z173)</f>
        <v>1037.61</v>
      </c>
      <c r="AQ173" s="83" t="n">
        <f aca="false">IF(AP173=0,"",RANK(AP173,AP$4:AP$503,0))</f>
        <v>377</v>
      </c>
      <c r="AR173" s="84" t="s">
        <v>20</v>
      </c>
      <c r="AS173" s="141"/>
      <c r="AT173" s="141"/>
      <c r="AU173" s="141"/>
      <c r="AV173" s="141"/>
      <c r="AW173" s="141"/>
      <c r="AX173" s="141"/>
      <c r="AY173" s="142"/>
      <c r="AZ173" s="142"/>
      <c r="BA173" s="56" t="s">
        <v>20</v>
      </c>
      <c r="BB173" s="91" t="n">
        <f aca="false">SUM(L$4:L$503)/COUNTA(A$4:A$503)</f>
        <v>9494.39992</v>
      </c>
      <c r="BC173" s="92" t="n">
        <f aca="false">SUM(M$4:M$503)/COUNTA(A$4:A$503)</f>
        <v>667.20008</v>
      </c>
      <c r="BD173" s="92" t="n">
        <f aca="false">SUM(N$4:N$503)/COUNTA(A$4:A$503)</f>
        <v>697.19996</v>
      </c>
      <c r="BE173" s="92" t="n">
        <f aca="false">SUM(O$4:O$503)/COUNTA(A$4:A$503)</f>
        <v>713.9999</v>
      </c>
      <c r="BF173" s="92" t="n">
        <f aca="false">SUM(P$4:P$503)/COUNTA(A$4:A$503)</f>
        <v>732.59984</v>
      </c>
      <c r="BG173" s="92" t="n">
        <f aca="false">SUM(Q$4:Q$503)/COUNTA(A$4:A$503)</f>
        <v>756.59992</v>
      </c>
      <c r="BH173" s="92" t="n">
        <f aca="false">SUM(R$4:R$503)/COUNTA(A$4:A$503)</f>
        <v>776.40004</v>
      </c>
      <c r="BI173" s="92" t="n">
        <f aca="false">SUM(S$4:S$503)/COUNTA(A$4:A$503)</f>
        <v>806.40012</v>
      </c>
      <c r="BJ173" s="92" t="n">
        <f aca="false">SUM(T$4:T$503)/COUNTA(A$4:A$503)</f>
        <v>826.1999</v>
      </c>
      <c r="BK173" s="92" t="n">
        <f aca="false">SUM(U$4:U$503)/COUNTA(A$4:A$503)</f>
        <v>844.8002</v>
      </c>
      <c r="BL173" s="92" t="n">
        <f aca="false">SUM(V$4:V$503)/COUNTA(A$4:A$503)</f>
        <v>865.7998</v>
      </c>
      <c r="BM173" s="92" t="n">
        <f aca="false">SUM(W$4:W$503)/COUNTA(A$4:A$503)</f>
        <v>888.59982</v>
      </c>
      <c r="BN173" s="93" t="n">
        <f aca="false">SUM(X$4:X$503)/COUNTA(A$4:A$503)</f>
        <v>918.60034</v>
      </c>
      <c r="BO173" s="94" t="s">
        <v>20</v>
      </c>
      <c r="BP173" s="91" t="n">
        <f aca="false">IF(Z173&gt;=BB173,0,IFERROR(BB173+(SUMPRODUCT((Z$4:Z$503&gt;=BB$4:BB$503)*(Z$4:Z$503-BB$4:BB$503))/MAX(1,COUNTIF(Z$4:Z$503,"&lt;"&amp;BB173+0.01))),BB173))</f>
        <v>10695.5432177778</v>
      </c>
      <c r="BQ173" s="92" t="n">
        <f aca="false">IF(AA173&gt;=BC173,0,IFERROR(BC173+SUMPRODUCT((AA$4:AA$503&gt;=BC$4:BC$503)*(AA$4:AA$503-BC$4:BC$503))/MAX(1,COUNTIF(AA$4:AA$503,"&lt;"&amp;BC173+0.01)),BC173))</f>
        <v>2238.46589176471</v>
      </c>
      <c r="BR173" s="92" t="n">
        <f aca="false">IF(AB173&gt;=BD173,0,IFERROR(BD173+SUMPRODUCT((AB$4:AB$503&gt;=BD$4:BD$503)*(AB$4:AB$503-BD$4:BD$503))/MAX(1,COUNTIF(AB$4:AB$503,"&lt;"&amp;BD173+0.01)),BD173))</f>
        <v>3335.2938</v>
      </c>
      <c r="BS173" s="92" t="n">
        <f aca="false">IF(AC173&gt;=BE173,0,IFERROR(BE173+SUMPRODUCT((AC$4:AC$503&gt;=BE$4:BE$503)*(AC$4:AC$503-BE$4:BE$503))/MAX(1,COUNTIF(AC$4:AC$503,"&lt;"&amp;BE173+0.01)),BE173))</f>
        <v>6188.73352</v>
      </c>
      <c r="BT173" s="92" t="n">
        <f aca="false">IF(AD173&gt;=BF173,0,IFERROR(BF173+SUMPRODUCT((AD$4:AD$503&gt;=BF$4:BF$503)*(AD$4:AD$503-BF$4:BF$503))/MAX(1,COUNTIF(AD$4:AD$503,"&lt;"&amp;BF173+0.01)),BF173))</f>
        <v>11354.35411</v>
      </c>
      <c r="BU173" s="92" t="n">
        <f aca="false">IF(AE173&gt;=BG173,0,IFERROR(BG173+SUMPRODUCT((AE$4:AE$503&gt;=BG$4:BG$503)*(AE$4:AE$503-BG$4:BG$503))/MAX(1,COUNTIF(AE$4:AE$503,"&lt;"&amp;BG173+0.01)),BG173))</f>
        <v>7704.85920380952</v>
      </c>
      <c r="BV173" s="92" t="n">
        <f aca="false">IF(AF173&gt;=BH173,0,IFERROR(BH173+SUMPRODUCT((AF$4:AF$503&gt;=BH$4:BH$503)*(AF$4:AF$503-BH$4:BH$503))/MAX(1,COUNTIF(AF$4:AF$503,"&lt;"&amp;BH173+0.01)),BH173))</f>
        <v>9942.6503831579</v>
      </c>
      <c r="BW173" s="92" t="n">
        <f aca="false">IF(AG173&gt;=BI173,0,IFERROR(BI173+SUMPRODUCT((AG$4:AG$503&gt;=BI$4:BI$503)*(AG$4:AG$503-BI$4:BI$503))/MAX(1,COUNTIF(AG$4:AG$503,"&lt;"&amp;BI173+0.01)),BI173))</f>
        <v>9142.15870461538</v>
      </c>
      <c r="BX173" s="92" t="n">
        <f aca="false">IF(AH173&gt;=BJ173,0,IFERROR(BJ173+SUMPRODUCT((AH$4:AH$503&gt;=BJ$4:BJ$503)*(AH$4:AH$503-BJ$4:BJ$503))/MAX(1,COUNTIF(AH$4:AH$503,"&lt;"&amp;BJ173+0.01)),BJ173))</f>
        <v>0</v>
      </c>
      <c r="BY173" s="92" t="n">
        <f aca="false">IF(AI173&gt;=BK173,0,IFERROR(BK173+SUMPRODUCT((AI$4:AI$503&gt;=BK$4:BK$503)*(AI$4:AI$503-BK$4:BK$503))/MAX(1,COUNTIF(AI$4:AI$503,"&lt;"&amp;BK173+0.01)),BK173))</f>
        <v>0</v>
      </c>
      <c r="BZ173" s="92" t="n">
        <f aca="false">IF(AJ173&gt;=BL173,0,IFERROR(BL173+SUMPRODUCT((AJ$4:AJ$503&gt;=BL$4:BL$503)*(AJ$4:AJ$503-BL$4:BL$503))/MAX(1,COUNTIF(AJ$4:AJ$503,"&lt;"&amp;BL173+0.01)),BL173))</f>
        <v>6710.03292307692</v>
      </c>
      <c r="CA173" s="92" t="n">
        <f aca="false">IF(AK173&gt;=BM173,0,IFERROR(BM173+SUMPRODUCT((AK$4:AK$503&gt;=BM$4:BM$503)*(AK$4:AK$503-BM$4:BM$503))/MAX(1,COUNTIF(AK$4:AK$503,"&lt;"&amp;BM173+0.01)),BM173))</f>
        <v>7314.89836842105</v>
      </c>
      <c r="CB173" s="93" t="n">
        <f aca="false">IF(AL173&gt;=BN173,0,IFERROR(BN173+SUMPRODUCT((AL$4:AL$503&gt;=BN$4:BN$503)*(AL$4:AL$503-BN$4:BN$503))/MAX(1,COUNTIF(AL$4:AL$503,"&lt;"&amp;BN173+0.01)),BN173))</f>
        <v>3597.2614925</v>
      </c>
      <c r="CC173" s="95" t="str">
        <f aca="false">IF(AO173="🟢","VERDE",IF(AO173="🟡","AMARELO",IF(AO173="🟠","VERMELHO",IF(AO173="🔴","VERMELHO","ROXO"))))</f>
        <v>AMARELO</v>
      </c>
      <c r="CD173" s="96" t="s">
        <v>176</v>
      </c>
      <c r="CE173" s="96" t="s">
        <v>115</v>
      </c>
    </row>
    <row r="174" customFormat="false" ht="14.25" hidden="false" customHeight="true" outlineLevel="0" collapsed="false">
      <c r="A174" s="65" t="s">
        <v>482</v>
      </c>
      <c r="B174" s="66" t="s">
        <v>483</v>
      </c>
      <c r="C174" s="66" t="s">
        <v>66</v>
      </c>
      <c r="D174" s="68" t="s">
        <v>175</v>
      </c>
      <c r="E174" s="69" t="s">
        <v>139</v>
      </c>
      <c r="F174" s="70" t="n">
        <f aca="false">IFERROR(VLOOKUP(C174,$AS$3:$AT$10,2,FALSE()),IFERROR(VLOOKUP(C174,$AS$15:$AT$22,2,FALSE()),""))</f>
        <v>44</v>
      </c>
      <c r="G174" s="71" t="n">
        <f aca="false">IFERROR(VLOOKUP(C174,$AS$3:$AX$10,6,FALSE()),IFERROR(VLOOKUP(C174,$AS$15:$AX$22,6,FALSE()),""))</f>
        <v>0.496839506257363</v>
      </c>
      <c r="H174" s="72" t="str">
        <f aca="false">IFERROR(VLOOKUP(C174,$AS$3:$AY$10,7,FALSE()),IFERROR(VLOOKUP(C174,$AS$15:$AY$22,7,FALSE()),""))</f>
        <v>🟡 AMARELO</v>
      </c>
      <c r="I174" s="72" t="str">
        <f aca="false">IFERROR(VLOOKUP(C174,$AS$3:$AZ$10,8,FALSE()),IFERROR(VLOOKUP(C174,$AS$15:$AZ$22,8,FALSE()),""))</f>
        <v>Sell Out</v>
      </c>
      <c r="J174" s="73"/>
      <c r="K174" s="69" t="s">
        <v>107</v>
      </c>
      <c r="L174" s="74" t="n">
        <v>6982.15</v>
      </c>
      <c r="M174" s="75" t="n">
        <v>490.66</v>
      </c>
      <c r="N174" s="75" t="n">
        <v>512.72</v>
      </c>
      <c r="O174" s="75" t="n">
        <v>525.07</v>
      </c>
      <c r="P174" s="75" t="n">
        <v>538.75</v>
      </c>
      <c r="Q174" s="75" t="n">
        <v>556.4</v>
      </c>
      <c r="R174" s="75" t="n">
        <v>570.96</v>
      </c>
      <c r="S174" s="75" t="n">
        <v>593.02</v>
      </c>
      <c r="T174" s="75" t="n">
        <v>607.59</v>
      </c>
      <c r="U174" s="75" t="n">
        <v>621.26</v>
      </c>
      <c r="V174" s="75" t="n">
        <v>636.71</v>
      </c>
      <c r="W174" s="75" t="n">
        <v>653.47</v>
      </c>
      <c r="X174" s="76" t="n">
        <v>675.54</v>
      </c>
      <c r="Y174" s="77" t="s">
        <v>20</v>
      </c>
      <c r="Z174" s="78" t="n">
        <f aca="false">SUM(AA174:AL174)</f>
        <v>2807.88</v>
      </c>
      <c r="AA174" s="75"/>
      <c r="AB174" s="75"/>
      <c r="AC174" s="75"/>
      <c r="AD174" s="75"/>
      <c r="AE174" s="75"/>
      <c r="AF174" s="79" t="n">
        <v>1196.44</v>
      </c>
      <c r="AG174" s="79" t="n">
        <v>1611.44</v>
      </c>
      <c r="AH174" s="75"/>
      <c r="AI174" s="75"/>
      <c r="AJ174" s="75"/>
      <c r="AK174" s="75"/>
      <c r="AL174" s="76"/>
      <c r="AM174" s="56" t="s">
        <v>20</v>
      </c>
      <c r="AN174" s="80" t="n">
        <f aca="false">IF(L174=0,0,Z174/L174)</f>
        <v>0.40215119984532</v>
      </c>
      <c r="AO174" s="81" t="str">
        <f aca="false">IF(AN174="","",IF(AN174&gt;=0.9,"🟢",IF(AN174&gt;=0.7,"🟡",IF(AN174&gt;=0.5,"🟠","🔴"))))</f>
        <v>🔴</v>
      </c>
      <c r="AP174" s="82" t="n">
        <f aca="false">IF(L174=0,0,L174-Z174)</f>
        <v>4174.27</v>
      </c>
      <c r="AQ174" s="83" t="n">
        <f aca="false">IF(AP174=0,"",RANK(AP174,AP$4:AP$503,0))</f>
        <v>156</v>
      </c>
      <c r="AR174" s="84" t="s">
        <v>20</v>
      </c>
      <c r="AS174" s="141"/>
      <c r="AT174" s="141"/>
      <c r="AU174" s="141"/>
      <c r="AV174" s="141"/>
      <c r="AW174" s="141"/>
      <c r="AX174" s="141"/>
      <c r="AY174" s="142"/>
      <c r="AZ174" s="142"/>
      <c r="BA174" s="56" t="s">
        <v>20</v>
      </c>
      <c r="BB174" s="91" t="n">
        <f aca="false">SUM(L$4:L$503)/COUNTA(A$4:A$503)</f>
        <v>9494.39992</v>
      </c>
      <c r="BC174" s="92" t="n">
        <f aca="false">SUM(M$4:M$503)/COUNTA(A$4:A$503)</f>
        <v>667.20008</v>
      </c>
      <c r="BD174" s="92" t="n">
        <f aca="false">SUM(N$4:N$503)/COUNTA(A$4:A$503)</f>
        <v>697.19996</v>
      </c>
      <c r="BE174" s="92" t="n">
        <f aca="false">SUM(O$4:O$503)/COUNTA(A$4:A$503)</f>
        <v>713.9999</v>
      </c>
      <c r="BF174" s="92" t="n">
        <f aca="false">SUM(P$4:P$503)/COUNTA(A$4:A$503)</f>
        <v>732.59984</v>
      </c>
      <c r="BG174" s="92" t="n">
        <f aca="false">SUM(Q$4:Q$503)/COUNTA(A$4:A$503)</f>
        <v>756.59992</v>
      </c>
      <c r="BH174" s="92" t="n">
        <f aca="false">SUM(R$4:R$503)/COUNTA(A$4:A$503)</f>
        <v>776.40004</v>
      </c>
      <c r="BI174" s="92" t="n">
        <f aca="false">SUM(S$4:S$503)/COUNTA(A$4:A$503)</f>
        <v>806.40012</v>
      </c>
      <c r="BJ174" s="92" t="n">
        <f aca="false">SUM(T$4:T$503)/COUNTA(A$4:A$503)</f>
        <v>826.1999</v>
      </c>
      <c r="BK174" s="92" t="n">
        <f aca="false">SUM(U$4:U$503)/COUNTA(A$4:A$503)</f>
        <v>844.8002</v>
      </c>
      <c r="BL174" s="92" t="n">
        <f aca="false">SUM(V$4:V$503)/COUNTA(A$4:A$503)</f>
        <v>865.7998</v>
      </c>
      <c r="BM174" s="92" t="n">
        <f aca="false">SUM(W$4:W$503)/COUNTA(A$4:A$503)</f>
        <v>888.59982</v>
      </c>
      <c r="BN174" s="93" t="n">
        <f aca="false">SUM(X$4:X$503)/COUNTA(A$4:A$503)</f>
        <v>918.60034</v>
      </c>
      <c r="BO174" s="94" t="s">
        <v>20</v>
      </c>
      <c r="BP174" s="91" t="n">
        <f aca="false">IF(Z174&gt;=BB174,0,IFERROR(BB174+(SUMPRODUCT((Z$4:Z$503&gt;=BB$4:BB$503)*(Z$4:Z$503-BB$4:BB$503))/MAX(1,COUNTIF(Z$4:Z$503,"&lt;"&amp;BB174+0.01))),BB174))</f>
        <v>10695.5432177778</v>
      </c>
      <c r="BQ174" s="92" t="n">
        <f aca="false">IF(AA174&gt;=BC174,0,IFERROR(BC174+SUMPRODUCT((AA$4:AA$503&gt;=BC$4:BC$503)*(AA$4:AA$503-BC$4:BC$503))/MAX(1,COUNTIF(AA$4:AA$503,"&lt;"&amp;BC174+0.01)),BC174))</f>
        <v>2238.46589176471</v>
      </c>
      <c r="BR174" s="92" t="n">
        <f aca="false">IF(AB174&gt;=BD174,0,IFERROR(BD174+SUMPRODUCT((AB$4:AB$503&gt;=BD$4:BD$503)*(AB$4:AB$503-BD$4:BD$503))/MAX(1,COUNTIF(AB$4:AB$503,"&lt;"&amp;BD174+0.01)),BD174))</f>
        <v>3335.2938</v>
      </c>
      <c r="BS174" s="92" t="n">
        <f aca="false">IF(AC174&gt;=BE174,0,IFERROR(BE174+SUMPRODUCT((AC$4:AC$503&gt;=BE$4:BE$503)*(AC$4:AC$503-BE$4:BE$503))/MAX(1,COUNTIF(AC$4:AC$503,"&lt;"&amp;BE174+0.01)),BE174))</f>
        <v>6188.73352</v>
      </c>
      <c r="BT174" s="92" t="n">
        <f aca="false">IF(AD174&gt;=BF174,0,IFERROR(BF174+SUMPRODUCT((AD$4:AD$503&gt;=BF$4:BF$503)*(AD$4:AD$503-BF$4:BF$503))/MAX(1,COUNTIF(AD$4:AD$503,"&lt;"&amp;BF174+0.01)),BF174))</f>
        <v>11354.35411</v>
      </c>
      <c r="BU174" s="92" t="n">
        <f aca="false">IF(AE174&gt;=BG174,0,IFERROR(BG174+SUMPRODUCT((AE$4:AE$503&gt;=BG$4:BG$503)*(AE$4:AE$503-BG$4:BG$503))/MAX(1,COUNTIF(AE$4:AE$503,"&lt;"&amp;BG174+0.01)),BG174))</f>
        <v>7704.85920380952</v>
      </c>
      <c r="BV174" s="92" t="n">
        <f aca="false">IF(AF174&gt;=BH174,0,IFERROR(BH174+SUMPRODUCT((AF$4:AF$503&gt;=BH$4:BH$503)*(AF$4:AF$503-BH$4:BH$503))/MAX(1,COUNTIF(AF$4:AF$503,"&lt;"&amp;BH174+0.01)),BH174))</f>
        <v>0</v>
      </c>
      <c r="BW174" s="92" t="n">
        <f aca="false">IF(AG174&gt;=BI174,0,IFERROR(BI174+SUMPRODUCT((AG$4:AG$503&gt;=BI$4:BI$503)*(AG$4:AG$503-BI$4:BI$503))/MAX(1,COUNTIF(AG$4:AG$503,"&lt;"&amp;BI174+0.01)),BI174))</f>
        <v>0</v>
      </c>
      <c r="BX174" s="92" t="n">
        <f aca="false">IF(AH174&gt;=BJ174,0,IFERROR(BJ174+SUMPRODUCT((AH$4:AH$503&gt;=BJ$4:BJ$503)*(AH$4:AH$503-BJ$4:BJ$503))/MAX(1,COUNTIF(AH$4:AH$503,"&lt;"&amp;BJ174+0.01)),BJ174))</f>
        <v>5621.50263448276</v>
      </c>
      <c r="BY174" s="92" t="n">
        <f aca="false">IF(AI174&gt;=BK174,0,IFERROR(BK174+SUMPRODUCT((AI$4:AI$503&gt;=BK$4:BK$503)*(AI$4:AI$503-BK$4:BK$503))/MAX(1,COUNTIF(AI$4:AI$503,"&lt;"&amp;BK174+0.01)),BK174))</f>
        <v>7878.25652380952</v>
      </c>
      <c r="BZ174" s="92" t="n">
        <f aca="false">IF(AJ174&gt;=BL174,0,IFERROR(BL174+SUMPRODUCT((AJ$4:AJ$503&gt;=BL$4:BL$503)*(AJ$4:AJ$503-BL$4:BL$503))/MAX(1,COUNTIF(AJ$4:AJ$503,"&lt;"&amp;BL174+0.01)),BL174))</f>
        <v>6710.03292307692</v>
      </c>
      <c r="CA174" s="92" t="n">
        <f aca="false">IF(AK174&gt;=BM174,0,IFERROR(BM174+SUMPRODUCT((AK$4:AK$503&gt;=BM$4:BM$503)*(AK$4:AK$503-BM$4:BM$503))/MAX(1,COUNTIF(AK$4:AK$503,"&lt;"&amp;BM174+0.01)),BM174))</f>
        <v>7314.89836842105</v>
      </c>
      <c r="CB174" s="93" t="n">
        <f aca="false">IF(AL174&gt;=BN174,0,IFERROR(BN174+SUMPRODUCT((AL$4:AL$503&gt;=BN$4:BN$503)*(AL$4:AL$503-BN$4:BN$503))/MAX(1,COUNTIF(AL$4:AL$503,"&lt;"&amp;BN174+0.01)),BN174))</f>
        <v>3597.2614925</v>
      </c>
      <c r="CC174" s="95" t="str">
        <f aca="false">IF(AO174="🟢","VERDE",IF(AO174="🟡","AMARELO",IF(AO174="🟠","VERMELHO",IF(AO174="🔴","VERMELHO","ROXO"))))</f>
        <v>VERMELHO</v>
      </c>
      <c r="CD174" s="96" t="s">
        <v>176</v>
      </c>
      <c r="CE174" s="96" t="s">
        <v>66</v>
      </c>
    </row>
    <row r="175" customFormat="false" ht="14.25" hidden="false" customHeight="true" outlineLevel="0" collapsed="false">
      <c r="A175" s="65" t="s">
        <v>484</v>
      </c>
      <c r="B175" s="66" t="s">
        <v>485</v>
      </c>
      <c r="C175" s="67" t="s">
        <v>158</v>
      </c>
      <c r="D175" s="68" t="s">
        <v>100</v>
      </c>
      <c r="E175" s="69" t="s">
        <v>243</v>
      </c>
      <c r="F175" s="70" t="n">
        <f aca="false">IFERROR(VLOOKUP(C175,$AS$3:$AT$10,2,FALSE()),IFERROR(VLOOKUP(C175,$AS$15:$AT$22,2,FALSE()),""))</f>
        <v>29</v>
      </c>
      <c r="G175" s="71" t="n">
        <f aca="false">IFERROR(VLOOKUP(C175,$AS$3:$AX$10,6,FALSE()),IFERROR(VLOOKUP(C175,$AS$15:$AX$22,6,FALSE()),""))</f>
        <v>0.458564072601712</v>
      </c>
      <c r="H175" s="72" t="str">
        <f aca="false">IFERROR(VLOOKUP(C175,$AS$3:$AY$10,7,FALSE()),IFERROR(VLOOKUP(C175,$AS$15:$AY$22,7,FALSE()),""))</f>
        <v>🟡 AMARELO</v>
      </c>
      <c r="I175" s="72" t="str">
        <f aca="false">IFERROR(VLOOKUP(C175,$AS$3:$AZ$10,8,FALSE()),IFERROR(VLOOKUP(C175,$AS$15:$AZ$22,8,FALSE()),""))</f>
        <v>Sell Out</v>
      </c>
      <c r="J175" s="73"/>
      <c r="K175" s="69" t="s">
        <v>158</v>
      </c>
      <c r="L175" s="74" t="n">
        <v>6974.98</v>
      </c>
      <c r="M175" s="75" t="n">
        <v>490.15</v>
      </c>
      <c r="N175" s="75" t="n">
        <v>512.19</v>
      </c>
      <c r="O175" s="75" t="n">
        <v>524.53</v>
      </c>
      <c r="P175" s="75" t="n">
        <v>538.2</v>
      </c>
      <c r="Q175" s="75" t="n">
        <v>555.83</v>
      </c>
      <c r="R175" s="75" t="n">
        <v>570.38</v>
      </c>
      <c r="S175" s="75" t="n">
        <v>592.42</v>
      </c>
      <c r="T175" s="75" t="n">
        <v>606.96</v>
      </c>
      <c r="U175" s="75" t="n">
        <v>620.63</v>
      </c>
      <c r="V175" s="75" t="n">
        <v>636.05</v>
      </c>
      <c r="W175" s="75" t="n">
        <v>652.8</v>
      </c>
      <c r="X175" s="76" t="n">
        <v>674.84</v>
      </c>
      <c r="Y175" s="77" t="s">
        <v>20</v>
      </c>
      <c r="Z175" s="78" t="n">
        <f aca="false">SUM(AA175:AL175)</f>
        <v>2965.73</v>
      </c>
      <c r="AA175" s="75"/>
      <c r="AB175" s="75"/>
      <c r="AC175" s="75"/>
      <c r="AD175" s="75"/>
      <c r="AE175" s="75"/>
      <c r="AF175" s="75"/>
      <c r="AG175" s="79" t="n">
        <v>1537.85</v>
      </c>
      <c r="AH175" s="75"/>
      <c r="AI175" s="79" t="n">
        <v>1427.88</v>
      </c>
      <c r="AJ175" s="75"/>
      <c r="AK175" s="75"/>
      <c r="AL175" s="76"/>
      <c r="AM175" s="56" t="s">
        <v>20</v>
      </c>
      <c r="AN175" s="80" t="n">
        <f aca="false">IF(L175=0,0,Z175/L175)</f>
        <v>0.425195484431497</v>
      </c>
      <c r="AO175" s="81" t="str">
        <f aca="false">IF(AN175="","",IF(AN175&gt;=0.9,"🟢",IF(AN175&gt;=0.7,"🟡",IF(AN175&gt;=0.5,"🟠","🔴"))))</f>
        <v>🔴</v>
      </c>
      <c r="AP175" s="82" t="n">
        <f aca="false">IF(L175=0,0,L175-Z175)</f>
        <v>4009.25</v>
      </c>
      <c r="AQ175" s="83" t="n">
        <f aca="false">IF(AP175=0,"",RANK(AP175,AP$4:AP$503,0))</f>
        <v>164</v>
      </c>
      <c r="AR175" s="84" t="s">
        <v>20</v>
      </c>
      <c r="AS175" s="141"/>
      <c r="AT175" s="141"/>
      <c r="AU175" s="141"/>
      <c r="AV175" s="141"/>
      <c r="AW175" s="141"/>
      <c r="AX175" s="141"/>
      <c r="AY175" s="142"/>
      <c r="AZ175" s="142"/>
      <c r="BA175" s="56" t="s">
        <v>20</v>
      </c>
      <c r="BB175" s="91" t="n">
        <f aca="false">SUM(L$4:L$503)/COUNTA(A$4:A$503)</f>
        <v>9494.39992</v>
      </c>
      <c r="BC175" s="92" t="n">
        <f aca="false">SUM(M$4:M$503)/COUNTA(A$4:A$503)</f>
        <v>667.20008</v>
      </c>
      <c r="BD175" s="92" t="n">
        <f aca="false">SUM(N$4:N$503)/COUNTA(A$4:A$503)</f>
        <v>697.19996</v>
      </c>
      <c r="BE175" s="92" t="n">
        <f aca="false">SUM(O$4:O$503)/COUNTA(A$4:A$503)</f>
        <v>713.9999</v>
      </c>
      <c r="BF175" s="92" t="n">
        <f aca="false">SUM(P$4:P$503)/COUNTA(A$4:A$503)</f>
        <v>732.59984</v>
      </c>
      <c r="BG175" s="92" t="n">
        <f aca="false">SUM(Q$4:Q$503)/COUNTA(A$4:A$503)</f>
        <v>756.59992</v>
      </c>
      <c r="BH175" s="92" t="n">
        <f aca="false">SUM(R$4:R$503)/COUNTA(A$4:A$503)</f>
        <v>776.40004</v>
      </c>
      <c r="BI175" s="92" t="n">
        <f aca="false">SUM(S$4:S$503)/COUNTA(A$4:A$503)</f>
        <v>806.40012</v>
      </c>
      <c r="BJ175" s="92" t="n">
        <f aca="false">SUM(T$4:T$503)/COUNTA(A$4:A$503)</f>
        <v>826.1999</v>
      </c>
      <c r="BK175" s="92" t="n">
        <f aca="false">SUM(U$4:U$503)/COUNTA(A$4:A$503)</f>
        <v>844.8002</v>
      </c>
      <c r="BL175" s="92" t="n">
        <f aca="false">SUM(V$4:V$503)/COUNTA(A$4:A$503)</f>
        <v>865.7998</v>
      </c>
      <c r="BM175" s="92" t="n">
        <f aca="false">SUM(W$4:W$503)/COUNTA(A$4:A$503)</f>
        <v>888.59982</v>
      </c>
      <c r="BN175" s="93" t="n">
        <f aca="false">SUM(X$4:X$503)/COUNTA(A$4:A$503)</f>
        <v>918.60034</v>
      </c>
      <c r="BO175" s="94" t="s">
        <v>20</v>
      </c>
      <c r="BP175" s="91" t="n">
        <f aca="false">IF(Z175&gt;=BB175,0,IFERROR(BB175+(SUMPRODUCT((Z$4:Z$503&gt;=BB$4:BB$503)*(Z$4:Z$503-BB$4:BB$503))/MAX(1,COUNTIF(Z$4:Z$503,"&lt;"&amp;BB175+0.01))),BB175))</f>
        <v>10695.5432177778</v>
      </c>
      <c r="BQ175" s="92" t="n">
        <f aca="false">IF(AA175&gt;=BC175,0,IFERROR(BC175+SUMPRODUCT((AA$4:AA$503&gt;=BC$4:BC$503)*(AA$4:AA$503-BC$4:BC$503))/MAX(1,COUNTIF(AA$4:AA$503,"&lt;"&amp;BC175+0.01)),BC175))</f>
        <v>2238.46589176471</v>
      </c>
      <c r="BR175" s="92" t="n">
        <f aca="false">IF(AB175&gt;=BD175,0,IFERROR(BD175+SUMPRODUCT((AB$4:AB$503&gt;=BD$4:BD$503)*(AB$4:AB$503-BD$4:BD$503))/MAX(1,COUNTIF(AB$4:AB$503,"&lt;"&amp;BD175+0.01)),BD175))</f>
        <v>3335.2938</v>
      </c>
      <c r="BS175" s="92" t="n">
        <f aca="false">IF(AC175&gt;=BE175,0,IFERROR(BE175+SUMPRODUCT((AC$4:AC$503&gt;=BE$4:BE$503)*(AC$4:AC$503-BE$4:BE$503))/MAX(1,COUNTIF(AC$4:AC$503,"&lt;"&amp;BE175+0.01)),BE175))</f>
        <v>6188.73352</v>
      </c>
      <c r="BT175" s="92" t="n">
        <f aca="false">IF(AD175&gt;=BF175,0,IFERROR(BF175+SUMPRODUCT((AD$4:AD$503&gt;=BF$4:BF$503)*(AD$4:AD$503-BF$4:BF$503))/MAX(1,COUNTIF(AD$4:AD$503,"&lt;"&amp;BF175+0.01)),BF175))</f>
        <v>11354.35411</v>
      </c>
      <c r="BU175" s="92" t="n">
        <f aca="false">IF(AE175&gt;=BG175,0,IFERROR(BG175+SUMPRODUCT((AE$4:AE$503&gt;=BG$4:BG$503)*(AE$4:AE$503-BG$4:BG$503))/MAX(1,COUNTIF(AE$4:AE$503,"&lt;"&amp;BG175+0.01)),BG175))</f>
        <v>7704.85920380952</v>
      </c>
      <c r="BV175" s="92" t="n">
        <f aca="false">IF(AF175&gt;=BH175,0,IFERROR(BH175+SUMPRODUCT((AF$4:AF$503&gt;=BH$4:BH$503)*(AF$4:AF$503-BH$4:BH$503))/MAX(1,COUNTIF(AF$4:AF$503,"&lt;"&amp;BH175+0.01)),BH175))</f>
        <v>9942.6503831579</v>
      </c>
      <c r="BW175" s="92" t="n">
        <f aca="false">IF(AG175&gt;=BI175,0,IFERROR(BI175+SUMPRODUCT((AG$4:AG$503&gt;=BI$4:BI$503)*(AG$4:AG$503-BI$4:BI$503))/MAX(1,COUNTIF(AG$4:AG$503,"&lt;"&amp;BI175+0.01)),BI175))</f>
        <v>0</v>
      </c>
      <c r="BX175" s="92" t="n">
        <f aca="false">IF(AH175&gt;=BJ175,0,IFERROR(BJ175+SUMPRODUCT((AH$4:AH$503&gt;=BJ$4:BJ$503)*(AH$4:AH$503-BJ$4:BJ$503))/MAX(1,COUNTIF(AH$4:AH$503,"&lt;"&amp;BJ175+0.01)),BJ175))</f>
        <v>5621.50263448276</v>
      </c>
      <c r="BY175" s="92" t="n">
        <f aca="false">IF(AI175&gt;=BK175,0,IFERROR(BK175+SUMPRODUCT((AI$4:AI$503&gt;=BK$4:BK$503)*(AI$4:AI$503-BK$4:BK$503))/MAX(1,COUNTIF(AI$4:AI$503,"&lt;"&amp;BK175+0.01)),BK175))</f>
        <v>0</v>
      </c>
      <c r="BZ175" s="92" t="n">
        <f aca="false">IF(AJ175&gt;=BL175,0,IFERROR(BL175+SUMPRODUCT((AJ$4:AJ$503&gt;=BL$4:BL$503)*(AJ$4:AJ$503-BL$4:BL$503))/MAX(1,COUNTIF(AJ$4:AJ$503,"&lt;"&amp;BL175+0.01)),BL175))</f>
        <v>6710.03292307692</v>
      </c>
      <c r="CA175" s="92" t="n">
        <f aca="false">IF(AK175&gt;=BM175,0,IFERROR(BM175+SUMPRODUCT((AK$4:AK$503&gt;=BM$4:BM$503)*(AK$4:AK$503-BM$4:BM$503))/MAX(1,COUNTIF(AK$4:AK$503,"&lt;"&amp;BM175+0.01)),BM175))</f>
        <v>7314.89836842105</v>
      </c>
      <c r="CB175" s="93" t="n">
        <f aca="false">IF(AL175&gt;=BN175,0,IFERROR(BN175+SUMPRODUCT((AL$4:AL$503&gt;=BN$4:BN$503)*(AL$4:AL$503-BN$4:BN$503))/MAX(1,COUNTIF(AL$4:AL$503,"&lt;"&amp;BN175+0.01)),BN175))</f>
        <v>3597.2614925</v>
      </c>
      <c r="CC175" s="95" t="str">
        <f aca="false">IF(AO175="🟢","VERDE",IF(AO175="🟡","AMARELO",IF(AO175="🟠","VERMELHO",IF(AO175="🔴","VERMELHO","ROXO"))))</f>
        <v>VERMELHO</v>
      </c>
      <c r="CD175" s="96" t="s">
        <v>103</v>
      </c>
      <c r="CE175" s="96" t="s">
        <v>104</v>
      </c>
    </row>
    <row r="176" customFormat="false" ht="14.25" hidden="false" customHeight="true" outlineLevel="0" collapsed="false">
      <c r="A176" s="65" t="s">
        <v>486</v>
      </c>
      <c r="B176" s="66" t="s">
        <v>487</v>
      </c>
      <c r="C176" s="67" t="s">
        <v>113</v>
      </c>
      <c r="D176" s="68" t="s">
        <v>100</v>
      </c>
      <c r="E176" s="69" t="s">
        <v>260</v>
      </c>
      <c r="F176" s="70" t="n">
        <f aca="false">IFERROR(VLOOKUP(C176,$AS$3:$AT$10,2,FALSE()),IFERROR(VLOOKUP(C176,$AS$15:$AT$22,2,FALSE()),""))</f>
        <v>49</v>
      </c>
      <c r="G176" s="71" t="n">
        <f aca="false">IFERROR(VLOOKUP(C176,$AS$3:$AX$10,6,FALSE()),IFERROR(VLOOKUP(C176,$AS$15:$AX$22,6,FALSE()),""))</f>
        <v>0.463965086137302</v>
      </c>
      <c r="H176" s="72" t="str">
        <f aca="false">IFERROR(VLOOKUP(C176,$AS$3:$AY$10,7,FALSE()),IFERROR(VLOOKUP(C176,$AS$15:$AY$22,7,FALSE()),""))</f>
        <v>🟡 AMARELO</v>
      </c>
      <c r="I176" s="72" t="str">
        <f aca="false">IFERROR(VLOOKUP(C176,$AS$3:$AZ$10,8,FALSE()),IFERROR(VLOOKUP(C176,$AS$15:$AZ$22,8,FALSE()),""))</f>
        <v>Sell Out</v>
      </c>
      <c r="J176" s="73"/>
      <c r="K176" s="69" t="s">
        <v>113</v>
      </c>
      <c r="L176" s="74" t="n">
        <v>6848.8</v>
      </c>
      <c r="M176" s="75" t="n">
        <v>481.29</v>
      </c>
      <c r="N176" s="75" t="n">
        <v>502.93</v>
      </c>
      <c r="O176" s="75" t="n">
        <v>515.04</v>
      </c>
      <c r="P176" s="75" t="n">
        <v>528.46</v>
      </c>
      <c r="Q176" s="75" t="n">
        <v>545.77</v>
      </c>
      <c r="R176" s="75" t="n">
        <v>560.06</v>
      </c>
      <c r="S176" s="75" t="n">
        <v>581.7</v>
      </c>
      <c r="T176" s="75" t="n">
        <v>595.98</v>
      </c>
      <c r="U176" s="75" t="n">
        <v>609.4</v>
      </c>
      <c r="V176" s="75" t="n">
        <v>624.55</v>
      </c>
      <c r="W176" s="75" t="n">
        <v>640.99</v>
      </c>
      <c r="X176" s="76" t="n">
        <v>662.63</v>
      </c>
      <c r="Y176" s="77" t="s">
        <v>20</v>
      </c>
      <c r="Z176" s="78" t="n">
        <f aca="false">SUM(AA176:AL176)</f>
        <v>2754.25</v>
      </c>
      <c r="AA176" s="75"/>
      <c r="AB176" s="75"/>
      <c r="AC176" s="75"/>
      <c r="AD176" s="75"/>
      <c r="AE176" s="79" t="n">
        <v>2754.25</v>
      </c>
      <c r="AF176" s="75"/>
      <c r="AG176" s="75"/>
      <c r="AH176" s="75"/>
      <c r="AI176" s="75"/>
      <c r="AJ176" s="75"/>
      <c r="AK176" s="75"/>
      <c r="AL176" s="76"/>
      <c r="AM176" s="56" t="s">
        <v>20</v>
      </c>
      <c r="AN176" s="80" t="n">
        <f aca="false">IF(L176=0,0,Z176/L176)</f>
        <v>0.402150741735779</v>
      </c>
      <c r="AO176" s="81" t="str">
        <f aca="false">IF(AN176="","",IF(AN176&gt;=0.9,"🟢",IF(AN176&gt;=0.7,"🟡",IF(AN176&gt;=0.5,"🟠","🔴"))))</f>
        <v>🔴</v>
      </c>
      <c r="AP176" s="82" t="n">
        <f aca="false">IF(L176=0,0,L176-Z176)</f>
        <v>4094.55</v>
      </c>
      <c r="AQ176" s="83" t="n">
        <f aca="false">IF(AP176=0,"",RANK(AP176,AP$4:AP$503,0))</f>
        <v>159</v>
      </c>
      <c r="AR176" s="84" t="s">
        <v>20</v>
      </c>
      <c r="AS176" s="141"/>
      <c r="AT176" s="141"/>
      <c r="AU176" s="141"/>
      <c r="AV176" s="141"/>
      <c r="AW176" s="141"/>
      <c r="AX176" s="141"/>
      <c r="AY176" s="142"/>
      <c r="AZ176" s="142"/>
      <c r="BA176" s="56" t="s">
        <v>20</v>
      </c>
      <c r="BB176" s="91" t="n">
        <f aca="false">SUM(L$4:L$503)/COUNTA(A$4:A$503)</f>
        <v>9494.39992</v>
      </c>
      <c r="BC176" s="92" t="n">
        <f aca="false">SUM(M$4:M$503)/COUNTA(A$4:A$503)</f>
        <v>667.20008</v>
      </c>
      <c r="BD176" s="92" t="n">
        <f aca="false">SUM(N$4:N$503)/COUNTA(A$4:A$503)</f>
        <v>697.19996</v>
      </c>
      <c r="BE176" s="92" t="n">
        <f aca="false">SUM(O$4:O$503)/COUNTA(A$4:A$503)</f>
        <v>713.9999</v>
      </c>
      <c r="BF176" s="92" t="n">
        <f aca="false">SUM(P$4:P$503)/COUNTA(A$4:A$503)</f>
        <v>732.59984</v>
      </c>
      <c r="BG176" s="92" t="n">
        <f aca="false">SUM(Q$4:Q$503)/COUNTA(A$4:A$503)</f>
        <v>756.59992</v>
      </c>
      <c r="BH176" s="92" t="n">
        <f aca="false">SUM(R$4:R$503)/COUNTA(A$4:A$503)</f>
        <v>776.40004</v>
      </c>
      <c r="BI176" s="92" t="n">
        <f aca="false">SUM(S$4:S$503)/COUNTA(A$4:A$503)</f>
        <v>806.40012</v>
      </c>
      <c r="BJ176" s="92" t="n">
        <f aca="false">SUM(T$4:T$503)/COUNTA(A$4:A$503)</f>
        <v>826.1999</v>
      </c>
      <c r="BK176" s="92" t="n">
        <f aca="false">SUM(U$4:U$503)/COUNTA(A$4:A$503)</f>
        <v>844.8002</v>
      </c>
      <c r="BL176" s="92" t="n">
        <f aca="false">SUM(V$4:V$503)/COUNTA(A$4:A$503)</f>
        <v>865.7998</v>
      </c>
      <c r="BM176" s="92" t="n">
        <f aca="false">SUM(W$4:W$503)/COUNTA(A$4:A$503)</f>
        <v>888.59982</v>
      </c>
      <c r="BN176" s="93" t="n">
        <f aca="false">SUM(X$4:X$503)/COUNTA(A$4:A$503)</f>
        <v>918.60034</v>
      </c>
      <c r="BO176" s="94" t="s">
        <v>20</v>
      </c>
      <c r="BP176" s="91" t="n">
        <f aca="false">IF(Z176&gt;=BB176,0,IFERROR(BB176+(SUMPRODUCT((Z$4:Z$503&gt;=BB$4:BB$503)*(Z$4:Z$503-BB$4:BB$503))/MAX(1,COUNTIF(Z$4:Z$503,"&lt;"&amp;BB176+0.01))),BB176))</f>
        <v>10695.5432177778</v>
      </c>
      <c r="BQ176" s="92" t="n">
        <f aca="false">IF(AA176&gt;=BC176,0,IFERROR(BC176+SUMPRODUCT((AA$4:AA$503&gt;=BC$4:BC$503)*(AA$4:AA$503-BC$4:BC$503))/MAX(1,COUNTIF(AA$4:AA$503,"&lt;"&amp;BC176+0.01)),BC176))</f>
        <v>2238.46589176471</v>
      </c>
      <c r="BR176" s="92" t="n">
        <f aca="false">IF(AB176&gt;=BD176,0,IFERROR(BD176+SUMPRODUCT((AB$4:AB$503&gt;=BD$4:BD$503)*(AB$4:AB$503-BD$4:BD$503))/MAX(1,COUNTIF(AB$4:AB$503,"&lt;"&amp;BD176+0.01)),BD176))</f>
        <v>3335.2938</v>
      </c>
      <c r="BS176" s="92" t="n">
        <f aca="false">IF(AC176&gt;=BE176,0,IFERROR(BE176+SUMPRODUCT((AC$4:AC$503&gt;=BE$4:BE$503)*(AC$4:AC$503-BE$4:BE$503))/MAX(1,COUNTIF(AC$4:AC$503,"&lt;"&amp;BE176+0.01)),BE176))</f>
        <v>6188.73352</v>
      </c>
      <c r="BT176" s="92" t="n">
        <f aca="false">IF(AD176&gt;=BF176,0,IFERROR(BF176+SUMPRODUCT((AD$4:AD$503&gt;=BF$4:BF$503)*(AD$4:AD$503-BF$4:BF$503))/MAX(1,COUNTIF(AD$4:AD$503,"&lt;"&amp;BF176+0.01)),BF176))</f>
        <v>11354.35411</v>
      </c>
      <c r="BU176" s="92" t="n">
        <f aca="false">IF(AE176&gt;=BG176,0,IFERROR(BG176+SUMPRODUCT((AE$4:AE$503&gt;=BG$4:BG$503)*(AE$4:AE$503-BG$4:BG$503))/MAX(1,COUNTIF(AE$4:AE$503,"&lt;"&amp;BG176+0.01)),BG176))</f>
        <v>0</v>
      </c>
      <c r="BV176" s="92" t="n">
        <f aca="false">IF(AF176&gt;=BH176,0,IFERROR(BH176+SUMPRODUCT((AF$4:AF$503&gt;=BH$4:BH$503)*(AF$4:AF$503-BH$4:BH$503))/MAX(1,COUNTIF(AF$4:AF$503,"&lt;"&amp;BH176+0.01)),BH176))</f>
        <v>9942.6503831579</v>
      </c>
      <c r="BW176" s="92" t="n">
        <f aca="false">IF(AG176&gt;=BI176,0,IFERROR(BI176+SUMPRODUCT((AG$4:AG$503&gt;=BI$4:BI$503)*(AG$4:AG$503-BI$4:BI$503))/MAX(1,COUNTIF(AG$4:AG$503,"&lt;"&amp;BI176+0.01)),BI176))</f>
        <v>9142.15870461538</v>
      </c>
      <c r="BX176" s="92" t="n">
        <f aca="false">IF(AH176&gt;=BJ176,0,IFERROR(BJ176+SUMPRODUCT((AH$4:AH$503&gt;=BJ$4:BJ$503)*(AH$4:AH$503-BJ$4:BJ$503))/MAX(1,COUNTIF(AH$4:AH$503,"&lt;"&amp;BJ176+0.01)),BJ176))</f>
        <v>5621.50263448276</v>
      </c>
      <c r="BY176" s="92" t="n">
        <f aca="false">IF(AI176&gt;=BK176,0,IFERROR(BK176+SUMPRODUCT((AI$4:AI$503&gt;=BK$4:BK$503)*(AI$4:AI$503-BK$4:BK$503))/MAX(1,COUNTIF(AI$4:AI$503,"&lt;"&amp;BK176+0.01)),BK176))</f>
        <v>7878.25652380952</v>
      </c>
      <c r="BZ176" s="92" t="n">
        <f aca="false">IF(AJ176&gt;=BL176,0,IFERROR(BL176+SUMPRODUCT((AJ$4:AJ$503&gt;=BL$4:BL$503)*(AJ$4:AJ$503-BL$4:BL$503))/MAX(1,COUNTIF(AJ$4:AJ$503,"&lt;"&amp;BL176+0.01)),BL176))</f>
        <v>6710.03292307692</v>
      </c>
      <c r="CA176" s="92" t="n">
        <f aca="false">IF(AK176&gt;=BM176,0,IFERROR(BM176+SUMPRODUCT((AK$4:AK$503&gt;=BM$4:BM$503)*(AK$4:AK$503-BM$4:BM$503))/MAX(1,COUNTIF(AK$4:AK$503,"&lt;"&amp;BM176+0.01)),BM176))</f>
        <v>7314.89836842105</v>
      </c>
      <c r="CB176" s="93" t="n">
        <f aca="false">IF(AL176&gt;=BN176,0,IFERROR(BN176+SUMPRODUCT((AL$4:AL$503&gt;=BN$4:BN$503)*(AL$4:AL$503-BN$4:BN$503))/MAX(1,COUNTIF(AL$4:AL$503,"&lt;"&amp;BN176+0.01)),BN176))</f>
        <v>3597.2614925</v>
      </c>
      <c r="CC176" s="95" t="str">
        <f aca="false">IF(AO176="🟢","VERDE",IF(AO176="🟡","AMARELO",IF(AO176="🟠","VERMELHO",IF(AO176="🔴","VERMELHO","ROXO"))))</f>
        <v>VERMELHO</v>
      </c>
      <c r="CD176" s="96" t="s">
        <v>103</v>
      </c>
      <c r="CE176" s="96" t="s">
        <v>104</v>
      </c>
    </row>
    <row r="177" customFormat="false" ht="14.25" hidden="false" customHeight="true" outlineLevel="0" collapsed="false">
      <c r="A177" s="65" t="s">
        <v>488</v>
      </c>
      <c r="B177" s="66" t="s">
        <v>489</v>
      </c>
      <c r="C177" s="67" t="s">
        <v>158</v>
      </c>
      <c r="D177" s="68" t="s">
        <v>100</v>
      </c>
      <c r="E177" s="69" t="s">
        <v>490</v>
      </c>
      <c r="F177" s="70" t="n">
        <f aca="false">IFERROR(VLOOKUP(C177,$AS$3:$AT$10,2,FALSE()),IFERROR(VLOOKUP(C177,$AS$15:$AT$22,2,FALSE()),""))</f>
        <v>29</v>
      </c>
      <c r="G177" s="71" t="n">
        <f aca="false">IFERROR(VLOOKUP(C177,$AS$3:$AX$10,6,FALSE()),IFERROR(VLOOKUP(C177,$AS$15:$AX$22,6,FALSE()),""))</f>
        <v>0.458564072601712</v>
      </c>
      <c r="H177" s="72" t="str">
        <f aca="false">IFERROR(VLOOKUP(C177,$AS$3:$AY$10,7,FALSE()),IFERROR(VLOOKUP(C177,$AS$15:$AY$22,7,FALSE()),""))</f>
        <v>🟡 AMARELO</v>
      </c>
      <c r="I177" s="72" t="str">
        <f aca="false">IFERROR(VLOOKUP(C177,$AS$3:$AZ$10,8,FALSE()),IFERROR(VLOOKUP(C177,$AS$15:$AZ$22,8,FALSE()),""))</f>
        <v>Sell Out</v>
      </c>
      <c r="J177" s="73"/>
      <c r="K177" s="69" t="s">
        <v>158</v>
      </c>
      <c r="L177" s="74" t="n">
        <v>6831.79</v>
      </c>
      <c r="M177" s="75" t="n">
        <v>480.09</v>
      </c>
      <c r="N177" s="75" t="n">
        <v>501.68</v>
      </c>
      <c r="O177" s="75" t="n">
        <v>513.77</v>
      </c>
      <c r="P177" s="75" t="n">
        <v>527.15</v>
      </c>
      <c r="Q177" s="75" t="n">
        <v>544.42</v>
      </c>
      <c r="R177" s="75" t="n">
        <v>558.67</v>
      </c>
      <c r="S177" s="75" t="n">
        <v>580.25</v>
      </c>
      <c r="T177" s="75" t="n">
        <v>594.5</v>
      </c>
      <c r="U177" s="75" t="n">
        <v>607.88</v>
      </c>
      <c r="V177" s="75" t="n">
        <v>622.99</v>
      </c>
      <c r="W177" s="75" t="n">
        <v>639.4</v>
      </c>
      <c r="X177" s="76" t="n">
        <v>660.99</v>
      </c>
      <c r="Y177" s="77" t="s">
        <v>20</v>
      </c>
      <c r="Z177" s="78" t="n">
        <f aca="false">SUM(AA177:AL177)</f>
        <v>3595.28</v>
      </c>
      <c r="AA177" s="75"/>
      <c r="AB177" s="75"/>
      <c r="AC177" s="75"/>
      <c r="AD177" s="75" t="n">
        <v>701.72</v>
      </c>
      <c r="AE177" s="79" t="n">
        <v>681.22</v>
      </c>
      <c r="AF177" s="79" t="n">
        <v>2212.34</v>
      </c>
      <c r="AG177" s="75"/>
      <c r="AH177" s="75"/>
      <c r="AI177" s="75"/>
      <c r="AJ177" s="75"/>
      <c r="AK177" s="75"/>
      <c r="AL177" s="76"/>
      <c r="AM177" s="56" t="s">
        <v>20</v>
      </c>
      <c r="AN177" s="80" t="n">
        <f aca="false">IF(L177=0,0,Z177/L177)</f>
        <v>0.526257393743075</v>
      </c>
      <c r="AO177" s="81" t="str">
        <f aca="false">IF(AN177="","",IF(AN177&gt;=0.9,"🟢",IF(AN177&gt;=0.7,"🟡",IF(AN177&gt;=0.5,"🟠","🔴"))))</f>
        <v>🟠</v>
      </c>
      <c r="AP177" s="82" t="n">
        <f aca="false">IF(L177=0,0,L177-Z177)</f>
        <v>3236.51</v>
      </c>
      <c r="AQ177" s="83" t="n">
        <f aca="false">IF(AP177=0,"",RANK(AP177,AP$4:AP$503,0))</f>
        <v>200</v>
      </c>
      <c r="AR177" s="84" t="s">
        <v>20</v>
      </c>
      <c r="AS177" s="141"/>
      <c r="AT177" s="141"/>
      <c r="AU177" s="141"/>
      <c r="AV177" s="141"/>
      <c r="AW177" s="141"/>
      <c r="AX177" s="141"/>
      <c r="AY177" s="142"/>
      <c r="AZ177" s="142"/>
      <c r="BA177" s="56" t="s">
        <v>20</v>
      </c>
      <c r="BB177" s="91" t="n">
        <f aca="false">SUM(L$4:L$503)/COUNTA(A$4:A$503)</f>
        <v>9494.39992</v>
      </c>
      <c r="BC177" s="92" t="n">
        <f aca="false">SUM(M$4:M$503)/COUNTA(A$4:A$503)</f>
        <v>667.20008</v>
      </c>
      <c r="BD177" s="92" t="n">
        <f aca="false">SUM(N$4:N$503)/COUNTA(A$4:A$503)</f>
        <v>697.19996</v>
      </c>
      <c r="BE177" s="92" t="n">
        <f aca="false">SUM(O$4:O$503)/COUNTA(A$4:A$503)</f>
        <v>713.9999</v>
      </c>
      <c r="BF177" s="92" t="n">
        <f aca="false">SUM(P$4:P$503)/COUNTA(A$4:A$503)</f>
        <v>732.59984</v>
      </c>
      <c r="BG177" s="92" t="n">
        <f aca="false">SUM(Q$4:Q$503)/COUNTA(A$4:A$503)</f>
        <v>756.59992</v>
      </c>
      <c r="BH177" s="92" t="n">
        <f aca="false">SUM(R$4:R$503)/COUNTA(A$4:A$503)</f>
        <v>776.40004</v>
      </c>
      <c r="BI177" s="92" t="n">
        <f aca="false">SUM(S$4:S$503)/COUNTA(A$4:A$503)</f>
        <v>806.40012</v>
      </c>
      <c r="BJ177" s="92" t="n">
        <f aca="false">SUM(T$4:T$503)/COUNTA(A$4:A$503)</f>
        <v>826.1999</v>
      </c>
      <c r="BK177" s="92" t="n">
        <f aca="false">SUM(U$4:U$503)/COUNTA(A$4:A$503)</f>
        <v>844.8002</v>
      </c>
      <c r="BL177" s="92" t="n">
        <f aca="false">SUM(V$4:V$503)/COUNTA(A$4:A$503)</f>
        <v>865.7998</v>
      </c>
      <c r="BM177" s="92" t="n">
        <f aca="false">SUM(W$4:W$503)/COUNTA(A$4:A$503)</f>
        <v>888.59982</v>
      </c>
      <c r="BN177" s="93" t="n">
        <f aca="false">SUM(X$4:X$503)/COUNTA(A$4:A$503)</f>
        <v>918.60034</v>
      </c>
      <c r="BO177" s="94" t="s">
        <v>20</v>
      </c>
      <c r="BP177" s="91" t="n">
        <f aca="false">IF(Z177&gt;=BB177,0,IFERROR(BB177+(SUMPRODUCT((Z$4:Z$503&gt;=BB$4:BB$503)*(Z$4:Z$503-BB$4:BB$503))/MAX(1,COUNTIF(Z$4:Z$503,"&lt;"&amp;BB177+0.01))),BB177))</f>
        <v>10695.5432177778</v>
      </c>
      <c r="BQ177" s="92" t="n">
        <f aca="false">IF(AA177&gt;=BC177,0,IFERROR(BC177+SUMPRODUCT((AA$4:AA$503&gt;=BC$4:BC$503)*(AA$4:AA$503-BC$4:BC$503))/MAX(1,COUNTIF(AA$4:AA$503,"&lt;"&amp;BC177+0.01)),BC177))</f>
        <v>2238.46589176471</v>
      </c>
      <c r="BR177" s="92" t="n">
        <f aca="false">IF(AB177&gt;=BD177,0,IFERROR(BD177+SUMPRODUCT((AB$4:AB$503&gt;=BD$4:BD$503)*(AB$4:AB$503-BD$4:BD$503))/MAX(1,COUNTIF(AB$4:AB$503,"&lt;"&amp;BD177+0.01)),BD177))</f>
        <v>3335.2938</v>
      </c>
      <c r="BS177" s="92" t="n">
        <f aca="false">IF(AC177&gt;=BE177,0,IFERROR(BE177+SUMPRODUCT((AC$4:AC$503&gt;=BE$4:BE$503)*(AC$4:AC$503-BE$4:BE$503))/MAX(1,COUNTIF(AC$4:AC$503,"&lt;"&amp;BE177+0.01)),BE177))</f>
        <v>6188.73352</v>
      </c>
      <c r="BT177" s="92" t="n">
        <f aca="false">IF(AD177&gt;=BF177,0,IFERROR(BF177+SUMPRODUCT((AD$4:AD$503&gt;=BF$4:BF$503)*(AD$4:AD$503-BF$4:BF$503))/MAX(1,COUNTIF(AD$4:AD$503,"&lt;"&amp;BF177+0.01)),BF177))</f>
        <v>11354.35411</v>
      </c>
      <c r="BU177" s="92" t="n">
        <f aca="false">IF(AE177&gt;=BG177,0,IFERROR(BG177+SUMPRODUCT((AE$4:AE$503&gt;=BG$4:BG$503)*(AE$4:AE$503-BG$4:BG$503))/MAX(1,COUNTIF(AE$4:AE$503,"&lt;"&amp;BG177+0.01)),BG177))</f>
        <v>7704.85920380952</v>
      </c>
      <c r="BV177" s="92" t="n">
        <f aca="false">IF(AF177&gt;=BH177,0,IFERROR(BH177+SUMPRODUCT((AF$4:AF$503&gt;=BH$4:BH$503)*(AF$4:AF$503-BH$4:BH$503))/MAX(1,COUNTIF(AF$4:AF$503,"&lt;"&amp;BH177+0.01)),BH177))</f>
        <v>0</v>
      </c>
      <c r="BW177" s="92" t="n">
        <f aca="false">IF(AG177&gt;=BI177,0,IFERROR(BI177+SUMPRODUCT((AG$4:AG$503&gt;=BI$4:BI$503)*(AG$4:AG$503-BI$4:BI$503))/MAX(1,COUNTIF(AG$4:AG$503,"&lt;"&amp;BI177+0.01)),BI177))</f>
        <v>9142.15870461538</v>
      </c>
      <c r="BX177" s="92" t="n">
        <f aca="false">IF(AH177&gt;=BJ177,0,IFERROR(BJ177+SUMPRODUCT((AH$4:AH$503&gt;=BJ$4:BJ$503)*(AH$4:AH$503-BJ$4:BJ$503))/MAX(1,COUNTIF(AH$4:AH$503,"&lt;"&amp;BJ177+0.01)),BJ177))</f>
        <v>5621.50263448276</v>
      </c>
      <c r="BY177" s="92" t="n">
        <f aca="false">IF(AI177&gt;=BK177,0,IFERROR(BK177+SUMPRODUCT((AI$4:AI$503&gt;=BK$4:BK$503)*(AI$4:AI$503-BK$4:BK$503))/MAX(1,COUNTIF(AI$4:AI$503,"&lt;"&amp;BK177+0.01)),BK177))</f>
        <v>7878.25652380952</v>
      </c>
      <c r="BZ177" s="92" t="n">
        <f aca="false">IF(AJ177&gt;=BL177,0,IFERROR(BL177+SUMPRODUCT((AJ$4:AJ$503&gt;=BL$4:BL$503)*(AJ$4:AJ$503-BL$4:BL$503))/MAX(1,COUNTIF(AJ$4:AJ$503,"&lt;"&amp;BL177+0.01)),BL177))</f>
        <v>6710.03292307692</v>
      </c>
      <c r="CA177" s="92" t="n">
        <f aca="false">IF(AK177&gt;=BM177,0,IFERROR(BM177+SUMPRODUCT((AK$4:AK$503&gt;=BM$4:BM$503)*(AK$4:AK$503-BM$4:BM$503))/MAX(1,COUNTIF(AK$4:AK$503,"&lt;"&amp;BM177+0.01)),BM177))</f>
        <v>7314.89836842105</v>
      </c>
      <c r="CB177" s="93" t="n">
        <f aca="false">IF(AL177&gt;=BN177,0,IFERROR(BN177+SUMPRODUCT((AL$4:AL$503&gt;=BN$4:BN$503)*(AL$4:AL$503-BN$4:BN$503))/MAX(1,COUNTIF(AL$4:AL$503,"&lt;"&amp;BN177+0.01)),BN177))</f>
        <v>3597.2614925</v>
      </c>
      <c r="CC177" s="95" t="str">
        <f aca="false">IF(AO177="🟢","VERDE",IF(AO177="🟡","AMARELO",IF(AO177="🟠","VERMELHO",IF(AO177="🔴","VERMELHO","ROXO"))))</f>
        <v>VERMELHO</v>
      </c>
      <c r="CD177" s="96" t="s">
        <v>103</v>
      </c>
      <c r="CE177" s="96" t="s">
        <v>104</v>
      </c>
    </row>
    <row r="178" customFormat="false" ht="14.25" hidden="false" customHeight="true" outlineLevel="0" collapsed="false">
      <c r="A178" s="65" t="s">
        <v>491</v>
      </c>
      <c r="B178" s="66" t="s">
        <v>492</v>
      </c>
      <c r="C178" s="67" t="s">
        <v>118</v>
      </c>
      <c r="D178" s="68" t="s">
        <v>100</v>
      </c>
      <c r="E178" s="69" t="s">
        <v>119</v>
      </c>
      <c r="F178" s="70" t="n">
        <f aca="false">IFERROR(VLOOKUP(C178,$AS$3:$AT$10,2,FALSE()),IFERROR(VLOOKUP(C178,$AS$15:$AT$22,2,FALSE()),""))</f>
        <v>42</v>
      </c>
      <c r="G178" s="71" t="n">
        <f aca="false">IFERROR(VLOOKUP(C178,$AS$3:$AX$10,6,FALSE()),IFERROR(VLOOKUP(C178,$AS$15:$AX$22,6,FALSE()),""))</f>
        <v>0.424872083346704</v>
      </c>
      <c r="H178" s="72" t="str">
        <f aca="false">IFERROR(VLOOKUP(C178,$AS$3:$AY$10,7,FALSE()),IFERROR(VLOOKUP(C178,$AS$15:$AY$22,7,FALSE()),""))</f>
        <v>🟡 AMARELO</v>
      </c>
      <c r="I178" s="72" t="str">
        <f aca="false">IFERROR(VLOOKUP(C178,$AS$3:$AZ$10,8,FALSE()),IFERROR(VLOOKUP(C178,$AS$15:$AZ$22,8,FALSE()),""))</f>
        <v>Sell Out</v>
      </c>
      <c r="J178" s="73"/>
      <c r="K178" s="69" t="s">
        <v>118</v>
      </c>
      <c r="L178" s="74" t="n">
        <v>6768.04</v>
      </c>
      <c r="M178" s="75" t="n">
        <v>475.61</v>
      </c>
      <c r="N178" s="75" t="n">
        <v>497</v>
      </c>
      <c r="O178" s="75" t="n">
        <v>508.97</v>
      </c>
      <c r="P178" s="75" t="n">
        <v>522.23</v>
      </c>
      <c r="Q178" s="75" t="n">
        <v>539.34</v>
      </c>
      <c r="R178" s="75" t="n">
        <v>553.45</v>
      </c>
      <c r="S178" s="75" t="n">
        <v>574.84</v>
      </c>
      <c r="T178" s="75" t="n">
        <v>588.95</v>
      </c>
      <c r="U178" s="75" t="n">
        <v>602.21</v>
      </c>
      <c r="V178" s="75" t="n">
        <v>617.18</v>
      </c>
      <c r="W178" s="75" t="n">
        <v>633.44</v>
      </c>
      <c r="X178" s="76" t="n">
        <v>654.82</v>
      </c>
      <c r="Y178" s="77" t="s">
        <v>20</v>
      </c>
      <c r="Z178" s="78" t="n">
        <f aca="false">SUM(AA178:AL178)</f>
        <v>2731.78</v>
      </c>
      <c r="AA178" s="75"/>
      <c r="AB178" s="75"/>
      <c r="AC178" s="75"/>
      <c r="AD178" s="75"/>
      <c r="AE178" s="75"/>
      <c r="AF178" s="75"/>
      <c r="AG178" s="75"/>
      <c r="AH178" s="79" t="n">
        <v>2731.78</v>
      </c>
      <c r="AI178" s="75"/>
      <c r="AJ178" s="75"/>
      <c r="AK178" s="75"/>
      <c r="AL178" s="76"/>
      <c r="AM178" s="56" t="s">
        <v>20</v>
      </c>
      <c r="AN178" s="80" t="n">
        <f aca="false">IF(L178=0,0,Z178/L178)</f>
        <v>0.403629411173693</v>
      </c>
      <c r="AO178" s="81" t="str">
        <f aca="false">IF(AN178="","",IF(AN178&gt;=0.9,"🟢",IF(AN178&gt;=0.7,"🟡",IF(AN178&gt;=0.5,"🟠","🔴"))))</f>
        <v>🔴</v>
      </c>
      <c r="AP178" s="82" t="n">
        <f aca="false">IF(L178=0,0,L178-Z178)</f>
        <v>4036.26</v>
      </c>
      <c r="AQ178" s="83" t="n">
        <f aca="false">IF(AP178=0,"",RANK(AP178,AP$4:AP$503,0))</f>
        <v>161</v>
      </c>
      <c r="AR178" s="84" t="s">
        <v>20</v>
      </c>
      <c r="AS178" s="141"/>
      <c r="AT178" s="141"/>
      <c r="AU178" s="141"/>
      <c r="AV178" s="141"/>
      <c r="AW178" s="141"/>
      <c r="AX178" s="141"/>
      <c r="AY178" s="142"/>
      <c r="AZ178" s="142"/>
      <c r="BA178" s="56" t="s">
        <v>20</v>
      </c>
      <c r="BB178" s="91" t="n">
        <f aca="false">SUM(L$4:L$503)/COUNTA(A$4:A$503)</f>
        <v>9494.39992</v>
      </c>
      <c r="BC178" s="92" t="n">
        <f aca="false">SUM(M$4:M$503)/COUNTA(A$4:A$503)</f>
        <v>667.20008</v>
      </c>
      <c r="BD178" s="92" t="n">
        <f aca="false">SUM(N$4:N$503)/COUNTA(A$4:A$503)</f>
        <v>697.19996</v>
      </c>
      <c r="BE178" s="92" t="n">
        <f aca="false">SUM(O$4:O$503)/COUNTA(A$4:A$503)</f>
        <v>713.9999</v>
      </c>
      <c r="BF178" s="92" t="n">
        <f aca="false">SUM(P$4:P$503)/COUNTA(A$4:A$503)</f>
        <v>732.59984</v>
      </c>
      <c r="BG178" s="92" t="n">
        <f aca="false">SUM(Q$4:Q$503)/COUNTA(A$4:A$503)</f>
        <v>756.59992</v>
      </c>
      <c r="BH178" s="92" t="n">
        <f aca="false">SUM(R$4:R$503)/COUNTA(A$4:A$503)</f>
        <v>776.40004</v>
      </c>
      <c r="BI178" s="92" t="n">
        <f aca="false">SUM(S$4:S$503)/COUNTA(A$4:A$503)</f>
        <v>806.40012</v>
      </c>
      <c r="BJ178" s="92" t="n">
        <f aca="false">SUM(T$4:T$503)/COUNTA(A$4:A$503)</f>
        <v>826.1999</v>
      </c>
      <c r="BK178" s="92" t="n">
        <f aca="false">SUM(U$4:U$503)/COUNTA(A$4:A$503)</f>
        <v>844.8002</v>
      </c>
      <c r="BL178" s="92" t="n">
        <f aca="false">SUM(V$4:V$503)/COUNTA(A$4:A$503)</f>
        <v>865.7998</v>
      </c>
      <c r="BM178" s="92" t="n">
        <f aca="false">SUM(W$4:W$503)/COUNTA(A$4:A$503)</f>
        <v>888.59982</v>
      </c>
      <c r="BN178" s="93" t="n">
        <f aca="false">SUM(X$4:X$503)/COUNTA(A$4:A$503)</f>
        <v>918.60034</v>
      </c>
      <c r="BO178" s="94" t="s">
        <v>20</v>
      </c>
      <c r="BP178" s="91" t="n">
        <f aca="false">IF(Z178&gt;=BB178,0,IFERROR(BB178+(SUMPRODUCT((Z$4:Z$503&gt;=BB$4:BB$503)*(Z$4:Z$503-BB$4:BB$503))/MAX(1,COUNTIF(Z$4:Z$503,"&lt;"&amp;BB178+0.01))),BB178))</f>
        <v>10695.5432177778</v>
      </c>
      <c r="BQ178" s="92" t="n">
        <f aca="false">IF(AA178&gt;=BC178,0,IFERROR(BC178+SUMPRODUCT((AA$4:AA$503&gt;=BC$4:BC$503)*(AA$4:AA$503-BC$4:BC$503))/MAX(1,COUNTIF(AA$4:AA$503,"&lt;"&amp;BC178+0.01)),BC178))</f>
        <v>2238.46589176471</v>
      </c>
      <c r="BR178" s="92" t="n">
        <f aca="false">IF(AB178&gt;=BD178,0,IFERROR(BD178+SUMPRODUCT((AB$4:AB$503&gt;=BD$4:BD$503)*(AB$4:AB$503-BD$4:BD$503))/MAX(1,COUNTIF(AB$4:AB$503,"&lt;"&amp;BD178+0.01)),BD178))</f>
        <v>3335.2938</v>
      </c>
      <c r="BS178" s="92" t="n">
        <f aca="false">IF(AC178&gt;=BE178,0,IFERROR(BE178+SUMPRODUCT((AC$4:AC$503&gt;=BE$4:BE$503)*(AC$4:AC$503-BE$4:BE$503))/MAX(1,COUNTIF(AC$4:AC$503,"&lt;"&amp;BE178+0.01)),BE178))</f>
        <v>6188.73352</v>
      </c>
      <c r="BT178" s="92" t="n">
        <f aca="false">IF(AD178&gt;=BF178,0,IFERROR(BF178+SUMPRODUCT((AD$4:AD$503&gt;=BF$4:BF$503)*(AD$4:AD$503-BF$4:BF$503))/MAX(1,COUNTIF(AD$4:AD$503,"&lt;"&amp;BF178+0.01)),BF178))</f>
        <v>11354.35411</v>
      </c>
      <c r="BU178" s="92" t="n">
        <f aca="false">IF(AE178&gt;=BG178,0,IFERROR(BG178+SUMPRODUCT((AE$4:AE$503&gt;=BG$4:BG$503)*(AE$4:AE$503-BG$4:BG$503))/MAX(1,COUNTIF(AE$4:AE$503,"&lt;"&amp;BG178+0.01)),BG178))</f>
        <v>7704.85920380952</v>
      </c>
      <c r="BV178" s="92" t="n">
        <f aca="false">IF(AF178&gt;=BH178,0,IFERROR(BH178+SUMPRODUCT((AF$4:AF$503&gt;=BH$4:BH$503)*(AF$4:AF$503-BH$4:BH$503))/MAX(1,COUNTIF(AF$4:AF$503,"&lt;"&amp;BH178+0.01)),BH178))</f>
        <v>9942.6503831579</v>
      </c>
      <c r="BW178" s="92" t="n">
        <f aca="false">IF(AG178&gt;=BI178,0,IFERROR(BI178+SUMPRODUCT((AG$4:AG$503&gt;=BI$4:BI$503)*(AG$4:AG$503-BI$4:BI$503))/MAX(1,COUNTIF(AG$4:AG$503,"&lt;"&amp;BI178+0.01)),BI178))</f>
        <v>9142.15870461538</v>
      </c>
      <c r="BX178" s="92" t="n">
        <f aca="false">IF(AH178&gt;=BJ178,0,IFERROR(BJ178+SUMPRODUCT((AH$4:AH$503&gt;=BJ$4:BJ$503)*(AH$4:AH$503-BJ$4:BJ$503))/MAX(1,COUNTIF(AH$4:AH$503,"&lt;"&amp;BJ178+0.01)),BJ178))</f>
        <v>0</v>
      </c>
      <c r="BY178" s="92" t="n">
        <f aca="false">IF(AI178&gt;=BK178,0,IFERROR(BK178+SUMPRODUCT((AI$4:AI$503&gt;=BK$4:BK$503)*(AI$4:AI$503-BK$4:BK$503))/MAX(1,COUNTIF(AI$4:AI$503,"&lt;"&amp;BK178+0.01)),BK178))</f>
        <v>7878.25652380952</v>
      </c>
      <c r="BZ178" s="92" t="n">
        <f aca="false">IF(AJ178&gt;=BL178,0,IFERROR(BL178+SUMPRODUCT((AJ$4:AJ$503&gt;=BL$4:BL$503)*(AJ$4:AJ$503-BL$4:BL$503))/MAX(1,COUNTIF(AJ$4:AJ$503,"&lt;"&amp;BL178+0.01)),BL178))</f>
        <v>6710.03292307692</v>
      </c>
      <c r="CA178" s="92" t="n">
        <f aca="false">IF(AK178&gt;=BM178,0,IFERROR(BM178+SUMPRODUCT((AK$4:AK$503&gt;=BM$4:BM$503)*(AK$4:AK$503-BM$4:BM$503))/MAX(1,COUNTIF(AK$4:AK$503,"&lt;"&amp;BM178+0.01)),BM178))</f>
        <v>7314.89836842105</v>
      </c>
      <c r="CB178" s="93" t="n">
        <f aca="false">IF(AL178&gt;=BN178,0,IFERROR(BN178+SUMPRODUCT((AL$4:AL$503&gt;=BN$4:BN$503)*(AL$4:AL$503-BN$4:BN$503))/MAX(1,COUNTIF(AL$4:AL$503,"&lt;"&amp;BN178+0.01)),BN178))</f>
        <v>3597.2614925</v>
      </c>
      <c r="CC178" s="95" t="str">
        <f aca="false">IF(AO178="🟢","VERDE",IF(AO178="🟡","AMARELO",IF(AO178="🟠","VERMELHO",IF(AO178="🔴","VERMELHO","ROXO"))))</f>
        <v>VERMELHO</v>
      </c>
      <c r="CD178" s="96" t="s">
        <v>103</v>
      </c>
      <c r="CE178" s="96" t="s">
        <v>104</v>
      </c>
    </row>
    <row r="179" customFormat="false" ht="14.25" hidden="false" customHeight="true" outlineLevel="0" collapsed="false">
      <c r="A179" s="65" t="s">
        <v>493</v>
      </c>
      <c r="B179" s="66" t="s">
        <v>494</v>
      </c>
      <c r="C179" s="67" t="s">
        <v>99</v>
      </c>
      <c r="D179" s="68" t="s">
        <v>100</v>
      </c>
      <c r="E179" s="69" t="s">
        <v>127</v>
      </c>
      <c r="F179" s="70" t="n">
        <f aca="false">IFERROR(VLOOKUP(C179,$AS$3:$AT$10,2,FALSE()),IFERROR(VLOOKUP(C179,$AS$15:$AT$22,2,FALSE()),""))</f>
        <v>33</v>
      </c>
      <c r="G179" s="71" t="n">
        <f aca="false">IFERROR(VLOOKUP(C179,$AS$3:$AX$10,6,FALSE()),IFERROR(VLOOKUP(C179,$AS$15:$AX$22,6,FALSE()),""))</f>
        <v>0.341494038351172</v>
      </c>
      <c r="H179" s="72" t="str">
        <f aca="false">IFERROR(VLOOKUP(C179,$AS$3:$AY$10,7,FALSE()),IFERROR(VLOOKUP(C179,$AS$15:$AY$22,7,FALSE()),""))</f>
        <v>🔴 VERMELHO</v>
      </c>
      <c r="I179" s="72" t="str">
        <f aca="false">IFERROR(VLOOKUP(C179,$AS$3:$AZ$10,8,FALSE()),IFERROR(VLOOKUP(C179,$AS$15:$AZ$22,8,FALSE()),""))</f>
        <v>Positivação + Expandir</v>
      </c>
      <c r="J179" s="73"/>
      <c r="K179" s="69" t="s">
        <v>99</v>
      </c>
      <c r="L179" s="74" t="n">
        <v>6754.61</v>
      </c>
      <c r="M179" s="75" t="n">
        <v>474.67</v>
      </c>
      <c r="N179" s="75" t="n">
        <v>496.01</v>
      </c>
      <c r="O179" s="75" t="n">
        <v>507.96</v>
      </c>
      <c r="P179" s="75" t="n">
        <v>521.19</v>
      </c>
      <c r="Q179" s="75" t="n">
        <v>538.27</v>
      </c>
      <c r="R179" s="75" t="n">
        <v>552.35</v>
      </c>
      <c r="S179" s="75" t="n">
        <v>573.7</v>
      </c>
      <c r="T179" s="75" t="n">
        <v>587.78</v>
      </c>
      <c r="U179" s="75" t="n">
        <v>601.02</v>
      </c>
      <c r="V179" s="75" t="n">
        <v>615.96</v>
      </c>
      <c r="W179" s="75" t="n">
        <v>632.18</v>
      </c>
      <c r="X179" s="76" t="n">
        <v>653.52</v>
      </c>
      <c r="Y179" s="77" t="s">
        <v>20</v>
      </c>
      <c r="Z179" s="78" t="n">
        <f aca="false">SUM(AA179:AL179)</f>
        <v>2713.86</v>
      </c>
      <c r="AA179" s="75"/>
      <c r="AB179" s="75"/>
      <c r="AC179" s="75"/>
      <c r="AD179" s="79" t="n">
        <v>2713.86</v>
      </c>
      <c r="AE179" s="75"/>
      <c r="AF179" s="75"/>
      <c r="AG179" s="75"/>
      <c r="AH179" s="75"/>
      <c r="AI179" s="75"/>
      <c r="AJ179" s="75"/>
      <c r="AK179" s="75"/>
      <c r="AL179" s="76"/>
      <c r="AM179" s="56" t="s">
        <v>20</v>
      </c>
      <c r="AN179" s="80" t="n">
        <f aca="false">IF(L179=0,0,Z179/L179)</f>
        <v>0.401778933202657</v>
      </c>
      <c r="AO179" s="81" t="str">
        <f aca="false">IF(AN179="","",IF(AN179&gt;=0.9,"🟢",IF(AN179&gt;=0.7,"🟡",IF(AN179&gt;=0.5,"🟠","🔴"))))</f>
        <v>🔴</v>
      </c>
      <c r="AP179" s="82" t="n">
        <f aca="false">IF(L179=0,0,L179-Z179)</f>
        <v>4040.75</v>
      </c>
      <c r="AQ179" s="83" t="n">
        <f aca="false">IF(AP179=0,"",RANK(AP179,AP$4:AP$503,0))</f>
        <v>160</v>
      </c>
      <c r="AR179" s="84" t="s">
        <v>20</v>
      </c>
      <c r="AS179" s="141"/>
      <c r="AT179" s="141"/>
      <c r="AU179" s="141"/>
      <c r="AV179" s="141"/>
      <c r="AW179" s="141"/>
      <c r="AX179" s="141"/>
      <c r="AY179" s="142"/>
      <c r="AZ179" s="142"/>
      <c r="BA179" s="56" t="s">
        <v>20</v>
      </c>
      <c r="BB179" s="91" t="n">
        <f aca="false">SUM(L$4:L$503)/COUNTA(A$4:A$503)</f>
        <v>9494.39992</v>
      </c>
      <c r="BC179" s="92" t="n">
        <f aca="false">SUM(M$4:M$503)/COUNTA(A$4:A$503)</f>
        <v>667.20008</v>
      </c>
      <c r="BD179" s="92" t="n">
        <f aca="false">SUM(N$4:N$503)/COUNTA(A$4:A$503)</f>
        <v>697.19996</v>
      </c>
      <c r="BE179" s="92" t="n">
        <f aca="false">SUM(O$4:O$503)/COUNTA(A$4:A$503)</f>
        <v>713.9999</v>
      </c>
      <c r="BF179" s="92" t="n">
        <f aca="false">SUM(P$4:P$503)/COUNTA(A$4:A$503)</f>
        <v>732.59984</v>
      </c>
      <c r="BG179" s="92" t="n">
        <f aca="false">SUM(Q$4:Q$503)/COUNTA(A$4:A$503)</f>
        <v>756.59992</v>
      </c>
      <c r="BH179" s="92" t="n">
        <f aca="false">SUM(R$4:R$503)/COUNTA(A$4:A$503)</f>
        <v>776.40004</v>
      </c>
      <c r="BI179" s="92" t="n">
        <f aca="false">SUM(S$4:S$503)/COUNTA(A$4:A$503)</f>
        <v>806.40012</v>
      </c>
      <c r="BJ179" s="92" t="n">
        <f aca="false">SUM(T$4:T$503)/COUNTA(A$4:A$503)</f>
        <v>826.1999</v>
      </c>
      <c r="BK179" s="92" t="n">
        <f aca="false">SUM(U$4:U$503)/COUNTA(A$4:A$503)</f>
        <v>844.8002</v>
      </c>
      <c r="BL179" s="92" t="n">
        <f aca="false">SUM(V$4:V$503)/COUNTA(A$4:A$503)</f>
        <v>865.7998</v>
      </c>
      <c r="BM179" s="92" t="n">
        <f aca="false">SUM(W$4:W$503)/COUNTA(A$4:A$503)</f>
        <v>888.59982</v>
      </c>
      <c r="BN179" s="93" t="n">
        <f aca="false">SUM(X$4:X$503)/COUNTA(A$4:A$503)</f>
        <v>918.60034</v>
      </c>
      <c r="BO179" s="94" t="s">
        <v>20</v>
      </c>
      <c r="BP179" s="91" t="n">
        <f aca="false">IF(Z179&gt;=BB179,0,IFERROR(BB179+(SUMPRODUCT((Z$4:Z$503&gt;=BB$4:BB$503)*(Z$4:Z$503-BB$4:BB$503))/MAX(1,COUNTIF(Z$4:Z$503,"&lt;"&amp;BB179+0.01))),BB179))</f>
        <v>10695.5432177778</v>
      </c>
      <c r="BQ179" s="92" t="n">
        <f aca="false">IF(AA179&gt;=BC179,0,IFERROR(BC179+SUMPRODUCT((AA$4:AA$503&gt;=BC$4:BC$503)*(AA$4:AA$503-BC$4:BC$503))/MAX(1,COUNTIF(AA$4:AA$503,"&lt;"&amp;BC179+0.01)),BC179))</f>
        <v>2238.46589176471</v>
      </c>
      <c r="BR179" s="92" t="n">
        <f aca="false">IF(AB179&gt;=BD179,0,IFERROR(BD179+SUMPRODUCT((AB$4:AB$503&gt;=BD$4:BD$503)*(AB$4:AB$503-BD$4:BD$503))/MAX(1,COUNTIF(AB$4:AB$503,"&lt;"&amp;BD179+0.01)),BD179))</f>
        <v>3335.2938</v>
      </c>
      <c r="BS179" s="92" t="n">
        <f aca="false">IF(AC179&gt;=BE179,0,IFERROR(BE179+SUMPRODUCT((AC$4:AC$503&gt;=BE$4:BE$503)*(AC$4:AC$503-BE$4:BE$503))/MAX(1,COUNTIF(AC$4:AC$503,"&lt;"&amp;BE179+0.01)),BE179))</f>
        <v>6188.73352</v>
      </c>
      <c r="BT179" s="92" t="n">
        <f aca="false">IF(AD179&gt;=BF179,0,IFERROR(BF179+SUMPRODUCT((AD$4:AD$503&gt;=BF$4:BF$503)*(AD$4:AD$503-BF$4:BF$503))/MAX(1,COUNTIF(AD$4:AD$503,"&lt;"&amp;BF179+0.01)),BF179))</f>
        <v>0</v>
      </c>
      <c r="BU179" s="92" t="n">
        <f aca="false">IF(AE179&gt;=BG179,0,IFERROR(BG179+SUMPRODUCT((AE$4:AE$503&gt;=BG$4:BG$503)*(AE$4:AE$503-BG$4:BG$503))/MAX(1,COUNTIF(AE$4:AE$503,"&lt;"&amp;BG179+0.01)),BG179))</f>
        <v>7704.85920380952</v>
      </c>
      <c r="BV179" s="92" t="n">
        <f aca="false">IF(AF179&gt;=BH179,0,IFERROR(BH179+SUMPRODUCT((AF$4:AF$503&gt;=BH$4:BH$503)*(AF$4:AF$503-BH$4:BH$503))/MAX(1,COUNTIF(AF$4:AF$503,"&lt;"&amp;BH179+0.01)),BH179))</f>
        <v>9942.6503831579</v>
      </c>
      <c r="BW179" s="92" t="n">
        <f aca="false">IF(AG179&gt;=BI179,0,IFERROR(BI179+SUMPRODUCT((AG$4:AG$503&gt;=BI$4:BI$503)*(AG$4:AG$503-BI$4:BI$503))/MAX(1,COUNTIF(AG$4:AG$503,"&lt;"&amp;BI179+0.01)),BI179))</f>
        <v>9142.15870461538</v>
      </c>
      <c r="BX179" s="92" t="n">
        <f aca="false">IF(AH179&gt;=BJ179,0,IFERROR(BJ179+SUMPRODUCT((AH$4:AH$503&gt;=BJ$4:BJ$503)*(AH$4:AH$503-BJ$4:BJ$503))/MAX(1,COUNTIF(AH$4:AH$503,"&lt;"&amp;BJ179+0.01)),BJ179))</f>
        <v>5621.50263448276</v>
      </c>
      <c r="BY179" s="92" t="n">
        <f aca="false">IF(AI179&gt;=BK179,0,IFERROR(BK179+SUMPRODUCT((AI$4:AI$503&gt;=BK$4:BK$503)*(AI$4:AI$503-BK$4:BK$503))/MAX(1,COUNTIF(AI$4:AI$503,"&lt;"&amp;BK179+0.01)),BK179))</f>
        <v>7878.25652380952</v>
      </c>
      <c r="BZ179" s="92" t="n">
        <f aca="false">IF(AJ179&gt;=BL179,0,IFERROR(BL179+SUMPRODUCT((AJ$4:AJ$503&gt;=BL$4:BL$503)*(AJ$4:AJ$503-BL$4:BL$503))/MAX(1,COUNTIF(AJ$4:AJ$503,"&lt;"&amp;BL179+0.01)),BL179))</f>
        <v>6710.03292307692</v>
      </c>
      <c r="CA179" s="92" t="n">
        <f aca="false">IF(AK179&gt;=BM179,0,IFERROR(BM179+SUMPRODUCT((AK$4:AK$503&gt;=BM$4:BM$503)*(AK$4:AK$503-BM$4:BM$503))/MAX(1,COUNTIF(AK$4:AK$503,"&lt;"&amp;BM179+0.01)),BM179))</f>
        <v>7314.89836842105</v>
      </c>
      <c r="CB179" s="93" t="n">
        <f aca="false">IF(AL179&gt;=BN179,0,IFERROR(BN179+SUMPRODUCT((AL$4:AL$503&gt;=BN$4:BN$503)*(AL$4:AL$503-BN$4:BN$503))/MAX(1,COUNTIF(AL$4:AL$503,"&lt;"&amp;BN179+0.01)),BN179))</f>
        <v>3597.2614925</v>
      </c>
      <c r="CC179" s="95" t="str">
        <f aca="false">IF(AO179="🟢","VERDE",IF(AO179="🟡","AMARELO",IF(AO179="🟠","VERMELHO",IF(AO179="🔴","VERMELHO","ROXO"))))</f>
        <v>VERMELHO</v>
      </c>
      <c r="CD179" s="96" t="s">
        <v>103</v>
      </c>
      <c r="CE179" s="96" t="s">
        <v>104</v>
      </c>
    </row>
    <row r="180" customFormat="false" ht="14.25" hidden="false" customHeight="true" outlineLevel="0" collapsed="false">
      <c r="A180" s="65" t="s">
        <v>495</v>
      </c>
      <c r="B180" s="66" t="s">
        <v>496</v>
      </c>
      <c r="C180" s="67" t="s">
        <v>158</v>
      </c>
      <c r="D180" s="68" t="s">
        <v>100</v>
      </c>
      <c r="E180" s="69" t="s">
        <v>187</v>
      </c>
      <c r="F180" s="70" t="n">
        <f aca="false">IFERROR(VLOOKUP(C180,$AS$3:$AT$10,2,FALSE()),IFERROR(VLOOKUP(C180,$AS$15:$AT$22,2,FALSE()),""))</f>
        <v>29</v>
      </c>
      <c r="G180" s="71" t="n">
        <f aca="false">IFERROR(VLOOKUP(C180,$AS$3:$AX$10,6,FALSE()),IFERROR(VLOOKUP(C180,$AS$15:$AX$22,6,FALSE()),""))</f>
        <v>0.458564072601712</v>
      </c>
      <c r="H180" s="72" t="str">
        <f aca="false">IFERROR(VLOOKUP(C180,$AS$3:$AY$10,7,FALSE()),IFERROR(VLOOKUP(C180,$AS$15:$AY$22,7,FALSE()),""))</f>
        <v>🟡 AMARELO</v>
      </c>
      <c r="I180" s="72" t="str">
        <f aca="false">IFERROR(VLOOKUP(C180,$AS$3:$AZ$10,8,FALSE()),IFERROR(VLOOKUP(C180,$AS$15:$AZ$22,8,FALSE()),""))</f>
        <v>Sell Out</v>
      </c>
      <c r="J180" s="73"/>
      <c r="K180" s="69" t="s">
        <v>158</v>
      </c>
      <c r="L180" s="74" t="n">
        <v>6751.21</v>
      </c>
      <c r="M180" s="75" t="n">
        <v>474.43</v>
      </c>
      <c r="N180" s="75" t="n">
        <v>495.76</v>
      </c>
      <c r="O180" s="75" t="n">
        <v>507.7</v>
      </c>
      <c r="P180" s="75" t="n">
        <v>520.93</v>
      </c>
      <c r="Q180" s="75" t="n">
        <v>538</v>
      </c>
      <c r="R180" s="75" t="n">
        <v>552.08</v>
      </c>
      <c r="S180" s="75" t="n">
        <v>573.41</v>
      </c>
      <c r="T180" s="75" t="n">
        <v>587.49</v>
      </c>
      <c r="U180" s="75" t="n">
        <v>600.71</v>
      </c>
      <c r="V180" s="75" t="n">
        <v>615.65</v>
      </c>
      <c r="W180" s="75" t="n">
        <v>631.86</v>
      </c>
      <c r="X180" s="76" t="n">
        <v>653.19</v>
      </c>
      <c r="Y180" s="77" t="s">
        <v>20</v>
      </c>
      <c r="Z180" s="78" t="n">
        <f aca="false">SUM(AA180:AL180)</f>
        <v>2725</v>
      </c>
      <c r="AA180" s="75"/>
      <c r="AB180" s="75"/>
      <c r="AC180" s="75"/>
      <c r="AD180" s="75"/>
      <c r="AE180" s="75"/>
      <c r="AF180" s="75"/>
      <c r="AG180" s="75"/>
      <c r="AH180" s="79" t="n">
        <v>1516</v>
      </c>
      <c r="AI180" s="75"/>
      <c r="AJ180" s="75"/>
      <c r="AK180" s="79" t="n">
        <v>1209</v>
      </c>
      <c r="AL180" s="76"/>
      <c r="AM180" s="56" t="s">
        <v>20</v>
      </c>
      <c r="AN180" s="80" t="n">
        <f aca="false">IF(L180=0,0,Z180/L180)</f>
        <v>0.40363134904706</v>
      </c>
      <c r="AO180" s="81" t="str">
        <f aca="false">IF(AN180="","",IF(AN180&gt;=0.9,"🟢",IF(AN180&gt;=0.7,"🟡",IF(AN180&gt;=0.5,"🟠","🔴"))))</f>
        <v>🔴</v>
      </c>
      <c r="AP180" s="82" t="n">
        <f aca="false">IF(L180=0,0,L180-Z180)</f>
        <v>4026.21</v>
      </c>
      <c r="AQ180" s="83" t="n">
        <f aca="false">IF(AP180=0,"",RANK(AP180,AP$4:AP$503,0))</f>
        <v>162</v>
      </c>
      <c r="AR180" s="84" t="s">
        <v>20</v>
      </c>
      <c r="AS180" s="141"/>
      <c r="AT180" s="141"/>
      <c r="AU180" s="141"/>
      <c r="AV180" s="141"/>
      <c r="AW180" s="141"/>
      <c r="AX180" s="141"/>
      <c r="AY180" s="142"/>
      <c r="AZ180" s="142"/>
      <c r="BA180" s="56" t="s">
        <v>20</v>
      </c>
      <c r="BB180" s="91" t="n">
        <f aca="false">SUM(L$4:L$503)/COUNTA(A$4:A$503)</f>
        <v>9494.39992</v>
      </c>
      <c r="BC180" s="92" t="n">
        <f aca="false">SUM(M$4:M$503)/COUNTA(A$4:A$503)</f>
        <v>667.20008</v>
      </c>
      <c r="BD180" s="92" t="n">
        <f aca="false">SUM(N$4:N$503)/COUNTA(A$4:A$503)</f>
        <v>697.19996</v>
      </c>
      <c r="BE180" s="92" t="n">
        <f aca="false">SUM(O$4:O$503)/COUNTA(A$4:A$503)</f>
        <v>713.9999</v>
      </c>
      <c r="BF180" s="92" t="n">
        <f aca="false">SUM(P$4:P$503)/COUNTA(A$4:A$503)</f>
        <v>732.59984</v>
      </c>
      <c r="BG180" s="92" t="n">
        <f aca="false">SUM(Q$4:Q$503)/COUNTA(A$4:A$503)</f>
        <v>756.59992</v>
      </c>
      <c r="BH180" s="92" t="n">
        <f aca="false">SUM(R$4:R$503)/COUNTA(A$4:A$503)</f>
        <v>776.40004</v>
      </c>
      <c r="BI180" s="92" t="n">
        <f aca="false">SUM(S$4:S$503)/COUNTA(A$4:A$503)</f>
        <v>806.40012</v>
      </c>
      <c r="BJ180" s="92" t="n">
        <f aca="false">SUM(T$4:T$503)/COUNTA(A$4:A$503)</f>
        <v>826.1999</v>
      </c>
      <c r="BK180" s="92" t="n">
        <f aca="false">SUM(U$4:U$503)/COUNTA(A$4:A$503)</f>
        <v>844.8002</v>
      </c>
      <c r="BL180" s="92" t="n">
        <f aca="false">SUM(V$4:V$503)/COUNTA(A$4:A$503)</f>
        <v>865.7998</v>
      </c>
      <c r="BM180" s="92" t="n">
        <f aca="false">SUM(W$4:W$503)/COUNTA(A$4:A$503)</f>
        <v>888.59982</v>
      </c>
      <c r="BN180" s="93" t="n">
        <f aca="false">SUM(X$4:X$503)/COUNTA(A$4:A$503)</f>
        <v>918.60034</v>
      </c>
      <c r="BO180" s="94" t="s">
        <v>20</v>
      </c>
      <c r="BP180" s="91" t="n">
        <f aca="false">IF(Z180&gt;=BB180,0,IFERROR(BB180+(SUMPRODUCT((Z$4:Z$503&gt;=BB$4:BB$503)*(Z$4:Z$503-BB$4:BB$503))/MAX(1,COUNTIF(Z$4:Z$503,"&lt;"&amp;BB180+0.01))),BB180))</f>
        <v>10695.5432177778</v>
      </c>
      <c r="BQ180" s="92" t="n">
        <f aca="false">IF(AA180&gt;=BC180,0,IFERROR(BC180+SUMPRODUCT((AA$4:AA$503&gt;=BC$4:BC$503)*(AA$4:AA$503-BC$4:BC$503))/MAX(1,COUNTIF(AA$4:AA$503,"&lt;"&amp;BC180+0.01)),BC180))</f>
        <v>2238.46589176471</v>
      </c>
      <c r="BR180" s="92" t="n">
        <f aca="false">IF(AB180&gt;=BD180,0,IFERROR(BD180+SUMPRODUCT((AB$4:AB$503&gt;=BD$4:BD$503)*(AB$4:AB$503-BD$4:BD$503))/MAX(1,COUNTIF(AB$4:AB$503,"&lt;"&amp;BD180+0.01)),BD180))</f>
        <v>3335.2938</v>
      </c>
      <c r="BS180" s="92" t="n">
        <f aca="false">IF(AC180&gt;=BE180,0,IFERROR(BE180+SUMPRODUCT((AC$4:AC$503&gt;=BE$4:BE$503)*(AC$4:AC$503-BE$4:BE$503))/MAX(1,COUNTIF(AC$4:AC$503,"&lt;"&amp;BE180+0.01)),BE180))</f>
        <v>6188.73352</v>
      </c>
      <c r="BT180" s="92" t="n">
        <f aca="false">IF(AD180&gt;=BF180,0,IFERROR(BF180+SUMPRODUCT((AD$4:AD$503&gt;=BF$4:BF$503)*(AD$4:AD$503-BF$4:BF$503))/MAX(1,COUNTIF(AD$4:AD$503,"&lt;"&amp;BF180+0.01)),BF180))</f>
        <v>11354.35411</v>
      </c>
      <c r="BU180" s="92" t="n">
        <f aca="false">IF(AE180&gt;=BG180,0,IFERROR(BG180+SUMPRODUCT((AE$4:AE$503&gt;=BG$4:BG$503)*(AE$4:AE$503-BG$4:BG$503))/MAX(1,COUNTIF(AE$4:AE$503,"&lt;"&amp;BG180+0.01)),BG180))</f>
        <v>7704.85920380952</v>
      </c>
      <c r="BV180" s="92" t="n">
        <f aca="false">IF(AF180&gt;=BH180,0,IFERROR(BH180+SUMPRODUCT((AF$4:AF$503&gt;=BH$4:BH$503)*(AF$4:AF$503-BH$4:BH$503))/MAX(1,COUNTIF(AF$4:AF$503,"&lt;"&amp;BH180+0.01)),BH180))</f>
        <v>9942.6503831579</v>
      </c>
      <c r="BW180" s="92" t="n">
        <f aca="false">IF(AG180&gt;=BI180,0,IFERROR(BI180+SUMPRODUCT((AG$4:AG$503&gt;=BI$4:BI$503)*(AG$4:AG$503-BI$4:BI$503))/MAX(1,COUNTIF(AG$4:AG$503,"&lt;"&amp;BI180+0.01)),BI180))</f>
        <v>9142.15870461538</v>
      </c>
      <c r="BX180" s="92" t="n">
        <f aca="false">IF(AH180&gt;=BJ180,0,IFERROR(BJ180+SUMPRODUCT((AH$4:AH$503&gt;=BJ$4:BJ$503)*(AH$4:AH$503-BJ$4:BJ$503))/MAX(1,COUNTIF(AH$4:AH$503,"&lt;"&amp;BJ180+0.01)),BJ180))</f>
        <v>0</v>
      </c>
      <c r="BY180" s="92" t="n">
        <f aca="false">IF(AI180&gt;=BK180,0,IFERROR(BK180+SUMPRODUCT((AI$4:AI$503&gt;=BK$4:BK$503)*(AI$4:AI$503-BK$4:BK$503))/MAX(1,COUNTIF(AI$4:AI$503,"&lt;"&amp;BK180+0.01)),BK180))</f>
        <v>7878.25652380952</v>
      </c>
      <c r="BZ180" s="92" t="n">
        <f aca="false">IF(AJ180&gt;=BL180,0,IFERROR(BL180+SUMPRODUCT((AJ$4:AJ$503&gt;=BL$4:BL$503)*(AJ$4:AJ$503-BL$4:BL$503))/MAX(1,COUNTIF(AJ$4:AJ$503,"&lt;"&amp;BL180+0.01)),BL180))</f>
        <v>6710.03292307692</v>
      </c>
      <c r="CA180" s="92" t="n">
        <f aca="false">IF(AK180&gt;=BM180,0,IFERROR(BM180+SUMPRODUCT((AK$4:AK$503&gt;=BM$4:BM$503)*(AK$4:AK$503-BM$4:BM$503))/MAX(1,COUNTIF(AK$4:AK$503,"&lt;"&amp;BM180+0.01)),BM180))</f>
        <v>0</v>
      </c>
      <c r="CB180" s="93" t="n">
        <f aca="false">IF(AL180&gt;=BN180,0,IFERROR(BN180+SUMPRODUCT((AL$4:AL$503&gt;=BN$4:BN$503)*(AL$4:AL$503-BN$4:BN$503))/MAX(1,COUNTIF(AL$4:AL$503,"&lt;"&amp;BN180+0.01)),BN180))</f>
        <v>3597.2614925</v>
      </c>
      <c r="CC180" s="95" t="str">
        <f aca="false">IF(AO180="🟢","VERDE",IF(AO180="🟡","AMARELO",IF(AO180="🟠","VERMELHO",IF(AO180="🔴","VERMELHO","ROXO"))))</f>
        <v>VERMELHO</v>
      </c>
      <c r="CD180" s="96" t="s">
        <v>103</v>
      </c>
      <c r="CE180" s="96" t="s">
        <v>104</v>
      </c>
    </row>
    <row r="181" customFormat="false" ht="14.25" hidden="false" customHeight="true" outlineLevel="0" collapsed="false">
      <c r="A181" s="65" t="s">
        <v>497</v>
      </c>
      <c r="B181" s="66" t="s">
        <v>498</v>
      </c>
      <c r="C181" s="66" t="s">
        <v>66</v>
      </c>
      <c r="D181" s="68" t="s">
        <v>175</v>
      </c>
      <c r="E181" s="69" t="s">
        <v>139</v>
      </c>
      <c r="F181" s="70" t="n">
        <f aca="false">IFERROR(VLOOKUP(C181,$AS$3:$AT$10,2,FALSE()),IFERROR(VLOOKUP(C181,$AS$15:$AT$22,2,FALSE()),""))</f>
        <v>44</v>
      </c>
      <c r="G181" s="71" t="n">
        <f aca="false">IFERROR(VLOOKUP(C181,$AS$3:$AX$10,6,FALSE()),IFERROR(VLOOKUP(C181,$AS$15:$AX$22,6,FALSE()),""))</f>
        <v>0.496839506257363</v>
      </c>
      <c r="H181" s="72" t="str">
        <f aca="false">IFERROR(VLOOKUP(C181,$AS$3:$AY$10,7,FALSE()),IFERROR(VLOOKUP(C181,$AS$15:$AY$22,7,FALSE()),""))</f>
        <v>🟡 AMARELO</v>
      </c>
      <c r="I181" s="72" t="str">
        <f aca="false">IFERROR(VLOOKUP(C181,$AS$3:$AZ$10,8,FALSE()),IFERROR(VLOOKUP(C181,$AS$15:$AZ$22,8,FALSE()),""))</f>
        <v>Sell Out</v>
      </c>
      <c r="J181" s="73"/>
      <c r="K181" s="69" t="s">
        <v>107</v>
      </c>
      <c r="L181" s="74" t="n">
        <v>6659.98</v>
      </c>
      <c r="M181" s="75" t="n">
        <v>468.02</v>
      </c>
      <c r="N181" s="75" t="n">
        <v>489.06</v>
      </c>
      <c r="O181" s="75" t="n">
        <v>500.84</v>
      </c>
      <c r="P181" s="75" t="n">
        <v>513.89</v>
      </c>
      <c r="Q181" s="75" t="n">
        <v>530.73</v>
      </c>
      <c r="R181" s="75" t="n">
        <v>544.62</v>
      </c>
      <c r="S181" s="75" t="n">
        <v>565.66</v>
      </c>
      <c r="T181" s="75" t="n">
        <v>579.55</v>
      </c>
      <c r="U181" s="75" t="n">
        <v>592.6</v>
      </c>
      <c r="V181" s="75" t="n">
        <v>607.33</v>
      </c>
      <c r="W181" s="75" t="n">
        <v>623.32</v>
      </c>
      <c r="X181" s="76" t="n">
        <v>644.36</v>
      </c>
      <c r="Y181" s="77" t="s">
        <v>20</v>
      </c>
      <c r="Z181" s="78" t="n">
        <f aca="false">SUM(AA181:AL181)</f>
        <v>2740.28</v>
      </c>
      <c r="AA181" s="75"/>
      <c r="AB181" s="75"/>
      <c r="AC181" s="75"/>
      <c r="AD181" s="75"/>
      <c r="AE181" s="75"/>
      <c r="AF181" s="75"/>
      <c r="AG181" s="75"/>
      <c r="AH181" s="75"/>
      <c r="AI181" s="75"/>
      <c r="AJ181" s="79" t="n">
        <v>1948.22</v>
      </c>
      <c r="AK181" s="75"/>
      <c r="AL181" s="107" t="n">
        <v>792.06</v>
      </c>
      <c r="AM181" s="56" t="s">
        <v>20</v>
      </c>
      <c r="AN181" s="80" t="n">
        <f aca="false">IF(L181=0,0,Z181/L181)</f>
        <v>0.41145468905312</v>
      </c>
      <c r="AO181" s="81" t="str">
        <f aca="false">IF(AN181="","",IF(AN181&gt;=0.9,"🟢",IF(AN181&gt;=0.7,"🟡",IF(AN181&gt;=0.5,"🟠","🔴"))))</f>
        <v>🔴</v>
      </c>
      <c r="AP181" s="82" t="n">
        <f aca="false">IF(L181=0,0,L181-Z181)</f>
        <v>3919.7</v>
      </c>
      <c r="AQ181" s="83" t="n">
        <f aca="false">IF(AP181=0,"",RANK(AP181,AP$4:AP$503,0))</f>
        <v>167</v>
      </c>
      <c r="AR181" s="84" t="s">
        <v>20</v>
      </c>
      <c r="AS181" s="141"/>
      <c r="AT181" s="141"/>
      <c r="AU181" s="141"/>
      <c r="AV181" s="141"/>
      <c r="AW181" s="141"/>
      <c r="AX181" s="141"/>
      <c r="AY181" s="142"/>
      <c r="AZ181" s="142"/>
      <c r="BA181" s="56" t="s">
        <v>20</v>
      </c>
      <c r="BB181" s="91" t="n">
        <f aca="false">SUM(L$4:L$503)/COUNTA(A$4:A$503)</f>
        <v>9494.39992</v>
      </c>
      <c r="BC181" s="92" t="n">
        <f aca="false">SUM(M$4:M$503)/COUNTA(A$4:A$503)</f>
        <v>667.20008</v>
      </c>
      <c r="BD181" s="92" t="n">
        <f aca="false">SUM(N$4:N$503)/COUNTA(A$4:A$503)</f>
        <v>697.19996</v>
      </c>
      <c r="BE181" s="92" t="n">
        <f aca="false">SUM(O$4:O$503)/COUNTA(A$4:A$503)</f>
        <v>713.9999</v>
      </c>
      <c r="BF181" s="92" t="n">
        <f aca="false">SUM(P$4:P$503)/COUNTA(A$4:A$503)</f>
        <v>732.59984</v>
      </c>
      <c r="BG181" s="92" t="n">
        <f aca="false">SUM(Q$4:Q$503)/COUNTA(A$4:A$503)</f>
        <v>756.59992</v>
      </c>
      <c r="BH181" s="92" t="n">
        <f aca="false">SUM(R$4:R$503)/COUNTA(A$4:A$503)</f>
        <v>776.40004</v>
      </c>
      <c r="BI181" s="92" t="n">
        <f aca="false">SUM(S$4:S$503)/COUNTA(A$4:A$503)</f>
        <v>806.40012</v>
      </c>
      <c r="BJ181" s="92" t="n">
        <f aca="false">SUM(T$4:T$503)/COUNTA(A$4:A$503)</f>
        <v>826.1999</v>
      </c>
      <c r="BK181" s="92" t="n">
        <f aca="false">SUM(U$4:U$503)/COUNTA(A$4:A$503)</f>
        <v>844.8002</v>
      </c>
      <c r="BL181" s="92" t="n">
        <f aca="false">SUM(V$4:V$503)/COUNTA(A$4:A$503)</f>
        <v>865.7998</v>
      </c>
      <c r="BM181" s="92" t="n">
        <f aca="false">SUM(W$4:W$503)/COUNTA(A$4:A$503)</f>
        <v>888.59982</v>
      </c>
      <c r="BN181" s="93" t="n">
        <f aca="false">SUM(X$4:X$503)/COUNTA(A$4:A$503)</f>
        <v>918.60034</v>
      </c>
      <c r="BO181" s="94" t="s">
        <v>20</v>
      </c>
      <c r="BP181" s="91" t="n">
        <f aca="false">IF(Z181&gt;=BB181,0,IFERROR(BB181+(SUMPRODUCT((Z$4:Z$503&gt;=BB$4:BB$503)*(Z$4:Z$503-BB$4:BB$503))/MAX(1,COUNTIF(Z$4:Z$503,"&lt;"&amp;BB181+0.01))),BB181))</f>
        <v>10695.5432177778</v>
      </c>
      <c r="BQ181" s="92" t="n">
        <f aca="false">IF(AA181&gt;=BC181,0,IFERROR(BC181+SUMPRODUCT((AA$4:AA$503&gt;=BC$4:BC$503)*(AA$4:AA$503-BC$4:BC$503))/MAX(1,COUNTIF(AA$4:AA$503,"&lt;"&amp;BC181+0.01)),BC181))</f>
        <v>2238.46589176471</v>
      </c>
      <c r="BR181" s="92" t="n">
        <f aca="false">IF(AB181&gt;=BD181,0,IFERROR(BD181+SUMPRODUCT((AB$4:AB$503&gt;=BD$4:BD$503)*(AB$4:AB$503-BD$4:BD$503))/MAX(1,COUNTIF(AB$4:AB$503,"&lt;"&amp;BD181+0.01)),BD181))</f>
        <v>3335.2938</v>
      </c>
      <c r="BS181" s="92" t="n">
        <f aca="false">IF(AC181&gt;=BE181,0,IFERROR(BE181+SUMPRODUCT((AC$4:AC$503&gt;=BE$4:BE$503)*(AC$4:AC$503-BE$4:BE$503))/MAX(1,COUNTIF(AC$4:AC$503,"&lt;"&amp;BE181+0.01)),BE181))</f>
        <v>6188.73352</v>
      </c>
      <c r="BT181" s="92" t="n">
        <f aca="false">IF(AD181&gt;=BF181,0,IFERROR(BF181+SUMPRODUCT((AD$4:AD$503&gt;=BF$4:BF$503)*(AD$4:AD$503-BF$4:BF$503))/MAX(1,COUNTIF(AD$4:AD$503,"&lt;"&amp;BF181+0.01)),BF181))</f>
        <v>11354.35411</v>
      </c>
      <c r="BU181" s="92" t="n">
        <f aca="false">IF(AE181&gt;=BG181,0,IFERROR(BG181+SUMPRODUCT((AE$4:AE$503&gt;=BG$4:BG$503)*(AE$4:AE$503-BG$4:BG$503))/MAX(1,COUNTIF(AE$4:AE$503,"&lt;"&amp;BG181+0.01)),BG181))</f>
        <v>7704.85920380952</v>
      </c>
      <c r="BV181" s="92" t="n">
        <f aca="false">IF(AF181&gt;=BH181,0,IFERROR(BH181+SUMPRODUCT((AF$4:AF$503&gt;=BH$4:BH$503)*(AF$4:AF$503-BH$4:BH$503))/MAX(1,COUNTIF(AF$4:AF$503,"&lt;"&amp;BH181+0.01)),BH181))</f>
        <v>9942.6503831579</v>
      </c>
      <c r="BW181" s="92" t="n">
        <f aca="false">IF(AG181&gt;=BI181,0,IFERROR(BI181+SUMPRODUCT((AG$4:AG$503&gt;=BI$4:BI$503)*(AG$4:AG$503-BI$4:BI$503))/MAX(1,COUNTIF(AG$4:AG$503,"&lt;"&amp;BI181+0.01)),BI181))</f>
        <v>9142.15870461538</v>
      </c>
      <c r="BX181" s="92" t="n">
        <f aca="false">IF(AH181&gt;=BJ181,0,IFERROR(BJ181+SUMPRODUCT((AH$4:AH$503&gt;=BJ$4:BJ$503)*(AH$4:AH$503-BJ$4:BJ$503))/MAX(1,COUNTIF(AH$4:AH$503,"&lt;"&amp;BJ181+0.01)),BJ181))</f>
        <v>5621.50263448276</v>
      </c>
      <c r="BY181" s="92" t="n">
        <f aca="false">IF(AI181&gt;=BK181,0,IFERROR(BK181+SUMPRODUCT((AI$4:AI$503&gt;=BK$4:BK$503)*(AI$4:AI$503-BK$4:BK$503))/MAX(1,COUNTIF(AI$4:AI$503,"&lt;"&amp;BK181+0.01)),BK181))</f>
        <v>7878.25652380952</v>
      </c>
      <c r="BZ181" s="92" t="n">
        <f aca="false">IF(AJ181&gt;=BL181,0,IFERROR(BL181+SUMPRODUCT((AJ$4:AJ$503&gt;=BL$4:BL$503)*(AJ$4:AJ$503-BL$4:BL$503))/MAX(1,COUNTIF(AJ$4:AJ$503,"&lt;"&amp;BL181+0.01)),BL181))</f>
        <v>0</v>
      </c>
      <c r="CA181" s="92" t="n">
        <f aca="false">IF(AK181&gt;=BM181,0,IFERROR(BM181+SUMPRODUCT((AK$4:AK$503&gt;=BM$4:BM$503)*(AK$4:AK$503-BM$4:BM$503))/MAX(1,COUNTIF(AK$4:AK$503,"&lt;"&amp;BM181+0.01)),BM181))</f>
        <v>7314.89836842105</v>
      </c>
      <c r="CB181" s="93" t="n">
        <f aca="false">IF(AL181&gt;=BN181,0,IFERROR(BN181+SUMPRODUCT((AL$4:AL$503&gt;=BN$4:BN$503)*(AL$4:AL$503-BN$4:BN$503))/MAX(1,COUNTIF(AL$4:AL$503,"&lt;"&amp;BN181+0.01)),BN181))</f>
        <v>3597.2614925</v>
      </c>
      <c r="CC181" s="95" t="str">
        <f aca="false">IF(AO181="🟢","VERDE",IF(AO181="🟡","AMARELO",IF(AO181="🟠","VERMELHO",IF(AO181="🔴","VERMELHO","ROXO"))))</f>
        <v>VERMELHO</v>
      </c>
      <c r="CD181" s="96" t="s">
        <v>176</v>
      </c>
      <c r="CE181" s="96" t="s">
        <v>66</v>
      </c>
    </row>
    <row r="182" customFormat="false" ht="14.25" hidden="false" customHeight="true" outlineLevel="0" collapsed="false">
      <c r="A182" s="65" t="s">
        <v>499</v>
      </c>
      <c r="B182" s="66" t="s">
        <v>500</v>
      </c>
      <c r="C182" s="67" t="s">
        <v>107</v>
      </c>
      <c r="D182" s="68" t="s">
        <v>108</v>
      </c>
      <c r="E182" s="69" t="s">
        <v>109</v>
      </c>
      <c r="F182" s="70" t="n">
        <f aca="false">IFERROR(VLOOKUP(C182,$AS$3:$AT$10,2,FALSE()),IFERROR(VLOOKUP(C182,$AS$15:$AT$22,2,FALSE()),""))</f>
        <v>132</v>
      </c>
      <c r="G182" s="71" t="n">
        <f aca="false">IFERROR(VLOOKUP(C182,$AS$3:$AX$10,6,FALSE()),IFERROR(VLOOKUP(C182,$AS$15:$AX$22,6,FALSE()),""))</f>
        <v>0.468190175850689</v>
      </c>
      <c r="H182" s="72" t="str">
        <f aca="false">IFERROR(VLOOKUP(C182,$AS$3:$AY$10,7,FALSE()),IFERROR(VLOOKUP(C182,$AS$15:$AY$22,7,FALSE()),""))</f>
        <v>🟡 AMARELO</v>
      </c>
      <c r="I182" s="72" t="str">
        <f aca="false">IFERROR(VLOOKUP(C182,$AS$3:$AZ$10,8,FALSE()),IFERROR(VLOOKUP(C182,$AS$15:$AZ$22,8,FALSE()),""))</f>
        <v>Sell Out</v>
      </c>
      <c r="J182" s="73"/>
      <c r="K182" s="69" t="s">
        <v>107</v>
      </c>
      <c r="L182" s="74" t="n">
        <v>6613.93</v>
      </c>
      <c r="M182" s="75" t="n">
        <v>464.78</v>
      </c>
      <c r="N182" s="75" t="n">
        <v>485.68</v>
      </c>
      <c r="O182" s="75" t="n">
        <v>497.38</v>
      </c>
      <c r="P182" s="75" t="n">
        <v>510.34</v>
      </c>
      <c r="Q182" s="75" t="n">
        <v>527.06</v>
      </c>
      <c r="R182" s="75" t="n">
        <v>540.85</v>
      </c>
      <c r="S182" s="75" t="n">
        <v>561.75</v>
      </c>
      <c r="T182" s="75" t="n">
        <v>575.54</v>
      </c>
      <c r="U182" s="75" t="n">
        <v>588.5</v>
      </c>
      <c r="V182" s="75" t="n">
        <v>603.13</v>
      </c>
      <c r="W182" s="75" t="n">
        <v>619.01</v>
      </c>
      <c r="X182" s="76" t="n">
        <v>639.91</v>
      </c>
      <c r="Y182" s="77" t="s">
        <v>20</v>
      </c>
      <c r="Z182" s="78" t="n">
        <f aca="false">SUM(AA182:AL182)</f>
        <v>2708.52</v>
      </c>
      <c r="AA182" s="75"/>
      <c r="AB182" s="75"/>
      <c r="AC182" s="75"/>
      <c r="AD182" s="75"/>
      <c r="AE182" s="79" t="n">
        <v>1320</v>
      </c>
      <c r="AF182" s="75"/>
      <c r="AG182" s="75"/>
      <c r="AH182" s="75"/>
      <c r="AI182" s="79" t="n">
        <v>1388.52</v>
      </c>
      <c r="AJ182" s="75"/>
      <c r="AK182" s="75"/>
      <c r="AL182" s="76"/>
      <c r="AM182" s="56" t="s">
        <v>20</v>
      </c>
      <c r="AN182" s="80" t="n">
        <f aca="false">IF(L182=0,0,Z182/L182)</f>
        <v>0.409517488089532</v>
      </c>
      <c r="AO182" s="81" t="str">
        <f aca="false">IF(AN182="","",IF(AN182&gt;=0.9,"🟢",IF(AN182&gt;=0.7,"🟡",IF(AN182&gt;=0.5,"🟠","🔴"))))</f>
        <v>🔴</v>
      </c>
      <c r="AP182" s="82" t="n">
        <f aca="false">IF(L182=0,0,L182-Z182)</f>
        <v>3905.41</v>
      </c>
      <c r="AQ182" s="83" t="n">
        <f aca="false">IF(AP182=0,"",RANK(AP182,AP$4:AP$503,0))</f>
        <v>168</v>
      </c>
      <c r="AR182" s="84" t="s">
        <v>20</v>
      </c>
      <c r="AS182" s="141"/>
      <c r="AT182" s="141"/>
      <c r="AU182" s="141"/>
      <c r="AV182" s="141"/>
      <c r="AW182" s="141"/>
      <c r="AX182" s="141"/>
      <c r="AY182" s="142"/>
      <c r="AZ182" s="142"/>
      <c r="BA182" s="56" t="s">
        <v>20</v>
      </c>
      <c r="BB182" s="91" t="n">
        <f aca="false">SUM(L$4:L$503)/COUNTA(A$4:A$503)</f>
        <v>9494.39992</v>
      </c>
      <c r="BC182" s="92" t="n">
        <f aca="false">SUM(M$4:M$503)/COUNTA(A$4:A$503)</f>
        <v>667.20008</v>
      </c>
      <c r="BD182" s="92" t="n">
        <f aca="false">SUM(N$4:N$503)/COUNTA(A$4:A$503)</f>
        <v>697.19996</v>
      </c>
      <c r="BE182" s="92" t="n">
        <f aca="false">SUM(O$4:O$503)/COUNTA(A$4:A$503)</f>
        <v>713.9999</v>
      </c>
      <c r="BF182" s="92" t="n">
        <f aca="false">SUM(P$4:P$503)/COUNTA(A$4:A$503)</f>
        <v>732.59984</v>
      </c>
      <c r="BG182" s="92" t="n">
        <f aca="false">SUM(Q$4:Q$503)/COUNTA(A$4:A$503)</f>
        <v>756.59992</v>
      </c>
      <c r="BH182" s="92" t="n">
        <f aca="false">SUM(R$4:R$503)/COUNTA(A$4:A$503)</f>
        <v>776.40004</v>
      </c>
      <c r="BI182" s="92" t="n">
        <f aca="false">SUM(S$4:S$503)/COUNTA(A$4:A$503)</f>
        <v>806.40012</v>
      </c>
      <c r="BJ182" s="92" t="n">
        <f aca="false">SUM(T$4:T$503)/COUNTA(A$4:A$503)</f>
        <v>826.1999</v>
      </c>
      <c r="BK182" s="92" t="n">
        <f aca="false">SUM(U$4:U$503)/COUNTA(A$4:A$503)</f>
        <v>844.8002</v>
      </c>
      <c r="BL182" s="92" t="n">
        <f aca="false">SUM(V$4:V$503)/COUNTA(A$4:A$503)</f>
        <v>865.7998</v>
      </c>
      <c r="BM182" s="92" t="n">
        <f aca="false">SUM(W$4:W$503)/COUNTA(A$4:A$503)</f>
        <v>888.59982</v>
      </c>
      <c r="BN182" s="93" t="n">
        <f aca="false">SUM(X$4:X$503)/COUNTA(A$4:A$503)</f>
        <v>918.60034</v>
      </c>
      <c r="BO182" s="94" t="s">
        <v>20</v>
      </c>
      <c r="BP182" s="91" t="n">
        <f aca="false">IF(Z182&gt;=BB182,0,IFERROR(BB182+(SUMPRODUCT((Z$4:Z$503&gt;=BB$4:BB$503)*(Z$4:Z$503-BB$4:BB$503))/MAX(1,COUNTIF(Z$4:Z$503,"&lt;"&amp;BB182+0.01))),BB182))</f>
        <v>10695.5432177778</v>
      </c>
      <c r="BQ182" s="92" t="n">
        <f aca="false">IF(AA182&gt;=BC182,0,IFERROR(BC182+SUMPRODUCT((AA$4:AA$503&gt;=BC$4:BC$503)*(AA$4:AA$503-BC$4:BC$503))/MAX(1,COUNTIF(AA$4:AA$503,"&lt;"&amp;BC182+0.01)),BC182))</f>
        <v>2238.46589176471</v>
      </c>
      <c r="BR182" s="92" t="n">
        <f aca="false">IF(AB182&gt;=BD182,0,IFERROR(BD182+SUMPRODUCT((AB$4:AB$503&gt;=BD$4:BD$503)*(AB$4:AB$503-BD$4:BD$503))/MAX(1,COUNTIF(AB$4:AB$503,"&lt;"&amp;BD182+0.01)),BD182))</f>
        <v>3335.2938</v>
      </c>
      <c r="BS182" s="92" t="n">
        <f aca="false">IF(AC182&gt;=BE182,0,IFERROR(BE182+SUMPRODUCT((AC$4:AC$503&gt;=BE$4:BE$503)*(AC$4:AC$503-BE$4:BE$503))/MAX(1,COUNTIF(AC$4:AC$503,"&lt;"&amp;BE182+0.01)),BE182))</f>
        <v>6188.73352</v>
      </c>
      <c r="BT182" s="92" t="n">
        <f aca="false">IF(AD182&gt;=BF182,0,IFERROR(BF182+SUMPRODUCT((AD$4:AD$503&gt;=BF$4:BF$503)*(AD$4:AD$503-BF$4:BF$503))/MAX(1,COUNTIF(AD$4:AD$503,"&lt;"&amp;BF182+0.01)),BF182))</f>
        <v>11354.35411</v>
      </c>
      <c r="BU182" s="92" t="n">
        <f aca="false">IF(AE182&gt;=BG182,0,IFERROR(BG182+SUMPRODUCT((AE$4:AE$503&gt;=BG$4:BG$503)*(AE$4:AE$503-BG$4:BG$503))/MAX(1,COUNTIF(AE$4:AE$503,"&lt;"&amp;BG182+0.01)),BG182))</f>
        <v>0</v>
      </c>
      <c r="BV182" s="92" t="n">
        <f aca="false">IF(AF182&gt;=BH182,0,IFERROR(BH182+SUMPRODUCT((AF$4:AF$503&gt;=BH$4:BH$503)*(AF$4:AF$503-BH$4:BH$503))/MAX(1,COUNTIF(AF$4:AF$503,"&lt;"&amp;BH182+0.01)),BH182))</f>
        <v>9942.6503831579</v>
      </c>
      <c r="BW182" s="92" t="n">
        <f aca="false">IF(AG182&gt;=BI182,0,IFERROR(BI182+SUMPRODUCT((AG$4:AG$503&gt;=BI$4:BI$503)*(AG$4:AG$503-BI$4:BI$503))/MAX(1,COUNTIF(AG$4:AG$503,"&lt;"&amp;BI182+0.01)),BI182))</f>
        <v>9142.15870461538</v>
      </c>
      <c r="BX182" s="92" t="n">
        <f aca="false">IF(AH182&gt;=BJ182,0,IFERROR(BJ182+SUMPRODUCT((AH$4:AH$503&gt;=BJ$4:BJ$503)*(AH$4:AH$503-BJ$4:BJ$503))/MAX(1,COUNTIF(AH$4:AH$503,"&lt;"&amp;BJ182+0.01)),BJ182))</f>
        <v>5621.50263448276</v>
      </c>
      <c r="BY182" s="92" t="n">
        <f aca="false">IF(AI182&gt;=BK182,0,IFERROR(BK182+SUMPRODUCT((AI$4:AI$503&gt;=BK$4:BK$503)*(AI$4:AI$503-BK$4:BK$503))/MAX(1,COUNTIF(AI$4:AI$503,"&lt;"&amp;BK182+0.01)),BK182))</f>
        <v>0</v>
      </c>
      <c r="BZ182" s="92" t="n">
        <f aca="false">IF(AJ182&gt;=BL182,0,IFERROR(BL182+SUMPRODUCT((AJ$4:AJ$503&gt;=BL$4:BL$503)*(AJ$4:AJ$503-BL$4:BL$503))/MAX(1,COUNTIF(AJ$4:AJ$503,"&lt;"&amp;BL182+0.01)),BL182))</f>
        <v>6710.03292307692</v>
      </c>
      <c r="CA182" s="92" t="n">
        <f aca="false">IF(AK182&gt;=BM182,0,IFERROR(BM182+SUMPRODUCT((AK$4:AK$503&gt;=BM$4:BM$503)*(AK$4:AK$503-BM$4:BM$503))/MAX(1,COUNTIF(AK$4:AK$503,"&lt;"&amp;BM182+0.01)),BM182))</f>
        <v>7314.89836842105</v>
      </c>
      <c r="CB182" s="93" t="n">
        <f aca="false">IF(AL182&gt;=BN182,0,IFERROR(BN182+SUMPRODUCT((AL$4:AL$503&gt;=BN$4:BN$503)*(AL$4:AL$503-BN$4:BN$503))/MAX(1,COUNTIF(AL$4:AL$503,"&lt;"&amp;BN182+0.01)),BN182))</f>
        <v>3597.2614925</v>
      </c>
      <c r="CC182" s="95" t="str">
        <f aca="false">IF(AO182="🟢","VERDE",IF(AO182="🟡","AMARELO",IF(AO182="🟠","VERMELHO",IF(AO182="🔴","VERMELHO","ROXO"))))</f>
        <v>VERMELHO</v>
      </c>
      <c r="CD182" s="96" t="s">
        <v>103</v>
      </c>
      <c r="CE182" s="96" t="s">
        <v>104</v>
      </c>
    </row>
    <row r="183" customFormat="false" ht="14.25" hidden="false" customHeight="true" outlineLevel="0" collapsed="false">
      <c r="A183" s="65" t="s">
        <v>501</v>
      </c>
      <c r="B183" s="66" t="s">
        <v>502</v>
      </c>
      <c r="C183" s="67" t="s">
        <v>118</v>
      </c>
      <c r="D183" s="68" t="s">
        <v>100</v>
      </c>
      <c r="E183" s="69" t="s">
        <v>119</v>
      </c>
      <c r="F183" s="70" t="n">
        <f aca="false">IFERROR(VLOOKUP(C183,$AS$3:$AT$10,2,FALSE()),IFERROR(VLOOKUP(C183,$AS$15:$AT$22,2,FALSE()),""))</f>
        <v>42</v>
      </c>
      <c r="G183" s="71" t="n">
        <f aca="false">IFERROR(VLOOKUP(C183,$AS$3:$AX$10,6,FALSE()),IFERROR(VLOOKUP(C183,$AS$15:$AX$22,6,FALSE()),""))</f>
        <v>0.424872083346704</v>
      </c>
      <c r="H183" s="72" t="str">
        <f aca="false">IFERROR(VLOOKUP(C183,$AS$3:$AY$10,7,FALSE()),IFERROR(VLOOKUP(C183,$AS$15:$AY$22,7,FALSE()),""))</f>
        <v>🟡 AMARELO</v>
      </c>
      <c r="I183" s="72" t="str">
        <f aca="false">IFERROR(VLOOKUP(C183,$AS$3:$AZ$10,8,FALSE()),IFERROR(VLOOKUP(C183,$AS$15:$AZ$22,8,FALSE()),""))</f>
        <v>Sell Out</v>
      </c>
      <c r="J183" s="73"/>
      <c r="K183" s="69" t="s">
        <v>118</v>
      </c>
      <c r="L183" s="74" t="n">
        <v>6582.47</v>
      </c>
      <c r="M183" s="75" t="n">
        <v>462.57</v>
      </c>
      <c r="N183" s="75" t="n">
        <v>483.37</v>
      </c>
      <c r="O183" s="75" t="n">
        <v>495.02</v>
      </c>
      <c r="P183" s="75" t="n">
        <v>507.91</v>
      </c>
      <c r="Q183" s="75" t="n">
        <v>524.55</v>
      </c>
      <c r="R183" s="75" t="n">
        <v>538.28</v>
      </c>
      <c r="S183" s="75" t="n">
        <v>559.08</v>
      </c>
      <c r="T183" s="75" t="n">
        <v>572.8</v>
      </c>
      <c r="U183" s="75" t="n">
        <v>585.7</v>
      </c>
      <c r="V183" s="75" t="n">
        <v>600.26</v>
      </c>
      <c r="W183" s="75" t="n">
        <v>616.07</v>
      </c>
      <c r="X183" s="76" t="n">
        <v>636.86</v>
      </c>
      <c r="Y183" s="77" t="s">
        <v>20</v>
      </c>
      <c r="Z183" s="78" t="n">
        <f aca="false">SUM(AA183:AL183)</f>
        <v>2647.14</v>
      </c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107" t="n">
        <v>2647.14</v>
      </c>
      <c r="AM183" s="56" t="s">
        <v>20</v>
      </c>
      <c r="AN183" s="80" t="n">
        <f aca="false">IF(L183=0,0,Z183/L183)</f>
        <v>0.402149952829257</v>
      </c>
      <c r="AO183" s="81" t="str">
        <f aca="false">IF(AN183="","",IF(AN183&gt;=0.9,"🟢",IF(AN183&gt;=0.7,"🟡",IF(AN183&gt;=0.5,"🟠","🔴"))))</f>
        <v>🔴</v>
      </c>
      <c r="AP183" s="82" t="n">
        <f aca="false">IF(L183=0,0,L183-Z183)</f>
        <v>3935.33</v>
      </c>
      <c r="AQ183" s="83" t="n">
        <f aca="false">IF(AP183=0,"",RANK(AP183,AP$4:AP$503,0))</f>
        <v>165</v>
      </c>
      <c r="AR183" s="84" t="s">
        <v>20</v>
      </c>
      <c r="AS183" s="141"/>
      <c r="AT183" s="141"/>
      <c r="AU183" s="141"/>
      <c r="AV183" s="141"/>
      <c r="AW183" s="141"/>
      <c r="AX183" s="141"/>
      <c r="AY183" s="142"/>
      <c r="AZ183" s="142"/>
      <c r="BA183" s="56" t="s">
        <v>20</v>
      </c>
      <c r="BB183" s="91" t="n">
        <f aca="false">SUM(L$4:L$503)/COUNTA(A$4:A$503)</f>
        <v>9494.39992</v>
      </c>
      <c r="BC183" s="92" t="n">
        <f aca="false">SUM(M$4:M$503)/COUNTA(A$4:A$503)</f>
        <v>667.20008</v>
      </c>
      <c r="BD183" s="92" t="n">
        <f aca="false">SUM(N$4:N$503)/COUNTA(A$4:A$503)</f>
        <v>697.19996</v>
      </c>
      <c r="BE183" s="92" t="n">
        <f aca="false">SUM(O$4:O$503)/COUNTA(A$4:A$503)</f>
        <v>713.9999</v>
      </c>
      <c r="BF183" s="92" t="n">
        <f aca="false">SUM(P$4:P$503)/COUNTA(A$4:A$503)</f>
        <v>732.59984</v>
      </c>
      <c r="BG183" s="92" t="n">
        <f aca="false">SUM(Q$4:Q$503)/COUNTA(A$4:A$503)</f>
        <v>756.59992</v>
      </c>
      <c r="BH183" s="92" t="n">
        <f aca="false">SUM(R$4:R$503)/COUNTA(A$4:A$503)</f>
        <v>776.40004</v>
      </c>
      <c r="BI183" s="92" t="n">
        <f aca="false">SUM(S$4:S$503)/COUNTA(A$4:A$503)</f>
        <v>806.40012</v>
      </c>
      <c r="BJ183" s="92" t="n">
        <f aca="false">SUM(T$4:T$503)/COUNTA(A$4:A$503)</f>
        <v>826.1999</v>
      </c>
      <c r="BK183" s="92" t="n">
        <f aca="false">SUM(U$4:U$503)/COUNTA(A$4:A$503)</f>
        <v>844.8002</v>
      </c>
      <c r="BL183" s="92" t="n">
        <f aca="false">SUM(V$4:V$503)/COUNTA(A$4:A$503)</f>
        <v>865.7998</v>
      </c>
      <c r="BM183" s="92" t="n">
        <f aca="false">SUM(W$4:W$503)/COUNTA(A$4:A$503)</f>
        <v>888.59982</v>
      </c>
      <c r="BN183" s="93" t="n">
        <f aca="false">SUM(X$4:X$503)/COUNTA(A$4:A$503)</f>
        <v>918.60034</v>
      </c>
      <c r="BO183" s="94" t="s">
        <v>20</v>
      </c>
      <c r="BP183" s="91" t="n">
        <f aca="false">IF(Z183&gt;=BB183,0,IFERROR(BB183+(SUMPRODUCT((Z$4:Z$503&gt;=BB$4:BB$503)*(Z$4:Z$503-BB$4:BB$503))/MAX(1,COUNTIF(Z$4:Z$503,"&lt;"&amp;BB183+0.01))),BB183))</f>
        <v>10695.5432177778</v>
      </c>
      <c r="BQ183" s="92" t="n">
        <f aca="false">IF(AA183&gt;=BC183,0,IFERROR(BC183+SUMPRODUCT((AA$4:AA$503&gt;=BC$4:BC$503)*(AA$4:AA$503-BC$4:BC$503))/MAX(1,COUNTIF(AA$4:AA$503,"&lt;"&amp;BC183+0.01)),BC183))</f>
        <v>2238.46589176471</v>
      </c>
      <c r="BR183" s="92" t="n">
        <f aca="false">IF(AB183&gt;=BD183,0,IFERROR(BD183+SUMPRODUCT((AB$4:AB$503&gt;=BD$4:BD$503)*(AB$4:AB$503-BD$4:BD$503))/MAX(1,COUNTIF(AB$4:AB$503,"&lt;"&amp;BD183+0.01)),BD183))</f>
        <v>3335.2938</v>
      </c>
      <c r="BS183" s="92" t="n">
        <f aca="false">IF(AC183&gt;=BE183,0,IFERROR(BE183+SUMPRODUCT((AC$4:AC$503&gt;=BE$4:BE$503)*(AC$4:AC$503-BE$4:BE$503))/MAX(1,COUNTIF(AC$4:AC$503,"&lt;"&amp;BE183+0.01)),BE183))</f>
        <v>6188.73352</v>
      </c>
      <c r="BT183" s="92" t="n">
        <f aca="false">IF(AD183&gt;=BF183,0,IFERROR(BF183+SUMPRODUCT((AD$4:AD$503&gt;=BF$4:BF$503)*(AD$4:AD$503-BF$4:BF$503))/MAX(1,COUNTIF(AD$4:AD$503,"&lt;"&amp;BF183+0.01)),BF183))</f>
        <v>11354.35411</v>
      </c>
      <c r="BU183" s="92" t="n">
        <f aca="false">IF(AE183&gt;=BG183,0,IFERROR(BG183+SUMPRODUCT((AE$4:AE$503&gt;=BG$4:BG$503)*(AE$4:AE$503-BG$4:BG$503))/MAX(1,COUNTIF(AE$4:AE$503,"&lt;"&amp;BG183+0.01)),BG183))</f>
        <v>7704.85920380952</v>
      </c>
      <c r="BV183" s="92" t="n">
        <f aca="false">IF(AF183&gt;=BH183,0,IFERROR(BH183+SUMPRODUCT((AF$4:AF$503&gt;=BH$4:BH$503)*(AF$4:AF$503-BH$4:BH$503))/MAX(1,COUNTIF(AF$4:AF$503,"&lt;"&amp;BH183+0.01)),BH183))</f>
        <v>9942.6503831579</v>
      </c>
      <c r="BW183" s="92" t="n">
        <f aca="false">IF(AG183&gt;=BI183,0,IFERROR(BI183+SUMPRODUCT((AG$4:AG$503&gt;=BI$4:BI$503)*(AG$4:AG$503-BI$4:BI$503))/MAX(1,COUNTIF(AG$4:AG$503,"&lt;"&amp;BI183+0.01)),BI183))</f>
        <v>9142.15870461538</v>
      </c>
      <c r="BX183" s="92" t="n">
        <f aca="false">IF(AH183&gt;=BJ183,0,IFERROR(BJ183+SUMPRODUCT((AH$4:AH$503&gt;=BJ$4:BJ$503)*(AH$4:AH$503-BJ$4:BJ$503))/MAX(1,COUNTIF(AH$4:AH$503,"&lt;"&amp;BJ183+0.01)),BJ183))</f>
        <v>5621.50263448276</v>
      </c>
      <c r="BY183" s="92" t="n">
        <f aca="false">IF(AI183&gt;=BK183,0,IFERROR(BK183+SUMPRODUCT((AI$4:AI$503&gt;=BK$4:BK$503)*(AI$4:AI$503-BK$4:BK$503))/MAX(1,COUNTIF(AI$4:AI$503,"&lt;"&amp;BK183+0.01)),BK183))</f>
        <v>7878.25652380952</v>
      </c>
      <c r="BZ183" s="92" t="n">
        <f aca="false">IF(AJ183&gt;=BL183,0,IFERROR(BL183+SUMPRODUCT((AJ$4:AJ$503&gt;=BL$4:BL$503)*(AJ$4:AJ$503-BL$4:BL$503))/MAX(1,COUNTIF(AJ$4:AJ$503,"&lt;"&amp;BL183+0.01)),BL183))</f>
        <v>6710.03292307692</v>
      </c>
      <c r="CA183" s="92" t="n">
        <f aca="false">IF(AK183&gt;=BM183,0,IFERROR(BM183+SUMPRODUCT((AK$4:AK$503&gt;=BM$4:BM$503)*(AK$4:AK$503-BM$4:BM$503))/MAX(1,COUNTIF(AK$4:AK$503,"&lt;"&amp;BM183+0.01)),BM183))</f>
        <v>7314.89836842105</v>
      </c>
      <c r="CB183" s="93" t="n">
        <f aca="false">IF(AL183&gt;=BN183,0,IFERROR(BN183+SUMPRODUCT((AL$4:AL$503&gt;=BN$4:BN$503)*(AL$4:AL$503-BN$4:BN$503))/MAX(1,COUNTIF(AL$4:AL$503,"&lt;"&amp;BN183+0.01)),BN183))</f>
        <v>0</v>
      </c>
      <c r="CC183" s="95" t="str">
        <f aca="false">IF(AO183="🟢","VERDE",IF(AO183="🟡","AMARELO",IF(AO183="🟠","VERMELHO",IF(AO183="🔴","VERMELHO","ROXO"))))</f>
        <v>VERMELHO</v>
      </c>
      <c r="CD183" s="96" t="s">
        <v>103</v>
      </c>
      <c r="CE183" s="96" t="s">
        <v>104</v>
      </c>
    </row>
    <row r="184" customFormat="false" ht="14.25" hidden="false" customHeight="true" outlineLevel="0" collapsed="false">
      <c r="A184" s="65" t="s">
        <v>503</v>
      </c>
      <c r="B184" s="66" t="s">
        <v>504</v>
      </c>
      <c r="C184" s="67" t="s">
        <v>118</v>
      </c>
      <c r="D184" s="68" t="s">
        <v>100</v>
      </c>
      <c r="E184" s="69" t="s">
        <v>119</v>
      </c>
      <c r="F184" s="70" t="n">
        <f aca="false">IFERROR(VLOOKUP(C184,$AS$3:$AT$10,2,FALSE()),IFERROR(VLOOKUP(C184,$AS$15:$AT$22,2,FALSE()),""))</f>
        <v>42</v>
      </c>
      <c r="G184" s="71" t="n">
        <f aca="false">IFERROR(VLOOKUP(C184,$AS$3:$AX$10,6,FALSE()),IFERROR(VLOOKUP(C184,$AS$15:$AX$22,6,FALSE()),""))</f>
        <v>0.424872083346704</v>
      </c>
      <c r="H184" s="72" t="str">
        <f aca="false">IFERROR(VLOOKUP(C184,$AS$3:$AY$10,7,FALSE()),IFERROR(VLOOKUP(C184,$AS$15:$AY$22,7,FALSE()),""))</f>
        <v>🟡 AMARELO</v>
      </c>
      <c r="I184" s="72" t="str">
        <f aca="false">IFERROR(VLOOKUP(C184,$AS$3:$AZ$10,8,FALSE()),IFERROR(VLOOKUP(C184,$AS$15:$AZ$22,8,FALSE()),""))</f>
        <v>Sell Out</v>
      </c>
      <c r="J184" s="73"/>
      <c r="K184" s="69" t="s">
        <v>118</v>
      </c>
      <c r="L184" s="74" t="n">
        <v>6580</v>
      </c>
      <c r="M184" s="75" t="n">
        <v>462.4</v>
      </c>
      <c r="N184" s="75" t="n">
        <v>483.19</v>
      </c>
      <c r="O184" s="75" t="n">
        <v>494.83</v>
      </c>
      <c r="P184" s="75" t="n">
        <v>507.72</v>
      </c>
      <c r="Q184" s="75" t="n">
        <v>524.35</v>
      </c>
      <c r="R184" s="75" t="n">
        <v>538.08</v>
      </c>
      <c r="S184" s="75" t="n">
        <v>558.87</v>
      </c>
      <c r="T184" s="75" t="n">
        <v>572.59</v>
      </c>
      <c r="U184" s="75" t="n">
        <v>585.48</v>
      </c>
      <c r="V184" s="75" t="n">
        <v>600.03</v>
      </c>
      <c r="W184" s="75" t="n">
        <v>615.83</v>
      </c>
      <c r="X184" s="76" t="n">
        <v>636.63</v>
      </c>
      <c r="Y184" s="77" t="s">
        <v>20</v>
      </c>
      <c r="Z184" s="78" t="n">
        <f aca="false">SUM(AA184:AL184)</f>
        <v>3905.75</v>
      </c>
      <c r="AA184" s="75"/>
      <c r="AB184" s="75"/>
      <c r="AC184" s="75" t="n">
        <v>1247.65</v>
      </c>
      <c r="AD184" s="79" t="n">
        <v>1017.02</v>
      </c>
      <c r="AE184" s="75"/>
      <c r="AF184" s="79" t="n">
        <v>828.81</v>
      </c>
      <c r="AG184" s="75"/>
      <c r="AH184" s="79" t="n">
        <v>812.27</v>
      </c>
      <c r="AI184" s="75"/>
      <c r="AJ184" s="75"/>
      <c r="AK184" s="75"/>
      <c r="AL184" s="76"/>
      <c r="AM184" s="56" t="s">
        <v>20</v>
      </c>
      <c r="AN184" s="80" t="n">
        <f aca="false">IF(L184=0,0,Z184/L184)</f>
        <v>0.593579027355623</v>
      </c>
      <c r="AO184" s="81" t="str">
        <f aca="false">IF(AN184="","",IF(AN184&gt;=0.9,"🟢",IF(AN184&gt;=0.7,"🟡",IF(AN184&gt;=0.5,"🟠","🔴"))))</f>
        <v>🟠</v>
      </c>
      <c r="AP184" s="82" t="n">
        <f aca="false">IF(L184=0,0,L184-Z184)</f>
        <v>2674.25</v>
      </c>
      <c r="AQ184" s="83" t="n">
        <f aca="false">IF(AP184=0,"",RANK(AP184,AP$4:AP$503,0))</f>
        <v>230</v>
      </c>
      <c r="AR184" s="84" t="s">
        <v>20</v>
      </c>
      <c r="AS184" s="141"/>
      <c r="AT184" s="141"/>
      <c r="AU184" s="141"/>
      <c r="AV184" s="141"/>
      <c r="AW184" s="141"/>
      <c r="AX184" s="141"/>
      <c r="AY184" s="142"/>
      <c r="AZ184" s="142"/>
      <c r="BA184" s="56" t="s">
        <v>20</v>
      </c>
      <c r="BB184" s="91" t="n">
        <f aca="false">SUM(L$4:L$503)/COUNTA(A$4:A$503)</f>
        <v>9494.39992</v>
      </c>
      <c r="BC184" s="92" t="n">
        <f aca="false">SUM(M$4:M$503)/COUNTA(A$4:A$503)</f>
        <v>667.20008</v>
      </c>
      <c r="BD184" s="92" t="n">
        <f aca="false">SUM(N$4:N$503)/COUNTA(A$4:A$503)</f>
        <v>697.19996</v>
      </c>
      <c r="BE184" s="92" t="n">
        <f aca="false">SUM(O$4:O$503)/COUNTA(A$4:A$503)</f>
        <v>713.9999</v>
      </c>
      <c r="BF184" s="92" t="n">
        <f aca="false">SUM(P$4:P$503)/COUNTA(A$4:A$503)</f>
        <v>732.59984</v>
      </c>
      <c r="BG184" s="92" t="n">
        <f aca="false">SUM(Q$4:Q$503)/COUNTA(A$4:A$503)</f>
        <v>756.59992</v>
      </c>
      <c r="BH184" s="92" t="n">
        <f aca="false">SUM(R$4:R$503)/COUNTA(A$4:A$503)</f>
        <v>776.40004</v>
      </c>
      <c r="BI184" s="92" t="n">
        <f aca="false">SUM(S$4:S$503)/COUNTA(A$4:A$503)</f>
        <v>806.40012</v>
      </c>
      <c r="BJ184" s="92" t="n">
        <f aca="false">SUM(T$4:T$503)/COUNTA(A$4:A$503)</f>
        <v>826.1999</v>
      </c>
      <c r="BK184" s="92" t="n">
        <f aca="false">SUM(U$4:U$503)/COUNTA(A$4:A$503)</f>
        <v>844.8002</v>
      </c>
      <c r="BL184" s="92" t="n">
        <f aca="false">SUM(V$4:V$503)/COUNTA(A$4:A$503)</f>
        <v>865.7998</v>
      </c>
      <c r="BM184" s="92" t="n">
        <f aca="false">SUM(W$4:W$503)/COUNTA(A$4:A$503)</f>
        <v>888.59982</v>
      </c>
      <c r="BN184" s="93" t="n">
        <f aca="false">SUM(X$4:X$503)/COUNTA(A$4:A$503)</f>
        <v>918.60034</v>
      </c>
      <c r="BO184" s="94" t="s">
        <v>20</v>
      </c>
      <c r="BP184" s="91" t="n">
        <f aca="false">IF(Z184&gt;=BB184,0,IFERROR(BB184+(SUMPRODUCT((Z$4:Z$503&gt;=BB$4:BB$503)*(Z$4:Z$503-BB$4:BB$503))/MAX(1,COUNTIF(Z$4:Z$503,"&lt;"&amp;BB184+0.01))),BB184))</f>
        <v>10695.5432177778</v>
      </c>
      <c r="BQ184" s="92" t="n">
        <f aca="false">IF(AA184&gt;=BC184,0,IFERROR(BC184+SUMPRODUCT((AA$4:AA$503&gt;=BC$4:BC$503)*(AA$4:AA$503-BC$4:BC$503))/MAX(1,COUNTIF(AA$4:AA$503,"&lt;"&amp;BC184+0.01)),BC184))</f>
        <v>2238.46589176471</v>
      </c>
      <c r="BR184" s="92" t="n">
        <f aca="false">IF(AB184&gt;=BD184,0,IFERROR(BD184+SUMPRODUCT((AB$4:AB$503&gt;=BD$4:BD$503)*(AB$4:AB$503-BD$4:BD$503))/MAX(1,COUNTIF(AB$4:AB$503,"&lt;"&amp;BD184+0.01)),BD184))</f>
        <v>3335.2938</v>
      </c>
      <c r="BS184" s="92" t="n">
        <f aca="false">IF(AC184&gt;=BE184,0,IFERROR(BE184+SUMPRODUCT((AC$4:AC$503&gt;=BE$4:BE$503)*(AC$4:AC$503-BE$4:BE$503))/MAX(1,COUNTIF(AC$4:AC$503,"&lt;"&amp;BE184+0.01)),BE184))</f>
        <v>0</v>
      </c>
      <c r="BT184" s="92" t="n">
        <f aca="false">IF(AD184&gt;=BF184,0,IFERROR(BF184+SUMPRODUCT((AD$4:AD$503&gt;=BF$4:BF$503)*(AD$4:AD$503-BF$4:BF$503))/MAX(1,COUNTIF(AD$4:AD$503,"&lt;"&amp;BF184+0.01)),BF184))</f>
        <v>0</v>
      </c>
      <c r="BU184" s="92" t="n">
        <f aca="false">IF(AE184&gt;=BG184,0,IFERROR(BG184+SUMPRODUCT((AE$4:AE$503&gt;=BG$4:BG$503)*(AE$4:AE$503-BG$4:BG$503))/MAX(1,COUNTIF(AE$4:AE$503,"&lt;"&amp;BG184+0.01)),BG184))</f>
        <v>7704.85920380952</v>
      </c>
      <c r="BV184" s="92" t="n">
        <f aca="false">IF(AF184&gt;=BH184,0,IFERROR(BH184+SUMPRODUCT((AF$4:AF$503&gt;=BH$4:BH$503)*(AF$4:AF$503-BH$4:BH$503))/MAX(1,COUNTIF(AF$4:AF$503,"&lt;"&amp;BH184+0.01)),BH184))</f>
        <v>0</v>
      </c>
      <c r="BW184" s="92" t="n">
        <f aca="false">IF(AG184&gt;=BI184,0,IFERROR(BI184+SUMPRODUCT((AG$4:AG$503&gt;=BI$4:BI$503)*(AG$4:AG$503-BI$4:BI$503))/MAX(1,COUNTIF(AG$4:AG$503,"&lt;"&amp;BI184+0.01)),BI184))</f>
        <v>9142.15870461538</v>
      </c>
      <c r="BX184" s="92" t="n">
        <f aca="false">IF(AH184&gt;=BJ184,0,IFERROR(BJ184+SUMPRODUCT((AH$4:AH$503&gt;=BJ$4:BJ$503)*(AH$4:AH$503-BJ$4:BJ$503))/MAX(1,COUNTIF(AH$4:AH$503,"&lt;"&amp;BJ184+0.01)),BJ184))</f>
        <v>5621.50263448276</v>
      </c>
      <c r="BY184" s="92" t="n">
        <f aca="false">IF(AI184&gt;=BK184,0,IFERROR(BK184+SUMPRODUCT((AI$4:AI$503&gt;=BK$4:BK$503)*(AI$4:AI$503-BK$4:BK$503))/MAX(1,COUNTIF(AI$4:AI$503,"&lt;"&amp;BK184+0.01)),BK184))</f>
        <v>7878.25652380952</v>
      </c>
      <c r="BZ184" s="92" t="n">
        <f aca="false">IF(AJ184&gt;=BL184,0,IFERROR(BL184+SUMPRODUCT((AJ$4:AJ$503&gt;=BL$4:BL$503)*(AJ$4:AJ$503-BL$4:BL$503))/MAX(1,COUNTIF(AJ$4:AJ$503,"&lt;"&amp;BL184+0.01)),BL184))</f>
        <v>6710.03292307692</v>
      </c>
      <c r="CA184" s="92" t="n">
        <f aca="false">IF(AK184&gt;=BM184,0,IFERROR(BM184+SUMPRODUCT((AK$4:AK$503&gt;=BM$4:BM$503)*(AK$4:AK$503-BM$4:BM$503))/MAX(1,COUNTIF(AK$4:AK$503,"&lt;"&amp;BM184+0.01)),BM184))</f>
        <v>7314.89836842105</v>
      </c>
      <c r="CB184" s="93" t="n">
        <f aca="false">IF(AL184&gt;=BN184,0,IFERROR(BN184+SUMPRODUCT((AL$4:AL$503&gt;=BN$4:BN$503)*(AL$4:AL$503-BN$4:BN$503))/MAX(1,COUNTIF(AL$4:AL$503,"&lt;"&amp;BN184+0.01)),BN184))</f>
        <v>3597.2614925</v>
      </c>
      <c r="CC184" s="95" t="str">
        <f aca="false">IF(AO184="🟢","VERDE",IF(AO184="🟡","AMARELO",IF(AO184="🟠","VERMELHO",IF(AO184="🔴","VERMELHO","ROXO"))))</f>
        <v>VERMELHO</v>
      </c>
      <c r="CD184" s="96" t="s">
        <v>103</v>
      </c>
      <c r="CE184" s="96" t="s">
        <v>104</v>
      </c>
    </row>
    <row r="185" customFormat="false" ht="14.25" hidden="false" customHeight="true" outlineLevel="0" collapsed="false">
      <c r="A185" s="65" t="s">
        <v>505</v>
      </c>
      <c r="B185" s="66" t="s">
        <v>506</v>
      </c>
      <c r="C185" s="66" t="s">
        <v>115</v>
      </c>
      <c r="D185" s="68" t="s">
        <v>184</v>
      </c>
      <c r="E185" s="69" t="s">
        <v>243</v>
      </c>
      <c r="F185" s="70" t="n">
        <f aca="false">IFERROR(VLOOKUP(C185,$AS$3:$AT$10,2,FALSE()),IFERROR(VLOOKUP(C185,$AS$15:$AT$22,2,FALSE()),""))</f>
        <v>25</v>
      </c>
      <c r="G185" s="71" t="n">
        <f aca="false">IFERROR(VLOOKUP(C185,$AS$3:$AX$10,6,FALSE()),IFERROR(VLOOKUP(C185,$AS$15:$AX$22,6,FALSE()),""))</f>
        <v>0.536751750851081</v>
      </c>
      <c r="H185" s="72" t="str">
        <f aca="false">IFERROR(VLOOKUP(C185,$AS$3:$AY$10,7,FALSE()),IFERROR(VLOOKUP(C185,$AS$15:$AY$22,7,FALSE()),""))</f>
        <v>🟡 AMARELO</v>
      </c>
      <c r="I185" s="72" t="str">
        <f aca="false">IFERROR(VLOOKUP(C185,$AS$3:$AZ$10,8,FALSE()),IFERROR(VLOOKUP(C185,$AS$15:$AZ$22,8,FALSE()),""))</f>
        <v>Sell Out</v>
      </c>
      <c r="J185" s="73"/>
      <c r="K185" s="69" t="s">
        <v>158</v>
      </c>
      <c r="L185" s="74" t="n">
        <v>6499.41</v>
      </c>
      <c r="M185" s="75" t="n">
        <v>456.73</v>
      </c>
      <c r="N185" s="75" t="n">
        <v>477.27</v>
      </c>
      <c r="O185" s="75" t="n">
        <v>488.77</v>
      </c>
      <c r="P185" s="75" t="n">
        <v>501.5</v>
      </c>
      <c r="Q185" s="75" t="n">
        <v>517.93</v>
      </c>
      <c r="R185" s="75" t="n">
        <v>531.49</v>
      </c>
      <c r="S185" s="75" t="n">
        <v>552.02</v>
      </c>
      <c r="T185" s="75" t="n">
        <v>565.58</v>
      </c>
      <c r="U185" s="75" t="n">
        <v>578.31</v>
      </c>
      <c r="V185" s="75" t="n">
        <v>592.69</v>
      </c>
      <c r="W185" s="75" t="n">
        <v>608.29</v>
      </c>
      <c r="X185" s="76" t="n">
        <v>628.83</v>
      </c>
      <c r="Y185" s="77" t="s">
        <v>20</v>
      </c>
      <c r="Z185" s="78" t="n">
        <f aca="false">SUM(AA185:AL185)</f>
        <v>4226.47</v>
      </c>
      <c r="AA185" s="75"/>
      <c r="AB185" s="75"/>
      <c r="AC185" s="75"/>
      <c r="AD185" s="75"/>
      <c r="AE185" s="75"/>
      <c r="AF185" s="75"/>
      <c r="AG185" s="75"/>
      <c r="AH185" s="75"/>
      <c r="AI185" s="75" t="n">
        <v>1567.26</v>
      </c>
      <c r="AJ185" s="79" t="n">
        <v>1500</v>
      </c>
      <c r="AK185" s="75"/>
      <c r="AL185" s="76" t="n">
        <v>1159.21</v>
      </c>
      <c r="AM185" s="56" t="s">
        <v>20</v>
      </c>
      <c r="AN185" s="80" t="n">
        <f aca="false">IF(L185=0,0,Z185/L185)</f>
        <v>0.650285179731699</v>
      </c>
      <c r="AO185" s="81" t="str">
        <f aca="false">IF(AN185="","",IF(AN185&gt;=0.9,"🟢",IF(AN185&gt;=0.7,"🟡",IF(AN185&gt;=0.5,"🟠","🔴"))))</f>
        <v>🟠</v>
      </c>
      <c r="AP185" s="82" t="n">
        <f aca="false">IF(L185=0,0,L185-Z185)</f>
        <v>2272.94</v>
      </c>
      <c r="AQ185" s="83" t="n">
        <f aca="false">IF(AP185=0,"",RANK(AP185,AP$4:AP$503,0))</f>
        <v>249</v>
      </c>
      <c r="AR185" s="84" t="s">
        <v>20</v>
      </c>
      <c r="AS185" s="141"/>
      <c r="AT185" s="141"/>
      <c r="AU185" s="141"/>
      <c r="AV185" s="141"/>
      <c r="AW185" s="141"/>
      <c r="AX185" s="141"/>
      <c r="AY185" s="142"/>
      <c r="AZ185" s="142"/>
      <c r="BA185" s="56" t="s">
        <v>20</v>
      </c>
      <c r="BB185" s="91" t="n">
        <f aca="false">SUM(L$4:L$503)/COUNTA(A$4:A$503)</f>
        <v>9494.39992</v>
      </c>
      <c r="BC185" s="92" t="n">
        <f aca="false">SUM(M$4:M$503)/COUNTA(A$4:A$503)</f>
        <v>667.20008</v>
      </c>
      <c r="BD185" s="92" t="n">
        <f aca="false">SUM(N$4:N$503)/COUNTA(A$4:A$503)</f>
        <v>697.19996</v>
      </c>
      <c r="BE185" s="92" t="n">
        <f aca="false">SUM(O$4:O$503)/COUNTA(A$4:A$503)</f>
        <v>713.9999</v>
      </c>
      <c r="BF185" s="92" t="n">
        <f aca="false">SUM(P$4:P$503)/COUNTA(A$4:A$503)</f>
        <v>732.59984</v>
      </c>
      <c r="BG185" s="92" t="n">
        <f aca="false">SUM(Q$4:Q$503)/COUNTA(A$4:A$503)</f>
        <v>756.59992</v>
      </c>
      <c r="BH185" s="92" t="n">
        <f aca="false">SUM(R$4:R$503)/COUNTA(A$4:A$503)</f>
        <v>776.40004</v>
      </c>
      <c r="BI185" s="92" t="n">
        <f aca="false">SUM(S$4:S$503)/COUNTA(A$4:A$503)</f>
        <v>806.40012</v>
      </c>
      <c r="BJ185" s="92" t="n">
        <f aca="false">SUM(T$4:T$503)/COUNTA(A$4:A$503)</f>
        <v>826.1999</v>
      </c>
      <c r="BK185" s="92" t="n">
        <f aca="false">SUM(U$4:U$503)/COUNTA(A$4:A$503)</f>
        <v>844.8002</v>
      </c>
      <c r="BL185" s="92" t="n">
        <f aca="false">SUM(V$4:V$503)/COUNTA(A$4:A$503)</f>
        <v>865.7998</v>
      </c>
      <c r="BM185" s="92" t="n">
        <f aca="false">SUM(W$4:W$503)/COUNTA(A$4:A$503)</f>
        <v>888.59982</v>
      </c>
      <c r="BN185" s="93" t="n">
        <f aca="false">SUM(X$4:X$503)/COUNTA(A$4:A$503)</f>
        <v>918.60034</v>
      </c>
      <c r="BO185" s="94" t="s">
        <v>20</v>
      </c>
      <c r="BP185" s="91" t="n">
        <f aca="false">IF(Z185&gt;=BB185,0,IFERROR(BB185+(SUMPRODUCT((Z$4:Z$503&gt;=BB$4:BB$503)*(Z$4:Z$503-BB$4:BB$503))/MAX(1,COUNTIF(Z$4:Z$503,"&lt;"&amp;BB185+0.01))),BB185))</f>
        <v>10695.5432177778</v>
      </c>
      <c r="BQ185" s="92" t="n">
        <f aca="false">IF(AA185&gt;=BC185,0,IFERROR(BC185+SUMPRODUCT((AA$4:AA$503&gt;=BC$4:BC$503)*(AA$4:AA$503-BC$4:BC$503))/MAX(1,COUNTIF(AA$4:AA$503,"&lt;"&amp;BC185+0.01)),BC185))</f>
        <v>2238.46589176471</v>
      </c>
      <c r="BR185" s="92" t="n">
        <f aca="false">IF(AB185&gt;=BD185,0,IFERROR(BD185+SUMPRODUCT((AB$4:AB$503&gt;=BD$4:BD$503)*(AB$4:AB$503-BD$4:BD$503))/MAX(1,COUNTIF(AB$4:AB$503,"&lt;"&amp;BD185+0.01)),BD185))</f>
        <v>3335.2938</v>
      </c>
      <c r="BS185" s="92" t="n">
        <f aca="false">IF(AC185&gt;=BE185,0,IFERROR(BE185+SUMPRODUCT((AC$4:AC$503&gt;=BE$4:BE$503)*(AC$4:AC$503-BE$4:BE$503))/MAX(1,COUNTIF(AC$4:AC$503,"&lt;"&amp;BE185+0.01)),BE185))</f>
        <v>6188.73352</v>
      </c>
      <c r="BT185" s="92" t="n">
        <f aca="false">IF(AD185&gt;=BF185,0,IFERROR(BF185+SUMPRODUCT((AD$4:AD$503&gt;=BF$4:BF$503)*(AD$4:AD$503-BF$4:BF$503))/MAX(1,COUNTIF(AD$4:AD$503,"&lt;"&amp;BF185+0.01)),BF185))</f>
        <v>11354.35411</v>
      </c>
      <c r="BU185" s="92" t="n">
        <f aca="false">IF(AE185&gt;=BG185,0,IFERROR(BG185+SUMPRODUCT((AE$4:AE$503&gt;=BG$4:BG$503)*(AE$4:AE$503-BG$4:BG$503))/MAX(1,COUNTIF(AE$4:AE$503,"&lt;"&amp;BG185+0.01)),BG185))</f>
        <v>7704.85920380952</v>
      </c>
      <c r="BV185" s="92" t="n">
        <f aca="false">IF(AF185&gt;=BH185,0,IFERROR(BH185+SUMPRODUCT((AF$4:AF$503&gt;=BH$4:BH$503)*(AF$4:AF$503-BH$4:BH$503))/MAX(1,COUNTIF(AF$4:AF$503,"&lt;"&amp;BH185+0.01)),BH185))</f>
        <v>9942.6503831579</v>
      </c>
      <c r="BW185" s="92" t="n">
        <f aca="false">IF(AG185&gt;=BI185,0,IFERROR(BI185+SUMPRODUCT((AG$4:AG$503&gt;=BI$4:BI$503)*(AG$4:AG$503-BI$4:BI$503))/MAX(1,COUNTIF(AG$4:AG$503,"&lt;"&amp;BI185+0.01)),BI185))</f>
        <v>9142.15870461538</v>
      </c>
      <c r="BX185" s="92" t="n">
        <f aca="false">IF(AH185&gt;=BJ185,0,IFERROR(BJ185+SUMPRODUCT((AH$4:AH$503&gt;=BJ$4:BJ$503)*(AH$4:AH$503-BJ$4:BJ$503))/MAX(1,COUNTIF(AH$4:AH$503,"&lt;"&amp;BJ185+0.01)),BJ185))</f>
        <v>5621.50263448276</v>
      </c>
      <c r="BY185" s="92" t="n">
        <f aca="false">IF(AI185&gt;=BK185,0,IFERROR(BK185+SUMPRODUCT((AI$4:AI$503&gt;=BK$4:BK$503)*(AI$4:AI$503-BK$4:BK$503))/MAX(1,COUNTIF(AI$4:AI$503,"&lt;"&amp;BK185+0.01)),BK185))</f>
        <v>0</v>
      </c>
      <c r="BZ185" s="92" t="n">
        <f aca="false">IF(AJ185&gt;=BL185,0,IFERROR(BL185+SUMPRODUCT((AJ$4:AJ$503&gt;=BL$4:BL$503)*(AJ$4:AJ$503-BL$4:BL$503))/MAX(1,COUNTIF(AJ$4:AJ$503,"&lt;"&amp;BL185+0.01)),BL185))</f>
        <v>0</v>
      </c>
      <c r="CA185" s="92" t="n">
        <f aca="false">IF(AK185&gt;=BM185,0,IFERROR(BM185+SUMPRODUCT((AK$4:AK$503&gt;=BM$4:BM$503)*(AK$4:AK$503-BM$4:BM$503))/MAX(1,COUNTIF(AK$4:AK$503,"&lt;"&amp;BM185+0.01)),BM185))</f>
        <v>7314.89836842105</v>
      </c>
      <c r="CB185" s="93" t="n">
        <f aca="false">IF(AL185&gt;=BN185,0,IFERROR(BN185+SUMPRODUCT((AL$4:AL$503&gt;=BN$4:BN$503)*(AL$4:AL$503-BN$4:BN$503))/MAX(1,COUNTIF(AL$4:AL$503,"&lt;"&amp;BN185+0.01)),BN185))</f>
        <v>0</v>
      </c>
      <c r="CC185" s="95" t="str">
        <f aca="false">IF(AO185="🟢","VERDE",IF(AO185="🟡","AMARELO",IF(AO185="🟠","VERMELHO",IF(AO185="🔴","VERMELHO","ROXO"))))</f>
        <v>VERMELHO</v>
      </c>
      <c r="CD185" s="96" t="s">
        <v>176</v>
      </c>
      <c r="CE185" s="96" t="s">
        <v>115</v>
      </c>
    </row>
    <row r="186" customFormat="false" ht="14.25" hidden="false" customHeight="true" outlineLevel="0" collapsed="false">
      <c r="A186" s="65" t="s">
        <v>507</v>
      </c>
      <c r="B186" s="66" t="s">
        <v>508</v>
      </c>
      <c r="C186" s="66" t="s">
        <v>66</v>
      </c>
      <c r="D186" s="68" t="s">
        <v>175</v>
      </c>
      <c r="E186" s="69" t="s">
        <v>139</v>
      </c>
      <c r="F186" s="70" t="n">
        <f aca="false">IFERROR(VLOOKUP(C186,$AS$3:$AT$10,2,FALSE()),IFERROR(VLOOKUP(C186,$AS$15:$AT$22,2,FALSE()),""))</f>
        <v>44</v>
      </c>
      <c r="G186" s="71" t="n">
        <f aca="false">IFERROR(VLOOKUP(C186,$AS$3:$AX$10,6,FALSE()),IFERROR(VLOOKUP(C186,$AS$15:$AX$22,6,FALSE()),""))</f>
        <v>0.496839506257363</v>
      </c>
      <c r="H186" s="72" t="str">
        <f aca="false">IFERROR(VLOOKUP(C186,$AS$3:$AY$10,7,FALSE()),IFERROR(VLOOKUP(C186,$AS$15:$AY$22,7,FALSE()),""))</f>
        <v>🟡 AMARELO</v>
      </c>
      <c r="I186" s="72" t="str">
        <f aca="false">IFERROR(VLOOKUP(C186,$AS$3:$AZ$10,8,FALSE()),IFERROR(VLOOKUP(C186,$AS$15:$AZ$22,8,FALSE()),""))</f>
        <v>Sell Out</v>
      </c>
      <c r="J186" s="73"/>
      <c r="K186" s="69" t="s">
        <v>107</v>
      </c>
      <c r="L186" s="74" t="n">
        <v>6388.07</v>
      </c>
      <c r="M186" s="75" t="n">
        <v>448.91</v>
      </c>
      <c r="N186" s="75" t="n">
        <v>469.09</v>
      </c>
      <c r="O186" s="75" t="n">
        <v>480.4</v>
      </c>
      <c r="P186" s="75" t="n">
        <v>492.91</v>
      </c>
      <c r="Q186" s="75" t="n">
        <v>509.06</v>
      </c>
      <c r="R186" s="75" t="n">
        <v>522.38</v>
      </c>
      <c r="S186" s="75" t="n">
        <v>542.57</v>
      </c>
      <c r="T186" s="75" t="n">
        <v>555.89</v>
      </c>
      <c r="U186" s="75" t="n">
        <v>568.4</v>
      </c>
      <c r="V186" s="75" t="n">
        <v>582.53</v>
      </c>
      <c r="W186" s="75" t="n">
        <v>597.87</v>
      </c>
      <c r="X186" s="76" t="n">
        <v>618.06</v>
      </c>
      <c r="Y186" s="77" t="s">
        <v>20</v>
      </c>
      <c r="Z186" s="78" t="n">
        <f aca="false">SUM(AA186:AL186)</f>
        <v>2610.59</v>
      </c>
      <c r="AA186" s="75"/>
      <c r="AB186" s="75"/>
      <c r="AC186" s="75"/>
      <c r="AD186" s="75"/>
      <c r="AE186" s="75"/>
      <c r="AF186" s="79" t="n">
        <v>1216.97</v>
      </c>
      <c r="AG186" s="75"/>
      <c r="AH186" s="75"/>
      <c r="AI186" s="79" t="n">
        <v>1393.62</v>
      </c>
      <c r="AJ186" s="75"/>
      <c r="AK186" s="75"/>
      <c r="AL186" s="76"/>
      <c r="AM186" s="56" t="s">
        <v>20</v>
      </c>
      <c r="AN186" s="80" t="n">
        <f aca="false">IF(L186=0,0,Z186/L186)</f>
        <v>0.40866646733677</v>
      </c>
      <c r="AO186" s="81" t="str">
        <f aca="false">IF(AN186="","",IF(AN186&gt;=0.9,"🟢",IF(AN186&gt;=0.7,"🟡",IF(AN186&gt;=0.5,"🟠","🔴"))))</f>
        <v>🔴</v>
      </c>
      <c r="AP186" s="82" t="n">
        <f aca="false">IF(L186=0,0,L186-Z186)</f>
        <v>3777.48</v>
      </c>
      <c r="AQ186" s="83" t="n">
        <f aca="false">IF(AP186=0,"",RANK(AP186,AP$4:AP$503,0))</f>
        <v>171</v>
      </c>
      <c r="AR186" s="84" t="s">
        <v>20</v>
      </c>
      <c r="AS186" s="141"/>
      <c r="AT186" s="141"/>
      <c r="AU186" s="141"/>
      <c r="AV186" s="141"/>
      <c r="AW186" s="141"/>
      <c r="AX186" s="141"/>
      <c r="AY186" s="142"/>
      <c r="AZ186" s="142"/>
      <c r="BA186" s="56" t="s">
        <v>20</v>
      </c>
      <c r="BB186" s="91" t="n">
        <f aca="false">SUM(L$4:L$503)/COUNTA(A$4:A$503)</f>
        <v>9494.39992</v>
      </c>
      <c r="BC186" s="92" t="n">
        <f aca="false">SUM(M$4:M$503)/COUNTA(A$4:A$503)</f>
        <v>667.20008</v>
      </c>
      <c r="BD186" s="92" t="n">
        <f aca="false">SUM(N$4:N$503)/COUNTA(A$4:A$503)</f>
        <v>697.19996</v>
      </c>
      <c r="BE186" s="92" t="n">
        <f aca="false">SUM(O$4:O$503)/COUNTA(A$4:A$503)</f>
        <v>713.9999</v>
      </c>
      <c r="BF186" s="92" t="n">
        <f aca="false">SUM(P$4:P$503)/COUNTA(A$4:A$503)</f>
        <v>732.59984</v>
      </c>
      <c r="BG186" s="92" t="n">
        <f aca="false">SUM(Q$4:Q$503)/COUNTA(A$4:A$503)</f>
        <v>756.59992</v>
      </c>
      <c r="BH186" s="92" t="n">
        <f aca="false">SUM(R$4:R$503)/COUNTA(A$4:A$503)</f>
        <v>776.40004</v>
      </c>
      <c r="BI186" s="92" t="n">
        <f aca="false">SUM(S$4:S$503)/COUNTA(A$4:A$503)</f>
        <v>806.40012</v>
      </c>
      <c r="BJ186" s="92" t="n">
        <f aca="false">SUM(T$4:T$503)/COUNTA(A$4:A$503)</f>
        <v>826.1999</v>
      </c>
      <c r="BK186" s="92" t="n">
        <f aca="false">SUM(U$4:U$503)/COUNTA(A$4:A$503)</f>
        <v>844.8002</v>
      </c>
      <c r="BL186" s="92" t="n">
        <f aca="false">SUM(V$4:V$503)/COUNTA(A$4:A$503)</f>
        <v>865.7998</v>
      </c>
      <c r="BM186" s="92" t="n">
        <f aca="false">SUM(W$4:W$503)/COUNTA(A$4:A$503)</f>
        <v>888.59982</v>
      </c>
      <c r="BN186" s="93" t="n">
        <f aca="false">SUM(X$4:X$503)/COUNTA(A$4:A$503)</f>
        <v>918.60034</v>
      </c>
      <c r="BO186" s="94" t="s">
        <v>20</v>
      </c>
      <c r="BP186" s="91" t="n">
        <f aca="false">IF(Z186&gt;=BB186,0,IFERROR(BB186+(SUMPRODUCT((Z$4:Z$503&gt;=BB$4:BB$503)*(Z$4:Z$503-BB$4:BB$503))/MAX(1,COUNTIF(Z$4:Z$503,"&lt;"&amp;BB186+0.01))),BB186))</f>
        <v>10695.5432177778</v>
      </c>
      <c r="BQ186" s="92" t="n">
        <f aca="false">IF(AA186&gt;=BC186,0,IFERROR(BC186+SUMPRODUCT((AA$4:AA$503&gt;=BC$4:BC$503)*(AA$4:AA$503-BC$4:BC$503))/MAX(1,COUNTIF(AA$4:AA$503,"&lt;"&amp;BC186+0.01)),BC186))</f>
        <v>2238.46589176471</v>
      </c>
      <c r="BR186" s="92" t="n">
        <f aca="false">IF(AB186&gt;=BD186,0,IFERROR(BD186+SUMPRODUCT((AB$4:AB$503&gt;=BD$4:BD$503)*(AB$4:AB$503-BD$4:BD$503))/MAX(1,COUNTIF(AB$4:AB$503,"&lt;"&amp;BD186+0.01)),BD186))</f>
        <v>3335.2938</v>
      </c>
      <c r="BS186" s="92" t="n">
        <f aca="false">IF(AC186&gt;=BE186,0,IFERROR(BE186+SUMPRODUCT((AC$4:AC$503&gt;=BE$4:BE$503)*(AC$4:AC$503-BE$4:BE$503))/MAX(1,COUNTIF(AC$4:AC$503,"&lt;"&amp;BE186+0.01)),BE186))</f>
        <v>6188.73352</v>
      </c>
      <c r="BT186" s="92" t="n">
        <f aca="false">IF(AD186&gt;=BF186,0,IFERROR(BF186+SUMPRODUCT((AD$4:AD$503&gt;=BF$4:BF$503)*(AD$4:AD$503-BF$4:BF$503))/MAX(1,COUNTIF(AD$4:AD$503,"&lt;"&amp;BF186+0.01)),BF186))</f>
        <v>11354.35411</v>
      </c>
      <c r="BU186" s="92" t="n">
        <f aca="false">IF(AE186&gt;=BG186,0,IFERROR(BG186+SUMPRODUCT((AE$4:AE$503&gt;=BG$4:BG$503)*(AE$4:AE$503-BG$4:BG$503))/MAX(1,COUNTIF(AE$4:AE$503,"&lt;"&amp;BG186+0.01)),BG186))</f>
        <v>7704.85920380952</v>
      </c>
      <c r="BV186" s="92" t="n">
        <f aca="false">IF(AF186&gt;=BH186,0,IFERROR(BH186+SUMPRODUCT((AF$4:AF$503&gt;=BH$4:BH$503)*(AF$4:AF$503-BH$4:BH$503))/MAX(1,COUNTIF(AF$4:AF$503,"&lt;"&amp;BH186+0.01)),BH186))</f>
        <v>0</v>
      </c>
      <c r="BW186" s="92" t="n">
        <f aca="false">IF(AG186&gt;=BI186,0,IFERROR(BI186+SUMPRODUCT((AG$4:AG$503&gt;=BI$4:BI$503)*(AG$4:AG$503-BI$4:BI$503))/MAX(1,COUNTIF(AG$4:AG$503,"&lt;"&amp;BI186+0.01)),BI186))</f>
        <v>9142.15870461538</v>
      </c>
      <c r="BX186" s="92" t="n">
        <f aca="false">IF(AH186&gt;=BJ186,0,IFERROR(BJ186+SUMPRODUCT((AH$4:AH$503&gt;=BJ$4:BJ$503)*(AH$4:AH$503-BJ$4:BJ$503))/MAX(1,COUNTIF(AH$4:AH$503,"&lt;"&amp;BJ186+0.01)),BJ186))</f>
        <v>5621.50263448276</v>
      </c>
      <c r="BY186" s="92" t="n">
        <f aca="false">IF(AI186&gt;=BK186,0,IFERROR(BK186+SUMPRODUCT((AI$4:AI$503&gt;=BK$4:BK$503)*(AI$4:AI$503-BK$4:BK$503))/MAX(1,COUNTIF(AI$4:AI$503,"&lt;"&amp;BK186+0.01)),BK186))</f>
        <v>0</v>
      </c>
      <c r="BZ186" s="92" t="n">
        <f aca="false">IF(AJ186&gt;=BL186,0,IFERROR(BL186+SUMPRODUCT((AJ$4:AJ$503&gt;=BL$4:BL$503)*(AJ$4:AJ$503-BL$4:BL$503))/MAX(1,COUNTIF(AJ$4:AJ$503,"&lt;"&amp;BL186+0.01)),BL186))</f>
        <v>6710.03292307692</v>
      </c>
      <c r="CA186" s="92" t="n">
        <f aca="false">IF(AK186&gt;=BM186,0,IFERROR(BM186+SUMPRODUCT((AK$4:AK$503&gt;=BM$4:BM$503)*(AK$4:AK$503-BM$4:BM$503))/MAX(1,COUNTIF(AK$4:AK$503,"&lt;"&amp;BM186+0.01)),BM186))</f>
        <v>7314.89836842105</v>
      </c>
      <c r="CB186" s="93" t="n">
        <f aca="false">IF(AL186&gt;=BN186,0,IFERROR(BN186+SUMPRODUCT((AL$4:AL$503&gt;=BN$4:BN$503)*(AL$4:AL$503-BN$4:BN$503))/MAX(1,COUNTIF(AL$4:AL$503,"&lt;"&amp;BN186+0.01)),BN186))</f>
        <v>3597.2614925</v>
      </c>
      <c r="CC186" s="95" t="str">
        <f aca="false">IF(AO186="🟢","VERDE",IF(AO186="🟡","AMARELO",IF(AO186="🟠","VERMELHO",IF(AO186="🔴","VERMELHO","ROXO"))))</f>
        <v>VERMELHO</v>
      </c>
      <c r="CD186" s="96" t="s">
        <v>176</v>
      </c>
      <c r="CE186" s="96" t="s">
        <v>66</v>
      </c>
    </row>
    <row r="187" customFormat="false" ht="14.25" hidden="false" customHeight="true" outlineLevel="0" collapsed="false">
      <c r="A187" s="65" t="s">
        <v>509</v>
      </c>
      <c r="B187" s="66" t="s">
        <v>510</v>
      </c>
      <c r="C187" s="67" t="s">
        <v>113</v>
      </c>
      <c r="D187" s="68" t="s">
        <v>100</v>
      </c>
      <c r="E187" s="69" t="s">
        <v>260</v>
      </c>
      <c r="F187" s="70" t="n">
        <f aca="false">IFERROR(VLOOKUP(C187,$AS$3:$AT$10,2,FALSE()),IFERROR(VLOOKUP(C187,$AS$15:$AT$22,2,FALSE()),""))</f>
        <v>49</v>
      </c>
      <c r="G187" s="71" t="n">
        <f aca="false">IFERROR(VLOOKUP(C187,$AS$3:$AX$10,6,FALSE()),IFERROR(VLOOKUP(C187,$AS$15:$AX$22,6,FALSE()),""))</f>
        <v>0.463965086137302</v>
      </c>
      <c r="H187" s="72" t="str">
        <f aca="false">IFERROR(VLOOKUP(C187,$AS$3:$AY$10,7,FALSE()),IFERROR(VLOOKUP(C187,$AS$15:$AY$22,7,FALSE()),""))</f>
        <v>🟡 AMARELO</v>
      </c>
      <c r="I187" s="72" t="str">
        <f aca="false">IFERROR(VLOOKUP(C187,$AS$3:$AZ$10,8,FALSE()),IFERROR(VLOOKUP(C187,$AS$15:$AZ$22,8,FALSE()),""))</f>
        <v>Sell Out</v>
      </c>
      <c r="J187" s="73"/>
      <c r="K187" s="69" t="s">
        <v>113</v>
      </c>
      <c r="L187" s="74" t="n">
        <v>6386.79</v>
      </c>
      <c r="M187" s="75" t="n">
        <v>448.82</v>
      </c>
      <c r="N187" s="75" t="n">
        <v>469</v>
      </c>
      <c r="O187" s="75" t="n">
        <v>480.3</v>
      </c>
      <c r="P187" s="75" t="n">
        <v>492.81</v>
      </c>
      <c r="Q187" s="75" t="n">
        <v>508.96</v>
      </c>
      <c r="R187" s="75" t="n">
        <v>522.28</v>
      </c>
      <c r="S187" s="75" t="n">
        <v>542.46</v>
      </c>
      <c r="T187" s="75" t="n">
        <v>555.78</v>
      </c>
      <c r="U187" s="75" t="n">
        <v>568.29</v>
      </c>
      <c r="V187" s="75" t="n">
        <v>582.41</v>
      </c>
      <c r="W187" s="75" t="n">
        <v>597.75</v>
      </c>
      <c r="X187" s="76" t="n">
        <v>617.93</v>
      </c>
      <c r="Y187" s="77" t="s">
        <v>20</v>
      </c>
      <c r="Z187" s="78" t="n">
        <f aca="false">SUM(AA187:AL187)</f>
        <v>2829.35</v>
      </c>
      <c r="AA187" s="75"/>
      <c r="AB187" s="75"/>
      <c r="AC187" s="75"/>
      <c r="AD187" s="75"/>
      <c r="AE187" s="79" t="n">
        <v>1574.78</v>
      </c>
      <c r="AF187" s="75"/>
      <c r="AG187" s="75"/>
      <c r="AH187" s="79" t="n">
        <v>1254.57</v>
      </c>
      <c r="AI187" s="75"/>
      <c r="AJ187" s="75"/>
      <c r="AK187" s="75"/>
      <c r="AL187" s="76"/>
      <c r="AM187" s="56" t="s">
        <v>20</v>
      </c>
      <c r="AN187" s="80" t="n">
        <f aca="false">IF(L187=0,0,Z187/L187)</f>
        <v>0.443000317843549</v>
      </c>
      <c r="AO187" s="81" t="str">
        <f aca="false">IF(AN187="","",IF(AN187&gt;=0.9,"🟢",IF(AN187&gt;=0.7,"🟡",IF(AN187&gt;=0.5,"🟠","🔴"))))</f>
        <v>🔴</v>
      </c>
      <c r="AP187" s="82" t="n">
        <f aca="false">IF(L187=0,0,L187-Z187)</f>
        <v>3557.44</v>
      </c>
      <c r="AQ187" s="83" t="n">
        <f aca="false">IF(AP187=0,"",RANK(AP187,AP$4:AP$503,0))</f>
        <v>180</v>
      </c>
      <c r="AR187" s="84" t="s">
        <v>20</v>
      </c>
      <c r="AS187" s="141"/>
      <c r="AT187" s="141"/>
      <c r="AU187" s="141"/>
      <c r="AV187" s="141"/>
      <c r="AW187" s="141"/>
      <c r="AX187" s="141"/>
      <c r="AY187" s="142"/>
      <c r="AZ187" s="142"/>
      <c r="BA187" s="56" t="s">
        <v>20</v>
      </c>
      <c r="BB187" s="91" t="n">
        <f aca="false">SUM(L$4:L$503)/COUNTA(A$4:A$503)</f>
        <v>9494.39992</v>
      </c>
      <c r="BC187" s="92" t="n">
        <f aca="false">SUM(M$4:M$503)/COUNTA(A$4:A$503)</f>
        <v>667.20008</v>
      </c>
      <c r="BD187" s="92" t="n">
        <f aca="false">SUM(N$4:N$503)/COUNTA(A$4:A$503)</f>
        <v>697.19996</v>
      </c>
      <c r="BE187" s="92" t="n">
        <f aca="false">SUM(O$4:O$503)/COUNTA(A$4:A$503)</f>
        <v>713.9999</v>
      </c>
      <c r="BF187" s="92" t="n">
        <f aca="false">SUM(P$4:P$503)/COUNTA(A$4:A$503)</f>
        <v>732.59984</v>
      </c>
      <c r="BG187" s="92" t="n">
        <f aca="false">SUM(Q$4:Q$503)/COUNTA(A$4:A$503)</f>
        <v>756.59992</v>
      </c>
      <c r="BH187" s="92" t="n">
        <f aca="false">SUM(R$4:R$503)/COUNTA(A$4:A$503)</f>
        <v>776.40004</v>
      </c>
      <c r="BI187" s="92" t="n">
        <f aca="false">SUM(S$4:S$503)/COUNTA(A$4:A$503)</f>
        <v>806.40012</v>
      </c>
      <c r="BJ187" s="92" t="n">
        <f aca="false">SUM(T$4:T$503)/COUNTA(A$4:A$503)</f>
        <v>826.1999</v>
      </c>
      <c r="BK187" s="92" t="n">
        <f aca="false">SUM(U$4:U$503)/COUNTA(A$4:A$503)</f>
        <v>844.8002</v>
      </c>
      <c r="BL187" s="92" t="n">
        <f aca="false">SUM(V$4:V$503)/COUNTA(A$4:A$503)</f>
        <v>865.7998</v>
      </c>
      <c r="BM187" s="92" t="n">
        <f aca="false">SUM(W$4:W$503)/COUNTA(A$4:A$503)</f>
        <v>888.59982</v>
      </c>
      <c r="BN187" s="93" t="n">
        <f aca="false">SUM(X$4:X$503)/COUNTA(A$4:A$503)</f>
        <v>918.60034</v>
      </c>
      <c r="BO187" s="94" t="s">
        <v>20</v>
      </c>
      <c r="BP187" s="91" t="n">
        <f aca="false">IF(Z187&gt;=BB187,0,IFERROR(BB187+(SUMPRODUCT((Z$4:Z$503&gt;=BB$4:BB$503)*(Z$4:Z$503-BB$4:BB$503))/MAX(1,COUNTIF(Z$4:Z$503,"&lt;"&amp;BB187+0.01))),BB187))</f>
        <v>10695.5432177778</v>
      </c>
      <c r="BQ187" s="92" t="n">
        <f aca="false">IF(AA187&gt;=BC187,0,IFERROR(BC187+SUMPRODUCT((AA$4:AA$503&gt;=BC$4:BC$503)*(AA$4:AA$503-BC$4:BC$503))/MAX(1,COUNTIF(AA$4:AA$503,"&lt;"&amp;BC187+0.01)),BC187))</f>
        <v>2238.46589176471</v>
      </c>
      <c r="BR187" s="92" t="n">
        <f aca="false">IF(AB187&gt;=BD187,0,IFERROR(BD187+SUMPRODUCT((AB$4:AB$503&gt;=BD$4:BD$503)*(AB$4:AB$503-BD$4:BD$503))/MAX(1,COUNTIF(AB$4:AB$503,"&lt;"&amp;BD187+0.01)),BD187))</f>
        <v>3335.2938</v>
      </c>
      <c r="BS187" s="92" t="n">
        <f aca="false">IF(AC187&gt;=BE187,0,IFERROR(BE187+SUMPRODUCT((AC$4:AC$503&gt;=BE$4:BE$503)*(AC$4:AC$503-BE$4:BE$503))/MAX(1,COUNTIF(AC$4:AC$503,"&lt;"&amp;BE187+0.01)),BE187))</f>
        <v>6188.73352</v>
      </c>
      <c r="BT187" s="92" t="n">
        <f aca="false">IF(AD187&gt;=BF187,0,IFERROR(BF187+SUMPRODUCT((AD$4:AD$503&gt;=BF$4:BF$503)*(AD$4:AD$503-BF$4:BF$503))/MAX(1,COUNTIF(AD$4:AD$503,"&lt;"&amp;BF187+0.01)),BF187))</f>
        <v>11354.35411</v>
      </c>
      <c r="BU187" s="92" t="n">
        <f aca="false">IF(AE187&gt;=BG187,0,IFERROR(BG187+SUMPRODUCT((AE$4:AE$503&gt;=BG$4:BG$503)*(AE$4:AE$503-BG$4:BG$503))/MAX(1,COUNTIF(AE$4:AE$503,"&lt;"&amp;BG187+0.01)),BG187))</f>
        <v>0</v>
      </c>
      <c r="BV187" s="92" t="n">
        <f aca="false">IF(AF187&gt;=BH187,0,IFERROR(BH187+SUMPRODUCT((AF$4:AF$503&gt;=BH$4:BH$503)*(AF$4:AF$503-BH$4:BH$503))/MAX(1,COUNTIF(AF$4:AF$503,"&lt;"&amp;BH187+0.01)),BH187))</f>
        <v>9942.6503831579</v>
      </c>
      <c r="BW187" s="92" t="n">
        <f aca="false">IF(AG187&gt;=BI187,0,IFERROR(BI187+SUMPRODUCT((AG$4:AG$503&gt;=BI$4:BI$503)*(AG$4:AG$503-BI$4:BI$503))/MAX(1,COUNTIF(AG$4:AG$503,"&lt;"&amp;BI187+0.01)),BI187))</f>
        <v>9142.15870461538</v>
      </c>
      <c r="BX187" s="92" t="n">
        <f aca="false">IF(AH187&gt;=BJ187,0,IFERROR(BJ187+SUMPRODUCT((AH$4:AH$503&gt;=BJ$4:BJ$503)*(AH$4:AH$503-BJ$4:BJ$503))/MAX(1,COUNTIF(AH$4:AH$503,"&lt;"&amp;BJ187+0.01)),BJ187))</f>
        <v>0</v>
      </c>
      <c r="BY187" s="92" t="n">
        <f aca="false">IF(AI187&gt;=BK187,0,IFERROR(BK187+SUMPRODUCT((AI$4:AI$503&gt;=BK$4:BK$503)*(AI$4:AI$503-BK$4:BK$503))/MAX(1,COUNTIF(AI$4:AI$503,"&lt;"&amp;BK187+0.01)),BK187))</f>
        <v>7878.25652380952</v>
      </c>
      <c r="BZ187" s="92" t="n">
        <f aca="false">IF(AJ187&gt;=BL187,0,IFERROR(BL187+SUMPRODUCT((AJ$4:AJ$503&gt;=BL$4:BL$503)*(AJ$4:AJ$503-BL$4:BL$503))/MAX(1,COUNTIF(AJ$4:AJ$503,"&lt;"&amp;BL187+0.01)),BL187))</f>
        <v>6710.03292307692</v>
      </c>
      <c r="CA187" s="92" t="n">
        <f aca="false">IF(AK187&gt;=BM187,0,IFERROR(BM187+SUMPRODUCT((AK$4:AK$503&gt;=BM$4:BM$503)*(AK$4:AK$503-BM$4:BM$503))/MAX(1,COUNTIF(AK$4:AK$503,"&lt;"&amp;BM187+0.01)),BM187))</f>
        <v>7314.89836842105</v>
      </c>
      <c r="CB187" s="93" t="n">
        <f aca="false">IF(AL187&gt;=BN187,0,IFERROR(BN187+SUMPRODUCT((AL$4:AL$503&gt;=BN$4:BN$503)*(AL$4:AL$503-BN$4:BN$503))/MAX(1,COUNTIF(AL$4:AL$503,"&lt;"&amp;BN187+0.01)),BN187))</f>
        <v>3597.2614925</v>
      </c>
      <c r="CC187" s="95" t="str">
        <f aca="false">IF(AO187="🟢","VERDE",IF(AO187="🟡","AMARELO",IF(AO187="🟠","VERMELHO",IF(AO187="🔴","VERMELHO","ROXO"))))</f>
        <v>VERMELHO</v>
      </c>
      <c r="CD187" s="96" t="s">
        <v>103</v>
      </c>
      <c r="CE187" s="96" t="s">
        <v>104</v>
      </c>
    </row>
    <row r="188" customFormat="false" ht="14.25" hidden="false" customHeight="true" outlineLevel="0" collapsed="false">
      <c r="A188" s="65" t="s">
        <v>511</v>
      </c>
      <c r="B188" s="66" t="s">
        <v>512</v>
      </c>
      <c r="C188" s="67" t="s">
        <v>145</v>
      </c>
      <c r="D188" s="68" t="s">
        <v>100</v>
      </c>
      <c r="E188" s="69" t="s">
        <v>513</v>
      </c>
      <c r="F188" s="70" t="n">
        <f aca="false">IFERROR(VLOOKUP(C188,$AS$3:$AT$10,2,FALSE()),IFERROR(VLOOKUP(C188,$AS$15:$AT$22,2,FALSE()),""))</f>
        <v>10</v>
      </c>
      <c r="G188" s="71" t="n">
        <f aca="false">IFERROR(VLOOKUP(C188,$AS$3:$AX$10,6,FALSE()),IFERROR(VLOOKUP(C188,$AS$15:$AX$22,6,FALSE()),""))</f>
        <v>0.45643525037644</v>
      </c>
      <c r="H188" s="72" t="str">
        <f aca="false">IFERROR(VLOOKUP(C188,$AS$3:$AY$10,7,FALSE()),IFERROR(VLOOKUP(C188,$AS$15:$AY$22,7,FALSE()),""))</f>
        <v>🟡 AMARELO</v>
      </c>
      <c r="I188" s="72" t="str">
        <f aca="false">IFERROR(VLOOKUP(C188,$AS$3:$AZ$10,8,FALSE()),IFERROR(VLOOKUP(C188,$AS$15:$AZ$22,8,FALSE()),""))</f>
        <v>Sell Out</v>
      </c>
      <c r="J188" s="73"/>
      <c r="K188" s="69" t="s">
        <v>145</v>
      </c>
      <c r="L188" s="74" t="n">
        <v>6381.88</v>
      </c>
      <c r="M188" s="75" t="n">
        <v>448.47</v>
      </c>
      <c r="N188" s="75" t="n">
        <v>468.64</v>
      </c>
      <c r="O188" s="75" t="n">
        <v>479.93</v>
      </c>
      <c r="P188" s="75" t="n">
        <v>492.43</v>
      </c>
      <c r="Q188" s="75" t="n">
        <v>508.57</v>
      </c>
      <c r="R188" s="75" t="n">
        <v>521.88</v>
      </c>
      <c r="S188" s="75" t="n">
        <v>542.04</v>
      </c>
      <c r="T188" s="75" t="n">
        <v>555.35</v>
      </c>
      <c r="U188" s="75" t="n">
        <v>567.85</v>
      </c>
      <c r="V188" s="75" t="n">
        <v>581.97</v>
      </c>
      <c r="W188" s="75" t="n">
        <v>597.29</v>
      </c>
      <c r="X188" s="76" t="n">
        <v>617.46</v>
      </c>
      <c r="Y188" s="77" t="s">
        <v>20</v>
      </c>
      <c r="Z188" s="78" t="n">
        <f aca="false">SUM(AA188:AL188)</f>
        <v>5152.68</v>
      </c>
      <c r="AA188" s="75"/>
      <c r="AB188" s="75"/>
      <c r="AC188" s="75"/>
      <c r="AD188" s="75"/>
      <c r="AE188" s="75"/>
      <c r="AF188" s="75"/>
      <c r="AG188" s="75"/>
      <c r="AH188" s="75"/>
      <c r="AI188" s="75"/>
      <c r="AJ188" s="75" t="n">
        <v>2586.2</v>
      </c>
      <c r="AK188" s="79" t="n">
        <v>2566.48</v>
      </c>
      <c r="AL188" s="76"/>
      <c r="AM188" s="56" t="s">
        <v>20</v>
      </c>
      <c r="AN188" s="80" t="n">
        <f aca="false">IF(L188=0,0,Z188/L188)</f>
        <v>0.807392179107097</v>
      </c>
      <c r="AO188" s="81" t="str">
        <f aca="false">IF(AN188="","",IF(AN188&gt;=0.9,"🟢",IF(AN188&gt;=0.7,"🟡",IF(AN188&gt;=0.5,"🟠","🔴"))))</f>
        <v>🟡</v>
      </c>
      <c r="AP188" s="82" t="n">
        <f aca="false">IF(L188=0,0,L188-Z188)</f>
        <v>1229.2</v>
      </c>
      <c r="AQ188" s="83" t="n">
        <f aca="false">IF(AP188=0,"",RANK(AP188,AP$4:AP$503,0))</f>
        <v>356</v>
      </c>
      <c r="AR188" s="84" t="s">
        <v>20</v>
      </c>
      <c r="AS188" s="141"/>
      <c r="AT188" s="141"/>
      <c r="AU188" s="141"/>
      <c r="AV188" s="141"/>
      <c r="AW188" s="141"/>
      <c r="AX188" s="141"/>
      <c r="AY188" s="142"/>
      <c r="AZ188" s="142"/>
      <c r="BA188" s="56" t="s">
        <v>20</v>
      </c>
      <c r="BB188" s="91" t="n">
        <f aca="false">SUM(L$4:L$503)/COUNTA(A$4:A$503)</f>
        <v>9494.39992</v>
      </c>
      <c r="BC188" s="92" t="n">
        <f aca="false">SUM(M$4:M$503)/COUNTA(A$4:A$503)</f>
        <v>667.20008</v>
      </c>
      <c r="BD188" s="92" t="n">
        <f aca="false">SUM(N$4:N$503)/COUNTA(A$4:A$503)</f>
        <v>697.19996</v>
      </c>
      <c r="BE188" s="92" t="n">
        <f aca="false">SUM(O$4:O$503)/COUNTA(A$4:A$503)</f>
        <v>713.9999</v>
      </c>
      <c r="BF188" s="92" t="n">
        <f aca="false">SUM(P$4:P$503)/COUNTA(A$4:A$503)</f>
        <v>732.59984</v>
      </c>
      <c r="BG188" s="92" t="n">
        <f aca="false">SUM(Q$4:Q$503)/COUNTA(A$4:A$503)</f>
        <v>756.59992</v>
      </c>
      <c r="BH188" s="92" t="n">
        <f aca="false">SUM(R$4:R$503)/COUNTA(A$4:A$503)</f>
        <v>776.40004</v>
      </c>
      <c r="BI188" s="92" t="n">
        <f aca="false">SUM(S$4:S$503)/COUNTA(A$4:A$503)</f>
        <v>806.40012</v>
      </c>
      <c r="BJ188" s="92" t="n">
        <f aca="false">SUM(T$4:T$503)/COUNTA(A$4:A$503)</f>
        <v>826.1999</v>
      </c>
      <c r="BK188" s="92" t="n">
        <f aca="false">SUM(U$4:U$503)/COUNTA(A$4:A$503)</f>
        <v>844.8002</v>
      </c>
      <c r="BL188" s="92" t="n">
        <f aca="false">SUM(V$4:V$503)/COUNTA(A$4:A$503)</f>
        <v>865.7998</v>
      </c>
      <c r="BM188" s="92" t="n">
        <f aca="false">SUM(W$4:W$503)/COUNTA(A$4:A$503)</f>
        <v>888.59982</v>
      </c>
      <c r="BN188" s="93" t="n">
        <f aca="false">SUM(X$4:X$503)/COUNTA(A$4:A$503)</f>
        <v>918.60034</v>
      </c>
      <c r="BO188" s="94" t="s">
        <v>20</v>
      </c>
      <c r="BP188" s="91" t="n">
        <f aca="false">IF(Z188&gt;=BB188,0,IFERROR(BB188+(SUMPRODUCT((Z$4:Z$503&gt;=BB$4:BB$503)*(Z$4:Z$503-BB$4:BB$503))/MAX(1,COUNTIF(Z$4:Z$503,"&lt;"&amp;BB188+0.01))),BB188))</f>
        <v>10695.5432177778</v>
      </c>
      <c r="BQ188" s="92" t="n">
        <f aca="false">IF(AA188&gt;=BC188,0,IFERROR(BC188+SUMPRODUCT((AA$4:AA$503&gt;=BC$4:BC$503)*(AA$4:AA$503-BC$4:BC$503))/MAX(1,COUNTIF(AA$4:AA$503,"&lt;"&amp;BC188+0.01)),BC188))</f>
        <v>2238.46589176471</v>
      </c>
      <c r="BR188" s="92" t="n">
        <f aca="false">IF(AB188&gt;=BD188,0,IFERROR(BD188+SUMPRODUCT((AB$4:AB$503&gt;=BD$4:BD$503)*(AB$4:AB$503-BD$4:BD$503))/MAX(1,COUNTIF(AB$4:AB$503,"&lt;"&amp;BD188+0.01)),BD188))</f>
        <v>3335.2938</v>
      </c>
      <c r="BS188" s="92" t="n">
        <f aca="false">IF(AC188&gt;=BE188,0,IFERROR(BE188+SUMPRODUCT((AC$4:AC$503&gt;=BE$4:BE$503)*(AC$4:AC$503-BE$4:BE$503))/MAX(1,COUNTIF(AC$4:AC$503,"&lt;"&amp;BE188+0.01)),BE188))</f>
        <v>6188.73352</v>
      </c>
      <c r="BT188" s="92" t="n">
        <f aca="false">IF(AD188&gt;=BF188,0,IFERROR(BF188+SUMPRODUCT((AD$4:AD$503&gt;=BF$4:BF$503)*(AD$4:AD$503-BF$4:BF$503))/MAX(1,COUNTIF(AD$4:AD$503,"&lt;"&amp;BF188+0.01)),BF188))</f>
        <v>11354.35411</v>
      </c>
      <c r="BU188" s="92" t="n">
        <f aca="false">IF(AE188&gt;=BG188,0,IFERROR(BG188+SUMPRODUCT((AE$4:AE$503&gt;=BG$4:BG$503)*(AE$4:AE$503-BG$4:BG$503))/MAX(1,COUNTIF(AE$4:AE$503,"&lt;"&amp;BG188+0.01)),BG188))</f>
        <v>7704.85920380952</v>
      </c>
      <c r="BV188" s="92" t="n">
        <f aca="false">IF(AF188&gt;=BH188,0,IFERROR(BH188+SUMPRODUCT((AF$4:AF$503&gt;=BH$4:BH$503)*(AF$4:AF$503-BH$4:BH$503))/MAX(1,COUNTIF(AF$4:AF$503,"&lt;"&amp;BH188+0.01)),BH188))</f>
        <v>9942.6503831579</v>
      </c>
      <c r="BW188" s="92" t="n">
        <f aca="false">IF(AG188&gt;=BI188,0,IFERROR(BI188+SUMPRODUCT((AG$4:AG$503&gt;=BI$4:BI$503)*(AG$4:AG$503-BI$4:BI$503))/MAX(1,COUNTIF(AG$4:AG$503,"&lt;"&amp;BI188+0.01)),BI188))</f>
        <v>9142.15870461538</v>
      </c>
      <c r="BX188" s="92" t="n">
        <f aca="false">IF(AH188&gt;=BJ188,0,IFERROR(BJ188+SUMPRODUCT((AH$4:AH$503&gt;=BJ$4:BJ$503)*(AH$4:AH$503-BJ$4:BJ$503))/MAX(1,COUNTIF(AH$4:AH$503,"&lt;"&amp;BJ188+0.01)),BJ188))</f>
        <v>5621.50263448276</v>
      </c>
      <c r="BY188" s="92" t="n">
        <f aca="false">IF(AI188&gt;=BK188,0,IFERROR(BK188+SUMPRODUCT((AI$4:AI$503&gt;=BK$4:BK$503)*(AI$4:AI$503-BK$4:BK$503))/MAX(1,COUNTIF(AI$4:AI$503,"&lt;"&amp;BK188+0.01)),BK188))</f>
        <v>7878.25652380952</v>
      </c>
      <c r="BZ188" s="92" t="n">
        <f aca="false">IF(AJ188&gt;=BL188,0,IFERROR(BL188+SUMPRODUCT((AJ$4:AJ$503&gt;=BL$4:BL$503)*(AJ$4:AJ$503-BL$4:BL$503))/MAX(1,COUNTIF(AJ$4:AJ$503,"&lt;"&amp;BL188+0.01)),BL188))</f>
        <v>0</v>
      </c>
      <c r="CA188" s="92" t="n">
        <f aca="false">IF(AK188&gt;=BM188,0,IFERROR(BM188+SUMPRODUCT((AK$4:AK$503&gt;=BM$4:BM$503)*(AK$4:AK$503-BM$4:BM$503))/MAX(1,COUNTIF(AK$4:AK$503,"&lt;"&amp;BM188+0.01)),BM188))</f>
        <v>0</v>
      </c>
      <c r="CB188" s="93" t="n">
        <f aca="false">IF(AL188&gt;=BN188,0,IFERROR(BN188+SUMPRODUCT((AL$4:AL$503&gt;=BN$4:BN$503)*(AL$4:AL$503-BN$4:BN$503))/MAX(1,COUNTIF(AL$4:AL$503,"&lt;"&amp;BN188+0.01)),BN188))</f>
        <v>3597.2614925</v>
      </c>
      <c r="CC188" s="95" t="str">
        <f aca="false">IF(AO188="🟢","VERDE",IF(AO188="🟡","AMARELO",IF(AO188="🟠","VERMELHO",IF(AO188="🔴","VERMELHO","ROXO"))))</f>
        <v>AMARELO</v>
      </c>
      <c r="CD188" s="96" t="s">
        <v>103</v>
      </c>
      <c r="CE188" s="96" t="s">
        <v>104</v>
      </c>
    </row>
    <row r="189" customFormat="false" ht="14.25" hidden="false" customHeight="true" outlineLevel="0" collapsed="false">
      <c r="A189" s="65" t="s">
        <v>514</v>
      </c>
      <c r="B189" s="66" t="s">
        <v>515</v>
      </c>
      <c r="C189" s="67" t="s">
        <v>113</v>
      </c>
      <c r="D189" s="68" t="s">
        <v>100</v>
      </c>
      <c r="E189" s="69" t="s">
        <v>114</v>
      </c>
      <c r="F189" s="70" t="n">
        <f aca="false">IFERROR(VLOOKUP(C189,$AS$3:$AT$10,2,FALSE()),IFERROR(VLOOKUP(C189,$AS$15:$AT$22,2,FALSE()),""))</f>
        <v>49</v>
      </c>
      <c r="G189" s="71" t="n">
        <f aca="false">IFERROR(VLOOKUP(C189,$AS$3:$AX$10,6,FALSE()),IFERROR(VLOOKUP(C189,$AS$15:$AX$22,6,FALSE()),""))</f>
        <v>0.463965086137302</v>
      </c>
      <c r="H189" s="72" t="str">
        <f aca="false">IFERROR(VLOOKUP(C189,$AS$3:$AY$10,7,FALSE()),IFERROR(VLOOKUP(C189,$AS$15:$AY$22,7,FALSE()),""))</f>
        <v>🟡 AMARELO</v>
      </c>
      <c r="I189" s="72" t="str">
        <f aca="false">IFERROR(VLOOKUP(C189,$AS$3:$AZ$10,8,FALSE()),IFERROR(VLOOKUP(C189,$AS$15:$AZ$22,8,FALSE()),""))</f>
        <v>Sell Out</v>
      </c>
      <c r="J189" s="73"/>
      <c r="K189" s="69" t="s">
        <v>113</v>
      </c>
      <c r="L189" s="74" t="n">
        <v>6374.11</v>
      </c>
      <c r="M189" s="75" t="n">
        <v>447.93</v>
      </c>
      <c r="N189" s="75" t="n">
        <v>468.07</v>
      </c>
      <c r="O189" s="75" t="n">
        <v>479.35</v>
      </c>
      <c r="P189" s="75" t="n">
        <v>491.83</v>
      </c>
      <c r="Q189" s="75" t="n">
        <v>507.95</v>
      </c>
      <c r="R189" s="75" t="n">
        <v>521.24</v>
      </c>
      <c r="S189" s="75" t="n">
        <v>541.38</v>
      </c>
      <c r="T189" s="75" t="n">
        <v>554.67</v>
      </c>
      <c r="U189" s="75" t="n">
        <v>567.16</v>
      </c>
      <c r="V189" s="75" t="n">
        <v>581.26</v>
      </c>
      <c r="W189" s="75" t="n">
        <v>596.56</v>
      </c>
      <c r="X189" s="76" t="n">
        <v>616.71</v>
      </c>
      <c r="Y189" s="77" t="s">
        <v>20</v>
      </c>
      <c r="Z189" s="78" t="n">
        <f aca="false">SUM(AA189:AL189)</f>
        <v>3026.55</v>
      </c>
      <c r="AA189" s="75"/>
      <c r="AB189" s="75"/>
      <c r="AC189" s="75"/>
      <c r="AD189" s="75"/>
      <c r="AE189" s="75"/>
      <c r="AF189" s="79" t="n">
        <v>1470.17</v>
      </c>
      <c r="AG189" s="75"/>
      <c r="AH189" s="79" t="n">
        <v>1556.38</v>
      </c>
      <c r="AI189" s="75"/>
      <c r="AJ189" s="75"/>
      <c r="AK189" s="75"/>
      <c r="AL189" s="76"/>
      <c r="AM189" s="56" t="s">
        <v>20</v>
      </c>
      <c r="AN189" s="80" t="n">
        <f aca="false">IF(L189=0,0,Z189/L189)</f>
        <v>0.474819229665004</v>
      </c>
      <c r="AO189" s="81" t="str">
        <f aca="false">IF(AN189="","",IF(AN189&gt;=0.9,"🟢",IF(AN189&gt;=0.7,"🟡",IF(AN189&gt;=0.5,"🟠","🔴"))))</f>
        <v>🔴</v>
      </c>
      <c r="AP189" s="82" t="n">
        <f aca="false">IF(L189=0,0,L189-Z189)</f>
        <v>3347.56</v>
      </c>
      <c r="AQ189" s="83" t="n">
        <f aca="false">IF(AP189=0,"",RANK(AP189,AP$4:AP$503,0))</f>
        <v>194</v>
      </c>
      <c r="AR189" s="84" t="s">
        <v>20</v>
      </c>
      <c r="AS189" s="141"/>
      <c r="AT189" s="141"/>
      <c r="AU189" s="141"/>
      <c r="AV189" s="141"/>
      <c r="AW189" s="141"/>
      <c r="AX189" s="141"/>
      <c r="AY189" s="142"/>
      <c r="AZ189" s="142"/>
      <c r="BA189" s="56" t="s">
        <v>20</v>
      </c>
      <c r="BB189" s="91" t="n">
        <f aca="false">SUM(L$4:L$503)/COUNTA(A$4:A$503)</f>
        <v>9494.39992</v>
      </c>
      <c r="BC189" s="92" t="n">
        <f aca="false">SUM(M$4:M$503)/COUNTA(A$4:A$503)</f>
        <v>667.20008</v>
      </c>
      <c r="BD189" s="92" t="n">
        <f aca="false">SUM(N$4:N$503)/COUNTA(A$4:A$503)</f>
        <v>697.19996</v>
      </c>
      <c r="BE189" s="92" t="n">
        <f aca="false">SUM(O$4:O$503)/COUNTA(A$4:A$503)</f>
        <v>713.9999</v>
      </c>
      <c r="BF189" s="92" t="n">
        <f aca="false">SUM(P$4:P$503)/COUNTA(A$4:A$503)</f>
        <v>732.59984</v>
      </c>
      <c r="BG189" s="92" t="n">
        <f aca="false">SUM(Q$4:Q$503)/COUNTA(A$4:A$503)</f>
        <v>756.59992</v>
      </c>
      <c r="BH189" s="92" t="n">
        <f aca="false">SUM(R$4:R$503)/COUNTA(A$4:A$503)</f>
        <v>776.40004</v>
      </c>
      <c r="BI189" s="92" t="n">
        <f aca="false">SUM(S$4:S$503)/COUNTA(A$4:A$503)</f>
        <v>806.40012</v>
      </c>
      <c r="BJ189" s="92" t="n">
        <f aca="false">SUM(T$4:T$503)/COUNTA(A$4:A$503)</f>
        <v>826.1999</v>
      </c>
      <c r="BK189" s="92" t="n">
        <f aca="false">SUM(U$4:U$503)/COUNTA(A$4:A$503)</f>
        <v>844.8002</v>
      </c>
      <c r="BL189" s="92" t="n">
        <f aca="false">SUM(V$4:V$503)/COUNTA(A$4:A$503)</f>
        <v>865.7998</v>
      </c>
      <c r="BM189" s="92" t="n">
        <f aca="false">SUM(W$4:W$503)/COUNTA(A$4:A$503)</f>
        <v>888.59982</v>
      </c>
      <c r="BN189" s="93" t="n">
        <f aca="false">SUM(X$4:X$503)/COUNTA(A$4:A$503)</f>
        <v>918.60034</v>
      </c>
      <c r="BO189" s="94" t="s">
        <v>20</v>
      </c>
      <c r="BP189" s="91" t="n">
        <f aca="false">IF(Z189&gt;=BB189,0,IFERROR(BB189+(SUMPRODUCT((Z$4:Z$503&gt;=BB$4:BB$503)*(Z$4:Z$503-BB$4:BB$503))/MAX(1,COUNTIF(Z$4:Z$503,"&lt;"&amp;BB189+0.01))),BB189))</f>
        <v>10695.5432177778</v>
      </c>
      <c r="BQ189" s="92" t="n">
        <f aca="false">IF(AA189&gt;=BC189,0,IFERROR(BC189+SUMPRODUCT((AA$4:AA$503&gt;=BC$4:BC$503)*(AA$4:AA$503-BC$4:BC$503))/MAX(1,COUNTIF(AA$4:AA$503,"&lt;"&amp;BC189+0.01)),BC189))</f>
        <v>2238.46589176471</v>
      </c>
      <c r="BR189" s="92" t="n">
        <f aca="false">IF(AB189&gt;=BD189,0,IFERROR(BD189+SUMPRODUCT((AB$4:AB$503&gt;=BD$4:BD$503)*(AB$4:AB$503-BD$4:BD$503))/MAX(1,COUNTIF(AB$4:AB$503,"&lt;"&amp;BD189+0.01)),BD189))</f>
        <v>3335.2938</v>
      </c>
      <c r="BS189" s="92" t="n">
        <f aca="false">IF(AC189&gt;=BE189,0,IFERROR(BE189+SUMPRODUCT((AC$4:AC$503&gt;=BE$4:BE$503)*(AC$4:AC$503-BE$4:BE$503))/MAX(1,COUNTIF(AC$4:AC$503,"&lt;"&amp;BE189+0.01)),BE189))</f>
        <v>6188.73352</v>
      </c>
      <c r="BT189" s="92" t="n">
        <f aca="false">IF(AD189&gt;=BF189,0,IFERROR(BF189+SUMPRODUCT((AD$4:AD$503&gt;=BF$4:BF$503)*(AD$4:AD$503-BF$4:BF$503))/MAX(1,COUNTIF(AD$4:AD$503,"&lt;"&amp;BF189+0.01)),BF189))</f>
        <v>11354.35411</v>
      </c>
      <c r="BU189" s="92" t="n">
        <f aca="false">IF(AE189&gt;=BG189,0,IFERROR(BG189+SUMPRODUCT((AE$4:AE$503&gt;=BG$4:BG$503)*(AE$4:AE$503-BG$4:BG$503))/MAX(1,COUNTIF(AE$4:AE$503,"&lt;"&amp;BG189+0.01)),BG189))</f>
        <v>7704.85920380952</v>
      </c>
      <c r="BV189" s="92" t="n">
        <f aca="false">IF(AF189&gt;=BH189,0,IFERROR(BH189+SUMPRODUCT((AF$4:AF$503&gt;=BH$4:BH$503)*(AF$4:AF$503-BH$4:BH$503))/MAX(1,COUNTIF(AF$4:AF$503,"&lt;"&amp;BH189+0.01)),BH189))</f>
        <v>0</v>
      </c>
      <c r="BW189" s="92" t="n">
        <f aca="false">IF(AG189&gt;=BI189,0,IFERROR(BI189+SUMPRODUCT((AG$4:AG$503&gt;=BI$4:BI$503)*(AG$4:AG$503-BI$4:BI$503))/MAX(1,COUNTIF(AG$4:AG$503,"&lt;"&amp;BI189+0.01)),BI189))</f>
        <v>9142.15870461538</v>
      </c>
      <c r="BX189" s="92" t="n">
        <f aca="false">IF(AH189&gt;=BJ189,0,IFERROR(BJ189+SUMPRODUCT((AH$4:AH$503&gt;=BJ$4:BJ$503)*(AH$4:AH$503-BJ$4:BJ$503))/MAX(1,COUNTIF(AH$4:AH$503,"&lt;"&amp;BJ189+0.01)),BJ189))</f>
        <v>0</v>
      </c>
      <c r="BY189" s="92" t="n">
        <f aca="false">IF(AI189&gt;=BK189,0,IFERROR(BK189+SUMPRODUCT((AI$4:AI$503&gt;=BK$4:BK$503)*(AI$4:AI$503-BK$4:BK$503))/MAX(1,COUNTIF(AI$4:AI$503,"&lt;"&amp;BK189+0.01)),BK189))</f>
        <v>7878.25652380952</v>
      </c>
      <c r="BZ189" s="92" t="n">
        <f aca="false">IF(AJ189&gt;=BL189,0,IFERROR(BL189+SUMPRODUCT((AJ$4:AJ$503&gt;=BL$4:BL$503)*(AJ$4:AJ$503-BL$4:BL$503))/MAX(1,COUNTIF(AJ$4:AJ$503,"&lt;"&amp;BL189+0.01)),BL189))</f>
        <v>6710.03292307692</v>
      </c>
      <c r="CA189" s="92" t="n">
        <f aca="false">IF(AK189&gt;=BM189,0,IFERROR(BM189+SUMPRODUCT((AK$4:AK$503&gt;=BM$4:BM$503)*(AK$4:AK$503-BM$4:BM$503))/MAX(1,COUNTIF(AK$4:AK$503,"&lt;"&amp;BM189+0.01)),BM189))</f>
        <v>7314.89836842105</v>
      </c>
      <c r="CB189" s="93" t="n">
        <f aca="false">IF(AL189&gt;=BN189,0,IFERROR(BN189+SUMPRODUCT((AL$4:AL$503&gt;=BN$4:BN$503)*(AL$4:AL$503-BN$4:BN$503))/MAX(1,COUNTIF(AL$4:AL$503,"&lt;"&amp;BN189+0.01)),BN189))</f>
        <v>3597.2614925</v>
      </c>
      <c r="CC189" s="95" t="str">
        <f aca="false">IF(AO189="🟢","VERDE",IF(AO189="🟡","AMARELO",IF(AO189="🟠","VERMELHO",IF(AO189="🔴","VERMELHO","ROXO"))))</f>
        <v>VERMELHO</v>
      </c>
      <c r="CD189" s="96" t="s">
        <v>103</v>
      </c>
      <c r="CE189" s="96" t="s">
        <v>104</v>
      </c>
    </row>
    <row r="190" customFormat="false" ht="14.25" hidden="false" customHeight="true" outlineLevel="0" collapsed="false">
      <c r="A190" s="65" t="s">
        <v>516</v>
      </c>
      <c r="B190" s="66" t="s">
        <v>517</v>
      </c>
      <c r="C190" s="67" t="s">
        <v>113</v>
      </c>
      <c r="D190" s="68" t="s">
        <v>100</v>
      </c>
      <c r="E190" s="69" t="s">
        <v>260</v>
      </c>
      <c r="F190" s="70" t="n">
        <f aca="false">IFERROR(VLOOKUP(C190,$AS$3:$AT$10,2,FALSE()),IFERROR(VLOOKUP(C190,$AS$15:$AT$22,2,FALSE()),""))</f>
        <v>49</v>
      </c>
      <c r="G190" s="71" t="n">
        <f aca="false">IFERROR(VLOOKUP(C190,$AS$3:$AX$10,6,FALSE()),IFERROR(VLOOKUP(C190,$AS$15:$AX$22,6,FALSE()),""))</f>
        <v>0.463965086137302</v>
      </c>
      <c r="H190" s="72" t="str">
        <f aca="false">IFERROR(VLOOKUP(C190,$AS$3:$AY$10,7,FALSE()),IFERROR(VLOOKUP(C190,$AS$15:$AY$22,7,FALSE()),""))</f>
        <v>🟡 AMARELO</v>
      </c>
      <c r="I190" s="72" t="str">
        <f aca="false">IFERROR(VLOOKUP(C190,$AS$3:$AZ$10,8,FALSE()),IFERROR(VLOOKUP(C190,$AS$15:$AZ$22,8,FALSE()),""))</f>
        <v>Sell Out</v>
      </c>
      <c r="J190" s="73"/>
      <c r="K190" s="69" t="s">
        <v>113</v>
      </c>
      <c r="L190" s="74" t="n">
        <v>6359.81</v>
      </c>
      <c r="M190" s="75" t="n">
        <v>446.92</v>
      </c>
      <c r="N190" s="75" t="n">
        <v>467.02</v>
      </c>
      <c r="O190" s="75" t="n">
        <v>478.27</v>
      </c>
      <c r="P190" s="75" t="n">
        <v>490.73</v>
      </c>
      <c r="Q190" s="75" t="n">
        <v>506.81</v>
      </c>
      <c r="R190" s="75" t="n">
        <v>520.07</v>
      </c>
      <c r="S190" s="75" t="n">
        <v>540.17</v>
      </c>
      <c r="T190" s="75" t="n">
        <v>553.43</v>
      </c>
      <c r="U190" s="75" t="n">
        <v>565.89</v>
      </c>
      <c r="V190" s="75" t="n">
        <v>579.95</v>
      </c>
      <c r="W190" s="75" t="n">
        <v>595.23</v>
      </c>
      <c r="X190" s="76" t="n">
        <v>615.32</v>
      </c>
      <c r="Y190" s="77" t="s">
        <v>20</v>
      </c>
      <c r="Z190" s="78" t="n">
        <f aca="false">SUM(AA190:AL190)</f>
        <v>2784.48</v>
      </c>
      <c r="AA190" s="75"/>
      <c r="AB190" s="75"/>
      <c r="AC190" s="75"/>
      <c r="AD190" s="75"/>
      <c r="AE190" s="79" t="n">
        <v>1574.78</v>
      </c>
      <c r="AF190" s="75"/>
      <c r="AG190" s="75"/>
      <c r="AH190" s="79" t="n">
        <v>1209.7</v>
      </c>
      <c r="AI190" s="75"/>
      <c r="AJ190" s="75"/>
      <c r="AK190" s="75"/>
      <c r="AL190" s="76"/>
      <c r="AM190" s="56" t="s">
        <v>20</v>
      </c>
      <c r="AN190" s="80" t="n">
        <f aca="false">IF(L190=0,0,Z190/L190)</f>
        <v>0.437824400414478</v>
      </c>
      <c r="AO190" s="81" t="str">
        <f aca="false">IF(AN190="","",IF(AN190&gt;=0.9,"🟢",IF(AN190&gt;=0.7,"🟡",IF(AN190&gt;=0.5,"🟠","🔴"))))</f>
        <v>🔴</v>
      </c>
      <c r="AP190" s="82" t="n">
        <f aca="false">IF(L190=0,0,L190-Z190)</f>
        <v>3575.33</v>
      </c>
      <c r="AQ190" s="83" t="n">
        <f aca="false">IF(AP190=0,"",RANK(AP190,AP$4:AP$503,0))</f>
        <v>179</v>
      </c>
      <c r="AR190" s="84" t="s">
        <v>20</v>
      </c>
      <c r="AS190" s="141"/>
      <c r="AT190" s="141"/>
      <c r="AU190" s="141"/>
      <c r="AV190" s="141"/>
      <c r="AW190" s="141"/>
      <c r="AX190" s="141"/>
      <c r="AY190" s="142"/>
      <c r="AZ190" s="142"/>
      <c r="BA190" s="56" t="s">
        <v>20</v>
      </c>
      <c r="BB190" s="91" t="n">
        <f aca="false">SUM(L$4:L$503)/COUNTA(A$4:A$503)</f>
        <v>9494.39992</v>
      </c>
      <c r="BC190" s="92" t="n">
        <f aca="false">SUM(M$4:M$503)/COUNTA(A$4:A$503)</f>
        <v>667.20008</v>
      </c>
      <c r="BD190" s="92" t="n">
        <f aca="false">SUM(N$4:N$503)/COUNTA(A$4:A$503)</f>
        <v>697.19996</v>
      </c>
      <c r="BE190" s="92" t="n">
        <f aca="false">SUM(O$4:O$503)/COUNTA(A$4:A$503)</f>
        <v>713.9999</v>
      </c>
      <c r="BF190" s="92" t="n">
        <f aca="false">SUM(P$4:P$503)/COUNTA(A$4:A$503)</f>
        <v>732.59984</v>
      </c>
      <c r="BG190" s="92" t="n">
        <f aca="false">SUM(Q$4:Q$503)/COUNTA(A$4:A$503)</f>
        <v>756.59992</v>
      </c>
      <c r="BH190" s="92" t="n">
        <f aca="false">SUM(R$4:R$503)/COUNTA(A$4:A$503)</f>
        <v>776.40004</v>
      </c>
      <c r="BI190" s="92" t="n">
        <f aca="false">SUM(S$4:S$503)/COUNTA(A$4:A$503)</f>
        <v>806.40012</v>
      </c>
      <c r="BJ190" s="92" t="n">
        <f aca="false">SUM(T$4:T$503)/COUNTA(A$4:A$503)</f>
        <v>826.1999</v>
      </c>
      <c r="BK190" s="92" t="n">
        <f aca="false">SUM(U$4:U$503)/COUNTA(A$4:A$503)</f>
        <v>844.8002</v>
      </c>
      <c r="BL190" s="92" t="n">
        <f aca="false">SUM(V$4:V$503)/COUNTA(A$4:A$503)</f>
        <v>865.7998</v>
      </c>
      <c r="BM190" s="92" t="n">
        <f aca="false">SUM(W$4:W$503)/COUNTA(A$4:A$503)</f>
        <v>888.59982</v>
      </c>
      <c r="BN190" s="93" t="n">
        <f aca="false">SUM(X$4:X$503)/COUNTA(A$4:A$503)</f>
        <v>918.60034</v>
      </c>
      <c r="BO190" s="94" t="s">
        <v>20</v>
      </c>
      <c r="BP190" s="91" t="n">
        <f aca="false">IF(Z190&gt;=BB190,0,IFERROR(BB190+(SUMPRODUCT((Z$4:Z$503&gt;=BB$4:BB$503)*(Z$4:Z$503-BB$4:BB$503))/MAX(1,COUNTIF(Z$4:Z$503,"&lt;"&amp;BB190+0.01))),BB190))</f>
        <v>10695.5432177778</v>
      </c>
      <c r="BQ190" s="92" t="n">
        <f aca="false">IF(AA190&gt;=BC190,0,IFERROR(BC190+SUMPRODUCT((AA$4:AA$503&gt;=BC$4:BC$503)*(AA$4:AA$503-BC$4:BC$503))/MAX(1,COUNTIF(AA$4:AA$503,"&lt;"&amp;BC190+0.01)),BC190))</f>
        <v>2238.46589176471</v>
      </c>
      <c r="BR190" s="92" t="n">
        <f aca="false">IF(AB190&gt;=BD190,0,IFERROR(BD190+SUMPRODUCT((AB$4:AB$503&gt;=BD$4:BD$503)*(AB$4:AB$503-BD$4:BD$503))/MAX(1,COUNTIF(AB$4:AB$503,"&lt;"&amp;BD190+0.01)),BD190))</f>
        <v>3335.2938</v>
      </c>
      <c r="BS190" s="92" t="n">
        <f aca="false">IF(AC190&gt;=BE190,0,IFERROR(BE190+SUMPRODUCT((AC$4:AC$503&gt;=BE$4:BE$503)*(AC$4:AC$503-BE$4:BE$503))/MAX(1,COUNTIF(AC$4:AC$503,"&lt;"&amp;BE190+0.01)),BE190))</f>
        <v>6188.73352</v>
      </c>
      <c r="BT190" s="92" t="n">
        <f aca="false">IF(AD190&gt;=BF190,0,IFERROR(BF190+SUMPRODUCT((AD$4:AD$503&gt;=BF$4:BF$503)*(AD$4:AD$503-BF$4:BF$503))/MAX(1,COUNTIF(AD$4:AD$503,"&lt;"&amp;BF190+0.01)),BF190))</f>
        <v>11354.35411</v>
      </c>
      <c r="BU190" s="92" t="n">
        <f aca="false">IF(AE190&gt;=BG190,0,IFERROR(BG190+SUMPRODUCT((AE$4:AE$503&gt;=BG$4:BG$503)*(AE$4:AE$503-BG$4:BG$503))/MAX(1,COUNTIF(AE$4:AE$503,"&lt;"&amp;BG190+0.01)),BG190))</f>
        <v>0</v>
      </c>
      <c r="BV190" s="92" t="n">
        <f aca="false">IF(AF190&gt;=BH190,0,IFERROR(BH190+SUMPRODUCT((AF$4:AF$503&gt;=BH$4:BH$503)*(AF$4:AF$503-BH$4:BH$503))/MAX(1,COUNTIF(AF$4:AF$503,"&lt;"&amp;BH190+0.01)),BH190))</f>
        <v>9942.6503831579</v>
      </c>
      <c r="BW190" s="92" t="n">
        <f aca="false">IF(AG190&gt;=BI190,0,IFERROR(BI190+SUMPRODUCT((AG$4:AG$503&gt;=BI$4:BI$503)*(AG$4:AG$503-BI$4:BI$503))/MAX(1,COUNTIF(AG$4:AG$503,"&lt;"&amp;BI190+0.01)),BI190))</f>
        <v>9142.15870461538</v>
      </c>
      <c r="BX190" s="92" t="n">
        <f aca="false">IF(AH190&gt;=BJ190,0,IFERROR(BJ190+SUMPRODUCT((AH$4:AH$503&gt;=BJ$4:BJ$503)*(AH$4:AH$503-BJ$4:BJ$503))/MAX(1,COUNTIF(AH$4:AH$503,"&lt;"&amp;BJ190+0.01)),BJ190))</f>
        <v>0</v>
      </c>
      <c r="BY190" s="92" t="n">
        <f aca="false">IF(AI190&gt;=BK190,0,IFERROR(BK190+SUMPRODUCT((AI$4:AI$503&gt;=BK$4:BK$503)*(AI$4:AI$503-BK$4:BK$503))/MAX(1,COUNTIF(AI$4:AI$503,"&lt;"&amp;BK190+0.01)),BK190))</f>
        <v>7878.25652380952</v>
      </c>
      <c r="BZ190" s="92" t="n">
        <f aca="false">IF(AJ190&gt;=BL190,0,IFERROR(BL190+SUMPRODUCT((AJ$4:AJ$503&gt;=BL$4:BL$503)*(AJ$4:AJ$503-BL$4:BL$503))/MAX(1,COUNTIF(AJ$4:AJ$503,"&lt;"&amp;BL190+0.01)),BL190))</f>
        <v>6710.03292307692</v>
      </c>
      <c r="CA190" s="92" t="n">
        <f aca="false">IF(AK190&gt;=BM190,0,IFERROR(BM190+SUMPRODUCT((AK$4:AK$503&gt;=BM$4:BM$503)*(AK$4:AK$503-BM$4:BM$503))/MAX(1,COUNTIF(AK$4:AK$503,"&lt;"&amp;BM190+0.01)),BM190))</f>
        <v>7314.89836842105</v>
      </c>
      <c r="CB190" s="93" t="n">
        <f aca="false">IF(AL190&gt;=BN190,0,IFERROR(BN190+SUMPRODUCT((AL$4:AL$503&gt;=BN$4:BN$503)*(AL$4:AL$503-BN$4:BN$503))/MAX(1,COUNTIF(AL$4:AL$503,"&lt;"&amp;BN190+0.01)),BN190))</f>
        <v>3597.2614925</v>
      </c>
      <c r="CC190" s="95" t="str">
        <f aca="false">IF(AO190="🟢","VERDE",IF(AO190="🟡","AMARELO",IF(AO190="🟠","VERMELHO",IF(AO190="🔴","VERMELHO","ROXO"))))</f>
        <v>VERMELHO</v>
      </c>
      <c r="CD190" s="96" t="s">
        <v>103</v>
      </c>
      <c r="CE190" s="96" t="s">
        <v>104</v>
      </c>
    </row>
    <row r="191" customFormat="false" ht="14.25" hidden="false" customHeight="true" outlineLevel="0" collapsed="false">
      <c r="A191" s="65" t="s">
        <v>518</v>
      </c>
      <c r="B191" s="66" t="s">
        <v>519</v>
      </c>
      <c r="C191" s="66" t="s">
        <v>66</v>
      </c>
      <c r="D191" s="68" t="s">
        <v>175</v>
      </c>
      <c r="E191" s="69" t="s">
        <v>139</v>
      </c>
      <c r="F191" s="70" t="n">
        <f aca="false">IFERROR(VLOOKUP(C191,$AS$3:$AT$10,2,FALSE()),IFERROR(VLOOKUP(C191,$AS$15:$AT$22,2,FALSE()),""))</f>
        <v>44</v>
      </c>
      <c r="G191" s="71" t="n">
        <f aca="false">IFERROR(VLOOKUP(C191,$AS$3:$AX$10,6,FALSE()),IFERROR(VLOOKUP(C191,$AS$15:$AX$22,6,FALSE()),""))</f>
        <v>0.496839506257363</v>
      </c>
      <c r="H191" s="72" t="str">
        <f aca="false">IFERROR(VLOOKUP(C191,$AS$3:$AY$10,7,FALSE()),IFERROR(VLOOKUP(C191,$AS$15:$AY$22,7,FALSE()),""))</f>
        <v>🟡 AMARELO</v>
      </c>
      <c r="I191" s="72" t="str">
        <f aca="false">IFERROR(VLOOKUP(C191,$AS$3:$AZ$10,8,FALSE()),IFERROR(VLOOKUP(C191,$AS$15:$AZ$22,8,FALSE()),""))</f>
        <v>Sell Out</v>
      </c>
      <c r="J191" s="73"/>
      <c r="K191" s="69" t="s">
        <v>107</v>
      </c>
      <c r="L191" s="74" t="n">
        <v>6303.42</v>
      </c>
      <c r="M191" s="75" t="n">
        <v>442.96</v>
      </c>
      <c r="N191" s="75" t="n">
        <v>462.88</v>
      </c>
      <c r="O191" s="75" t="n">
        <v>474.03</v>
      </c>
      <c r="P191" s="75" t="n">
        <v>486.38</v>
      </c>
      <c r="Q191" s="75" t="n">
        <v>502.31</v>
      </c>
      <c r="R191" s="75" t="n">
        <v>515.46</v>
      </c>
      <c r="S191" s="75" t="n">
        <v>535.38</v>
      </c>
      <c r="T191" s="75" t="n">
        <v>548.52</v>
      </c>
      <c r="U191" s="75" t="n">
        <v>560.87</v>
      </c>
      <c r="V191" s="75" t="n">
        <v>574.81</v>
      </c>
      <c r="W191" s="75" t="n">
        <v>589.95</v>
      </c>
      <c r="X191" s="76" t="n">
        <v>609.87</v>
      </c>
      <c r="Y191" s="77" t="s">
        <v>20</v>
      </c>
      <c r="Z191" s="78" t="n">
        <f aca="false">SUM(AA191:AL191)</f>
        <v>4378.54</v>
      </c>
      <c r="AA191" s="75"/>
      <c r="AB191" s="79" t="n">
        <v>255.56</v>
      </c>
      <c r="AC191" s="75"/>
      <c r="AD191" s="75"/>
      <c r="AE191" s="79" t="n">
        <v>678.03</v>
      </c>
      <c r="AF191" s="75" t="n">
        <v>1802.56</v>
      </c>
      <c r="AG191" s="79" t="n">
        <v>1642.39</v>
      </c>
      <c r="AH191" s="75"/>
      <c r="AI191" s="75"/>
      <c r="AJ191" s="75"/>
      <c r="AK191" s="75"/>
      <c r="AL191" s="76"/>
      <c r="AM191" s="56" t="s">
        <v>20</v>
      </c>
      <c r="AN191" s="80" t="n">
        <f aca="false">IF(L191=0,0,Z191/L191)</f>
        <v>0.694629264748343</v>
      </c>
      <c r="AO191" s="81" t="str">
        <f aca="false">IF(AN191="","",IF(AN191&gt;=0.9,"🟢",IF(AN191&gt;=0.7,"🟡",IF(AN191&gt;=0.5,"🟠","🔴"))))</f>
        <v>🟠</v>
      </c>
      <c r="AP191" s="82" t="n">
        <f aca="false">IF(L191=0,0,L191-Z191)</f>
        <v>1924.88</v>
      </c>
      <c r="AQ191" s="83" t="n">
        <f aca="false">IF(AP191=0,"",RANK(AP191,AP$4:AP$503,0))</f>
        <v>278</v>
      </c>
      <c r="AR191" s="84" t="s">
        <v>20</v>
      </c>
      <c r="AS191" s="141"/>
      <c r="AT191" s="141"/>
      <c r="AU191" s="141"/>
      <c r="AV191" s="141"/>
      <c r="AW191" s="141"/>
      <c r="AX191" s="141"/>
      <c r="AY191" s="142"/>
      <c r="AZ191" s="142"/>
      <c r="BA191" s="56" t="s">
        <v>20</v>
      </c>
      <c r="BB191" s="91" t="n">
        <f aca="false">SUM(L$4:L$503)/COUNTA(A$4:A$503)</f>
        <v>9494.39992</v>
      </c>
      <c r="BC191" s="92" t="n">
        <f aca="false">SUM(M$4:M$503)/COUNTA(A$4:A$503)</f>
        <v>667.20008</v>
      </c>
      <c r="BD191" s="92" t="n">
        <f aca="false">SUM(N$4:N$503)/COUNTA(A$4:A$503)</f>
        <v>697.19996</v>
      </c>
      <c r="BE191" s="92" t="n">
        <f aca="false">SUM(O$4:O$503)/COUNTA(A$4:A$503)</f>
        <v>713.9999</v>
      </c>
      <c r="BF191" s="92" t="n">
        <f aca="false">SUM(P$4:P$503)/COUNTA(A$4:A$503)</f>
        <v>732.59984</v>
      </c>
      <c r="BG191" s="92" t="n">
        <f aca="false">SUM(Q$4:Q$503)/COUNTA(A$4:A$503)</f>
        <v>756.59992</v>
      </c>
      <c r="BH191" s="92" t="n">
        <f aca="false">SUM(R$4:R$503)/COUNTA(A$4:A$503)</f>
        <v>776.40004</v>
      </c>
      <c r="BI191" s="92" t="n">
        <f aca="false">SUM(S$4:S$503)/COUNTA(A$4:A$503)</f>
        <v>806.40012</v>
      </c>
      <c r="BJ191" s="92" t="n">
        <f aca="false">SUM(T$4:T$503)/COUNTA(A$4:A$503)</f>
        <v>826.1999</v>
      </c>
      <c r="BK191" s="92" t="n">
        <f aca="false">SUM(U$4:U$503)/COUNTA(A$4:A$503)</f>
        <v>844.8002</v>
      </c>
      <c r="BL191" s="92" t="n">
        <f aca="false">SUM(V$4:V$503)/COUNTA(A$4:A$503)</f>
        <v>865.7998</v>
      </c>
      <c r="BM191" s="92" t="n">
        <f aca="false">SUM(W$4:W$503)/COUNTA(A$4:A$503)</f>
        <v>888.59982</v>
      </c>
      <c r="BN191" s="93" t="n">
        <f aca="false">SUM(X$4:X$503)/COUNTA(A$4:A$503)</f>
        <v>918.60034</v>
      </c>
      <c r="BO191" s="94" t="s">
        <v>20</v>
      </c>
      <c r="BP191" s="91" t="n">
        <f aca="false">IF(Z191&gt;=BB191,0,IFERROR(BB191+(SUMPRODUCT((Z$4:Z$503&gt;=BB$4:BB$503)*(Z$4:Z$503-BB$4:BB$503))/MAX(1,COUNTIF(Z$4:Z$503,"&lt;"&amp;BB191+0.01))),BB191))</f>
        <v>10695.5432177778</v>
      </c>
      <c r="BQ191" s="92" t="n">
        <f aca="false">IF(AA191&gt;=BC191,0,IFERROR(BC191+SUMPRODUCT((AA$4:AA$503&gt;=BC$4:BC$503)*(AA$4:AA$503-BC$4:BC$503))/MAX(1,COUNTIF(AA$4:AA$503,"&lt;"&amp;BC191+0.01)),BC191))</f>
        <v>2238.46589176471</v>
      </c>
      <c r="BR191" s="92" t="n">
        <f aca="false">IF(AB191&gt;=BD191,0,IFERROR(BD191+SUMPRODUCT((AB$4:AB$503&gt;=BD$4:BD$503)*(AB$4:AB$503-BD$4:BD$503))/MAX(1,COUNTIF(AB$4:AB$503,"&lt;"&amp;BD191+0.01)),BD191))</f>
        <v>3335.2938</v>
      </c>
      <c r="BS191" s="92" t="n">
        <f aca="false">IF(AC191&gt;=BE191,0,IFERROR(BE191+SUMPRODUCT((AC$4:AC$503&gt;=BE$4:BE$503)*(AC$4:AC$503-BE$4:BE$503))/MAX(1,COUNTIF(AC$4:AC$503,"&lt;"&amp;BE191+0.01)),BE191))</f>
        <v>6188.73352</v>
      </c>
      <c r="BT191" s="92" t="n">
        <f aca="false">IF(AD191&gt;=BF191,0,IFERROR(BF191+SUMPRODUCT((AD$4:AD$503&gt;=BF$4:BF$503)*(AD$4:AD$503-BF$4:BF$503))/MAX(1,COUNTIF(AD$4:AD$503,"&lt;"&amp;BF191+0.01)),BF191))</f>
        <v>11354.35411</v>
      </c>
      <c r="BU191" s="92" t="n">
        <f aca="false">IF(AE191&gt;=BG191,0,IFERROR(BG191+SUMPRODUCT((AE$4:AE$503&gt;=BG$4:BG$503)*(AE$4:AE$503-BG$4:BG$503))/MAX(1,COUNTIF(AE$4:AE$503,"&lt;"&amp;BG191+0.01)),BG191))</f>
        <v>7704.85920380952</v>
      </c>
      <c r="BV191" s="92" t="n">
        <f aca="false">IF(AF191&gt;=BH191,0,IFERROR(BH191+SUMPRODUCT((AF$4:AF$503&gt;=BH$4:BH$503)*(AF$4:AF$503-BH$4:BH$503))/MAX(1,COUNTIF(AF$4:AF$503,"&lt;"&amp;BH191+0.01)),BH191))</f>
        <v>0</v>
      </c>
      <c r="BW191" s="92" t="n">
        <f aca="false">IF(AG191&gt;=BI191,0,IFERROR(BI191+SUMPRODUCT((AG$4:AG$503&gt;=BI$4:BI$503)*(AG$4:AG$503-BI$4:BI$503))/MAX(1,COUNTIF(AG$4:AG$503,"&lt;"&amp;BI191+0.01)),BI191))</f>
        <v>0</v>
      </c>
      <c r="BX191" s="92" t="n">
        <f aca="false">IF(AH191&gt;=BJ191,0,IFERROR(BJ191+SUMPRODUCT((AH$4:AH$503&gt;=BJ$4:BJ$503)*(AH$4:AH$503-BJ$4:BJ$503))/MAX(1,COUNTIF(AH$4:AH$503,"&lt;"&amp;BJ191+0.01)),BJ191))</f>
        <v>5621.50263448276</v>
      </c>
      <c r="BY191" s="92" t="n">
        <f aca="false">IF(AI191&gt;=BK191,0,IFERROR(BK191+SUMPRODUCT((AI$4:AI$503&gt;=BK$4:BK$503)*(AI$4:AI$503-BK$4:BK$503))/MAX(1,COUNTIF(AI$4:AI$503,"&lt;"&amp;BK191+0.01)),BK191))</f>
        <v>7878.25652380952</v>
      </c>
      <c r="BZ191" s="92" t="n">
        <f aca="false">IF(AJ191&gt;=BL191,0,IFERROR(BL191+SUMPRODUCT((AJ$4:AJ$503&gt;=BL$4:BL$503)*(AJ$4:AJ$503-BL$4:BL$503))/MAX(1,COUNTIF(AJ$4:AJ$503,"&lt;"&amp;BL191+0.01)),BL191))</f>
        <v>6710.03292307692</v>
      </c>
      <c r="CA191" s="92" t="n">
        <f aca="false">IF(AK191&gt;=BM191,0,IFERROR(BM191+SUMPRODUCT((AK$4:AK$503&gt;=BM$4:BM$503)*(AK$4:AK$503-BM$4:BM$503))/MAX(1,COUNTIF(AK$4:AK$503,"&lt;"&amp;BM191+0.01)),BM191))</f>
        <v>7314.89836842105</v>
      </c>
      <c r="CB191" s="93" t="n">
        <f aca="false">IF(AL191&gt;=BN191,0,IFERROR(BN191+SUMPRODUCT((AL$4:AL$503&gt;=BN$4:BN$503)*(AL$4:AL$503-BN$4:BN$503))/MAX(1,COUNTIF(AL$4:AL$503,"&lt;"&amp;BN191+0.01)),BN191))</f>
        <v>3597.2614925</v>
      </c>
      <c r="CC191" s="95" t="str">
        <f aca="false">IF(AO191="🟢","VERDE",IF(AO191="🟡","AMARELO",IF(AO191="🟠","VERMELHO",IF(AO191="🔴","VERMELHO","ROXO"))))</f>
        <v>VERMELHO</v>
      </c>
      <c r="CD191" s="96" t="s">
        <v>176</v>
      </c>
      <c r="CE191" s="96" t="s">
        <v>66</v>
      </c>
    </row>
    <row r="192" customFormat="false" ht="14.25" hidden="false" customHeight="true" outlineLevel="0" collapsed="false">
      <c r="A192" s="65" t="s">
        <v>520</v>
      </c>
      <c r="B192" s="66" t="s">
        <v>521</v>
      </c>
      <c r="C192" s="67" t="s">
        <v>113</v>
      </c>
      <c r="D192" s="68" t="s">
        <v>100</v>
      </c>
      <c r="E192" s="69" t="s">
        <v>260</v>
      </c>
      <c r="F192" s="70" t="n">
        <f aca="false">IFERROR(VLOOKUP(C192,$AS$3:$AT$10,2,FALSE()),IFERROR(VLOOKUP(C192,$AS$15:$AT$22,2,FALSE()),""))</f>
        <v>49</v>
      </c>
      <c r="G192" s="71" t="n">
        <f aca="false">IFERROR(VLOOKUP(C192,$AS$3:$AX$10,6,FALSE()),IFERROR(VLOOKUP(C192,$AS$15:$AX$22,6,FALSE()),""))</f>
        <v>0.463965086137302</v>
      </c>
      <c r="H192" s="72" t="str">
        <f aca="false">IFERROR(VLOOKUP(C192,$AS$3:$AY$10,7,FALSE()),IFERROR(VLOOKUP(C192,$AS$15:$AY$22,7,FALSE()),""))</f>
        <v>🟡 AMARELO</v>
      </c>
      <c r="I192" s="72" t="str">
        <f aca="false">IFERROR(VLOOKUP(C192,$AS$3:$AZ$10,8,FALSE()),IFERROR(VLOOKUP(C192,$AS$15:$AZ$22,8,FALSE()),""))</f>
        <v>Sell Out</v>
      </c>
      <c r="J192" s="73"/>
      <c r="K192" s="69" t="s">
        <v>113</v>
      </c>
      <c r="L192" s="74" t="n">
        <v>6285.4</v>
      </c>
      <c r="M192" s="75" t="n">
        <v>441.69</v>
      </c>
      <c r="N192" s="75" t="n">
        <v>461.55</v>
      </c>
      <c r="O192" s="75" t="n">
        <v>472.68</v>
      </c>
      <c r="P192" s="75" t="n">
        <v>484.99</v>
      </c>
      <c r="Q192" s="75" t="n">
        <v>500.88</v>
      </c>
      <c r="R192" s="75" t="n">
        <v>513.99</v>
      </c>
      <c r="S192" s="75" t="n">
        <v>533.85</v>
      </c>
      <c r="T192" s="75" t="n">
        <v>546.95</v>
      </c>
      <c r="U192" s="75" t="n">
        <v>559.27</v>
      </c>
      <c r="V192" s="75" t="n">
        <v>573.17</v>
      </c>
      <c r="W192" s="75" t="n">
        <v>588.26</v>
      </c>
      <c r="X192" s="76" t="n">
        <v>608.12</v>
      </c>
      <c r="Y192" s="77" t="s">
        <v>20</v>
      </c>
      <c r="Z192" s="78" t="n">
        <f aca="false">SUM(AA192:AL192)</f>
        <v>2754.63</v>
      </c>
      <c r="AA192" s="75"/>
      <c r="AB192" s="75"/>
      <c r="AC192" s="75"/>
      <c r="AD192" s="75"/>
      <c r="AE192" s="79" t="n">
        <v>1574.78</v>
      </c>
      <c r="AF192" s="75"/>
      <c r="AG192" s="75"/>
      <c r="AH192" s="79" t="n">
        <v>1179.85</v>
      </c>
      <c r="AI192" s="75"/>
      <c r="AJ192" s="75"/>
      <c r="AK192" s="75"/>
      <c r="AL192" s="76"/>
      <c r="AM192" s="56" t="s">
        <v>20</v>
      </c>
      <c r="AN192" s="80" t="n">
        <f aca="false">IF(L192=0,0,Z192/L192)</f>
        <v>0.438258503834283</v>
      </c>
      <c r="AO192" s="81" t="str">
        <f aca="false">IF(AN192="","",IF(AN192&gt;=0.9,"🟢",IF(AN192&gt;=0.7,"🟡",IF(AN192&gt;=0.5,"🟠","🔴"))))</f>
        <v>🔴</v>
      </c>
      <c r="AP192" s="82" t="n">
        <f aca="false">IF(L192=0,0,L192-Z192)</f>
        <v>3530.77</v>
      </c>
      <c r="AQ192" s="83" t="n">
        <f aca="false">IF(AP192=0,"",RANK(AP192,AP$4:AP$503,0))</f>
        <v>182</v>
      </c>
      <c r="AR192" s="84" t="s">
        <v>20</v>
      </c>
      <c r="AS192" s="141"/>
      <c r="AT192" s="141"/>
      <c r="AU192" s="141"/>
      <c r="AV192" s="141"/>
      <c r="AW192" s="141"/>
      <c r="AX192" s="141"/>
      <c r="AY192" s="142"/>
      <c r="AZ192" s="142"/>
      <c r="BA192" s="56" t="s">
        <v>20</v>
      </c>
      <c r="BB192" s="91" t="n">
        <f aca="false">SUM(L$4:L$503)/COUNTA(A$4:A$503)</f>
        <v>9494.39992</v>
      </c>
      <c r="BC192" s="92" t="n">
        <f aca="false">SUM(M$4:M$503)/COUNTA(A$4:A$503)</f>
        <v>667.20008</v>
      </c>
      <c r="BD192" s="92" t="n">
        <f aca="false">SUM(N$4:N$503)/COUNTA(A$4:A$503)</f>
        <v>697.19996</v>
      </c>
      <c r="BE192" s="92" t="n">
        <f aca="false">SUM(O$4:O$503)/COUNTA(A$4:A$503)</f>
        <v>713.9999</v>
      </c>
      <c r="BF192" s="92" t="n">
        <f aca="false">SUM(P$4:P$503)/COUNTA(A$4:A$503)</f>
        <v>732.59984</v>
      </c>
      <c r="BG192" s="92" t="n">
        <f aca="false">SUM(Q$4:Q$503)/COUNTA(A$4:A$503)</f>
        <v>756.59992</v>
      </c>
      <c r="BH192" s="92" t="n">
        <f aca="false">SUM(R$4:R$503)/COUNTA(A$4:A$503)</f>
        <v>776.40004</v>
      </c>
      <c r="BI192" s="92" t="n">
        <f aca="false">SUM(S$4:S$503)/COUNTA(A$4:A$503)</f>
        <v>806.40012</v>
      </c>
      <c r="BJ192" s="92" t="n">
        <f aca="false">SUM(T$4:T$503)/COUNTA(A$4:A$503)</f>
        <v>826.1999</v>
      </c>
      <c r="BK192" s="92" t="n">
        <f aca="false">SUM(U$4:U$503)/COUNTA(A$4:A$503)</f>
        <v>844.8002</v>
      </c>
      <c r="BL192" s="92" t="n">
        <f aca="false">SUM(V$4:V$503)/COUNTA(A$4:A$503)</f>
        <v>865.7998</v>
      </c>
      <c r="BM192" s="92" t="n">
        <f aca="false">SUM(W$4:W$503)/COUNTA(A$4:A$503)</f>
        <v>888.59982</v>
      </c>
      <c r="BN192" s="93" t="n">
        <f aca="false">SUM(X$4:X$503)/COUNTA(A$4:A$503)</f>
        <v>918.60034</v>
      </c>
      <c r="BO192" s="94" t="s">
        <v>20</v>
      </c>
      <c r="BP192" s="91" t="n">
        <f aca="false">IF(Z192&gt;=BB192,0,IFERROR(BB192+(SUMPRODUCT((Z$4:Z$503&gt;=BB$4:BB$503)*(Z$4:Z$503-BB$4:BB$503))/MAX(1,COUNTIF(Z$4:Z$503,"&lt;"&amp;BB192+0.01))),BB192))</f>
        <v>10695.5432177778</v>
      </c>
      <c r="BQ192" s="92" t="n">
        <f aca="false">IF(AA192&gt;=BC192,0,IFERROR(BC192+SUMPRODUCT((AA$4:AA$503&gt;=BC$4:BC$503)*(AA$4:AA$503-BC$4:BC$503))/MAX(1,COUNTIF(AA$4:AA$503,"&lt;"&amp;BC192+0.01)),BC192))</f>
        <v>2238.46589176471</v>
      </c>
      <c r="BR192" s="92" t="n">
        <f aca="false">IF(AB192&gt;=BD192,0,IFERROR(BD192+SUMPRODUCT((AB$4:AB$503&gt;=BD$4:BD$503)*(AB$4:AB$503-BD$4:BD$503))/MAX(1,COUNTIF(AB$4:AB$503,"&lt;"&amp;BD192+0.01)),BD192))</f>
        <v>3335.2938</v>
      </c>
      <c r="BS192" s="92" t="n">
        <f aca="false">IF(AC192&gt;=BE192,0,IFERROR(BE192+SUMPRODUCT((AC$4:AC$503&gt;=BE$4:BE$503)*(AC$4:AC$503-BE$4:BE$503))/MAX(1,COUNTIF(AC$4:AC$503,"&lt;"&amp;BE192+0.01)),BE192))</f>
        <v>6188.73352</v>
      </c>
      <c r="BT192" s="92" t="n">
        <f aca="false">IF(AD192&gt;=BF192,0,IFERROR(BF192+SUMPRODUCT((AD$4:AD$503&gt;=BF$4:BF$503)*(AD$4:AD$503-BF$4:BF$503))/MAX(1,COUNTIF(AD$4:AD$503,"&lt;"&amp;BF192+0.01)),BF192))</f>
        <v>11354.35411</v>
      </c>
      <c r="BU192" s="92" t="n">
        <f aca="false">IF(AE192&gt;=BG192,0,IFERROR(BG192+SUMPRODUCT((AE$4:AE$503&gt;=BG$4:BG$503)*(AE$4:AE$503-BG$4:BG$503))/MAX(1,COUNTIF(AE$4:AE$503,"&lt;"&amp;BG192+0.01)),BG192))</f>
        <v>0</v>
      </c>
      <c r="BV192" s="92" t="n">
        <f aca="false">IF(AF192&gt;=BH192,0,IFERROR(BH192+SUMPRODUCT((AF$4:AF$503&gt;=BH$4:BH$503)*(AF$4:AF$503-BH$4:BH$503))/MAX(1,COUNTIF(AF$4:AF$503,"&lt;"&amp;BH192+0.01)),BH192))</f>
        <v>9942.6503831579</v>
      </c>
      <c r="BW192" s="92" t="n">
        <f aca="false">IF(AG192&gt;=BI192,0,IFERROR(BI192+SUMPRODUCT((AG$4:AG$503&gt;=BI$4:BI$503)*(AG$4:AG$503-BI$4:BI$503))/MAX(1,COUNTIF(AG$4:AG$503,"&lt;"&amp;BI192+0.01)),BI192))</f>
        <v>9142.15870461538</v>
      </c>
      <c r="BX192" s="92" t="n">
        <f aca="false">IF(AH192&gt;=BJ192,0,IFERROR(BJ192+SUMPRODUCT((AH$4:AH$503&gt;=BJ$4:BJ$503)*(AH$4:AH$503-BJ$4:BJ$503))/MAX(1,COUNTIF(AH$4:AH$503,"&lt;"&amp;BJ192+0.01)),BJ192))</f>
        <v>0</v>
      </c>
      <c r="BY192" s="92" t="n">
        <f aca="false">IF(AI192&gt;=BK192,0,IFERROR(BK192+SUMPRODUCT((AI$4:AI$503&gt;=BK$4:BK$503)*(AI$4:AI$503-BK$4:BK$503))/MAX(1,COUNTIF(AI$4:AI$503,"&lt;"&amp;BK192+0.01)),BK192))</f>
        <v>7878.25652380952</v>
      </c>
      <c r="BZ192" s="92" t="n">
        <f aca="false">IF(AJ192&gt;=BL192,0,IFERROR(BL192+SUMPRODUCT((AJ$4:AJ$503&gt;=BL$4:BL$503)*(AJ$4:AJ$503-BL$4:BL$503))/MAX(1,COUNTIF(AJ$4:AJ$503,"&lt;"&amp;BL192+0.01)),BL192))</f>
        <v>6710.03292307692</v>
      </c>
      <c r="CA192" s="92" t="n">
        <f aca="false">IF(AK192&gt;=BM192,0,IFERROR(BM192+SUMPRODUCT((AK$4:AK$503&gt;=BM$4:BM$503)*(AK$4:AK$503-BM$4:BM$503))/MAX(1,COUNTIF(AK$4:AK$503,"&lt;"&amp;BM192+0.01)),BM192))</f>
        <v>7314.89836842105</v>
      </c>
      <c r="CB192" s="93" t="n">
        <f aca="false">IF(AL192&gt;=BN192,0,IFERROR(BN192+SUMPRODUCT((AL$4:AL$503&gt;=BN$4:BN$503)*(AL$4:AL$503-BN$4:BN$503))/MAX(1,COUNTIF(AL$4:AL$503,"&lt;"&amp;BN192+0.01)),BN192))</f>
        <v>3597.2614925</v>
      </c>
      <c r="CC192" s="95" t="str">
        <f aca="false">IF(AO192="🟢","VERDE",IF(AO192="🟡","AMARELO",IF(AO192="🟠","VERMELHO",IF(AO192="🔴","VERMELHO","ROXO"))))</f>
        <v>VERMELHO</v>
      </c>
      <c r="CD192" s="96" t="s">
        <v>103</v>
      </c>
      <c r="CE192" s="96" t="s">
        <v>104</v>
      </c>
    </row>
    <row r="193" customFormat="false" ht="14.25" hidden="false" customHeight="true" outlineLevel="0" collapsed="false">
      <c r="A193" s="65" t="s">
        <v>522</v>
      </c>
      <c r="B193" s="66" t="s">
        <v>523</v>
      </c>
      <c r="C193" s="66" t="s">
        <v>66</v>
      </c>
      <c r="D193" s="68" t="s">
        <v>175</v>
      </c>
      <c r="E193" s="69" t="s">
        <v>139</v>
      </c>
      <c r="F193" s="70" t="n">
        <f aca="false">IFERROR(VLOOKUP(C193,$AS$3:$AT$10,2,FALSE()),IFERROR(VLOOKUP(C193,$AS$15:$AT$22,2,FALSE()),""))</f>
        <v>44</v>
      </c>
      <c r="G193" s="71" t="n">
        <f aca="false">IFERROR(VLOOKUP(C193,$AS$3:$AX$10,6,FALSE()),IFERROR(VLOOKUP(C193,$AS$15:$AX$22,6,FALSE()),""))</f>
        <v>0.496839506257363</v>
      </c>
      <c r="H193" s="72" t="str">
        <f aca="false">IFERROR(VLOOKUP(C193,$AS$3:$AY$10,7,FALSE()),IFERROR(VLOOKUP(C193,$AS$15:$AY$22,7,FALSE()),""))</f>
        <v>🟡 AMARELO</v>
      </c>
      <c r="I193" s="72" t="str">
        <f aca="false">IFERROR(VLOOKUP(C193,$AS$3:$AZ$10,8,FALSE()),IFERROR(VLOOKUP(C193,$AS$15:$AZ$22,8,FALSE()),""))</f>
        <v>Sell Out</v>
      </c>
      <c r="J193" s="73"/>
      <c r="K193" s="69" t="s">
        <v>107</v>
      </c>
      <c r="L193" s="74" t="n">
        <v>6260.48</v>
      </c>
      <c r="M193" s="75" t="n">
        <v>439.94</v>
      </c>
      <c r="N193" s="75" t="n">
        <v>459.72</v>
      </c>
      <c r="O193" s="75" t="n">
        <v>470.8</v>
      </c>
      <c r="P193" s="75" t="n">
        <v>483.07</v>
      </c>
      <c r="Q193" s="75" t="n">
        <v>498.89</v>
      </c>
      <c r="R193" s="75" t="n">
        <v>511.95</v>
      </c>
      <c r="S193" s="75" t="n">
        <v>531.73</v>
      </c>
      <c r="T193" s="75" t="n">
        <v>544.79</v>
      </c>
      <c r="U193" s="75" t="n">
        <v>557.05</v>
      </c>
      <c r="V193" s="75" t="n">
        <v>570.9</v>
      </c>
      <c r="W193" s="75" t="n">
        <v>585.93</v>
      </c>
      <c r="X193" s="76" t="n">
        <v>605.71</v>
      </c>
      <c r="Y193" s="77" t="s">
        <v>20</v>
      </c>
      <c r="Z193" s="78" t="n">
        <f aca="false">SUM(AA193:AL193)</f>
        <v>2990.68</v>
      </c>
      <c r="AA193" s="75"/>
      <c r="AB193" s="75"/>
      <c r="AC193" s="79" t="n">
        <v>640.35</v>
      </c>
      <c r="AD193" s="75"/>
      <c r="AE193" s="75"/>
      <c r="AF193" s="79" t="n">
        <v>2350.33</v>
      </c>
      <c r="AG193" s="75"/>
      <c r="AH193" s="75"/>
      <c r="AI193" s="75"/>
      <c r="AJ193" s="75"/>
      <c r="AK193" s="75"/>
      <c r="AL193" s="76"/>
      <c r="AM193" s="56" t="s">
        <v>20</v>
      </c>
      <c r="AN193" s="80" t="n">
        <f aca="false">IF(L193=0,0,Z193/L193)</f>
        <v>0.477707779595175</v>
      </c>
      <c r="AO193" s="81" t="str">
        <f aca="false">IF(AN193="","",IF(AN193&gt;=0.9,"🟢",IF(AN193&gt;=0.7,"🟡",IF(AN193&gt;=0.5,"🟠","🔴"))))</f>
        <v>🔴</v>
      </c>
      <c r="AP193" s="82" t="n">
        <f aca="false">IF(L193=0,0,L193-Z193)</f>
        <v>3269.8</v>
      </c>
      <c r="AQ193" s="83" t="n">
        <f aca="false">IF(AP193=0,"",RANK(AP193,AP$4:AP$503,0))</f>
        <v>195</v>
      </c>
      <c r="AR193" s="84" t="s">
        <v>20</v>
      </c>
      <c r="AS193" s="141"/>
      <c r="AT193" s="141"/>
      <c r="AU193" s="141"/>
      <c r="AV193" s="141"/>
      <c r="AW193" s="141"/>
      <c r="AX193" s="141"/>
      <c r="AY193" s="142"/>
      <c r="AZ193" s="142"/>
      <c r="BA193" s="56" t="s">
        <v>20</v>
      </c>
      <c r="BB193" s="91" t="n">
        <f aca="false">SUM(L$4:L$503)/COUNTA(A$4:A$503)</f>
        <v>9494.39992</v>
      </c>
      <c r="BC193" s="92" t="n">
        <f aca="false">SUM(M$4:M$503)/COUNTA(A$4:A$503)</f>
        <v>667.20008</v>
      </c>
      <c r="BD193" s="92" t="n">
        <f aca="false">SUM(N$4:N$503)/COUNTA(A$4:A$503)</f>
        <v>697.19996</v>
      </c>
      <c r="BE193" s="92" t="n">
        <f aca="false">SUM(O$4:O$503)/COUNTA(A$4:A$503)</f>
        <v>713.9999</v>
      </c>
      <c r="BF193" s="92" t="n">
        <f aca="false">SUM(P$4:P$503)/COUNTA(A$4:A$503)</f>
        <v>732.59984</v>
      </c>
      <c r="BG193" s="92" t="n">
        <f aca="false">SUM(Q$4:Q$503)/COUNTA(A$4:A$503)</f>
        <v>756.59992</v>
      </c>
      <c r="BH193" s="92" t="n">
        <f aca="false">SUM(R$4:R$503)/COUNTA(A$4:A$503)</f>
        <v>776.40004</v>
      </c>
      <c r="BI193" s="92" t="n">
        <f aca="false">SUM(S$4:S$503)/COUNTA(A$4:A$503)</f>
        <v>806.40012</v>
      </c>
      <c r="BJ193" s="92" t="n">
        <f aca="false">SUM(T$4:T$503)/COUNTA(A$4:A$503)</f>
        <v>826.1999</v>
      </c>
      <c r="BK193" s="92" t="n">
        <f aca="false">SUM(U$4:U$503)/COUNTA(A$4:A$503)</f>
        <v>844.8002</v>
      </c>
      <c r="BL193" s="92" t="n">
        <f aca="false">SUM(V$4:V$503)/COUNTA(A$4:A$503)</f>
        <v>865.7998</v>
      </c>
      <c r="BM193" s="92" t="n">
        <f aca="false">SUM(W$4:W$503)/COUNTA(A$4:A$503)</f>
        <v>888.59982</v>
      </c>
      <c r="BN193" s="93" t="n">
        <f aca="false">SUM(X$4:X$503)/COUNTA(A$4:A$503)</f>
        <v>918.60034</v>
      </c>
      <c r="BO193" s="94" t="s">
        <v>20</v>
      </c>
      <c r="BP193" s="91" t="n">
        <f aca="false">IF(Z193&gt;=BB193,0,IFERROR(BB193+(SUMPRODUCT((Z$4:Z$503&gt;=BB$4:BB$503)*(Z$4:Z$503-BB$4:BB$503))/MAX(1,COUNTIF(Z$4:Z$503,"&lt;"&amp;BB193+0.01))),BB193))</f>
        <v>10695.5432177778</v>
      </c>
      <c r="BQ193" s="92" t="n">
        <f aca="false">IF(AA193&gt;=BC193,0,IFERROR(BC193+SUMPRODUCT((AA$4:AA$503&gt;=BC$4:BC$503)*(AA$4:AA$503-BC$4:BC$503))/MAX(1,COUNTIF(AA$4:AA$503,"&lt;"&amp;BC193+0.01)),BC193))</f>
        <v>2238.46589176471</v>
      </c>
      <c r="BR193" s="92" t="n">
        <f aca="false">IF(AB193&gt;=BD193,0,IFERROR(BD193+SUMPRODUCT((AB$4:AB$503&gt;=BD$4:BD$503)*(AB$4:AB$503-BD$4:BD$503))/MAX(1,COUNTIF(AB$4:AB$503,"&lt;"&amp;BD193+0.01)),BD193))</f>
        <v>3335.2938</v>
      </c>
      <c r="BS193" s="92" t="n">
        <f aca="false">IF(AC193&gt;=BE193,0,IFERROR(BE193+SUMPRODUCT((AC$4:AC$503&gt;=BE$4:BE$503)*(AC$4:AC$503-BE$4:BE$503))/MAX(1,COUNTIF(AC$4:AC$503,"&lt;"&amp;BE193+0.01)),BE193))</f>
        <v>6188.73352</v>
      </c>
      <c r="BT193" s="92" t="n">
        <f aca="false">IF(AD193&gt;=BF193,0,IFERROR(BF193+SUMPRODUCT((AD$4:AD$503&gt;=BF$4:BF$503)*(AD$4:AD$503-BF$4:BF$503))/MAX(1,COUNTIF(AD$4:AD$503,"&lt;"&amp;BF193+0.01)),BF193))</f>
        <v>11354.35411</v>
      </c>
      <c r="BU193" s="92" t="n">
        <f aca="false">IF(AE193&gt;=BG193,0,IFERROR(BG193+SUMPRODUCT((AE$4:AE$503&gt;=BG$4:BG$503)*(AE$4:AE$503-BG$4:BG$503))/MAX(1,COUNTIF(AE$4:AE$503,"&lt;"&amp;BG193+0.01)),BG193))</f>
        <v>7704.85920380952</v>
      </c>
      <c r="BV193" s="92" t="n">
        <f aca="false">IF(AF193&gt;=BH193,0,IFERROR(BH193+SUMPRODUCT((AF$4:AF$503&gt;=BH$4:BH$503)*(AF$4:AF$503-BH$4:BH$503))/MAX(1,COUNTIF(AF$4:AF$503,"&lt;"&amp;BH193+0.01)),BH193))</f>
        <v>0</v>
      </c>
      <c r="BW193" s="92" t="n">
        <f aca="false">IF(AG193&gt;=BI193,0,IFERROR(BI193+SUMPRODUCT((AG$4:AG$503&gt;=BI$4:BI$503)*(AG$4:AG$503-BI$4:BI$503))/MAX(1,COUNTIF(AG$4:AG$503,"&lt;"&amp;BI193+0.01)),BI193))</f>
        <v>9142.15870461538</v>
      </c>
      <c r="BX193" s="92" t="n">
        <f aca="false">IF(AH193&gt;=BJ193,0,IFERROR(BJ193+SUMPRODUCT((AH$4:AH$503&gt;=BJ$4:BJ$503)*(AH$4:AH$503-BJ$4:BJ$503))/MAX(1,COUNTIF(AH$4:AH$503,"&lt;"&amp;BJ193+0.01)),BJ193))</f>
        <v>5621.50263448276</v>
      </c>
      <c r="BY193" s="92" t="n">
        <f aca="false">IF(AI193&gt;=BK193,0,IFERROR(BK193+SUMPRODUCT((AI$4:AI$503&gt;=BK$4:BK$503)*(AI$4:AI$503-BK$4:BK$503))/MAX(1,COUNTIF(AI$4:AI$503,"&lt;"&amp;BK193+0.01)),BK193))</f>
        <v>7878.25652380952</v>
      </c>
      <c r="BZ193" s="92" t="n">
        <f aca="false">IF(AJ193&gt;=BL193,0,IFERROR(BL193+SUMPRODUCT((AJ$4:AJ$503&gt;=BL$4:BL$503)*(AJ$4:AJ$503-BL$4:BL$503))/MAX(1,COUNTIF(AJ$4:AJ$503,"&lt;"&amp;BL193+0.01)),BL193))</f>
        <v>6710.03292307692</v>
      </c>
      <c r="CA193" s="92" t="n">
        <f aca="false">IF(AK193&gt;=BM193,0,IFERROR(BM193+SUMPRODUCT((AK$4:AK$503&gt;=BM$4:BM$503)*(AK$4:AK$503-BM$4:BM$503))/MAX(1,COUNTIF(AK$4:AK$503,"&lt;"&amp;BM193+0.01)),BM193))</f>
        <v>7314.89836842105</v>
      </c>
      <c r="CB193" s="93" t="n">
        <f aca="false">IF(AL193&gt;=BN193,0,IFERROR(BN193+SUMPRODUCT((AL$4:AL$503&gt;=BN$4:BN$503)*(AL$4:AL$503-BN$4:BN$503))/MAX(1,COUNTIF(AL$4:AL$503,"&lt;"&amp;BN193+0.01)),BN193))</f>
        <v>3597.2614925</v>
      </c>
      <c r="CC193" s="95" t="str">
        <f aca="false">IF(AO193="🟢","VERDE",IF(AO193="🟡","AMARELO",IF(AO193="🟠","VERMELHO",IF(AO193="🔴","VERMELHO","ROXO"))))</f>
        <v>VERMELHO</v>
      </c>
      <c r="CD193" s="96" t="s">
        <v>176</v>
      </c>
      <c r="CE193" s="96" t="s">
        <v>66</v>
      </c>
    </row>
    <row r="194" customFormat="false" ht="14.25" hidden="false" customHeight="true" outlineLevel="0" collapsed="false">
      <c r="A194" s="65" t="s">
        <v>524</v>
      </c>
      <c r="B194" s="66" t="s">
        <v>525</v>
      </c>
      <c r="C194" s="67" t="s">
        <v>99</v>
      </c>
      <c r="D194" s="68" t="s">
        <v>100</v>
      </c>
      <c r="E194" s="69" t="s">
        <v>127</v>
      </c>
      <c r="F194" s="70" t="n">
        <f aca="false">IFERROR(VLOOKUP(C194,$AS$3:$AT$10,2,FALSE()),IFERROR(VLOOKUP(C194,$AS$15:$AT$22,2,FALSE()),""))</f>
        <v>33</v>
      </c>
      <c r="G194" s="71" t="n">
        <f aca="false">IFERROR(VLOOKUP(C194,$AS$3:$AX$10,6,FALSE()),IFERROR(VLOOKUP(C194,$AS$15:$AX$22,6,FALSE()),""))</f>
        <v>0.341494038351172</v>
      </c>
      <c r="H194" s="72" t="str">
        <f aca="false">IFERROR(VLOOKUP(C194,$AS$3:$AY$10,7,FALSE()),IFERROR(VLOOKUP(C194,$AS$15:$AY$22,7,FALSE()),""))</f>
        <v>🔴 VERMELHO</v>
      </c>
      <c r="I194" s="72" t="str">
        <f aca="false">IFERROR(VLOOKUP(C194,$AS$3:$AZ$10,8,FALSE()),IFERROR(VLOOKUP(C194,$AS$15:$AZ$22,8,FALSE()),""))</f>
        <v>Positivação + Expandir</v>
      </c>
      <c r="J194" s="73"/>
      <c r="K194" s="69" t="s">
        <v>99</v>
      </c>
      <c r="L194" s="74" t="n">
        <v>6243.92</v>
      </c>
      <c r="M194" s="75" t="n">
        <v>438.78</v>
      </c>
      <c r="N194" s="75" t="n">
        <v>458.51</v>
      </c>
      <c r="O194" s="75" t="n">
        <v>469.56</v>
      </c>
      <c r="P194" s="75" t="n">
        <v>481.79</v>
      </c>
      <c r="Q194" s="75" t="n">
        <v>497.57</v>
      </c>
      <c r="R194" s="75" t="n">
        <v>510.59</v>
      </c>
      <c r="S194" s="75" t="n">
        <v>530.32</v>
      </c>
      <c r="T194" s="75" t="n">
        <v>543.34</v>
      </c>
      <c r="U194" s="75" t="n">
        <v>555.58</v>
      </c>
      <c r="V194" s="75" t="n">
        <v>569.39</v>
      </c>
      <c r="W194" s="75" t="n">
        <v>584.38</v>
      </c>
      <c r="X194" s="76" t="n">
        <v>604.11</v>
      </c>
      <c r="Y194" s="77" t="s">
        <v>20</v>
      </c>
      <c r="Z194" s="78" t="n">
        <f aca="false">SUM(AA194:AL194)</f>
        <v>2511</v>
      </c>
      <c r="AA194" s="75"/>
      <c r="AB194" s="75"/>
      <c r="AC194" s="75"/>
      <c r="AD194" s="75"/>
      <c r="AE194" s="75"/>
      <c r="AF194" s="75"/>
      <c r="AG194" s="75"/>
      <c r="AH194" s="79" t="n">
        <v>1116</v>
      </c>
      <c r="AI194" s="79" t="n">
        <v>1395</v>
      </c>
      <c r="AJ194" s="75"/>
      <c r="AK194" s="75"/>
      <c r="AL194" s="76"/>
      <c r="AM194" s="56" t="s">
        <v>20</v>
      </c>
      <c r="AN194" s="80" t="n">
        <f aca="false">IF(L194=0,0,Z194/L194)</f>
        <v>0.402151212699714</v>
      </c>
      <c r="AO194" s="81" t="str">
        <f aca="false">IF(AN194="","",IF(AN194&gt;=0.9,"🟢",IF(AN194&gt;=0.7,"🟡",IF(AN194&gt;=0.5,"🟠","🔴"))))</f>
        <v>🔴</v>
      </c>
      <c r="AP194" s="82" t="n">
        <f aca="false">IF(L194=0,0,L194-Z194)</f>
        <v>3732.92</v>
      </c>
      <c r="AQ194" s="83" t="n">
        <f aca="false">IF(AP194=0,"",RANK(AP194,AP$4:AP$503,0))</f>
        <v>172</v>
      </c>
      <c r="AR194" s="84" t="s">
        <v>20</v>
      </c>
      <c r="AS194" s="141"/>
      <c r="AT194" s="141"/>
      <c r="AU194" s="141"/>
      <c r="AV194" s="141"/>
      <c r="AW194" s="141"/>
      <c r="AX194" s="141"/>
      <c r="AY194" s="142"/>
      <c r="AZ194" s="142"/>
      <c r="BA194" s="56" t="s">
        <v>20</v>
      </c>
      <c r="BB194" s="91" t="n">
        <f aca="false">SUM(L$4:L$503)/COUNTA(A$4:A$503)</f>
        <v>9494.39992</v>
      </c>
      <c r="BC194" s="92" t="n">
        <f aca="false">SUM(M$4:M$503)/COUNTA(A$4:A$503)</f>
        <v>667.20008</v>
      </c>
      <c r="BD194" s="92" t="n">
        <f aca="false">SUM(N$4:N$503)/COUNTA(A$4:A$503)</f>
        <v>697.19996</v>
      </c>
      <c r="BE194" s="92" t="n">
        <f aca="false">SUM(O$4:O$503)/COUNTA(A$4:A$503)</f>
        <v>713.9999</v>
      </c>
      <c r="BF194" s="92" t="n">
        <f aca="false">SUM(P$4:P$503)/COUNTA(A$4:A$503)</f>
        <v>732.59984</v>
      </c>
      <c r="BG194" s="92" t="n">
        <f aca="false">SUM(Q$4:Q$503)/COUNTA(A$4:A$503)</f>
        <v>756.59992</v>
      </c>
      <c r="BH194" s="92" t="n">
        <f aca="false">SUM(R$4:R$503)/COUNTA(A$4:A$503)</f>
        <v>776.40004</v>
      </c>
      <c r="BI194" s="92" t="n">
        <f aca="false">SUM(S$4:S$503)/COUNTA(A$4:A$503)</f>
        <v>806.40012</v>
      </c>
      <c r="BJ194" s="92" t="n">
        <f aca="false">SUM(T$4:T$503)/COUNTA(A$4:A$503)</f>
        <v>826.1999</v>
      </c>
      <c r="BK194" s="92" t="n">
        <f aca="false">SUM(U$4:U$503)/COUNTA(A$4:A$503)</f>
        <v>844.8002</v>
      </c>
      <c r="BL194" s="92" t="n">
        <f aca="false">SUM(V$4:V$503)/COUNTA(A$4:A$503)</f>
        <v>865.7998</v>
      </c>
      <c r="BM194" s="92" t="n">
        <f aca="false">SUM(W$4:W$503)/COUNTA(A$4:A$503)</f>
        <v>888.59982</v>
      </c>
      <c r="BN194" s="93" t="n">
        <f aca="false">SUM(X$4:X$503)/COUNTA(A$4:A$503)</f>
        <v>918.60034</v>
      </c>
      <c r="BO194" s="94" t="s">
        <v>20</v>
      </c>
      <c r="BP194" s="91" t="n">
        <f aca="false">IF(Z194&gt;=BB194,0,IFERROR(BB194+(SUMPRODUCT((Z$4:Z$503&gt;=BB$4:BB$503)*(Z$4:Z$503-BB$4:BB$503))/MAX(1,COUNTIF(Z$4:Z$503,"&lt;"&amp;BB194+0.01))),BB194))</f>
        <v>10695.5432177778</v>
      </c>
      <c r="BQ194" s="92" t="n">
        <f aca="false">IF(AA194&gt;=BC194,0,IFERROR(BC194+SUMPRODUCT((AA$4:AA$503&gt;=BC$4:BC$503)*(AA$4:AA$503-BC$4:BC$503))/MAX(1,COUNTIF(AA$4:AA$503,"&lt;"&amp;BC194+0.01)),BC194))</f>
        <v>2238.46589176471</v>
      </c>
      <c r="BR194" s="92" t="n">
        <f aca="false">IF(AB194&gt;=BD194,0,IFERROR(BD194+SUMPRODUCT((AB$4:AB$503&gt;=BD$4:BD$503)*(AB$4:AB$503-BD$4:BD$503))/MAX(1,COUNTIF(AB$4:AB$503,"&lt;"&amp;BD194+0.01)),BD194))</f>
        <v>3335.2938</v>
      </c>
      <c r="BS194" s="92" t="n">
        <f aca="false">IF(AC194&gt;=BE194,0,IFERROR(BE194+SUMPRODUCT((AC$4:AC$503&gt;=BE$4:BE$503)*(AC$4:AC$503-BE$4:BE$503))/MAX(1,COUNTIF(AC$4:AC$503,"&lt;"&amp;BE194+0.01)),BE194))</f>
        <v>6188.73352</v>
      </c>
      <c r="BT194" s="92" t="n">
        <f aca="false">IF(AD194&gt;=BF194,0,IFERROR(BF194+SUMPRODUCT((AD$4:AD$503&gt;=BF$4:BF$503)*(AD$4:AD$503-BF$4:BF$503))/MAX(1,COUNTIF(AD$4:AD$503,"&lt;"&amp;BF194+0.01)),BF194))</f>
        <v>11354.35411</v>
      </c>
      <c r="BU194" s="92" t="n">
        <f aca="false">IF(AE194&gt;=BG194,0,IFERROR(BG194+SUMPRODUCT((AE$4:AE$503&gt;=BG$4:BG$503)*(AE$4:AE$503-BG$4:BG$503))/MAX(1,COUNTIF(AE$4:AE$503,"&lt;"&amp;BG194+0.01)),BG194))</f>
        <v>7704.85920380952</v>
      </c>
      <c r="BV194" s="92" t="n">
        <f aca="false">IF(AF194&gt;=BH194,0,IFERROR(BH194+SUMPRODUCT((AF$4:AF$503&gt;=BH$4:BH$503)*(AF$4:AF$503-BH$4:BH$503))/MAX(1,COUNTIF(AF$4:AF$503,"&lt;"&amp;BH194+0.01)),BH194))</f>
        <v>9942.6503831579</v>
      </c>
      <c r="BW194" s="92" t="n">
        <f aca="false">IF(AG194&gt;=BI194,0,IFERROR(BI194+SUMPRODUCT((AG$4:AG$503&gt;=BI$4:BI$503)*(AG$4:AG$503-BI$4:BI$503))/MAX(1,COUNTIF(AG$4:AG$503,"&lt;"&amp;BI194+0.01)),BI194))</f>
        <v>9142.15870461538</v>
      </c>
      <c r="BX194" s="92" t="n">
        <f aca="false">IF(AH194&gt;=BJ194,0,IFERROR(BJ194+SUMPRODUCT((AH$4:AH$503&gt;=BJ$4:BJ$503)*(AH$4:AH$503-BJ$4:BJ$503))/MAX(1,COUNTIF(AH$4:AH$503,"&lt;"&amp;BJ194+0.01)),BJ194))</f>
        <v>0</v>
      </c>
      <c r="BY194" s="92" t="n">
        <f aca="false">IF(AI194&gt;=BK194,0,IFERROR(BK194+SUMPRODUCT((AI$4:AI$503&gt;=BK$4:BK$503)*(AI$4:AI$503-BK$4:BK$503))/MAX(1,COUNTIF(AI$4:AI$503,"&lt;"&amp;BK194+0.01)),BK194))</f>
        <v>0</v>
      </c>
      <c r="BZ194" s="92" t="n">
        <f aca="false">IF(AJ194&gt;=BL194,0,IFERROR(BL194+SUMPRODUCT((AJ$4:AJ$503&gt;=BL$4:BL$503)*(AJ$4:AJ$503-BL$4:BL$503))/MAX(1,COUNTIF(AJ$4:AJ$503,"&lt;"&amp;BL194+0.01)),BL194))</f>
        <v>6710.03292307692</v>
      </c>
      <c r="CA194" s="92" t="n">
        <f aca="false">IF(AK194&gt;=BM194,0,IFERROR(BM194+SUMPRODUCT((AK$4:AK$503&gt;=BM$4:BM$503)*(AK$4:AK$503-BM$4:BM$503))/MAX(1,COUNTIF(AK$4:AK$503,"&lt;"&amp;BM194+0.01)),BM194))</f>
        <v>7314.89836842105</v>
      </c>
      <c r="CB194" s="93" t="n">
        <f aca="false">IF(AL194&gt;=BN194,0,IFERROR(BN194+SUMPRODUCT((AL$4:AL$503&gt;=BN$4:BN$503)*(AL$4:AL$503-BN$4:BN$503))/MAX(1,COUNTIF(AL$4:AL$503,"&lt;"&amp;BN194+0.01)),BN194))</f>
        <v>3597.2614925</v>
      </c>
      <c r="CC194" s="95" t="str">
        <f aca="false">IF(AO194="🟢","VERDE",IF(AO194="🟡","AMARELO",IF(AO194="🟠","VERMELHO",IF(AO194="🔴","VERMELHO","ROXO"))))</f>
        <v>VERMELHO</v>
      </c>
      <c r="CD194" s="96" t="s">
        <v>103</v>
      </c>
      <c r="CE194" s="96" t="s">
        <v>104</v>
      </c>
    </row>
    <row r="195" customFormat="false" ht="14.25" hidden="false" customHeight="true" outlineLevel="0" collapsed="false">
      <c r="A195" s="65" t="s">
        <v>526</v>
      </c>
      <c r="B195" s="66" t="s">
        <v>527</v>
      </c>
      <c r="C195" s="66" t="s">
        <v>115</v>
      </c>
      <c r="D195" s="68" t="s">
        <v>184</v>
      </c>
      <c r="E195" s="69" t="s">
        <v>420</v>
      </c>
      <c r="F195" s="70" t="n">
        <f aca="false">IFERROR(VLOOKUP(C195,$AS$3:$AT$10,2,FALSE()),IFERROR(VLOOKUP(C195,$AS$15:$AT$22,2,FALSE()),""))</f>
        <v>25</v>
      </c>
      <c r="G195" s="71" t="n">
        <f aca="false">IFERROR(VLOOKUP(C195,$AS$3:$AX$10,6,FALSE()),IFERROR(VLOOKUP(C195,$AS$15:$AX$22,6,FALSE()),""))</f>
        <v>0.536751750851081</v>
      </c>
      <c r="H195" s="72" t="str">
        <f aca="false">IFERROR(VLOOKUP(C195,$AS$3:$AY$10,7,FALSE()),IFERROR(VLOOKUP(C195,$AS$15:$AY$22,7,FALSE()),""))</f>
        <v>🟡 AMARELO</v>
      </c>
      <c r="I195" s="72" t="str">
        <f aca="false">IFERROR(VLOOKUP(C195,$AS$3:$AZ$10,8,FALSE()),IFERROR(VLOOKUP(C195,$AS$15:$AZ$22,8,FALSE()),""))</f>
        <v>Sell Out</v>
      </c>
      <c r="J195" s="73"/>
      <c r="K195" s="69" t="s">
        <v>145</v>
      </c>
      <c r="L195" s="74" t="n">
        <v>6220.57</v>
      </c>
      <c r="M195" s="75" t="n">
        <v>437.14</v>
      </c>
      <c r="N195" s="75" t="n">
        <v>456.79</v>
      </c>
      <c r="O195" s="75" t="n">
        <v>467.8</v>
      </c>
      <c r="P195" s="75" t="n">
        <v>479.99</v>
      </c>
      <c r="Q195" s="75" t="n">
        <v>495.71</v>
      </c>
      <c r="R195" s="75" t="n">
        <v>508.68</v>
      </c>
      <c r="S195" s="75" t="n">
        <v>528.34</v>
      </c>
      <c r="T195" s="75" t="n">
        <v>541.31</v>
      </c>
      <c r="U195" s="75" t="n">
        <v>553.5</v>
      </c>
      <c r="V195" s="75" t="n">
        <v>567.26</v>
      </c>
      <c r="W195" s="75" t="n">
        <v>582.2</v>
      </c>
      <c r="X195" s="76" t="n">
        <v>601.85</v>
      </c>
      <c r="Y195" s="77" t="s">
        <v>20</v>
      </c>
      <c r="Z195" s="78" t="n">
        <f aca="false">SUM(AA195:AL195)</f>
        <v>2536.11</v>
      </c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107" t="n">
        <v>2536.11</v>
      </c>
      <c r="AM195" s="56" t="s">
        <v>20</v>
      </c>
      <c r="AN195" s="80" t="n">
        <f aca="false">IF(L195=0,0,Z195/L195)</f>
        <v>0.407697365353979</v>
      </c>
      <c r="AO195" s="81" t="str">
        <f aca="false">IF(AN195="","",IF(AN195&gt;=0.9,"🟢",IF(AN195&gt;=0.7,"🟡",IF(AN195&gt;=0.5,"🟠","🔴"))))</f>
        <v>🔴</v>
      </c>
      <c r="AP195" s="82" t="n">
        <f aca="false">IF(L195=0,0,L195-Z195)</f>
        <v>3684.46</v>
      </c>
      <c r="AQ195" s="83" t="n">
        <f aca="false">IF(AP195=0,"",RANK(AP195,AP$4:AP$503,0))</f>
        <v>175</v>
      </c>
      <c r="AR195" s="84" t="s">
        <v>20</v>
      </c>
      <c r="AS195" s="141"/>
      <c r="AT195" s="141"/>
      <c r="AU195" s="141"/>
      <c r="AV195" s="141"/>
      <c r="AW195" s="141"/>
      <c r="AX195" s="141"/>
      <c r="AY195" s="142"/>
      <c r="AZ195" s="142"/>
      <c r="BA195" s="56" t="s">
        <v>20</v>
      </c>
      <c r="BB195" s="91" t="n">
        <f aca="false">SUM(L$4:L$503)/COUNTA(A$4:A$503)</f>
        <v>9494.39992</v>
      </c>
      <c r="BC195" s="92" t="n">
        <f aca="false">SUM(M$4:M$503)/COUNTA(A$4:A$503)</f>
        <v>667.20008</v>
      </c>
      <c r="BD195" s="92" t="n">
        <f aca="false">SUM(N$4:N$503)/COUNTA(A$4:A$503)</f>
        <v>697.19996</v>
      </c>
      <c r="BE195" s="92" t="n">
        <f aca="false">SUM(O$4:O$503)/COUNTA(A$4:A$503)</f>
        <v>713.9999</v>
      </c>
      <c r="BF195" s="92" t="n">
        <f aca="false">SUM(P$4:P$503)/COUNTA(A$4:A$503)</f>
        <v>732.59984</v>
      </c>
      <c r="BG195" s="92" t="n">
        <f aca="false">SUM(Q$4:Q$503)/COUNTA(A$4:A$503)</f>
        <v>756.59992</v>
      </c>
      <c r="BH195" s="92" t="n">
        <f aca="false">SUM(R$4:R$503)/COUNTA(A$4:A$503)</f>
        <v>776.40004</v>
      </c>
      <c r="BI195" s="92" t="n">
        <f aca="false">SUM(S$4:S$503)/COUNTA(A$4:A$503)</f>
        <v>806.40012</v>
      </c>
      <c r="BJ195" s="92" t="n">
        <f aca="false">SUM(T$4:T$503)/COUNTA(A$4:A$503)</f>
        <v>826.1999</v>
      </c>
      <c r="BK195" s="92" t="n">
        <f aca="false">SUM(U$4:U$503)/COUNTA(A$4:A$503)</f>
        <v>844.8002</v>
      </c>
      <c r="BL195" s="92" t="n">
        <f aca="false">SUM(V$4:V$503)/COUNTA(A$4:A$503)</f>
        <v>865.7998</v>
      </c>
      <c r="BM195" s="92" t="n">
        <f aca="false">SUM(W$4:W$503)/COUNTA(A$4:A$503)</f>
        <v>888.59982</v>
      </c>
      <c r="BN195" s="93" t="n">
        <f aca="false">SUM(X$4:X$503)/COUNTA(A$4:A$503)</f>
        <v>918.60034</v>
      </c>
      <c r="BO195" s="94" t="s">
        <v>20</v>
      </c>
      <c r="BP195" s="91" t="n">
        <f aca="false">IF(Z195&gt;=BB195,0,IFERROR(BB195+(SUMPRODUCT((Z$4:Z$503&gt;=BB$4:BB$503)*(Z$4:Z$503-BB$4:BB$503))/MAX(1,COUNTIF(Z$4:Z$503,"&lt;"&amp;BB195+0.01))),BB195))</f>
        <v>10695.5432177778</v>
      </c>
      <c r="BQ195" s="92" t="n">
        <f aca="false">IF(AA195&gt;=BC195,0,IFERROR(BC195+SUMPRODUCT((AA$4:AA$503&gt;=BC$4:BC$503)*(AA$4:AA$503-BC$4:BC$503))/MAX(1,COUNTIF(AA$4:AA$503,"&lt;"&amp;BC195+0.01)),BC195))</f>
        <v>2238.46589176471</v>
      </c>
      <c r="BR195" s="92" t="n">
        <f aca="false">IF(AB195&gt;=BD195,0,IFERROR(BD195+SUMPRODUCT((AB$4:AB$503&gt;=BD$4:BD$503)*(AB$4:AB$503-BD$4:BD$503))/MAX(1,COUNTIF(AB$4:AB$503,"&lt;"&amp;BD195+0.01)),BD195))</f>
        <v>3335.2938</v>
      </c>
      <c r="BS195" s="92" t="n">
        <f aca="false">IF(AC195&gt;=BE195,0,IFERROR(BE195+SUMPRODUCT((AC$4:AC$503&gt;=BE$4:BE$503)*(AC$4:AC$503-BE$4:BE$503))/MAX(1,COUNTIF(AC$4:AC$503,"&lt;"&amp;BE195+0.01)),BE195))</f>
        <v>6188.73352</v>
      </c>
      <c r="BT195" s="92" t="n">
        <f aca="false">IF(AD195&gt;=BF195,0,IFERROR(BF195+SUMPRODUCT((AD$4:AD$503&gt;=BF$4:BF$503)*(AD$4:AD$503-BF$4:BF$503))/MAX(1,COUNTIF(AD$4:AD$503,"&lt;"&amp;BF195+0.01)),BF195))</f>
        <v>11354.35411</v>
      </c>
      <c r="BU195" s="92" t="n">
        <f aca="false">IF(AE195&gt;=BG195,0,IFERROR(BG195+SUMPRODUCT((AE$4:AE$503&gt;=BG$4:BG$503)*(AE$4:AE$503-BG$4:BG$503))/MAX(1,COUNTIF(AE$4:AE$503,"&lt;"&amp;BG195+0.01)),BG195))</f>
        <v>7704.85920380952</v>
      </c>
      <c r="BV195" s="92" t="n">
        <f aca="false">IF(AF195&gt;=BH195,0,IFERROR(BH195+SUMPRODUCT((AF$4:AF$503&gt;=BH$4:BH$503)*(AF$4:AF$503-BH$4:BH$503))/MAX(1,COUNTIF(AF$4:AF$503,"&lt;"&amp;BH195+0.01)),BH195))</f>
        <v>9942.6503831579</v>
      </c>
      <c r="BW195" s="92" t="n">
        <f aca="false">IF(AG195&gt;=BI195,0,IFERROR(BI195+SUMPRODUCT((AG$4:AG$503&gt;=BI$4:BI$503)*(AG$4:AG$503-BI$4:BI$503))/MAX(1,COUNTIF(AG$4:AG$503,"&lt;"&amp;BI195+0.01)),BI195))</f>
        <v>9142.15870461538</v>
      </c>
      <c r="BX195" s="92" t="n">
        <f aca="false">IF(AH195&gt;=BJ195,0,IFERROR(BJ195+SUMPRODUCT((AH$4:AH$503&gt;=BJ$4:BJ$503)*(AH$4:AH$503-BJ$4:BJ$503))/MAX(1,COUNTIF(AH$4:AH$503,"&lt;"&amp;BJ195+0.01)),BJ195))</f>
        <v>5621.50263448276</v>
      </c>
      <c r="BY195" s="92" t="n">
        <f aca="false">IF(AI195&gt;=BK195,0,IFERROR(BK195+SUMPRODUCT((AI$4:AI$503&gt;=BK$4:BK$503)*(AI$4:AI$503-BK$4:BK$503))/MAX(1,COUNTIF(AI$4:AI$503,"&lt;"&amp;BK195+0.01)),BK195))</f>
        <v>7878.25652380952</v>
      </c>
      <c r="BZ195" s="92" t="n">
        <f aca="false">IF(AJ195&gt;=BL195,0,IFERROR(BL195+SUMPRODUCT((AJ$4:AJ$503&gt;=BL$4:BL$503)*(AJ$4:AJ$503-BL$4:BL$503))/MAX(1,COUNTIF(AJ$4:AJ$503,"&lt;"&amp;BL195+0.01)),BL195))</f>
        <v>6710.03292307692</v>
      </c>
      <c r="CA195" s="92" t="n">
        <f aca="false">IF(AK195&gt;=BM195,0,IFERROR(BM195+SUMPRODUCT((AK$4:AK$503&gt;=BM$4:BM$503)*(AK$4:AK$503-BM$4:BM$503))/MAX(1,COUNTIF(AK$4:AK$503,"&lt;"&amp;BM195+0.01)),BM195))</f>
        <v>7314.89836842105</v>
      </c>
      <c r="CB195" s="93" t="n">
        <f aca="false">IF(AL195&gt;=BN195,0,IFERROR(BN195+SUMPRODUCT((AL$4:AL$503&gt;=BN$4:BN$503)*(AL$4:AL$503-BN$4:BN$503))/MAX(1,COUNTIF(AL$4:AL$503,"&lt;"&amp;BN195+0.01)),BN195))</f>
        <v>0</v>
      </c>
      <c r="CC195" s="95" t="str">
        <f aca="false">IF(AO195="🟢","VERDE",IF(AO195="🟡","AMARELO",IF(AO195="🟠","VERMELHO",IF(AO195="🔴","VERMELHO","ROXO"))))</f>
        <v>VERMELHO</v>
      </c>
      <c r="CD195" s="96" t="s">
        <v>176</v>
      </c>
      <c r="CE195" s="96" t="s">
        <v>115</v>
      </c>
    </row>
    <row r="196" customFormat="false" ht="14.25" hidden="false" customHeight="true" outlineLevel="0" collapsed="false">
      <c r="A196" s="65" t="s">
        <v>528</v>
      </c>
      <c r="B196" s="66" t="s">
        <v>529</v>
      </c>
      <c r="C196" s="67" t="s">
        <v>158</v>
      </c>
      <c r="D196" s="68" t="s">
        <v>100</v>
      </c>
      <c r="E196" s="69" t="s">
        <v>243</v>
      </c>
      <c r="F196" s="70" t="n">
        <f aca="false">IFERROR(VLOOKUP(C196,$AS$3:$AT$10,2,FALSE()),IFERROR(VLOOKUP(C196,$AS$15:$AT$22,2,FALSE()),""))</f>
        <v>29</v>
      </c>
      <c r="G196" s="71" t="n">
        <f aca="false">IFERROR(VLOOKUP(C196,$AS$3:$AX$10,6,FALSE()),IFERROR(VLOOKUP(C196,$AS$15:$AX$22,6,FALSE()),""))</f>
        <v>0.458564072601712</v>
      </c>
      <c r="H196" s="72" t="str">
        <f aca="false">IFERROR(VLOOKUP(C196,$AS$3:$AY$10,7,FALSE()),IFERROR(VLOOKUP(C196,$AS$15:$AY$22,7,FALSE()),""))</f>
        <v>🟡 AMARELO</v>
      </c>
      <c r="I196" s="72" t="str">
        <f aca="false">IFERROR(VLOOKUP(C196,$AS$3:$AZ$10,8,FALSE()),IFERROR(VLOOKUP(C196,$AS$15:$AZ$22,8,FALSE()),""))</f>
        <v>Sell Out</v>
      </c>
      <c r="J196" s="73"/>
      <c r="K196" s="69" t="s">
        <v>158</v>
      </c>
      <c r="L196" s="74" t="n">
        <v>6214.61</v>
      </c>
      <c r="M196" s="75" t="n">
        <v>436.72</v>
      </c>
      <c r="N196" s="75" t="n">
        <v>456.36</v>
      </c>
      <c r="O196" s="75" t="n">
        <v>467.35</v>
      </c>
      <c r="P196" s="75" t="n">
        <v>479.53</v>
      </c>
      <c r="Q196" s="75" t="n">
        <v>495.24</v>
      </c>
      <c r="R196" s="75" t="n">
        <v>508.2</v>
      </c>
      <c r="S196" s="75" t="n">
        <v>527.83</v>
      </c>
      <c r="T196" s="75" t="n">
        <v>540.79</v>
      </c>
      <c r="U196" s="75" t="n">
        <v>552.97</v>
      </c>
      <c r="V196" s="75" t="n">
        <v>566.71</v>
      </c>
      <c r="W196" s="75" t="n">
        <v>581.64</v>
      </c>
      <c r="X196" s="76" t="n">
        <v>601.27</v>
      </c>
      <c r="Y196" s="77" t="s">
        <v>20</v>
      </c>
      <c r="Z196" s="78" t="n">
        <f aca="false">SUM(AA196:AL196)</f>
        <v>2500.66</v>
      </c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6" t="n">
        <v>2500.66</v>
      </c>
      <c r="AM196" s="56" t="s">
        <v>20</v>
      </c>
      <c r="AN196" s="80" t="n">
        <f aca="false">IF(L196=0,0,Z196/L196)</f>
        <v>0.402384059498504</v>
      </c>
      <c r="AO196" s="81" t="str">
        <f aca="false">IF(AN196="","",IF(AN196&gt;=0.9,"🟢",IF(AN196&gt;=0.7,"🟡",IF(AN196&gt;=0.5,"🟠","🔴"))))</f>
        <v>🔴</v>
      </c>
      <c r="AP196" s="82" t="n">
        <f aca="false">IF(L196=0,0,L196-Z196)</f>
        <v>3713.95</v>
      </c>
      <c r="AQ196" s="83" t="n">
        <f aca="false">IF(AP196=0,"",RANK(AP196,AP$4:AP$503,0))</f>
        <v>173</v>
      </c>
      <c r="AR196" s="84" t="s">
        <v>20</v>
      </c>
      <c r="AS196" s="141"/>
      <c r="AT196" s="141"/>
      <c r="AU196" s="141"/>
      <c r="AV196" s="141"/>
      <c r="AW196" s="141"/>
      <c r="AX196" s="141"/>
      <c r="AY196" s="142"/>
      <c r="AZ196" s="142"/>
      <c r="BA196" s="56" t="s">
        <v>20</v>
      </c>
      <c r="BB196" s="91" t="n">
        <f aca="false">SUM(L$4:L$503)/COUNTA(A$4:A$503)</f>
        <v>9494.39992</v>
      </c>
      <c r="BC196" s="92" t="n">
        <f aca="false">SUM(M$4:M$503)/COUNTA(A$4:A$503)</f>
        <v>667.20008</v>
      </c>
      <c r="BD196" s="92" t="n">
        <f aca="false">SUM(N$4:N$503)/COUNTA(A$4:A$503)</f>
        <v>697.19996</v>
      </c>
      <c r="BE196" s="92" t="n">
        <f aca="false">SUM(O$4:O$503)/COUNTA(A$4:A$503)</f>
        <v>713.9999</v>
      </c>
      <c r="BF196" s="92" t="n">
        <f aca="false">SUM(P$4:P$503)/COUNTA(A$4:A$503)</f>
        <v>732.59984</v>
      </c>
      <c r="BG196" s="92" t="n">
        <f aca="false">SUM(Q$4:Q$503)/COUNTA(A$4:A$503)</f>
        <v>756.59992</v>
      </c>
      <c r="BH196" s="92" t="n">
        <f aca="false">SUM(R$4:R$503)/COUNTA(A$4:A$503)</f>
        <v>776.40004</v>
      </c>
      <c r="BI196" s="92" t="n">
        <f aca="false">SUM(S$4:S$503)/COUNTA(A$4:A$503)</f>
        <v>806.40012</v>
      </c>
      <c r="BJ196" s="92" t="n">
        <f aca="false">SUM(T$4:T$503)/COUNTA(A$4:A$503)</f>
        <v>826.1999</v>
      </c>
      <c r="BK196" s="92" t="n">
        <f aca="false">SUM(U$4:U$503)/COUNTA(A$4:A$503)</f>
        <v>844.8002</v>
      </c>
      <c r="BL196" s="92" t="n">
        <f aca="false">SUM(V$4:V$503)/COUNTA(A$4:A$503)</f>
        <v>865.7998</v>
      </c>
      <c r="BM196" s="92" t="n">
        <f aca="false">SUM(W$4:W$503)/COUNTA(A$4:A$503)</f>
        <v>888.59982</v>
      </c>
      <c r="BN196" s="93" t="n">
        <f aca="false">SUM(X$4:X$503)/COUNTA(A$4:A$503)</f>
        <v>918.60034</v>
      </c>
      <c r="BO196" s="94" t="s">
        <v>20</v>
      </c>
      <c r="BP196" s="91" t="n">
        <f aca="false">IF(Z196&gt;=BB196,0,IFERROR(BB196+(SUMPRODUCT((Z$4:Z$503&gt;=BB$4:BB$503)*(Z$4:Z$503-BB$4:BB$503))/MAX(1,COUNTIF(Z$4:Z$503,"&lt;"&amp;BB196+0.01))),BB196))</f>
        <v>10695.5432177778</v>
      </c>
      <c r="BQ196" s="92" t="n">
        <f aca="false">IF(AA196&gt;=BC196,0,IFERROR(BC196+SUMPRODUCT((AA$4:AA$503&gt;=BC$4:BC$503)*(AA$4:AA$503-BC$4:BC$503))/MAX(1,COUNTIF(AA$4:AA$503,"&lt;"&amp;BC196+0.01)),BC196))</f>
        <v>2238.46589176471</v>
      </c>
      <c r="BR196" s="92" t="n">
        <f aca="false">IF(AB196&gt;=BD196,0,IFERROR(BD196+SUMPRODUCT((AB$4:AB$503&gt;=BD$4:BD$503)*(AB$4:AB$503-BD$4:BD$503))/MAX(1,COUNTIF(AB$4:AB$503,"&lt;"&amp;BD196+0.01)),BD196))</f>
        <v>3335.2938</v>
      </c>
      <c r="BS196" s="92" t="n">
        <f aca="false">IF(AC196&gt;=BE196,0,IFERROR(BE196+SUMPRODUCT((AC$4:AC$503&gt;=BE$4:BE$503)*(AC$4:AC$503-BE$4:BE$503))/MAX(1,COUNTIF(AC$4:AC$503,"&lt;"&amp;BE196+0.01)),BE196))</f>
        <v>6188.73352</v>
      </c>
      <c r="BT196" s="92" t="n">
        <f aca="false">IF(AD196&gt;=BF196,0,IFERROR(BF196+SUMPRODUCT((AD$4:AD$503&gt;=BF$4:BF$503)*(AD$4:AD$503-BF$4:BF$503))/MAX(1,COUNTIF(AD$4:AD$503,"&lt;"&amp;BF196+0.01)),BF196))</f>
        <v>11354.35411</v>
      </c>
      <c r="BU196" s="92" t="n">
        <f aca="false">IF(AE196&gt;=BG196,0,IFERROR(BG196+SUMPRODUCT((AE$4:AE$503&gt;=BG$4:BG$503)*(AE$4:AE$503-BG$4:BG$503))/MAX(1,COUNTIF(AE$4:AE$503,"&lt;"&amp;BG196+0.01)),BG196))</f>
        <v>7704.85920380952</v>
      </c>
      <c r="BV196" s="92" t="n">
        <f aca="false">IF(AF196&gt;=BH196,0,IFERROR(BH196+SUMPRODUCT((AF$4:AF$503&gt;=BH$4:BH$503)*(AF$4:AF$503-BH$4:BH$503))/MAX(1,COUNTIF(AF$4:AF$503,"&lt;"&amp;BH196+0.01)),BH196))</f>
        <v>9942.6503831579</v>
      </c>
      <c r="BW196" s="92" t="n">
        <f aca="false">IF(AG196&gt;=BI196,0,IFERROR(BI196+SUMPRODUCT((AG$4:AG$503&gt;=BI$4:BI$503)*(AG$4:AG$503-BI$4:BI$503))/MAX(1,COUNTIF(AG$4:AG$503,"&lt;"&amp;BI196+0.01)),BI196))</f>
        <v>9142.15870461538</v>
      </c>
      <c r="BX196" s="92" t="n">
        <f aca="false">IF(AH196&gt;=BJ196,0,IFERROR(BJ196+SUMPRODUCT((AH$4:AH$503&gt;=BJ$4:BJ$503)*(AH$4:AH$503-BJ$4:BJ$503))/MAX(1,COUNTIF(AH$4:AH$503,"&lt;"&amp;BJ196+0.01)),BJ196))</f>
        <v>5621.50263448276</v>
      </c>
      <c r="BY196" s="92" t="n">
        <f aca="false">IF(AI196&gt;=BK196,0,IFERROR(BK196+SUMPRODUCT((AI$4:AI$503&gt;=BK$4:BK$503)*(AI$4:AI$503-BK$4:BK$503))/MAX(1,COUNTIF(AI$4:AI$503,"&lt;"&amp;BK196+0.01)),BK196))</f>
        <v>7878.25652380952</v>
      </c>
      <c r="BZ196" s="92" t="n">
        <f aca="false">IF(AJ196&gt;=BL196,0,IFERROR(BL196+SUMPRODUCT((AJ$4:AJ$503&gt;=BL$4:BL$503)*(AJ$4:AJ$503-BL$4:BL$503))/MAX(1,COUNTIF(AJ$4:AJ$503,"&lt;"&amp;BL196+0.01)),BL196))</f>
        <v>6710.03292307692</v>
      </c>
      <c r="CA196" s="92" t="n">
        <f aca="false">IF(AK196&gt;=BM196,0,IFERROR(BM196+SUMPRODUCT((AK$4:AK$503&gt;=BM$4:BM$503)*(AK$4:AK$503-BM$4:BM$503))/MAX(1,COUNTIF(AK$4:AK$503,"&lt;"&amp;BM196+0.01)),BM196))</f>
        <v>7314.89836842105</v>
      </c>
      <c r="CB196" s="93" t="n">
        <f aca="false">IF(AL196&gt;=BN196,0,IFERROR(BN196+SUMPRODUCT((AL$4:AL$503&gt;=BN$4:BN$503)*(AL$4:AL$503-BN$4:BN$503))/MAX(1,COUNTIF(AL$4:AL$503,"&lt;"&amp;BN196+0.01)),BN196))</f>
        <v>0</v>
      </c>
      <c r="CC196" s="95" t="str">
        <f aca="false">IF(AO196="🟢","VERDE",IF(AO196="🟡","AMARELO",IF(AO196="🟠","VERMELHO",IF(AO196="🔴","VERMELHO","ROXO"))))</f>
        <v>VERMELHO</v>
      </c>
      <c r="CD196" s="96" t="s">
        <v>103</v>
      </c>
      <c r="CE196" s="96" t="s">
        <v>104</v>
      </c>
    </row>
    <row r="197" customFormat="false" ht="14.25" hidden="false" customHeight="true" outlineLevel="0" collapsed="false">
      <c r="A197" s="65" t="s">
        <v>530</v>
      </c>
      <c r="B197" s="66" t="s">
        <v>531</v>
      </c>
      <c r="C197" s="67" t="s">
        <v>107</v>
      </c>
      <c r="D197" s="68" t="s">
        <v>108</v>
      </c>
      <c r="E197" s="69" t="s">
        <v>139</v>
      </c>
      <c r="F197" s="70" t="n">
        <f aca="false">IFERROR(VLOOKUP(C197,$AS$3:$AT$10,2,FALSE()),IFERROR(VLOOKUP(C197,$AS$15:$AT$22,2,FALSE()),""))</f>
        <v>132</v>
      </c>
      <c r="G197" s="71" t="n">
        <f aca="false">IFERROR(VLOOKUP(C197,$AS$3:$AX$10,6,FALSE()),IFERROR(VLOOKUP(C197,$AS$15:$AX$22,6,FALSE()),""))</f>
        <v>0.468190175850689</v>
      </c>
      <c r="H197" s="72" t="str">
        <f aca="false">IFERROR(VLOOKUP(C197,$AS$3:$AY$10,7,FALSE()),IFERROR(VLOOKUP(C197,$AS$15:$AY$22,7,FALSE()),""))</f>
        <v>🟡 AMARELO</v>
      </c>
      <c r="I197" s="72" t="str">
        <f aca="false">IFERROR(VLOOKUP(C197,$AS$3:$AZ$10,8,FALSE()),IFERROR(VLOOKUP(C197,$AS$15:$AZ$22,8,FALSE()),""))</f>
        <v>Sell Out</v>
      </c>
      <c r="J197" s="73"/>
      <c r="K197" s="69" t="s">
        <v>107</v>
      </c>
      <c r="L197" s="74" t="n">
        <v>6206.64</v>
      </c>
      <c r="M197" s="75" t="n">
        <v>436.16</v>
      </c>
      <c r="N197" s="75" t="n">
        <v>455.77</v>
      </c>
      <c r="O197" s="75" t="n">
        <v>466.75</v>
      </c>
      <c r="P197" s="75" t="n">
        <v>478.91</v>
      </c>
      <c r="Q197" s="75" t="n">
        <v>494.6</v>
      </c>
      <c r="R197" s="75" t="n">
        <v>507.55</v>
      </c>
      <c r="S197" s="75" t="n">
        <v>527.16</v>
      </c>
      <c r="T197" s="75" t="n">
        <v>540.1</v>
      </c>
      <c r="U197" s="75" t="n">
        <v>552.26</v>
      </c>
      <c r="V197" s="75" t="n">
        <v>565.99</v>
      </c>
      <c r="W197" s="75" t="n">
        <v>580.89</v>
      </c>
      <c r="X197" s="76" t="n">
        <v>600.5</v>
      </c>
      <c r="Y197" s="77" t="s">
        <v>20</v>
      </c>
      <c r="Z197" s="78" t="n">
        <f aca="false">SUM(AA197:AL197)</f>
        <v>4918</v>
      </c>
      <c r="AA197" s="75"/>
      <c r="AB197" s="75"/>
      <c r="AC197" s="75"/>
      <c r="AD197" s="75"/>
      <c r="AE197" s="75"/>
      <c r="AF197" s="75"/>
      <c r="AG197" s="75"/>
      <c r="AH197" s="75"/>
      <c r="AI197" s="75" t="n">
        <v>2421.99</v>
      </c>
      <c r="AJ197" s="79" t="n">
        <v>2496.01</v>
      </c>
      <c r="AK197" s="75"/>
      <c r="AL197" s="76"/>
      <c r="AM197" s="56" t="s">
        <v>20</v>
      </c>
      <c r="AN197" s="80" t="n">
        <f aca="false">IF(L197=0,0,Z197/L197)</f>
        <v>0.792377196035214</v>
      </c>
      <c r="AO197" s="81" t="str">
        <f aca="false">IF(AN197="","",IF(AN197&gt;=0.9,"🟢",IF(AN197&gt;=0.7,"🟡",IF(AN197&gt;=0.5,"🟠","🔴"))))</f>
        <v>🟡</v>
      </c>
      <c r="AP197" s="82" t="n">
        <f aca="false">IF(L197=0,0,L197-Z197)</f>
        <v>1288.64</v>
      </c>
      <c r="AQ197" s="83" t="n">
        <f aca="false">IF(AP197=0,"",RANK(AP197,AP$4:AP$503,0))</f>
        <v>349</v>
      </c>
      <c r="AR197" s="84" t="s">
        <v>20</v>
      </c>
      <c r="AS197" s="141"/>
      <c r="AT197" s="141"/>
      <c r="AU197" s="141"/>
      <c r="AV197" s="141"/>
      <c r="AW197" s="141"/>
      <c r="AX197" s="141"/>
      <c r="AY197" s="142"/>
      <c r="AZ197" s="142"/>
      <c r="BA197" s="56" t="s">
        <v>20</v>
      </c>
      <c r="BB197" s="91" t="n">
        <f aca="false">SUM(L$4:L$503)/COUNTA(A$4:A$503)</f>
        <v>9494.39992</v>
      </c>
      <c r="BC197" s="92" t="n">
        <f aca="false">SUM(M$4:M$503)/COUNTA(A$4:A$503)</f>
        <v>667.20008</v>
      </c>
      <c r="BD197" s="92" t="n">
        <f aca="false">SUM(N$4:N$503)/COUNTA(A$4:A$503)</f>
        <v>697.19996</v>
      </c>
      <c r="BE197" s="92" t="n">
        <f aca="false">SUM(O$4:O$503)/COUNTA(A$4:A$503)</f>
        <v>713.9999</v>
      </c>
      <c r="BF197" s="92" t="n">
        <f aca="false">SUM(P$4:P$503)/COUNTA(A$4:A$503)</f>
        <v>732.59984</v>
      </c>
      <c r="BG197" s="92" t="n">
        <f aca="false">SUM(Q$4:Q$503)/COUNTA(A$4:A$503)</f>
        <v>756.59992</v>
      </c>
      <c r="BH197" s="92" t="n">
        <f aca="false">SUM(R$4:R$503)/COUNTA(A$4:A$503)</f>
        <v>776.40004</v>
      </c>
      <c r="BI197" s="92" t="n">
        <f aca="false">SUM(S$4:S$503)/COUNTA(A$4:A$503)</f>
        <v>806.40012</v>
      </c>
      <c r="BJ197" s="92" t="n">
        <f aca="false">SUM(T$4:T$503)/COUNTA(A$4:A$503)</f>
        <v>826.1999</v>
      </c>
      <c r="BK197" s="92" t="n">
        <f aca="false">SUM(U$4:U$503)/COUNTA(A$4:A$503)</f>
        <v>844.8002</v>
      </c>
      <c r="BL197" s="92" t="n">
        <f aca="false">SUM(V$4:V$503)/COUNTA(A$4:A$503)</f>
        <v>865.7998</v>
      </c>
      <c r="BM197" s="92" t="n">
        <f aca="false">SUM(W$4:W$503)/COUNTA(A$4:A$503)</f>
        <v>888.59982</v>
      </c>
      <c r="BN197" s="93" t="n">
        <f aca="false">SUM(X$4:X$503)/COUNTA(A$4:A$503)</f>
        <v>918.60034</v>
      </c>
      <c r="BO197" s="94" t="s">
        <v>20</v>
      </c>
      <c r="BP197" s="91" t="n">
        <f aca="false">IF(Z197&gt;=BB197,0,IFERROR(BB197+(SUMPRODUCT((Z$4:Z$503&gt;=BB$4:BB$503)*(Z$4:Z$503-BB$4:BB$503))/MAX(1,COUNTIF(Z$4:Z$503,"&lt;"&amp;BB197+0.01))),BB197))</f>
        <v>10695.5432177778</v>
      </c>
      <c r="BQ197" s="92" t="n">
        <f aca="false">IF(AA197&gt;=BC197,0,IFERROR(BC197+SUMPRODUCT((AA$4:AA$503&gt;=BC$4:BC$503)*(AA$4:AA$503-BC$4:BC$503))/MAX(1,COUNTIF(AA$4:AA$503,"&lt;"&amp;BC197+0.01)),BC197))</f>
        <v>2238.46589176471</v>
      </c>
      <c r="BR197" s="92" t="n">
        <f aca="false">IF(AB197&gt;=BD197,0,IFERROR(BD197+SUMPRODUCT((AB$4:AB$503&gt;=BD$4:BD$503)*(AB$4:AB$503-BD$4:BD$503))/MAX(1,COUNTIF(AB$4:AB$503,"&lt;"&amp;BD197+0.01)),BD197))</f>
        <v>3335.2938</v>
      </c>
      <c r="BS197" s="92" t="n">
        <f aca="false">IF(AC197&gt;=BE197,0,IFERROR(BE197+SUMPRODUCT((AC$4:AC$503&gt;=BE$4:BE$503)*(AC$4:AC$503-BE$4:BE$503))/MAX(1,COUNTIF(AC$4:AC$503,"&lt;"&amp;BE197+0.01)),BE197))</f>
        <v>6188.73352</v>
      </c>
      <c r="BT197" s="92" t="n">
        <f aca="false">IF(AD197&gt;=BF197,0,IFERROR(BF197+SUMPRODUCT((AD$4:AD$503&gt;=BF$4:BF$503)*(AD$4:AD$503-BF$4:BF$503))/MAX(1,COUNTIF(AD$4:AD$503,"&lt;"&amp;BF197+0.01)),BF197))</f>
        <v>11354.35411</v>
      </c>
      <c r="BU197" s="92" t="n">
        <f aca="false">IF(AE197&gt;=BG197,0,IFERROR(BG197+SUMPRODUCT((AE$4:AE$503&gt;=BG$4:BG$503)*(AE$4:AE$503-BG$4:BG$503))/MAX(1,COUNTIF(AE$4:AE$503,"&lt;"&amp;BG197+0.01)),BG197))</f>
        <v>7704.85920380952</v>
      </c>
      <c r="BV197" s="92" t="n">
        <f aca="false">IF(AF197&gt;=BH197,0,IFERROR(BH197+SUMPRODUCT((AF$4:AF$503&gt;=BH$4:BH$503)*(AF$4:AF$503-BH$4:BH$503))/MAX(1,COUNTIF(AF$4:AF$503,"&lt;"&amp;BH197+0.01)),BH197))</f>
        <v>9942.6503831579</v>
      </c>
      <c r="BW197" s="92" t="n">
        <f aca="false">IF(AG197&gt;=BI197,0,IFERROR(BI197+SUMPRODUCT((AG$4:AG$503&gt;=BI$4:BI$503)*(AG$4:AG$503-BI$4:BI$503))/MAX(1,COUNTIF(AG$4:AG$503,"&lt;"&amp;BI197+0.01)),BI197))</f>
        <v>9142.15870461538</v>
      </c>
      <c r="BX197" s="92" t="n">
        <f aca="false">IF(AH197&gt;=BJ197,0,IFERROR(BJ197+SUMPRODUCT((AH$4:AH$503&gt;=BJ$4:BJ$503)*(AH$4:AH$503-BJ$4:BJ$503))/MAX(1,COUNTIF(AH$4:AH$503,"&lt;"&amp;BJ197+0.01)),BJ197))</f>
        <v>5621.50263448276</v>
      </c>
      <c r="BY197" s="92" t="n">
        <f aca="false">IF(AI197&gt;=BK197,0,IFERROR(BK197+SUMPRODUCT((AI$4:AI$503&gt;=BK$4:BK$503)*(AI$4:AI$503-BK$4:BK$503))/MAX(1,COUNTIF(AI$4:AI$503,"&lt;"&amp;BK197+0.01)),BK197))</f>
        <v>0</v>
      </c>
      <c r="BZ197" s="92" t="n">
        <f aca="false">IF(AJ197&gt;=BL197,0,IFERROR(BL197+SUMPRODUCT((AJ$4:AJ$503&gt;=BL$4:BL$503)*(AJ$4:AJ$503-BL$4:BL$503))/MAX(1,COUNTIF(AJ$4:AJ$503,"&lt;"&amp;BL197+0.01)),BL197))</f>
        <v>0</v>
      </c>
      <c r="CA197" s="92" t="n">
        <f aca="false">IF(AK197&gt;=BM197,0,IFERROR(BM197+SUMPRODUCT((AK$4:AK$503&gt;=BM$4:BM$503)*(AK$4:AK$503-BM$4:BM$503))/MAX(1,COUNTIF(AK$4:AK$503,"&lt;"&amp;BM197+0.01)),BM197))</f>
        <v>7314.89836842105</v>
      </c>
      <c r="CB197" s="93" t="n">
        <f aca="false">IF(AL197&gt;=BN197,0,IFERROR(BN197+SUMPRODUCT((AL$4:AL$503&gt;=BN$4:BN$503)*(AL$4:AL$503-BN$4:BN$503))/MAX(1,COUNTIF(AL$4:AL$503,"&lt;"&amp;BN197+0.01)),BN197))</f>
        <v>3597.2614925</v>
      </c>
      <c r="CC197" s="95" t="str">
        <f aca="false">IF(AO197="🟢","VERDE",IF(AO197="🟡","AMARELO",IF(AO197="🟠","VERMELHO",IF(AO197="🔴","VERMELHO","ROXO"))))</f>
        <v>AMARELO</v>
      </c>
      <c r="CD197" s="96" t="s">
        <v>103</v>
      </c>
      <c r="CE197" s="96" t="s">
        <v>104</v>
      </c>
    </row>
    <row r="198" customFormat="false" ht="14.25" hidden="false" customHeight="true" outlineLevel="0" collapsed="false">
      <c r="A198" s="65" t="s">
        <v>532</v>
      </c>
      <c r="B198" s="66" t="s">
        <v>533</v>
      </c>
      <c r="C198" s="66" t="s">
        <v>115</v>
      </c>
      <c r="D198" s="68" t="s">
        <v>184</v>
      </c>
      <c r="E198" s="69" t="s">
        <v>420</v>
      </c>
      <c r="F198" s="70" t="n">
        <f aca="false">IFERROR(VLOOKUP(C198,$AS$3:$AT$10,2,FALSE()),IFERROR(VLOOKUP(C198,$AS$15:$AT$22,2,FALSE()),""))</f>
        <v>25</v>
      </c>
      <c r="G198" s="71" t="n">
        <f aca="false">IFERROR(VLOOKUP(C198,$AS$3:$AX$10,6,FALSE()),IFERROR(VLOOKUP(C198,$AS$15:$AX$22,6,FALSE()),""))</f>
        <v>0.536751750851081</v>
      </c>
      <c r="H198" s="72" t="str">
        <f aca="false">IFERROR(VLOOKUP(C198,$AS$3:$AY$10,7,FALSE()),IFERROR(VLOOKUP(C198,$AS$15:$AY$22,7,FALSE()),""))</f>
        <v>🟡 AMARELO</v>
      </c>
      <c r="I198" s="72" t="str">
        <f aca="false">IFERROR(VLOOKUP(C198,$AS$3:$AZ$10,8,FALSE()),IFERROR(VLOOKUP(C198,$AS$15:$AZ$22,8,FALSE()),""))</f>
        <v>Sell Out</v>
      </c>
      <c r="J198" s="73"/>
      <c r="K198" s="69" t="s">
        <v>145</v>
      </c>
      <c r="L198" s="74" t="n">
        <v>6202.9</v>
      </c>
      <c r="M198" s="75" t="n">
        <v>435.9</v>
      </c>
      <c r="N198" s="75" t="n">
        <v>455.5</v>
      </c>
      <c r="O198" s="75" t="n">
        <v>466.47</v>
      </c>
      <c r="P198" s="75" t="n">
        <v>478.62</v>
      </c>
      <c r="Q198" s="75" t="n">
        <v>494.3</v>
      </c>
      <c r="R198" s="75" t="n">
        <v>507.24</v>
      </c>
      <c r="S198" s="75" t="n">
        <v>526.84</v>
      </c>
      <c r="T198" s="75" t="n">
        <v>539.77</v>
      </c>
      <c r="U198" s="75" t="n">
        <v>551.93</v>
      </c>
      <c r="V198" s="75" t="n">
        <v>565.65</v>
      </c>
      <c r="W198" s="75" t="n">
        <v>580.54</v>
      </c>
      <c r="X198" s="76" t="n">
        <v>600.14</v>
      </c>
      <c r="Y198" s="77" t="s">
        <v>20</v>
      </c>
      <c r="Z198" s="78" t="n">
        <f aca="false">SUM(AA198:AL198)</f>
        <v>2536.11</v>
      </c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107" t="n">
        <v>2536.11</v>
      </c>
      <c r="AM198" s="56" t="s">
        <v>20</v>
      </c>
      <c r="AN198" s="80" t="n">
        <f aca="false">IF(L198=0,0,Z198/L198)</f>
        <v>0.408858759612439</v>
      </c>
      <c r="AO198" s="81" t="str">
        <f aca="false">IF(AN198="","",IF(AN198&gt;=0.9,"🟢",IF(AN198&gt;=0.7,"🟡",IF(AN198&gt;=0.5,"🟠","🔴"))))</f>
        <v>🔴</v>
      </c>
      <c r="AP198" s="82" t="n">
        <f aca="false">IF(L198=0,0,L198-Z198)</f>
        <v>3666.79</v>
      </c>
      <c r="AQ198" s="83" t="n">
        <f aca="false">IF(AP198=0,"",RANK(AP198,AP$4:AP$503,0))</f>
        <v>176</v>
      </c>
      <c r="AR198" s="84" t="s">
        <v>20</v>
      </c>
      <c r="AS198" s="141"/>
      <c r="AT198" s="141"/>
      <c r="AU198" s="141"/>
      <c r="AV198" s="141"/>
      <c r="AW198" s="141"/>
      <c r="AX198" s="141"/>
      <c r="AY198" s="142"/>
      <c r="AZ198" s="142"/>
      <c r="BA198" s="56" t="s">
        <v>20</v>
      </c>
      <c r="BB198" s="91" t="n">
        <f aca="false">SUM(L$4:L$503)/COUNTA(A$4:A$503)</f>
        <v>9494.39992</v>
      </c>
      <c r="BC198" s="92" t="n">
        <f aca="false">SUM(M$4:M$503)/COUNTA(A$4:A$503)</f>
        <v>667.20008</v>
      </c>
      <c r="BD198" s="92" t="n">
        <f aca="false">SUM(N$4:N$503)/COUNTA(A$4:A$503)</f>
        <v>697.19996</v>
      </c>
      <c r="BE198" s="92" t="n">
        <f aca="false">SUM(O$4:O$503)/COUNTA(A$4:A$503)</f>
        <v>713.9999</v>
      </c>
      <c r="BF198" s="92" t="n">
        <f aca="false">SUM(P$4:P$503)/COUNTA(A$4:A$503)</f>
        <v>732.59984</v>
      </c>
      <c r="BG198" s="92" t="n">
        <f aca="false">SUM(Q$4:Q$503)/COUNTA(A$4:A$503)</f>
        <v>756.59992</v>
      </c>
      <c r="BH198" s="92" t="n">
        <f aca="false">SUM(R$4:R$503)/COUNTA(A$4:A$503)</f>
        <v>776.40004</v>
      </c>
      <c r="BI198" s="92" t="n">
        <f aca="false">SUM(S$4:S$503)/COUNTA(A$4:A$503)</f>
        <v>806.40012</v>
      </c>
      <c r="BJ198" s="92" t="n">
        <f aca="false">SUM(T$4:T$503)/COUNTA(A$4:A$503)</f>
        <v>826.1999</v>
      </c>
      <c r="BK198" s="92" t="n">
        <f aca="false">SUM(U$4:U$503)/COUNTA(A$4:A$503)</f>
        <v>844.8002</v>
      </c>
      <c r="BL198" s="92" t="n">
        <f aca="false">SUM(V$4:V$503)/COUNTA(A$4:A$503)</f>
        <v>865.7998</v>
      </c>
      <c r="BM198" s="92" t="n">
        <f aca="false">SUM(W$4:W$503)/COUNTA(A$4:A$503)</f>
        <v>888.59982</v>
      </c>
      <c r="BN198" s="93" t="n">
        <f aca="false">SUM(X$4:X$503)/COUNTA(A$4:A$503)</f>
        <v>918.60034</v>
      </c>
      <c r="BO198" s="94" t="s">
        <v>20</v>
      </c>
      <c r="BP198" s="91" t="n">
        <f aca="false">IF(Z198&gt;=BB198,0,IFERROR(BB198+(SUMPRODUCT((Z$4:Z$503&gt;=BB$4:BB$503)*(Z$4:Z$503-BB$4:BB$503))/MAX(1,COUNTIF(Z$4:Z$503,"&lt;"&amp;BB198+0.01))),BB198))</f>
        <v>10695.5432177778</v>
      </c>
      <c r="BQ198" s="92" t="n">
        <f aca="false">IF(AA198&gt;=BC198,0,IFERROR(BC198+SUMPRODUCT((AA$4:AA$503&gt;=BC$4:BC$503)*(AA$4:AA$503-BC$4:BC$503))/MAX(1,COUNTIF(AA$4:AA$503,"&lt;"&amp;BC198+0.01)),BC198))</f>
        <v>2238.46589176471</v>
      </c>
      <c r="BR198" s="92" t="n">
        <f aca="false">IF(AB198&gt;=BD198,0,IFERROR(BD198+SUMPRODUCT((AB$4:AB$503&gt;=BD$4:BD$503)*(AB$4:AB$503-BD$4:BD$503))/MAX(1,COUNTIF(AB$4:AB$503,"&lt;"&amp;BD198+0.01)),BD198))</f>
        <v>3335.2938</v>
      </c>
      <c r="BS198" s="92" t="n">
        <f aca="false">IF(AC198&gt;=BE198,0,IFERROR(BE198+SUMPRODUCT((AC$4:AC$503&gt;=BE$4:BE$503)*(AC$4:AC$503-BE$4:BE$503))/MAX(1,COUNTIF(AC$4:AC$503,"&lt;"&amp;BE198+0.01)),BE198))</f>
        <v>6188.73352</v>
      </c>
      <c r="BT198" s="92" t="n">
        <f aca="false">IF(AD198&gt;=BF198,0,IFERROR(BF198+SUMPRODUCT((AD$4:AD$503&gt;=BF$4:BF$503)*(AD$4:AD$503-BF$4:BF$503))/MAX(1,COUNTIF(AD$4:AD$503,"&lt;"&amp;BF198+0.01)),BF198))</f>
        <v>11354.35411</v>
      </c>
      <c r="BU198" s="92" t="n">
        <f aca="false">IF(AE198&gt;=BG198,0,IFERROR(BG198+SUMPRODUCT((AE$4:AE$503&gt;=BG$4:BG$503)*(AE$4:AE$503-BG$4:BG$503))/MAX(1,COUNTIF(AE$4:AE$503,"&lt;"&amp;BG198+0.01)),BG198))</f>
        <v>7704.85920380952</v>
      </c>
      <c r="BV198" s="92" t="n">
        <f aca="false">IF(AF198&gt;=BH198,0,IFERROR(BH198+SUMPRODUCT((AF$4:AF$503&gt;=BH$4:BH$503)*(AF$4:AF$503-BH$4:BH$503))/MAX(1,COUNTIF(AF$4:AF$503,"&lt;"&amp;BH198+0.01)),BH198))</f>
        <v>9942.6503831579</v>
      </c>
      <c r="BW198" s="92" t="n">
        <f aca="false">IF(AG198&gt;=BI198,0,IFERROR(BI198+SUMPRODUCT((AG$4:AG$503&gt;=BI$4:BI$503)*(AG$4:AG$503-BI$4:BI$503))/MAX(1,COUNTIF(AG$4:AG$503,"&lt;"&amp;BI198+0.01)),BI198))</f>
        <v>9142.15870461538</v>
      </c>
      <c r="BX198" s="92" t="n">
        <f aca="false">IF(AH198&gt;=BJ198,0,IFERROR(BJ198+SUMPRODUCT((AH$4:AH$503&gt;=BJ$4:BJ$503)*(AH$4:AH$503-BJ$4:BJ$503))/MAX(1,COUNTIF(AH$4:AH$503,"&lt;"&amp;BJ198+0.01)),BJ198))</f>
        <v>5621.50263448276</v>
      </c>
      <c r="BY198" s="92" t="n">
        <f aca="false">IF(AI198&gt;=BK198,0,IFERROR(BK198+SUMPRODUCT((AI$4:AI$503&gt;=BK$4:BK$503)*(AI$4:AI$503-BK$4:BK$503))/MAX(1,COUNTIF(AI$4:AI$503,"&lt;"&amp;BK198+0.01)),BK198))</f>
        <v>7878.25652380952</v>
      </c>
      <c r="BZ198" s="92" t="n">
        <f aca="false">IF(AJ198&gt;=BL198,0,IFERROR(BL198+SUMPRODUCT((AJ$4:AJ$503&gt;=BL$4:BL$503)*(AJ$4:AJ$503-BL$4:BL$503))/MAX(1,COUNTIF(AJ$4:AJ$503,"&lt;"&amp;BL198+0.01)),BL198))</f>
        <v>6710.03292307692</v>
      </c>
      <c r="CA198" s="92" t="n">
        <f aca="false">IF(AK198&gt;=BM198,0,IFERROR(BM198+SUMPRODUCT((AK$4:AK$503&gt;=BM$4:BM$503)*(AK$4:AK$503-BM$4:BM$503))/MAX(1,COUNTIF(AK$4:AK$503,"&lt;"&amp;BM198+0.01)),BM198))</f>
        <v>7314.89836842105</v>
      </c>
      <c r="CB198" s="93" t="n">
        <f aca="false">IF(AL198&gt;=BN198,0,IFERROR(BN198+SUMPRODUCT((AL$4:AL$503&gt;=BN$4:BN$503)*(AL$4:AL$503-BN$4:BN$503))/MAX(1,COUNTIF(AL$4:AL$503,"&lt;"&amp;BN198+0.01)),BN198))</f>
        <v>0</v>
      </c>
      <c r="CC198" s="95" t="str">
        <f aca="false">IF(AO198="🟢","VERDE",IF(AO198="🟡","AMARELO",IF(AO198="🟠","VERMELHO",IF(AO198="🔴","VERMELHO","ROXO"))))</f>
        <v>VERMELHO</v>
      </c>
      <c r="CD198" s="96" t="s">
        <v>176</v>
      </c>
      <c r="CE198" s="96" t="s">
        <v>115</v>
      </c>
    </row>
    <row r="199" customFormat="false" ht="14.25" hidden="false" customHeight="true" outlineLevel="0" collapsed="false">
      <c r="A199" s="65" t="s">
        <v>534</v>
      </c>
      <c r="B199" s="66" t="s">
        <v>535</v>
      </c>
      <c r="C199" s="67" t="s">
        <v>107</v>
      </c>
      <c r="D199" s="68" t="s">
        <v>108</v>
      </c>
      <c r="E199" s="69" t="s">
        <v>196</v>
      </c>
      <c r="F199" s="70" t="n">
        <f aca="false">IFERROR(VLOOKUP(C199,$AS$3:$AT$10,2,FALSE()),IFERROR(VLOOKUP(C199,$AS$15:$AT$22,2,FALSE()),""))</f>
        <v>132</v>
      </c>
      <c r="G199" s="71" t="n">
        <f aca="false">IFERROR(VLOOKUP(C199,$AS$3:$AX$10,6,FALSE()),IFERROR(VLOOKUP(C199,$AS$15:$AX$22,6,FALSE()),""))</f>
        <v>0.468190175850689</v>
      </c>
      <c r="H199" s="72" t="str">
        <f aca="false">IFERROR(VLOOKUP(C199,$AS$3:$AY$10,7,FALSE()),IFERROR(VLOOKUP(C199,$AS$15:$AY$22,7,FALSE()),""))</f>
        <v>🟡 AMARELO</v>
      </c>
      <c r="I199" s="72" t="str">
        <f aca="false">IFERROR(VLOOKUP(C199,$AS$3:$AZ$10,8,FALSE()),IFERROR(VLOOKUP(C199,$AS$15:$AZ$22,8,FALSE()),""))</f>
        <v>Sell Out</v>
      </c>
      <c r="J199" s="73"/>
      <c r="K199" s="69" t="s">
        <v>107</v>
      </c>
      <c r="L199" s="74" t="n">
        <v>6110.35</v>
      </c>
      <c r="M199" s="75" t="n">
        <v>429.39</v>
      </c>
      <c r="N199" s="75" t="n">
        <v>448.7</v>
      </c>
      <c r="O199" s="75" t="n">
        <v>459.51</v>
      </c>
      <c r="P199" s="75" t="n">
        <v>471.48</v>
      </c>
      <c r="Q199" s="75" t="n">
        <v>486.93</v>
      </c>
      <c r="R199" s="75" t="n">
        <v>499.67</v>
      </c>
      <c r="S199" s="75" t="n">
        <v>518.98</v>
      </c>
      <c r="T199" s="75" t="n">
        <v>531.72</v>
      </c>
      <c r="U199" s="75" t="n">
        <v>543.69</v>
      </c>
      <c r="V199" s="75" t="n">
        <v>557.21</v>
      </c>
      <c r="W199" s="75" t="n">
        <v>571.88</v>
      </c>
      <c r="X199" s="76" t="n">
        <v>591.19</v>
      </c>
      <c r="Y199" s="77" t="s">
        <v>20</v>
      </c>
      <c r="Z199" s="78" t="n">
        <f aca="false">SUM(AA199:AL199)</f>
        <v>2855.82</v>
      </c>
      <c r="AA199" s="75"/>
      <c r="AB199" s="75"/>
      <c r="AC199" s="79" t="n">
        <v>1205.36</v>
      </c>
      <c r="AD199" s="75"/>
      <c r="AE199" s="75"/>
      <c r="AF199" s="75"/>
      <c r="AG199" s="79" t="n">
        <v>859.97</v>
      </c>
      <c r="AH199" s="75"/>
      <c r="AI199" s="75"/>
      <c r="AJ199" s="75"/>
      <c r="AK199" s="75"/>
      <c r="AL199" s="107" t="n">
        <v>790.49</v>
      </c>
      <c r="AM199" s="56" t="s">
        <v>20</v>
      </c>
      <c r="AN199" s="80" t="n">
        <f aca="false">IF(L199=0,0,Z199/L199)</f>
        <v>0.467374209333344</v>
      </c>
      <c r="AO199" s="81" t="str">
        <f aca="false">IF(AN199="","",IF(AN199&gt;=0.9,"🟢",IF(AN199&gt;=0.7,"🟡",IF(AN199&gt;=0.5,"🟠","🔴"))))</f>
        <v>🔴</v>
      </c>
      <c r="AP199" s="82" t="n">
        <f aca="false">IF(L199=0,0,L199-Z199)</f>
        <v>3254.53</v>
      </c>
      <c r="AQ199" s="83" t="n">
        <f aca="false">IF(AP199=0,"",RANK(AP199,AP$4:AP$503,0))</f>
        <v>196</v>
      </c>
      <c r="AR199" s="84" t="s">
        <v>20</v>
      </c>
      <c r="AS199" s="141"/>
      <c r="AT199" s="141"/>
      <c r="AU199" s="141"/>
      <c r="AV199" s="141"/>
      <c r="AW199" s="141"/>
      <c r="AX199" s="141"/>
      <c r="AY199" s="142"/>
      <c r="AZ199" s="142"/>
      <c r="BA199" s="56" t="s">
        <v>20</v>
      </c>
      <c r="BB199" s="91" t="n">
        <f aca="false">SUM(L$4:L$503)/COUNTA(A$4:A$503)</f>
        <v>9494.39992</v>
      </c>
      <c r="BC199" s="92" t="n">
        <f aca="false">SUM(M$4:M$503)/COUNTA(A$4:A$503)</f>
        <v>667.20008</v>
      </c>
      <c r="BD199" s="92" t="n">
        <f aca="false">SUM(N$4:N$503)/COUNTA(A$4:A$503)</f>
        <v>697.19996</v>
      </c>
      <c r="BE199" s="92" t="n">
        <f aca="false">SUM(O$4:O$503)/COUNTA(A$4:A$503)</f>
        <v>713.9999</v>
      </c>
      <c r="BF199" s="92" t="n">
        <f aca="false">SUM(P$4:P$503)/COUNTA(A$4:A$503)</f>
        <v>732.59984</v>
      </c>
      <c r="BG199" s="92" t="n">
        <f aca="false">SUM(Q$4:Q$503)/COUNTA(A$4:A$503)</f>
        <v>756.59992</v>
      </c>
      <c r="BH199" s="92" t="n">
        <f aca="false">SUM(R$4:R$503)/COUNTA(A$4:A$503)</f>
        <v>776.40004</v>
      </c>
      <c r="BI199" s="92" t="n">
        <f aca="false">SUM(S$4:S$503)/COUNTA(A$4:A$503)</f>
        <v>806.40012</v>
      </c>
      <c r="BJ199" s="92" t="n">
        <f aca="false">SUM(T$4:T$503)/COUNTA(A$4:A$503)</f>
        <v>826.1999</v>
      </c>
      <c r="BK199" s="92" t="n">
        <f aca="false">SUM(U$4:U$503)/COUNTA(A$4:A$503)</f>
        <v>844.8002</v>
      </c>
      <c r="BL199" s="92" t="n">
        <f aca="false">SUM(V$4:V$503)/COUNTA(A$4:A$503)</f>
        <v>865.7998</v>
      </c>
      <c r="BM199" s="92" t="n">
        <f aca="false">SUM(W$4:W$503)/COUNTA(A$4:A$503)</f>
        <v>888.59982</v>
      </c>
      <c r="BN199" s="93" t="n">
        <f aca="false">SUM(X$4:X$503)/COUNTA(A$4:A$503)</f>
        <v>918.60034</v>
      </c>
      <c r="BO199" s="94" t="s">
        <v>20</v>
      </c>
      <c r="BP199" s="91" t="n">
        <f aca="false">IF(Z199&gt;=BB199,0,IFERROR(BB199+(SUMPRODUCT((Z$4:Z$503&gt;=BB$4:BB$503)*(Z$4:Z$503-BB$4:BB$503))/MAX(1,COUNTIF(Z$4:Z$503,"&lt;"&amp;BB199+0.01))),BB199))</f>
        <v>10695.5432177778</v>
      </c>
      <c r="BQ199" s="92" t="n">
        <f aca="false">IF(AA199&gt;=BC199,0,IFERROR(BC199+SUMPRODUCT((AA$4:AA$503&gt;=BC$4:BC$503)*(AA$4:AA$503-BC$4:BC$503))/MAX(1,COUNTIF(AA$4:AA$503,"&lt;"&amp;BC199+0.01)),BC199))</f>
        <v>2238.46589176471</v>
      </c>
      <c r="BR199" s="92" t="n">
        <f aca="false">IF(AB199&gt;=BD199,0,IFERROR(BD199+SUMPRODUCT((AB$4:AB$503&gt;=BD$4:BD$503)*(AB$4:AB$503-BD$4:BD$503))/MAX(1,COUNTIF(AB$4:AB$503,"&lt;"&amp;BD199+0.01)),BD199))</f>
        <v>3335.2938</v>
      </c>
      <c r="BS199" s="92" t="n">
        <f aca="false">IF(AC199&gt;=BE199,0,IFERROR(BE199+SUMPRODUCT((AC$4:AC$503&gt;=BE$4:BE$503)*(AC$4:AC$503-BE$4:BE$503))/MAX(1,COUNTIF(AC$4:AC$503,"&lt;"&amp;BE199+0.01)),BE199))</f>
        <v>0</v>
      </c>
      <c r="BT199" s="92" t="n">
        <f aca="false">IF(AD199&gt;=BF199,0,IFERROR(BF199+SUMPRODUCT((AD$4:AD$503&gt;=BF$4:BF$503)*(AD$4:AD$503-BF$4:BF$503))/MAX(1,COUNTIF(AD$4:AD$503,"&lt;"&amp;BF199+0.01)),BF199))</f>
        <v>11354.35411</v>
      </c>
      <c r="BU199" s="92" t="n">
        <f aca="false">IF(AE199&gt;=BG199,0,IFERROR(BG199+SUMPRODUCT((AE$4:AE$503&gt;=BG$4:BG$503)*(AE$4:AE$503-BG$4:BG$503))/MAX(1,COUNTIF(AE$4:AE$503,"&lt;"&amp;BG199+0.01)),BG199))</f>
        <v>7704.85920380952</v>
      </c>
      <c r="BV199" s="92" t="n">
        <f aca="false">IF(AF199&gt;=BH199,0,IFERROR(BH199+SUMPRODUCT((AF$4:AF$503&gt;=BH$4:BH$503)*(AF$4:AF$503-BH$4:BH$503))/MAX(1,COUNTIF(AF$4:AF$503,"&lt;"&amp;BH199+0.01)),BH199))</f>
        <v>9942.6503831579</v>
      </c>
      <c r="BW199" s="92" t="n">
        <f aca="false">IF(AG199&gt;=BI199,0,IFERROR(BI199+SUMPRODUCT((AG$4:AG$503&gt;=BI$4:BI$503)*(AG$4:AG$503-BI$4:BI$503))/MAX(1,COUNTIF(AG$4:AG$503,"&lt;"&amp;BI199+0.01)),BI199))</f>
        <v>0</v>
      </c>
      <c r="BX199" s="92" t="n">
        <f aca="false">IF(AH199&gt;=BJ199,0,IFERROR(BJ199+SUMPRODUCT((AH$4:AH$503&gt;=BJ$4:BJ$503)*(AH$4:AH$503-BJ$4:BJ$503))/MAX(1,COUNTIF(AH$4:AH$503,"&lt;"&amp;BJ199+0.01)),BJ199))</f>
        <v>5621.50263448276</v>
      </c>
      <c r="BY199" s="92" t="n">
        <f aca="false">IF(AI199&gt;=BK199,0,IFERROR(BK199+SUMPRODUCT((AI$4:AI$503&gt;=BK$4:BK$503)*(AI$4:AI$503-BK$4:BK$503))/MAX(1,COUNTIF(AI$4:AI$503,"&lt;"&amp;BK199+0.01)),BK199))</f>
        <v>7878.25652380952</v>
      </c>
      <c r="BZ199" s="92" t="n">
        <f aca="false">IF(AJ199&gt;=BL199,0,IFERROR(BL199+SUMPRODUCT((AJ$4:AJ$503&gt;=BL$4:BL$503)*(AJ$4:AJ$503-BL$4:BL$503))/MAX(1,COUNTIF(AJ$4:AJ$503,"&lt;"&amp;BL199+0.01)),BL199))</f>
        <v>6710.03292307692</v>
      </c>
      <c r="CA199" s="92" t="n">
        <f aca="false">IF(AK199&gt;=BM199,0,IFERROR(BM199+SUMPRODUCT((AK$4:AK$503&gt;=BM$4:BM$503)*(AK$4:AK$503-BM$4:BM$503))/MAX(1,COUNTIF(AK$4:AK$503,"&lt;"&amp;BM199+0.01)),BM199))</f>
        <v>7314.89836842105</v>
      </c>
      <c r="CB199" s="93" t="n">
        <f aca="false">IF(AL199&gt;=BN199,0,IFERROR(BN199+SUMPRODUCT((AL$4:AL$503&gt;=BN$4:BN$503)*(AL$4:AL$503-BN$4:BN$503))/MAX(1,COUNTIF(AL$4:AL$503,"&lt;"&amp;BN199+0.01)),BN199))</f>
        <v>3597.2614925</v>
      </c>
      <c r="CC199" s="95" t="str">
        <f aca="false">IF(AO199="🟢","VERDE",IF(AO199="🟡","AMARELO",IF(AO199="🟠","VERMELHO",IF(AO199="🔴","VERMELHO","ROXO"))))</f>
        <v>VERMELHO</v>
      </c>
      <c r="CD199" s="96" t="s">
        <v>103</v>
      </c>
      <c r="CE199" s="96" t="s">
        <v>104</v>
      </c>
    </row>
    <row r="200" customFormat="false" ht="14.25" hidden="false" customHeight="true" outlineLevel="0" collapsed="false">
      <c r="A200" s="65" t="s">
        <v>536</v>
      </c>
      <c r="B200" s="66" t="s">
        <v>436</v>
      </c>
      <c r="C200" s="67" t="s">
        <v>107</v>
      </c>
      <c r="D200" s="68" t="s">
        <v>108</v>
      </c>
      <c r="E200" s="69" t="s">
        <v>139</v>
      </c>
      <c r="F200" s="70" t="n">
        <f aca="false">IFERROR(VLOOKUP(C200,$AS$3:$AT$10,2,FALSE()),IFERROR(VLOOKUP(C200,$AS$15:$AT$22,2,FALSE()),""))</f>
        <v>132</v>
      </c>
      <c r="G200" s="71" t="n">
        <f aca="false">IFERROR(VLOOKUP(C200,$AS$3:$AX$10,6,FALSE()),IFERROR(VLOOKUP(C200,$AS$15:$AX$22,6,FALSE()),""))</f>
        <v>0.468190175850689</v>
      </c>
      <c r="H200" s="72" t="str">
        <f aca="false">IFERROR(VLOOKUP(C200,$AS$3:$AY$10,7,FALSE()),IFERROR(VLOOKUP(C200,$AS$15:$AY$22,7,FALSE()),""))</f>
        <v>🟡 AMARELO</v>
      </c>
      <c r="I200" s="72" t="str">
        <f aca="false">IFERROR(VLOOKUP(C200,$AS$3:$AZ$10,8,FALSE()),IFERROR(VLOOKUP(C200,$AS$15:$AZ$22,8,FALSE()),""))</f>
        <v>Sell Out</v>
      </c>
      <c r="J200" s="73"/>
      <c r="K200" s="69" t="s">
        <v>107</v>
      </c>
      <c r="L200" s="74" t="n">
        <v>6086.51</v>
      </c>
      <c r="M200" s="75" t="n">
        <v>427.72</v>
      </c>
      <c r="N200" s="75" t="n">
        <v>446.95</v>
      </c>
      <c r="O200" s="75" t="n">
        <v>457.72</v>
      </c>
      <c r="P200" s="75" t="n">
        <v>469.64</v>
      </c>
      <c r="Q200" s="75" t="n">
        <v>485.03</v>
      </c>
      <c r="R200" s="75" t="n">
        <v>497.72</v>
      </c>
      <c r="S200" s="75" t="n">
        <v>516.95</v>
      </c>
      <c r="T200" s="75" t="n">
        <v>529.65</v>
      </c>
      <c r="U200" s="75" t="n">
        <v>541.57</v>
      </c>
      <c r="V200" s="75" t="n">
        <v>555.03</v>
      </c>
      <c r="W200" s="75" t="n">
        <v>569.65</v>
      </c>
      <c r="X200" s="76" t="n">
        <v>588.88</v>
      </c>
      <c r="Y200" s="77" t="s">
        <v>20</v>
      </c>
      <c r="Z200" s="78" t="n">
        <f aca="false">SUM(AA200:AL200)</f>
        <v>4724.92</v>
      </c>
      <c r="AA200" s="75"/>
      <c r="AB200" s="75"/>
      <c r="AC200" s="75"/>
      <c r="AD200" s="75"/>
      <c r="AE200" s="75"/>
      <c r="AF200" s="75"/>
      <c r="AG200" s="75"/>
      <c r="AH200" s="79" t="n">
        <v>2595.11</v>
      </c>
      <c r="AI200" s="75" t="n">
        <v>2129.81</v>
      </c>
      <c r="AJ200" s="75"/>
      <c r="AK200" s="75"/>
      <c r="AL200" s="76"/>
      <c r="AM200" s="56" t="s">
        <v>20</v>
      </c>
      <c r="AN200" s="80" t="n">
        <f aca="false">IF(L200=0,0,Z200/L200)</f>
        <v>0.776293803838324</v>
      </c>
      <c r="AO200" s="81" t="str">
        <f aca="false">IF(AN200="","",IF(AN200&gt;=0.9,"🟢",IF(AN200&gt;=0.7,"🟡",IF(AN200&gt;=0.5,"🟠","🔴"))))</f>
        <v>🟡</v>
      </c>
      <c r="AP200" s="82" t="n">
        <f aca="false">IF(L200=0,0,L200-Z200)</f>
        <v>1361.59</v>
      </c>
      <c r="AQ200" s="83" t="n">
        <f aca="false">IF(AP200=0,"",RANK(AP200,AP$4:AP$503,0))</f>
        <v>344</v>
      </c>
      <c r="AR200" s="84" t="s">
        <v>20</v>
      </c>
      <c r="AS200" s="141"/>
      <c r="AT200" s="141"/>
      <c r="AU200" s="141"/>
      <c r="AV200" s="141"/>
      <c r="AW200" s="141"/>
      <c r="AX200" s="141"/>
      <c r="AY200" s="142"/>
      <c r="AZ200" s="142"/>
      <c r="BA200" s="56" t="s">
        <v>20</v>
      </c>
      <c r="BB200" s="91" t="n">
        <f aca="false">SUM(L$4:L$503)/COUNTA(A$4:A$503)</f>
        <v>9494.39992</v>
      </c>
      <c r="BC200" s="92" t="n">
        <f aca="false">SUM(M$4:M$503)/COUNTA(A$4:A$503)</f>
        <v>667.20008</v>
      </c>
      <c r="BD200" s="92" t="n">
        <f aca="false">SUM(N$4:N$503)/COUNTA(A$4:A$503)</f>
        <v>697.19996</v>
      </c>
      <c r="BE200" s="92" t="n">
        <f aca="false">SUM(O$4:O$503)/COUNTA(A$4:A$503)</f>
        <v>713.9999</v>
      </c>
      <c r="BF200" s="92" t="n">
        <f aca="false">SUM(P$4:P$503)/COUNTA(A$4:A$503)</f>
        <v>732.59984</v>
      </c>
      <c r="BG200" s="92" t="n">
        <f aca="false">SUM(Q$4:Q$503)/COUNTA(A$4:A$503)</f>
        <v>756.59992</v>
      </c>
      <c r="BH200" s="92" t="n">
        <f aca="false">SUM(R$4:R$503)/COUNTA(A$4:A$503)</f>
        <v>776.40004</v>
      </c>
      <c r="BI200" s="92" t="n">
        <f aca="false">SUM(S$4:S$503)/COUNTA(A$4:A$503)</f>
        <v>806.40012</v>
      </c>
      <c r="BJ200" s="92" t="n">
        <f aca="false">SUM(T$4:T$503)/COUNTA(A$4:A$503)</f>
        <v>826.1999</v>
      </c>
      <c r="BK200" s="92" t="n">
        <f aca="false">SUM(U$4:U$503)/COUNTA(A$4:A$503)</f>
        <v>844.8002</v>
      </c>
      <c r="BL200" s="92" t="n">
        <f aca="false">SUM(V$4:V$503)/COUNTA(A$4:A$503)</f>
        <v>865.7998</v>
      </c>
      <c r="BM200" s="92" t="n">
        <f aca="false">SUM(W$4:W$503)/COUNTA(A$4:A$503)</f>
        <v>888.59982</v>
      </c>
      <c r="BN200" s="93" t="n">
        <f aca="false">SUM(X$4:X$503)/COUNTA(A$4:A$503)</f>
        <v>918.60034</v>
      </c>
      <c r="BO200" s="94" t="s">
        <v>20</v>
      </c>
      <c r="BP200" s="91" t="n">
        <f aca="false">IF(Z200&gt;=BB200,0,IFERROR(BB200+(SUMPRODUCT((Z$4:Z$503&gt;=BB$4:BB$503)*(Z$4:Z$503-BB$4:BB$503))/MAX(1,COUNTIF(Z$4:Z$503,"&lt;"&amp;BB200+0.01))),BB200))</f>
        <v>10695.5432177778</v>
      </c>
      <c r="BQ200" s="92" t="n">
        <f aca="false">IF(AA200&gt;=BC200,0,IFERROR(BC200+SUMPRODUCT((AA$4:AA$503&gt;=BC$4:BC$503)*(AA$4:AA$503-BC$4:BC$503))/MAX(1,COUNTIF(AA$4:AA$503,"&lt;"&amp;BC200+0.01)),BC200))</f>
        <v>2238.46589176471</v>
      </c>
      <c r="BR200" s="92" t="n">
        <f aca="false">IF(AB200&gt;=BD200,0,IFERROR(BD200+SUMPRODUCT((AB$4:AB$503&gt;=BD$4:BD$503)*(AB$4:AB$503-BD$4:BD$503))/MAX(1,COUNTIF(AB$4:AB$503,"&lt;"&amp;BD200+0.01)),BD200))</f>
        <v>3335.2938</v>
      </c>
      <c r="BS200" s="92" t="n">
        <f aca="false">IF(AC200&gt;=BE200,0,IFERROR(BE200+SUMPRODUCT((AC$4:AC$503&gt;=BE$4:BE$503)*(AC$4:AC$503-BE$4:BE$503))/MAX(1,COUNTIF(AC$4:AC$503,"&lt;"&amp;BE200+0.01)),BE200))</f>
        <v>6188.73352</v>
      </c>
      <c r="BT200" s="92" t="n">
        <f aca="false">IF(AD200&gt;=BF200,0,IFERROR(BF200+SUMPRODUCT((AD$4:AD$503&gt;=BF$4:BF$503)*(AD$4:AD$503-BF$4:BF$503))/MAX(1,COUNTIF(AD$4:AD$503,"&lt;"&amp;BF200+0.01)),BF200))</f>
        <v>11354.35411</v>
      </c>
      <c r="BU200" s="92" t="n">
        <f aca="false">IF(AE200&gt;=BG200,0,IFERROR(BG200+SUMPRODUCT((AE$4:AE$503&gt;=BG$4:BG$503)*(AE$4:AE$503-BG$4:BG$503))/MAX(1,COUNTIF(AE$4:AE$503,"&lt;"&amp;BG200+0.01)),BG200))</f>
        <v>7704.85920380952</v>
      </c>
      <c r="BV200" s="92" t="n">
        <f aca="false">IF(AF200&gt;=BH200,0,IFERROR(BH200+SUMPRODUCT((AF$4:AF$503&gt;=BH$4:BH$503)*(AF$4:AF$503-BH$4:BH$503))/MAX(1,COUNTIF(AF$4:AF$503,"&lt;"&amp;BH200+0.01)),BH200))</f>
        <v>9942.6503831579</v>
      </c>
      <c r="BW200" s="92" t="n">
        <f aca="false">IF(AG200&gt;=BI200,0,IFERROR(BI200+SUMPRODUCT((AG$4:AG$503&gt;=BI$4:BI$503)*(AG$4:AG$503-BI$4:BI$503))/MAX(1,COUNTIF(AG$4:AG$503,"&lt;"&amp;BI200+0.01)),BI200))</f>
        <v>9142.15870461538</v>
      </c>
      <c r="BX200" s="92" t="n">
        <f aca="false">IF(AH200&gt;=BJ200,0,IFERROR(BJ200+SUMPRODUCT((AH$4:AH$503&gt;=BJ$4:BJ$503)*(AH$4:AH$503-BJ$4:BJ$503))/MAX(1,COUNTIF(AH$4:AH$503,"&lt;"&amp;BJ200+0.01)),BJ200))</f>
        <v>0</v>
      </c>
      <c r="BY200" s="92" t="n">
        <f aca="false">IF(AI200&gt;=BK200,0,IFERROR(BK200+SUMPRODUCT((AI$4:AI$503&gt;=BK$4:BK$503)*(AI$4:AI$503-BK$4:BK$503))/MAX(1,COUNTIF(AI$4:AI$503,"&lt;"&amp;BK200+0.01)),BK200))</f>
        <v>0</v>
      </c>
      <c r="BZ200" s="92" t="n">
        <f aca="false">IF(AJ200&gt;=BL200,0,IFERROR(BL200+SUMPRODUCT((AJ$4:AJ$503&gt;=BL$4:BL$503)*(AJ$4:AJ$503-BL$4:BL$503))/MAX(1,COUNTIF(AJ$4:AJ$503,"&lt;"&amp;BL200+0.01)),BL200))</f>
        <v>6710.03292307692</v>
      </c>
      <c r="CA200" s="92" t="n">
        <f aca="false">IF(AK200&gt;=BM200,0,IFERROR(BM200+SUMPRODUCT((AK$4:AK$503&gt;=BM$4:BM$503)*(AK$4:AK$503-BM$4:BM$503))/MAX(1,COUNTIF(AK$4:AK$503,"&lt;"&amp;BM200+0.01)),BM200))</f>
        <v>7314.89836842105</v>
      </c>
      <c r="CB200" s="93" t="n">
        <f aca="false">IF(AL200&gt;=BN200,0,IFERROR(BN200+SUMPRODUCT((AL$4:AL$503&gt;=BN$4:BN$503)*(AL$4:AL$503-BN$4:BN$503))/MAX(1,COUNTIF(AL$4:AL$503,"&lt;"&amp;BN200+0.01)),BN200))</f>
        <v>3597.2614925</v>
      </c>
      <c r="CC200" s="95" t="str">
        <f aca="false">IF(AO200="🟢","VERDE",IF(AO200="🟡","AMARELO",IF(AO200="🟠","VERMELHO",IF(AO200="🔴","VERMELHO","ROXO"))))</f>
        <v>AMARELO</v>
      </c>
      <c r="CD200" s="96" t="s">
        <v>103</v>
      </c>
      <c r="CE200" s="96" t="s">
        <v>104</v>
      </c>
    </row>
    <row r="201" customFormat="false" ht="14.25" hidden="false" customHeight="true" outlineLevel="0" collapsed="false">
      <c r="A201" s="65" t="s">
        <v>537</v>
      </c>
      <c r="B201" s="66" t="s">
        <v>538</v>
      </c>
      <c r="C201" s="66" t="s">
        <v>115</v>
      </c>
      <c r="D201" s="68" t="s">
        <v>184</v>
      </c>
      <c r="E201" s="69" t="s">
        <v>114</v>
      </c>
      <c r="F201" s="70" t="n">
        <f aca="false">IFERROR(VLOOKUP(C201,$AS$3:$AT$10,2,FALSE()),IFERROR(VLOOKUP(C201,$AS$15:$AT$22,2,FALSE()),""))</f>
        <v>25</v>
      </c>
      <c r="G201" s="71" t="n">
        <f aca="false">IFERROR(VLOOKUP(C201,$AS$3:$AX$10,6,FALSE()),IFERROR(VLOOKUP(C201,$AS$15:$AX$22,6,FALSE()),""))</f>
        <v>0.536751750851081</v>
      </c>
      <c r="H201" s="72" t="str">
        <f aca="false">IFERROR(VLOOKUP(C201,$AS$3:$AY$10,7,FALSE()),IFERROR(VLOOKUP(C201,$AS$15:$AY$22,7,FALSE()),""))</f>
        <v>🟡 AMARELO</v>
      </c>
      <c r="I201" s="72" t="str">
        <f aca="false">IFERROR(VLOOKUP(C201,$AS$3:$AZ$10,8,FALSE()),IFERROR(VLOOKUP(C201,$AS$15:$AZ$22,8,FALSE()),""))</f>
        <v>Sell Out</v>
      </c>
      <c r="J201" s="73"/>
      <c r="K201" s="69" t="s">
        <v>113</v>
      </c>
      <c r="L201" s="74" t="n">
        <v>5941.31</v>
      </c>
      <c r="M201" s="75" t="n">
        <v>417.51</v>
      </c>
      <c r="N201" s="75" t="n">
        <v>436.29</v>
      </c>
      <c r="O201" s="75" t="n">
        <v>446.8</v>
      </c>
      <c r="P201" s="75" t="n">
        <v>458.44</v>
      </c>
      <c r="Q201" s="75" t="n">
        <v>473.46</v>
      </c>
      <c r="R201" s="75" t="n">
        <v>485.85</v>
      </c>
      <c r="S201" s="75" t="n">
        <v>504.62</v>
      </c>
      <c r="T201" s="75" t="n">
        <v>517.01</v>
      </c>
      <c r="U201" s="75" t="n">
        <v>528.65</v>
      </c>
      <c r="V201" s="75" t="n">
        <v>541.79</v>
      </c>
      <c r="W201" s="75" t="n">
        <v>556.06</v>
      </c>
      <c r="X201" s="76" t="n">
        <v>574.83</v>
      </c>
      <c r="Y201" s="77" t="s">
        <v>20</v>
      </c>
      <c r="Z201" s="78" t="n">
        <f aca="false">SUM(AA201:AL201)</f>
        <v>2389.3</v>
      </c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9" t="n">
        <v>2389.3</v>
      </c>
      <c r="AL201" s="76"/>
      <c r="AM201" s="56" t="s">
        <v>20</v>
      </c>
      <c r="AN201" s="80" t="n">
        <f aca="false">IF(L201=0,0,Z201/L201)</f>
        <v>0.402150367511542</v>
      </c>
      <c r="AO201" s="81" t="str">
        <f aca="false">IF(AN201="","",IF(AN201&gt;=0.9,"🟢",IF(AN201&gt;=0.7,"🟡",IF(AN201&gt;=0.5,"🟠","🔴"))))</f>
        <v>🔴</v>
      </c>
      <c r="AP201" s="82" t="n">
        <f aca="false">IF(L201=0,0,L201-Z201)</f>
        <v>3552.01</v>
      </c>
      <c r="AQ201" s="83" t="n">
        <f aca="false">IF(AP201=0,"",RANK(AP201,AP$4:AP$503,0))</f>
        <v>181</v>
      </c>
      <c r="AR201" s="84" t="s">
        <v>20</v>
      </c>
      <c r="AS201" s="141"/>
      <c r="AT201" s="141"/>
      <c r="AU201" s="141"/>
      <c r="AV201" s="141"/>
      <c r="AW201" s="141"/>
      <c r="AX201" s="141"/>
      <c r="AY201" s="142"/>
      <c r="AZ201" s="142"/>
      <c r="BA201" s="56" t="s">
        <v>20</v>
      </c>
      <c r="BB201" s="91" t="n">
        <f aca="false">SUM(L$4:L$503)/COUNTA(A$4:A$503)</f>
        <v>9494.39992</v>
      </c>
      <c r="BC201" s="92" t="n">
        <f aca="false">SUM(M$4:M$503)/COUNTA(A$4:A$503)</f>
        <v>667.20008</v>
      </c>
      <c r="BD201" s="92" t="n">
        <f aca="false">SUM(N$4:N$503)/COUNTA(A$4:A$503)</f>
        <v>697.19996</v>
      </c>
      <c r="BE201" s="92" t="n">
        <f aca="false">SUM(O$4:O$503)/COUNTA(A$4:A$503)</f>
        <v>713.9999</v>
      </c>
      <c r="BF201" s="92" t="n">
        <f aca="false">SUM(P$4:P$503)/COUNTA(A$4:A$503)</f>
        <v>732.59984</v>
      </c>
      <c r="BG201" s="92" t="n">
        <f aca="false">SUM(Q$4:Q$503)/COUNTA(A$4:A$503)</f>
        <v>756.59992</v>
      </c>
      <c r="BH201" s="92" t="n">
        <f aca="false">SUM(R$4:R$503)/COUNTA(A$4:A$503)</f>
        <v>776.40004</v>
      </c>
      <c r="BI201" s="92" t="n">
        <f aca="false">SUM(S$4:S$503)/COUNTA(A$4:A$503)</f>
        <v>806.40012</v>
      </c>
      <c r="BJ201" s="92" t="n">
        <f aca="false">SUM(T$4:T$503)/COUNTA(A$4:A$503)</f>
        <v>826.1999</v>
      </c>
      <c r="BK201" s="92" t="n">
        <f aca="false">SUM(U$4:U$503)/COUNTA(A$4:A$503)</f>
        <v>844.8002</v>
      </c>
      <c r="BL201" s="92" t="n">
        <f aca="false">SUM(V$4:V$503)/COUNTA(A$4:A$503)</f>
        <v>865.7998</v>
      </c>
      <c r="BM201" s="92" t="n">
        <f aca="false">SUM(W$4:W$503)/COUNTA(A$4:A$503)</f>
        <v>888.59982</v>
      </c>
      <c r="BN201" s="93" t="n">
        <f aca="false">SUM(X$4:X$503)/COUNTA(A$4:A$503)</f>
        <v>918.60034</v>
      </c>
      <c r="BO201" s="94" t="s">
        <v>20</v>
      </c>
      <c r="BP201" s="91" t="n">
        <f aca="false">IF(Z201&gt;=BB201,0,IFERROR(BB201+(SUMPRODUCT((Z$4:Z$503&gt;=BB$4:BB$503)*(Z$4:Z$503-BB$4:BB$503))/MAX(1,COUNTIF(Z$4:Z$503,"&lt;"&amp;BB201+0.01))),BB201))</f>
        <v>10695.5432177778</v>
      </c>
      <c r="BQ201" s="92" t="n">
        <f aca="false">IF(AA201&gt;=BC201,0,IFERROR(BC201+SUMPRODUCT((AA$4:AA$503&gt;=BC$4:BC$503)*(AA$4:AA$503-BC$4:BC$503))/MAX(1,COUNTIF(AA$4:AA$503,"&lt;"&amp;BC201+0.01)),BC201))</f>
        <v>2238.46589176471</v>
      </c>
      <c r="BR201" s="92" t="n">
        <f aca="false">IF(AB201&gt;=BD201,0,IFERROR(BD201+SUMPRODUCT((AB$4:AB$503&gt;=BD$4:BD$503)*(AB$4:AB$503-BD$4:BD$503))/MAX(1,COUNTIF(AB$4:AB$503,"&lt;"&amp;BD201+0.01)),BD201))</f>
        <v>3335.2938</v>
      </c>
      <c r="BS201" s="92" t="n">
        <f aca="false">IF(AC201&gt;=BE201,0,IFERROR(BE201+SUMPRODUCT((AC$4:AC$503&gt;=BE$4:BE$503)*(AC$4:AC$503-BE$4:BE$503))/MAX(1,COUNTIF(AC$4:AC$503,"&lt;"&amp;BE201+0.01)),BE201))</f>
        <v>6188.73352</v>
      </c>
      <c r="BT201" s="92" t="n">
        <f aca="false">IF(AD201&gt;=BF201,0,IFERROR(BF201+SUMPRODUCT((AD$4:AD$503&gt;=BF$4:BF$503)*(AD$4:AD$503-BF$4:BF$503))/MAX(1,COUNTIF(AD$4:AD$503,"&lt;"&amp;BF201+0.01)),BF201))</f>
        <v>11354.35411</v>
      </c>
      <c r="BU201" s="92" t="n">
        <f aca="false">IF(AE201&gt;=BG201,0,IFERROR(BG201+SUMPRODUCT((AE$4:AE$503&gt;=BG$4:BG$503)*(AE$4:AE$503-BG$4:BG$503))/MAX(1,COUNTIF(AE$4:AE$503,"&lt;"&amp;BG201+0.01)),BG201))</f>
        <v>7704.85920380952</v>
      </c>
      <c r="BV201" s="92" t="n">
        <f aca="false">IF(AF201&gt;=BH201,0,IFERROR(BH201+SUMPRODUCT((AF$4:AF$503&gt;=BH$4:BH$503)*(AF$4:AF$503-BH$4:BH$503))/MAX(1,COUNTIF(AF$4:AF$503,"&lt;"&amp;BH201+0.01)),BH201))</f>
        <v>9942.6503831579</v>
      </c>
      <c r="BW201" s="92" t="n">
        <f aca="false">IF(AG201&gt;=BI201,0,IFERROR(BI201+SUMPRODUCT((AG$4:AG$503&gt;=BI$4:BI$503)*(AG$4:AG$503-BI$4:BI$503))/MAX(1,COUNTIF(AG$4:AG$503,"&lt;"&amp;BI201+0.01)),BI201))</f>
        <v>9142.15870461538</v>
      </c>
      <c r="BX201" s="92" t="n">
        <f aca="false">IF(AH201&gt;=BJ201,0,IFERROR(BJ201+SUMPRODUCT((AH$4:AH$503&gt;=BJ$4:BJ$503)*(AH$4:AH$503-BJ$4:BJ$503))/MAX(1,COUNTIF(AH$4:AH$503,"&lt;"&amp;BJ201+0.01)),BJ201))</f>
        <v>5621.50263448276</v>
      </c>
      <c r="BY201" s="92" t="n">
        <f aca="false">IF(AI201&gt;=BK201,0,IFERROR(BK201+SUMPRODUCT((AI$4:AI$503&gt;=BK$4:BK$503)*(AI$4:AI$503-BK$4:BK$503))/MAX(1,COUNTIF(AI$4:AI$503,"&lt;"&amp;BK201+0.01)),BK201))</f>
        <v>7878.25652380952</v>
      </c>
      <c r="BZ201" s="92" t="n">
        <f aca="false">IF(AJ201&gt;=BL201,0,IFERROR(BL201+SUMPRODUCT((AJ$4:AJ$503&gt;=BL$4:BL$503)*(AJ$4:AJ$503-BL$4:BL$503))/MAX(1,COUNTIF(AJ$4:AJ$503,"&lt;"&amp;BL201+0.01)),BL201))</f>
        <v>6710.03292307692</v>
      </c>
      <c r="CA201" s="92" t="n">
        <f aca="false">IF(AK201&gt;=BM201,0,IFERROR(BM201+SUMPRODUCT((AK$4:AK$503&gt;=BM$4:BM$503)*(AK$4:AK$503-BM$4:BM$503))/MAX(1,COUNTIF(AK$4:AK$503,"&lt;"&amp;BM201+0.01)),BM201))</f>
        <v>0</v>
      </c>
      <c r="CB201" s="93" t="n">
        <f aca="false">IF(AL201&gt;=BN201,0,IFERROR(BN201+SUMPRODUCT((AL$4:AL$503&gt;=BN$4:BN$503)*(AL$4:AL$503-BN$4:BN$503))/MAX(1,COUNTIF(AL$4:AL$503,"&lt;"&amp;BN201+0.01)),BN201))</f>
        <v>3597.2614925</v>
      </c>
      <c r="CC201" s="95" t="str">
        <f aca="false">IF(AO201="🟢","VERDE",IF(AO201="🟡","AMARELO",IF(AO201="🟠","VERMELHO",IF(AO201="🔴","VERMELHO","ROXO"))))</f>
        <v>VERMELHO</v>
      </c>
      <c r="CD201" s="96" t="s">
        <v>176</v>
      </c>
      <c r="CE201" s="96" t="s">
        <v>115</v>
      </c>
    </row>
    <row r="202" customFormat="false" ht="14.25" hidden="false" customHeight="true" outlineLevel="0" collapsed="false">
      <c r="A202" s="65" t="s">
        <v>539</v>
      </c>
      <c r="B202" s="66" t="s">
        <v>540</v>
      </c>
      <c r="C202" s="66" t="s">
        <v>66</v>
      </c>
      <c r="D202" s="68" t="s">
        <v>175</v>
      </c>
      <c r="E202" s="69" t="s">
        <v>109</v>
      </c>
      <c r="F202" s="70" t="n">
        <f aca="false">IFERROR(VLOOKUP(C202,$AS$3:$AT$10,2,FALSE()),IFERROR(VLOOKUP(C202,$AS$15:$AT$22,2,FALSE()),""))</f>
        <v>44</v>
      </c>
      <c r="G202" s="71" t="n">
        <f aca="false">IFERROR(VLOOKUP(C202,$AS$3:$AX$10,6,FALSE()),IFERROR(VLOOKUP(C202,$AS$15:$AX$22,6,FALSE()),""))</f>
        <v>0.496839506257363</v>
      </c>
      <c r="H202" s="72" t="str">
        <f aca="false">IFERROR(VLOOKUP(C202,$AS$3:$AY$10,7,FALSE()),IFERROR(VLOOKUP(C202,$AS$15:$AY$22,7,FALSE()),""))</f>
        <v>🟡 AMARELO</v>
      </c>
      <c r="I202" s="72" t="str">
        <f aca="false">IFERROR(VLOOKUP(C202,$AS$3:$AZ$10,8,FALSE()),IFERROR(VLOOKUP(C202,$AS$15:$AZ$22,8,FALSE()),""))</f>
        <v>Sell Out</v>
      </c>
      <c r="J202" s="73"/>
      <c r="K202" s="69" t="s">
        <v>107</v>
      </c>
      <c r="L202" s="74" t="n">
        <v>5934.23</v>
      </c>
      <c r="M202" s="75" t="n">
        <v>417.02</v>
      </c>
      <c r="N202" s="75" t="n">
        <v>435.77</v>
      </c>
      <c r="O202" s="75" t="n">
        <v>446.27</v>
      </c>
      <c r="P202" s="75" t="n">
        <v>457.89</v>
      </c>
      <c r="Q202" s="75" t="n">
        <v>472.89</v>
      </c>
      <c r="R202" s="75" t="n">
        <v>485.27</v>
      </c>
      <c r="S202" s="75" t="n">
        <v>504.02</v>
      </c>
      <c r="T202" s="75" t="n">
        <v>516.39</v>
      </c>
      <c r="U202" s="75" t="n">
        <v>528.02</v>
      </c>
      <c r="V202" s="75" t="n">
        <v>541.14</v>
      </c>
      <c r="W202" s="75" t="n">
        <v>555.4</v>
      </c>
      <c r="X202" s="76" t="n">
        <v>574.15</v>
      </c>
      <c r="Y202" s="77" t="s">
        <v>20</v>
      </c>
      <c r="Z202" s="78" t="n">
        <f aca="false">SUM(AA202:AL202)</f>
        <v>3611.19</v>
      </c>
      <c r="AA202" s="75"/>
      <c r="AB202" s="75"/>
      <c r="AC202" s="75"/>
      <c r="AD202" s="75"/>
      <c r="AE202" s="75"/>
      <c r="AF202" s="75" t="n">
        <v>1218.44</v>
      </c>
      <c r="AG202" s="75"/>
      <c r="AH202" s="75"/>
      <c r="AI202" s="79" t="n">
        <v>1025.66</v>
      </c>
      <c r="AJ202" s="75"/>
      <c r="AK202" s="79" t="n">
        <v>1367.09</v>
      </c>
      <c r="AL202" s="76"/>
      <c r="AM202" s="56" t="s">
        <v>20</v>
      </c>
      <c r="AN202" s="80" t="n">
        <f aca="false">IF(L202=0,0,Z202/L202)</f>
        <v>0.608535564007462</v>
      </c>
      <c r="AO202" s="81" t="str">
        <f aca="false">IF(AN202="","",IF(AN202&gt;=0.9,"🟢",IF(AN202&gt;=0.7,"🟡",IF(AN202&gt;=0.5,"🟠","🔴"))))</f>
        <v>🟠</v>
      </c>
      <c r="AP202" s="82" t="n">
        <f aca="false">IF(L202=0,0,L202-Z202)</f>
        <v>2323.04</v>
      </c>
      <c r="AQ202" s="83" t="n">
        <f aca="false">IF(AP202=0,"",RANK(AP202,AP$4:AP$503,0))</f>
        <v>246</v>
      </c>
      <c r="AR202" s="84" t="s">
        <v>20</v>
      </c>
      <c r="AS202" s="141"/>
      <c r="AT202" s="141"/>
      <c r="AU202" s="141"/>
      <c r="AV202" s="141"/>
      <c r="AW202" s="141"/>
      <c r="AX202" s="141"/>
      <c r="AY202" s="142"/>
      <c r="AZ202" s="142"/>
      <c r="BA202" s="56" t="s">
        <v>20</v>
      </c>
      <c r="BB202" s="91" t="n">
        <f aca="false">SUM(L$4:L$503)/COUNTA(A$4:A$503)</f>
        <v>9494.39992</v>
      </c>
      <c r="BC202" s="92" t="n">
        <f aca="false">SUM(M$4:M$503)/COUNTA(A$4:A$503)</f>
        <v>667.20008</v>
      </c>
      <c r="BD202" s="92" t="n">
        <f aca="false">SUM(N$4:N$503)/COUNTA(A$4:A$503)</f>
        <v>697.19996</v>
      </c>
      <c r="BE202" s="92" t="n">
        <f aca="false">SUM(O$4:O$503)/COUNTA(A$4:A$503)</f>
        <v>713.9999</v>
      </c>
      <c r="BF202" s="92" t="n">
        <f aca="false">SUM(P$4:P$503)/COUNTA(A$4:A$503)</f>
        <v>732.59984</v>
      </c>
      <c r="BG202" s="92" t="n">
        <f aca="false">SUM(Q$4:Q$503)/COUNTA(A$4:A$503)</f>
        <v>756.59992</v>
      </c>
      <c r="BH202" s="92" t="n">
        <f aca="false">SUM(R$4:R$503)/COUNTA(A$4:A$503)</f>
        <v>776.40004</v>
      </c>
      <c r="BI202" s="92" t="n">
        <f aca="false">SUM(S$4:S$503)/COUNTA(A$4:A$503)</f>
        <v>806.40012</v>
      </c>
      <c r="BJ202" s="92" t="n">
        <f aca="false">SUM(T$4:T$503)/COUNTA(A$4:A$503)</f>
        <v>826.1999</v>
      </c>
      <c r="BK202" s="92" t="n">
        <f aca="false">SUM(U$4:U$503)/COUNTA(A$4:A$503)</f>
        <v>844.8002</v>
      </c>
      <c r="BL202" s="92" t="n">
        <f aca="false">SUM(V$4:V$503)/COUNTA(A$4:A$503)</f>
        <v>865.7998</v>
      </c>
      <c r="BM202" s="92" t="n">
        <f aca="false">SUM(W$4:W$503)/COUNTA(A$4:A$503)</f>
        <v>888.59982</v>
      </c>
      <c r="BN202" s="93" t="n">
        <f aca="false">SUM(X$4:X$503)/COUNTA(A$4:A$503)</f>
        <v>918.60034</v>
      </c>
      <c r="BO202" s="94" t="s">
        <v>20</v>
      </c>
      <c r="BP202" s="91" t="n">
        <f aca="false">IF(Z202&gt;=BB202,0,IFERROR(BB202+(SUMPRODUCT((Z$4:Z$503&gt;=BB$4:BB$503)*(Z$4:Z$503-BB$4:BB$503))/MAX(1,COUNTIF(Z$4:Z$503,"&lt;"&amp;BB202+0.01))),BB202))</f>
        <v>10695.5432177778</v>
      </c>
      <c r="BQ202" s="92" t="n">
        <f aca="false">IF(AA202&gt;=BC202,0,IFERROR(BC202+SUMPRODUCT((AA$4:AA$503&gt;=BC$4:BC$503)*(AA$4:AA$503-BC$4:BC$503))/MAX(1,COUNTIF(AA$4:AA$503,"&lt;"&amp;BC202+0.01)),BC202))</f>
        <v>2238.46589176471</v>
      </c>
      <c r="BR202" s="92" t="n">
        <f aca="false">IF(AB202&gt;=BD202,0,IFERROR(BD202+SUMPRODUCT((AB$4:AB$503&gt;=BD$4:BD$503)*(AB$4:AB$503-BD$4:BD$503))/MAX(1,COUNTIF(AB$4:AB$503,"&lt;"&amp;BD202+0.01)),BD202))</f>
        <v>3335.2938</v>
      </c>
      <c r="BS202" s="92" t="n">
        <f aca="false">IF(AC202&gt;=BE202,0,IFERROR(BE202+SUMPRODUCT((AC$4:AC$503&gt;=BE$4:BE$503)*(AC$4:AC$503-BE$4:BE$503))/MAX(1,COUNTIF(AC$4:AC$503,"&lt;"&amp;BE202+0.01)),BE202))</f>
        <v>6188.73352</v>
      </c>
      <c r="BT202" s="92" t="n">
        <f aca="false">IF(AD202&gt;=BF202,0,IFERROR(BF202+SUMPRODUCT((AD$4:AD$503&gt;=BF$4:BF$503)*(AD$4:AD$503-BF$4:BF$503))/MAX(1,COUNTIF(AD$4:AD$503,"&lt;"&amp;BF202+0.01)),BF202))</f>
        <v>11354.35411</v>
      </c>
      <c r="BU202" s="92" t="n">
        <f aca="false">IF(AE202&gt;=BG202,0,IFERROR(BG202+SUMPRODUCT((AE$4:AE$503&gt;=BG$4:BG$503)*(AE$4:AE$503-BG$4:BG$503))/MAX(1,COUNTIF(AE$4:AE$503,"&lt;"&amp;BG202+0.01)),BG202))</f>
        <v>7704.85920380952</v>
      </c>
      <c r="BV202" s="92" t="n">
        <f aca="false">IF(AF202&gt;=BH202,0,IFERROR(BH202+SUMPRODUCT((AF$4:AF$503&gt;=BH$4:BH$503)*(AF$4:AF$503-BH$4:BH$503))/MAX(1,COUNTIF(AF$4:AF$503,"&lt;"&amp;BH202+0.01)),BH202))</f>
        <v>0</v>
      </c>
      <c r="BW202" s="92" t="n">
        <f aca="false">IF(AG202&gt;=BI202,0,IFERROR(BI202+SUMPRODUCT((AG$4:AG$503&gt;=BI$4:BI$503)*(AG$4:AG$503-BI$4:BI$503))/MAX(1,COUNTIF(AG$4:AG$503,"&lt;"&amp;BI202+0.01)),BI202))</f>
        <v>9142.15870461538</v>
      </c>
      <c r="BX202" s="92" t="n">
        <f aca="false">IF(AH202&gt;=BJ202,0,IFERROR(BJ202+SUMPRODUCT((AH$4:AH$503&gt;=BJ$4:BJ$503)*(AH$4:AH$503-BJ$4:BJ$503))/MAX(1,COUNTIF(AH$4:AH$503,"&lt;"&amp;BJ202+0.01)),BJ202))</f>
        <v>5621.50263448276</v>
      </c>
      <c r="BY202" s="92" t="n">
        <f aca="false">IF(AI202&gt;=BK202,0,IFERROR(BK202+SUMPRODUCT((AI$4:AI$503&gt;=BK$4:BK$503)*(AI$4:AI$503-BK$4:BK$503))/MAX(1,COUNTIF(AI$4:AI$503,"&lt;"&amp;BK202+0.01)),BK202))</f>
        <v>0</v>
      </c>
      <c r="BZ202" s="92" t="n">
        <f aca="false">IF(AJ202&gt;=BL202,0,IFERROR(BL202+SUMPRODUCT((AJ$4:AJ$503&gt;=BL$4:BL$503)*(AJ$4:AJ$503-BL$4:BL$503))/MAX(1,COUNTIF(AJ$4:AJ$503,"&lt;"&amp;BL202+0.01)),BL202))</f>
        <v>6710.03292307692</v>
      </c>
      <c r="CA202" s="92" t="n">
        <f aca="false">IF(AK202&gt;=BM202,0,IFERROR(BM202+SUMPRODUCT((AK$4:AK$503&gt;=BM$4:BM$503)*(AK$4:AK$503-BM$4:BM$503))/MAX(1,COUNTIF(AK$4:AK$503,"&lt;"&amp;BM202+0.01)),BM202))</f>
        <v>0</v>
      </c>
      <c r="CB202" s="93" t="n">
        <f aca="false">IF(AL202&gt;=BN202,0,IFERROR(BN202+SUMPRODUCT((AL$4:AL$503&gt;=BN$4:BN$503)*(AL$4:AL$503-BN$4:BN$503))/MAX(1,COUNTIF(AL$4:AL$503,"&lt;"&amp;BN202+0.01)),BN202))</f>
        <v>3597.2614925</v>
      </c>
      <c r="CC202" s="95" t="str">
        <f aca="false">IF(AO202="🟢","VERDE",IF(AO202="🟡","AMARELO",IF(AO202="🟠","VERMELHO",IF(AO202="🔴","VERMELHO","ROXO"))))</f>
        <v>VERMELHO</v>
      </c>
      <c r="CD202" s="96" t="s">
        <v>176</v>
      </c>
      <c r="CE202" s="96" t="s">
        <v>66</v>
      </c>
    </row>
    <row r="203" customFormat="false" ht="14.25" hidden="false" customHeight="true" outlineLevel="0" collapsed="false">
      <c r="A203" s="65" t="s">
        <v>541</v>
      </c>
      <c r="B203" s="66" t="s">
        <v>542</v>
      </c>
      <c r="C203" s="67" t="s">
        <v>158</v>
      </c>
      <c r="D203" s="68" t="s">
        <v>100</v>
      </c>
      <c r="E203" s="69" t="s">
        <v>243</v>
      </c>
      <c r="F203" s="70" t="n">
        <f aca="false">IFERROR(VLOOKUP(C203,$AS$3:$AT$10,2,FALSE()),IFERROR(VLOOKUP(C203,$AS$15:$AT$22,2,FALSE()),""))</f>
        <v>29</v>
      </c>
      <c r="G203" s="71" t="n">
        <f aca="false">IFERROR(VLOOKUP(C203,$AS$3:$AX$10,6,FALSE()),IFERROR(VLOOKUP(C203,$AS$15:$AX$22,6,FALSE()),""))</f>
        <v>0.458564072601712</v>
      </c>
      <c r="H203" s="72" t="str">
        <f aca="false">IFERROR(VLOOKUP(C203,$AS$3:$AY$10,7,FALSE()),IFERROR(VLOOKUP(C203,$AS$15:$AY$22,7,FALSE()),""))</f>
        <v>🟡 AMARELO</v>
      </c>
      <c r="I203" s="72" t="str">
        <f aca="false">IFERROR(VLOOKUP(C203,$AS$3:$AZ$10,8,FALSE()),IFERROR(VLOOKUP(C203,$AS$15:$AZ$22,8,FALSE()),""))</f>
        <v>Sell Out</v>
      </c>
      <c r="J203" s="73"/>
      <c r="K203" s="69" t="s">
        <v>158</v>
      </c>
      <c r="L203" s="74" t="n">
        <v>5886.1</v>
      </c>
      <c r="M203" s="75" t="n">
        <v>413.63</v>
      </c>
      <c r="N203" s="75" t="n">
        <v>432.23</v>
      </c>
      <c r="O203" s="75" t="n">
        <v>442.65</v>
      </c>
      <c r="P203" s="75" t="n">
        <v>454.18</v>
      </c>
      <c r="Q203" s="75" t="n">
        <v>469.06</v>
      </c>
      <c r="R203" s="75" t="n">
        <v>481.33</v>
      </c>
      <c r="S203" s="75" t="n">
        <v>499.93</v>
      </c>
      <c r="T203" s="75" t="n">
        <v>512.21</v>
      </c>
      <c r="U203" s="75" t="n">
        <v>523.74</v>
      </c>
      <c r="V203" s="75" t="n">
        <v>536.76</v>
      </c>
      <c r="W203" s="75" t="n">
        <v>550.89</v>
      </c>
      <c r="X203" s="76" t="n">
        <v>569.49</v>
      </c>
      <c r="Y203" s="77" t="s">
        <v>20</v>
      </c>
      <c r="Z203" s="78" t="n">
        <f aca="false">SUM(AA203:AL203)</f>
        <v>2462.94</v>
      </c>
      <c r="AA203" s="75"/>
      <c r="AB203" s="75"/>
      <c r="AC203" s="75"/>
      <c r="AD203" s="75"/>
      <c r="AE203" s="75"/>
      <c r="AF203" s="75"/>
      <c r="AG203" s="75"/>
      <c r="AH203" s="75"/>
      <c r="AI203" s="79" t="n">
        <v>1432.52</v>
      </c>
      <c r="AJ203" s="79" t="n">
        <v>1030.42</v>
      </c>
      <c r="AK203" s="75"/>
      <c r="AL203" s="76"/>
      <c r="AM203" s="56" t="s">
        <v>20</v>
      </c>
      <c r="AN203" s="80" t="n">
        <f aca="false">IF(L203=0,0,Z203/L203)</f>
        <v>0.418433258014645</v>
      </c>
      <c r="AO203" s="81" t="str">
        <f aca="false">IF(AN203="","",IF(AN203&gt;=0.9,"🟢",IF(AN203&gt;=0.7,"🟡",IF(AN203&gt;=0.5,"🟠","🔴"))))</f>
        <v>🔴</v>
      </c>
      <c r="AP203" s="82" t="n">
        <f aca="false">IF(L203=0,0,L203-Z203)</f>
        <v>3423.16</v>
      </c>
      <c r="AQ203" s="83" t="n">
        <f aca="false">IF(AP203=0,"",RANK(AP203,AP$4:AP$503,0))</f>
        <v>190</v>
      </c>
      <c r="AR203" s="84" t="s">
        <v>20</v>
      </c>
      <c r="AS203" s="141"/>
      <c r="AT203" s="141"/>
      <c r="AU203" s="141"/>
      <c r="AV203" s="141"/>
      <c r="AW203" s="141"/>
      <c r="AX203" s="141"/>
      <c r="AY203" s="142"/>
      <c r="AZ203" s="142"/>
      <c r="BA203" s="56" t="s">
        <v>20</v>
      </c>
      <c r="BB203" s="91" t="n">
        <f aca="false">SUM(L$4:L$503)/COUNTA(A$4:A$503)</f>
        <v>9494.39992</v>
      </c>
      <c r="BC203" s="92" t="n">
        <f aca="false">SUM(M$4:M$503)/COUNTA(A$4:A$503)</f>
        <v>667.20008</v>
      </c>
      <c r="BD203" s="92" t="n">
        <f aca="false">SUM(N$4:N$503)/COUNTA(A$4:A$503)</f>
        <v>697.19996</v>
      </c>
      <c r="BE203" s="92" t="n">
        <f aca="false">SUM(O$4:O$503)/COUNTA(A$4:A$503)</f>
        <v>713.9999</v>
      </c>
      <c r="BF203" s="92" t="n">
        <f aca="false">SUM(P$4:P$503)/COUNTA(A$4:A$503)</f>
        <v>732.59984</v>
      </c>
      <c r="BG203" s="92" t="n">
        <f aca="false">SUM(Q$4:Q$503)/COUNTA(A$4:A$503)</f>
        <v>756.59992</v>
      </c>
      <c r="BH203" s="92" t="n">
        <f aca="false">SUM(R$4:R$503)/COUNTA(A$4:A$503)</f>
        <v>776.40004</v>
      </c>
      <c r="BI203" s="92" t="n">
        <f aca="false">SUM(S$4:S$503)/COUNTA(A$4:A$503)</f>
        <v>806.40012</v>
      </c>
      <c r="BJ203" s="92" t="n">
        <f aca="false">SUM(T$4:T$503)/COUNTA(A$4:A$503)</f>
        <v>826.1999</v>
      </c>
      <c r="BK203" s="92" t="n">
        <f aca="false">SUM(U$4:U$503)/COUNTA(A$4:A$503)</f>
        <v>844.8002</v>
      </c>
      <c r="BL203" s="92" t="n">
        <f aca="false">SUM(V$4:V$503)/COUNTA(A$4:A$503)</f>
        <v>865.7998</v>
      </c>
      <c r="BM203" s="92" t="n">
        <f aca="false">SUM(W$4:W$503)/COUNTA(A$4:A$503)</f>
        <v>888.59982</v>
      </c>
      <c r="BN203" s="93" t="n">
        <f aca="false">SUM(X$4:X$503)/COUNTA(A$4:A$503)</f>
        <v>918.60034</v>
      </c>
      <c r="BO203" s="94" t="s">
        <v>20</v>
      </c>
      <c r="BP203" s="91" t="n">
        <f aca="false">IF(Z203&gt;=BB203,0,IFERROR(BB203+(SUMPRODUCT((Z$4:Z$503&gt;=BB$4:BB$503)*(Z$4:Z$503-BB$4:BB$503))/MAX(1,COUNTIF(Z$4:Z$503,"&lt;"&amp;BB203+0.01))),BB203))</f>
        <v>10695.5432177778</v>
      </c>
      <c r="BQ203" s="92" t="n">
        <f aca="false">IF(AA203&gt;=BC203,0,IFERROR(BC203+SUMPRODUCT((AA$4:AA$503&gt;=BC$4:BC$503)*(AA$4:AA$503-BC$4:BC$503))/MAX(1,COUNTIF(AA$4:AA$503,"&lt;"&amp;BC203+0.01)),BC203))</f>
        <v>2238.46589176471</v>
      </c>
      <c r="BR203" s="92" t="n">
        <f aca="false">IF(AB203&gt;=BD203,0,IFERROR(BD203+SUMPRODUCT((AB$4:AB$503&gt;=BD$4:BD$503)*(AB$4:AB$503-BD$4:BD$503))/MAX(1,COUNTIF(AB$4:AB$503,"&lt;"&amp;BD203+0.01)),BD203))</f>
        <v>3335.2938</v>
      </c>
      <c r="BS203" s="92" t="n">
        <f aca="false">IF(AC203&gt;=BE203,0,IFERROR(BE203+SUMPRODUCT((AC$4:AC$503&gt;=BE$4:BE$503)*(AC$4:AC$503-BE$4:BE$503))/MAX(1,COUNTIF(AC$4:AC$503,"&lt;"&amp;BE203+0.01)),BE203))</f>
        <v>6188.73352</v>
      </c>
      <c r="BT203" s="92" t="n">
        <f aca="false">IF(AD203&gt;=BF203,0,IFERROR(BF203+SUMPRODUCT((AD$4:AD$503&gt;=BF$4:BF$503)*(AD$4:AD$503-BF$4:BF$503))/MAX(1,COUNTIF(AD$4:AD$503,"&lt;"&amp;BF203+0.01)),BF203))</f>
        <v>11354.35411</v>
      </c>
      <c r="BU203" s="92" t="n">
        <f aca="false">IF(AE203&gt;=BG203,0,IFERROR(BG203+SUMPRODUCT((AE$4:AE$503&gt;=BG$4:BG$503)*(AE$4:AE$503-BG$4:BG$503))/MAX(1,COUNTIF(AE$4:AE$503,"&lt;"&amp;BG203+0.01)),BG203))</f>
        <v>7704.85920380952</v>
      </c>
      <c r="BV203" s="92" t="n">
        <f aca="false">IF(AF203&gt;=BH203,0,IFERROR(BH203+SUMPRODUCT((AF$4:AF$503&gt;=BH$4:BH$503)*(AF$4:AF$503-BH$4:BH$503))/MAX(1,COUNTIF(AF$4:AF$503,"&lt;"&amp;BH203+0.01)),BH203))</f>
        <v>9942.6503831579</v>
      </c>
      <c r="BW203" s="92" t="n">
        <f aca="false">IF(AG203&gt;=BI203,0,IFERROR(BI203+SUMPRODUCT((AG$4:AG$503&gt;=BI$4:BI$503)*(AG$4:AG$503-BI$4:BI$503))/MAX(1,COUNTIF(AG$4:AG$503,"&lt;"&amp;BI203+0.01)),BI203))</f>
        <v>9142.15870461538</v>
      </c>
      <c r="BX203" s="92" t="n">
        <f aca="false">IF(AH203&gt;=BJ203,0,IFERROR(BJ203+SUMPRODUCT((AH$4:AH$503&gt;=BJ$4:BJ$503)*(AH$4:AH$503-BJ$4:BJ$503))/MAX(1,COUNTIF(AH$4:AH$503,"&lt;"&amp;BJ203+0.01)),BJ203))</f>
        <v>5621.50263448276</v>
      </c>
      <c r="BY203" s="92" t="n">
        <f aca="false">IF(AI203&gt;=BK203,0,IFERROR(BK203+SUMPRODUCT((AI$4:AI$503&gt;=BK$4:BK$503)*(AI$4:AI$503-BK$4:BK$503))/MAX(1,COUNTIF(AI$4:AI$503,"&lt;"&amp;BK203+0.01)),BK203))</f>
        <v>0</v>
      </c>
      <c r="BZ203" s="92" t="n">
        <f aca="false">IF(AJ203&gt;=BL203,0,IFERROR(BL203+SUMPRODUCT((AJ$4:AJ$503&gt;=BL$4:BL$503)*(AJ$4:AJ$503-BL$4:BL$503))/MAX(1,COUNTIF(AJ$4:AJ$503,"&lt;"&amp;BL203+0.01)),BL203))</f>
        <v>0</v>
      </c>
      <c r="CA203" s="92" t="n">
        <f aca="false">IF(AK203&gt;=BM203,0,IFERROR(BM203+SUMPRODUCT((AK$4:AK$503&gt;=BM$4:BM$503)*(AK$4:AK$503-BM$4:BM$503))/MAX(1,COUNTIF(AK$4:AK$503,"&lt;"&amp;BM203+0.01)),BM203))</f>
        <v>7314.89836842105</v>
      </c>
      <c r="CB203" s="93" t="n">
        <f aca="false">IF(AL203&gt;=BN203,0,IFERROR(BN203+SUMPRODUCT((AL$4:AL$503&gt;=BN$4:BN$503)*(AL$4:AL$503-BN$4:BN$503))/MAX(1,COUNTIF(AL$4:AL$503,"&lt;"&amp;BN203+0.01)),BN203))</f>
        <v>3597.2614925</v>
      </c>
      <c r="CC203" s="95" t="str">
        <f aca="false">IF(AO203="🟢","VERDE",IF(AO203="🟡","AMARELO",IF(AO203="🟠","VERMELHO",IF(AO203="🔴","VERMELHO","ROXO"))))</f>
        <v>VERMELHO</v>
      </c>
      <c r="CD203" s="96" t="s">
        <v>103</v>
      </c>
      <c r="CE203" s="96" t="s">
        <v>104</v>
      </c>
    </row>
    <row r="204" customFormat="false" ht="14.25" hidden="false" customHeight="true" outlineLevel="0" collapsed="false">
      <c r="A204" s="65" t="s">
        <v>543</v>
      </c>
      <c r="B204" s="66" t="s">
        <v>544</v>
      </c>
      <c r="C204" s="67" t="s">
        <v>107</v>
      </c>
      <c r="D204" s="68" t="s">
        <v>108</v>
      </c>
      <c r="E204" s="69" t="s">
        <v>139</v>
      </c>
      <c r="F204" s="70" t="n">
        <f aca="false">IFERROR(VLOOKUP(C204,$AS$3:$AT$10,2,FALSE()),IFERROR(VLOOKUP(C204,$AS$15:$AT$22,2,FALSE()),""))</f>
        <v>132</v>
      </c>
      <c r="G204" s="71" t="n">
        <f aca="false">IFERROR(VLOOKUP(C204,$AS$3:$AX$10,6,FALSE()),IFERROR(VLOOKUP(C204,$AS$15:$AX$22,6,FALSE()),""))</f>
        <v>0.468190175850689</v>
      </c>
      <c r="H204" s="72" t="str">
        <f aca="false">IFERROR(VLOOKUP(C204,$AS$3:$AY$10,7,FALSE()),IFERROR(VLOOKUP(C204,$AS$15:$AY$22,7,FALSE()),""))</f>
        <v>🟡 AMARELO</v>
      </c>
      <c r="I204" s="72" t="str">
        <f aca="false">IFERROR(VLOOKUP(C204,$AS$3:$AZ$10,8,FALSE()),IFERROR(VLOOKUP(C204,$AS$15:$AZ$22,8,FALSE()),""))</f>
        <v>Sell Out</v>
      </c>
      <c r="J204" s="73"/>
      <c r="K204" s="69" t="s">
        <v>107</v>
      </c>
      <c r="L204" s="74" t="n">
        <v>5875.53</v>
      </c>
      <c r="M204" s="75" t="n">
        <v>412.89</v>
      </c>
      <c r="N204" s="75" t="n">
        <v>431.46</v>
      </c>
      <c r="O204" s="75" t="n">
        <v>441.85</v>
      </c>
      <c r="P204" s="75" t="n">
        <v>453.36</v>
      </c>
      <c r="Q204" s="75" t="n">
        <v>468.22</v>
      </c>
      <c r="R204" s="75" t="n">
        <v>480.47</v>
      </c>
      <c r="S204" s="75" t="n">
        <v>499.03</v>
      </c>
      <c r="T204" s="75" t="n">
        <v>511.29</v>
      </c>
      <c r="U204" s="75" t="n">
        <v>522.8</v>
      </c>
      <c r="V204" s="75" t="n">
        <v>535.79</v>
      </c>
      <c r="W204" s="75" t="n">
        <v>549.9</v>
      </c>
      <c r="X204" s="76" t="n">
        <v>568.47</v>
      </c>
      <c r="Y204" s="77" t="s">
        <v>20</v>
      </c>
      <c r="Z204" s="78" t="n">
        <f aca="false">SUM(AA204:AL204)</f>
        <v>2488.63</v>
      </c>
      <c r="AA204" s="75"/>
      <c r="AB204" s="75"/>
      <c r="AC204" s="75"/>
      <c r="AD204" s="75"/>
      <c r="AE204" s="75"/>
      <c r="AF204" s="75"/>
      <c r="AG204" s="75"/>
      <c r="AH204" s="79" t="n">
        <v>2488.63</v>
      </c>
      <c r="AI204" s="75"/>
      <c r="AJ204" s="75"/>
      <c r="AK204" s="75"/>
      <c r="AL204" s="76"/>
      <c r="AM204" s="56" t="s">
        <v>20</v>
      </c>
      <c r="AN204" s="80" t="n">
        <f aca="false">IF(L204=0,0,Z204/L204)</f>
        <v>0.423558385371192</v>
      </c>
      <c r="AO204" s="81" t="str">
        <f aca="false">IF(AN204="","",IF(AN204&gt;=0.9,"🟢",IF(AN204&gt;=0.7,"🟡",IF(AN204&gt;=0.5,"🟠","🔴"))))</f>
        <v>🔴</v>
      </c>
      <c r="AP204" s="82" t="n">
        <f aca="false">IF(L204=0,0,L204-Z204)</f>
        <v>3386.9</v>
      </c>
      <c r="AQ204" s="83" t="n">
        <f aca="false">IF(AP204=0,"",RANK(AP204,AP$4:AP$503,0))</f>
        <v>191</v>
      </c>
      <c r="AR204" s="84" t="s">
        <v>20</v>
      </c>
      <c r="AS204" s="141"/>
      <c r="AT204" s="141"/>
      <c r="AU204" s="141"/>
      <c r="AV204" s="141"/>
      <c r="AW204" s="141"/>
      <c r="AX204" s="141"/>
      <c r="AY204" s="142"/>
      <c r="AZ204" s="142"/>
      <c r="BA204" s="56" t="s">
        <v>20</v>
      </c>
      <c r="BB204" s="91" t="n">
        <f aca="false">SUM(L$4:L$503)/COUNTA(A$4:A$503)</f>
        <v>9494.39992</v>
      </c>
      <c r="BC204" s="92" t="n">
        <f aca="false">SUM(M$4:M$503)/COUNTA(A$4:A$503)</f>
        <v>667.20008</v>
      </c>
      <c r="BD204" s="92" t="n">
        <f aca="false">SUM(N$4:N$503)/COUNTA(A$4:A$503)</f>
        <v>697.19996</v>
      </c>
      <c r="BE204" s="92" t="n">
        <f aca="false">SUM(O$4:O$503)/COUNTA(A$4:A$503)</f>
        <v>713.9999</v>
      </c>
      <c r="BF204" s="92" t="n">
        <f aca="false">SUM(P$4:P$503)/COUNTA(A$4:A$503)</f>
        <v>732.59984</v>
      </c>
      <c r="BG204" s="92" t="n">
        <f aca="false">SUM(Q$4:Q$503)/COUNTA(A$4:A$503)</f>
        <v>756.59992</v>
      </c>
      <c r="BH204" s="92" t="n">
        <f aca="false">SUM(R$4:R$503)/COUNTA(A$4:A$503)</f>
        <v>776.40004</v>
      </c>
      <c r="BI204" s="92" t="n">
        <f aca="false">SUM(S$4:S$503)/COUNTA(A$4:A$503)</f>
        <v>806.40012</v>
      </c>
      <c r="BJ204" s="92" t="n">
        <f aca="false">SUM(T$4:T$503)/COUNTA(A$4:A$503)</f>
        <v>826.1999</v>
      </c>
      <c r="BK204" s="92" t="n">
        <f aca="false">SUM(U$4:U$503)/COUNTA(A$4:A$503)</f>
        <v>844.8002</v>
      </c>
      <c r="BL204" s="92" t="n">
        <f aca="false">SUM(V$4:V$503)/COUNTA(A$4:A$503)</f>
        <v>865.7998</v>
      </c>
      <c r="BM204" s="92" t="n">
        <f aca="false">SUM(W$4:W$503)/COUNTA(A$4:A$503)</f>
        <v>888.59982</v>
      </c>
      <c r="BN204" s="93" t="n">
        <f aca="false">SUM(X$4:X$503)/COUNTA(A$4:A$503)</f>
        <v>918.60034</v>
      </c>
      <c r="BO204" s="94" t="s">
        <v>20</v>
      </c>
      <c r="BP204" s="91" t="n">
        <f aca="false">IF(Z204&gt;=BB204,0,IFERROR(BB204+(SUMPRODUCT((Z$4:Z$503&gt;=BB$4:BB$503)*(Z$4:Z$503-BB$4:BB$503))/MAX(1,COUNTIF(Z$4:Z$503,"&lt;"&amp;BB204+0.01))),BB204))</f>
        <v>10695.5432177778</v>
      </c>
      <c r="BQ204" s="92" t="n">
        <f aca="false">IF(AA204&gt;=BC204,0,IFERROR(BC204+SUMPRODUCT((AA$4:AA$503&gt;=BC$4:BC$503)*(AA$4:AA$503-BC$4:BC$503))/MAX(1,COUNTIF(AA$4:AA$503,"&lt;"&amp;BC204+0.01)),BC204))</f>
        <v>2238.46589176471</v>
      </c>
      <c r="BR204" s="92" t="n">
        <f aca="false">IF(AB204&gt;=BD204,0,IFERROR(BD204+SUMPRODUCT((AB$4:AB$503&gt;=BD$4:BD$503)*(AB$4:AB$503-BD$4:BD$503))/MAX(1,COUNTIF(AB$4:AB$503,"&lt;"&amp;BD204+0.01)),BD204))</f>
        <v>3335.2938</v>
      </c>
      <c r="BS204" s="92" t="n">
        <f aca="false">IF(AC204&gt;=BE204,0,IFERROR(BE204+SUMPRODUCT((AC$4:AC$503&gt;=BE$4:BE$503)*(AC$4:AC$503-BE$4:BE$503))/MAX(1,COUNTIF(AC$4:AC$503,"&lt;"&amp;BE204+0.01)),BE204))</f>
        <v>6188.73352</v>
      </c>
      <c r="BT204" s="92" t="n">
        <f aca="false">IF(AD204&gt;=BF204,0,IFERROR(BF204+SUMPRODUCT((AD$4:AD$503&gt;=BF$4:BF$503)*(AD$4:AD$503-BF$4:BF$503))/MAX(1,COUNTIF(AD$4:AD$503,"&lt;"&amp;BF204+0.01)),BF204))</f>
        <v>11354.35411</v>
      </c>
      <c r="BU204" s="92" t="n">
        <f aca="false">IF(AE204&gt;=BG204,0,IFERROR(BG204+SUMPRODUCT((AE$4:AE$503&gt;=BG$4:BG$503)*(AE$4:AE$503-BG$4:BG$503))/MAX(1,COUNTIF(AE$4:AE$503,"&lt;"&amp;BG204+0.01)),BG204))</f>
        <v>7704.85920380952</v>
      </c>
      <c r="BV204" s="92" t="n">
        <f aca="false">IF(AF204&gt;=BH204,0,IFERROR(BH204+SUMPRODUCT((AF$4:AF$503&gt;=BH$4:BH$503)*(AF$4:AF$503-BH$4:BH$503))/MAX(1,COUNTIF(AF$4:AF$503,"&lt;"&amp;BH204+0.01)),BH204))</f>
        <v>9942.6503831579</v>
      </c>
      <c r="BW204" s="92" t="n">
        <f aca="false">IF(AG204&gt;=BI204,0,IFERROR(BI204+SUMPRODUCT((AG$4:AG$503&gt;=BI$4:BI$503)*(AG$4:AG$503-BI$4:BI$503))/MAX(1,COUNTIF(AG$4:AG$503,"&lt;"&amp;BI204+0.01)),BI204))</f>
        <v>9142.15870461538</v>
      </c>
      <c r="BX204" s="92" t="n">
        <f aca="false">IF(AH204&gt;=BJ204,0,IFERROR(BJ204+SUMPRODUCT((AH$4:AH$503&gt;=BJ$4:BJ$503)*(AH$4:AH$503-BJ$4:BJ$503))/MAX(1,COUNTIF(AH$4:AH$503,"&lt;"&amp;BJ204+0.01)),BJ204))</f>
        <v>0</v>
      </c>
      <c r="BY204" s="92" t="n">
        <f aca="false">IF(AI204&gt;=BK204,0,IFERROR(BK204+SUMPRODUCT((AI$4:AI$503&gt;=BK$4:BK$503)*(AI$4:AI$503-BK$4:BK$503))/MAX(1,COUNTIF(AI$4:AI$503,"&lt;"&amp;BK204+0.01)),BK204))</f>
        <v>7878.25652380952</v>
      </c>
      <c r="BZ204" s="92" t="n">
        <f aca="false">IF(AJ204&gt;=BL204,0,IFERROR(BL204+SUMPRODUCT((AJ$4:AJ$503&gt;=BL$4:BL$503)*(AJ$4:AJ$503-BL$4:BL$503))/MAX(1,COUNTIF(AJ$4:AJ$503,"&lt;"&amp;BL204+0.01)),BL204))</f>
        <v>6710.03292307692</v>
      </c>
      <c r="CA204" s="92" t="n">
        <f aca="false">IF(AK204&gt;=BM204,0,IFERROR(BM204+SUMPRODUCT((AK$4:AK$503&gt;=BM$4:BM$503)*(AK$4:AK$503-BM$4:BM$503))/MAX(1,COUNTIF(AK$4:AK$503,"&lt;"&amp;BM204+0.01)),BM204))</f>
        <v>7314.89836842105</v>
      </c>
      <c r="CB204" s="93" t="n">
        <f aca="false">IF(AL204&gt;=BN204,0,IFERROR(BN204+SUMPRODUCT((AL$4:AL$503&gt;=BN$4:BN$503)*(AL$4:AL$503-BN$4:BN$503))/MAX(1,COUNTIF(AL$4:AL$503,"&lt;"&amp;BN204+0.01)),BN204))</f>
        <v>3597.2614925</v>
      </c>
      <c r="CC204" s="95" t="str">
        <f aca="false">IF(AO204="🟢","VERDE",IF(AO204="🟡","AMARELO",IF(AO204="🟠","VERMELHO",IF(AO204="🔴","VERMELHO","ROXO"))))</f>
        <v>VERMELHO</v>
      </c>
      <c r="CD204" s="96" t="s">
        <v>103</v>
      </c>
      <c r="CE204" s="96" t="s">
        <v>104</v>
      </c>
    </row>
    <row r="205" customFormat="false" ht="14.25" hidden="false" customHeight="true" outlineLevel="0" collapsed="false">
      <c r="A205" s="65" t="s">
        <v>545</v>
      </c>
      <c r="B205" s="66" t="s">
        <v>546</v>
      </c>
      <c r="C205" s="66" t="s">
        <v>66</v>
      </c>
      <c r="D205" s="68" t="s">
        <v>175</v>
      </c>
      <c r="E205" s="69" t="s">
        <v>139</v>
      </c>
      <c r="F205" s="70" t="n">
        <f aca="false">IFERROR(VLOOKUP(C205,$AS$3:$AT$10,2,FALSE()),IFERROR(VLOOKUP(C205,$AS$15:$AT$22,2,FALSE()),""))</f>
        <v>44</v>
      </c>
      <c r="G205" s="71" t="n">
        <f aca="false">IFERROR(VLOOKUP(C205,$AS$3:$AX$10,6,FALSE()),IFERROR(VLOOKUP(C205,$AS$15:$AX$22,6,FALSE()),""))</f>
        <v>0.496839506257363</v>
      </c>
      <c r="H205" s="72" t="str">
        <f aca="false">IFERROR(VLOOKUP(C205,$AS$3:$AY$10,7,FALSE()),IFERROR(VLOOKUP(C205,$AS$15:$AY$22,7,FALSE()),""))</f>
        <v>🟡 AMARELO</v>
      </c>
      <c r="I205" s="72" t="str">
        <f aca="false">IFERROR(VLOOKUP(C205,$AS$3:$AZ$10,8,FALSE()),IFERROR(VLOOKUP(C205,$AS$15:$AZ$22,8,FALSE()),""))</f>
        <v>Sell Out</v>
      </c>
      <c r="J205" s="73"/>
      <c r="K205" s="69" t="s">
        <v>107</v>
      </c>
      <c r="L205" s="74" t="n">
        <v>5856.35</v>
      </c>
      <c r="M205" s="75" t="n">
        <v>411.54</v>
      </c>
      <c r="N205" s="75" t="n">
        <v>430.05</v>
      </c>
      <c r="O205" s="75" t="n">
        <v>440.41</v>
      </c>
      <c r="P205" s="75" t="n">
        <v>451.88</v>
      </c>
      <c r="Q205" s="75" t="n">
        <v>466.69</v>
      </c>
      <c r="R205" s="75" t="n">
        <v>478.9</v>
      </c>
      <c r="S205" s="75" t="n">
        <v>497.41</v>
      </c>
      <c r="T205" s="75" t="n">
        <v>509.62</v>
      </c>
      <c r="U205" s="75" t="n">
        <v>521.09</v>
      </c>
      <c r="V205" s="75" t="n">
        <v>534.04</v>
      </c>
      <c r="W205" s="75" t="n">
        <v>548.11</v>
      </c>
      <c r="X205" s="76" t="n">
        <v>566.61</v>
      </c>
      <c r="Y205" s="77" t="s">
        <v>20</v>
      </c>
      <c r="Z205" s="78" t="n">
        <f aca="false">SUM(AA205:AL205)</f>
        <v>2416.27</v>
      </c>
      <c r="AA205" s="79" t="n">
        <v>128.27</v>
      </c>
      <c r="AB205" s="75"/>
      <c r="AC205" s="75"/>
      <c r="AD205" s="79" t="n">
        <v>510.4</v>
      </c>
      <c r="AE205" s="75"/>
      <c r="AF205" s="79" t="n">
        <v>1777.6</v>
      </c>
      <c r="AG205" s="75"/>
      <c r="AH205" s="75"/>
      <c r="AI205" s="75"/>
      <c r="AJ205" s="75"/>
      <c r="AK205" s="75"/>
      <c r="AL205" s="76"/>
      <c r="AM205" s="56" t="s">
        <v>20</v>
      </c>
      <c r="AN205" s="80" t="n">
        <f aca="false">IF(L205=0,0,Z205/L205)</f>
        <v>0.41258975300315</v>
      </c>
      <c r="AO205" s="81" t="str">
        <f aca="false">IF(AN205="","",IF(AN205&gt;=0.9,"🟢",IF(AN205&gt;=0.7,"🟡",IF(AN205&gt;=0.5,"🟠","🔴"))))</f>
        <v>🔴</v>
      </c>
      <c r="AP205" s="82" t="n">
        <f aca="false">IF(L205=0,0,L205-Z205)</f>
        <v>3440.08</v>
      </c>
      <c r="AQ205" s="83" t="n">
        <f aca="false">IF(AP205=0,"",RANK(AP205,AP$4:AP$503,0))</f>
        <v>186</v>
      </c>
      <c r="AR205" s="84" t="s">
        <v>20</v>
      </c>
      <c r="AS205" s="141"/>
      <c r="AT205" s="141"/>
      <c r="AU205" s="141"/>
      <c r="AV205" s="141"/>
      <c r="AW205" s="141"/>
      <c r="AX205" s="141"/>
      <c r="AY205" s="142"/>
      <c r="AZ205" s="142"/>
      <c r="BA205" s="56" t="s">
        <v>20</v>
      </c>
      <c r="BB205" s="91" t="n">
        <f aca="false">SUM(L$4:L$503)/COUNTA(A$4:A$503)</f>
        <v>9494.39992</v>
      </c>
      <c r="BC205" s="92" t="n">
        <f aca="false">SUM(M$4:M$503)/COUNTA(A$4:A$503)</f>
        <v>667.20008</v>
      </c>
      <c r="BD205" s="92" t="n">
        <f aca="false">SUM(N$4:N$503)/COUNTA(A$4:A$503)</f>
        <v>697.19996</v>
      </c>
      <c r="BE205" s="92" t="n">
        <f aca="false">SUM(O$4:O$503)/COUNTA(A$4:A$503)</f>
        <v>713.9999</v>
      </c>
      <c r="BF205" s="92" t="n">
        <f aca="false">SUM(P$4:P$503)/COUNTA(A$4:A$503)</f>
        <v>732.59984</v>
      </c>
      <c r="BG205" s="92" t="n">
        <f aca="false">SUM(Q$4:Q$503)/COUNTA(A$4:A$503)</f>
        <v>756.59992</v>
      </c>
      <c r="BH205" s="92" t="n">
        <f aca="false">SUM(R$4:R$503)/COUNTA(A$4:A$503)</f>
        <v>776.40004</v>
      </c>
      <c r="BI205" s="92" t="n">
        <f aca="false">SUM(S$4:S$503)/COUNTA(A$4:A$503)</f>
        <v>806.40012</v>
      </c>
      <c r="BJ205" s="92" t="n">
        <f aca="false">SUM(T$4:T$503)/COUNTA(A$4:A$503)</f>
        <v>826.1999</v>
      </c>
      <c r="BK205" s="92" t="n">
        <f aca="false">SUM(U$4:U$503)/COUNTA(A$4:A$503)</f>
        <v>844.8002</v>
      </c>
      <c r="BL205" s="92" t="n">
        <f aca="false">SUM(V$4:V$503)/COUNTA(A$4:A$503)</f>
        <v>865.7998</v>
      </c>
      <c r="BM205" s="92" t="n">
        <f aca="false">SUM(W$4:W$503)/COUNTA(A$4:A$503)</f>
        <v>888.59982</v>
      </c>
      <c r="BN205" s="93" t="n">
        <f aca="false">SUM(X$4:X$503)/COUNTA(A$4:A$503)</f>
        <v>918.60034</v>
      </c>
      <c r="BO205" s="94" t="s">
        <v>20</v>
      </c>
      <c r="BP205" s="91" t="n">
        <f aca="false">IF(Z205&gt;=BB205,0,IFERROR(BB205+(SUMPRODUCT((Z$4:Z$503&gt;=BB$4:BB$503)*(Z$4:Z$503-BB$4:BB$503))/MAX(1,COUNTIF(Z$4:Z$503,"&lt;"&amp;BB205+0.01))),BB205))</f>
        <v>10695.5432177778</v>
      </c>
      <c r="BQ205" s="92" t="n">
        <f aca="false">IF(AA205&gt;=BC205,0,IFERROR(BC205+SUMPRODUCT((AA$4:AA$503&gt;=BC$4:BC$503)*(AA$4:AA$503-BC$4:BC$503))/MAX(1,COUNTIF(AA$4:AA$503,"&lt;"&amp;BC205+0.01)),BC205))</f>
        <v>2238.46589176471</v>
      </c>
      <c r="BR205" s="92" t="n">
        <f aca="false">IF(AB205&gt;=BD205,0,IFERROR(BD205+SUMPRODUCT((AB$4:AB$503&gt;=BD$4:BD$503)*(AB$4:AB$503-BD$4:BD$503))/MAX(1,COUNTIF(AB$4:AB$503,"&lt;"&amp;BD205+0.01)),BD205))</f>
        <v>3335.2938</v>
      </c>
      <c r="BS205" s="92" t="n">
        <f aca="false">IF(AC205&gt;=BE205,0,IFERROR(BE205+SUMPRODUCT((AC$4:AC$503&gt;=BE$4:BE$503)*(AC$4:AC$503-BE$4:BE$503))/MAX(1,COUNTIF(AC$4:AC$503,"&lt;"&amp;BE205+0.01)),BE205))</f>
        <v>6188.73352</v>
      </c>
      <c r="BT205" s="92" t="n">
        <f aca="false">IF(AD205&gt;=BF205,0,IFERROR(BF205+SUMPRODUCT((AD$4:AD$503&gt;=BF$4:BF$503)*(AD$4:AD$503-BF$4:BF$503))/MAX(1,COUNTIF(AD$4:AD$503,"&lt;"&amp;BF205+0.01)),BF205))</f>
        <v>11354.35411</v>
      </c>
      <c r="BU205" s="92" t="n">
        <f aca="false">IF(AE205&gt;=BG205,0,IFERROR(BG205+SUMPRODUCT((AE$4:AE$503&gt;=BG$4:BG$503)*(AE$4:AE$503-BG$4:BG$503))/MAX(1,COUNTIF(AE$4:AE$503,"&lt;"&amp;BG205+0.01)),BG205))</f>
        <v>7704.85920380952</v>
      </c>
      <c r="BV205" s="92" t="n">
        <f aca="false">IF(AF205&gt;=BH205,0,IFERROR(BH205+SUMPRODUCT((AF$4:AF$503&gt;=BH$4:BH$503)*(AF$4:AF$503-BH$4:BH$503))/MAX(1,COUNTIF(AF$4:AF$503,"&lt;"&amp;BH205+0.01)),BH205))</f>
        <v>0</v>
      </c>
      <c r="BW205" s="92" t="n">
        <f aca="false">IF(AG205&gt;=BI205,0,IFERROR(BI205+SUMPRODUCT((AG$4:AG$503&gt;=BI$4:BI$503)*(AG$4:AG$503-BI$4:BI$503))/MAX(1,COUNTIF(AG$4:AG$503,"&lt;"&amp;BI205+0.01)),BI205))</f>
        <v>9142.15870461538</v>
      </c>
      <c r="BX205" s="92" t="n">
        <f aca="false">IF(AH205&gt;=BJ205,0,IFERROR(BJ205+SUMPRODUCT((AH$4:AH$503&gt;=BJ$4:BJ$503)*(AH$4:AH$503-BJ$4:BJ$503))/MAX(1,COUNTIF(AH$4:AH$503,"&lt;"&amp;BJ205+0.01)),BJ205))</f>
        <v>5621.50263448276</v>
      </c>
      <c r="BY205" s="92" t="n">
        <f aca="false">IF(AI205&gt;=BK205,0,IFERROR(BK205+SUMPRODUCT((AI$4:AI$503&gt;=BK$4:BK$503)*(AI$4:AI$503-BK$4:BK$503))/MAX(1,COUNTIF(AI$4:AI$503,"&lt;"&amp;BK205+0.01)),BK205))</f>
        <v>7878.25652380952</v>
      </c>
      <c r="BZ205" s="92" t="n">
        <f aca="false">IF(AJ205&gt;=BL205,0,IFERROR(BL205+SUMPRODUCT((AJ$4:AJ$503&gt;=BL$4:BL$503)*(AJ$4:AJ$503-BL$4:BL$503))/MAX(1,COUNTIF(AJ$4:AJ$503,"&lt;"&amp;BL205+0.01)),BL205))</f>
        <v>6710.03292307692</v>
      </c>
      <c r="CA205" s="92" t="n">
        <f aca="false">IF(AK205&gt;=BM205,0,IFERROR(BM205+SUMPRODUCT((AK$4:AK$503&gt;=BM$4:BM$503)*(AK$4:AK$503-BM$4:BM$503))/MAX(1,COUNTIF(AK$4:AK$503,"&lt;"&amp;BM205+0.01)),BM205))</f>
        <v>7314.89836842105</v>
      </c>
      <c r="CB205" s="93" t="n">
        <f aca="false">IF(AL205&gt;=BN205,0,IFERROR(BN205+SUMPRODUCT((AL$4:AL$503&gt;=BN$4:BN$503)*(AL$4:AL$503-BN$4:BN$503))/MAX(1,COUNTIF(AL$4:AL$503,"&lt;"&amp;BN205+0.01)),BN205))</f>
        <v>3597.2614925</v>
      </c>
      <c r="CC205" s="95" t="str">
        <f aca="false">IF(AO205="🟢","VERDE",IF(AO205="🟡","AMARELO",IF(AO205="🟠","VERMELHO",IF(AO205="🔴","VERMELHO","ROXO"))))</f>
        <v>VERMELHO</v>
      </c>
      <c r="CD205" s="96" t="s">
        <v>176</v>
      </c>
      <c r="CE205" s="96" t="s">
        <v>66</v>
      </c>
    </row>
    <row r="206" customFormat="false" ht="14.25" hidden="false" customHeight="true" outlineLevel="0" collapsed="false">
      <c r="A206" s="65" t="s">
        <v>547</v>
      </c>
      <c r="B206" s="66" t="s">
        <v>548</v>
      </c>
      <c r="C206" s="67" t="s">
        <v>107</v>
      </c>
      <c r="D206" s="68" t="s">
        <v>108</v>
      </c>
      <c r="E206" s="69" t="s">
        <v>139</v>
      </c>
      <c r="F206" s="70" t="n">
        <f aca="false">IFERROR(VLOOKUP(C206,$AS$3:$AT$10,2,FALSE()),IFERROR(VLOOKUP(C206,$AS$15:$AT$22,2,FALSE()),""))</f>
        <v>132</v>
      </c>
      <c r="G206" s="71" t="n">
        <f aca="false">IFERROR(VLOOKUP(C206,$AS$3:$AX$10,6,FALSE()),IFERROR(VLOOKUP(C206,$AS$15:$AX$22,6,FALSE()),""))</f>
        <v>0.468190175850689</v>
      </c>
      <c r="H206" s="72" t="str">
        <f aca="false">IFERROR(VLOOKUP(C206,$AS$3:$AY$10,7,FALSE()),IFERROR(VLOOKUP(C206,$AS$15:$AY$22,7,FALSE()),""))</f>
        <v>🟡 AMARELO</v>
      </c>
      <c r="I206" s="72" t="str">
        <f aca="false">IFERROR(VLOOKUP(C206,$AS$3:$AZ$10,8,FALSE()),IFERROR(VLOOKUP(C206,$AS$15:$AZ$22,8,FALSE()),""))</f>
        <v>Sell Out</v>
      </c>
      <c r="J206" s="73"/>
      <c r="K206" s="69" t="s">
        <v>107</v>
      </c>
      <c r="L206" s="74" t="n">
        <v>5835.54</v>
      </c>
      <c r="M206" s="75" t="n">
        <v>410.08</v>
      </c>
      <c r="N206" s="75" t="n">
        <v>428.52</v>
      </c>
      <c r="O206" s="75" t="n">
        <v>438.84</v>
      </c>
      <c r="P206" s="75" t="n">
        <v>450.28</v>
      </c>
      <c r="Q206" s="75" t="n">
        <v>465.03</v>
      </c>
      <c r="R206" s="75" t="n">
        <v>477.2</v>
      </c>
      <c r="S206" s="75" t="n">
        <v>495.64</v>
      </c>
      <c r="T206" s="75" t="n">
        <v>507.81</v>
      </c>
      <c r="U206" s="75" t="n">
        <v>519.24</v>
      </c>
      <c r="V206" s="75" t="n">
        <v>532.14</v>
      </c>
      <c r="W206" s="75" t="n">
        <v>546.16</v>
      </c>
      <c r="X206" s="76" t="n">
        <v>564.6</v>
      </c>
      <c r="Y206" s="77" t="s">
        <v>20</v>
      </c>
      <c r="Z206" s="78" t="n">
        <f aca="false">SUM(AA206:AL206)</f>
        <v>4543.56</v>
      </c>
      <c r="AA206" s="75"/>
      <c r="AB206" s="75"/>
      <c r="AC206" s="75"/>
      <c r="AD206" s="75"/>
      <c r="AE206" s="75"/>
      <c r="AF206" s="75"/>
      <c r="AG206" s="75"/>
      <c r="AH206" s="75"/>
      <c r="AI206" s="79" t="n">
        <v>2421.99</v>
      </c>
      <c r="AJ206" s="79" t="n">
        <v>2121.57</v>
      </c>
      <c r="AK206" s="75"/>
      <c r="AL206" s="76"/>
      <c r="AM206" s="56" t="s">
        <v>20</v>
      </c>
      <c r="AN206" s="80" t="n">
        <f aca="false">IF(L206=0,0,Z206/L206)</f>
        <v>0.778601466188219</v>
      </c>
      <c r="AO206" s="81" t="str">
        <f aca="false">IF(AN206="","",IF(AN206&gt;=0.9,"🟢",IF(AN206&gt;=0.7,"🟡",IF(AN206&gt;=0.5,"🟠","🔴"))))</f>
        <v>🟡</v>
      </c>
      <c r="AP206" s="82" t="n">
        <f aca="false">IF(L206=0,0,L206-Z206)</f>
        <v>1291.98</v>
      </c>
      <c r="AQ206" s="83" t="n">
        <f aca="false">IF(AP206=0,"",RANK(AP206,AP$4:AP$503,0))</f>
        <v>348</v>
      </c>
      <c r="AR206" s="84" t="s">
        <v>20</v>
      </c>
      <c r="AS206" s="141"/>
      <c r="AT206" s="141"/>
      <c r="AU206" s="141"/>
      <c r="AV206" s="141"/>
      <c r="AW206" s="141"/>
      <c r="AX206" s="141"/>
      <c r="AY206" s="142"/>
      <c r="AZ206" s="142"/>
      <c r="BA206" s="56" t="s">
        <v>20</v>
      </c>
      <c r="BB206" s="91" t="n">
        <f aca="false">SUM(L$4:L$503)/COUNTA(A$4:A$503)</f>
        <v>9494.39992</v>
      </c>
      <c r="BC206" s="92" t="n">
        <f aca="false">SUM(M$4:M$503)/COUNTA(A$4:A$503)</f>
        <v>667.20008</v>
      </c>
      <c r="BD206" s="92" t="n">
        <f aca="false">SUM(N$4:N$503)/COUNTA(A$4:A$503)</f>
        <v>697.19996</v>
      </c>
      <c r="BE206" s="92" t="n">
        <f aca="false">SUM(O$4:O$503)/COUNTA(A$4:A$503)</f>
        <v>713.9999</v>
      </c>
      <c r="BF206" s="92" t="n">
        <f aca="false">SUM(P$4:P$503)/COUNTA(A$4:A$503)</f>
        <v>732.59984</v>
      </c>
      <c r="BG206" s="92" t="n">
        <f aca="false">SUM(Q$4:Q$503)/COUNTA(A$4:A$503)</f>
        <v>756.59992</v>
      </c>
      <c r="BH206" s="92" t="n">
        <f aca="false">SUM(R$4:R$503)/COUNTA(A$4:A$503)</f>
        <v>776.40004</v>
      </c>
      <c r="BI206" s="92" t="n">
        <f aca="false">SUM(S$4:S$503)/COUNTA(A$4:A$503)</f>
        <v>806.40012</v>
      </c>
      <c r="BJ206" s="92" t="n">
        <f aca="false">SUM(T$4:T$503)/COUNTA(A$4:A$503)</f>
        <v>826.1999</v>
      </c>
      <c r="BK206" s="92" t="n">
        <f aca="false">SUM(U$4:U$503)/COUNTA(A$4:A$503)</f>
        <v>844.8002</v>
      </c>
      <c r="BL206" s="92" t="n">
        <f aca="false">SUM(V$4:V$503)/COUNTA(A$4:A$503)</f>
        <v>865.7998</v>
      </c>
      <c r="BM206" s="92" t="n">
        <f aca="false">SUM(W$4:W$503)/COUNTA(A$4:A$503)</f>
        <v>888.59982</v>
      </c>
      <c r="BN206" s="93" t="n">
        <f aca="false">SUM(X$4:X$503)/COUNTA(A$4:A$503)</f>
        <v>918.60034</v>
      </c>
      <c r="BO206" s="94" t="s">
        <v>20</v>
      </c>
      <c r="BP206" s="91" t="n">
        <f aca="false">IF(Z206&gt;=BB206,0,IFERROR(BB206+(SUMPRODUCT((Z$4:Z$503&gt;=BB$4:BB$503)*(Z$4:Z$503-BB$4:BB$503))/MAX(1,COUNTIF(Z$4:Z$503,"&lt;"&amp;BB206+0.01))),BB206))</f>
        <v>10695.5432177778</v>
      </c>
      <c r="BQ206" s="92" t="n">
        <f aca="false">IF(AA206&gt;=BC206,0,IFERROR(BC206+SUMPRODUCT((AA$4:AA$503&gt;=BC$4:BC$503)*(AA$4:AA$503-BC$4:BC$503))/MAX(1,COUNTIF(AA$4:AA$503,"&lt;"&amp;BC206+0.01)),BC206))</f>
        <v>2238.46589176471</v>
      </c>
      <c r="BR206" s="92" t="n">
        <f aca="false">IF(AB206&gt;=BD206,0,IFERROR(BD206+SUMPRODUCT((AB$4:AB$503&gt;=BD$4:BD$503)*(AB$4:AB$503-BD$4:BD$503))/MAX(1,COUNTIF(AB$4:AB$503,"&lt;"&amp;BD206+0.01)),BD206))</f>
        <v>3335.2938</v>
      </c>
      <c r="BS206" s="92" t="n">
        <f aca="false">IF(AC206&gt;=BE206,0,IFERROR(BE206+SUMPRODUCT((AC$4:AC$503&gt;=BE$4:BE$503)*(AC$4:AC$503-BE$4:BE$503))/MAX(1,COUNTIF(AC$4:AC$503,"&lt;"&amp;BE206+0.01)),BE206))</f>
        <v>6188.73352</v>
      </c>
      <c r="BT206" s="92" t="n">
        <f aca="false">IF(AD206&gt;=BF206,0,IFERROR(BF206+SUMPRODUCT((AD$4:AD$503&gt;=BF$4:BF$503)*(AD$4:AD$503-BF$4:BF$503))/MAX(1,COUNTIF(AD$4:AD$503,"&lt;"&amp;BF206+0.01)),BF206))</f>
        <v>11354.35411</v>
      </c>
      <c r="BU206" s="92" t="n">
        <f aca="false">IF(AE206&gt;=BG206,0,IFERROR(BG206+SUMPRODUCT((AE$4:AE$503&gt;=BG$4:BG$503)*(AE$4:AE$503-BG$4:BG$503))/MAX(1,COUNTIF(AE$4:AE$503,"&lt;"&amp;BG206+0.01)),BG206))</f>
        <v>7704.85920380952</v>
      </c>
      <c r="BV206" s="92" t="n">
        <f aca="false">IF(AF206&gt;=BH206,0,IFERROR(BH206+SUMPRODUCT((AF$4:AF$503&gt;=BH$4:BH$503)*(AF$4:AF$503-BH$4:BH$503))/MAX(1,COUNTIF(AF$4:AF$503,"&lt;"&amp;BH206+0.01)),BH206))</f>
        <v>9942.6503831579</v>
      </c>
      <c r="BW206" s="92" t="n">
        <f aca="false">IF(AG206&gt;=BI206,0,IFERROR(BI206+SUMPRODUCT((AG$4:AG$503&gt;=BI$4:BI$503)*(AG$4:AG$503-BI$4:BI$503))/MAX(1,COUNTIF(AG$4:AG$503,"&lt;"&amp;BI206+0.01)),BI206))</f>
        <v>9142.15870461538</v>
      </c>
      <c r="BX206" s="92" t="n">
        <f aca="false">IF(AH206&gt;=BJ206,0,IFERROR(BJ206+SUMPRODUCT((AH$4:AH$503&gt;=BJ$4:BJ$503)*(AH$4:AH$503-BJ$4:BJ$503))/MAX(1,COUNTIF(AH$4:AH$503,"&lt;"&amp;BJ206+0.01)),BJ206))</f>
        <v>5621.50263448276</v>
      </c>
      <c r="BY206" s="92" t="n">
        <f aca="false">IF(AI206&gt;=BK206,0,IFERROR(BK206+SUMPRODUCT((AI$4:AI$503&gt;=BK$4:BK$503)*(AI$4:AI$503-BK$4:BK$503))/MAX(1,COUNTIF(AI$4:AI$503,"&lt;"&amp;BK206+0.01)),BK206))</f>
        <v>0</v>
      </c>
      <c r="BZ206" s="92" t="n">
        <f aca="false">IF(AJ206&gt;=BL206,0,IFERROR(BL206+SUMPRODUCT((AJ$4:AJ$503&gt;=BL$4:BL$503)*(AJ$4:AJ$503-BL$4:BL$503))/MAX(1,COUNTIF(AJ$4:AJ$503,"&lt;"&amp;BL206+0.01)),BL206))</f>
        <v>0</v>
      </c>
      <c r="CA206" s="92" t="n">
        <f aca="false">IF(AK206&gt;=BM206,0,IFERROR(BM206+SUMPRODUCT((AK$4:AK$503&gt;=BM$4:BM$503)*(AK$4:AK$503-BM$4:BM$503))/MAX(1,COUNTIF(AK$4:AK$503,"&lt;"&amp;BM206+0.01)),BM206))</f>
        <v>7314.89836842105</v>
      </c>
      <c r="CB206" s="93" t="n">
        <f aca="false">IF(AL206&gt;=BN206,0,IFERROR(BN206+SUMPRODUCT((AL$4:AL$503&gt;=BN$4:BN$503)*(AL$4:AL$503-BN$4:BN$503))/MAX(1,COUNTIF(AL$4:AL$503,"&lt;"&amp;BN206+0.01)),BN206))</f>
        <v>3597.2614925</v>
      </c>
      <c r="CC206" s="95" t="str">
        <f aca="false">IF(AO206="🟢","VERDE",IF(AO206="🟡","AMARELO",IF(AO206="🟠","VERMELHO",IF(AO206="🔴","VERMELHO","ROXO"))))</f>
        <v>AMARELO</v>
      </c>
      <c r="CD206" s="96" t="s">
        <v>103</v>
      </c>
      <c r="CE206" s="96" t="s">
        <v>104</v>
      </c>
    </row>
    <row r="207" customFormat="false" ht="14.25" hidden="false" customHeight="true" outlineLevel="0" collapsed="false">
      <c r="A207" s="65" t="s">
        <v>549</v>
      </c>
      <c r="B207" s="66" t="s">
        <v>550</v>
      </c>
      <c r="C207" s="67" t="s">
        <v>123</v>
      </c>
      <c r="D207" s="68" t="s">
        <v>100</v>
      </c>
      <c r="E207" s="56" t="s">
        <v>20</v>
      </c>
      <c r="F207" s="70" t="n">
        <f aca="false">IFERROR(VLOOKUP(C207,$AS$3:$AT$10,2,FALSE()),IFERROR(VLOOKUP(C207,$AS$15:$AT$22,2,FALSE()),""))</f>
        <v>49</v>
      </c>
      <c r="G207" s="71" t="n">
        <f aca="false">IFERROR(VLOOKUP(C207,$AS$3:$AX$10,6,FALSE()),IFERROR(VLOOKUP(C207,$AS$15:$AX$22,6,FALSE()),""))</f>
        <v>0.436391353881959</v>
      </c>
      <c r="H207" s="72" t="str">
        <f aca="false">IFERROR(VLOOKUP(C207,$AS$3:$AY$10,7,FALSE()),IFERROR(VLOOKUP(C207,$AS$15:$AY$22,7,FALSE()),""))</f>
        <v>🟡 AMARELO</v>
      </c>
      <c r="I207" s="72" t="str">
        <f aca="false">IFERROR(VLOOKUP(C207,$AS$3:$AZ$10,8,FALSE()),IFERROR(VLOOKUP(C207,$AS$15:$AZ$22,8,FALSE()),""))</f>
        <v>Sell Out</v>
      </c>
      <c r="J207" s="73"/>
      <c r="K207" s="56" t="s">
        <v>20</v>
      </c>
      <c r="L207" s="74" t="n">
        <v>5809.39</v>
      </c>
      <c r="M207" s="75" t="n">
        <v>408.24</v>
      </c>
      <c r="N207" s="75" t="n">
        <v>426.6</v>
      </c>
      <c r="O207" s="75" t="n">
        <v>436.88</v>
      </c>
      <c r="P207" s="75" t="n">
        <v>448.26</v>
      </c>
      <c r="Q207" s="75" t="n">
        <v>462.95</v>
      </c>
      <c r="R207" s="75" t="n">
        <v>475.06</v>
      </c>
      <c r="S207" s="75" t="n">
        <v>493.42</v>
      </c>
      <c r="T207" s="75" t="n">
        <v>505.53</v>
      </c>
      <c r="U207" s="75" t="n">
        <v>516.91</v>
      </c>
      <c r="V207" s="75" t="n">
        <v>529.76</v>
      </c>
      <c r="W207" s="75" t="n">
        <v>543.71</v>
      </c>
      <c r="X207" s="76" t="n">
        <v>562.07</v>
      </c>
      <c r="Y207" s="77" t="s">
        <v>20</v>
      </c>
      <c r="Z207" s="78" t="n">
        <f aca="false">SUM(AA207:AL207)</f>
        <v>4818.53</v>
      </c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 t="n">
        <v>4818.53</v>
      </c>
      <c r="AL207" s="76"/>
      <c r="AM207" s="56" t="s">
        <v>20</v>
      </c>
      <c r="AN207" s="80" t="n">
        <f aca="false">IF(L207=0,0,Z207/L207)</f>
        <v>0.829438202634011</v>
      </c>
      <c r="AO207" s="81" t="str">
        <f aca="false">IF(AN207="","",IF(AN207&gt;=0.9,"🟢",IF(AN207&gt;=0.7,"🟡",IF(AN207&gt;=0.5,"🟠","🔴"))))</f>
        <v>🟡</v>
      </c>
      <c r="AP207" s="82" t="n">
        <f aca="false">IF(L207=0,0,L207-Z207)</f>
        <v>990.860000000001</v>
      </c>
      <c r="AQ207" s="83" t="n">
        <f aca="false">IF(AP207=0,"",RANK(AP207,AP$4:AP$503,0))</f>
        <v>390</v>
      </c>
      <c r="AR207" s="84" t="s">
        <v>20</v>
      </c>
      <c r="AS207" s="141"/>
      <c r="AT207" s="141"/>
      <c r="AU207" s="141"/>
      <c r="AV207" s="141"/>
      <c r="AW207" s="141"/>
      <c r="AX207" s="141"/>
      <c r="AY207" s="142"/>
      <c r="AZ207" s="142"/>
      <c r="BA207" s="56" t="s">
        <v>20</v>
      </c>
      <c r="BB207" s="91" t="n">
        <f aca="false">SUM(L$4:L$503)/COUNTA(A$4:A$503)</f>
        <v>9494.39992</v>
      </c>
      <c r="BC207" s="92" t="n">
        <f aca="false">SUM(M$4:M$503)/COUNTA(A$4:A$503)</f>
        <v>667.20008</v>
      </c>
      <c r="BD207" s="92" t="n">
        <f aca="false">SUM(N$4:N$503)/COUNTA(A$4:A$503)</f>
        <v>697.19996</v>
      </c>
      <c r="BE207" s="92" t="n">
        <f aca="false">SUM(O$4:O$503)/COUNTA(A$4:A$503)</f>
        <v>713.9999</v>
      </c>
      <c r="BF207" s="92" t="n">
        <f aca="false">SUM(P$4:P$503)/COUNTA(A$4:A$503)</f>
        <v>732.59984</v>
      </c>
      <c r="BG207" s="92" t="n">
        <f aca="false">SUM(Q$4:Q$503)/COUNTA(A$4:A$503)</f>
        <v>756.59992</v>
      </c>
      <c r="BH207" s="92" t="n">
        <f aca="false">SUM(R$4:R$503)/COUNTA(A$4:A$503)</f>
        <v>776.40004</v>
      </c>
      <c r="BI207" s="92" t="n">
        <f aca="false">SUM(S$4:S$503)/COUNTA(A$4:A$503)</f>
        <v>806.40012</v>
      </c>
      <c r="BJ207" s="92" t="n">
        <f aca="false">SUM(T$4:T$503)/COUNTA(A$4:A$503)</f>
        <v>826.1999</v>
      </c>
      <c r="BK207" s="92" t="n">
        <f aca="false">SUM(U$4:U$503)/COUNTA(A$4:A$503)</f>
        <v>844.8002</v>
      </c>
      <c r="BL207" s="92" t="n">
        <f aca="false">SUM(V$4:V$503)/COUNTA(A$4:A$503)</f>
        <v>865.7998</v>
      </c>
      <c r="BM207" s="92" t="n">
        <f aca="false">SUM(W$4:W$503)/COUNTA(A$4:A$503)</f>
        <v>888.59982</v>
      </c>
      <c r="BN207" s="93" t="n">
        <f aca="false">SUM(X$4:X$503)/COUNTA(A$4:A$503)</f>
        <v>918.60034</v>
      </c>
      <c r="BO207" s="94" t="s">
        <v>20</v>
      </c>
      <c r="BP207" s="91" t="n">
        <f aca="false">IF(Z207&gt;=BB207,0,IFERROR(BB207+(SUMPRODUCT((Z$4:Z$503&gt;=BB$4:BB$503)*(Z$4:Z$503-BB$4:BB$503))/MAX(1,COUNTIF(Z$4:Z$503,"&lt;"&amp;BB207+0.01))),BB207))</f>
        <v>10695.5432177778</v>
      </c>
      <c r="BQ207" s="92" t="n">
        <f aca="false">IF(AA207&gt;=BC207,0,IFERROR(BC207+SUMPRODUCT((AA$4:AA$503&gt;=BC$4:BC$503)*(AA$4:AA$503-BC$4:BC$503))/MAX(1,COUNTIF(AA$4:AA$503,"&lt;"&amp;BC207+0.01)),BC207))</f>
        <v>2238.46589176471</v>
      </c>
      <c r="BR207" s="92" t="n">
        <f aca="false">IF(AB207&gt;=BD207,0,IFERROR(BD207+SUMPRODUCT((AB$4:AB$503&gt;=BD$4:BD$503)*(AB$4:AB$503-BD$4:BD$503))/MAX(1,COUNTIF(AB$4:AB$503,"&lt;"&amp;BD207+0.01)),BD207))</f>
        <v>3335.2938</v>
      </c>
      <c r="BS207" s="92" t="n">
        <f aca="false">IF(AC207&gt;=BE207,0,IFERROR(BE207+SUMPRODUCT((AC$4:AC$503&gt;=BE$4:BE$503)*(AC$4:AC$503-BE$4:BE$503))/MAX(1,COUNTIF(AC$4:AC$503,"&lt;"&amp;BE207+0.01)),BE207))</f>
        <v>6188.73352</v>
      </c>
      <c r="BT207" s="92" t="n">
        <f aca="false">IF(AD207&gt;=BF207,0,IFERROR(BF207+SUMPRODUCT((AD$4:AD$503&gt;=BF$4:BF$503)*(AD$4:AD$503-BF$4:BF$503))/MAX(1,COUNTIF(AD$4:AD$503,"&lt;"&amp;BF207+0.01)),BF207))</f>
        <v>11354.35411</v>
      </c>
      <c r="BU207" s="92" t="n">
        <f aca="false">IF(AE207&gt;=BG207,0,IFERROR(BG207+SUMPRODUCT((AE$4:AE$503&gt;=BG$4:BG$503)*(AE$4:AE$503-BG$4:BG$503))/MAX(1,COUNTIF(AE$4:AE$503,"&lt;"&amp;BG207+0.01)),BG207))</f>
        <v>7704.85920380952</v>
      </c>
      <c r="BV207" s="92" t="n">
        <f aca="false">IF(AF207&gt;=BH207,0,IFERROR(BH207+SUMPRODUCT((AF$4:AF$503&gt;=BH$4:BH$503)*(AF$4:AF$503-BH$4:BH$503))/MAX(1,COUNTIF(AF$4:AF$503,"&lt;"&amp;BH207+0.01)),BH207))</f>
        <v>9942.6503831579</v>
      </c>
      <c r="BW207" s="92" t="n">
        <f aca="false">IF(AG207&gt;=BI207,0,IFERROR(BI207+SUMPRODUCT((AG$4:AG$503&gt;=BI$4:BI$503)*(AG$4:AG$503-BI$4:BI$503))/MAX(1,COUNTIF(AG$4:AG$503,"&lt;"&amp;BI207+0.01)),BI207))</f>
        <v>9142.15870461538</v>
      </c>
      <c r="BX207" s="92" t="n">
        <f aca="false">IF(AH207&gt;=BJ207,0,IFERROR(BJ207+SUMPRODUCT((AH$4:AH$503&gt;=BJ$4:BJ$503)*(AH$4:AH$503-BJ$4:BJ$503))/MAX(1,COUNTIF(AH$4:AH$503,"&lt;"&amp;BJ207+0.01)),BJ207))</f>
        <v>5621.50263448276</v>
      </c>
      <c r="BY207" s="92" t="n">
        <f aca="false">IF(AI207&gt;=BK207,0,IFERROR(BK207+SUMPRODUCT((AI$4:AI$503&gt;=BK$4:BK$503)*(AI$4:AI$503-BK$4:BK$503))/MAX(1,COUNTIF(AI$4:AI$503,"&lt;"&amp;BK207+0.01)),BK207))</f>
        <v>7878.25652380952</v>
      </c>
      <c r="BZ207" s="92" t="n">
        <f aca="false">IF(AJ207&gt;=BL207,0,IFERROR(BL207+SUMPRODUCT((AJ$4:AJ$503&gt;=BL$4:BL$503)*(AJ$4:AJ$503-BL$4:BL$503))/MAX(1,COUNTIF(AJ$4:AJ$503,"&lt;"&amp;BL207+0.01)),BL207))</f>
        <v>6710.03292307692</v>
      </c>
      <c r="CA207" s="92" t="n">
        <f aca="false">IF(AK207&gt;=BM207,0,IFERROR(BM207+SUMPRODUCT((AK$4:AK$503&gt;=BM$4:BM$503)*(AK$4:AK$503-BM$4:BM$503))/MAX(1,COUNTIF(AK$4:AK$503,"&lt;"&amp;BM207+0.01)),BM207))</f>
        <v>0</v>
      </c>
      <c r="CB207" s="93" t="n">
        <f aca="false">IF(AL207&gt;=BN207,0,IFERROR(BN207+SUMPRODUCT((AL$4:AL$503&gt;=BN$4:BN$503)*(AL$4:AL$503-BN$4:BN$503))/MAX(1,COUNTIF(AL$4:AL$503,"&lt;"&amp;BN207+0.01)),BN207))</f>
        <v>3597.2614925</v>
      </c>
      <c r="CC207" s="95" t="str">
        <f aca="false">IF(AO207="🟢","VERDE",IF(AO207="🟡","AMARELO",IF(AO207="🟠","VERMELHO",IF(AO207="🔴","VERMELHO","ROXO"))))</f>
        <v>AMARELO</v>
      </c>
      <c r="CD207" s="96" t="s">
        <v>103</v>
      </c>
      <c r="CE207" s="96" t="s">
        <v>104</v>
      </c>
    </row>
    <row r="208" customFormat="false" ht="14.25" hidden="false" customHeight="true" outlineLevel="0" collapsed="false">
      <c r="A208" s="65" t="s">
        <v>551</v>
      </c>
      <c r="B208" s="66" t="s">
        <v>552</v>
      </c>
      <c r="C208" s="66" t="s">
        <v>66</v>
      </c>
      <c r="D208" s="68" t="s">
        <v>175</v>
      </c>
      <c r="E208" s="69" t="s">
        <v>139</v>
      </c>
      <c r="F208" s="70" t="n">
        <f aca="false">IFERROR(VLOOKUP(C208,$AS$3:$AT$10,2,FALSE()),IFERROR(VLOOKUP(C208,$AS$15:$AT$22,2,FALSE()),""))</f>
        <v>44</v>
      </c>
      <c r="G208" s="71" t="n">
        <f aca="false">IFERROR(VLOOKUP(C208,$AS$3:$AX$10,6,FALSE()),IFERROR(VLOOKUP(C208,$AS$15:$AX$22,6,FALSE()),""))</f>
        <v>0.496839506257363</v>
      </c>
      <c r="H208" s="72" t="str">
        <f aca="false">IFERROR(VLOOKUP(C208,$AS$3:$AY$10,7,FALSE()),IFERROR(VLOOKUP(C208,$AS$15:$AY$22,7,FALSE()),""))</f>
        <v>🟡 AMARELO</v>
      </c>
      <c r="I208" s="72" t="str">
        <f aca="false">IFERROR(VLOOKUP(C208,$AS$3:$AZ$10,8,FALSE()),IFERROR(VLOOKUP(C208,$AS$15:$AZ$22,8,FALSE()),""))</f>
        <v>Sell Out</v>
      </c>
      <c r="J208" s="73"/>
      <c r="K208" s="69" t="s">
        <v>107</v>
      </c>
      <c r="L208" s="74" t="n">
        <v>5805.26</v>
      </c>
      <c r="M208" s="75" t="n">
        <v>407.95</v>
      </c>
      <c r="N208" s="75" t="n">
        <v>426.3</v>
      </c>
      <c r="O208" s="75" t="n">
        <v>436.57</v>
      </c>
      <c r="P208" s="75" t="n">
        <v>447.94</v>
      </c>
      <c r="Q208" s="75" t="n">
        <v>462.62</v>
      </c>
      <c r="R208" s="75" t="n">
        <v>474.72</v>
      </c>
      <c r="S208" s="75" t="n">
        <v>493.07</v>
      </c>
      <c r="T208" s="75" t="n">
        <v>505.17</v>
      </c>
      <c r="U208" s="75" t="n">
        <v>516.54</v>
      </c>
      <c r="V208" s="75" t="n">
        <v>529.38</v>
      </c>
      <c r="W208" s="75" t="n">
        <v>543.33</v>
      </c>
      <c r="X208" s="76" t="n">
        <v>561.67</v>
      </c>
      <c r="Y208" s="77" t="s">
        <v>20</v>
      </c>
      <c r="Z208" s="78" t="n">
        <f aca="false">SUM(AA208:AL208)</f>
        <v>2359.43</v>
      </c>
      <c r="AA208" s="75"/>
      <c r="AB208" s="75"/>
      <c r="AC208" s="75"/>
      <c r="AD208" s="75"/>
      <c r="AE208" s="75"/>
      <c r="AF208" s="75"/>
      <c r="AG208" s="79" t="n">
        <v>901.43</v>
      </c>
      <c r="AH208" s="75"/>
      <c r="AI208" s="75"/>
      <c r="AJ208" s="75"/>
      <c r="AK208" s="79" t="n">
        <v>1458</v>
      </c>
      <c r="AL208" s="76"/>
      <c r="AM208" s="56" t="s">
        <v>20</v>
      </c>
      <c r="AN208" s="80" t="n">
        <f aca="false">IF(L208=0,0,Z208/L208)</f>
        <v>0.406429686181153</v>
      </c>
      <c r="AO208" s="81" t="str">
        <f aca="false">IF(AN208="","",IF(AN208&gt;=0.9,"🟢",IF(AN208&gt;=0.7,"🟡",IF(AN208&gt;=0.5,"🟠","🔴"))))</f>
        <v>🔴</v>
      </c>
      <c r="AP208" s="82" t="n">
        <f aca="false">IF(L208=0,0,L208-Z208)</f>
        <v>3445.83</v>
      </c>
      <c r="AQ208" s="83" t="n">
        <f aca="false">IF(AP208=0,"",RANK(AP208,AP$4:AP$503,0))</f>
        <v>185</v>
      </c>
      <c r="AR208" s="84" t="s">
        <v>20</v>
      </c>
      <c r="AS208" s="141"/>
      <c r="AT208" s="141"/>
      <c r="AU208" s="141"/>
      <c r="AV208" s="141"/>
      <c r="AW208" s="141"/>
      <c r="AX208" s="141"/>
      <c r="AY208" s="142"/>
      <c r="AZ208" s="142"/>
      <c r="BA208" s="56" t="s">
        <v>20</v>
      </c>
      <c r="BB208" s="91" t="n">
        <f aca="false">SUM(L$4:L$503)/COUNTA(A$4:A$503)</f>
        <v>9494.39992</v>
      </c>
      <c r="BC208" s="92" t="n">
        <f aca="false">SUM(M$4:M$503)/COUNTA(A$4:A$503)</f>
        <v>667.20008</v>
      </c>
      <c r="BD208" s="92" t="n">
        <f aca="false">SUM(N$4:N$503)/COUNTA(A$4:A$503)</f>
        <v>697.19996</v>
      </c>
      <c r="BE208" s="92" t="n">
        <f aca="false">SUM(O$4:O$503)/COUNTA(A$4:A$503)</f>
        <v>713.9999</v>
      </c>
      <c r="BF208" s="92" t="n">
        <f aca="false">SUM(P$4:P$503)/COUNTA(A$4:A$503)</f>
        <v>732.59984</v>
      </c>
      <c r="BG208" s="92" t="n">
        <f aca="false">SUM(Q$4:Q$503)/COUNTA(A$4:A$503)</f>
        <v>756.59992</v>
      </c>
      <c r="BH208" s="92" t="n">
        <f aca="false">SUM(R$4:R$503)/COUNTA(A$4:A$503)</f>
        <v>776.40004</v>
      </c>
      <c r="BI208" s="92" t="n">
        <f aca="false">SUM(S$4:S$503)/COUNTA(A$4:A$503)</f>
        <v>806.40012</v>
      </c>
      <c r="BJ208" s="92" t="n">
        <f aca="false">SUM(T$4:T$503)/COUNTA(A$4:A$503)</f>
        <v>826.1999</v>
      </c>
      <c r="BK208" s="92" t="n">
        <f aca="false">SUM(U$4:U$503)/COUNTA(A$4:A$503)</f>
        <v>844.8002</v>
      </c>
      <c r="BL208" s="92" t="n">
        <f aca="false">SUM(V$4:V$503)/COUNTA(A$4:A$503)</f>
        <v>865.7998</v>
      </c>
      <c r="BM208" s="92" t="n">
        <f aca="false">SUM(W$4:W$503)/COUNTA(A$4:A$503)</f>
        <v>888.59982</v>
      </c>
      <c r="BN208" s="93" t="n">
        <f aca="false">SUM(X$4:X$503)/COUNTA(A$4:A$503)</f>
        <v>918.60034</v>
      </c>
      <c r="BO208" s="94" t="s">
        <v>20</v>
      </c>
      <c r="BP208" s="91" t="n">
        <f aca="false">IF(Z208&gt;=BB208,0,IFERROR(BB208+(SUMPRODUCT((Z$4:Z$503&gt;=BB$4:BB$503)*(Z$4:Z$503-BB$4:BB$503))/MAX(1,COUNTIF(Z$4:Z$503,"&lt;"&amp;BB208+0.01))),BB208))</f>
        <v>10695.5432177778</v>
      </c>
      <c r="BQ208" s="92" t="n">
        <f aca="false">IF(AA208&gt;=BC208,0,IFERROR(BC208+SUMPRODUCT((AA$4:AA$503&gt;=BC$4:BC$503)*(AA$4:AA$503-BC$4:BC$503))/MAX(1,COUNTIF(AA$4:AA$503,"&lt;"&amp;BC208+0.01)),BC208))</f>
        <v>2238.46589176471</v>
      </c>
      <c r="BR208" s="92" t="n">
        <f aca="false">IF(AB208&gt;=BD208,0,IFERROR(BD208+SUMPRODUCT((AB$4:AB$503&gt;=BD$4:BD$503)*(AB$4:AB$503-BD$4:BD$503))/MAX(1,COUNTIF(AB$4:AB$503,"&lt;"&amp;BD208+0.01)),BD208))</f>
        <v>3335.2938</v>
      </c>
      <c r="BS208" s="92" t="n">
        <f aca="false">IF(AC208&gt;=BE208,0,IFERROR(BE208+SUMPRODUCT((AC$4:AC$503&gt;=BE$4:BE$503)*(AC$4:AC$503-BE$4:BE$503))/MAX(1,COUNTIF(AC$4:AC$503,"&lt;"&amp;BE208+0.01)),BE208))</f>
        <v>6188.73352</v>
      </c>
      <c r="BT208" s="92" t="n">
        <f aca="false">IF(AD208&gt;=BF208,0,IFERROR(BF208+SUMPRODUCT((AD$4:AD$503&gt;=BF$4:BF$503)*(AD$4:AD$503-BF$4:BF$503))/MAX(1,COUNTIF(AD$4:AD$503,"&lt;"&amp;BF208+0.01)),BF208))</f>
        <v>11354.35411</v>
      </c>
      <c r="BU208" s="92" t="n">
        <f aca="false">IF(AE208&gt;=BG208,0,IFERROR(BG208+SUMPRODUCT((AE$4:AE$503&gt;=BG$4:BG$503)*(AE$4:AE$503-BG$4:BG$503))/MAX(1,COUNTIF(AE$4:AE$503,"&lt;"&amp;BG208+0.01)),BG208))</f>
        <v>7704.85920380952</v>
      </c>
      <c r="BV208" s="92" t="n">
        <f aca="false">IF(AF208&gt;=BH208,0,IFERROR(BH208+SUMPRODUCT((AF$4:AF$503&gt;=BH$4:BH$503)*(AF$4:AF$503-BH$4:BH$503))/MAX(1,COUNTIF(AF$4:AF$503,"&lt;"&amp;BH208+0.01)),BH208))</f>
        <v>9942.6503831579</v>
      </c>
      <c r="BW208" s="92" t="n">
        <f aca="false">IF(AG208&gt;=BI208,0,IFERROR(BI208+SUMPRODUCT((AG$4:AG$503&gt;=BI$4:BI$503)*(AG$4:AG$503-BI$4:BI$503))/MAX(1,COUNTIF(AG$4:AG$503,"&lt;"&amp;BI208+0.01)),BI208))</f>
        <v>0</v>
      </c>
      <c r="BX208" s="92" t="n">
        <f aca="false">IF(AH208&gt;=BJ208,0,IFERROR(BJ208+SUMPRODUCT((AH$4:AH$503&gt;=BJ$4:BJ$503)*(AH$4:AH$503-BJ$4:BJ$503))/MAX(1,COUNTIF(AH$4:AH$503,"&lt;"&amp;BJ208+0.01)),BJ208))</f>
        <v>5621.50263448276</v>
      </c>
      <c r="BY208" s="92" t="n">
        <f aca="false">IF(AI208&gt;=BK208,0,IFERROR(BK208+SUMPRODUCT((AI$4:AI$503&gt;=BK$4:BK$503)*(AI$4:AI$503-BK$4:BK$503))/MAX(1,COUNTIF(AI$4:AI$503,"&lt;"&amp;BK208+0.01)),BK208))</f>
        <v>7878.25652380952</v>
      </c>
      <c r="BZ208" s="92" t="n">
        <f aca="false">IF(AJ208&gt;=BL208,0,IFERROR(BL208+SUMPRODUCT((AJ$4:AJ$503&gt;=BL$4:BL$503)*(AJ$4:AJ$503-BL$4:BL$503))/MAX(1,COUNTIF(AJ$4:AJ$503,"&lt;"&amp;BL208+0.01)),BL208))</f>
        <v>6710.03292307692</v>
      </c>
      <c r="CA208" s="92" t="n">
        <f aca="false">IF(AK208&gt;=BM208,0,IFERROR(BM208+SUMPRODUCT((AK$4:AK$503&gt;=BM$4:BM$503)*(AK$4:AK$503-BM$4:BM$503))/MAX(1,COUNTIF(AK$4:AK$503,"&lt;"&amp;BM208+0.01)),BM208))</f>
        <v>0</v>
      </c>
      <c r="CB208" s="93" t="n">
        <f aca="false">IF(AL208&gt;=BN208,0,IFERROR(BN208+SUMPRODUCT((AL$4:AL$503&gt;=BN$4:BN$503)*(AL$4:AL$503-BN$4:BN$503))/MAX(1,COUNTIF(AL$4:AL$503,"&lt;"&amp;BN208+0.01)),BN208))</f>
        <v>3597.2614925</v>
      </c>
      <c r="CC208" s="95" t="str">
        <f aca="false">IF(AO208="🟢","VERDE",IF(AO208="🟡","AMARELO",IF(AO208="🟠","VERMELHO",IF(AO208="🔴","VERMELHO","ROXO"))))</f>
        <v>VERMELHO</v>
      </c>
      <c r="CD208" s="96" t="s">
        <v>176</v>
      </c>
      <c r="CE208" s="96" t="s">
        <v>66</v>
      </c>
    </row>
    <row r="209" customFormat="false" ht="14.25" hidden="false" customHeight="true" outlineLevel="0" collapsed="false">
      <c r="A209" s="65" t="s">
        <v>553</v>
      </c>
      <c r="B209" s="66" t="s">
        <v>554</v>
      </c>
      <c r="C209" s="67" t="s">
        <v>145</v>
      </c>
      <c r="D209" s="68" t="s">
        <v>100</v>
      </c>
      <c r="E209" s="69" t="s">
        <v>420</v>
      </c>
      <c r="F209" s="70" t="n">
        <f aca="false">IFERROR(VLOOKUP(C209,$AS$3:$AT$10,2,FALSE()),IFERROR(VLOOKUP(C209,$AS$15:$AT$22,2,FALSE()),""))</f>
        <v>10</v>
      </c>
      <c r="G209" s="71" t="n">
        <f aca="false">IFERROR(VLOOKUP(C209,$AS$3:$AX$10,6,FALSE()),IFERROR(VLOOKUP(C209,$AS$15:$AX$22,6,FALSE()),""))</f>
        <v>0.45643525037644</v>
      </c>
      <c r="H209" s="72" t="str">
        <f aca="false">IFERROR(VLOOKUP(C209,$AS$3:$AY$10,7,FALSE()),IFERROR(VLOOKUP(C209,$AS$15:$AY$22,7,FALSE()),""))</f>
        <v>🟡 AMARELO</v>
      </c>
      <c r="I209" s="72" t="str">
        <f aca="false">IFERROR(VLOOKUP(C209,$AS$3:$AZ$10,8,FALSE()),IFERROR(VLOOKUP(C209,$AS$15:$AZ$22,8,FALSE()),""))</f>
        <v>Sell Out</v>
      </c>
      <c r="J209" s="73"/>
      <c r="K209" s="69" t="s">
        <v>145</v>
      </c>
      <c r="L209" s="74" t="n">
        <v>5740.54</v>
      </c>
      <c r="M209" s="75" t="n">
        <v>403.4</v>
      </c>
      <c r="N209" s="75" t="n">
        <v>421.54</v>
      </c>
      <c r="O209" s="75" t="n">
        <v>431.7</v>
      </c>
      <c r="P209" s="75" t="n">
        <v>442.95</v>
      </c>
      <c r="Q209" s="75" t="n">
        <v>457.46</v>
      </c>
      <c r="R209" s="75" t="n">
        <v>469.43</v>
      </c>
      <c r="S209" s="75" t="n">
        <v>487.57</v>
      </c>
      <c r="T209" s="75" t="n">
        <v>499.54</v>
      </c>
      <c r="U209" s="75" t="n">
        <v>510.79</v>
      </c>
      <c r="V209" s="75" t="n">
        <v>523.48</v>
      </c>
      <c r="W209" s="75" t="n">
        <v>537.27</v>
      </c>
      <c r="X209" s="76" t="n">
        <v>555.41</v>
      </c>
      <c r="Y209" s="77" t="s">
        <v>20</v>
      </c>
      <c r="Z209" s="78" t="n">
        <f aca="false">SUM(AA209:AL209)</f>
        <v>2308.56</v>
      </c>
      <c r="AA209" s="75"/>
      <c r="AB209" s="79" t="n">
        <v>2308.56</v>
      </c>
      <c r="AC209" s="75"/>
      <c r="AD209" s="75"/>
      <c r="AE209" s="75"/>
      <c r="AF209" s="75"/>
      <c r="AG209" s="75"/>
      <c r="AH209" s="75"/>
      <c r="AI209" s="75"/>
      <c r="AJ209" s="75"/>
      <c r="AK209" s="75"/>
      <c r="AL209" s="76"/>
      <c r="AM209" s="56" t="s">
        <v>20</v>
      </c>
      <c r="AN209" s="80" t="n">
        <f aca="false">IF(L209=0,0,Z209/L209)</f>
        <v>0.402150320353138</v>
      </c>
      <c r="AO209" s="81" t="str">
        <f aca="false">IF(AN209="","",IF(AN209&gt;=0.9,"🟢",IF(AN209&gt;=0.7,"🟡",IF(AN209&gt;=0.5,"🟠","🔴"))))</f>
        <v>🔴</v>
      </c>
      <c r="AP209" s="82" t="n">
        <f aca="false">IF(L209=0,0,L209-Z209)</f>
        <v>3431.98</v>
      </c>
      <c r="AQ209" s="83" t="n">
        <f aca="false">IF(AP209=0,"",RANK(AP209,AP$4:AP$503,0))</f>
        <v>187</v>
      </c>
      <c r="AR209" s="84" t="s">
        <v>20</v>
      </c>
      <c r="AS209" s="141"/>
      <c r="AT209" s="141"/>
      <c r="AU209" s="141"/>
      <c r="AV209" s="141"/>
      <c r="AW209" s="141"/>
      <c r="AX209" s="141"/>
      <c r="AY209" s="142"/>
      <c r="AZ209" s="142"/>
      <c r="BA209" s="56" t="s">
        <v>20</v>
      </c>
      <c r="BB209" s="91" t="n">
        <f aca="false">SUM(L$4:L$503)/COUNTA(A$4:A$503)</f>
        <v>9494.39992</v>
      </c>
      <c r="BC209" s="92" t="n">
        <f aca="false">SUM(M$4:M$503)/COUNTA(A$4:A$503)</f>
        <v>667.20008</v>
      </c>
      <c r="BD209" s="92" t="n">
        <f aca="false">SUM(N$4:N$503)/COUNTA(A$4:A$503)</f>
        <v>697.19996</v>
      </c>
      <c r="BE209" s="92" t="n">
        <f aca="false">SUM(O$4:O$503)/COUNTA(A$4:A$503)</f>
        <v>713.9999</v>
      </c>
      <c r="BF209" s="92" t="n">
        <f aca="false">SUM(P$4:P$503)/COUNTA(A$4:A$503)</f>
        <v>732.59984</v>
      </c>
      <c r="BG209" s="92" t="n">
        <f aca="false">SUM(Q$4:Q$503)/COUNTA(A$4:A$503)</f>
        <v>756.59992</v>
      </c>
      <c r="BH209" s="92" t="n">
        <f aca="false">SUM(R$4:R$503)/COUNTA(A$4:A$503)</f>
        <v>776.40004</v>
      </c>
      <c r="BI209" s="92" t="n">
        <f aca="false">SUM(S$4:S$503)/COUNTA(A$4:A$503)</f>
        <v>806.40012</v>
      </c>
      <c r="BJ209" s="92" t="n">
        <f aca="false">SUM(T$4:T$503)/COUNTA(A$4:A$503)</f>
        <v>826.1999</v>
      </c>
      <c r="BK209" s="92" t="n">
        <f aca="false">SUM(U$4:U$503)/COUNTA(A$4:A$503)</f>
        <v>844.8002</v>
      </c>
      <c r="BL209" s="92" t="n">
        <f aca="false">SUM(V$4:V$503)/COUNTA(A$4:A$503)</f>
        <v>865.7998</v>
      </c>
      <c r="BM209" s="92" t="n">
        <f aca="false">SUM(W$4:W$503)/COUNTA(A$4:A$503)</f>
        <v>888.59982</v>
      </c>
      <c r="BN209" s="93" t="n">
        <f aca="false">SUM(X$4:X$503)/COUNTA(A$4:A$503)</f>
        <v>918.60034</v>
      </c>
      <c r="BO209" s="94" t="s">
        <v>20</v>
      </c>
      <c r="BP209" s="91" t="n">
        <f aca="false">IF(Z209&gt;=BB209,0,IFERROR(BB209+(SUMPRODUCT((Z$4:Z$503&gt;=BB$4:BB$503)*(Z$4:Z$503-BB$4:BB$503))/MAX(1,COUNTIF(Z$4:Z$503,"&lt;"&amp;BB209+0.01))),BB209))</f>
        <v>10695.5432177778</v>
      </c>
      <c r="BQ209" s="92" t="n">
        <f aca="false">IF(AA209&gt;=BC209,0,IFERROR(BC209+SUMPRODUCT((AA$4:AA$503&gt;=BC$4:BC$503)*(AA$4:AA$503-BC$4:BC$503))/MAX(1,COUNTIF(AA$4:AA$503,"&lt;"&amp;BC209+0.01)),BC209))</f>
        <v>2238.46589176471</v>
      </c>
      <c r="BR209" s="92" t="n">
        <f aca="false">IF(AB209&gt;=BD209,0,IFERROR(BD209+SUMPRODUCT((AB$4:AB$503&gt;=BD$4:BD$503)*(AB$4:AB$503-BD$4:BD$503))/MAX(1,COUNTIF(AB$4:AB$503,"&lt;"&amp;BD209+0.01)),BD209))</f>
        <v>0</v>
      </c>
      <c r="BS209" s="92" t="n">
        <f aca="false">IF(AC209&gt;=BE209,0,IFERROR(BE209+SUMPRODUCT((AC$4:AC$503&gt;=BE$4:BE$503)*(AC$4:AC$503-BE$4:BE$503))/MAX(1,COUNTIF(AC$4:AC$503,"&lt;"&amp;BE209+0.01)),BE209))</f>
        <v>6188.73352</v>
      </c>
      <c r="BT209" s="92" t="n">
        <f aca="false">IF(AD209&gt;=BF209,0,IFERROR(BF209+SUMPRODUCT((AD$4:AD$503&gt;=BF$4:BF$503)*(AD$4:AD$503-BF$4:BF$503))/MAX(1,COUNTIF(AD$4:AD$503,"&lt;"&amp;BF209+0.01)),BF209))</f>
        <v>11354.35411</v>
      </c>
      <c r="BU209" s="92" t="n">
        <f aca="false">IF(AE209&gt;=BG209,0,IFERROR(BG209+SUMPRODUCT((AE$4:AE$503&gt;=BG$4:BG$503)*(AE$4:AE$503-BG$4:BG$503))/MAX(1,COUNTIF(AE$4:AE$503,"&lt;"&amp;BG209+0.01)),BG209))</f>
        <v>7704.85920380952</v>
      </c>
      <c r="BV209" s="92" t="n">
        <f aca="false">IF(AF209&gt;=BH209,0,IFERROR(BH209+SUMPRODUCT((AF$4:AF$503&gt;=BH$4:BH$503)*(AF$4:AF$503-BH$4:BH$503))/MAX(1,COUNTIF(AF$4:AF$503,"&lt;"&amp;BH209+0.01)),BH209))</f>
        <v>9942.6503831579</v>
      </c>
      <c r="BW209" s="92" t="n">
        <f aca="false">IF(AG209&gt;=BI209,0,IFERROR(BI209+SUMPRODUCT((AG$4:AG$503&gt;=BI$4:BI$503)*(AG$4:AG$503-BI$4:BI$503))/MAX(1,COUNTIF(AG$4:AG$503,"&lt;"&amp;BI209+0.01)),BI209))</f>
        <v>9142.15870461538</v>
      </c>
      <c r="BX209" s="92" t="n">
        <f aca="false">IF(AH209&gt;=BJ209,0,IFERROR(BJ209+SUMPRODUCT((AH$4:AH$503&gt;=BJ$4:BJ$503)*(AH$4:AH$503-BJ$4:BJ$503))/MAX(1,COUNTIF(AH$4:AH$503,"&lt;"&amp;BJ209+0.01)),BJ209))</f>
        <v>5621.50263448276</v>
      </c>
      <c r="BY209" s="92" t="n">
        <f aca="false">IF(AI209&gt;=BK209,0,IFERROR(BK209+SUMPRODUCT((AI$4:AI$503&gt;=BK$4:BK$503)*(AI$4:AI$503-BK$4:BK$503))/MAX(1,COUNTIF(AI$4:AI$503,"&lt;"&amp;BK209+0.01)),BK209))</f>
        <v>7878.25652380952</v>
      </c>
      <c r="BZ209" s="92" t="n">
        <f aca="false">IF(AJ209&gt;=BL209,0,IFERROR(BL209+SUMPRODUCT((AJ$4:AJ$503&gt;=BL$4:BL$503)*(AJ$4:AJ$503-BL$4:BL$503))/MAX(1,COUNTIF(AJ$4:AJ$503,"&lt;"&amp;BL209+0.01)),BL209))</f>
        <v>6710.03292307692</v>
      </c>
      <c r="CA209" s="92" t="n">
        <f aca="false">IF(AK209&gt;=BM209,0,IFERROR(BM209+SUMPRODUCT((AK$4:AK$503&gt;=BM$4:BM$503)*(AK$4:AK$503-BM$4:BM$503))/MAX(1,COUNTIF(AK$4:AK$503,"&lt;"&amp;BM209+0.01)),BM209))</f>
        <v>7314.89836842105</v>
      </c>
      <c r="CB209" s="93" t="n">
        <f aca="false">IF(AL209&gt;=BN209,0,IFERROR(BN209+SUMPRODUCT((AL$4:AL$503&gt;=BN$4:BN$503)*(AL$4:AL$503-BN$4:BN$503))/MAX(1,COUNTIF(AL$4:AL$503,"&lt;"&amp;BN209+0.01)),BN209))</f>
        <v>3597.2614925</v>
      </c>
      <c r="CC209" s="95" t="str">
        <f aca="false">IF(AO209="🟢","VERDE",IF(AO209="🟡","AMARELO",IF(AO209="🟠","VERMELHO",IF(AO209="🔴","VERMELHO","ROXO"))))</f>
        <v>VERMELHO</v>
      </c>
      <c r="CD209" s="96" t="s">
        <v>103</v>
      </c>
      <c r="CE209" s="96" t="s">
        <v>104</v>
      </c>
    </row>
    <row r="210" customFormat="false" ht="14.25" hidden="false" customHeight="true" outlineLevel="0" collapsed="false">
      <c r="A210" s="65" t="s">
        <v>555</v>
      </c>
      <c r="B210" s="66" t="s">
        <v>556</v>
      </c>
      <c r="C210" s="67" t="s">
        <v>107</v>
      </c>
      <c r="D210" s="68" t="s">
        <v>108</v>
      </c>
      <c r="E210" s="69" t="s">
        <v>139</v>
      </c>
      <c r="F210" s="70" t="n">
        <f aca="false">IFERROR(VLOOKUP(C210,$AS$3:$AT$10,2,FALSE()),IFERROR(VLOOKUP(C210,$AS$15:$AT$22,2,FALSE()),""))</f>
        <v>132</v>
      </c>
      <c r="G210" s="71" t="n">
        <f aca="false">IFERROR(VLOOKUP(C210,$AS$3:$AX$10,6,FALSE()),IFERROR(VLOOKUP(C210,$AS$15:$AX$22,6,FALSE()),""))</f>
        <v>0.468190175850689</v>
      </c>
      <c r="H210" s="72" t="str">
        <f aca="false">IFERROR(VLOOKUP(C210,$AS$3:$AY$10,7,FALSE()),IFERROR(VLOOKUP(C210,$AS$15:$AY$22,7,FALSE()),""))</f>
        <v>🟡 AMARELO</v>
      </c>
      <c r="I210" s="72" t="str">
        <f aca="false">IFERROR(VLOOKUP(C210,$AS$3:$AZ$10,8,FALSE()),IFERROR(VLOOKUP(C210,$AS$15:$AZ$22,8,FALSE()),""))</f>
        <v>Sell Out</v>
      </c>
      <c r="J210" s="73"/>
      <c r="K210" s="69" t="s">
        <v>107</v>
      </c>
      <c r="L210" s="74" t="n">
        <v>5729.89</v>
      </c>
      <c r="M210" s="75" t="n">
        <v>402.66</v>
      </c>
      <c r="N210" s="75" t="n">
        <v>420.76</v>
      </c>
      <c r="O210" s="75" t="n">
        <v>430.9</v>
      </c>
      <c r="P210" s="75" t="n">
        <v>442.13</v>
      </c>
      <c r="Q210" s="75" t="n">
        <v>456.61</v>
      </c>
      <c r="R210" s="75" t="n">
        <v>468.56</v>
      </c>
      <c r="S210" s="75" t="n">
        <v>486.66</v>
      </c>
      <c r="T210" s="75" t="n">
        <v>498.61</v>
      </c>
      <c r="U210" s="75" t="n">
        <v>509.84</v>
      </c>
      <c r="V210" s="75" t="n">
        <v>522.51</v>
      </c>
      <c r="W210" s="75" t="n">
        <v>536.27</v>
      </c>
      <c r="X210" s="76" t="n">
        <v>554.38</v>
      </c>
      <c r="Y210" s="77" t="s">
        <v>20</v>
      </c>
      <c r="Z210" s="78" t="n">
        <f aca="false">SUM(AA210:AL210)</f>
        <v>6773.29</v>
      </c>
      <c r="AA210" s="75"/>
      <c r="AB210" s="75"/>
      <c r="AC210" s="75"/>
      <c r="AD210" s="75"/>
      <c r="AE210" s="75"/>
      <c r="AF210" s="79" t="n">
        <v>1224.28</v>
      </c>
      <c r="AG210" s="79" t="n">
        <v>1137.84</v>
      </c>
      <c r="AH210" s="75"/>
      <c r="AI210" s="75"/>
      <c r="AJ210" s="75" t="n">
        <v>2491.65</v>
      </c>
      <c r="AK210" s="75"/>
      <c r="AL210" s="76" t="n">
        <v>1919.52</v>
      </c>
      <c r="AM210" s="56" t="s">
        <v>20</v>
      </c>
      <c r="AN210" s="80" t="n">
        <f aca="false">IF(L210=0,0,Z210/L210)</f>
        <v>1.18209773660576</v>
      </c>
      <c r="AO210" s="81" t="str">
        <f aca="false">IF(AN210="","",IF(AN210&gt;=0.9,"🟢",IF(AN210&gt;=0.7,"🟡",IF(AN210&gt;=0.5,"🟠","🔴"))))</f>
        <v>🟢</v>
      </c>
      <c r="AP210" s="82" t="n">
        <f aca="false">IF(L210=0,0,L210-Z210)</f>
        <v>-1043.4</v>
      </c>
      <c r="AQ210" s="83" t="n">
        <f aca="false">IF(AP210=0,"",RANK(AP210,AP$4:AP$503,0))</f>
        <v>495</v>
      </c>
      <c r="AR210" s="84" t="s">
        <v>20</v>
      </c>
      <c r="AS210" s="141"/>
      <c r="AT210" s="141"/>
      <c r="AU210" s="141"/>
      <c r="AV210" s="141"/>
      <c r="AW210" s="141"/>
      <c r="AX210" s="141"/>
      <c r="AY210" s="142"/>
      <c r="AZ210" s="142"/>
      <c r="BA210" s="56" t="s">
        <v>20</v>
      </c>
      <c r="BB210" s="91" t="n">
        <f aca="false">SUM(L$4:L$503)/COUNTA(A$4:A$503)</f>
        <v>9494.39992</v>
      </c>
      <c r="BC210" s="92" t="n">
        <f aca="false">SUM(M$4:M$503)/COUNTA(A$4:A$503)</f>
        <v>667.20008</v>
      </c>
      <c r="BD210" s="92" t="n">
        <f aca="false">SUM(N$4:N$503)/COUNTA(A$4:A$503)</f>
        <v>697.19996</v>
      </c>
      <c r="BE210" s="92" t="n">
        <f aca="false">SUM(O$4:O$503)/COUNTA(A$4:A$503)</f>
        <v>713.9999</v>
      </c>
      <c r="BF210" s="92" t="n">
        <f aca="false">SUM(P$4:P$503)/COUNTA(A$4:A$503)</f>
        <v>732.59984</v>
      </c>
      <c r="BG210" s="92" t="n">
        <f aca="false">SUM(Q$4:Q$503)/COUNTA(A$4:A$503)</f>
        <v>756.59992</v>
      </c>
      <c r="BH210" s="92" t="n">
        <f aca="false">SUM(R$4:R$503)/COUNTA(A$4:A$503)</f>
        <v>776.40004</v>
      </c>
      <c r="BI210" s="92" t="n">
        <f aca="false">SUM(S$4:S$503)/COUNTA(A$4:A$503)</f>
        <v>806.40012</v>
      </c>
      <c r="BJ210" s="92" t="n">
        <f aca="false">SUM(T$4:T$503)/COUNTA(A$4:A$503)</f>
        <v>826.1999</v>
      </c>
      <c r="BK210" s="92" t="n">
        <f aca="false">SUM(U$4:U$503)/COUNTA(A$4:A$503)</f>
        <v>844.8002</v>
      </c>
      <c r="BL210" s="92" t="n">
        <f aca="false">SUM(V$4:V$503)/COUNTA(A$4:A$503)</f>
        <v>865.7998</v>
      </c>
      <c r="BM210" s="92" t="n">
        <f aca="false">SUM(W$4:W$503)/COUNTA(A$4:A$503)</f>
        <v>888.59982</v>
      </c>
      <c r="BN210" s="93" t="n">
        <f aca="false">SUM(X$4:X$503)/COUNTA(A$4:A$503)</f>
        <v>918.60034</v>
      </c>
      <c r="BO210" s="94" t="s">
        <v>20</v>
      </c>
      <c r="BP210" s="91" t="n">
        <f aca="false">IF(Z210&gt;=BB210,0,IFERROR(BB210+(SUMPRODUCT((Z$4:Z$503&gt;=BB$4:BB$503)*(Z$4:Z$503-BB$4:BB$503))/MAX(1,COUNTIF(Z$4:Z$503,"&lt;"&amp;BB210+0.01))),BB210))</f>
        <v>10695.5432177778</v>
      </c>
      <c r="BQ210" s="92" t="n">
        <f aca="false">IF(AA210&gt;=BC210,0,IFERROR(BC210+SUMPRODUCT((AA$4:AA$503&gt;=BC$4:BC$503)*(AA$4:AA$503-BC$4:BC$503))/MAX(1,COUNTIF(AA$4:AA$503,"&lt;"&amp;BC210+0.01)),BC210))</f>
        <v>2238.46589176471</v>
      </c>
      <c r="BR210" s="92" t="n">
        <f aca="false">IF(AB210&gt;=BD210,0,IFERROR(BD210+SUMPRODUCT((AB$4:AB$503&gt;=BD$4:BD$503)*(AB$4:AB$503-BD$4:BD$503))/MAX(1,COUNTIF(AB$4:AB$503,"&lt;"&amp;BD210+0.01)),BD210))</f>
        <v>3335.2938</v>
      </c>
      <c r="BS210" s="92" t="n">
        <f aca="false">IF(AC210&gt;=BE210,0,IFERROR(BE210+SUMPRODUCT((AC$4:AC$503&gt;=BE$4:BE$503)*(AC$4:AC$503-BE$4:BE$503))/MAX(1,COUNTIF(AC$4:AC$503,"&lt;"&amp;BE210+0.01)),BE210))</f>
        <v>6188.73352</v>
      </c>
      <c r="BT210" s="92" t="n">
        <f aca="false">IF(AD210&gt;=BF210,0,IFERROR(BF210+SUMPRODUCT((AD$4:AD$503&gt;=BF$4:BF$503)*(AD$4:AD$503-BF$4:BF$503))/MAX(1,COUNTIF(AD$4:AD$503,"&lt;"&amp;BF210+0.01)),BF210))</f>
        <v>11354.35411</v>
      </c>
      <c r="BU210" s="92" t="n">
        <f aca="false">IF(AE210&gt;=BG210,0,IFERROR(BG210+SUMPRODUCT((AE$4:AE$503&gt;=BG$4:BG$503)*(AE$4:AE$503-BG$4:BG$503))/MAX(1,COUNTIF(AE$4:AE$503,"&lt;"&amp;BG210+0.01)),BG210))</f>
        <v>7704.85920380952</v>
      </c>
      <c r="BV210" s="92" t="n">
        <f aca="false">IF(AF210&gt;=BH210,0,IFERROR(BH210+SUMPRODUCT((AF$4:AF$503&gt;=BH$4:BH$503)*(AF$4:AF$503-BH$4:BH$503))/MAX(1,COUNTIF(AF$4:AF$503,"&lt;"&amp;BH210+0.01)),BH210))</f>
        <v>0</v>
      </c>
      <c r="BW210" s="92" t="n">
        <f aca="false">IF(AG210&gt;=BI210,0,IFERROR(BI210+SUMPRODUCT((AG$4:AG$503&gt;=BI$4:BI$503)*(AG$4:AG$503-BI$4:BI$503))/MAX(1,COUNTIF(AG$4:AG$503,"&lt;"&amp;BI210+0.01)),BI210))</f>
        <v>0</v>
      </c>
      <c r="BX210" s="92" t="n">
        <f aca="false">IF(AH210&gt;=BJ210,0,IFERROR(BJ210+SUMPRODUCT((AH$4:AH$503&gt;=BJ$4:BJ$503)*(AH$4:AH$503-BJ$4:BJ$503))/MAX(1,COUNTIF(AH$4:AH$503,"&lt;"&amp;BJ210+0.01)),BJ210))</f>
        <v>5621.50263448276</v>
      </c>
      <c r="BY210" s="92" t="n">
        <f aca="false">IF(AI210&gt;=BK210,0,IFERROR(BK210+SUMPRODUCT((AI$4:AI$503&gt;=BK$4:BK$503)*(AI$4:AI$503-BK$4:BK$503))/MAX(1,COUNTIF(AI$4:AI$503,"&lt;"&amp;BK210+0.01)),BK210))</f>
        <v>7878.25652380952</v>
      </c>
      <c r="BZ210" s="92" t="n">
        <f aca="false">IF(AJ210&gt;=BL210,0,IFERROR(BL210+SUMPRODUCT((AJ$4:AJ$503&gt;=BL$4:BL$503)*(AJ$4:AJ$503-BL$4:BL$503))/MAX(1,COUNTIF(AJ$4:AJ$503,"&lt;"&amp;BL210+0.01)),BL210))</f>
        <v>0</v>
      </c>
      <c r="CA210" s="92" t="n">
        <f aca="false">IF(AK210&gt;=BM210,0,IFERROR(BM210+SUMPRODUCT((AK$4:AK$503&gt;=BM$4:BM$503)*(AK$4:AK$503-BM$4:BM$503))/MAX(1,COUNTIF(AK$4:AK$503,"&lt;"&amp;BM210+0.01)),BM210))</f>
        <v>7314.89836842105</v>
      </c>
      <c r="CB210" s="93" t="n">
        <f aca="false">IF(AL210&gt;=BN210,0,IFERROR(BN210+SUMPRODUCT((AL$4:AL$503&gt;=BN$4:BN$503)*(AL$4:AL$503-BN$4:BN$503))/MAX(1,COUNTIF(AL$4:AL$503,"&lt;"&amp;BN210+0.01)),BN210))</f>
        <v>0</v>
      </c>
      <c r="CC210" s="95" t="str">
        <f aca="false">IF(AO210="🟢","VERDE",IF(AO210="🟡","AMARELO",IF(AO210="🟠","VERMELHO",IF(AO210="🔴","VERMELHO","ROXO"))))</f>
        <v>VERDE</v>
      </c>
      <c r="CD210" s="96" t="s">
        <v>103</v>
      </c>
      <c r="CE210" s="96" t="s">
        <v>104</v>
      </c>
    </row>
    <row r="211" customFormat="false" ht="14.25" hidden="false" customHeight="true" outlineLevel="0" collapsed="false">
      <c r="A211" s="65" t="s">
        <v>557</v>
      </c>
      <c r="B211" s="66" t="s">
        <v>558</v>
      </c>
      <c r="C211" s="67" t="s">
        <v>113</v>
      </c>
      <c r="D211" s="68" t="s">
        <v>100</v>
      </c>
      <c r="E211" s="69" t="s">
        <v>114</v>
      </c>
      <c r="F211" s="70" t="n">
        <f aca="false">IFERROR(VLOOKUP(C211,$AS$3:$AT$10,2,FALSE()),IFERROR(VLOOKUP(C211,$AS$15:$AT$22,2,FALSE()),""))</f>
        <v>49</v>
      </c>
      <c r="G211" s="71" t="n">
        <f aca="false">IFERROR(VLOOKUP(C211,$AS$3:$AX$10,6,FALSE()),IFERROR(VLOOKUP(C211,$AS$15:$AX$22,6,FALSE()),""))</f>
        <v>0.463965086137302</v>
      </c>
      <c r="H211" s="72" t="str">
        <f aca="false">IFERROR(VLOOKUP(C211,$AS$3:$AY$10,7,FALSE()),IFERROR(VLOOKUP(C211,$AS$15:$AY$22,7,FALSE()),""))</f>
        <v>🟡 AMARELO</v>
      </c>
      <c r="I211" s="72" t="str">
        <f aca="false">IFERROR(VLOOKUP(C211,$AS$3:$AZ$10,8,FALSE()),IFERROR(VLOOKUP(C211,$AS$15:$AZ$22,8,FALSE()),""))</f>
        <v>Sell Out</v>
      </c>
      <c r="J211" s="73"/>
      <c r="K211" s="69" t="s">
        <v>113</v>
      </c>
      <c r="L211" s="74" t="n">
        <v>5729.49</v>
      </c>
      <c r="M211" s="75" t="n">
        <v>402.63</v>
      </c>
      <c r="N211" s="75" t="n">
        <v>420.73</v>
      </c>
      <c r="O211" s="75" t="n">
        <v>430.87</v>
      </c>
      <c r="P211" s="75" t="n">
        <v>442.09</v>
      </c>
      <c r="Q211" s="75" t="n">
        <v>456.58</v>
      </c>
      <c r="R211" s="75" t="n">
        <v>468.53</v>
      </c>
      <c r="S211" s="75" t="n">
        <v>486.63</v>
      </c>
      <c r="T211" s="75" t="n">
        <v>498.58</v>
      </c>
      <c r="U211" s="75" t="n">
        <v>509.8</v>
      </c>
      <c r="V211" s="75" t="n">
        <v>522.48</v>
      </c>
      <c r="W211" s="75" t="n">
        <v>536.23</v>
      </c>
      <c r="X211" s="76" t="n">
        <v>554.34</v>
      </c>
      <c r="Y211" s="77" t="s">
        <v>20</v>
      </c>
      <c r="Z211" s="78" t="n">
        <f aca="false">SUM(AA211:AL211)</f>
        <v>2304.12</v>
      </c>
      <c r="AA211" s="75"/>
      <c r="AB211" s="79" t="n">
        <v>673.87</v>
      </c>
      <c r="AC211" s="75"/>
      <c r="AD211" s="75"/>
      <c r="AE211" s="75"/>
      <c r="AF211" s="75"/>
      <c r="AG211" s="75"/>
      <c r="AH211" s="75"/>
      <c r="AI211" s="75"/>
      <c r="AJ211" s="75"/>
      <c r="AK211" s="75"/>
      <c r="AL211" s="107" t="n">
        <v>1630.25</v>
      </c>
      <c r="AM211" s="56" t="s">
        <v>20</v>
      </c>
      <c r="AN211" s="80" t="n">
        <f aca="false">IF(L211=0,0,Z211/L211)</f>
        <v>0.40215097678851</v>
      </c>
      <c r="AO211" s="81" t="str">
        <f aca="false">IF(AN211="","",IF(AN211&gt;=0.9,"🟢",IF(AN211&gt;=0.7,"🟡",IF(AN211&gt;=0.5,"🟠","🔴"))))</f>
        <v>🔴</v>
      </c>
      <c r="AP211" s="82" t="n">
        <f aca="false">IF(L211=0,0,L211-Z211)</f>
        <v>3425.37</v>
      </c>
      <c r="AQ211" s="83" t="n">
        <f aca="false">IF(AP211=0,"",RANK(AP211,AP$4:AP$503,0))</f>
        <v>189</v>
      </c>
      <c r="AR211" s="84" t="s">
        <v>20</v>
      </c>
      <c r="AS211" s="141"/>
      <c r="AT211" s="141"/>
      <c r="AU211" s="141"/>
      <c r="AV211" s="141"/>
      <c r="AW211" s="141"/>
      <c r="AX211" s="141"/>
      <c r="AY211" s="142"/>
      <c r="AZ211" s="142"/>
      <c r="BA211" s="56" t="s">
        <v>20</v>
      </c>
      <c r="BB211" s="91" t="n">
        <f aca="false">SUM(L$4:L$503)/COUNTA(A$4:A$503)</f>
        <v>9494.39992</v>
      </c>
      <c r="BC211" s="92" t="n">
        <f aca="false">SUM(M$4:M$503)/COUNTA(A$4:A$503)</f>
        <v>667.20008</v>
      </c>
      <c r="BD211" s="92" t="n">
        <f aca="false">SUM(N$4:N$503)/COUNTA(A$4:A$503)</f>
        <v>697.19996</v>
      </c>
      <c r="BE211" s="92" t="n">
        <f aca="false">SUM(O$4:O$503)/COUNTA(A$4:A$503)</f>
        <v>713.9999</v>
      </c>
      <c r="BF211" s="92" t="n">
        <f aca="false">SUM(P$4:P$503)/COUNTA(A$4:A$503)</f>
        <v>732.59984</v>
      </c>
      <c r="BG211" s="92" t="n">
        <f aca="false">SUM(Q$4:Q$503)/COUNTA(A$4:A$503)</f>
        <v>756.59992</v>
      </c>
      <c r="BH211" s="92" t="n">
        <f aca="false">SUM(R$4:R$503)/COUNTA(A$4:A$503)</f>
        <v>776.40004</v>
      </c>
      <c r="BI211" s="92" t="n">
        <f aca="false">SUM(S$4:S$503)/COUNTA(A$4:A$503)</f>
        <v>806.40012</v>
      </c>
      <c r="BJ211" s="92" t="n">
        <f aca="false">SUM(T$4:T$503)/COUNTA(A$4:A$503)</f>
        <v>826.1999</v>
      </c>
      <c r="BK211" s="92" t="n">
        <f aca="false">SUM(U$4:U$503)/COUNTA(A$4:A$503)</f>
        <v>844.8002</v>
      </c>
      <c r="BL211" s="92" t="n">
        <f aca="false">SUM(V$4:V$503)/COUNTA(A$4:A$503)</f>
        <v>865.7998</v>
      </c>
      <c r="BM211" s="92" t="n">
        <f aca="false">SUM(W$4:W$503)/COUNTA(A$4:A$503)</f>
        <v>888.59982</v>
      </c>
      <c r="BN211" s="93" t="n">
        <f aca="false">SUM(X$4:X$503)/COUNTA(A$4:A$503)</f>
        <v>918.60034</v>
      </c>
      <c r="BO211" s="94" t="s">
        <v>20</v>
      </c>
      <c r="BP211" s="91" t="n">
        <f aca="false">IF(Z211&gt;=BB211,0,IFERROR(BB211+(SUMPRODUCT((Z$4:Z$503&gt;=BB$4:BB$503)*(Z$4:Z$503-BB$4:BB$503))/MAX(1,COUNTIF(Z$4:Z$503,"&lt;"&amp;BB211+0.01))),BB211))</f>
        <v>10695.5432177778</v>
      </c>
      <c r="BQ211" s="92" t="n">
        <f aca="false">IF(AA211&gt;=BC211,0,IFERROR(BC211+SUMPRODUCT((AA$4:AA$503&gt;=BC$4:BC$503)*(AA$4:AA$503-BC$4:BC$503))/MAX(1,COUNTIF(AA$4:AA$503,"&lt;"&amp;BC211+0.01)),BC211))</f>
        <v>2238.46589176471</v>
      </c>
      <c r="BR211" s="92" t="n">
        <f aca="false">IF(AB211&gt;=BD211,0,IFERROR(BD211+SUMPRODUCT((AB$4:AB$503&gt;=BD$4:BD$503)*(AB$4:AB$503-BD$4:BD$503))/MAX(1,COUNTIF(AB$4:AB$503,"&lt;"&amp;BD211+0.01)),BD211))</f>
        <v>3335.2938</v>
      </c>
      <c r="BS211" s="92" t="n">
        <f aca="false">IF(AC211&gt;=BE211,0,IFERROR(BE211+SUMPRODUCT((AC$4:AC$503&gt;=BE$4:BE$503)*(AC$4:AC$503-BE$4:BE$503))/MAX(1,COUNTIF(AC$4:AC$503,"&lt;"&amp;BE211+0.01)),BE211))</f>
        <v>6188.73352</v>
      </c>
      <c r="BT211" s="92" t="n">
        <f aca="false">IF(AD211&gt;=BF211,0,IFERROR(BF211+SUMPRODUCT((AD$4:AD$503&gt;=BF$4:BF$503)*(AD$4:AD$503-BF$4:BF$503))/MAX(1,COUNTIF(AD$4:AD$503,"&lt;"&amp;BF211+0.01)),BF211))</f>
        <v>11354.35411</v>
      </c>
      <c r="BU211" s="92" t="n">
        <f aca="false">IF(AE211&gt;=BG211,0,IFERROR(BG211+SUMPRODUCT((AE$4:AE$503&gt;=BG$4:BG$503)*(AE$4:AE$503-BG$4:BG$503))/MAX(1,COUNTIF(AE$4:AE$503,"&lt;"&amp;BG211+0.01)),BG211))</f>
        <v>7704.85920380952</v>
      </c>
      <c r="BV211" s="92" t="n">
        <f aca="false">IF(AF211&gt;=BH211,0,IFERROR(BH211+SUMPRODUCT((AF$4:AF$503&gt;=BH$4:BH$503)*(AF$4:AF$503-BH$4:BH$503))/MAX(1,COUNTIF(AF$4:AF$503,"&lt;"&amp;BH211+0.01)),BH211))</f>
        <v>9942.6503831579</v>
      </c>
      <c r="BW211" s="92" t="n">
        <f aca="false">IF(AG211&gt;=BI211,0,IFERROR(BI211+SUMPRODUCT((AG$4:AG$503&gt;=BI$4:BI$503)*(AG$4:AG$503-BI$4:BI$503))/MAX(1,COUNTIF(AG$4:AG$503,"&lt;"&amp;BI211+0.01)),BI211))</f>
        <v>9142.15870461538</v>
      </c>
      <c r="BX211" s="92" t="n">
        <f aca="false">IF(AH211&gt;=BJ211,0,IFERROR(BJ211+SUMPRODUCT((AH$4:AH$503&gt;=BJ$4:BJ$503)*(AH$4:AH$503-BJ$4:BJ$503))/MAX(1,COUNTIF(AH$4:AH$503,"&lt;"&amp;BJ211+0.01)),BJ211))</f>
        <v>5621.50263448276</v>
      </c>
      <c r="BY211" s="92" t="n">
        <f aca="false">IF(AI211&gt;=BK211,0,IFERROR(BK211+SUMPRODUCT((AI$4:AI$503&gt;=BK$4:BK$503)*(AI$4:AI$503-BK$4:BK$503))/MAX(1,COUNTIF(AI$4:AI$503,"&lt;"&amp;BK211+0.01)),BK211))</f>
        <v>7878.25652380952</v>
      </c>
      <c r="BZ211" s="92" t="n">
        <f aca="false">IF(AJ211&gt;=BL211,0,IFERROR(BL211+SUMPRODUCT((AJ$4:AJ$503&gt;=BL$4:BL$503)*(AJ$4:AJ$503-BL$4:BL$503))/MAX(1,COUNTIF(AJ$4:AJ$503,"&lt;"&amp;BL211+0.01)),BL211))</f>
        <v>6710.03292307692</v>
      </c>
      <c r="CA211" s="92" t="n">
        <f aca="false">IF(AK211&gt;=BM211,0,IFERROR(BM211+SUMPRODUCT((AK$4:AK$503&gt;=BM$4:BM$503)*(AK$4:AK$503-BM$4:BM$503))/MAX(1,COUNTIF(AK$4:AK$503,"&lt;"&amp;BM211+0.01)),BM211))</f>
        <v>7314.89836842105</v>
      </c>
      <c r="CB211" s="93" t="n">
        <f aca="false">IF(AL211&gt;=BN211,0,IFERROR(BN211+SUMPRODUCT((AL$4:AL$503&gt;=BN$4:BN$503)*(AL$4:AL$503-BN$4:BN$503))/MAX(1,COUNTIF(AL$4:AL$503,"&lt;"&amp;BN211+0.01)),BN211))</f>
        <v>0</v>
      </c>
      <c r="CC211" s="95" t="str">
        <f aca="false">IF(AO211="🟢","VERDE",IF(AO211="🟡","AMARELO",IF(AO211="🟠","VERMELHO",IF(AO211="🔴","VERMELHO","ROXO"))))</f>
        <v>VERMELHO</v>
      </c>
      <c r="CD211" s="96" t="s">
        <v>103</v>
      </c>
      <c r="CE211" s="96" t="s">
        <v>104</v>
      </c>
    </row>
    <row r="212" customFormat="false" ht="14.25" hidden="false" customHeight="true" outlineLevel="0" collapsed="false">
      <c r="A212" s="65" t="s">
        <v>559</v>
      </c>
      <c r="B212" s="66" t="s">
        <v>560</v>
      </c>
      <c r="C212" s="67" t="s">
        <v>107</v>
      </c>
      <c r="D212" s="68" t="s">
        <v>108</v>
      </c>
      <c r="E212" s="69" t="s">
        <v>139</v>
      </c>
      <c r="F212" s="70" t="n">
        <f aca="false">IFERROR(VLOOKUP(C212,$AS$3:$AT$10,2,FALSE()),IFERROR(VLOOKUP(C212,$AS$15:$AT$22,2,FALSE()),""))</f>
        <v>132</v>
      </c>
      <c r="G212" s="71" t="n">
        <f aca="false">IFERROR(VLOOKUP(C212,$AS$3:$AX$10,6,FALSE()),IFERROR(VLOOKUP(C212,$AS$15:$AX$22,6,FALSE()),""))</f>
        <v>0.468190175850689</v>
      </c>
      <c r="H212" s="72" t="str">
        <f aca="false">IFERROR(VLOOKUP(C212,$AS$3:$AY$10,7,FALSE()),IFERROR(VLOOKUP(C212,$AS$15:$AY$22,7,FALSE()),""))</f>
        <v>🟡 AMARELO</v>
      </c>
      <c r="I212" s="72" t="str">
        <f aca="false">IFERROR(VLOOKUP(C212,$AS$3:$AZ$10,8,FALSE()),IFERROR(VLOOKUP(C212,$AS$15:$AZ$22,8,FALSE()),""))</f>
        <v>Sell Out</v>
      </c>
      <c r="J212" s="73"/>
      <c r="K212" s="69" t="s">
        <v>107</v>
      </c>
      <c r="L212" s="74" t="n">
        <v>5724.22</v>
      </c>
      <c r="M212" s="75" t="n">
        <v>402.26</v>
      </c>
      <c r="N212" s="75" t="n">
        <v>420.35</v>
      </c>
      <c r="O212" s="75" t="n">
        <v>430.47</v>
      </c>
      <c r="P212" s="75" t="n">
        <v>441.69</v>
      </c>
      <c r="Q212" s="75" t="n">
        <v>456.16</v>
      </c>
      <c r="R212" s="75" t="n">
        <v>468.1</v>
      </c>
      <c r="S212" s="75" t="n">
        <v>486.18</v>
      </c>
      <c r="T212" s="75" t="n">
        <v>498.12</v>
      </c>
      <c r="U212" s="75" t="n">
        <v>509.33</v>
      </c>
      <c r="V212" s="75" t="n">
        <v>521.99</v>
      </c>
      <c r="W212" s="75" t="n">
        <v>535.74</v>
      </c>
      <c r="X212" s="76" t="n">
        <v>553.83</v>
      </c>
      <c r="Y212" s="77" t="s">
        <v>20</v>
      </c>
      <c r="Z212" s="78" t="n">
        <f aca="false">SUM(AA212:AL212)</f>
        <v>2295.48</v>
      </c>
      <c r="AA212" s="79" t="n">
        <v>1534</v>
      </c>
      <c r="AB212" s="75"/>
      <c r="AC212" s="75"/>
      <c r="AD212" s="75"/>
      <c r="AE212" s="75"/>
      <c r="AF212" s="75"/>
      <c r="AG212" s="79" t="n">
        <v>761.48</v>
      </c>
      <c r="AH212" s="75"/>
      <c r="AI212" s="75"/>
      <c r="AJ212" s="75"/>
      <c r="AK212" s="75"/>
      <c r="AL212" s="76"/>
      <c r="AM212" s="56" t="s">
        <v>20</v>
      </c>
      <c r="AN212" s="80" t="n">
        <f aca="false">IF(L212=0,0,Z212/L212)</f>
        <v>0.40101184091457</v>
      </c>
      <c r="AO212" s="81" t="str">
        <f aca="false">IF(AN212="","",IF(AN212&gt;=0.9,"🟢",IF(AN212&gt;=0.7,"🟡",IF(AN212&gt;=0.5,"🟠","🔴"))))</f>
        <v>🔴</v>
      </c>
      <c r="AP212" s="82" t="n">
        <f aca="false">IF(L212=0,0,L212-Z212)</f>
        <v>3428.74</v>
      </c>
      <c r="AQ212" s="83" t="n">
        <f aca="false">IF(AP212=0,"",RANK(AP212,AP$4:AP$503,0))</f>
        <v>188</v>
      </c>
      <c r="AR212" s="84" t="s">
        <v>20</v>
      </c>
      <c r="AS212" s="141"/>
      <c r="AT212" s="141"/>
      <c r="AU212" s="141"/>
      <c r="AV212" s="141"/>
      <c r="AW212" s="141"/>
      <c r="AX212" s="141"/>
      <c r="AY212" s="142"/>
      <c r="AZ212" s="142"/>
      <c r="BA212" s="56" t="s">
        <v>20</v>
      </c>
      <c r="BB212" s="91" t="n">
        <f aca="false">SUM(L$4:L$503)/COUNTA(A$4:A$503)</f>
        <v>9494.39992</v>
      </c>
      <c r="BC212" s="92" t="n">
        <f aca="false">SUM(M$4:M$503)/COUNTA(A$4:A$503)</f>
        <v>667.20008</v>
      </c>
      <c r="BD212" s="92" t="n">
        <f aca="false">SUM(N$4:N$503)/COUNTA(A$4:A$503)</f>
        <v>697.19996</v>
      </c>
      <c r="BE212" s="92" t="n">
        <f aca="false">SUM(O$4:O$503)/COUNTA(A$4:A$503)</f>
        <v>713.9999</v>
      </c>
      <c r="BF212" s="92" t="n">
        <f aca="false">SUM(P$4:P$503)/COUNTA(A$4:A$503)</f>
        <v>732.59984</v>
      </c>
      <c r="BG212" s="92" t="n">
        <f aca="false">SUM(Q$4:Q$503)/COUNTA(A$4:A$503)</f>
        <v>756.59992</v>
      </c>
      <c r="BH212" s="92" t="n">
        <f aca="false">SUM(R$4:R$503)/COUNTA(A$4:A$503)</f>
        <v>776.40004</v>
      </c>
      <c r="BI212" s="92" t="n">
        <f aca="false">SUM(S$4:S$503)/COUNTA(A$4:A$503)</f>
        <v>806.40012</v>
      </c>
      <c r="BJ212" s="92" t="n">
        <f aca="false">SUM(T$4:T$503)/COUNTA(A$4:A$503)</f>
        <v>826.1999</v>
      </c>
      <c r="BK212" s="92" t="n">
        <f aca="false">SUM(U$4:U$503)/COUNTA(A$4:A$503)</f>
        <v>844.8002</v>
      </c>
      <c r="BL212" s="92" t="n">
        <f aca="false">SUM(V$4:V$503)/COUNTA(A$4:A$503)</f>
        <v>865.7998</v>
      </c>
      <c r="BM212" s="92" t="n">
        <f aca="false">SUM(W$4:W$503)/COUNTA(A$4:A$503)</f>
        <v>888.59982</v>
      </c>
      <c r="BN212" s="93" t="n">
        <f aca="false">SUM(X$4:X$503)/COUNTA(A$4:A$503)</f>
        <v>918.60034</v>
      </c>
      <c r="BO212" s="94" t="s">
        <v>20</v>
      </c>
      <c r="BP212" s="91" t="n">
        <f aca="false">IF(Z212&gt;=BB212,0,IFERROR(BB212+(SUMPRODUCT((Z$4:Z$503&gt;=BB$4:BB$503)*(Z$4:Z$503-BB$4:BB$503))/MAX(1,COUNTIF(Z$4:Z$503,"&lt;"&amp;BB212+0.01))),BB212))</f>
        <v>10695.5432177778</v>
      </c>
      <c r="BQ212" s="92" t="n">
        <f aca="false">IF(AA212&gt;=BC212,0,IFERROR(BC212+SUMPRODUCT((AA$4:AA$503&gt;=BC$4:BC$503)*(AA$4:AA$503-BC$4:BC$503))/MAX(1,COUNTIF(AA$4:AA$503,"&lt;"&amp;BC212+0.01)),BC212))</f>
        <v>0</v>
      </c>
      <c r="BR212" s="92" t="n">
        <f aca="false">IF(AB212&gt;=BD212,0,IFERROR(BD212+SUMPRODUCT((AB$4:AB$503&gt;=BD$4:BD$503)*(AB$4:AB$503-BD$4:BD$503))/MAX(1,COUNTIF(AB$4:AB$503,"&lt;"&amp;BD212+0.01)),BD212))</f>
        <v>3335.2938</v>
      </c>
      <c r="BS212" s="92" t="n">
        <f aca="false">IF(AC212&gt;=BE212,0,IFERROR(BE212+SUMPRODUCT((AC$4:AC$503&gt;=BE$4:BE$503)*(AC$4:AC$503-BE$4:BE$503))/MAX(1,COUNTIF(AC$4:AC$503,"&lt;"&amp;BE212+0.01)),BE212))</f>
        <v>6188.73352</v>
      </c>
      <c r="BT212" s="92" t="n">
        <f aca="false">IF(AD212&gt;=BF212,0,IFERROR(BF212+SUMPRODUCT((AD$4:AD$503&gt;=BF$4:BF$503)*(AD$4:AD$503-BF$4:BF$503))/MAX(1,COUNTIF(AD$4:AD$503,"&lt;"&amp;BF212+0.01)),BF212))</f>
        <v>11354.35411</v>
      </c>
      <c r="BU212" s="92" t="n">
        <f aca="false">IF(AE212&gt;=BG212,0,IFERROR(BG212+SUMPRODUCT((AE$4:AE$503&gt;=BG$4:BG$503)*(AE$4:AE$503-BG$4:BG$503))/MAX(1,COUNTIF(AE$4:AE$503,"&lt;"&amp;BG212+0.01)),BG212))</f>
        <v>7704.85920380952</v>
      </c>
      <c r="BV212" s="92" t="n">
        <f aca="false">IF(AF212&gt;=BH212,0,IFERROR(BH212+SUMPRODUCT((AF$4:AF$503&gt;=BH$4:BH$503)*(AF$4:AF$503-BH$4:BH$503))/MAX(1,COUNTIF(AF$4:AF$503,"&lt;"&amp;BH212+0.01)),BH212))</f>
        <v>9942.6503831579</v>
      </c>
      <c r="BW212" s="92" t="n">
        <f aca="false">IF(AG212&gt;=BI212,0,IFERROR(BI212+SUMPRODUCT((AG$4:AG$503&gt;=BI$4:BI$503)*(AG$4:AG$503-BI$4:BI$503))/MAX(1,COUNTIF(AG$4:AG$503,"&lt;"&amp;BI212+0.01)),BI212))</f>
        <v>9142.15870461538</v>
      </c>
      <c r="BX212" s="92" t="n">
        <f aca="false">IF(AH212&gt;=BJ212,0,IFERROR(BJ212+SUMPRODUCT((AH$4:AH$503&gt;=BJ$4:BJ$503)*(AH$4:AH$503-BJ$4:BJ$503))/MAX(1,COUNTIF(AH$4:AH$503,"&lt;"&amp;BJ212+0.01)),BJ212))</f>
        <v>5621.50263448276</v>
      </c>
      <c r="BY212" s="92" t="n">
        <f aca="false">IF(AI212&gt;=BK212,0,IFERROR(BK212+SUMPRODUCT((AI$4:AI$503&gt;=BK$4:BK$503)*(AI$4:AI$503-BK$4:BK$503))/MAX(1,COUNTIF(AI$4:AI$503,"&lt;"&amp;BK212+0.01)),BK212))</f>
        <v>7878.25652380952</v>
      </c>
      <c r="BZ212" s="92" t="n">
        <f aca="false">IF(AJ212&gt;=BL212,0,IFERROR(BL212+SUMPRODUCT((AJ$4:AJ$503&gt;=BL$4:BL$503)*(AJ$4:AJ$503-BL$4:BL$503))/MAX(1,COUNTIF(AJ$4:AJ$503,"&lt;"&amp;BL212+0.01)),BL212))</f>
        <v>6710.03292307692</v>
      </c>
      <c r="CA212" s="92" t="n">
        <f aca="false">IF(AK212&gt;=BM212,0,IFERROR(BM212+SUMPRODUCT((AK$4:AK$503&gt;=BM$4:BM$503)*(AK$4:AK$503-BM$4:BM$503))/MAX(1,COUNTIF(AK$4:AK$503,"&lt;"&amp;BM212+0.01)),BM212))</f>
        <v>7314.89836842105</v>
      </c>
      <c r="CB212" s="93" t="n">
        <f aca="false">IF(AL212&gt;=BN212,0,IFERROR(BN212+SUMPRODUCT((AL$4:AL$503&gt;=BN$4:BN$503)*(AL$4:AL$503-BN$4:BN$503))/MAX(1,COUNTIF(AL$4:AL$503,"&lt;"&amp;BN212+0.01)),BN212))</f>
        <v>3597.2614925</v>
      </c>
      <c r="CC212" s="95" t="str">
        <f aca="false">IF(AO212="🟢","VERDE",IF(AO212="🟡","AMARELO",IF(AO212="🟠","VERMELHO",IF(AO212="🔴","VERMELHO","ROXO"))))</f>
        <v>VERMELHO</v>
      </c>
      <c r="CD212" s="96" t="s">
        <v>103</v>
      </c>
      <c r="CE212" s="96" t="s">
        <v>104</v>
      </c>
    </row>
    <row r="213" customFormat="false" ht="14.25" hidden="false" customHeight="true" outlineLevel="0" collapsed="false">
      <c r="A213" s="65" t="s">
        <v>561</v>
      </c>
      <c r="B213" s="66" t="s">
        <v>562</v>
      </c>
      <c r="C213" s="67" t="s">
        <v>123</v>
      </c>
      <c r="D213" s="68" t="s">
        <v>108</v>
      </c>
      <c r="E213" s="56" t="s">
        <v>20</v>
      </c>
      <c r="F213" s="70" t="n">
        <f aca="false">IFERROR(VLOOKUP(C213,$AS$3:$AT$10,2,FALSE()),IFERROR(VLOOKUP(C213,$AS$15:$AT$22,2,FALSE()),""))</f>
        <v>49</v>
      </c>
      <c r="G213" s="71" t="n">
        <f aca="false">IFERROR(VLOOKUP(C213,$AS$3:$AX$10,6,FALSE()),IFERROR(VLOOKUP(C213,$AS$15:$AX$22,6,FALSE()),""))</f>
        <v>0.436391353881959</v>
      </c>
      <c r="H213" s="72" t="str">
        <f aca="false">IFERROR(VLOOKUP(C213,$AS$3:$AY$10,7,FALSE()),IFERROR(VLOOKUP(C213,$AS$15:$AY$22,7,FALSE()),""))</f>
        <v>🟡 AMARELO</v>
      </c>
      <c r="I213" s="72" t="str">
        <f aca="false">IFERROR(VLOOKUP(C213,$AS$3:$AZ$10,8,FALSE()),IFERROR(VLOOKUP(C213,$AS$15:$AZ$22,8,FALSE()),""))</f>
        <v>Sell Out</v>
      </c>
      <c r="J213" s="73"/>
      <c r="K213" s="56" t="s">
        <v>20</v>
      </c>
      <c r="L213" s="74" t="n">
        <v>5673.85</v>
      </c>
      <c r="M213" s="75" t="n">
        <v>398.72</v>
      </c>
      <c r="N213" s="75" t="n">
        <v>416.65</v>
      </c>
      <c r="O213" s="75" t="n">
        <v>426.69</v>
      </c>
      <c r="P213" s="75" t="n">
        <v>437.8</v>
      </c>
      <c r="Q213" s="75" t="n">
        <v>452.14</v>
      </c>
      <c r="R213" s="75" t="n">
        <v>463.98</v>
      </c>
      <c r="S213" s="75" t="n">
        <v>481.9</v>
      </c>
      <c r="T213" s="75" t="n">
        <v>493.74</v>
      </c>
      <c r="U213" s="75" t="n">
        <v>504.85</v>
      </c>
      <c r="V213" s="75" t="n">
        <v>517.4</v>
      </c>
      <c r="W213" s="75" t="n">
        <v>531.03</v>
      </c>
      <c r="X213" s="76" t="n">
        <v>548.95</v>
      </c>
      <c r="Y213" s="77" t="s">
        <v>20</v>
      </c>
      <c r="Z213" s="78" t="n">
        <f aca="false">SUM(AA213:AL213)</f>
        <v>2431.74</v>
      </c>
      <c r="AA213" s="75"/>
      <c r="AB213" s="75"/>
      <c r="AC213" s="75"/>
      <c r="AD213" s="75" t="n">
        <v>1652.58</v>
      </c>
      <c r="AE213" s="75" t="n">
        <v>779.16</v>
      </c>
      <c r="AF213" s="75"/>
      <c r="AG213" s="75"/>
      <c r="AH213" s="75"/>
      <c r="AI213" s="75"/>
      <c r="AJ213" s="75"/>
      <c r="AK213" s="75"/>
      <c r="AL213" s="76"/>
      <c r="AM213" s="56" t="s">
        <v>20</v>
      </c>
      <c r="AN213" s="80" t="n">
        <f aca="false">IF(L213=0,0,Z213/L213)</f>
        <v>0.428587290816641</v>
      </c>
      <c r="AO213" s="81" t="str">
        <f aca="false">IF(AN213="","",IF(AN213&gt;=0.9,"🟢",IF(AN213&gt;=0.7,"🟡",IF(AN213&gt;=0.5,"🟠","🔴"))))</f>
        <v>🔴</v>
      </c>
      <c r="AP213" s="82" t="n">
        <f aca="false">IF(L213=0,0,L213-Z213)</f>
        <v>3242.11</v>
      </c>
      <c r="AQ213" s="83" t="n">
        <f aca="false">IF(AP213=0,"",RANK(AP213,AP$4:AP$503,0))</f>
        <v>199</v>
      </c>
      <c r="AR213" s="84" t="s">
        <v>20</v>
      </c>
      <c r="AS213" s="141"/>
      <c r="AT213" s="141"/>
      <c r="AU213" s="141"/>
      <c r="AV213" s="141"/>
      <c r="AW213" s="141"/>
      <c r="AX213" s="141"/>
      <c r="AY213" s="142"/>
      <c r="AZ213" s="142"/>
      <c r="BA213" s="56" t="s">
        <v>20</v>
      </c>
      <c r="BB213" s="91" t="n">
        <f aca="false">SUM(L$4:L$503)/COUNTA(A$4:A$503)</f>
        <v>9494.39992</v>
      </c>
      <c r="BC213" s="92" t="n">
        <f aca="false">SUM(M$4:M$503)/COUNTA(A$4:A$503)</f>
        <v>667.20008</v>
      </c>
      <c r="BD213" s="92" t="n">
        <f aca="false">SUM(N$4:N$503)/COUNTA(A$4:A$503)</f>
        <v>697.19996</v>
      </c>
      <c r="BE213" s="92" t="n">
        <f aca="false">SUM(O$4:O$503)/COUNTA(A$4:A$503)</f>
        <v>713.9999</v>
      </c>
      <c r="BF213" s="92" t="n">
        <f aca="false">SUM(P$4:P$503)/COUNTA(A$4:A$503)</f>
        <v>732.59984</v>
      </c>
      <c r="BG213" s="92" t="n">
        <f aca="false">SUM(Q$4:Q$503)/COUNTA(A$4:A$503)</f>
        <v>756.59992</v>
      </c>
      <c r="BH213" s="92" t="n">
        <f aca="false">SUM(R$4:R$503)/COUNTA(A$4:A$503)</f>
        <v>776.40004</v>
      </c>
      <c r="BI213" s="92" t="n">
        <f aca="false">SUM(S$4:S$503)/COUNTA(A$4:A$503)</f>
        <v>806.40012</v>
      </c>
      <c r="BJ213" s="92" t="n">
        <f aca="false">SUM(T$4:T$503)/COUNTA(A$4:A$503)</f>
        <v>826.1999</v>
      </c>
      <c r="BK213" s="92" t="n">
        <f aca="false">SUM(U$4:U$503)/COUNTA(A$4:A$503)</f>
        <v>844.8002</v>
      </c>
      <c r="BL213" s="92" t="n">
        <f aca="false">SUM(V$4:V$503)/COUNTA(A$4:A$503)</f>
        <v>865.7998</v>
      </c>
      <c r="BM213" s="92" t="n">
        <f aca="false">SUM(W$4:W$503)/COUNTA(A$4:A$503)</f>
        <v>888.59982</v>
      </c>
      <c r="BN213" s="93" t="n">
        <f aca="false">SUM(X$4:X$503)/COUNTA(A$4:A$503)</f>
        <v>918.60034</v>
      </c>
      <c r="BO213" s="94" t="s">
        <v>20</v>
      </c>
      <c r="BP213" s="91" t="n">
        <f aca="false">IF(Z213&gt;=BB213,0,IFERROR(BB213+(SUMPRODUCT((Z$4:Z$503&gt;=BB$4:BB$503)*(Z$4:Z$503-BB$4:BB$503))/MAX(1,COUNTIF(Z$4:Z$503,"&lt;"&amp;BB213+0.01))),BB213))</f>
        <v>10695.5432177778</v>
      </c>
      <c r="BQ213" s="92" t="n">
        <f aca="false">IF(AA213&gt;=BC213,0,IFERROR(BC213+SUMPRODUCT((AA$4:AA$503&gt;=BC$4:BC$503)*(AA$4:AA$503-BC$4:BC$503))/MAX(1,COUNTIF(AA$4:AA$503,"&lt;"&amp;BC213+0.01)),BC213))</f>
        <v>2238.46589176471</v>
      </c>
      <c r="BR213" s="92" t="n">
        <f aca="false">IF(AB213&gt;=BD213,0,IFERROR(BD213+SUMPRODUCT((AB$4:AB$503&gt;=BD$4:BD$503)*(AB$4:AB$503-BD$4:BD$503))/MAX(1,COUNTIF(AB$4:AB$503,"&lt;"&amp;BD213+0.01)),BD213))</f>
        <v>3335.2938</v>
      </c>
      <c r="BS213" s="92" t="n">
        <f aca="false">IF(AC213&gt;=BE213,0,IFERROR(BE213+SUMPRODUCT((AC$4:AC$503&gt;=BE$4:BE$503)*(AC$4:AC$503-BE$4:BE$503))/MAX(1,COUNTIF(AC$4:AC$503,"&lt;"&amp;BE213+0.01)),BE213))</f>
        <v>6188.73352</v>
      </c>
      <c r="BT213" s="92" t="n">
        <f aca="false">IF(AD213&gt;=BF213,0,IFERROR(BF213+SUMPRODUCT((AD$4:AD$503&gt;=BF$4:BF$503)*(AD$4:AD$503-BF$4:BF$503))/MAX(1,COUNTIF(AD$4:AD$503,"&lt;"&amp;BF213+0.01)),BF213))</f>
        <v>0</v>
      </c>
      <c r="BU213" s="92" t="n">
        <f aca="false">IF(AE213&gt;=BG213,0,IFERROR(BG213+SUMPRODUCT((AE$4:AE$503&gt;=BG$4:BG$503)*(AE$4:AE$503-BG$4:BG$503))/MAX(1,COUNTIF(AE$4:AE$503,"&lt;"&amp;BG213+0.01)),BG213))</f>
        <v>0</v>
      </c>
      <c r="BV213" s="92" t="n">
        <f aca="false">IF(AF213&gt;=BH213,0,IFERROR(BH213+SUMPRODUCT((AF$4:AF$503&gt;=BH$4:BH$503)*(AF$4:AF$503-BH$4:BH$503))/MAX(1,COUNTIF(AF$4:AF$503,"&lt;"&amp;BH213+0.01)),BH213))</f>
        <v>9942.6503831579</v>
      </c>
      <c r="BW213" s="92" t="n">
        <f aca="false">IF(AG213&gt;=BI213,0,IFERROR(BI213+SUMPRODUCT((AG$4:AG$503&gt;=BI$4:BI$503)*(AG$4:AG$503-BI$4:BI$503))/MAX(1,COUNTIF(AG$4:AG$503,"&lt;"&amp;BI213+0.01)),BI213))</f>
        <v>9142.15870461538</v>
      </c>
      <c r="BX213" s="92" t="n">
        <f aca="false">IF(AH213&gt;=BJ213,0,IFERROR(BJ213+SUMPRODUCT((AH$4:AH$503&gt;=BJ$4:BJ$503)*(AH$4:AH$503-BJ$4:BJ$503))/MAX(1,COUNTIF(AH$4:AH$503,"&lt;"&amp;BJ213+0.01)),BJ213))</f>
        <v>5621.50263448276</v>
      </c>
      <c r="BY213" s="92" t="n">
        <f aca="false">IF(AI213&gt;=BK213,0,IFERROR(BK213+SUMPRODUCT((AI$4:AI$503&gt;=BK$4:BK$503)*(AI$4:AI$503-BK$4:BK$503))/MAX(1,COUNTIF(AI$4:AI$503,"&lt;"&amp;BK213+0.01)),BK213))</f>
        <v>7878.25652380952</v>
      </c>
      <c r="BZ213" s="92" t="n">
        <f aca="false">IF(AJ213&gt;=BL213,0,IFERROR(BL213+SUMPRODUCT((AJ$4:AJ$503&gt;=BL$4:BL$503)*(AJ$4:AJ$503-BL$4:BL$503))/MAX(1,COUNTIF(AJ$4:AJ$503,"&lt;"&amp;BL213+0.01)),BL213))</f>
        <v>6710.03292307692</v>
      </c>
      <c r="CA213" s="92" t="n">
        <f aca="false">IF(AK213&gt;=BM213,0,IFERROR(BM213+SUMPRODUCT((AK$4:AK$503&gt;=BM$4:BM$503)*(AK$4:AK$503-BM$4:BM$503))/MAX(1,COUNTIF(AK$4:AK$503,"&lt;"&amp;BM213+0.01)),BM213))</f>
        <v>7314.89836842105</v>
      </c>
      <c r="CB213" s="93" t="n">
        <f aca="false">IF(AL213&gt;=BN213,0,IFERROR(BN213+SUMPRODUCT((AL$4:AL$503&gt;=BN$4:BN$503)*(AL$4:AL$503-BN$4:BN$503))/MAX(1,COUNTIF(AL$4:AL$503,"&lt;"&amp;BN213+0.01)),BN213))</f>
        <v>3597.2614925</v>
      </c>
      <c r="CC213" s="95" t="str">
        <f aca="false">IF(AO213="🟢","VERDE",IF(AO213="🟡","AMARELO",IF(AO213="🟠","VERMELHO",IF(AO213="🔴","VERMELHO","ROXO"))))</f>
        <v>VERMELHO</v>
      </c>
      <c r="CD213" s="96" t="s">
        <v>103</v>
      </c>
      <c r="CE213" s="96" t="s">
        <v>104</v>
      </c>
    </row>
    <row r="214" customFormat="false" ht="14.25" hidden="false" customHeight="true" outlineLevel="0" collapsed="false">
      <c r="A214" s="65" t="s">
        <v>563</v>
      </c>
      <c r="B214" s="66" t="s">
        <v>564</v>
      </c>
      <c r="C214" s="67" t="s">
        <v>107</v>
      </c>
      <c r="D214" s="68" t="s">
        <v>108</v>
      </c>
      <c r="E214" s="69" t="s">
        <v>139</v>
      </c>
      <c r="F214" s="70" t="n">
        <f aca="false">IFERROR(VLOOKUP(C214,$AS$3:$AT$10,2,FALSE()),IFERROR(VLOOKUP(C214,$AS$15:$AT$22,2,FALSE()),""))</f>
        <v>132</v>
      </c>
      <c r="G214" s="71" t="n">
        <f aca="false">IFERROR(VLOOKUP(C214,$AS$3:$AX$10,6,FALSE()),IFERROR(VLOOKUP(C214,$AS$15:$AX$22,6,FALSE()),""))</f>
        <v>0.468190175850689</v>
      </c>
      <c r="H214" s="72" t="str">
        <f aca="false">IFERROR(VLOOKUP(C214,$AS$3:$AY$10,7,FALSE()),IFERROR(VLOOKUP(C214,$AS$15:$AY$22,7,FALSE()),""))</f>
        <v>🟡 AMARELO</v>
      </c>
      <c r="I214" s="72" t="str">
        <f aca="false">IFERROR(VLOOKUP(C214,$AS$3:$AZ$10,8,FALSE()),IFERROR(VLOOKUP(C214,$AS$15:$AZ$22,8,FALSE()),""))</f>
        <v>Sell Out</v>
      </c>
      <c r="J214" s="73"/>
      <c r="K214" s="69" t="s">
        <v>107</v>
      </c>
      <c r="L214" s="74" t="n">
        <v>5661.51</v>
      </c>
      <c r="M214" s="75" t="n">
        <v>397.85</v>
      </c>
      <c r="N214" s="75" t="n">
        <v>415.74</v>
      </c>
      <c r="O214" s="75" t="n">
        <v>425.76</v>
      </c>
      <c r="P214" s="75" t="n">
        <v>436.85</v>
      </c>
      <c r="Q214" s="75" t="n">
        <v>451.16</v>
      </c>
      <c r="R214" s="75" t="n">
        <v>462.97</v>
      </c>
      <c r="S214" s="75" t="n">
        <v>480.86</v>
      </c>
      <c r="T214" s="75" t="n">
        <v>492.66</v>
      </c>
      <c r="U214" s="75" t="n">
        <v>503.75</v>
      </c>
      <c r="V214" s="75" t="n">
        <v>516.28</v>
      </c>
      <c r="W214" s="75" t="n">
        <v>529.87</v>
      </c>
      <c r="X214" s="76" t="n">
        <v>547.76</v>
      </c>
      <c r="Y214" s="77" t="s">
        <v>20</v>
      </c>
      <c r="Z214" s="78" t="n">
        <f aca="false">SUM(AA214:AL214)</f>
        <v>2296.45</v>
      </c>
      <c r="AA214" s="75"/>
      <c r="AB214" s="75"/>
      <c r="AC214" s="79" t="n">
        <v>1423.4</v>
      </c>
      <c r="AD214" s="75"/>
      <c r="AE214" s="79" t="n">
        <v>873.05</v>
      </c>
      <c r="AF214" s="75"/>
      <c r="AG214" s="75"/>
      <c r="AH214" s="75"/>
      <c r="AI214" s="75"/>
      <c r="AJ214" s="75"/>
      <c r="AK214" s="75"/>
      <c r="AL214" s="76"/>
      <c r="AM214" s="56" t="s">
        <v>20</v>
      </c>
      <c r="AN214" s="80" t="n">
        <f aca="false">IF(L214=0,0,Z214/L214)</f>
        <v>0.405625001103946</v>
      </c>
      <c r="AO214" s="81" t="str">
        <f aca="false">IF(AN214="","",IF(AN214&gt;=0.9,"🟢",IF(AN214&gt;=0.7,"🟡",IF(AN214&gt;=0.5,"🟠","🔴"))))</f>
        <v>🔴</v>
      </c>
      <c r="AP214" s="82" t="n">
        <f aca="false">IF(L214=0,0,L214-Z214)</f>
        <v>3365.06</v>
      </c>
      <c r="AQ214" s="83" t="n">
        <f aca="false">IF(AP214=0,"",RANK(AP214,AP$4:AP$503,0))</f>
        <v>193</v>
      </c>
      <c r="AR214" s="84" t="s">
        <v>20</v>
      </c>
      <c r="AS214" s="141"/>
      <c r="AT214" s="141"/>
      <c r="AU214" s="141"/>
      <c r="AV214" s="141"/>
      <c r="AW214" s="141"/>
      <c r="AX214" s="141"/>
      <c r="AY214" s="142"/>
      <c r="AZ214" s="142"/>
      <c r="BA214" s="56" t="s">
        <v>20</v>
      </c>
      <c r="BB214" s="91" t="n">
        <f aca="false">SUM(L$4:L$503)/COUNTA(A$4:A$503)</f>
        <v>9494.39992</v>
      </c>
      <c r="BC214" s="92" t="n">
        <f aca="false">SUM(M$4:M$503)/COUNTA(A$4:A$503)</f>
        <v>667.20008</v>
      </c>
      <c r="BD214" s="92" t="n">
        <f aca="false">SUM(N$4:N$503)/COUNTA(A$4:A$503)</f>
        <v>697.19996</v>
      </c>
      <c r="BE214" s="92" t="n">
        <f aca="false">SUM(O$4:O$503)/COUNTA(A$4:A$503)</f>
        <v>713.9999</v>
      </c>
      <c r="BF214" s="92" t="n">
        <f aca="false">SUM(P$4:P$503)/COUNTA(A$4:A$503)</f>
        <v>732.59984</v>
      </c>
      <c r="BG214" s="92" t="n">
        <f aca="false">SUM(Q$4:Q$503)/COUNTA(A$4:A$503)</f>
        <v>756.59992</v>
      </c>
      <c r="BH214" s="92" t="n">
        <f aca="false">SUM(R$4:R$503)/COUNTA(A$4:A$503)</f>
        <v>776.40004</v>
      </c>
      <c r="BI214" s="92" t="n">
        <f aca="false">SUM(S$4:S$503)/COUNTA(A$4:A$503)</f>
        <v>806.40012</v>
      </c>
      <c r="BJ214" s="92" t="n">
        <f aca="false">SUM(T$4:T$503)/COUNTA(A$4:A$503)</f>
        <v>826.1999</v>
      </c>
      <c r="BK214" s="92" t="n">
        <f aca="false">SUM(U$4:U$503)/COUNTA(A$4:A$503)</f>
        <v>844.8002</v>
      </c>
      <c r="BL214" s="92" t="n">
        <f aca="false">SUM(V$4:V$503)/COUNTA(A$4:A$503)</f>
        <v>865.7998</v>
      </c>
      <c r="BM214" s="92" t="n">
        <f aca="false">SUM(W$4:W$503)/COUNTA(A$4:A$503)</f>
        <v>888.59982</v>
      </c>
      <c r="BN214" s="93" t="n">
        <f aca="false">SUM(X$4:X$503)/COUNTA(A$4:A$503)</f>
        <v>918.60034</v>
      </c>
      <c r="BO214" s="94" t="s">
        <v>20</v>
      </c>
      <c r="BP214" s="91" t="n">
        <f aca="false">IF(Z214&gt;=BB214,0,IFERROR(BB214+(SUMPRODUCT((Z$4:Z$503&gt;=BB$4:BB$503)*(Z$4:Z$503-BB$4:BB$503))/MAX(1,COUNTIF(Z$4:Z$503,"&lt;"&amp;BB214+0.01))),BB214))</f>
        <v>10695.5432177778</v>
      </c>
      <c r="BQ214" s="92" t="n">
        <f aca="false">IF(AA214&gt;=BC214,0,IFERROR(BC214+SUMPRODUCT((AA$4:AA$503&gt;=BC$4:BC$503)*(AA$4:AA$503-BC$4:BC$503))/MAX(1,COUNTIF(AA$4:AA$503,"&lt;"&amp;BC214+0.01)),BC214))</f>
        <v>2238.46589176471</v>
      </c>
      <c r="BR214" s="92" t="n">
        <f aca="false">IF(AB214&gt;=BD214,0,IFERROR(BD214+SUMPRODUCT((AB$4:AB$503&gt;=BD$4:BD$503)*(AB$4:AB$503-BD$4:BD$503))/MAX(1,COUNTIF(AB$4:AB$503,"&lt;"&amp;BD214+0.01)),BD214))</f>
        <v>3335.2938</v>
      </c>
      <c r="BS214" s="92" t="n">
        <f aca="false">IF(AC214&gt;=BE214,0,IFERROR(BE214+SUMPRODUCT((AC$4:AC$503&gt;=BE$4:BE$503)*(AC$4:AC$503-BE$4:BE$503))/MAX(1,COUNTIF(AC$4:AC$503,"&lt;"&amp;BE214+0.01)),BE214))</f>
        <v>0</v>
      </c>
      <c r="BT214" s="92" t="n">
        <f aca="false">IF(AD214&gt;=BF214,0,IFERROR(BF214+SUMPRODUCT((AD$4:AD$503&gt;=BF$4:BF$503)*(AD$4:AD$503-BF$4:BF$503))/MAX(1,COUNTIF(AD$4:AD$503,"&lt;"&amp;BF214+0.01)),BF214))</f>
        <v>11354.35411</v>
      </c>
      <c r="BU214" s="92" t="n">
        <f aca="false">IF(AE214&gt;=BG214,0,IFERROR(BG214+SUMPRODUCT((AE$4:AE$503&gt;=BG$4:BG$503)*(AE$4:AE$503-BG$4:BG$503))/MAX(1,COUNTIF(AE$4:AE$503,"&lt;"&amp;BG214+0.01)),BG214))</f>
        <v>0</v>
      </c>
      <c r="BV214" s="92" t="n">
        <f aca="false">IF(AF214&gt;=BH214,0,IFERROR(BH214+SUMPRODUCT((AF$4:AF$503&gt;=BH$4:BH$503)*(AF$4:AF$503-BH$4:BH$503))/MAX(1,COUNTIF(AF$4:AF$503,"&lt;"&amp;BH214+0.01)),BH214))</f>
        <v>9942.6503831579</v>
      </c>
      <c r="BW214" s="92" t="n">
        <f aca="false">IF(AG214&gt;=BI214,0,IFERROR(BI214+SUMPRODUCT((AG$4:AG$503&gt;=BI$4:BI$503)*(AG$4:AG$503-BI$4:BI$503))/MAX(1,COUNTIF(AG$4:AG$503,"&lt;"&amp;BI214+0.01)),BI214))</f>
        <v>9142.15870461538</v>
      </c>
      <c r="BX214" s="92" t="n">
        <f aca="false">IF(AH214&gt;=BJ214,0,IFERROR(BJ214+SUMPRODUCT((AH$4:AH$503&gt;=BJ$4:BJ$503)*(AH$4:AH$503-BJ$4:BJ$503))/MAX(1,COUNTIF(AH$4:AH$503,"&lt;"&amp;BJ214+0.01)),BJ214))</f>
        <v>5621.50263448276</v>
      </c>
      <c r="BY214" s="92" t="n">
        <f aca="false">IF(AI214&gt;=BK214,0,IFERROR(BK214+SUMPRODUCT((AI$4:AI$503&gt;=BK$4:BK$503)*(AI$4:AI$503-BK$4:BK$503))/MAX(1,COUNTIF(AI$4:AI$503,"&lt;"&amp;BK214+0.01)),BK214))</f>
        <v>7878.25652380952</v>
      </c>
      <c r="BZ214" s="92" t="n">
        <f aca="false">IF(AJ214&gt;=BL214,0,IFERROR(BL214+SUMPRODUCT((AJ$4:AJ$503&gt;=BL$4:BL$503)*(AJ$4:AJ$503-BL$4:BL$503))/MAX(1,COUNTIF(AJ$4:AJ$503,"&lt;"&amp;BL214+0.01)),BL214))</f>
        <v>6710.03292307692</v>
      </c>
      <c r="CA214" s="92" t="n">
        <f aca="false">IF(AK214&gt;=BM214,0,IFERROR(BM214+SUMPRODUCT((AK$4:AK$503&gt;=BM$4:BM$503)*(AK$4:AK$503-BM$4:BM$503))/MAX(1,COUNTIF(AK$4:AK$503,"&lt;"&amp;BM214+0.01)),BM214))</f>
        <v>7314.89836842105</v>
      </c>
      <c r="CB214" s="93" t="n">
        <f aca="false">IF(AL214&gt;=BN214,0,IFERROR(BN214+SUMPRODUCT((AL$4:AL$503&gt;=BN$4:BN$503)*(AL$4:AL$503-BN$4:BN$503))/MAX(1,COUNTIF(AL$4:AL$503,"&lt;"&amp;BN214+0.01)),BN214))</f>
        <v>3597.2614925</v>
      </c>
      <c r="CC214" s="95" t="str">
        <f aca="false">IF(AO214="🟢","VERDE",IF(AO214="🟡","AMARELO",IF(AO214="🟠","VERMELHO",IF(AO214="🔴","VERMELHO","ROXO"))))</f>
        <v>VERMELHO</v>
      </c>
      <c r="CD214" s="96" t="s">
        <v>103</v>
      </c>
      <c r="CE214" s="96" t="s">
        <v>104</v>
      </c>
    </row>
    <row r="215" customFormat="false" ht="14.25" hidden="false" customHeight="true" outlineLevel="0" collapsed="false">
      <c r="A215" s="65" t="s">
        <v>565</v>
      </c>
      <c r="B215" s="66" t="s">
        <v>566</v>
      </c>
      <c r="C215" s="67" t="s">
        <v>107</v>
      </c>
      <c r="D215" s="68" t="s">
        <v>108</v>
      </c>
      <c r="E215" s="69" t="s">
        <v>109</v>
      </c>
      <c r="F215" s="70" t="n">
        <f aca="false">IFERROR(VLOOKUP(C215,$AS$3:$AT$10,2,FALSE()),IFERROR(VLOOKUP(C215,$AS$15:$AT$22,2,FALSE()),""))</f>
        <v>132</v>
      </c>
      <c r="G215" s="71" t="n">
        <f aca="false">IFERROR(VLOOKUP(C215,$AS$3:$AX$10,6,FALSE()),IFERROR(VLOOKUP(C215,$AS$15:$AX$22,6,FALSE()),""))</f>
        <v>0.468190175850689</v>
      </c>
      <c r="H215" s="72" t="str">
        <f aca="false">IFERROR(VLOOKUP(C215,$AS$3:$AY$10,7,FALSE()),IFERROR(VLOOKUP(C215,$AS$15:$AY$22,7,FALSE()),""))</f>
        <v>🟡 AMARELO</v>
      </c>
      <c r="I215" s="72" t="str">
        <f aca="false">IFERROR(VLOOKUP(C215,$AS$3:$AZ$10,8,FALSE()),IFERROR(VLOOKUP(C215,$AS$15:$AZ$22,8,FALSE()),""))</f>
        <v>Sell Out</v>
      </c>
      <c r="J215" s="73"/>
      <c r="K215" s="69" t="s">
        <v>107</v>
      </c>
      <c r="L215" s="74" t="n">
        <v>5644.3</v>
      </c>
      <c r="M215" s="75" t="n">
        <v>396.64</v>
      </c>
      <c r="N215" s="75" t="n">
        <v>414.48</v>
      </c>
      <c r="O215" s="75" t="n">
        <v>424.46</v>
      </c>
      <c r="P215" s="75" t="n">
        <v>435.52</v>
      </c>
      <c r="Q215" s="75" t="n">
        <v>449.79</v>
      </c>
      <c r="R215" s="75" t="n">
        <v>461.56</v>
      </c>
      <c r="S215" s="75" t="n">
        <v>479.39</v>
      </c>
      <c r="T215" s="75" t="n">
        <v>491.17</v>
      </c>
      <c r="U215" s="75" t="n">
        <v>502.22</v>
      </c>
      <c r="V215" s="75" t="n">
        <v>514.71</v>
      </c>
      <c r="W215" s="75" t="n">
        <v>528.26</v>
      </c>
      <c r="X215" s="76" t="n">
        <v>546.1</v>
      </c>
      <c r="Y215" s="77" t="s">
        <v>20</v>
      </c>
      <c r="Z215" s="78" t="n">
        <f aca="false">SUM(AA215:AL215)</f>
        <v>16997.54</v>
      </c>
      <c r="AA215" s="75"/>
      <c r="AB215" s="75"/>
      <c r="AC215" s="75"/>
      <c r="AD215" s="75" t="n">
        <v>12766.85</v>
      </c>
      <c r="AE215" s="79" t="n">
        <v>4230.69</v>
      </c>
      <c r="AF215" s="75"/>
      <c r="AG215" s="75"/>
      <c r="AH215" s="75"/>
      <c r="AI215" s="75"/>
      <c r="AJ215" s="75"/>
      <c r="AK215" s="75"/>
      <c r="AL215" s="76"/>
      <c r="AM215" s="56" t="s">
        <v>20</v>
      </c>
      <c r="AN215" s="80" t="n">
        <f aca="false">IF(L215=0,0,Z215/L215)</f>
        <v>3.01145226157362</v>
      </c>
      <c r="AO215" s="81" t="str">
        <f aca="false">IF(AN215="","",IF(AN215&gt;=0.9,"🟢",IF(AN215&gt;=0.7,"🟡",IF(AN215&gt;=0.5,"🟠","🔴"))))</f>
        <v>🟢</v>
      </c>
      <c r="AP215" s="82" t="n">
        <f aca="false">IF(L215=0,0,L215-Z215)</f>
        <v>-11353.24</v>
      </c>
      <c r="AQ215" s="83" t="n">
        <f aca="false">IF(AP215=0,"",RANK(AP215,AP$4:AP$503,0))</f>
        <v>499</v>
      </c>
      <c r="AR215" s="84" t="s">
        <v>20</v>
      </c>
      <c r="AS215" s="141"/>
      <c r="AT215" s="141"/>
      <c r="AU215" s="141"/>
      <c r="AV215" s="141"/>
      <c r="AW215" s="141"/>
      <c r="AX215" s="141"/>
      <c r="AY215" s="142"/>
      <c r="AZ215" s="142"/>
      <c r="BA215" s="56" t="s">
        <v>20</v>
      </c>
      <c r="BB215" s="91" t="n">
        <f aca="false">SUM(L$4:L$503)/COUNTA(A$4:A$503)</f>
        <v>9494.39992</v>
      </c>
      <c r="BC215" s="92" t="n">
        <f aca="false">SUM(M$4:M$503)/COUNTA(A$4:A$503)</f>
        <v>667.20008</v>
      </c>
      <c r="BD215" s="92" t="n">
        <f aca="false">SUM(N$4:N$503)/COUNTA(A$4:A$503)</f>
        <v>697.19996</v>
      </c>
      <c r="BE215" s="92" t="n">
        <f aca="false">SUM(O$4:O$503)/COUNTA(A$4:A$503)</f>
        <v>713.9999</v>
      </c>
      <c r="BF215" s="92" t="n">
        <f aca="false">SUM(P$4:P$503)/COUNTA(A$4:A$503)</f>
        <v>732.59984</v>
      </c>
      <c r="BG215" s="92" t="n">
        <f aca="false">SUM(Q$4:Q$503)/COUNTA(A$4:A$503)</f>
        <v>756.59992</v>
      </c>
      <c r="BH215" s="92" t="n">
        <f aca="false">SUM(R$4:R$503)/COUNTA(A$4:A$503)</f>
        <v>776.40004</v>
      </c>
      <c r="BI215" s="92" t="n">
        <f aca="false">SUM(S$4:S$503)/COUNTA(A$4:A$503)</f>
        <v>806.40012</v>
      </c>
      <c r="BJ215" s="92" t="n">
        <f aca="false">SUM(T$4:T$503)/COUNTA(A$4:A$503)</f>
        <v>826.1999</v>
      </c>
      <c r="BK215" s="92" t="n">
        <f aca="false">SUM(U$4:U$503)/COUNTA(A$4:A$503)</f>
        <v>844.8002</v>
      </c>
      <c r="BL215" s="92" t="n">
        <f aca="false">SUM(V$4:V$503)/COUNTA(A$4:A$503)</f>
        <v>865.7998</v>
      </c>
      <c r="BM215" s="92" t="n">
        <f aca="false">SUM(W$4:W$503)/COUNTA(A$4:A$503)</f>
        <v>888.59982</v>
      </c>
      <c r="BN215" s="93" t="n">
        <f aca="false">SUM(X$4:X$503)/COUNTA(A$4:A$503)</f>
        <v>918.60034</v>
      </c>
      <c r="BO215" s="94" t="s">
        <v>20</v>
      </c>
      <c r="BP215" s="91" t="n">
        <f aca="false">IF(Z215&gt;=BB215,0,IFERROR(BB215+(SUMPRODUCT((Z$4:Z$503&gt;=BB$4:BB$503)*(Z$4:Z$503-BB$4:BB$503))/MAX(1,COUNTIF(Z$4:Z$503,"&lt;"&amp;BB215+0.01))),BB215))</f>
        <v>0</v>
      </c>
      <c r="BQ215" s="92" t="n">
        <f aca="false">IF(AA215&gt;=BC215,0,IFERROR(BC215+SUMPRODUCT((AA$4:AA$503&gt;=BC$4:BC$503)*(AA$4:AA$503-BC$4:BC$503))/MAX(1,COUNTIF(AA$4:AA$503,"&lt;"&amp;BC215+0.01)),BC215))</f>
        <v>2238.46589176471</v>
      </c>
      <c r="BR215" s="92" t="n">
        <f aca="false">IF(AB215&gt;=BD215,0,IFERROR(BD215+SUMPRODUCT((AB$4:AB$503&gt;=BD$4:BD$503)*(AB$4:AB$503-BD$4:BD$503))/MAX(1,COUNTIF(AB$4:AB$503,"&lt;"&amp;BD215+0.01)),BD215))</f>
        <v>3335.2938</v>
      </c>
      <c r="BS215" s="92" t="n">
        <f aca="false">IF(AC215&gt;=BE215,0,IFERROR(BE215+SUMPRODUCT((AC$4:AC$503&gt;=BE$4:BE$503)*(AC$4:AC$503-BE$4:BE$503))/MAX(1,COUNTIF(AC$4:AC$503,"&lt;"&amp;BE215+0.01)),BE215))</f>
        <v>6188.73352</v>
      </c>
      <c r="BT215" s="92" t="n">
        <f aca="false">IF(AD215&gt;=BF215,0,IFERROR(BF215+SUMPRODUCT((AD$4:AD$503&gt;=BF$4:BF$503)*(AD$4:AD$503-BF$4:BF$503))/MAX(1,COUNTIF(AD$4:AD$503,"&lt;"&amp;BF215+0.01)),BF215))</f>
        <v>0</v>
      </c>
      <c r="BU215" s="92" t="n">
        <f aca="false">IF(AE215&gt;=BG215,0,IFERROR(BG215+SUMPRODUCT((AE$4:AE$503&gt;=BG$4:BG$503)*(AE$4:AE$503-BG$4:BG$503))/MAX(1,COUNTIF(AE$4:AE$503,"&lt;"&amp;BG215+0.01)),BG215))</f>
        <v>0</v>
      </c>
      <c r="BV215" s="92" t="n">
        <f aca="false">IF(AF215&gt;=BH215,0,IFERROR(BH215+SUMPRODUCT((AF$4:AF$503&gt;=BH$4:BH$503)*(AF$4:AF$503-BH$4:BH$503))/MAX(1,COUNTIF(AF$4:AF$503,"&lt;"&amp;BH215+0.01)),BH215))</f>
        <v>9942.6503831579</v>
      </c>
      <c r="BW215" s="92" t="n">
        <f aca="false">IF(AG215&gt;=BI215,0,IFERROR(BI215+SUMPRODUCT((AG$4:AG$503&gt;=BI$4:BI$503)*(AG$4:AG$503-BI$4:BI$503))/MAX(1,COUNTIF(AG$4:AG$503,"&lt;"&amp;BI215+0.01)),BI215))</f>
        <v>9142.15870461538</v>
      </c>
      <c r="BX215" s="92" t="n">
        <f aca="false">IF(AH215&gt;=BJ215,0,IFERROR(BJ215+SUMPRODUCT((AH$4:AH$503&gt;=BJ$4:BJ$503)*(AH$4:AH$503-BJ$4:BJ$503))/MAX(1,COUNTIF(AH$4:AH$503,"&lt;"&amp;BJ215+0.01)),BJ215))</f>
        <v>5621.50263448276</v>
      </c>
      <c r="BY215" s="92" t="n">
        <f aca="false">IF(AI215&gt;=BK215,0,IFERROR(BK215+SUMPRODUCT((AI$4:AI$503&gt;=BK$4:BK$503)*(AI$4:AI$503-BK$4:BK$503))/MAX(1,COUNTIF(AI$4:AI$503,"&lt;"&amp;BK215+0.01)),BK215))</f>
        <v>7878.25652380952</v>
      </c>
      <c r="BZ215" s="92" t="n">
        <f aca="false">IF(AJ215&gt;=BL215,0,IFERROR(BL215+SUMPRODUCT((AJ$4:AJ$503&gt;=BL$4:BL$503)*(AJ$4:AJ$503-BL$4:BL$503))/MAX(1,COUNTIF(AJ$4:AJ$503,"&lt;"&amp;BL215+0.01)),BL215))</f>
        <v>6710.03292307692</v>
      </c>
      <c r="CA215" s="92" t="n">
        <f aca="false">IF(AK215&gt;=BM215,0,IFERROR(BM215+SUMPRODUCT((AK$4:AK$503&gt;=BM$4:BM$503)*(AK$4:AK$503-BM$4:BM$503))/MAX(1,COUNTIF(AK$4:AK$503,"&lt;"&amp;BM215+0.01)),BM215))</f>
        <v>7314.89836842105</v>
      </c>
      <c r="CB215" s="93" t="n">
        <f aca="false">IF(AL215&gt;=BN215,0,IFERROR(BN215+SUMPRODUCT((AL$4:AL$503&gt;=BN$4:BN$503)*(AL$4:AL$503-BN$4:BN$503))/MAX(1,COUNTIF(AL$4:AL$503,"&lt;"&amp;BN215+0.01)),BN215))</f>
        <v>3597.2614925</v>
      </c>
      <c r="CC215" s="95" t="str">
        <f aca="false">IF(AO215="🟢","VERDE",IF(AO215="🟡","AMARELO",IF(AO215="🟠","VERMELHO",IF(AO215="🔴","VERMELHO","ROXO"))))</f>
        <v>VERDE</v>
      </c>
      <c r="CD215" s="96" t="s">
        <v>103</v>
      </c>
      <c r="CE215" s="96" t="s">
        <v>104</v>
      </c>
    </row>
    <row r="216" customFormat="false" ht="14.25" hidden="false" customHeight="true" outlineLevel="0" collapsed="false">
      <c r="A216" s="65" t="s">
        <v>567</v>
      </c>
      <c r="B216" s="66" t="s">
        <v>544</v>
      </c>
      <c r="C216" s="67" t="s">
        <v>107</v>
      </c>
      <c r="D216" s="68" t="s">
        <v>108</v>
      </c>
      <c r="E216" s="69" t="s">
        <v>139</v>
      </c>
      <c r="F216" s="70" t="n">
        <f aca="false">IFERROR(VLOOKUP(C216,$AS$3:$AT$10,2,FALSE()),IFERROR(VLOOKUP(C216,$AS$15:$AT$22,2,FALSE()),""))</f>
        <v>132</v>
      </c>
      <c r="G216" s="71" t="n">
        <f aca="false">IFERROR(VLOOKUP(C216,$AS$3:$AX$10,6,FALSE()),IFERROR(VLOOKUP(C216,$AS$15:$AX$22,6,FALSE()),""))</f>
        <v>0.468190175850689</v>
      </c>
      <c r="H216" s="72" t="str">
        <f aca="false">IFERROR(VLOOKUP(C216,$AS$3:$AY$10,7,FALSE()),IFERROR(VLOOKUP(C216,$AS$15:$AY$22,7,FALSE()),""))</f>
        <v>🟡 AMARELO</v>
      </c>
      <c r="I216" s="72" t="str">
        <f aca="false">IFERROR(VLOOKUP(C216,$AS$3:$AZ$10,8,FALSE()),IFERROR(VLOOKUP(C216,$AS$15:$AZ$22,8,FALSE()),""))</f>
        <v>Sell Out</v>
      </c>
      <c r="J216" s="73"/>
      <c r="K216" s="69" t="s">
        <v>107</v>
      </c>
      <c r="L216" s="74" t="n">
        <v>5622.2</v>
      </c>
      <c r="M216" s="75" t="n">
        <v>395.09</v>
      </c>
      <c r="N216" s="75" t="n">
        <v>412.85</v>
      </c>
      <c r="O216" s="75" t="n">
        <v>422.8</v>
      </c>
      <c r="P216" s="75" t="n">
        <v>433.82</v>
      </c>
      <c r="Q216" s="75" t="n">
        <v>448.03</v>
      </c>
      <c r="R216" s="75" t="n">
        <v>459.75</v>
      </c>
      <c r="S216" s="75" t="n">
        <v>477.52</v>
      </c>
      <c r="T216" s="75" t="n">
        <v>489.24</v>
      </c>
      <c r="U216" s="75" t="n">
        <v>500.26</v>
      </c>
      <c r="V216" s="75" t="n">
        <v>512.69</v>
      </c>
      <c r="W216" s="75" t="n">
        <v>526.19</v>
      </c>
      <c r="X216" s="76" t="n">
        <v>543.96</v>
      </c>
      <c r="Y216" s="77" t="s">
        <v>20</v>
      </c>
      <c r="Z216" s="78" t="n">
        <f aca="false">SUM(AA216:AL216)</f>
        <v>5031.27</v>
      </c>
      <c r="AA216" s="75"/>
      <c r="AB216" s="75"/>
      <c r="AC216" s="75"/>
      <c r="AD216" s="75"/>
      <c r="AE216" s="75"/>
      <c r="AF216" s="75"/>
      <c r="AG216" s="75"/>
      <c r="AH216" s="75" t="n">
        <v>2505.43</v>
      </c>
      <c r="AI216" s="79" t="n">
        <v>2525.84</v>
      </c>
      <c r="AJ216" s="75"/>
      <c r="AK216" s="75"/>
      <c r="AL216" s="76"/>
      <c r="AM216" s="56" t="s">
        <v>20</v>
      </c>
      <c r="AN216" s="80" t="n">
        <f aca="false">IF(L216=0,0,Z216/L216)</f>
        <v>0.89489345807691</v>
      </c>
      <c r="AO216" s="81" t="str">
        <f aca="false">IF(AN216="","",IF(AN216&gt;=0.9,"🟢",IF(AN216&gt;=0.7,"🟡",IF(AN216&gt;=0.5,"🟠","🔴"))))</f>
        <v>🟡</v>
      </c>
      <c r="AP216" s="82" t="n">
        <f aca="false">IF(L216=0,0,L216-Z216)</f>
        <v>590.929999999999</v>
      </c>
      <c r="AQ216" s="83" t="n">
        <f aca="false">IF(AP216=0,"",RANK(AP216,AP$4:AP$503,0))</f>
        <v>444</v>
      </c>
      <c r="AR216" s="84" t="s">
        <v>20</v>
      </c>
      <c r="AS216" s="141"/>
      <c r="AT216" s="141"/>
      <c r="AU216" s="141"/>
      <c r="AV216" s="141"/>
      <c r="AW216" s="141"/>
      <c r="AX216" s="141"/>
      <c r="AY216" s="142"/>
      <c r="AZ216" s="142"/>
      <c r="BA216" s="56" t="s">
        <v>20</v>
      </c>
      <c r="BB216" s="91" t="n">
        <f aca="false">SUM(L$4:L$503)/COUNTA(A$4:A$503)</f>
        <v>9494.39992</v>
      </c>
      <c r="BC216" s="92" t="n">
        <f aca="false">SUM(M$4:M$503)/COUNTA(A$4:A$503)</f>
        <v>667.20008</v>
      </c>
      <c r="BD216" s="92" t="n">
        <f aca="false">SUM(N$4:N$503)/COUNTA(A$4:A$503)</f>
        <v>697.19996</v>
      </c>
      <c r="BE216" s="92" t="n">
        <f aca="false">SUM(O$4:O$503)/COUNTA(A$4:A$503)</f>
        <v>713.9999</v>
      </c>
      <c r="BF216" s="92" t="n">
        <f aca="false">SUM(P$4:P$503)/COUNTA(A$4:A$503)</f>
        <v>732.59984</v>
      </c>
      <c r="BG216" s="92" t="n">
        <f aca="false">SUM(Q$4:Q$503)/COUNTA(A$4:A$503)</f>
        <v>756.59992</v>
      </c>
      <c r="BH216" s="92" t="n">
        <f aca="false">SUM(R$4:R$503)/COUNTA(A$4:A$503)</f>
        <v>776.40004</v>
      </c>
      <c r="BI216" s="92" t="n">
        <f aca="false">SUM(S$4:S$503)/COUNTA(A$4:A$503)</f>
        <v>806.40012</v>
      </c>
      <c r="BJ216" s="92" t="n">
        <f aca="false">SUM(T$4:T$503)/COUNTA(A$4:A$503)</f>
        <v>826.1999</v>
      </c>
      <c r="BK216" s="92" t="n">
        <f aca="false">SUM(U$4:U$503)/COUNTA(A$4:A$503)</f>
        <v>844.8002</v>
      </c>
      <c r="BL216" s="92" t="n">
        <f aca="false">SUM(V$4:V$503)/COUNTA(A$4:A$503)</f>
        <v>865.7998</v>
      </c>
      <c r="BM216" s="92" t="n">
        <f aca="false">SUM(W$4:W$503)/COUNTA(A$4:A$503)</f>
        <v>888.59982</v>
      </c>
      <c r="BN216" s="93" t="n">
        <f aca="false">SUM(X$4:X$503)/COUNTA(A$4:A$503)</f>
        <v>918.60034</v>
      </c>
      <c r="BO216" s="94" t="s">
        <v>20</v>
      </c>
      <c r="BP216" s="91" t="n">
        <f aca="false">IF(Z216&gt;=BB216,0,IFERROR(BB216+(SUMPRODUCT((Z$4:Z$503&gt;=BB$4:BB$503)*(Z$4:Z$503-BB$4:BB$503))/MAX(1,COUNTIF(Z$4:Z$503,"&lt;"&amp;BB216+0.01))),BB216))</f>
        <v>10695.5432177778</v>
      </c>
      <c r="BQ216" s="92" t="n">
        <f aca="false">IF(AA216&gt;=BC216,0,IFERROR(BC216+SUMPRODUCT((AA$4:AA$503&gt;=BC$4:BC$503)*(AA$4:AA$503-BC$4:BC$503))/MAX(1,COUNTIF(AA$4:AA$503,"&lt;"&amp;BC216+0.01)),BC216))</f>
        <v>2238.46589176471</v>
      </c>
      <c r="BR216" s="92" t="n">
        <f aca="false">IF(AB216&gt;=BD216,0,IFERROR(BD216+SUMPRODUCT((AB$4:AB$503&gt;=BD$4:BD$503)*(AB$4:AB$503-BD$4:BD$503))/MAX(1,COUNTIF(AB$4:AB$503,"&lt;"&amp;BD216+0.01)),BD216))</f>
        <v>3335.2938</v>
      </c>
      <c r="BS216" s="92" t="n">
        <f aca="false">IF(AC216&gt;=BE216,0,IFERROR(BE216+SUMPRODUCT((AC$4:AC$503&gt;=BE$4:BE$503)*(AC$4:AC$503-BE$4:BE$503))/MAX(1,COUNTIF(AC$4:AC$503,"&lt;"&amp;BE216+0.01)),BE216))</f>
        <v>6188.73352</v>
      </c>
      <c r="BT216" s="92" t="n">
        <f aca="false">IF(AD216&gt;=BF216,0,IFERROR(BF216+SUMPRODUCT((AD$4:AD$503&gt;=BF$4:BF$503)*(AD$4:AD$503-BF$4:BF$503))/MAX(1,COUNTIF(AD$4:AD$503,"&lt;"&amp;BF216+0.01)),BF216))</f>
        <v>11354.35411</v>
      </c>
      <c r="BU216" s="92" t="n">
        <f aca="false">IF(AE216&gt;=BG216,0,IFERROR(BG216+SUMPRODUCT((AE$4:AE$503&gt;=BG$4:BG$503)*(AE$4:AE$503-BG$4:BG$503))/MAX(1,COUNTIF(AE$4:AE$503,"&lt;"&amp;BG216+0.01)),BG216))</f>
        <v>7704.85920380952</v>
      </c>
      <c r="BV216" s="92" t="n">
        <f aca="false">IF(AF216&gt;=BH216,0,IFERROR(BH216+SUMPRODUCT((AF$4:AF$503&gt;=BH$4:BH$503)*(AF$4:AF$503-BH$4:BH$503))/MAX(1,COUNTIF(AF$4:AF$503,"&lt;"&amp;BH216+0.01)),BH216))</f>
        <v>9942.6503831579</v>
      </c>
      <c r="BW216" s="92" t="n">
        <f aca="false">IF(AG216&gt;=BI216,0,IFERROR(BI216+SUMPRODUCT((AG$4:AG$503&gt;=BI$4:BI$503)*(AG$4:AG$503-BI$4:BI$503))/MAX(1,COUNTIF(AG$4:AG$503,"&lt;"&amp;BI216+0.01)),BI216))</f>
        <v>9142.15870461538</v>
      </c>
      <c r="BX216" s="92" t="n">
        <f aca="false">IF(AH216&gt;=BJ216,0,IFERROR(BJ216+SUMPRODUCT((AH$4:AH$503&gt;=BJ$4:BJ$503)*(AH$4:AH$503-BJ$4:BJ$503))/MAX(1,COUNTIF(AH$4:AH$503,"&lt;"&amp;BJ216+0.01)),BJ216))</f>
        <v>0</v>
      </c>
      <c r="BY216" s="92" t="n">
        <f aca="false">IF(AI216&gt;=BK216,0,IFERROR(BK216+SUMPRODUCT((AI$4:AI$503&gt;=BK$4:BK$503)*(AI$4:AI$503-BK$4:BK$503))/MAX(1,COUNTIF(AI$4:AI$503,"&lt;"&amp;BK216+0.01)),BK216))</f>
        <v>0</v>
      </c>
      <c r="BZ216" s="92" t="n">
        <f aca="false">IF(AJ216&gt;=BL216,0,IFERROR(BL216+SUMPRODUCT((AJ$4:AJ$503&gt;=BL$4:BL$503)*(AJ$4:AJ$503-BL$4:BL$503))/MAX(1,COUNTIF(AJ$4:AJ$503,"&lt;"&amp;BL216+0.01)),BL216))</f>
        <v>6710.03292307692</v>
      </c>
      <c r="CA216" s="92" t="n">
        <f aca="false">IF(AK216&gt;=BM216,0,IFERROR(BM216+SUMPRODUCT((AK$4:AK$503&gt;=BM$4:BM$503)*(AK$4:AK$503-BM$4:BM$503))/MAX(1,COUNTIF(AK$4:AK$503,"&lt;"&amp;BM216+0.01)),BM216))</f>
        <v>7314.89836842105</v>
      </c>
      <c r="CB216" s="93" t="n">
        <f aca="false">IF(AL216&gt;=BN216,0,IFERROR(BN216+SUMPRODUCT((AL$4:AL$503&gt;=BN$4:BN$503)*(AL$4:AL$503-BN$4:BN$503))/MAX(1,COUNTIF(AL$4:AL$503,"&lt;"&amp;BN216+0.01)),BN216))</f>
        <v>3597.2614925</v>
      </c>
      <c r="CC216" s="95" t="str">
        <f aca="false">IF(AO216="🟢","VERDE",IF(AO216="🟡","AMARELO",IF(AO216="🟠","VERMELHO",IF(AO216="🔴","VERMELHO","ROXO"))))</f>
        <v>AMARELO</v>
      </c>
      <c r="CD216" s="96" t="s">
        <v>103</v>
      </c>
      <c r="CE216" s="96" t="s">
        <v>104</v>
      </c>
    </row>
    <row r="217" customFormat="false" ht="14.25" hidden="false" customHeight="true" outlineLevel="0" collapsed="false">
      <c r="A217" s="65" t="s">
        <v>568</v>
      </c>
      <c r="B217" s="66" t="s">
        <v>569</v>
      </c>
      <c r="C217" s="66" t="s">
        <v>66</v>
      </c>
      <c r="D217" s="68" t="s">
        <v>175</v>
      </c>
      <c r="E217" s="69" t="s">
        <v>139</v>
      </c>
      <c r="F217" s="70" t="n">
        <f aca="false">IFERROR(VLOOKUP(C217,$AS$3:$AT$10,2,FALSE()),IFERROR(VLOOKUP(C217,$AS$15:$AT$22,2,FALSE()),""))</f>
        <v>44</v>
      </c>
      <c r="G217" s="71" t="n">
        <f aca="false">IFERROR(VLOOKUP(C217,$AS$3:$AX$10,6,FALSE()),IFERROR(VLOOKUP(C217,$AS$15:$AX$22,6,FALSE()),""))</f>
        <v>0.496839506257363</v>
      </c>
      <c r="H217" s="72" t="str">
        <f aca="false">IFERROR(VLOOKUP(C217,$AS$3:$AY$10,7,FALSE()),IFERROR(VLOOKUP(C217,$AS$15:$AY$22,7,FALSE()),""))</f>
        <v>🟡 AMARELO</v>
      </c>
      <c r="I217" s="72" t="str">
        <f aca="false">IFERROR(VLOOKUP(C217,$AS$3:$AZ$10,8,FALSE()),IFERROR(VLOOKUP(C217,$AS$15:$AZ$22,8,FALSE()),""))</f>
        <v>Sell Out</v>
      </c>
      <c r="J217" s="73"/>
      <c r="K217" s="69" t="s">
        <v>107</v>
      </c>
      <c r="L217" s="74" t="n">
        <v>5608.93</v>
      </c>
      <c r="M217" s="75" t="n">
        <v>394.16</v>
      </c>
      <c r="N217" s="75" t="n">
        <v>411.88</v>
      </c>
      <c r="O217" s="75" t="n">
        <v>421.8</v>
      </c>
      <c r="P217" s="75" t="n">
        <v>432.79</v>
      </c>
      <c r="Q217" s="75" t="n">
        <v>446.97</v>
      </c>
      <c r="R217" s="75" t="n">
        <v>458.67</v>
      </c>
      <c r="S217" s="75" t="n">
        <v>476.39</v>
      </c>
      <c r="T217" s="75" t="n">
        <v>488.09</v>
      </c>
      <c r="U217" s="75" t="n">
        <v>499.08</v>
      </c>
      <c r="V217" s="75" t="n">
        <v>511.48</v>
      </c>
      <c r="W217" s="75" t="n">
        <v>524.95</v>
      </c>
      <c r="X217" s="76" t="n">
        <v>542.67</v>
      </c>
      <c r="Y217" s="77" t="s">
        <v>20</v>
      </c>
      <c r="Z217" s="78" t="n">
        <f aca="false">SUM(AA217:AL217)</f>
        <v>4727.19</v>
      </c>
      <c r="AA217" s="75"/>
      <c r="AB217" s="75"/>
      <c r="AC217" s="75"/>
      <c r="AD217" s="75"/>
      <c r="AE217" s="75"/>
      <c r="AF217" s="79" t="n">
        <v>3650.78</v>
      </c>
      <c r="AG217" s="75"/>
      <c r="AH217" s="75"/>
      <c r="AI217" s="75"/>
      <c r="AJ217" s="79" t="n">
        <v>1076.41</v>
      </c>
      <c r="AK217" s="75"/>
      <c r="AL217" s="76"/>
      <c r="AM217" s="56" t="s">
        <v>20</v>
      </c>
      <c r="AN217" s="80" t="n">
        <f aca="false">IF(L217=0,0,Z217/L217)</f>
        <v>0.842797111035438</v>
      </c>
      <c r="AO217" s="81" t="str">
        <f aca="false">IF(AN217="","",IF(AN217&gt;=0.9,"🟢",IF(AN217&gt;=0.7,"🟡",IF(AN217&gt;=0.5,"🟠","🔴"))))</f>
        <v>🟡</v>
      </c>
      <c r="AP217" s="82" t="n">
        <f aca="false">IF(L217=0,0,L217-Z217)</f>
        <v>881.74</v>
      </c>
      <c r="AQ217" s="83" t="n">
        <f aca="false">IF(AP217=0,"",RANK(AP217,AP$4:AP$503,0))</f>
        <v>410</v>
      </c>
      <c r="AR217" s="84" t="s">
        <v>20</v>
      </c>
      <c r="AS217" s="141"/>
      <c r="AT217" s="141"/>
      <c r="AU217" s="141"/>
      <c r="AV217" s="141"/>
      <c r="AW217" s="141"/>
      <c r="AX217" s="141"/>
      <c r="AY217" s="142"/>
      <c r="AZ217" s="142"/>
      <c r="BA217" s="56" t="s">
        <v>20</v>
      </c>
      <c r="BB217" s="91" t="n">
        <f aca="false">SUM(L$4:L$503)/COUNTA(A$4:A$503)</f>
        <v>9494.39992</v>
      </c>
      <c r="BC217" s="92" t="n">
        <f aca="false">SUM(M$4:M$503)/COUNTA(A$4:A$503)</f>
        <v>667.20008</v>
      </c>
      <c r="BD217" s="92" t="n">
        <f aca="false">SUM(N$4:N$503)/COUNTA(A$4:A$503)</f>
        <v>697.19996</v>
      </c>
      <c r="BE217" s="92" t="n">
        <f aca="false">SUM(O$4:O$503)/COUNTA(A$4:A$503)</f>
        <v>713.9999</v>
      </c>
      <c r="BF217" s="92" t="n">
        <f aca="false">SUM(P$4:P$503)/COUNTA(A$4:A$503)</f>
        <v>732.59984</v>
      </c>
      <c r="BG217" s="92" t="n">
        <f aca="false">SUM(Q$4:Q$503)/COUNTA(A$4:A$503)</f>
        <v>756.59992</v>
      </c>
      <c r="BH217" s="92" t="n">
        <f aca="false">SUM(R$4:R$503)/COUNTA(A$4:A$503)</f>
        <v>776.40004</v>
      </c>
      <c r="BI217" s="92" t="n">
        <f aca="false">SUM(S$4:S$503)/COUNTA(A$4:A$503)</f>
        <v>806.40012</v>
      </c>
      <c r="BJ217" s="92" t="n">
        <f aca="false">SUM(T$4:T$503)/COUNTA(A$4:A$503)</f>
        <v>826.1999</v>
      </c>
      <c r="BK217" s="92" t="n">
        <f aca="false">SUM(U$4:U$503)/COUNTA(A$4:A$503)</f>
        <v>844.8002</v>
      </c>
      <c r="BL217" s="92" t="n">
        <f aca="false">SUM(V$4:V$503)/COUNTA(A$4:A$503)</f>
        <v>865.7998</v>
      </c>
      <c r="BM217" s="92" t="n">
        <f aca="false">SUM(W$4:W$503)/COUNTA(A$4:A$503)</f>
        <v>888.59982</v>
      </c>
      <c r="BN217" s="93" t="n">
        <f aca="false">SUM(X$4:X$503)/COUNTA(A$4:A$503)</f>
        <v>918.60034</v>
      </c>
      <c r="BO217" s="94" t="s">
        <v>20</v>
      </c>
      <c r="BP217" s="91" t="n">
        <f aca="false">IF(Z217&gt;=BB217,0,IFERROR(BB217+(SUMPRODUCT((Z$4:Z$503&gt;=BB$4:BB$503)*(Z$4:Z$503-BB$4:BB$503))/MAX(1,COUNTIF(Z$4:Z$503,"&lt;"&amp;BB217+0.01))),BB217))</f>
        <v>10695.5432177778</v>
      </c>
      <c r="BQ217" s="92" t="n">
        <f aca="false">IF(AA217&gt;=BC217,0,IFERROR(BC217+SUMPRODUCT((AA$4:AA$503&gt;=BC$4:BC$503)*(AA$4:AA$503-BC$4:BC$503))/MAX(1,COUNTIF(AA$4:AA$503,"&lt;"&amp;BC217+0.01)),BC217))</f>
        <v>2238.46589176471</v>
      </c>
      <c r="BR217" s="92" t="n">
        <f aca="false">IF(AB217&gt;=BD217,0,IFERROR(BD217+SUMPRODUCT((AB$4:AB$503&gt;=BD$4:BD$503)*(AB$4:AB$503-BD$4:BD$503))/MAX(1,COUNTIF(AB$4:AB$503,"&lt;"&amp;BD217+0.01)),BD217))</f>
        <v>3335.2938</v>
      </c>
      <c r="BS217" s="92" t="n">
        <f aca="false">IF(AC217&gt;=BE217,0,IFERROR(BE217+SUMPRODUCT((AC$4:AC$503&gt;=BE$4:BE$503)*(AC$4:AC$503-BE$4:BE$503))/MAX(1,COUNTIF(AC$4:AC$503,"&lt;"&amp;BE217+0.01)),BE217))</f>
        <v>6188.73352</v>
      </c>
      <c r="BT217" s="92" t="n">
        <f aca="false">IF(AD217&gt;=BF217,0,IFERROR(BF217+SUMPRODUCT((AD$4:AD$503&gt;=BF$4:BF$503)*(AD$4:AD$503-BF$4:BF$503))/MAX(1,COUNTIF(AD$4:AD$503,"&lt;"&amp;BF217+0.01)),BF217))</f>
        <v>11354.35411</v>
      </c>
      <c r="BU217" s="92" t="n">
        <f aca="false">IF(AE217&gt;=BG217,0,IFERROR(BG217+SUMPRODUCT((AE$4:AE$503&gt;=BG$4:BG$503)*(AE$4:AE$503-BG$4:BG$503))/MAX(1,COUNTIF(AE$4:AE$503,"&lt;"&amp;BG217+0.01)),BG217))</f>
        <v>7704.85920380952</v>
      </c>
      <c r="BV217" s="92" t="n">
        <f aca="false">IF(AF217&gt;=BH217,0,IFERROR(BH217+SUMPRODUCT((AF$4:AF$503&gt;=BH$4:BH$503)*(AF$4:AF$503-BH$4:BH$503))/MAX(1,COUNTIF(AF$4:AF$503,"&lt;"&amp;BH217+0.01)),BH217))</f>
        <v>0</v>
      </c>
      <c r="BW217" s="92" t="n">
        <f aca="false">IF(AG217&gt;=BI217,0,IFERROR(BI217+SUMPRODUCT((AG$4:AG$503&gt;=BI$4:BI$503)*(AG$4:AG$503-BI$4:BI$503))/MAX(1,COUNTIF(AG$4:AG$503,"&lt;"&amp;BI217+0.01)),BI217))</f>
        <v>9142.15870461538</v>
      </c>
      <c r="BX217" s="92" t="n">
        <f aca="false">IF(AH217&gt;=BJ217,0,IFERROR(BJ217+SUMPRODUCT((AH$4:AH$503&gt;=BJ$4:BJ$503)*(AH$4:AH$503-BJ$4:BJ$503))/MAX(1,COUNTIF(AH$4:AH$503,"&lt;"&amp;BJ217+0.01)),BJ217))</f>
        <v>5621.50263448276</v>
      </c>
      <c r="BY217" s="92" t="n">
        <f aca="false">IF(AI217&gt;=BK217,0,IFERROR(BK217+SUMPRODUCT((AI$4:AI$503&gt;=BK$4:BK$503)*(AI$4:AI$503-BK$4:BK$503))/MAX(1,COUNTIF(AI$4:AI$503,"&lt;"&amp;BK217+0.01)),BK217))</f>
        <v>7878.25652380952</v>
      </c>
      <c r="BZ217" s="92" t="n">
        <f aca="false">IF(AJ217&gt;=BL217,0,IFERROR(BL217+SUMPRODUCT((AJ$4:AJ$503&gt;=BL$4:BL$503)*(AJ$4:AJ$503-BL$4:BL$503))/MAX(1,COUNTIF(AJ$4:AJ$503,"&lt;"&amp;BL217+0.01)),BL217))</f>
        <v>0</v>
      </c>
      <c r="CA217" s="92" t="n">
        <f aca="false">IF(AK217&gt;=BM217,0,IFERROR(BM217+SUMPRODUCT((AK$4:AK$503&gt;=BM$4:BM$503)*(AK$4:AK$503-BM$4:BM$503))/MAX(1,COUNTIF(AK$4:AK$503,"&lt;"&amp;BM217+0.01)),BM217))</f>
        <v>7314.89836842105</v>
      </c>
      <c r="CB217" s="93" t="n">
        <f aca="false">IF(AL217&gt;=BN217,0,IFERROR(BN217+SUMPRODUCT((AL$4:AL$503&gt;=BN$4:BN$503)*(AL$4:AL$503-BN$4:BN$503))/MAX(1,COUNTIF(AL$4:AL$503,"&lt;"&amp;BN217+0.01)),BN217))</f>
        <v>3597.2614925</v>
      </c>
      <c r="CC217" s="95" t="str">
        <f aca="false">IF(AO217="🟢","VERDE",IF(AO217="🟡","AMARELO",IF(AO217="🟠","VERMELHO",IF(AO217="🔴","VERMELHO","ROXO"))))</f>
        <v>AMARELO</v>
      </c>
      <c r="CD217" s="96" t="s">
        <v>176</v>
      </c>
      <c r="CE217" s="96" t="s">
        <v>66</v>
      </c>
    </row>
    <row r="218" customFormat="false" ht="14.25" hidden="false" customHeight="true" outlineLevel="0" collapsed="false">
      <c r="A218" s="65" t="s">
        <v>570</v>
      </c>
      <c r="B218" s="66" t="s">
        <v>571</v>
      </c>
      <c r="C218" s="67" t="s">
        <v>123</v>
      </c>
      <c r="D218" s="68" t="s">
        <v>100</v>
      </c>
      <c r="E218" s="56" t="s">
        <v>20</v>
      </c>
      <c r="F218" s="70" t="n">
        <f aca="false">IFERROR(VLOOKUP(C218,$AS$3:$AT$10,2,FALSE()),IFERROR(VLOOKUP(C218,$AS$15:$AT$22,2,FALSE()),""))</f>
        <v>49</v>
      </c>
      <c r="G218" s="71" t="n">
        <f aca="false">IFERROR(VLOOKUP(C218,$AS$3:$AX$10,6,FALSE()),IFERROR(VLOOKUP(C218,$AS$15:$AX$22,6,FALSE()),""))</f>
        <v>0.436391353881959</v>
      </c>
      <c r="H218" s="72" t="str">
        <f aca="false">IFERROR(VLOOKUP(C218,$AS$3:$AY$10,7,FALSE()),IFERROR(VLOOKUP(C218,$AS$15:$AY$22,7,FALSE()),""))</f>
        <v>🟡 AMARELO</v>
      </c>
      <c r="I218" s="72" t="str">
        <f aca="false">IFERROR(VLOOKUP(C218,$AS$3:$AZ$10,8,FALSE()),IFERROR(VLOOKUP(C218,$AS$15:$AZ$22,8,FALSE()),""))</f>
        <v>Sell Out</v>
      </c>
      <c r="J218" s="73"/>
      <c r="K218" s="56" t="s">
        <v>20</v>
      </c>
      <c r="L218" s="74" t="n">
        <v>5465.41</v>
      </c>
      <c r="M218" s="75" t="n">
        <v>384.07</v>
      </c>
      <c r="N218" s="75" t="n">
        <v>401.34</v>
      </c>
      <c r="O218" s="75" t="n">
        <v>411.01</v>
      </c>
      <c r="P218" s="75" t="n">
        <v>421.72</v>
      </c>
      <c r="Q218" s="75" t="n">
        <v>435.53</v>
      </c>
      <c r="R218" s="75" t="n">
        <v>446.93</v>
      </c>
      <c r="S218" s="75" t="n">
        <v>464.2</v>
      </c>
      <c r="T218" s="75" t="n">
        <v>475.6</v>
      </c>
      <c r="U218" s="75" t="n">
        <v>486.31</v>
      </c>
      <c r="V218" s="75" t="n">
        <v>498.39</v>
      </c>
      <c r="W218" s="75" t="n">
        <v>511.52</v>
      </c>
      <c r="X218" s="76" t="n">
        <v>528.79</v>
      </c>
      <c r="Y218" s="77" t="s">
        <v>20</v>
      </c>
      <c r="Z218" s="78" t="n">
        <f aca="false">SUM(AA218:AL218)</f>
        <v>2419.62</v>
      </c>
      <c r="AA218" s="75"/>
      <c r="AB218" s="75"/>
      <c r="AC218" s="75"/>
      <c r="AD218" s="75"/>
      <c r="AE218" s="75"/>
      <c r="AF218" s="75"/>
      <c r="AG218" s="75"/>
      <c r="AH218" s="75"/>
      <c r="AI218" s="75"/>
      <c r="AJ218" s="75" t="n">
        <v>1209.6</v>
      </c>
      <c r="AK218" s="75" t="n">
        <v>1210.02</v>
      </c>
      <c r="AL218" s="76"/>
      <c r="AM218" s="56" t="s">
        <v>20</v>
      </c>
      <c r="AN218" s="80" t="n">
        <f aca="false">IF(L218=0,0,Z218/L218)</f>
        <v>0.442715185137071</v>
      </c>
      <c r="AO218" s="81" t="str">
        <f aca="false">IF(AN218="","",IF(AN218&gt;=0.9,"🟢",IF(AN218&gt;=0.7,"🟡",IF(AN218&gt;=0.5,"🟠","🔴"))))</f>
        <v>🔴</v>
      </c>
      <c r="AP218" s="82" t="n">
        <f aca="false">IF(L218=0,0,L218-Z218)</f>
        <v>3045.79</v>
      </c>
      <c r="AQ218" s="83" t="n">
        <f aca="false">IF(AP218=0,"",RANK(AP218,AP$4:AP$503,0))</f>
        <v>208</v>
      </c>
      <c r="AR218" s="84" t="s">
        <v>20</v>
      </c>
      <c r="AS218" s="141"/>
      <c r="AT218" s="141"/>
      <c r="AU218" s="141"/>
      <c r="AV218" s="141"/>
      <c r="AW218" s="141"/>
      <c r="AX218" s="141"/>
      <c r="AY218" s="142"/>
      <c r="AZ218" s="142"/>
      <c r="BA218" s="56" t="s">
        <v>20</v>
      </c>
      <c r="BB218" s="91" t="n">
        <f aca="false">SUM(L$4:L$503)/COUNTA(A$4:A$503)</f>
        <v>9494.39992</v>
      </c>
      <c r="BC218" s="92" t="n">
        <f aca="false">SUM(M$4:M$503)/COUNTA(A$4:A$503)</f>
        <v>667.20008</v>
      </c>
      <c r="BD218" s="92" t="n">
        <f aca="false">SUM(N$4:N$503)/COUNTA(A$4:A$503)</f>
        <v>697.19996</v>
      </c>
      <c r="BE218" s="92" t="n">
        <f aca="false">SUM(O$4:O$503)/COUNTA(A$4:A$503)</f>
        <v>713.9999</v>
      </c>
      <c r="BF218" s="92" t="n">
        <f aca="false">SUM(P$4:P$503)/COUNTA(A$4:A$503)</f>
        <v>732.59984</v>
      </c>
      <c r="BG218" s="92" t="n">
        <f aca="false">SUM(Q$4:Q$503)/COUNTA(A$4:A$503)</f>
        <v>756.59992</v>
      </c>
      <c r="BH218" s="92" t="n">
        <f aca="false">SUM(R$4:R$503)/COUNTA(A$4:A$503)</f>
        <v>776.40004</v>
      </c>
      <c r="BI218" s="92" t="n">
        <f aca="false">SUM(S$4:S$503)/COUNTA(A$4:A$503)</f>
        <v>806.40012</v>
      </c>
      <c r="BJ218" s="92" t="n">
        <f aca="false">SUM(T$4:T$503)/COUNTA(A$4:A$503)</f>
        <v>826.1999</v>
      </c>
      <c r="BK218" s="92" t="n">
        <f aca="false">SUM(U$4:U$503)/COUNTA(A$4:A$503)</f>
        <v>844.8002</v>
      </c>
      <c r="BL218" s="92" t="n">
        <f aca="false">SUM(V$4:V$503)/COUNTA(A$4:A$503)</f>
        <v>865.7998</v>
      </c>
      <c r="BM218" s="92" t="n">
        <f aca="false">SUM(W$4:W$503)/COUNTA(A$4:A$503)</f>
        <v>888.59982</v>
      </c>
      <c r="BN218" s="93" t="n">
        <f aca="false">SUM(X$4:X$503)/COUNTA(A$4:A$503)</f>
        <v>918.60034</v>
      </c>
      <c r="BO218" s="94" t="s">
        <v>20</v>
      </c>
      <c r="BP218" s="91" t="n">
        <f aca="false">IF(Z218&gt;=BB218,0,IFERROR(BB218+(SUMPRODUCT((Z$4:Z$503&gt;=BB$4:BB$503)*(Z$4:Z$503-BB$4:BB$503))/MAX(1,COUNTIF(Z$4:Z$503,"&lt;"&amp;BB218+0.01))),BB218))</f>
        <v>10695.5432177778</v>
      </c>
      <c r="BQ218" s="92" t="n">
        <f aca="false">IF(AA218&gt;=BC218,0,IFERROR(BC218+SUMPRODUCT((AA$4:AA$503&gt;=BC$4:BC$503)*(AA$4:AA$503-BC$4:BC$503))/MAX(1,COUNTIF(AA$4:AA$503,"&lt;"&amp;BC218+0.01)),BC218))</f>
        <v>2238.46589176471</v>
      </c>
      <c r="BR218" s="92" t="n">
        <f aca="false">IF(AB218&gt;=BD218,0,IFERROR(BD218+SUMPRODUCT((AB$4:AB$503&gt;=BD$4:BD$503)*(AB$4:AB$503-BD$4:BD$503))/MAX(1,COUNTIF(AB$4:AB$503,"&lt;"&amp;BD218+0.01)),BD218))</f>
        <v>3335.2938</v>
      </c>
      <c r="BS218" s="92" t="n">
        <f aca="false">IF(AC218&gt;=BE218,0,IFERROR(BE218+SUMPRODUCT((AC$4:AC$503&gt;=BE$4:BE$503)*(AC$4:AC$503-BE$4:BE$503))/MAX(1,COUNTIF(AC$4:AC$503,"&lt;"&amp;BE218+0.01)),BE218))</f>
        <v>6188.73352</v>
      </c>
      <c r="BT218" s="92" t="n">
        <f aca="false">IF(AD218&gt;=BF218,0,IFERROR(BF218+SUMPRODUCT((AD$4:AD$503&gt;=BF$4:BF$503)*(AD$4:AD$503-BF$4:BF$503))/MAX(1,COUNTIF(AD$4:AD$503,"&lt;"&amp;BF218+0.01)),BF218))</f>
        <v>11354.35411</v>
      </c>
      <c r="BU218" s="92" t="n">
        <f aca="false">IF(AE218&gt;=BG218,0,IFERROR(BG218+SUMPRODUCT((AE$4:AE$503&gt;=BG$4:BG$503)*(AE$4:AE$503-BG$4:BG$503))/MAX(1,COUNTIF(AE$4:AE$503,"&lt;"&amp;BG218+0.01)),BG218))</f>
        <v>7704.85920380952</v>
      </c>
      <c r="BV218" s="92" t="n">
        <f aca="false">IF(AF218&gt;=BH218,0,IFERROR(BH218+SUMPRODUCT((AF$4:AF$503&gt;=BH$4:BH$503)*(AF$4:AF$503-BH$4:BH$503))/MAX(1,COUNTIF(AF$4:AF$503,"&lt;"&amp;BH218+0.01)),BH218))</f>
        <v>9942.6503831579</v>
      </c>
      <c r="BW218" s="92" t="n">
        <f aca="false">IF(AG218&gt;=BI218,0,IFERROR(BI218+SUMPRODUCT((AG$4:AG$503&gt;=BI$4:BI$503)*(AG$4:AG$503-BI$4:BI$503))/MAX(1,COUNTIF(AG$4:AG$503,"&lt;"&amp;BI218+0.01)),BI218))</f>
        <v>9142.15870461538</v>
      </c>
      <c r="BX218" s="92" t="n">
        <f aca="false">IF(AH218&gt;=BJ218,0,IFERROR(BJ218+SUMPRODUCT((AH$4:AH$503&gt;=BJ$4:BJ$503)*(AH$4:AH$503-BJ$4:BJ$503))/MAX(1,COUNTIF(AH$4:AH$503,"&lt;"&amp;BJ218+0.01)),BJ218))</f>
        <v>5621.50263448276</v>
      </c>
      <c r="BY218" s="92" t="n">
        <f aca="false">IF(AI218&gt;=BK218,0,IFERROR(BK218+SUMPRODUCT((AI$4:AI$503&gt;=BK$4:BK$503)*(AI$4:AI$503-BK$4:BK$503))/MAX(1,COUNTIF(AI$4:AI$503,"&lt;"&amp;BK218+0.01)),BK218))</f>
        <v>7878.25652380952</v>
      </c>
      <c r="BZ218" s="92" t="n">
        <f aca="false">IF(AJ218&gt;=BL218,0,IFERROR(BL218+SUMPRODUCT((AJ$4:AJ$503&gt;=BL$4:BL$503)*(AJ$4:AJ$503-BL$4:BL$503))/MAX(1,COUNTIF(AJ$4:AJ$503,"&lt;"&amp;BL218+0.01)),BL218))</f>
        <v>0</v>
      </c>
      <c r="CA218" s="92" t="n">
        <f aca="false">IF(AK218&gt;=BM218,0,IFERROR(BM218+SUMPRODUCT((AK$4:AK$503&gt;=BM$4:BM$503)*(AK$4:AK$503-BM$4:BM$503))/MAX(1,COUNTIF(AK$4:AK$503,"&lt;"&amp;BM218+0.01)),BM218))</f>
        <v>0</v>
      </c>
      <c r="CB218" s="93" t="n">
        <f aca="false">IF(AL218&gt;=BN218,0,IFERROR(BN218+SUMPRODUCT((AL$4:AL$503&gt;=BN$4:BN$503)*(AL$4:AL$503-BN$4:BN$503))/MAX(1,COUNTIF(AL$4:AL$503,"&lt;"&amp;BN218+0.01)),BN218))</f>
        <v>3597.2614925</v>
      </c>
      <c r="CC218" s="95" t="str">
        <f aca="false">IF(AO218="🟢","VERDE",IF(AO218="🟡","AMARELO",IF(AO218="🟠","VERMELHO",IF(AO218="🔴","VERMELHO","ROXO"))))</f>
        <v>VERMELHO</v>
      </c>
      <c r="CD218" s="96" t="s">
        <v>103</v>
      </c>
      <c r="CE218" s="96" t="s">
        <v>104</v>
      </c>
    </row>
    <row r="219" customFormat="false" ht="14.25" hidden="false" customHeight="true" outlineLevel="0" collapsed="false">
      <c r="A219" s="65" t="s">
        <v>572</v>
      </c>
      <c r="B219" s="66" t="s">
        <v>573</v>
      </c>
      <c r="C219" s="67" t="s">
        <v>118</v>
      </c>
      <c r="D219" s="68" t="s">
        <v>100</v>
      </c>
      <c r="E219" s="69" t="s">
        <v>119</v>
      </c>
      <c r="F219" s="70" t="n">
        <f aca="false">IFERROR(VLOOKUP(C219,$AS$3:$AT$10,2,FALSE()),IFERROR(VLOOKUP(C219,$AS$15:$AT$22,2,FALSE()),""))</f>
        <v>42</v>
      </c>
      <c r="G219" s="71" t="n">
        <f aca="false">IFERROR(VLOOKUP(C219,$AS$3:$AX$10,6,FALSE()),IFERROR(VLOOKUP(C219,$AS$15:$AX$22,6,FALSE()),""))</f>
        <v>0.424872083346704</v>
      </c>
      <c r="H219" s="72" t="str">
        <f aca="false">IFERROR(VLOOKUP(C219,$AS$3:$AY$10,7,FALSE()),IFERROR(VLOOKUP(C219,$AS$15:$AY$22,7,FALSE()),""))</f>
        <v>🟡 AMARELO</v>
      </c>
      <c r="I219" s="72" t="str">
        <f aca="false">IFERROR(VLOOKUP(C219,$AS$3:$AZ$10,8,FALSE()),IFERROR(VLOOKUP(C219,$AS$15:$AZ$22,8,FALSE()),""))</f>
        <v>Sell Out</v>
      </c>
      <c r="J219" s="73"/>
      <c r="K219" s="69" t="s">
        <v>118</v>
      </c>
      <c r="L219" s="74" t="n">
        <v>5428.43</v>
      </c>
      <c r="M219" s="75" t="n">
        <v>381.47</v>
      </c>
      <c r="N219" s="75" t="n">
        <v>398.62</v>
      </c>
      <c r="O219" s="75" t="n">
        <v>408.23</v>
      </c>
      <c r="P219" s="75" t="n">
        <v>418.86</v>
      </c>
      <c r="Q219" s="75" t="n">
        <v>432.59</v>
      </c>
      <c r="R219" s="75" t="n">
        <v>443.91</v>
      </c>
      <c r="S219" s="75" t="n">
        <v>461.06</v>
      </c>
      <c r="T219" s="75" t="n">
        <v>472.38</v>
      </c>
      <c r="U219" s="75" t="n">
        <v>483.02</v>
      </c>
      <c r="V219" s="75" t="n">
        <v>495.02</v>
      </c>
      <c r="W219" s="75" t="n">
        <v>508.06</v>
      </c>
      <c r="X219" s="76" t="n">
        <v>525.21</v>
      </c>
      <c r="Y219" s="77" t="s">
        <v>20</v>
      </c>
      <c r="Z219" s="78" t="n">
        <f aca="false">SUM(AA219:AL219)</f>
        <v>2183.05</v>
      </c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107" t="n">
        <v>2183.05</v>
      </c>
      <c r="AM219" s="56" t="s">
        <v>20</v>
      </c>
      <c r="AN219" s="80" t="n">
        <f aca="false">IF(L219=0,0,Z219/L219)</f>
        <v>0.402151266572471</v>
      </c>
      <c r="AO219" s="81" t="str">
        <f aca="false">IF(AN219="","",IF(AN219&gt;=0.9,"🟢",IF(AN219&gt;=0.7,"🟡",IF(AN219&gt;=0.5,"🟠","🔴"))))</f>
        <v>🔴</v>
      </c>
      <c r="AP219" s="82" t="n">
        <f aca="false">IF(L219=0,0,L219-Z219)</f>
        <v>3245.38</v>
      </c>
      <c r="AQ219" s="83" t="n">
        <f aca="false">IF(AP219=0,"",RANK(AP219,AP$4:AP$503,0))</f>
        <v>198</v>
      </c>
      <c r="AR219" s="84" t="s">
        <v>20</v>
      </c>
      <c r="AS219" s="141"/>
      <c r="AT219" s="141"/>
      <c r="AU219" s="141"/>
      <c r="AV219" s="141"/>
      <c r="AW219" s="141"/>
      <c r="AX219" s="141"/>
      <c r="AY219" s="142"/>
      <c r="AZ219" s="142"/>
      <c r="BA219" s="56" t="s">
        <v>20</v>
      </c>
      <c r="BB219" s="91" t="n">
        <f aca="false">SUM(L$4:L$503)/COUNTA(A$4:A$503)</f>
        <v>9494.39992</v>
      </c>
      <c r="BC219" s="92" t="n">
        <f aca="false">SUM(M$4:M$503)/COUNTA(A$4:A$503)</f>
        <v>667.20008</v>
      </c>
      <c r="BD219" s="92" t="n">
        <f aca="false">SUM(N$4:N$503)/COUNTA(A$4:A$503)</f>
        <v>697.19996</v>
      </c>
      <c r="BE219" s="92" t="n">
        <f aca="false">SUM(O$4:O$503)/COUNTA(A$4:A$503)</f>
        <v>713.9999</v>
      </c>
      <c r="BF219" s="92" t="n">
        <f aca="false">SUM(P$4:P$503)/COUNTA(A$4:A$503)</f>
        <v>732.59984</v>
      </c>
      <c r="BG219" s="92" t="n">
        <f aca="false">SUM(Q$4:Q$503)/COUNTA(A$4:A$503)</f>
        <v>756.59992</v>
      </c>
      <c r="BH219" s="92" t="n">
        <f aca="false">SUM(R$4:R$503)/COUNTA(A$4:A$503)</f>
        <v>776.40004</v>
      </c>
      <c r="BI219" s="92" t="n">
        <f aca="false">SUM(S$4:S$503)/COUNTA(A$4:A$503)</f>
        <v>806.40012</v>
      </c>
      <c r="BJ219" s="92" t="n">
        <f aca="false">SUM(T$4:T$503)/COUNTA(A$4:A$503)</f>
        <v>826.1999</v>
      </c>
      <c r="BK219" s="92" t="n">
        <f aca="false">SUM(U$4:U$503)/COUNTA(A$4:A$503)</f>
        <v>844.8002</v>
      </c>
      <c r="BL219" s="92" t="n">
        <f aca="false">SUM(V$4:V$503)/COUNTA(A$4:A$503)</f>
        <v>865.7998</v>
      </c>
      <c r="BM219" s="92" t="n">
        <f aca="false">SUM(W$4:W$503)/COUNTA(A$4:A$503)</f>
        <v>888.59982</v>
      </c>
      <c r="BN219" s="93" t="n">
        <f aca="false">SUM(X$4:X$503)/COUNTA(A$4:A$503)</f>
        <v>918.60034</v>
      </c>
      <c r="BO219" s="94" t="s">
        <v>20</v>
      </c>
      <c r="BP219" s="91" t="n">
        <f aca="false">IF(Z219&gt;=BB219,0,IFERROR(BB219+(SUMPRODUCT((Z$4:Z$503&gt;=BB$4:BB$503)*(Z$4:Z$503-BB$4:BB$503))/MAX(1,COUNTIF(Z$4:Z$503,"&lt;"&amp;BB219+0.01))),BB219))</f>
        <v>10695.5432177778</v>
      </c>
      <c r="BQ219" s="92" t="n">
        <f aca="false">IF(AA219&gt;=BC219,0,IFERROR(BC219+SUMPRODUCT((AA$4:AA$503&gt;=BC$4:BC$503)*(AA$4:AA$503-BC$4:BC$503))/MAX(1,COUNTIF(AA$4:AA$503,"&lt;"&amp;BC219+0.01)),BC219))</f>
        <v>2238.46589176471</v>
      </c>
      <c r="BR219" s="92" t="n">
        <f aca="false">IF(AB219&gt;=BD219,0,IFERROR(BD219+SUMPRODUCT((AB$4:AB$503&gt;=BD$4:BD$503)*(AB$4:AB$503-BD$4:BD$503))/MAX(1,COUNTIF(AB$4:AB$503,"&lt;"&amp;BD219+0.01)),BD219))</f>
        <v>3335.2938</v>
      </c>
      <c r="BS219" s="92" t="n">
        <f aca="false">IF(AC219&gt;=BE219,0,IFERROR(BE219+SUMPRODUCT((AC$4:AC$503&gt;=BE$4:BE$503)*(AC$4:AC$503-BE$4:BE$503))/MAX(1,COUNTIF(AC$4:AC$503,"&lt;"&amp;BE219+0.01)),BE219))</f>
        <v>6188.73352</v>
      </c>
      <c r="BT219" s="92" t="n">
        <f aca="false">IF(AD219&gt;=BF219,0,IFERROR(BF219+SUMPRODUCT((AD$4:AD$503&gt;=BF$4:BF$503)*(AD$4:AD$503-BF$4:BF$503))/MAX(1,COUNTIF(AD$4:AD$503,"&lt;"&amp;BF219+0.01)),BF219))</f>
        <v>11354.35411</v>
      </c>
      <c r="BU219" s="92" t="n">
        <f aca="false">IF(AE219&gt;=BG219,0,IFERROR(BG219+SUMPRODUCT((AE$4:AE$503&gt;=BG$4:BG$503)*(AE$4:AE$503-BG$4:BG$503))/MAX(1,COUNTIF(AE$4:AE$503,"&lt;"&amp;BG219+0.01)),BG219))</f>
        <v>7704.85920380952</v>
      </c>
      <c r="BV219" s="92" t="n">
        <f aca="false">IF(AF219&gt;=BH219,0,IFERROR(BH219+SUMPRODUCT((AF$4:AF$503&gt;=BH$4:BH$503)*(AF$4:AF$503-BH$4:BH$503))/MAX(1,COUNTIF(AF$4:AF$503,"&lt;"&amp;BH219+0.01)),BH219))</f>
        <v>9942.6503831579</v>
      </c>
      <c r="BW219" s="92" t="n">
        <f aca="false">IF(AG219&gt;=BI219,0,IFERROR(BI219+SUMPRODUCT((AG$4:AG$503&gt;=BI$4:BI$503)*(AG$4:AG$503-BI$4:BI$503))/MAX(1,COUNTIF(AG$4:AG$503,"&lt;"&amp;BI219+0.01)),BI219))</f>
        <v>9142.15870461538</v>
      </c>
      <c r="BX219" s="92" t="n">
        <f aca="false">IF(AH219&gt;=BJ219,0,IFERROR(BJ219+SUMPRODUCT((AH$4:AH$503&gt;=BJ$4:BJ$503)*(AH$4:AH$503-BJ$4:BJ$503))/MAX(1,COUNTIF(AH$4:AH$503,"&lt;"&amp;BJ219+0.01)),BJ219))</f>
        <v>5621.50263448276</v>
      </c>
      <c r="BY219" s="92" t="n">
        <f aca="false">IF(AI219&gt;=BK219,0,IFERROR(BK219+SUMPRODUCT((AI$4:AI$503&gt;=BK$4:BK$503)*(AI$4:AI$503-BK$4:BK$503))/MAX(1,COUNTIF(AI$4:AI$503,"&lt;"&amp;BK219+0.01)),BK219))</f>
        <v>7878.25652380952</v>
      </c>
      <c r="BZ219" s="92" t="n">
        <f aca="false">IF(AJ219&gt;=BL219,0,IFERROR(BL219+SUMPRODUCT((AJ$4:AJ$503&gt;=BL$4:BL$503)*(AJ$4:AJ$503-BL$4:BL$503))/MAX(1,COUNTIF(AJ$4:AJ$503,"&lt;"&amp;BL219+0.01)),BL219))</f>
        <v>6710.03292307692</v>
      </c>
      <c r="CA219" s="92" t="n">
        <f aca="false">IF(AK219&gt;=BM219,0,IFERROR(BM219+SUMPRODUCT((AK$4:AK$503&gt;=BM$4:BM$503)*(AK$4:AK$503-BM$4:BM$503))/MAX(1,COUNTIF(AK$4:AK$503,"&lt;"&amp;BM219+0.01)),BM219))</f>
        <v>7314.89836842105</v>
      </c>
      <c r="CB219" s="93" t="n">
        <f aca="false">IF(AL219&gt;=BN219,0,IFERROR(BN219+SUMPRODUCT((AL$4:AL$503&gt;=BN$4:BN$503)*(AL$4:AL$503-BN$4:BN$503))/MAX(1,COUNTIF(AL$4:AL$503,"&lt;"&amp;BN219+0.01)),BN219))</f>
        <v>0</v>
      </c>
      <c r="CC219" s="95" t="str">
        <f aca="false">IF(AO219="🟢","VERDE",IF(AO219="🟡","AMARELO",IF(AO219="🟠","VERMELHO",IF(AO219="🔴","VERMELHO","ROXO"))))</f>
        <v>VERMELHO</v>
      </c>
      <c r="CD219" s="96" t="s">
        <v>103</v>
      </c>
      <c r="CE219" s="96" t="s">
        <v>104</v>
      </c>
    </row>
    <row r="220" customFormat="false" ht="14.25" hidden="false" customHeight="true" outlineLevel="0" collapsed="false">
      <c r="A220" s="65" t="s">
        <v>574</v>
      </c>
      <c r="B220" s="66" t="s">
        <v>575</v>
      </c>
      <c r="C220" s="67" t="s">
        <v>123</v>
      </c>
      <c r="D220" s="68" t="s">
        <v>108</v>
      </c>
      <c r="E220" s="56" t="s">
        <v>20</v>
      </c>
      <c r="F220" s="70" t="n">
        <f aca="false">IFERROR(VLOOKUP(C220,$AS$3:$AT$10,2,FALSE()),IFERROR(VLOOKUP(C220,$AS$15:$AT$22,2,FALSE()),""))</f>
        <v>49</v>
      </c>
      <c r="G220" s="71" t="n">
        <f aca="false">IFERROR(VLOOKUP(C220,$AS$3:$AX$10,6,FALSE()),IFERROR(VLOOKUP(C220,$AS$15:$AX$22,6,FALSE()),""))</f>
        <v>0.436391353881959</v>
      </c>
      <c r="H220" s="72" t="str">
        <f aca="false">IFERROR(VLOOKUP(C220,$AS$3:$AY$10,7,FALSE()),IFERROR(VLOOKUP(C220,$AS$15:$AY$22,7,FALSE()),""))</f>
        <v>🟡 AMARELO</v>
      </c>
      <c r="I220" s="72" t="str">
        <f aca="false">IFERROR(VLOOKUP(C220,$AS$3:$AZ$10,8,FALSE()),IFERROR(VLOOKUP(C220,$AS$15:$AZ$22,8,FALSE()),""))</f>
        <v>Sell Out</v>
      </c>
      <c r="J220" s="73"/>
      <c r="K220" s="56" t="s">
        <v>20</v>
      </c>
      <c r="L220" s="74" t="n">
        <v>5365.84</v>
      </c>
      <c r="M220" s="75" t="n">
        <v>377.07</v>
      </c>
      <c r="N220" s="75" t="n">
        <v>394.03</v>
      </c>
      <c r="O220" s="75" t="n">
        <v>403.52</v>
      </c>
      <c r="P220" s="75" t="n">
        <v>414.04</v>
      </c>
      <c r="Q220" s="75" t="n">
        <v>427.6</v>
      </c>
      <c r="R220" s="75" t="n">
        <v>438.79</v>
      </c>
      <c r="S220" s="75" t="n">
        <v>455.74</v>
      </c>
      <c r="T220" s="75" t="n">
        <v>466.93</v>
      </c>
      <c r="U220" s="75" t="n">
        <v>477.45</v>
      </c>
      <c r="V220" s="75" t="n">
        <v>489.31</v>
      </c>
      <c r="W220" s="75" t="n">
        <v>502.2</v>
      </c>
      <c r="X220" s="76" t="n">
        <v>519.16</v>
      </c>
      <c r="Y220" s="77" t="s">
        <v>20</v>
      </c>
      <c r="Z220" s="78" t="n">
        <f aca="false">SUM(AA220:AL220)</f>
        <v>2263.05</v>
      </c>
      <c r="AA220" s="75"/>
      <c r="AB220" s="75"/>
      <c r="AC220" s="75"/>
      <c r="AD220" s="75"/>
      <c r="AE220" s="75"/>
      <c r="AF220" s="75"/>
      <c r="AG220" s="75" t="n">
        <v>938.73</v>
      </c>
      <c r="AH220" s="75" t="n">
        <v>665.76</v>
      </c>
      <c r="AI220" s="75"/>
      <c r="AJ220" s="75" t="n">
        <v>658.56</v>
      </c>
      <c r="AK220" s="75"/>
      <c r="AL220" s="76"/>
      <c r="AM220" s="56" t="s">
        <v>20</v>
      </c>
      <c r="AN220" s="80" t="n">
        <f aca="false">IF(L220=0,0,Z220/L220)</f>
        <v>0.421751300821493</v>
      </c>
      <c r="AO220" s="81" t="str">
        <f aca="false">IF(AN220="","",IF(AN220&gt;=0.9,"🟢",IF(AN220&gt;=0.7,"🟡",IF(AN220&gt;=0.5,"🟠","🔴"))))</f>
        <v>🔴</v>
      </c>
      <c r="AP220" s="82" t="n">
        <f aca="false">IF(L220=0,0,L220-Z220)</f>
        <v>3102.79</v>
      </c>
      <c r="AQ220" s="83" t="n">
        <f aca="false">IF(AP220=0,"",RANK(AP220,AP$4:AP$503,0))</f>
        <v>204</v>
      </c>
      <c r="AR220" s="84" t="s">
        <v>20</v>
      </c>
      <c r="AS220" s="141"/>
      <c r="AT220" s="141"/>
      <c r="AU220" s="141"/>
      <c r="AV220" s="141"/>
      <c r="AW220" s="141"/>
      <c r="AX220" s="141"/>
      <c r="AY220" s="142"/>
      <c r="AZ220" s="142"/>
      <c r="BA220" s="56" t="s">
        <v>20</v>
      </c>
      <c r="BB220" s="91" t="n">
        <f aca="false">SUM(L$4:L$503)/COUNTA(A$4:A$503)</f>
        <v>9494.39992</v>
      </c>
      <c r="BC220" s="92" t="n">
        <f aca="false">SUM(M$4:M$503)/COUNTA(A$4:A$503)</f>
        <v>667.20008</v>
      </c>
      <c r="BD220" s="92" t="n">
        <f aca="false">SUM(N$4:N$503)/COUNTA(A$4:A$503)</f>
        <v>697.19996</v>
      </c>
      <c r="BE220" s="92" t="n">
        <f aca="false">SUM(O$4:O$503)/COUNTA(A$4:A$503)</f>
        <v>713.9999</v>
      </c>
      <c r="BF220" s="92" t="n">
        <f aca="false">SUM(P$4:P$503)/COUNTA(A$4:A$503)</f>
        <v>732.59984</v>
      </c>
      <c r="BG220" s="92" t="n">
        <f aca="false">SUM(Q$4:Q$503)/COUNTA(A$4:A$503)</f>
        <v>756.59992</v>
      </c>
      <c r="BH220" s="92" t="n">
        <f aca="false">SUM(R$4:R$503)/COUNTA(A$4:A$503)</f>
        <v>776.40004</v>
      </c>
      <c r="BI220" s="92" t="n">
        <f aca="false">SUM(S$4:S$503)/COUNTA(A$4:A$503)</f>
        <v>806.40012</v>
      </c>
      <c r="BJ220" s="92" t="n">
        <f aca="false">SUM(T$4:T$503)/COUNTA(A$4:A$503)</f>
        <v>826.1999</v>
      </c>
      <c r="BK220" s="92" t="n">
        <f aca="false">SUM(U$4:U$503)/COUNTA(A$4:A$503)</f>
        <v>844.8002</v>
      </c>
      <c r="BL220" s="92" t="n">
        <f aca="false">SUM(V$4:V$503)/COUNTA(A$4:A$503)</f>
        <v>865.7998</v>
      </c>
      <c r="BM220" s="92" t="n">
        <f aca="false">SUM(W$4:W$503)/COUNTA(A$4:A$503)</f>
        <v>888.59982</v>
      </c>
      <c r="BN220" s="93" t="n">
        <f aca="false">SUM(X$4:X$503)/COUNTA(A$4:A$503)</f>
        <v>918.60034</v>
      </c>
      <c r="BO220" s="94" t="s">
        <v>20</v>
      </c>
      <c r="BP220" s="91" t="n">
        <f aca="false">IF(Z220&gt;=BB220,0,IFERROR(BB220+(SUMPRODUCT((Z$4:Z$503&gt;=BB$4:BB$503)*(Z$4:Z$503-BB$4:BB$503))/MAX(1,COUNTIF(Z$4:Z$503,"&lt;"&amp;BB220+0.01))),BB220))</f>
        <v>10695.5432177778</v>
      </c>
      <c r="BQ220" s="92" t="n">
        <f aca="false">IF(AA220&gt;=BC220,0,IFERROR(BC220+SUMPRODUCT((AA$4:AA$503&gt;=BC$4:BC$503)*(AA$4:AA$503-BC$4:BC$503))/MAX(1,COUNTIF(AA$4:AA$503,"&lt;"&amp;BC220+0.01)),BC220))</f>
        <v>2238.46589176471</v>
      </c>
      <c r="BR220" s="92" t="n">
        <f aca="false">IF(AB220&gt;=BD220,0,IFERROR(BD220+SUMPRODUCT((AB$4:AB$503&gt;=BD$4:BD$503)*(AB$4:AB$503-BD$4:BD$503))/MAX(1,COUNTIF(AB$4:AB$503,"&lt;"&amp;BD220+0.01)),BD220))</f>
        <v>3335.2938</v>
      </c>
      <c r="BS220" s="92" t="n">
        <f aca="false">IF(AC220&gt;=BE220,0,IFERROR(BE220+SUMPRODUCT((AC$4:AC$503&gt;=BE$4:BE$503)*(AC$4:AC$503-BE$4:BE$503))/MAX(1,COUNTIF(AC$4:AC$503,"&lt;"&amp;BE220+0.01)),BE220))</f>
        <v>6188.73352</v>
      </c>
      <c r="BT220" s="92" t="n">
        <f aca="false">IF(AD220&gt;=BF220,0,IFERROR(BF220+SUMPRODUCT((AD$4:AD$503&gt;=BF$4:BF$503)*(AD$4:AD$503-BF$4:BF$503))/MAX(1,COUNTIF(AD$4:AD$503,"&lt;"&amp;BF220+0.01)),BF220))</f>
        <v>11354.35411</v>
      </c>
      <c r="BU220" s="92" t="n">
        <f aca="false">IF(AE220&gt;=BG220,0,IFERROR(BG220+SUMPRODUCT((AE$4:AE$503&gt;=BG$4:BG$503)*(AE$4:AE$503-BG$4:BG$503))/MAX(1,COUNTIF(AE$4:AE$503,"&lt;"&amp;BG220+0.01)),BG220))</f>
        <v>7704.85920380952</v>
      </c>
      <c r="BV220" s="92" t="n">
        <f aca="false">IF(AF220&gt;=BH220,0,IFERROR(BH220+SUMPRODUCT((AF$4:AF$503&gt;=BH$4:BH$503)*(AF$4:AF$503-BH$4:BH$503))/MAX(1,COUNTIF(AF$4:AF$503,"&lt;"&amp;BH220+0.01)),BH220))</f>
        <v>9942.6503831579</v>
      </c>
      <c r="BW220" s="92" t="n">
        <f aca="false">IF(AG220&gt;=BI220,0,IFERROR(BI220+SUMPRODUCT((AG$4:AG$503&gt;=BI$4:BI$503)*(AG$4:AG$503-BI$4:BI$503))/MAX(1,COUNTIF(AG$4:AG$503,"&lt;"&amp;BI220+0.01)),BI220))</f>
        <v>0</v>
      </c>
      <c r="BX220" s="92" t="n">
        <f aca="false">IF(AH220&gt;=BJ220,0,IFERROR(BJ220+SUMPRODUCT((AH$4:AH$503&gt;=BJ$4:BJ$503)*(AH$4:AH$503-BJ$4:BJ$503))/MAX(1,COUNTIF(AH$4:AH$503,"&lt;"&amp;BJ220+0.01)),BJ220))</f>
        <v>5621.50263448276</v>
      </c>
      <c r="BY220" s="92" t="n">
        <f aca="false">IF(AI220&gt;=BK220,0,IFERROR(BK220+SUMPRODUCT((AI$4:AI$503&gt;=BK$4:BK$503)*(AI$4:AI$503-BK$4:BK$503))/MAX(1,COUNTIF(AI$4:AI$503,"&lt;"&amp;BK220+0.01)),BK220))</f>
        <v>7878.25652380952</v>
      </c>
      <c r="BZ220" s="92" t="n">
        <f aca="false">IF(AJ220&gt;=BL220,0,IFERROR(BL220+SUMPRODUCT((AJ$4:AJ$503&gt;=BL$4:BL$503)*(AJ$4:AJ$503-BL$4:BL$503))/MAX(1,COUNTIF(AJ$4:AJ$503,"&lt;"&amp;BL220+0.01)),BL220))</f>
        <v>6710.03292307692</v>
      </c>
      <c r="CA220" s="92" t="n">
        <f aca="false">IF(AK220&gt;=BM220,0,IFERROR(BM220+SUMPRODUCT((AK$4:AK$503&gt;=BM$4:BM$503)*(AK$4:AK$503-BM$4:BM$503))/MAX(1,COUNTIF(AK$4:AK$503,"&lt;"&amp;BM220+0.01)),BM220))</f>
        <v>7314.89836842105</v>
      </c>
      <c r="CB220" s="93" t="n">
        <f aca="false">IF(AL220&gt;=BN220,0,IFERROR(BN220+SUMPRODUCT((AL$4:AL$503&gt;=BN$4:BN$503)*(AL$4:AL$503-BN$4:BN$503))/MAX(1,COUNTIF(AL$4:AL$503,"&lt;"&amp;BN220+0.01)),BN220))</f>
        <v>3597.2614925</v>
      </c>
      <c r="CC220" s="95" t="str">
        <f aca="false">IF(AO220="🟢","VERDE",IF(AO220="🟡","AMARELO",IF(AO220="🟠","VERMELHO",IF(AO220="🔴","VERMELHO","ROXO"))))</f>
        <v>VERMELHO</v>
      </c>
      <c r="CD220" s="96" t="s">
        <v>103</v>
      </c>
      <c r="CE220" s="96" t="s">
        <v>104</v>
      </c>
    </row>
    <row r="221" customFormat="false" ht="14.25" hidden="false" customHeight="true" outlineLevel="0" collapsed="false">
      <c r="A221" s="65" t="s">
        <v>576</v>
      </c>
      <c r="B221" s="66" t="s">
        <v>577</v>
      </c>
      <c r="C221" s="67" t="s">
        <v>107</v>
      </c>
      <c r="D221" s="68" t="s">
        <v>108</v>
      </c>
      <c r="E221" s="69" t="s">
        <v>196</v>
      </c>
      <c r="F221" s="70" t="n">
        <f aca="false">IFERROR(VLOOKUP(C221,$AS$3:$AT$10,2,FALSE()),IFERROR(VLOOKUP(C221,$AS$15:$AT$22,2,FALSE()),""))</f>
        <v>132</v>
      </c>
      <c r="G221" s="71" t="n">
        <f aca="false">IFERROR(VLOOKUP(C221,$AS$3:$AX$10,6,FALSE()),IFERROR(VLOOKUP(C221,$AS$15:$AX$22,6,FALSE()),""))</f>
        <v>0.468190175850689</v>
      </c>
      <c r="H221" s="72" t="str">
        <f aca="false">IFERROR(VLOOKUP(C221,$AS$3:$AY$10,7,FALSE()),IFERROR(VLOOKUP(C221,$AS$15:$AY$22,7,FALSE()),""))</f>
        <v>🟡 AMARELO</v>
      </c>
      <c r="I221" s="72" t="str">
        <f aca="false">IFERROR(VLOOKUP(C221,$AS$3:$AZ$10,8,FALSE()),IFERROR(VLOOKUP(C221,$AS$15:$AZ$22,8,FALSE()),""))</f>
        <v>Sell Out</v>
      </c>
      <c r="J221" s="73"/>
      <c r="K221" s="69" t="s">
        <v>107</v>
      </c>
      <c r="L221" s="74" t="n">
        <v>5364.15</v>
      </c>
      <c r="M221" s="75" t="n">
        <v>376.96</v>
      </c>
      <c r="N221" s="75" t="n">
        <v>393.9</v>
      </c>
      <c r="O221" s="75" t="n">
        <v>403.4</v>
      </c>
      <c r="P221" s="75" t="n">
        <v>413.9</v>
      </c>
      <c r="Q221" s="75" t="n">
        <v>427.46</v>
      </c>
      <c r="R221" s="75" t="n">
        <v>438.65</v>
      </c>
      <c r="S221" s="75" t="n">
        <v>455.6</v>
      </c>
      <c r="T221" s="75" t="n">
        <v>466.79</v>
      </c>
      <c r="U221" s="75" t="n">
        <v>477.3</v>
      </c>
      <c r="V221" s="75" t="n">
        <v>489.16</v>
      </c>
      <c r="W221" s="75" t="n">
        <v>502.04</v>
      </c>
      <c r="X221" s="76" t="n">
        <v>518.99</v>
      </c>
      <c r="Y221" s="77" t="s">
        <v>20</v>
      </c>
      <c r="Z221" s="78" t="n">
        <f aca="false">SUM(AA221:AL221)</f>
        <v>2237.67</v>
      </c>
      <c r="AA221" s="75"/>
      <c r="AB221" s="75"/>
      <c r="AC221" s="75"/>
      <c r="AD221" s="75"/>
      <c r="AE221" s="75"/>
      <c r="AF221" s="75"/>
      <c r="AG221" s="75"/>
      <c r="AH221" s="79" t="n">
        <v>490.02</v>
      </c>
      <c r="AI221" s="79" t="n">
        <v>683.35</v>
      </c>
      <c r="AJ221" s="75"/>
      <c r="AK221" s="75"/>
      <c r="AL221" s="107" t="n">
        <v>1064.3</v>
      </c>
      <c r="AM221" s="56" t="s">
        <v>20</v>
      </c>
      <c r="AN221" s="80" t="n">
        <f aca="false">IF(L221=0,0,Z221/L221)</f>
        <v>0.417152764184447</v>
      </c>
      <c r="AO221" s="81" t="str">
        <f aca="false">IF(AN221="","",IF(AN221&gt;=0.9,"🟢",IF(AN221&gt;=0.7,"🟡",IF(AN221&gt;=0.5,"🟠","🔴"))))</f>
        <v>🔴</v>
      </c>
      <c r="AP221" s="82" t="n">
        <f aca="false">IF(L221=0,0,L221-Z221)</f>
        <v>3126.48</v>
      </c>
      <c r="AQ221" s="83" t="n">
        <f aca="false">IF(AP221=0,"",RANK(AP221,AP$4:AP$503,0))</f>
        <v>203</v>
      </c>
      <c r="AR221" s="84" t="s">
        <v>20</v>
      </c>
      <c r="AS221" s="141"/>
      <c r="AT221" s="141"/>
      <c r="AU221" s="141"/>
      <c r="AV221" s="141"/>
      <c r="AW221" s="141"/>
      <c r="AX221" s="141"/>
      <c r="AY221" s="142"/>
      <c r="AZ221" s="142"/>
      <c r="BA221" s="56" t="s">
        <v>20</v>
      </c>
      <c r="BB221" s="91" t="n">
        <f aca="false">SUM(L$4:L$503)/COUNTA(A$4:A$503)</f>
        <v>9494.39992</v>
      </c>
      <c r="BC221" s="92" t="n">
        <f aca="false">SUM(M$4:M$503)/COUNTA(A$4:A$503)</f>
        <v>667.20008</v>
      </c>
      <c r="BD221" s="92" t="n">
        <f aca="false">SUM(N$4:N$503)/COUNTA(A$4:A$503)</f>
        <v>697.19996</v>
      </c>
      <c r="BE221" s="92" t="n">
        <f aca="false">SUM(O$4:O$503)/COUNTA(A$4:A$503)</f>
        <v>713.9999</v>
      </c>
      <c r="BF221" s="92" t="n">
        <f aca="false">SUM(P$4:P$503)/COUNTA(A$4:A$503)</f>
        <v>732.59984</v>
      </c>
      <c r="BG221" s="92" t="n">
        <f aca="false">SUM(Q$4:Q$503)/COUNTA(A$4:A$503)</f>
        <v>756.59992</v>
      </c>
      <c r="BH221" s="92" t="n">
        <f aca="false">SUM(R$4:R$503)/COUNTA(A$4:A$503)</f>
        <v>776.40004</v>
      </c>
      <c r="BI221" s="92" t="n">
        <f aca="false">SUM(S$4:S$503)/COUNTA(A$4:A$503)</f>
        <v>806.40012</v>
      </c>
      <c r="BJ221" s="92" t="n">
        <f aca="false">SUM(T$4:T$503)/COUNTA(A$4:A$503)</f>
        <v>826.1999</v>
      </c>
      <c r="BK221" s="92" t="n">
        <f aca="false">SUM(U$4:U$503)/COUNTA(A$4:A$503)</f>
        <v>844.8002</v>
      </c>
      <c r="BL221" s="92" t="n">
        <f aca="false">SUM(V$4:V$503)/COUNTA(A$4:A$503)</f>
        <v>865.7998</v>
      </c>
      <c r="BM221" s="92" t="n">
        <f aca="false">SUM(W$4:W$503)/COUNTA(A$4:A$503)</f>
        <v>888.59982</v>
      </c>
      <c r="BN221" s="93" t="n">
        <f aca="false">SUM(X$4:X$503)/COUNTA(A$4:A$503)</f>
        <v>918.60034</v>
      </c>
      <c r="BO221" s="94" t="s">
        <v>20</v>
      </c>
      <c r="BP221" s="91" t="n">
        <f aca="false">IF(Z221&gt;=BB221,0,IFERROR(BB221+(SUMPRODUCT((Z$4:Z$503&gt;=BB$4:BB$503)*(Z$4:Z$503-BB$4:BB$503))/MAX(1,COUNTIF(Z$4:Z$503,"&lt;"&amp;BB221+0.01))),BB221))</f>
        <v>10695.5432177778</v>
      </c>
      <c r="BQ221" s="92" t="n">
        <f aca="false">IF(AA221&gt;=BC221,0,IFERROR(BC221+SUMPRODUCT((AA$4:AA$503&gt;=BC$4:BC$503)*(AA$4:AA$503-BC$4:BC$503))/MAX(1,COUNTIF(AA$4:AA$503,"&lt;"&amp;BC221+0.01)),BC221))</f>
        <v>2238.46589176471</v>
      </c>
      <c r="BR221" s="92" t="n">
        <f aca="false">IF(AB221&gt;=BD221,0,IFERROR(BD221+SUMPRODUCT((AB$4:AB$503&gt;=BD$4:BD$503)*(AB$4:AB$503-BD$4:BD$503))/MAX(1,COUNTIF(AB$4:AB$503,"&lt;"&amp;BD221+0.01)),BD221))</f>
        <v>3335.2938</v>
      </c>
      <c r="BS221" s="92" t="n">
        <f aca="false">IF(AC221&gt;=BE221,0,IFERROR(BE221+SUMPRODUCT((AC$4:AC$503&gt;=BE$4:BE$503)*(AC$4:AC$503-BE$4:BE$503))/MAX(1,COUNTIF(AC$4:AC$503,"&lt;"&amp;BE221+0.01)),BE221))</f>
        <v>6188.73352</v>
      </c>
      <c r="BT221" s="92" t="n">
        <f aca="false">IF(AD221&gt;=BF221,0,IFERROR(BF221+SUMPRODUCT((AD$4:AD$503&gt;=BF$4:BF$503)*(AD$4:AD$503-BF$4:BF$503))/MAX(1,COUNTIF(AD$4:AD$503,"&lt;"&amp;BF221+0.01)),BF221))</f>
        <v>11354.35411</v>
      </c>
      <c r="BU221" s="92" t="n">
        <f aca="false">IF(AE221&gt;=BG221,0,IFERROR(BG221+SUMPRODUCT((AE$4:AE$503&gt;=BG$4:BG$503)*(AE$4:AE$503-BG$4:BG$503))/MAX(1,COUNTIF(AE$4:AE$503,"&lt;"&amp;BG221+0.01)),BG221))</f>
        <v>7704.85920380952</v>
      </c>
      <c r="BV221" s="92" t="n">
        <f aca="false">IF(AF221&gt;=BH221,0,IFERROR(BH221+SUMPRODUCT((AF$4:AF$503&gt;=BH$4:BH$503)*(AF$4:AF$503-BH$4:BH$503))/MAX(1,COUNTIF(AF$4:AF$503,"&lt;"&amp;BH221+0.01)),BH221))</f>
        <v>9942.6503831579</v>
      </c>
      <c r="BW221" s="92" t="n">
        <f aca="false">IF(AG221&gt;=BI221,0,IFERROR(BI221+SUMPRODUCT((AG$4:AG$503&gt;=BI$4:BI$503)*(AG$4:AG$503-BI$4:BI$503))/MAX(1,COUNTIF(AG$4:AG$503,"&lt;"&amp;BI221+0.01)),BI221))</f>
        <v>9142.15870461538</v>
      </c>
      <c r="BX221" s="92" t="n">
        <f aca="false">IF(AH221&gt;=BJ221,0,IFERROR(BJ221+SUMPRODUCT((AH$4:AH$503&gt;=BJ$4:BJ$503)*(AH$4:AH$503-BJ$4:BJ$503))/MAX(1,COUNTIF(AH$4:AH$503,"&lt;"&amp;BJ221+0.01)),BJ221))</f>
        <v>5621.50263448276</v>
      </c>
      <c r="BY221" s="92" t="n">
        <f aca="false">IF(AI221&gt;=BK221,0,IFERROR(BK221+SUMPRODUCT((AI$4:AI$503&gt;=BK$4:BK$503)*(AI$4:AI$503-BK$4:BK$503))/MAX(1,COUNTIF(AI$4:AI$503,"&lt;"&amp;BK221+0.01)),BK221))</f>
        <v>7878.25652380952</v>
      </c>
      <c r="BZ221" s="92" t="n">
        <f aca="false">IF(AJ221&gt;=BL221,0,IFERROR(BL221+SUMPRODUCT((AJ$4:AJ$503&gt;=BL$4:BL$503)*(AJ$4:AJ$503-BL$4:BL$503))/MAX(1,COUNTIF(AJ$4:AJ$503,"&lt;"&amp;BL221+0.01)),BL221))</f>
        <v>6710.03292307692</v>
      </c>
      <c r="CA221" s="92" t="n">
        <f aca="false">IF(AK221&gt;=BM221,0,IFERROR(BM221+SUMPRODUCT((AK$4:AK$503&gt;=BM$4:BM$503)*(AK$4:AK$503-BM$4:BM$503))/MAX(1,COUNTIF(AK$4:AK$503,"&lt;"&amp;BM221+0.01)),BM221))</f>
        <v>7314.89836842105</v>
      </c>
      <c r="CB221" s="93" t="n">
        <f aca="false">IF(AL221&gt;=BN221,0,IFERROR(BN221+SUMPRODUCT((AL$4:AL$503&gt;=BN$4:BN$503)*(AL$4:AL$503-BN$4:BN$503))/MAX(1,COUNTIF(AL$4:AL$503,"&lt;"&amp;BN221+0.01)),BN221))</f>
        <v>0</v>
      </c>
      <c r="CC221" s="95" t="str">
        <f aca="false">IF(AO221="🟢","VERDE",IF(AO221="🟡","AMARELO",IF(AO221="🟠","VERMELHO",IF(AO221="🔴","VERMELHO","ROXO"))))</f>
        <v>VERMELHO</v>
      </c>
      <c r="CD221" s="96" t="s">
        <v>103</v>
      </c>
      <c r="CE221" s="96" t="s">
        <v>104</v>
      </c>
    </row>
    <row r="222" customFormat="false" ht="14.25" hidden="false" customHeight="true" outlineLevel="0" collapsed="false">
      <c r="A222" s="65" t="s">
        <v>578</v>
      </c>
      <c r="B222" s="66" t="s">
        <v>579</v>
      </c>
      <c r="C222" s="67" t="s">
        <v>107</v>
      </c>
      <c r="D222" s="68" t="s">
        <v>108</v>
      </c>
      <c r="E222" s="69" t="s">
        <v>109</v>
      </c>
      <c r="F222" s="70" t="n">
        <f aca="false">IFERROR(VLOOKUP(C222,$AS$3:$AT$10,2,FALSE()),IFERROR(VLOOKUP(C222,$AS$15:$AT$22,2,FALSE()),""))</f>
        <v>132</v>
      </c>
      <c r="G222" s="71" t="n">
        <f aca="false">IFERROR(VLOOKUP(C222,$AS$3:$AX$10,6,FALSE()),IFERROR(VLOOKUP(C222,$AS$15:$AX$22,6,FALSE()),""))</f>
        <v>0.468190175850689</v>
      </c>
      <c r="H222" s="72" t="str">
        <f aca="false">IFERROR(VLOOKUP(C222,$AS$3:$AY$10,7,FALSE()),IFERROR(VLOOKUP(C222,$AS$15:$AY$22,7,FALSE()),""))</f>
        <v>🟡 AMARELO</v>
      </c>
      <c r="I222" s="72" t="str">
        <f aca="false">IFERROR(VLOOKUP(C222,$AS$3:$AZ$10,8,FALSE()),IFERROR(VLOOKUP(C222,$AS$15:$AZ$22,8,FALSE()),""))</f>
        <v>Sell Out</v>
      </c>
      <c r="J222" s="73"/>
      <c r="K222" s="69" t="s">
        <v>107</v>
      </c>
      <c r="L222" s="74" t="n">
        <v>5328.58</v>
      </c>
      <c r="M222" s="75" t="n">
        <v>374.46</v>
      </c>
      <c r="N222" s="75" t="n">
        <v>391.29</v>
      </c>
      <c r="O222" s="75" t="n">
        <v>400.72</v>
      </c>
      <c r="P222" s="75" t="n">
        <v>411.16</v>
      </c>
      <c r="Q222" s="75" t="n">
        <v>424.63</v>
      </c>
      <c r="R222" s="75" t="n">
        <v>435.74</v>
      </c>
      <c r="S222" s="75" t="n">
        <v>452.58</v>
      </c>
      <c r="T222" s="75" t="n">
        <v>463.69</v>
      </c>
      <c r="U222" s="75" t="n">
        <v>474.13</v>
      </c>
      <c r="V222" s="75" t="n">
        <v>485.92</v>
      </c>
      <c r="W222" s="75" t="n">
        <v>498.71</v>
      </c>
      <c r="X222" s="76" t="n">
        <v>515.55</v>
      </c>
      <c r="Y222" s="77" t="s">
        <v>20</v>
      </c>
      <c r="Z222" s="78" t="n">
        <f aca="false">SUM(AA222:AL222)</f>
        <v>2075.22</v>
      </c>
      <c r="AA222" s="75"/>
      <c r="AB222" s="75"/>
      <c r="AC222" s="75"/>
      <c r="AD222" s="79" t="n">
        <v>1279.51</v>
      </c>
      <c r="AE222" s="75"/>
      <c r="AF222" s="75"/>
      <c r="AG222" s="75"/>
      <c r="AH222" s="75"/>
      <c r="AI222" s="79" t="n">
        <v>795.71</v>
      </c>
      <c r="AJ222" s="75"/>
      <c r="AK222" s="75"/>
      <c r="AL222" s="76"/>
      <c r="AM222" s="56" t="s">
        <v>20</v>
      </c>
      <c r="AN222" s="80" t="n">
        <f aca="false">IF(L222=0,0,Z222/L222)</f>
        <v>0.389450848068341</v>
      </c>
      <c r="AO222" s="81" t="str">
        <f aca="false">IF(AN222="","",IF(AN222&gt;=0.9,"🟢",IF(AN222&gt;=0.7,"🟡",IF(AN222&gt;=0.5,"🟠","🔴"))))</f>
        <v>🔴</v>
      </c>
      <c r="AP222" s="82" t="n">
        <f aca="false">IF(L222=0,0,L222-Z222)</f>
        <v>3253.36</v>
      </c>
      <c r="AQ222" s="83" t="n">
        <f aca="false">IF(AP222=0,"",RANK(AP222,AP$4:AP$503,0))</f>
        <v>197</v>
      </c>
      <c r="AR222" s="84" t="s">
        <v>20</v>
      </c>
      <c r="AS222" s="141"/>
      <c r="AT222" s="141"/>
      <c r="AU222" s="141"/>
      <c r="AV222" s="141"/>
      <c r="AW222" s="141"/>
      <c r="AX222" s="141"/>
      <c r="AY222" s="142"/>
      <c r="AZ222" s="142"/>
      <c r="BA222" s="56" t="s">
        <v>20</v>
      </c>
      <c r="BB222" s="91" t="n">
        <f aca="false">SUM(L$4:L$503)/COUNTA(A$4:A$503)</f>
        <v>9494.39992</v>
      </c>
      <c r="BC222" s="92" t="n">
        <f aca="false">SUM(M$4:M$503)/COUNTA(A$4:A$503)</f>
        <v>667.20008</v>
      </c>
      <c r="BD222" s="92" t="n">
        <f aca="false">SUM(N$4:N$503)/COUNTA(A$4:A$503)</f>
        <v>697.19996</v>
      </c>
      <c r="BE222" s="92" t="n">
        <f aca="false">SUM(O$4:O$503)/COUNTA(A$4:A$503)</f>
        <v>713.9999</v>
      </c>
      <c r="BF222" s="92" t="n">
        <f aca="false">SUM(P$4:P$503)/COUNTA(A$4:A$503)</f>
        <v>732.59984</v>
      </c>
      <c r="BG222" s="92" t="n">
        <f aca="false">SUM(Q$4:Q$503)/COUNTA(A$4:A$503)</f>
        <v>756.59992</v>
      </c>
      <c r="BH222" s="92" t="n">
        <f aca="false">SUM(R$4:R$503)/COUNTA(A$4:A$503)</f>
        <v>776.40004</v>
      </c>
      <c r="BI222" s="92" t="n">
        <f aca="false">SUM(S$4:S$503)/COUNTA(A$4:A$503)</f>
        <v>806.40012</v>
      </c>
      <c r="BJ222" s="92" t="n">
        <f aca="false">SUM(T$4:T$503)/COUNTA(A$4:A$503)</f>
        <v>826.1999</v>
      </c>
      <c r="BK222" s="92" t="n">
        <f aca="false">SUM(U$4:U$503)/COUNTA(A$4:A$503)</f>
        <v>844.8002</v>
      </c>
      <c r="BL222" s="92" t="n">
        <f aca="false">SUM(V$4:V$503)/COUNTA(A$4:A$503)</f>
        <v>865.7998</v>
      </c>
      <c r="BM222" s="92" t="n">
        <f aca="false">SUM(W$4:W$503)/COUNTA(A$4:A$503)</f>
        <v>888.59982</v>
      </c>
      <c r="BN222" s="93" t="n">
        <f aca="false">SUM(X$4:X$503)/COUNTA(A$4:A$503)</f>
        <v>918.60034</v>
      </c>
      <c r="BO222" s="94" t="s">
        <v>20</v>
      </c>
      <c r="BP222" s="91" t="n">
        <f aca="false">IF(Z222&gt;=BB222,0,IFERROR(BB222+(SUMPRODUCT((Z$4:Z$503&gt;=BB$4:BB$503)*(Z$4:Z$503-BB$4:BB$503))/MAX(1,COUNTIF(Z$4:Z$503,"&lt;"&amp;BB222+0.01))),BB222))</f>
        <v>10695.5432177778</v>
      </c>
      <c r="BQ222" s="92" t="n">
        <f aca="false">IF(AA222&gt;=BC222,0,IFERROR(BC222+SUMPRODUCT((AA$4:AA$503&gt;=BC$4:BC$503)*(AA$4:AA$503-BC$4:BC$503))/MAX(1,COUNTIF(AA$4:AA$503,"&lt;"&amp;BC222+0.01)),BC222))</f>
        <v>2238.46589176471</v>
      </c>
      <c r="BR222" s="92" t="n">
        <f aca="false">IF(AB222&gt;=BD222,0,IFERROR(BD222+SUMPRODUCT((AB$4:AB$503&gt;=BD$4:BD$503)*(AB$4:AB$503-BD$4:BD$503))/MAX(1,COUNTIF(AB$4:AB$503,"&lt;"&amp;BD222+0.01)),BD222))</f>
        <v>3335.2938</v>
      </c>
      <c r="BS222" s="92" t="n">
        <f aca="false">IF(AC222&gt;=BE222,0,IFERROR(BE222+SUMPRODUCT((AC$4:AC$503&gt;=BE$4:BE$503)*(AC$4:AC$503-BE$4:BE$503))/MAX(1,COUNTIF(AC$4:AC$503,"&lt;"&amp;BE222+0.01)),BE222))</f>
        <v>6188.73352</v>
      </c>
      <c r="BT222" s="92" t="n">
        <f aca="false">IF(AD222&gt;=BF222,0,IFERROR(BF222+SUMPRODUCT((AD$4:AD$503&gt;=BF$4:BF$503)*(AD$4:AD$503-BF$4:BF$503))/MAX(1,COUNTIF(AD$4:AD$503,"&lt;"&amp;BF222+0.01)),BF222))</f>
        <v>0</v>
      </c>
      <c r="BU222" s="92" t="n">
        <f aca="false">IF(AE222&gt;=BG222,0,IFERROR(BG222+SUMPRODUCT((AE$4:AE$503&gt;=BG$4:BG$503)*(AE$4:AE$503-BG$4:BG$503))/MAX(1,COUNTIF(AE$4:AE$503,"&lt;"&amp;BG222+0.01)),BG222))</f>
        <v>7704.85920380952</v>
      </c>
      <c r="BV222" s="92" t="n">
        <f aca="false">IF(AF222&gt;=BH222,0,IFERROR(BH222+SUMPRODUCT((AF$4:AF$503&gt;=BH$4:BH$503)*(AF$4:AF$503-BH$4:BH$503))/MAX(1,COUNTIF(AF$4:AF$503,"&lt;"&amp;BH222+0.01)),BH222))</f>
        <v>9942.6503831579</v>
      </c>
      <c r="BW222" s="92" t="n">
        <f aca="false">IF(AG222&gt;=BI222,0,IFERROR(BI222+SUMPRODUCT((AG$4:AG$503&gt;=BI$4:BI$503)*(AG$4:AG$503-BI$4:BI$503))/MAX(1,COUNTIF(AG$4:AG$503,"&lt;"&amp;BI222+0.01)),BI222))</f>
        <v>9142.15870461538</v>
      </c>
      <c r="BX222" s="92" t="n">
        <f aca="false">IF(AH222&gt;=BJ222,0,IFERROR(BJ222+SUMPRODUCT((AH$4:AH$503&gt;=BJ$4:BJ$503)*(AH$4:AH$503-BJ$4:BJ$503))/MAX(1,COUNTIF(AH$4:AH$503,"&lt;"&amp;BJ222+0.01)),BJ222))</f>
        <v>5621.50263448276</v>
      </c>
      <c r="BY222" s="92" t="n">
        <f aca="false">IF(AI222&gt;=BK222,0,IFERROR(BK222+SUMPRODUCT((AI$4:AI$503&gt;=BK$4:BK$503)*(AI$4:AI$503-BK$4:BK$503))/MAX(1,COUNTIF(AI$4:AI$503,"&lt;"&amp;BK222+0.01)),BK222))</f>
        <v>7878.25652380952</v>
      </c>
      <c r="BZ222" s="92" t="n">
        <f aca="false">IF(AJ222&gt;=BL222,0,IFERROR(BL222+SUMPRODUCT((AJ$4:AJ$503&gt;=BL$4:BL$503)*(AJ$4:AJ$503-BL$4:BL$503))/MAX(1,COUNTIF(AJ$4:AJ$503,"&lt;"&amp;BL222+0.01)),BL222))</f>
        <v>6710.03292307692</v>
      </c>
      <c r="CA222" s="92" t="n">
        <f aca="false">IF(AK222&gt;=BM222,0,IFERROR(BM222+SUMPRODUCT((AK$4:AK$503&gt;=BM$4:BM$503)*(AK$4:AK$503-BM$4:BM$503))/MAX(1,COUNTIF(AK$4:AK$503,"&lt;"&amp;BM222+0.01)),BM222))</f>
        <v>7314.89836842105</v>
      </c>
      <c r="CB222" s="93" t="n">
        <f aca="false">IF(AL222&gt;=BN222,0,IFERROR(BN222+SUMPRODUCT((AL$4:AL$503&gt;=BN$4:BN$503)*(AL$4:AL$503-BN$4:BN$503))/MAX(1,COUNTIF(AL$4:AL$503,"&lt;"&amp;BN222+0.01)),BN222))</f>
        <v>3597.2614925</v>
      </c>
      <c r="CC222" s="95" t="str">
        <f aca="false">IF(AO222="🟢","VERDE",IF(AO222="🟡","AMARELO",IF(AO222="🟠","VERMELHO",IF(AO222="🔴","VERMELHO","ROXO"))))</f>
        <v>VERMELHO</v>
      </c>
      <c r="CD222" s="96" t="s">
        <v>103</v>
      </c>
      <c r="CE222" s="96" t="s">
        <v>104</v>
      </c>
    </row>
    <row r="223" customFormat="false" ht="14.25" hidden="false" customHeight="true" outlineLevel="0" collapsed="false">
      <c r="A223" s="65" t="s">
        <v>580</v>
      </c>
      <c r="B223" s="66" t="s">
        <v>581</v>
      </c>
      <c r="C223" s="67" t="s">
        <v>118</v>
      </c>
      <c r="D223" s="68" t="s">
        <v>100</v>
      </c>
      <c r="E223" s="69" t="s">
        <v>119</v>
      </c>
      <c r="F223" s="70" t="n">
        <f aca="false">IFERROR(VLOOKUP(C223,$AS$3:$AT$10,2,FALSE()),IFERROR(VLOOKUP(C223,$AS$15:$AT$22,2,FALSE()),""))</f>
        <v>42</v>
      </c>
      <c r="G223" s="71" t="n">
        <f aca="false">IFERROR(VLOOKUP(C223,$AS$3:$AX$10,6,FALSE()),IFERROR(VLOOKUP(C223,$AS$15:$AX$22,6,FALSE()),""))</f>
        <v>0.424872083346704</v>
      </c>
      <c r="H223" s="72" t="str">
        <f aca="false">IFERROR(VLOOKUP(C223,$AS$3:$AY$10,7,FALSE()),IFERROR(VLOOKUP(C223,$AS$15:$AY$22,7,FALSE()),""))</f>
        <v>🟡 AMARELO</v>
      </c>
      <c r="I223" s="72" t="str">
        <f aca="false">IFERROR(VLOOKUP(C223,$AS$3:$AZ$10,8,FALSE()),IFERROR(VLOOKUP(C223,$AS$15:$AZ$22,8,FALSE()),""))</f>
        <v>Sell Out</v>
      </c>
      <c r="J223" s="73"/>
      <c r="K223" s="69" t="s">
        <v>118</v>
      </c>
      <c r="L223" s="74" t="n">
        <v>5327.9</v>
      </c>
      <c r="M223" s="75" t="n">
        <v>374.41</v>
      </c>
      <c r="N223" s="75" t="n">
        <v>391.24</v>
      </c>
      <c r="O223" s="75" t="n">
        <v>400.67</v>
      </c>
      <c r="P223" s="75" t="n">
        <v>411.11</v>
      </c>
      <c r="Q223" s="75" t="n">
        <v>424.58</v>
      </c>
      <c r="R223" s="75" t="n">
        <v>435.69</v>
      </c>
      <c r="S223" s="75" t="n">
        <v>452.52</v>
      </c>
      <c r="T223" s="75" t="n">
        <v>463.63</v>
      </c>
      <c r="U223" s="75" t="n">
        <v>474.07</v>
      </c>
      <c r="V223" s="75" t="n">
        <v>485.85</v>
      </c>
      <c r="W223" s="75" t="n">
        <v>498.65</v>
      </c>
      <c r="X223" s="76" t="n">
        <v>515.48</v>
      </c>
      <c r="Y223" s="77" t="s">
        <v>20</v>
      </c>
      <c r="Z223" s="78" t="n">
        <f aca="false">SUM(AA223:AL223)</f>
        <v>2129.66</v>
      </c>
      <c r="AA223" s="75"/>
      <c r="AB223" s="75"/>
      <c r="AC223" s="75"/>
      <c r="AD223" s="75"/>
      <c r="AE223" s="79" t="n">
        <v>986.7</v>
      </c>
      <c r="AF223" s="75"/>
      <c r="AG223" s="75"/>
      <c r="AH223" s="75"/>
      <c r="AI223" s="75"/>
      <c r="AJ223" s="79" t="n">
        <v>1142.96</v>
      </c>
      <c r="AK223" s="75"/>
      <c r="AL223" s="76"/>
      <c r="AM223" s="56" t="s">
        <v>20</v>
      </c>
      <c r="AN223" s="80" t="n">
        <f aca="false">IF(L223=0,0,Z223/L223)</f>
        <v>0.399718463184369</v>
      </c>
      <c r="AO223" s="81" t="str">
        <f aca="false">IF(AN223="","",IF(AN223&gt;=0.9,"🟢",IF(AN223&gt;=0.7,"🟡",IF(AN223&gt;=0.5,"🟠","🔴"))))</f>
        <v>🔴</v>
      </c>
      <c r="AP223" s="82" t="n">
        <f aca="false">IF(L223=0,0,L223-Z223)</f>
        <v>3198.24</v>
      </c>
      <c r="AQ223" s="83" t="n">
        <f aca="false">IF(AP223=0,"",RANK(AP223,AP$4:AP$503,0))</f>
        <v>201</v>
      </c>
      <c r="AR223" s="84" t="s">
        <v>20</v>
      </c>
      <c r="AS223" s="141"/>
      <c r="AT223" s="141"/>
      <c r="AU223" s="141"/>
      <c r="AV223" s="141"/>
      <c r="AW223" s="141"/>
      <c r="AX223" s="141"/>
      <c r="AY223" s="142"/>
      <c r="AZ223" s="142"/>
      <c r="BA223" s="56" t="s">
        <v>20</v>
      </c>
      <c r="BB223" s="91" t="n">
        <f aca="false">SUM(L$4:L$503)/COUNTA(A$4:A$503)</f>
        <v>9494.39992</v>
      </c>
      <c r="BC223" s="92" t="n">
        <f aca="false">SUM(M$4:M$503)/COUNTA(A$4:A$503)</f>
        <v>667.20008</v>
      </c>
      <c r="BD223" s="92" t="n">
        <f aca="false">SUM(N$4:N$503)/COUNTA(A$4:A$503)</f>
        <v>697.19996</v>
      </c>
      <c r="BE223" s="92" t="n">
        <f aca="false">SUM(O$4:O$503)/COUNTA(A$4:A$503)</f>
        <v>713.9999</v>
      </c>
      <c r="BF223" s="92" t="n">
        <f aca="false">SUM(P$4:P$503)/COUNTA(A$4:A$503)</f>
        <v>732.59984</v>
      </c>
      <c r="BG223" s="92" t="n">
        <f aca="false">SUM(Q$4:Q$503)/COUNTA(A$4:A$503)</f>
        <v>756.59992</v>
      </c>
      <c r="BH223" s="92" t="n">
        <f aca="false">SUM(R$4:R$503)/COUNTA(A$4:A$503)</f>
        <v>776.40004</v>
      </c>
      <c r="BI223" s="92" t="n">
        <f aca="false">SUM(S$4:S$503)/COUNTA(A$4:A$503)</f>
        <v>806.40012</v>
      </c>
      <c r="BJ223" s="92" t="n">
        <f aca="false">SUM(T$4:T$503)/COUNTA(A$4:A$503)</f>
        <v>826.1999</v>
      </c>
      <c r="BK223" s="92" t="n">
        <f aca="false">SUM(U$4:U$503)/COUNTA(A$4:A$503)</f>
        <v>844.8002</v>
      </c>
      <c r="BL223" s="92" t="n">
        <f aca="false">SUM(V$4:V$503)/COUNTA(A$4:A$503)</f>
        <v>865.7998</v>
      </c>
      <c r="BM223" s="92" t="n">
        <f aca="false">SUM(W$4:W$503)/COUNTA(A$4:A$503)</f>
        <v>888.59982</v>
      </c>
      <c r="BN223" s="93" t="n">
        <f aca="false">SUM(X$4:X$503)/COUNTA(A$4:A$503)</f>
        <v>918.60034</v>
      </c>
      <c r="BO223" s="94" t="s">
        <v>20</v>
      </c>
      <c r="BP223" s="91" t="n">
        <f aca="false">IF(Z223&gt;=BB223,0,IFERROR(BB223+(SUMPRODUCT((Z$4:Z$503&gt;=BB$4:BB$503)*(Z$4:Z$503-BB$4:BB$503))/MAX(1,COUNTIF(Z$4:Z$503,"&lt;"&amp;BB223+0.01))),BB223))</f>
        <v>10695.5432177778</v>
      </c>
      <c r="BQ223" s="92" t="n">
        <f aca="false">IF(AA223&gt;=BC223,0,IFERROR(BC223+SUMPRODUCT((AA$4:AA$503&gt;=BC$4:BC$503)*(AA$4:AA$503-BC$4:BC$503))/MAX(1,COUNTIF(AA$4:AA$503,"&lt;"&amp;BC223+0.01)),BC223))</f>
        <v>2238.46589176471</v>
      </c>
      <c r="BR223" s="92" t="n">
        <f aca="false">IF(AB223&gt;=BD223,0,IFERROR(BD223+SUMPRODUCT((AB$4:AB$503&gt;=BD$4:BD$503)*(AB$4:AB$503-BD$4:BD$503))/MAX(1,COUNTIF(AB$4:AB$503,"&lt;"&amp;BD223+0.01)),BD223))</f>
        <v>3335.2938</v>
      </c>
      <c r="BS223" s="92" t="n">
        <f aca="false">IF(AC223&gt;=BE223,0,IFERROR(BE223+SUMPRODUCT((AC$4:AC$503&gt;=BE$4:BE$503)*(AC$4:AC$503-BE$4:BE$503))/MAX(1,COUNTIF(AC$4:AC$503,"&lt;"&amp;BE223+0.01)),BE223))</f>
        <v>6188.73352</v>
      </c>
      <c r="BT223" s="92" t="n">
        <f aca="false">IF(AD223&gt;=BF223,0,IFERROR(BF223+SUMPRODUCT((AD$4:AD$503&gt;=BF$4:BF$503)*(AD$4:AD$503-BF$4:BF$503))/MAX(1,COUNTIF(AD$4:AD$503,"&lt;"&amp;BF223+0.01)),BF223))</f>
        <v>11354.35411</v>
      </c>
      <c r="BU223" s="92" t="n">
        <f aca="false">IF(AE223&gt;=BG223,0,IFERROR(BG223+SUMPRODUCT((AE$4:AE$503&gt;=BG$4:BG$503)*(AE$4:AE$503-BG$4:BG$503))/MAX(1,COUNTIF(AE$4:AE$503,"&lt;"&amp;BG223+0.01)),BG223))</f>
        <v>0</v>
      </c>
      <c r="BV223" s="92" t="n">
        <f aca="false">IF(AF223&gt;=BH223,0,IFERROR(BH223+SUMPRODUCT((AF$4:AF$503&gt;=BH$4:BH$503)*(AF$4:AF$503-BH$4:BH$503))/MAX(1,COUNTIF(AF$4:AF$503,"&lt;"&amp;BH223+0.01)),BH223))</f>
        <v>9942.6503831579</v>
      </c>
      <c r="BW223" s="92" t="n">
        <f aca="false">IF(AG223&gt;=BI223,0,IFERROR(BI223+SUMPRODUCT((AG$4:AG$503&gt;=BI$4:BI$503)*(AG$4:AG$503-BI$4:BI$503))/MAX(1,COUNTIF(AG$4:AG$503,"&lt;"&amp;BI223+0.01)),BI223))</f>
        <v>9142.15870461538</v>
      </c>
      <c r="BX223" s="92" t="n">
        <f aca="false">IF(AH223&gt;=BJ223,0,IFERROR(BJ223+SUMPRODUCT((AH$4:AH$503&gt;=BJ$4:BJ$503)*(AH$4:AH$503-BJ$4:BJ$503))/MAX(1,COUNTIF(AH$4:AH$503,"&lt;"&amp;BJ223+0.01)),BJ223))</f>
        <v>5621.50263448276</v>
      </c>
      <c r="BY223" s="92" t="n">
        <f aca="false">IF(AI223&gt;=BK223,0,IFERROR(BK223+SUMPRODUCT((AI$4:AI$503&gt;=BK$4:BK$503)*(AI$4:AI$503-BK$4:BK$503))/MAX(1,COUNTIF(AI$4:AI$503,"&lt;"&amp;BK223+0.01)),BK223))</f>
        <v>7878.25652380952</v>
      </c>
      <c r="BZ223" s="92" t="n">
        <f aca="false">IF(AJ223&gt;=BL223,0,IFERROR(BL223+SUMPRODUCT((AJ$4:AJ$503&gt;=BL$4:BL$503)*(AJ$4:AJ$503-BL$4:BL$503))/MAX(1,COUNTIF(AJ$4:AJ$503,"&lt;"&amp;BL223+0.01)),BL223))</f>
        <v>0</v>
      </c>
      <c r="CA223" s="92" t="n">
        <f aca="false">IF(AK223&gt;=BM223,0,IFERROR(BM223+SUMPRODUCT((AK$4:AK$503&gt;=BM$4:BM$503)*(AK$4:AK$503-BM$4:BM$503))/MAX(1,COUNTIF(AK$4:AK$503,"&lt;"&amp;BM223+0.01)),BM223))</f>
        <v>7314.89836842105</v>
      </c>
      <c r="CB223" s="93" t="n">
        <f aca="false">IF(AL223&gt;=BN223,0,IFERROR(BN223+SUMPRODUCT((AL$4:AL$503&gt;=BN$4:BN$503)*(AL$4:AL$503-BN$4:BN$503))/MAX(1,COUNTIF(AL$4:AL$503,"&lt;"&amp;BN223+0.01)),BN223))</f>
        <v>3597.2614925</v>
      </c>
      <c r="CC223" s="95" t="str">
        <f aca="false">IF(AO223="🟢","VERDE",IF(AO223="🟡","AMARELO",IF(AO223="🟠","VERMELHO",IF(AO223="🔴","VERMELHO","ROXO"))))</f>
        <v>VERMELHO</v>
      </c>
      <c r="CD223" s="96" t="s">
        <v>103</v>
      </c>
      <c r="CE223" s="96" t="s">
        <v>104</v>
      </c>
    </row>
    <row r="224" customFormat="false" ht="14.25" hidden="false" customHeight="true" outlineLevel="0" collapsed="false">
      <c r="A224" s="65" t="s">
        <v>582</v>
      </c>
      <c r="B224" s="66" t="s">
        <v>583</v>
      </c>
      <c r="C224" s="66" t="s">
        <v>115</v>
      </c>
      <c r="D224" s="68" t="s">
        <v>184</v>
      </c>
      <c r="E224" s="69" t="s">
        <v>119</v>
      </c>
      <c r="F224" s="70" t="n">
        <f aca="false">IFERROR(VLOOKUP(C224,$AS$3:$AT$10,2,FALSE()),IFERROR(VLOOKUP(C224,$AS$15:$AT$22,2,FALSE()),""))</f>
        <v>25</v>
      </c>
      <c r="G224" s="71" t="n">
        <f aca="false">IFERROR(VLOOKUP(C224,$AS$3:$AX$10,6,FALSE()),IFERROR(VLOOKUP(C224,$AS$15:$AX$22,6,FALSE()),""))</f>
        <v>0.536751750851081</v>
      </c>
      <c r="H224" s="72" t="str">
        <f aca="false">IFERROR(VLOOKUP(C224,$AS$3:$AY$10,7,FALSE()),IFERROR(VLOOKUP(C224,$AS$15:$AY$22,7,FALSE()),""))</f>
        <v>🟡 AMARELO</v>
      </c>
      <c r="I224" s="72" t="str">
        <f aca="false">IFERROR(VLOOKUP(C224,$AS$3:$AZ$10,8,FALSE()),IFERROR(VLOOKUP(C224,$AS$15:$AZ$22,8,FALSE()),""))</f>
        <v>Sell Out</v>
      </c>
      <c r="J224" s="73"/>
      <c r="K224" s="69" t="s">
        <v>118</v>
      </c>
      <c r="L224" s="74" t="n">
        <v>5271.13</v>
      </c>
      <c r="M224" s="75" t="n">
        <v>370.42</v>
      </c>
      <c r="N224" s="75" t="n">
        <v>387.07</v>
      </c>
      <c r="O224" s="75" t="n">
        <v>396.4</v>
      </c>
      <c r="P224" s="75" t="n">
        <v>406.73</v>
      </c>
      <c r="Q224" s="75" t="n">
        <v>420.05</v>
      </c>
      <c r="R224" s="75" t="n">
        <v>431.04</v>
      </c>
      <c r="S224" s="75" t="n">
        <v>447.7</v>
      </c>
      <c r="T224" s="75" t="n">
        <v>458.69</v>
      </c>
      <c r="U224" s="75" t="n">
        <v>469.02</v>
      </c>
      <c r="V224" s="75" t="n">
        <v>480.68</v>
      </c>
      <c r="W224" s="75" t="n">
        <v>493.34</v>
      </c>
      <c r="X224" s="76" t="n">
        <v>509.99</v>
      </c>
      <c r="Y224" s="77" t="s">
        <v>20</v>
      </c>
      <c r="Z224" s="78" t="n">
        <f aca="false">SUM(AA224:AL224)</f>
        <v>2183.95</v>
      </c>
      <c r="AA224" s="75"/>
      <c r="AB224" s="75"/>
      <c r="AC224" s="75"/>
      <c r="AD224" s="75"/>
      <c r="AE224" s="75"/>
      <c r="AF224" s="75"/>
      <c r="AG224" s="75"/>
      <c r="AH224" s="79" t="n">
        <v>1341.15</v>
      </c>
      <c r="AI224" s="75"/>
      <c r="AJ224" s="75"/>
      <c r="AK224" s="79" t="n">
        <v>842.8</v>
      </c>
      <c r="AL224" s="76"/>
      <c r="AM224" s="56" t="s">
        <v>20</v>
      </c>
      <c r="AN224" s="80" t="n">
        <f aca="false">IF(L224=0,0,Z224/L224)</f>
        <v>0.414322925065403</v>
      </c>
      <c r="AO224" s="81" t="str">
        <f aca="false">IF(AN224="","",IF(AN224&gt;=0.9,"🟢",IF(AN224&gt;=0.7,"🟡",IF(AN224&gt;=0.5,"🟠","🔴"))))</f>
        <v>🔴</v>
      </c>
      <c r="AP224" s="82" t="n">
        <f aca="false">IF(L224=0,0,L224-Z224)</f>
        <v>3087.18</v>
      </c>
      <c r="AQ224" s="83" t="n">
        <f aca="false">IF(AP224=0,"",RANK(AP224,AP$4:AP$503,0))</f>
        <v>205</v>
      </c>
      <c r="AR224" s="84" t="s">
        <v>20</v>
      </c>
      <c r="AS224" s="141"/>
      <c r="AT224" s="141"/>
      <c r="AU224" s="141"/>
      <c r="AV224" s="141"/>
      <c r="AW224" s="141"/>
      <c r="AX224" s="141"/>
      <c r="AY224" s="142"/>
      <c r="AZ224" s="142"/>
      <c r="BA224" s="56" t="s">
        <v>20</v>
      </c>
      <c r="BB224" s="91" t="n">
        <f aca="false">SUM(L$4:L$503)/COUNTA(A$4:A$503)</f>
        <v>9494.39992</v>
      </c>
      <c r="BC224" s="92" t="n">
        <f aca="false">SUM(M$4:M$503)/COUNTA(A$4:A$503)</f>
        <v>667.20008</v>
      </c>
      <c r="BD224" s="92" t="n">
        <f aca="false">SUM(N$4:N$503)/COUNTA(A$4:A$503)</f>
        <v>697.19996</v>
      </c>
      <c r="BE224" s="92" t="n">
        <f aca="false">SUM(O$4:O$503)/COUNTA(A$4:A$503)</f>
        <v>713.9999</v>
      </c>
      <c r="BF224" s="92" t="n">
        <f aca="false">SUM(P$4:P$503)/COUNTA(A$4:A$503)</f>
        <v>732.59984</v>
      </c>
      <c r="BG224" s="92" t="n">
        <f aca="false">SUM(Q$4:Q$503)/COUNTA(A$4:A$503)</f>
        <v>756.59992</v>
      </c>
      <c r="BH224" s="92" t="n">
        <f aca="false">SUM(R$4:R$503)/COUNTA(A$4:A$503)</f>
        <v>776.40004</v>
      </c>
      <c r="BI224" s="92" t="n">
        <f aca="false">SUM(S$4:S$503)/COUNTA(A$4:A$503)</f>
        <v>806.40012</v>
      </c>
      <c r="BJ224" s="92" t="n">
        <f aca="false">SUM(T$4:T$503)/COUNTA(A$4:A$503)</f>
        <v>826.1999</v>
      </c>
      <c r="BK224" s="92" t="n">
        <f aca="false">SUM(U$4:U$503)/COUNTA(A$4:A$503)</f>
        <v>844.8002</v>
      </c>
      <c r="BL224" s="92" t="n">
        <f aca="false">SUM(V$4:V$503)/COUNTA(A$4:A$503)</f>
        <v>865.7998</v>
      </c>
      <c r="BM224" s="92" t="n">
        <f aca="false">SUM(W$4:W$503)/COUNTA(A$4:A$503)</f>
        <v>888.59982</v>
      </c>
      <c r="BN224" s="93" t="n">
        <f aca="false">SUM(X$4:X$503)/COUNTA(A$4:A$503)</f>
        <v>918.60034</v>
      </c>
      <c r="BO224" s="94" t="s">
        <v>20</v>
      </c>
      <c r="BP224" s="91" t="n">
        <f aca="false">IF(Z224&gt;=BB224,0,IFERROR(BB224+(SUMPRODUCT((Z$4:Z$503&gt;=BB$4:BB$503)*(Z$4:Z$503-BB$4:BB$503))/MAX(1,COUNTIF(Z$4:Z$503,"&lt;"&amp;BB224+0.01))),BB224))</f>
        <v>10695.5432177778</v>
      </c>
      <c r="BQ224" s="92" t="n">
        <f aca="false">IF(AA224&gt;=BC224,0,IFERROR(BC224+SUMPRODUCT((AA$4:AA$503&gt;=BC$4:BC$503)*(AA$4:AA$503-BC$4:BC$503))/MAX(1,COUNTIF(AA$4:AA$503,"&lt;"&amp;BC224+0.01)),BC224))</f>
        <v>2238.46589176471</v>
      </c>
      <c r="BR224" s="92" t="n">
        <f aca="false">IF(AB224&gt;=BD224,0,IFERROR(BD224+SUMPRODUCT((AB$4:AB$503&gt;=BD$4:BD$503)*(AB$4:AB$503-BD$4:BD$503))/MAX(1,COUNTIF(AB$4:AB$503,"&lt;"&amp;BD224+0.01)),BD224))</f>
        <v>3335.2938</v>
      </c>
      <c r="BS224" s="92" t="n">
        <f aca="false">IF(AC224&gt;=BE224,0,IFERROR(BE224+SUMPRODUCT((AC$4:AC$503&gt;=BE$4:BE$503)*(AC$4:AC$503-BE$4:BE$503))/MAX(1,COUNTIF(AC$4:AC$503,"&lt;"&amp;BE224+0.01)),BE224))</f>
        <v>6188.73352</v>
      </c>
      <c r="BT224" s="92" t="n">
        <f aca="false">IF(AD224&gt;=BF224,0,IFERROR(BF224+SUMPRODUCT((AD$4:AD$503&gt;=BF$4:BF$503)*(AD$4:AD$503-BF$4:BF$503))/MAX(1,COUNTIF(AD$4:AD$503,"&lt;"&amp;BF224+0.01)),BF224))</f>
        <v>11354.35411</v>
      </c>
      <c r="BU224" s="92" t="n">
        <f aca="false">IF(AE224&gt;=BG224,0,IFERROR(BG224+SUMPRODUCT((AE$4:AE$503&gt;=BG$4:BG$503)*(AE$4:AE$503-BG$4:BG$503))/MAX(1,COUNTIF(AE$4:AE$503,"&lt;"&amp;BG224+0.01)),BG224))</f>
        <v>7704.85920380952</v>
      </c>
      <c r="BV224" s="92" t="n">
        <f aca="false">IF(AF224&gt;=BH224,0,IFERROR(BH224+SUMPRODUCT((AF$4:AF$503&gt;=BH$4:BH$503)*(AF$4:AF$503-BH$4:BH$503))/MAX(1,COUNTIF(AF$4:AF$503,"&lt;"&amp;BH224+0.01)),BH224))</f>
        <v>9942.6503831579</v>
      </c>
      <c r="BW224" s="92" t="n">
        <f aca="false">IF(AG224&gt;=BI224,0,IFERROR(BI224+SUMPRODUCT((AG$4:AG$503&gt;=BI$4:BI$503)*(AG$4:AG$503-BI$4:BI$503))/MAX(1,COUNTIF(AG$4:AG$503,"&lt;"&amp;BI224+0.01)),BI224))</f>
        <v>9142.15870461538</v>
      </c>
      <c r="BX224" s="92" t="n">
        <f aca="false">IF(AH224&gt;=BJ224,0,IFERROR(BJ224+SUMPRODUCT((AH$4:AH$503&gt;=BJ$4:BJ$503)*(AH$4:AH$503-BJ$4:BJ$503))/MAX(1,COUNTIF(AH$4:AH$503,"&lt;"&amp;BJ224+0.01)),BJ224))</f>
        <v>0</v>
      </c>
      <c r="BY224" s="92" t="n">
        <f aca="false">IF(AI224&gt;=BK224,0,IFERROR(BK224+SUMPRODUCT((AI$4:AI$503&gt;=BK$4:BK$503)*(AI$4:AI$503-BK$4:BK$503))/MAX(1,COUNTIF(AI$4:AI$503,"&lt;"&amp;BK224+0.01)),BK224))</f>
        <v>7878.25652380952</v>
      </c>
      <c r="BZ224" s="92" t="n">
        <f aca="false">IF(AJ224&gt;=BL224,0,IFERROR(BL224+SUMPRODUCT((AJ$4:AJ$503&gt;=BL$4:BL$503)*(AJ$4:AJ$503-BL$4:BL$503))/MAX(1,COUNTIF(AJ$4:AJ$503,"&lt;"&amp;BL224+0.01)),BL224))</f>
        <v>6710.03292307692</v>
      </c>
      <c r="CA224" s="92" t="n">
        <f aca="false">IF(AK224&gt;=BM224,0,IFERROR(BM224+SUMPRODUCT((AK$4:AK$503&gt;=BM$4:BM$503)*(AK$4:AK$503-BM$4:BM$503))/MAX(1,COUNTIF(AK$4:AK$503,"&lt;"&amp;BM224+0.01)),BM224))</f>
        <v>7314.89836842105</v>
      </c>
      <c r="CB224" s="93" t="n">
        <f aca="false">IF(AL224&gt;=BN224,0,IFERROR(BN224+SUMPRODUCT((AL$4:AL$503&gt;=BN$4:BN$503)*(AL$4:AL$503-BN$4:BN$503))/MAX(1,COUNTIF(AL$4:AL$503,"&lt;"&amp;BN224+0.01)),BN224))</f>
        <v>3597.2614925</v>
      </c>
      <c r="CC224" s="95" t="str">
        <f aca="false">IF(AO224="🟢","VERDE",IF(AO224="🟡","AMARELO",IF(AO224="🟠","VERMELHO",IF(AO224="🔴","VERMELHO","ROXO"))))</f>
        <v>VERMELHO</v>
      </c>
      <c r="CD224" s="96" t="s">
        <v>176</v>
      </c>
      <c r="CE224" s="96" t="s">
        <v>115</v>
      </c>
    </row>
    <row r="225" customFormat="false" ht="14.25" hidden="false" customHeight="true" outlineLevel="0" collapsed="false">
      <c r="A225" s="65" t="s">
        <v>584</v>
      </c>
      <c r="B225" s="66" t="s">
        <v>585</v>
      </c>
      <c r="C225" s="67" t="s">
        <v>123</v>
      </c>
      <c r="D225" s="68" t="s">
        <v>108</v>
      </c>
      <c r="E225" s="56" t="s">
        <v>20</v>
      </c>
      <c r="F225" s="70" t="n">
        <f aca="false">IFERROR(VLOOKUP(C225,$AS$3:$AT$10,2,FALSE()),IFERROR(VLOOKUP(C225,$AS$15:$AT$22,2,FALSE()),""))</f>
        <v>49</v>
      </c>
      <c r="G225" s="71" t="n">
        <f aca="false">IFERROR(VLOOKUP(C225,$AS$3:$AX$10,6,FALSE()),IFERROR(VLOOKUP(C225,$AS$15:$AX$22,6,FALSE()),""))</f>
        <v>0.436391353881959</v>
      </c>
      <c r="H225" s="72" t="str">
        <f aca="false">IFERROR(VLOOKUP(C225,$AS$3:$AY$10,7,FALSE()),IFERROR(VLOOKUP(C225,$AS$15:$AY$22,7,FALSE()),""))</f>
        <v>🟡 AMARELO</v>
      </c>
      <c r="I225" s="72" t="str">
        <f aca="false">IFERROR(VLOOKUP(C225,$AS$3:$AZ$10,8,FALSE()),IFERROR(VLOOKUP(C225,$AS$15:$AZ$22,8,FALSE()),""))</f>
        <v>Sell Out</v>
      </c>
      <c r="J225" s="73"/>
      <c r="K225" s="56" t="s">
        <v>20</v>
      </c>
      <c r="L225" s="74" t="n">
        <v>5251.76</v>
      </c>
      <c r="M225" s="75" t="n">
        <v>369.06</v>
      </c>
      <c r="N225" s="75" t="n">
        <v>385.65</v>
      </c>
      <c r="O225" s="75" t="n">
        <v>394.94</v>
      </c>
      <c r="P225" s="75" t="n">
        <v>405.23</v>
      </c>
      <c r="Q225" s="75" t="n">
        <v>418.51</v>
      </c>
      <c r="R225" s="75" t="n">
        <v>429.46</v>
      </c>
      <c r="S225" s="75" t="n">
        <v>446.05</v>
      </c>
      <c r="T225" s="75" t="n">
        <v>457.01</v>
      </c>
      <c r="U225" s="75" t="n">
        <v>467.3</v>
      </c>
      <c r="V225" s="75" t="n">
        <v>478.91</v>
      </c>
      <c r="W225" s="75" t="n">
        <v>491.52</v>
      </c>
      <c r="X225" s="76" t="n">
        <v>508.12</v>
      </c>
      <c r="Y225" s="77" t="s">
        <v>20</v>
      </c>
      <c r="Z225" s="78" t="n">
        <f aca="false">SUM(AA225:AL225)</f>
        <v>2112</v>
      </c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 t="n">
        <v>2112</v>
      </c>
      <c r="AL225" s="76"/>
      <c r="AM225" s="56" t="s">
        <v>20</v>
      </c>
      <c r="AN225" s="80" t="n">
        <f aca="false">IF(L225=0,0,Z225/L225)</f>
        <v>0.402150897984676</v>
      </c>
      <c r="AO225" s="81" t="str">
        <f aca="false">IF(AN225="","",IF(AN225&gt;=0.9,"🟢",IF(AN225&gt;=0.7,"🟡",IF(AN225&gt;=0.5,"🟠","🔴"))))</f>
        <v>🔴</v>
      </c>
      <c r="AP225" s="82" t="n">
        <f aca="false">IF(L225=0,0,L225-Z225)</f>
        <v>3139.76</v>
      </c>
      <c r="AQ225" s="83" t="n">
        <f aca="false">IF(AP225=0,"",RANK(AP225,AP$4:AP$503,0))</f>
        <v>202</v>
      </c>
      <c r="AR225" s="84" t="s">
        <v>20</v>
      </c>
      <c r="AS225" s="141"/>
      <c r="AT225" s="141"/>
      <c r="AU225" s="141"/>
      <c r="AV225" s="141"/>
      <c r="AW225" s="141"/>
      <c r="AX225" s="141"/>
      <c r="AY225" s="142"/>
      <c r="AZ225" s="142"/>
      <c r="BA225" s="56" t="s">
        <v>20</v>
      </c>
      <c r="BB225" s="91" t="n">
        <f aca="false">SUM(L$4:L$503)/COUNTA(A$4:A$503)</f>
        <v>9494.39992</v>
      </c>
      <c r="BC225" s="92" t="n">
        <f aca="false">SUM(M$4:M$503)/COUNTA(A$4:A$503)</f>
        <v>667.20008</v>
      </c>
      <c r="BD225" s="92" t="n">
        <f aca="false">SUM(N$4:N$503)/COUNTA(A$4:A$503)</f>
        <v>697.19996</v>
      </c>
      <c r="BE225" s="92" t="n">
        <f aca="false">SUM(O$4:O$503)/COUNTA(A$4:A$503)</f>
        <v>713.9999</v>
      </c>
      <c r="BF225" s="92" t="n">
        <f aca="false">SUM(P$4:P$503)/COUNTA(A$4:A$503)</f>
        <v>732.59984</v>
      </c>
      <c r="BG225" s="92" t="n">
        <f aca="false">SUM(Q$4:Q$503)/COUNTA(A$4:A$503)</f>
        <v>756.59992</v>
      </c>
      <c r="BH225" s="92" t="n">
        <f aca="false">SUM(R$4:R$503)/COUNTA(A$4:A$503)</f>
        <v>776.40004</v>
      </c>
      <c r="BI225" s="92" t="n">
        <f aca="false">SUM(S$4:S$503)/COUNTA(A$4:A$503)</f>
        <v>806.40012</v>
      </c>
      <c r="BJ225" s="92" t="n">
        <f aca="false">SUM(T$4:T$503)/COUNTA(A$4:A$503)</f>
        <v>826.1999</v>
      </c>
      <c r="BK225" s="92" t="n">
        <f aca="false">SUM(U$4:U$503)/COUNTA(A$4:A$503)</f>
        <v>844.8002</v>
      </c>
      <c r="BL225" s="92" t="n">
        <f aca="false">SUM(V$4:V$503)/COUNTA(A$4:A$503)</f>
        <v>865.7998</v>
      </c>
      <c r="BM225" s="92" t="n">
        <f aca="false">SUM(W$4:W$503)/COUNTA(A$4:A$503)</f>
        <v>888.59982</v>
      </c>
      <c r="BN225" s="93" t="n">
        <f aca="false">SUM(X$4:X$503)/COUNTA(A$4:A$503)</f>
        <v>918.60034</v>
      </c>
      <c r="BO225" s="94" t="s">
        <v>20</v>
      </c>
      <c r="BP225" s="91" t="n">
        <f aca="false">IF(Z225&gt;=BB225,0,IFERROR(BB225+(SUMPRODUCT((Z$4:Z$503&gt;=BB$4:BB$503)*(Z$4:Z$503-BB$4:BB$503))/MAX(1,COUNTIF(Z$4:Z$503,"&lt;"&amp;BB225+0.01))),BB225))</f>
        <v>10695.5432177778</v>
      </c>
      <c r="BQ225" s="92" t="n">
        <f aca="false">IF(AA225&gt;=BC225,0,IFERROR(BC225+SUMPRODUCT((AA$4:AA$503&gt;=BC$4:BC$503)*(AA$4:AA$503-BC$4:BC$503))/MAX(1,COUNTIF(AA$4:AA$503,"&lt;"&amp;BC225+0.01)),BC225))</f>
        <v>2238.46589176471</v>
      </c>
      <c r="BR225" s="92" t="n">
        <f aca="false">IF(AB225&gt;=BD225,0,IFERROR(BD225+SUMPRODUCT((AB$4:AB$503&gt;=BD$4:BD$503)*(AB$4:AB$503-BD$4:BD$503))/MAX(1,COUNTIF(AB$4:AB$503,"&lt;"&amp;BD225+0.01)),BD225))</f>
        <v>3335.2938</v>
      </c>
      <c r="BS225" s="92" t="n">
        <f aca="false">IF(AC225&gt;=BE225,0,IFERROR(BE225+SUMPRODUCT((AC$4:AC$503&gt;=BE$4:BE$503)*(AC$4:AC$503-BE$4:BE$503))/MAX(1,COUNTIF(AC$4:AC$503,"&lt;"&amp;BE225+0.01)),BE225))</f>
        <v>6188.73352</v>
      </c>
      <c r="BT225" s="92" t="n">
        <f aca="false">IF(AD225&gt;=BF225,0,IFERROR(BF225+SUMPRODUCT((AD$4:AD$503&gt;=BF$4:BF$503)*(AD$4:AD$503-BF$4:BF$503))/MAX(1,COUNTIF(AD$4:AD$503,"&lt;"&amp;BF225+0.01)),BF225))</f>
        <v>11354.35411</v>
      </c>
      <c r="BU225" s="92" t="n">
        <f aca="false">IF(AE225&gt;=BG225,0,IFERROR(BG225+SUMPRODUCT((AE$4:AE$503&gt;=BG$4:BG$503)*(AE$4:AE$503-BG$4:BG$503))/MAX(1,COUNTIF(AE$4:AE$503,"&lt;"&amp;BG225+0.01)),BG225))</f>
        <v>7704.85920380952</v>
      </c>
      <c r="BV225" s="92" t="n">
        <f aca="false">IF(AF225&gt;=BH225,0,IFERROR(BH225+SUMPRODUCT((AF$4:AF$503&gt;=BH$4:BH$503)*(AF$4:AF$503-BH$4:BH$503))/MAX(1,COUNTIF(AF$4:AF$503,"&lt;"&amp;BH225+0.01)),BH225))</f>
        <v>9942.6503831579</v>
      </c>
      <c r="BW225" s="92" t="n">
        <f aca="false">IF(AG225&gt;=BI225,0,IFERROR(BI225+SUMPRODUCT((AG$4:AG$503&gt;=BI$4:BI$503)*(AG$4:AG$503-BI$4:BI$503))/MAX(1,COUNTIF(AG$4:AG$503,"&lt;"&amp;BI225+0.01)),BI225))</f>
        <v>9142.15870461538</v>
      </c>
      <c r="BX225" s="92" t="n">
        <f aca="false">IF(AH225&gt;=BJ225,0,IFERROR(BJ225+SUMPRODUCT((AH$4:AH$503&gt;=BJ$4:BJ$503)*(AH$4:AH$503-BJ$4:BJ$503))/MAX(1,COUNTIF(AH$4:AH$503,"&lt;"&amp;BJ225+0.01)),BJ225))</f>
        <v>5621.50263448276</v>
      </c>
      <c r="BY225" s="92" t="n">
        <f aca="false">IF(AI225&gt;=BK225,0,IFERROR(BK225+SUMPRODUCT((AI$4:AI$503&gt;=BK$4:BK$503)*(AI$4:AI$503-BK$4:BK$503))/MAX(1,COUNTIF(AI$4:AI$503,"&lt;"&amp;BK225+0.01)),BK225))</f>
        <v>7878.25652380952</v>
      </c>
      <c r="BZ225" s="92" t="n">
        <f aca="false">IF(AJ225&gt;=BL225,0,IFERROR(BL225+SUMPRODUCT((AJ$4:AJ$503&gt;=BL$4:BL$503)*(AJ$4:AJ$503-BL$4:BL$503))/MAX(1,COUNTIF(AJ$4:AJ$503,"&lt;"&amp;BL225+0.01)),BL225))</f>
        <v>6710.03292307692</v>
      </c>
      <c r="CA225" s="92" t="n">
        <f aca="false">IF(AK225&gt;=BM225,0,IFERROR(BM225+SUMPRODUCT((AK$4:AK$503&gt;=BM$4:BM$503)*(AK$4:AK$503-BM$4:BM$503))/MAX(1,COUNTIF(AK$4:AK$503,"&lt;"&amp;BM225+0.01)),BM225))</f>
        <v>0</v>
      </c>
      <c r="CB225" s="93" t="n">
        <f aca="false">IF(AL225&gt;=BN225,0,IFERROR(BN225+SUMPRODUCT((AL$4:AL$503&gt;=BN$4:BN$503)*(AL$4:AL$503-BN$4:BN$503))/MAX(1,COUNTIF(AL$4:AL$503,"&lt;"&amp;BN225+0.01)),BN225))</f>
        <v>3597.2614925</v>
      </c>
      <c r="CC225" s="95" t="str">
        <f aca="false">IF(AO225="🟢","VERDE",IF(AO225="🟡","AMARELO",IF(AO225="🟠","VERMELHO",IF(AO225="🔴","VERMELHO","ROXO"))))</f>
        <v>VERMELHO</v>
      </c>
      <c r="CD225" s="96" t="s">
        <v>103</v>
      </c>
      <c r="CE225" s="96" t="s">
        <v>104</v>
      </c>
    </row>
    <row r="226" customFormat="false" ht="14.25" hidden="false" customHeight="true" outlineLevel="0" collapsed="false">
      <c r="A226" s="65" t="s">
        <v>586</v>
      </c>
      <c r="B226" s="66" t="s">
        <v>587</v>
      </c>
      <c r="C226" s="67" t="s">
        <v>149</v>
      </c>
      <c r="D226" s="68" t="s">
        <v>100</v>
      </c>
      <c r="E226" s="69" t="s">
        <v>119</v>
      </c>
      <c r="F226" s="70" t="n">
        <f aca="false">IFERROR(VLOOKUP(C226,$AS$3:$AT$10,2,FALSE()),IFERROR(VLOOKUP(C226,$AS$15:$AT$22,2,FALSE()),""))</f>
        <v>29</v>
      </c>
      <c r="G226" s="71" t="n">
        <f aca="false">IFERROR(VLOOKUP(C226,$AS$3:$AX$10,6,FALSE()),IFERROR(VLOOKUP(C226,$AS$15:$AX$22,6,FALSE()),""))</f>
        <v>0.425845065256079</v>
      </c>
      <c r="H226" s="72" t="str">
        <f aca="false">IFERROR(VLOOKUP(C226,$AS$3:$AY$10,7,FALSE()),IFERROR(VLOOKUP(C226,$AS$15:$AY$22,7,FALSE()),""))</f>
        <v>🟡 AMARELO</v>
      </c>
      <c r="I226" s="72" t="str">
        <f aca="false">IFERROR(VLOOKUP(C226,$AS$3:$AZ$10,8,FALSE()),IFERROR(VLOOKUP(C226,$AS$15:$AZ$22,8,FALSE()),""))</f>
        <v>Sell Out</v>
      </c>
      <c r="J226" s="73"/>
      <c r="K226" s="69" t="s">
        <v>149</v>
      </c>
      <c r="L226" s="74" t="n">
        <v>5238.95</v>
      </c>
      <c r="M226" s="75" t="n">
        <v>368.16</v>
      </c>
      <c r="N226" s="75" t="n">
        <v>384.71</v>
      </c>
      <c r="O226" s="75" t="n">
        <v>393.98</v>
      </c>
      <c r="P226" s="75" t="n">
        <v>404.24</v>
      </c>
      <c r="Q226" s="75" t="n">
        <v>417.49</v>
      </c>
      <c r="R226" s="75" t="n">
        <v>428.41</v>
      </c>
      <c r="S226" s="75" t="n">
        <v>444.97</v>
      </c>
      <c r="T226" s="75" t="n">
        <v>455.89</v>
      </c>
      <c r="U226" s="75" t="n">
        <v>466.16</v>
      </c>
      <c r="V226" s="75" t="n">
        <v>477.74</v>
      </c>
      <c r="W226" s="75" t="n">
        <v>490.32</v>
      </c>
      <c r="X226" s="76" t="n">
        <v>506.88</v>
      </c>
      <c r="Y226" s="77" t="s">
        <v>20</v>
      </c>
      <c r="Z226" s="78" t="n">
        <f aca="false">SUM(AA226:AL226)</f>
        <v>2180.6</v>
      </c>
      <c r="AA226" s="75"/>
      <c r="AB226" s="75"/>
      <c r="AC226" s="75"/>
      <c r="AD226" s="75"/>
      <c r="AE226" s="75"/>
      <c r="AF226" s="75"/>
      <c r="AG226" s="75" t="n">
        <v>1395.95</v>
      </c>
      <c r="AH226" s="79" t="n">
        <v>784.65</v>
      </c>
      <c r="AI226" s="75"/>
      <c r="AJ226" s="75"/>
      <c r="AK226" s="75"/>
      <c r="AL226" s="76"/>
      <c r="AM226" s="56" t="s">
        <v>20</v>
      </c>
      <c r="AN226" s="80" t="n">
        <f aca="false">IF(L226=0,0,Z226/L226)</f>
        <v>0.416228442722301</v>
      </c>
      <c r="AO226" s="81" t="str">
        <f aca="false">IF(AN226="","",IF(AN226&gt;=0.9,"🟢",IF(AN226&gt;=0.7,"🟡",IF(AN226&gt;=0.5,"🟠","🔴"))))</f>
        <v>🔴</v>
      </c>
      <c r="AP226" s="82" t="n">
        <f aca="false">IF(L226=0,0,L226-Z226)</f>
        <v>3058.35</v>
      </c>
      <c r="AQ226" s="83" t="n">
        <f aca="false">IF(AP226=0,"",RANK(AP226,AP$4:AP$503,0))</f>
        <v>207</v>
      </c>
      <c r="AR226" s="84" t="s">
        <v>20</v>
      </c>
      <c r="AS226" s="141"/>
      <c r="AT226" s="141"/>
      <c r="AU226" s="141"/>
      <c r="AV226" s="141"/>
      <c r="AW226" s="141"/>
      <c r="AX226" s="141"/>
      <c r="AY226" s="142"/>
      <c r="AZ226" s="142"/>
      <c r="BA226" s="56" t="s">
        <v>20</v>
      </c>
      <c r="BB226" s="91" t="n">
        <f aca="false">SUM(L$4:L$503)/COUNTA(A$4:A$503)</f>
        <v>9494.39992</v>
      </c>
      <c r="BC226" s="92" t="n">
        <f aca="false">SUM(M$4:M$503)/COUNTA(A$4:A$503)</f>
        <v>667.20008</v>
      </c>
      <c r="BD226" s="92" t="n">
        <f aca="false">SUM(N$4:N$503)/COUNTA(A$4:A$503)</f>
        <v>697.19996</v>
      </c>
      <c r="BE226" s="92" t="n">
        <f aca="false">SUM(O$4:O$503)/COUNTA(A$4:A$503)</f>
        <v>713.9999</v>
      </c>
      <c r="BF226" s="92" t="n">
        <f aca="false">SUM(P$4:P$503)/COUNTA(A$4:A$503)</f>
        <v>732.59984</v>
      </c>
      <c r="BG226" s="92" t="n">
        <f aca="false">SUM(Q$4:Q$503)/COUNTA(A$4:A$503)</f>
        <v>756.59992</v>
      </c>
      <c r="BH226" s="92" t="n">
        <f aca="false">SUM(R$4:R$503)/COUNTA(A$4:A$503)</f>
        <v>776.40004</v>
      </c>
      <c r="BI226" s="92" t="n">
        <f aca="false">SUM(S$4:S$503)/COUNTA(A$4:A$503)</f>
        <v>806.40012</v>
      </c>
      <c r="BJ226" s="92" t="n">
        <f aca="false">SUM(T$4:T$503)/COUNTA(A$4:A$503)</f>
        <v>826.1999</v>
      </c>
      <c r="BK226" s="92" t="n">
        <f aca="false">SUM(U$4:U$503)/COUNTA(A$4:A$503)</f>
        <v>844.8002</v>
      </c>
      <c r="BL226" s="92" t="n">
        <f aca="false">SUM(V$4:V$503)/COUNTA(A$4:A$503)</f>
        <v>865.7998</v>
      </c>
      <c r="BM226" s="92" t="n">
        <f aca="false">SUM(W$4:W$503)/COUNTA(A$4:A$503)</f>
        <v>888.59982</v>
      </c>
      <c r="BN226" s="93" t="n">
        <f aca="false">SUM(X$4:X$503)/COUNTA(A$4:A$503)</f>
        <v>918.60034</v>
      </c>
      <c r="BO226" s="94" t="s">
        <v>20</v>
      </c>
      <c r="BP226" s="91" t="n">
        <f aca="false">IF(Z226&gt;=BB226,0,IFERROR(BB226+(SUMPRODUCT((Z$4:Z$503&gt;=BB$4:BB$503)*(Z$4:Z$503-BB$4:BB$503))/MAX(1,COUNTIF(Z$4:Z$503,"&lt;"&amp;BB226+0.01))),BB226))</f>
        <v>10695.5432177778</v>
      </c>
      <c r="BQ226" s="92" t="n">
        <f aca="false">IF(AA226&gt;=BC226,0,IFERROR(BC226+SUMPRODUCT((AA$4:AA$503&gt;=BC$4:BC$503)*(AA$4:AA$503-BC$4:BC$503))/MAX(1,COUNTIF(AA$4:AA$503,"&lt;"&amp;BC226+0.01)),BC226))</f>
        <v>2238.46589176471</v>
      </c>
      <c r="BR226" s="92" t="n">
        <f aca="false">IF(AB226&gt;=BD226,0,IFERROR(BD226+SUMPRODUCT((AB$4:AB$503&gt;=BD$4:BD$503)*(AB$4:AB$503-BD$4:BD$503))/MAX(1,COUNTIF(AB$4:AB$503,"&lt;"&amp;BD226+0.01)),BD226))</f>
        <v>3335.2938</v>
      </c>
      <c r="BS226" s="92" t="n">
        <f aca="false">IF(AC226&gt;=BE226,0,IFERROR(BE226+SUMPRODUCT((AC$4:AC$503&gt;=BE$4:BE$503)*(AC$4:AC$503-BE$4:BE$503))/MAX(1,COUNTIF(AC$4:AC$503,"&lt;"&amp;BE226+0.01)),BE226))</f>
        <v>6188.73352</v>
      </c>
      <c r="BT226" s="92" t="n">
        <f aca="false">IF(AD226&gt;=BF226,0,IFERROR(BF226+SUMPRODUCT((AD$4:AD$503&gt;=BF$4:BF$503)*(AD$4:AD$503-BF$4:BF$503))/MAX(1,COUNTIF(AD$4:AD$503,"&lt;"&amp;BF226+0.01)),BF226))</f>
        <v>11354.35411</v>
      </c>
      <c r="BU226" s="92" t="n">
        <f aca="false">IF(AE226&gt;=BG226,0,IFERROR(BG226+SUMPRODUCT((AE$4:AE$503&gt;=BG$4:BG$503)*(AE$4:AE$503-BG$4:BG$503))/MAX(1,COUNTIF(AE$4:AE$503,"&lt;"&amp;BG226+0.01)),BG226))</f>
        <v>7704.85920380952</v>
      </c>
      <c r="BV226" s="92" t="n">
        <f aca="false">IF(AF226&gt;=BH226,0,IFERROR(BH226+SUMPRODUCT((AF$4:AF$503&gt;=BH$4:BH$503)*(AF$4:AF$503-BH$4:BH$503))/MAX(1,COUNTIF(AF$4:AF$503,"&lt;"&amp;BH226+0.01)),BH226))</f>
        <v>9942.6503831579</v>
      </c>
      <c r="BW226" s="92" t="n">
        <f aca="false">IF(AG226&gt;=BI226,0,IFERROR(BI226+SUMPRODUCT((AG$4:AG$503&gt;=BI$4:BI$503)*(AG$4:AG$503-BI$4:BI$503))/MAX(1,COUNTIF(AG$4:AG$503,"&lt;"&amp;BI226+0.01)),BI226))</f>
        <v>0</v>
      </c>
      <c r="BX226" s="92" t="n">
        <f aca="false">IF(AH226&gt;=BJ226,0,IFERROR(BJ226+SUMPRODUCT((AH$4:AH$503&gt;=BJ$4:BJ$503)*(AH$4:AH$503-BJ$4:BJ$503))/MAX(1,COUNTIF(AH$4:AH$503,"&lt;"&amp;BJ226+0.01)),BJ226))</f>
        <v>5621.50263448276</v>
      </c>
      <c r="BY226" s="92" t="n">
        <f aca="false">IF(AI226&gt;=BK226,0,IFERROR(BK226+SUMPRODUCT((AI$4:AI$503&gt;=BK$4:BK$503)*(AI$4:AI$503-BK$4:BK$503))/MAX(1,COUNTIF(AI$4:AI$503,"&lt;"&amp;BK226+0.01)),BK226))</f>
        <v>7878.25652380952</v>
      </c>
      <c r="BZ226" s="92" t="n">
        <f aca="false">IF(AJ226&gt;=BL226,0,IFERROR(BL226+SUMPRODUCT((AJ$4:AJ$503&gt;=BL$4:BL$503)*(AJ$4:AJ$503-BL$4:BL$503))/MAX(1,COUNTIF(AJ$4:AJ$503,"&lt;"&amp;BL226+0.01)),BL226))</f>
        <v>6710.03292307692</v>
      </c>
      <c r="CA226" s="92" t="n">
        <f aca="false">IF(AK226&gt;=BM226,0,IFERROR(BM226+SUMPRODUCT((AK$4:AK$503&gt;=BM$4:BM$503)*(AK$4:AK$503-BM$4:BM$503))/MAX(1,COUNTIF(AK$4:AK$503,"&lt;"&amp;BM226+0.01)),BM226))</f>
        <v>7314.89836842105</v>
      </c>
      <c r="CB226" s="93" t="n">
        <f aca="false">IF(AL226&gt;=BN226,0,IFERROR(BN226+SUMPRODUCT((AL$4:AL$503&gt;=BN$4:BN$503)*(AL$4:AL$503-BN$4:BN$503))/MAX(1,COUNTIF(AL$4:AL$503,"&lt;"&amp;BN226+0.01)),BN226))</f>
        <v>3597.2614925</v>
      </c>
      <c r="CC226" s="95" t="str">
        <f aca="false">IF(AO226="🟢","VERDE",IF(AO226="🟡","AMARELO",IF(AO226="🟠","VERMELHO",IF(AO226="🔴","VERMELHO","ROXO"))))</f>
        <v>VERMELHO</v>
      </c>
      <c r="CD226" s="96" t="s">
        <v>103</v>
      </c>
      <c r="CE226" s="96" t="s">
        <v>104</v>
      </c>
    </row>
    <row r="227" customFormat="false" ht="14.25" hidden="false" customHeight="true" outlineLevel="0" collapsed="false">
      <c r="A227" s="65" t="s">
        <v>588</v>
      </c>
      <c r="B227" s="66" t="s">
        <v>589</v>
      </c>
      <c r="C227" s="67" t="s">
        <v>107</v>
      </c>
      <c r="D227" s="68" t="s">
        <v>108</v>
      </c>
      <c r="E227" s="69" t="s">
        <v>139</v>
      </c>
      <c r="F227" s="70" t="n">
        <f aca="false">IFERROR(VLOOKUP(C227,$AS$3:$AT$10,2,FALSE()),IFERROR(VLOOKUP(C227,$AS$15:$AT$22,2,FALSE()),""))</f>
        <v>132</v>
      </c>
      <c r="G227" s="71" t="n">
        <f aca="false">IFERROR(VLOOKUP(C227,$AS$3:$AX$10,6,FALSE()),IFERROR(VLOOKUP(C227,$AS$15:$AX$22,6,FALSE()),""))</f>
        <v>0.468190175850689</v>
      </c>
      <c r="H227" s="72" t="str">
        <f aca="false">IFERROR(VLOOKUP(C227,$AS$3:$AY$10,7,FALSE()),IFERROR(VLOOKUP(C227,$AS$15:$AY$22,7,FALSE()),""))</f>
        <v>🟡 AMARELO</v>
      </c>
      <c r="I227" s="72" t="str">
        <f aca="false">IFERROR(VLOOKUP(C227,$AS$3:$AZ$10,8,FALSE()),IFERROR(VLOOKUP(C227,$AS$15:$AZ$22,8,FALSE()),""))</f>
        <v>Sell Out</v>
      </c>
      <c r="J227" s="73"/>
      <c r="K227" s="69" t="s">
        <v>107</v>
      </c>
      <c r="L227" s="74" t="n">
        <v>5151.71</v>
      </c>
      <c r="M227" s="75" t="n">
        <v>362.03</v>
      </c>
      <c r="N227" s="75" t="n">
        <v>378.3</v>
      </c>
      <c r="O227" s="75" t="n">
        <v>387.42</v>
      </c>
      <c r="P227" s="75" t="n">
        <v>397.51</v>
      </c>
      <c r="Q227" s="75" t="n">
        <v>410.53</v>
      </c>
      <c r="R227" s="75" t="n">
        <v>421.28</v>
      </c>
      <c r="S227" s="75" t="n">
        <v>437.56</v>
      </c>
      <c r="T227" s="75" t="n">
        <v>448.3</v>
      </c>
      <c r="U227" s="75" t="n">
        <v>458.39</v>
      </c>
      <c r="V227" s="75" t="n">
        <v>469.79</v>
      </c>
      <c r="W227" s="75" t="n">
        <v>482.16</v>
      </c>
      <c r="X227" s="76" t="n">
        <v>498.44</v>
      </c>
      <c r="Y227" s="77" t="s">
        <v>20</v>
      </c>
      <c r="Z227" s="78" t="n">
        <f aca="false">SUM(AA227:AL227)</f>
        <v>2143.22</v>
      </c>
      <c r="AA227" s="75"/>
      <c r="AB227" s="75"/>
      <c r="AC227" s="75"/>
      <c r="AD227" s="79" t="n">
        <v>660.19</v>
      </c>
      <c r="AE227" s="75"/>
      <c r="AF227" s="75"/>
      <c r="AG227" s="79" t="n">
        <v>803.98</v>
      </c>
      <c r="AH227" s="75"/>
      <c r="AI227" s="75"/>
      <c r="AJ227" s="79" t="n">
        <v>679.05</v>
      </c>
      <c r="AK227" s="75"/>
      <c r="AL227" s="76"/>
      <c r="AM227" s="56" t="s">
        <v>20</v>
      </c>
      <c r="AN227" s="80" t="n">
        <f aca="false">IF(L227=0,0,Z227/L227)</f>
        <v>0.416021088143549</v>
      </c>
      <c r="AO227" s="81" t="str">
        <f aca="false">IF(AN227="","",IF(AN227&gt;=0.9,"🟢",IF(AN227&gt;=0.7,"🟡",IF(AN227&gt;=0.5,"🟠","🔴"))))</f>
        <v>🔴</v>
      </c>
      <c r="AP227" s="82" t="n">
        <f aca="false">IF(L227=0,0,L227-Z227)</f>
        <v>3008.49</v>
      </c>
      <c r="AQ227" s="83" t="n">
        <f aca="false">IF(AP227=0,"",RANK(AP227,AP$4:AP$503,0))</f>
        <v>210</v>
      </c>
      <c r="AR227" s="84" t="s">
        <v>20</v>
      </c>
      <c r="AS227" s="141"/>
      <c r="AT227" s="141"/>
      <c r="AU227" s="141"/>
      <c r="AV227" s="141"/>
      <c r="AW227" s="141"/>
      <c r="AX227" s="141"/>
      <c r="AY227" s="142"/>
      <c r="AZ227" s="142"/>
      <c r="BA227" s="56" t="s">
        <v>20</v>
      </c>
      <c r="BB227" s="91" t="n">
        <f aca="false">SUM(L$4:L$503)/COUNTA(A$4:A$503)</f>
        <v>9494.39992</v>
      </c>
      <c r="BC227" s="92" t="n">
        <f aca="false">SUM(M$4:M$503)/COUNTA(A$4:A$503)</f>
        <v>667.20008</v>
      </c>
      <c r="BD227" s="92" t="n">
        <f aca="false">SUM(N$4:N$503)/COUNTA(A$4:A$503)</f>
        <v>697.19996</v>
      </c>
      <c r="BE227" s="92" t="n">
        <f aca="false">SUM(O$4:O$503)/COUNTA(A$4:A$503)</f>
        <v>713.9999</v>
      </c>
      <c r="BF227" s="92" t="n">
        <f aca="false">SUM(P$4:P$503)/COUNTA(A$4:A$503)</f>
        <v>732.59984</v>
      </c>
      <c r="BG227" s="92" t="n">
        <f aca="false">SUM(Q$4:Q$503)/COUNTA(A$4:A$503)</f>
        <v>756.59992</v>
      </c>
      <c r="BH227" s="92" t="n">
        <f aca="false">SUM(R$4:R$503)/COUNTA(A$4:A$503)</f>
        <v>776.40004</v>
      </c>
      <c r="BI227" s="92" t="n">
        <f aca="false">SUM(S$4:S$503)/COUNTA(A$4:A$503)</f>
        <v>806.40012</v>
      </c>
      <c r="BJ227" s="92" t="n">
        <f aca="false">SUM(T$4:T$503)/COUNTA(A$4:A$503)</f>
        <v>826.1999</v>
      </c>
      <c r="BK227" s="92" t="n">
        <f aca="false">SUM(U$4:U$503)/COUNTA(A$4:A$503)</f>
        <v>844.8002</v>
      </c>
      <c r="BL227" s="92" t="n">
        <f aca="false">SUM(V$4:V$503)/COUNTA(A$4:A$503)</f>
        <v>865.7998</v>
      </c>
      <c r="BM227" s="92" t="n">
        <f aca="false">SUM(W$4:W$503)/COUNTA(A$4:A$503)</f>
        <v>888.59982</v>
      </c>
      <c r="BN227" s="93" t="n">
        <f aca="false">SUM(X$4:X$503)/COUNTA(A$4:A$503)</f>
        <v>918.60034</v>
      </c>
      <c r="BO227" s="94" t="s">
        <v>20</v>
      </c>
      <c r="BP227" s="91" t="n">
        <f aca="false">IF(Z227&gt;=BB227,0,IFERROR(BB227+(SUMPRODUCT((Z$4:Z$503&gt;=BB$4:BB$503)*(Z$4:Z$503-BB$4:BB$503))/MAX(1,COUNTIF(Z$4:Z$503,"&lt;"&amp;BB227+0.01))),BB227))</f>
        <v>10695.5432177778</v>
      </c>
      <c r="BQ227" s="92" t="n">
        <f aca="false">IF(AA227&gt;=BC227,0,IFERROR(BC227+SUMPRODUCT((AA$4:AA$503&gt;=BC$4:BC$503)*(AA$4:AA$503-BC$4:BC$503))/MAX(1,COUNTIF(AA$4:AA$503,"&lt;"&amp;BC227+0.01)),BC227))</f>
        <v>2238.46589176471</v>
      </c>
      <c r="BR227" s="92" t="n">
        <f aca="false">IF(AB227&gt;=BD227,0,IFERROR(BD227+SUMPRODUCT((AB$4:AB$503&gt;=BD$4:BD$503)*(AB$4:AB$503-BD$4:BD$503))/MAX(1,COUNTIF(AB$4:AB$503,"&lt;"&amp;BD227+0.01)),BD227))</f>
        <v>3335.2938</v>
      </c>
      <c r="BS227" s="92" t="n">
        <f aca="false">IF(AC227&gt;=BE227,0,IFERROR(BE227+SUMPRODUCT((AC$4:AC$503&gt;=BE$4:BE$503)*(AC$4:AC$503-BE$4:BE$503))/MAX(1,COUNTIF(AC$4:AC$503,"&lt;"&amp;BE227+0.01)),BE227))</f>
        <v>6188.73352</v>
      </c>
      <c r="BT227" s="92" t="n">
        <f aca="false">IF(AD227&gt;=BF227,0,IFERROR(BF227+SUMPRODUCT((AD$4:AD$503&gt;=BF$4:BF$503)*(AD$4:AD$503-BF$4:BF$503))/MAX(1,COUNTIF(AD$4:AD$503,"&lt;"&amp;BF227+0.01)),BF227))</f>
        <v>11354.35411</v>
      </c>
      <c r="BU227" s="92" t="n">
        <f aca="false">IF(AE227&gt;=BG227,0,IFERROR(BG227+SUMPRODUCT((AE$4:AE$503&gt;=BG$4:BG$503)*(AE$4:AE$503-BG$4:BG$503))/MAX(1,COUNTIF(AE$4:AE$503,"&lt;"&amp;BG227+0.01)),BG227))</f>
        <v>7704.85920380952</v>
      </c>
      <c r="BV227" s="92" t="n">
        <f aca="false">IF(AF227&gt;=BH227,0,IFERROR(BH227+SUMPRODUCT((AF$4:AF$503&gt;=BH$4:BH$503)*(AF$4:AF$503-BH$4:BH$503))/MAX(1,COUNTIF(AF$4:AF$503,"&lt;"&amp;BH227+0.01)),BH227))</f>
        <v>9942.6503831579</v>
      </c>
      <c r="BW227" s="92" t="n">
        <f aca="false">IF(AG227&gt;=BI227,0,IFERROR(BI227+SUMPRODUCT((AG$4:AG$503&gt;=BI$4:BI$503)*(AG$4:AG$503-BI$4:BI$503))/MAX(1,COUNTIF(AG$4:AG$503,"&lt;"&amp;BI227+0.01)),BI227))</f>
        <v>9142.15870461538</v>
      </c>
      <c r="BX227" s="92" t="n">
        <f aca="false">IF(AH227&gt;=BJ227,0,IFERROR(BJ227+SUMPRODUCT((AH$4:AH$503&gt;=BJ$4:BJ$503)*(AH$4:AH$503-BJ$4:BJ$503))/MAX(1,COUNTIF(AH$4:AH$503,"&lt;"&amp;BJ227+0.01)),BJ227))</f>
        <v>5621.50263448276</v>
      </c>
      <c r="BY227" s="92" t="n">
        <f aca="false">IF(AI227&gt;=BK227,0,IFERROR(BK227+SUMPRODUCT((AI$4:AI$503&gt;=BK$4:BK$503)*(AI$4:AI$503-BK$4:BK$503))/MAX(1,COUNTIF(AI$4:AI$503,"&lt;"&amp;BK227+0.01)),BK227))</f>
        <v>7878.25652380952</v>
      </c>
      <c r="BZ227" s="92" t="n">
        <f aca="false">IF(AJ227&gt;=BL227,0,IFERROR(BL227+SUMPRODUCT((AJ$4:AJ$503&gt;=BL$4:BL$503)*(AJ$4:AJ$503-BL$4:BL$503))/MAX(1,COUNTIF(AJ$4:AJ$503,"&lt;"&amp;BL227+0.01)),BL227))</f>
        <v>6710.03292307692</v>
      </c>
      <c r="CA227" s="92" t="n">
        <f aca="false">IF(AK227&gt;=BM227,0,IFERROR(BM227+SUMPRODUCT((AK$4:AK$503&gt;=BM$4:BM$503)*(AK$4:AK$503-BM$4:BM$503))/MAX(1,COUNTIF(AK$4:AK$503,"&lt;"&amp;BM227+0.01)),BM227))</f>
        <v>7314.89836842105</v>
      </c>
      <c r="CB227" s="93" t="n">
        <f aca="false">IF(AL227&gt;=BN227,0,IFERROR(BN227+SUMPRODUCT((AL$4:AL$503&gt;=BN$4:BN$503)*(AL$4:AL$503-BN$4:BN$503))/MAX(1,COUNTIF(AL$4:AL$503,"&lt;"&amp;BN227+0.01)),BN227))</f>
        <v>3597.2614925</v>
      </c>
      <c r="CC227" s="95" t="str">
        <f aca="false">IF(AO227="🟢","VERDE",IF(AO227="🟡","AMARELO",IF(AO227="🟠","VERMELHO",IF(AO227="🔴","VERMELHO","ROXO"))))</f>
        <v>VERMELHO</v>
      </c>
      <c r="CD227" s="96" t="s">
        <v>103</v>
      </c>
      <c r="CE227" s="96" t="s">
        <v>104</v>
      </c>
    </row>
    <row r="228" customFormat="false" ht="14.25" hidden="false" customHeight="true" outlineLevel="0" collapsed="false">
      <c r="A228" s="65" t="s">
        <v>590</v>
      </c>
      <c r="B228" s="66" t="s">
        <v>591</v>
      </c>
      <c r="C228" s="67" t="s">
        <v>107</v>
      </c>
      <c r="D228" s="68" t="s">
        <v>108</v>
      </c>
      <c r="E228" s="69" t="s">
        <v>139</v>
      </c>
      <c r="F228" s="70" t="n">
        <f aca="false">IFERROR(VLOOKUP(C228,$AS$3:$AT$10,2,FALSE()),IFERROR(VLOOKUP(C228,$AS$15:$AT$22,2,FALSE()),""))</f>
        <v>132</v>
      </c>
      <c r="G228" s="71" t="n">
        <f aca="false">IFERROR(VLOOKUP(C228,$AS$3:$AX$10,6,FALSE()),IFERROR(VLOOKUP(C228,$AS$15:$AX$22,6,FALSE()),""))</f>
        <v>0.468190175850689</v>
      </c>
      <c r="H228" s="72" t="str">
        <f aca="false">IFERROR(VLOOKUP(C228,$AS$3:$AY$10,7,FALSE()),IFERROR(VLOOKUP(C228,$AS$15:$AY$22,7,FALSE()),""))</f>
        <v>🟡 AMARELO</v>
      </c>
      <c r="I228" s="72" t="str">
        <f aca="false">IFERROR(VLOOKUP(C228,$AS$3:$AZ$10,8,FALSE()),IFERROR(VLOOKUP(C228,$AS$15:$AZ$22,8,FALSE()),""))</f>
        <v>Sell Out</v>
      </c>
      <c r="J228" s="73"/>
      <c r="K228" s="69" t="s">
        <v>107</v>
      </c>
      <c r="L228" s="74" t="n">
        <v>5150.61</v>
      </c>
      <c r="M228" s="75" t="n">
        <v>361.95</v>
      </c>
      <c r="N228" s="75" t="n">
        <v>378.22</v>
      </c>
      <c r="O228" s="75" t="n">
        <v>387.34</v>
      </c>
      <c r="P228" s="75" t="n">
        <v>397.43</v>
      </c>
      <c r="Q228" s="75" t="n">
        <v>410.45</v>
      </c>
      <c r="R228" s="75" t="n">
        <v>421.19</v>
      </c>
      <c r="S228" s="75" t="n">
        <v>437.46</v>
      </c>
      <c r="T228" s="75" t="n">
        <v>448.2</v>
      </c>
      <c r="U228" s="75" t="n">
        <v>458.29</v>
      </c>
      <c r="V228" s="75" t="n">
        <v>469.69</v>
      </c>
      <c r="W228" s="75" t="n">
        <v>482.06</v>
      </c>
      <c r="X228" s="76" t="n">
        <v>498.33</v>
      </c>
      <c r="Y228" s="77" t="s">
        <v>20</v>
      </c>
      <c r="Z228" s="78" t="n">
        <f aca="false">SUM(AA228:AL228)</f>
        <v>2210.25</v>
      </c>
      <c r="AA228" s="75"/>
      <c r="AB228" s="75"/>
      <c r="AC228" s="75"/>
      <c r="AD228" s="75"/>
      <c r="AE228" s="75"/>
      <c r="AF228" s="75"/>
      <c r="AG228" s="79" t="n">
        <v>712.76</v>
      </c>
      <c r="AH228" s="79" t="n">
        <v>667.16</v>
      </c>
      <c r="AI228" s="75"/>
      <c r="AJ228" s="75"/>
      <c r="AK228" s="75"/>
      <c r="AL228" s="107" t="n">
        <v>830.33</v>
      </c>
      <c r="AM228" s="56" t="s">
        <v>20</v>
      </c>
      <c r="AN228" s="80" t="n">
        <f aca="false">IF(L228=0,0,Z228/L228)</f>
        <v>0.42912392901035</v>
      </c>
      <c r="AO228" s="81" t="str">
        <f aca="false">IF(AN228="","",IF(AN228&gt;=0.9,"🟢",IF(AN228&gt;=0.7,"🟡",IF(AN228&gt;=0.5,"🟠","🔴"))))</f>
        <v>🔴</v>
      </c>
      <c r="AP228" s="82" t="n">
        <f aca="false">IF(L228=0,0,L228-Z228)</f>
        <v>2940.36</v>
      </c>
      <c r="AQ228" s="83" t="n">
        <f aca="false">IF(AP228=0,"",RANK(AP228,AP$4:AP$503,0))</f>
        <v>213</v>
      </c>
      <c r="AR228" s="84" t="s">
        <v>20</v>
      </c>
      <c r="AS228" s="141"/>
      <c r="AT228" s="141"/>
      <c r="AU228" s="141"/>
      <c r="AV228" s="141"/>
      <c r="AW228" s="141"/>
      <c r="AX228" s="141"/>
      <c r="AY228" s="142"/>
      <c r="AZ228" s="142"/>
      <c r="BA228" s="56" t="s">
        <v>20</v>
      </c>
      <c r="BB228" s="91" t="n">
        <f aca="false">SUM(L$4:L$503)/COUNTA(A$4:A$503)</f>
        <v>9494.39992</v>
      </c>
      <c r="BC228" s="92" t="n">
        <f aca="false">SUM(M$4:M$503)/COUNTA(A$4:A$503)</f>
        <v>667.20008</v>
      </c>
      <c r="BD228" s="92" t="n">
        <f aca="false">SUM(N$4:N$503)/COUNTA(A$4:A$503)</f>
        <v>697.19996</v>
      </c>
      <c r="BE228" s="92" t="n">
        <f aca="false">SUM(O$4:O$503)/COUNTA(A$4:A$503)</f>
        <v>713.9999</v>
      </c>
      <c r="BF228" s="92" t="n">
        <f aca="false">SUM(P$4:P$503)/COUNTA(A$4:A$503)</f>
        <v>732.59984</v>
      </c>
      <c r="BG228" s="92" t="n">
        <f aca="false">SUM(Q$4:Q$503)/COUNTA(A$4:A$503)</f>
        <v>756.59992</v>
      </c>
      <c r="BH228" s="92" t="n">
        <f aca="false">SUM(R$4:R$503)/COUNTA(A$4:A$503)</f>
        <v>776.40004</v>
      </c>
      <c r="BI228" s="92" t="n">
        <f aca="false">SUM(S$4:S$503)/COUNTA(A$4:A$503)</f>
        <v>806.40012</v>
      </c>
      <c r="BJ228" s="92" t="n">
        <f aca="false">SUM(T$4:T$503)/COUNTA(A$4:A$503)</f>
        <v>826.1999</v>
      </c>
      <c r="BK228" s="92" t="n">
        <f aca="false">SUM(U$4:U$503)/COUNTA(A$4:A$503)</f>
        <v>844.8002</v>
      </c>
      <c r="BL228" s="92" t="n">
        <f aca="false">SUM(V$4:V$503)/COUNTA(A$4:A$503)</f>
        <v>865.7998</v>
      </c>
      <c r="BM228" s="92" t="n">
        <f aca="false">SUM(W$4:W$503)/COUNTA(A$4:A$503)</f>
        <v>888.59982</v>
      </c>
      <c r="BN228" s="93" t="n">
        <f aca="false">SUM(X$4:X$503)/COUNTA(A$4:A$503)</f>
        <v>918.60034</v>
      </c>
      <c r="BO228" s="94" t="s">
        <v>20</v>
      </c>
      <c r="BP228" s="91" t="n">
        <f aca="false">IF(Z228&gt;=BB228,0,IFERROR(BB228+(SUMPRODUCT((Z$4:Z$503&gt;=BB$4:BB$503)*(Z$4:Z$503-BB$4:BB$503))/MAX(1,COUNTIF(Z$4:Z$503,"&lt;"&amp;BB228+0.01))),BB228))</f>
        <v>10695.5432177778</v>
      </c>
      <c r="BQ228" s="92" t="n">
        <f aca="false">IF(AA228&gt;=BC228,0,IFERROR(BC228+SUMPRODUCT((AA$4:AA$503&gt;=BC$4:BC$503)*(AA$4:AA$503-BC$4:BC$503))/MAX(1,COUNTIF(AA$4:AA$503,"&lt;"&amp;BC228+0.01)),BC228))</f>
        <v>2238.46589176471</v>
      </c>
      <c r="BR228" s="92" t="n">
        <f aca="false">IF(AB228&gt;=BD228,0,IFERROR(BD228+SUMPRODUCT((AB$4:AB$503&gt;=BD$4:BD$503)*(AB$4:AB$503-BD$4:BD$503))/MAX(1,COUNTIF(AB$4:AB$503,"&lt;"&amp;BD228+0.01)),BD228))</f>
        <v>3335.2938</v>
      </c>
      <c r="BS228" s="92" t="n">
        <f aca="false">IF(AC228&gt;=BE228,0,IFERROR(BE228+SUMPRODUCT((AC$4:AC$503&gt;=BE$4:BE$503)*(AC$4:AC$503-BE$4:BE$503))/MAX(1,COUNTIF(AC$4:AC$503,"&lt;"&amp;BE228+0.01)),BE228))</f>
        <v>6188.73352</v>
      </c>
      <c r="BT228" s="92" t="n">
        <f aca="false">IF(AD228&gt;=BF228,0,IFERROR(BF228+SUMPRODUCT((AD$4:AD$503&gt;=BF$4:BF$503)*(AD$4:AD$503-BF$4:BF$503))/MAX(1,COUNTIF(AD$4:AD$503,"&lt;"&amp;BF228+0.01)),BF228))</f>
        <v>11354.35411</v>
      </c>
      <c r="BU228" s="92" t="n">
        <f aca="false">IF(AE228&gt;=BG228,0,IFERROR(BG228+SUMPRODUCT((AE$4:AE$503&gt;=BG$4:BG$503)*(AE$4:AE$503-BG$4:BG$503))/MAX(1,COUNTIF(AE$4:AE$503,"&lt;"&amp;BG228+0.01)),BG228))</f>
        <v>7704.85920380952</v>
      </c>
      <c r="BV228" s="92" t="n">
        <f aca="false">IF(AF228&gt;=BH228,0,IFERROR(BH228+SUMPRODUCT((AF$4:AF$503&gt;=BH$4:BH$503)*(AF$4:AF$503-BH$4:BH$503))/MAX(1,COUNTIF(AF$4:AF$503,"&lt;"&amp;BH228+0.01)),BH228))</f>
        <v>9942.6503831579</v>
      </c>
      <c r="BW228" s="92" t="n">
        <f aca="false">IF(AG228&gt;=BI228,0,IFERROR(BI228+SUMPRODUCT((AG$4:AG$503&gt;=BI$4:BI$503)*(AG$4:AG$503-BI$4:BI$503))/MAX(1,COUNTIF(AG$4:AG$503,"&lt;"&amp;BI228+0.01)),BI228))</f>
        <v>9142.15870461538</v>
      </c>
      <c r="BX228" s="92" t="n">
        <f aca="false">IF(AH228&gt;=BJ228,0,IFERROR(BJ228+SUMPRODUCT((AH$4:AH$503&gt;=BJ$4:BJ$503)*(AH$4:AH$503-BJ$4:BJ$503))/MAX(1,COUNTIF(AH$4:AH$503,"&lt;"&amp;BJ228+0.01)),BJ228))</f>
        <v>5621.50263448276</v>
      </c>
      <c r="BY228" s="92" t="n">
        <f aca="false">IF(AI228&gt;=BK228,0,IFERROR(BK228+SUMPRODUCT((AI$4:AI$503&gt;=BK$4:BK$503)*(AI$4:AI$503-BK$4:BK$503))/MAX(1,COUNTIF(AI$4:AI$503,"&lt;"&amp;BK228+0.01)),BK228))</f>
        <v>7878.25652380952</v>
      </c>
      <c r="BZ228" s="92" t="n">
        <f aca="false">IF(AJ228&gt;=BL228,0,IFERROR(BL228+SUMPRODUCT((AJ$4:AJ$503&gt;=BL$4:BL$503)*(AJ$4:AJ$503-BL$4:BL$503))/MAX(1,COUNTIF(AJ$4:AJ$503,"&lt;"&amp;BL228+0.01)),BL228))</f>
        <v>6710.03292307692</v>
      </c>
      <c r="CA228" s="92" t="n">
        <f aca="false">IF(AK228&gt;=BM228,0,IFERROR(BM228+SUMPRODUCT((AK$4:AK$503&gt;=BM$4:BM$503)*(AK$4:AK$503-BM$4:BM$503))/MAX(1,COUNTIF(AK$4:AK$503,"&lt;"&amp;BM228+0.01)),BM228))</f>
        <v>7314.89836842105</v>
      </c>
      <c r="CB228" s="93" t="n">
        <f aca="false">IF(AL228&gt;=BN228,0,IFERROR(BN228+SUMPRODUCT((AL$4:AL$503&gt;=BN$4:BN$503)*(AL$4:AL$503-BN$4:BN$503))/MAX(1,COUNTIF(AL$4:AL$503,"&lt;"&amp;BN228+0.01)),BN228))</f>
        <v>3597.2614925</v>
      </c>
      <c r="CC228" s="95" t="str">
        <f aca="false">IF(AO228="🟢","VERDE",IF(AO228="🟡","AMARELO",IF(AO228="🟠","VERMELHO",IF(AO228="🔴","VERMELHO","ROXO"))))</f>
        <v>VERMELHO</v>
      </c>
      <c r="CD228" s="96" t="s">
        <v>103</v>
      </c>
      <c r="CE228" s="96" t="s">
        <v>104</v>
      </c>
    </row>
    <row r="229" customFormat="false" ht="14.25" hidden="false" customHeight="true" outlineLevel="0" collapsed="false">
      <c r="A229" s="65" t="s">
        <v>592</v>
      </c>
      <c r="B229" s="66" t="s">
        <v>593</v>
      </c>
      <c r="C229" s="66" t="s">
        <v>66</v>
      </c>
      <c r="D229" s="68" t="s">
        <v>175</v>
      </c>
      <c r="E229" s="69" t="s">
        <v>139</v>
      </c>
      <c r="F229" s="70" t="n">
        <f aca="false">IFERROR(VLOOKUP(C229,$AS$3:$AT$10,2,FALSE()),IFERROR(VLOOKUP(C229,$AS$15:$AT$22,2,FALSE()),""))</f>
        <v>44</v>
      </c>
      <c r="G229" s="71" t="n">
        <f aca="false">IFERROR(VLOOKUP(C229,$AS$3:$AX$10,6,FALSE()),IFERROR(VLOOKUP(C229,$AS$15:$AX$22,6,FALSE()),""))</f>
        <v>0.496839506257363</v>
      </c>
      <c r="H229" s="72" t="str">
        <f aca="false">IFERROR(VLOOKUP(C229,$AS$3:$AY$10,7,FALSE()),IFERROR(VLOOKUP(C229,$AS$15:$AY$22,7,FALSE()),""))</f>
        <v>🟡 AMARELO</v>
      </c>
      <c r="I229" s="72" t="str">
        <f aca="false">IFERROR(VLOOKUP(C229,$AS$3:$AZ$10,8,FALSE()),IFERROR(VLOOKUP(C229,$AS$15:$AZ$22,8,FALSE()),""))</f>
        <v>Sell Out</v>
      </c>
      <c r="J229" s="73"/>
      <c r="K229" s="69" t="s">
        <v>107</v>
      </c>
      <c r="L229" s="74" t="n">
        <v>5146.91</v>
      </c>
      <c r="M229" s="75" t="n">
        <v>361.69</v>
      </c>
      <c r="N229" s="75" t="n">
        <v>377.95</v>
      </c>
      <c r="O229" s="75" t="n">
        <v>387.06</v>
      </c>
      <c r="P229" s="75" t="n">
        <v>397.14</v>
      </c>
      <c r="Q229" s="75" t="n">
        <v>410.15</v>
      </c>
      <c r="R229" s="75" t="n">
        <v>420.89</v>
      </c>
      <c r="S229" s="75" t="n">
        <v>437.15</v>
      </c>
      <c r="T229" s="75" t="n">
        <v>447.88</v>
      </c>
      <c r="U229" s="75" t="n">
        <v>457.97</v>
      </c>
      <c r="V229" s="75" t="n">
        <v>469.35</v>
      </c>
      <c r="W229" s="75" t="n">
        <v>481.71</v>
      </c>
      <c r="X229" s="76" t="n">
        <v>497.97</v>
      </c>
      <c r="Y229" s="77" t="s">
        <v>20</v>
      </c>
      <c r="Z229" s="78" t="n">
        <f aca="false">SUM(AA229:AL229)</f>
        <v>3015.51</v>
      </c>
      <c r="AA229" s="75"/>
      <c r="AB229" s="75"/>
      <c r="AC229" s="75"/>
      <c r="AD229" s="75"/>
      <c r="AE229" s="75"/>
      <c r="AF229" s="75"/>
      <c r="AG229" s="75"/>
      <c r="AH229" s="75"/>
      <c r="AI229" s="75" t="n">
        <v>1254.11</v>
      </c>
      <c r="AJ229" s="79" t="n">
        <v>892.7</v>
      </c>
      <c r="AK229" s="79" t="n">
        <v>868.7</v>
      </c>
      <c r="AL229" s="76"/>
      <c r="AM229" s="56" t="s">
        <v>20</v>
      </c>
      <c r="AN229" s="80" t="n">
        <f aca="false">IF(L229=0,0,Z229/L229)</f>
        <v>0.585887454802979</v>
      </c>
      <c r="AO229" s="81" t="str">
        <f aca="false">IF(AN229="","",IF(AN229&gt;=0.9,"🟢",IF(AN229&gt;=0.7,"🟡",IF(AN229&gt;=0.5,"🟠","🔴"))))</f>
        <v>🟠</v>
      </c>
      <c r="AP229" s="82" t="n">
        <f aca="false">IF(L229=0,0,L229-Z229)</f>
        <v>2131.4</v>
      </c>
      <c r="AQ229" s="83" t="n">
        <f aca="false">IF(AP229=0,"",RANK(AP229,AP$4:AP$503,0))</f>
        <v>261</v>
      </c>
      <c r="AR229" s="84" t="s">
        <v>20</v>
      </c>
      <c r="AS229" s="141"/>
      <c r="AT229" s="141"/>
      <c r="AU229" s="141"/>
      <c r="AV229" s="141"/>
      <c r="AW229" s="141"/>
      <c r="AX229" s="141"/>
      <c r="AY229" s="142"/>
      <c r="AZ229" s="142"/>
      <c r="BA229" s="56" t="s">
        <v>20</v>
      </c>
      <c r="BB229" s="91" t="n">
        <f aca="false">SUM(L$4:L$503)/COUNTA(A$4:A$503)</f>
        <v>9494.39992</v>
      </c>
      <c r="BC229" s="92" t="n">
        <f aca="false">SUM(M$4:M$503)/COUNTA(A$4:A$503)</f>
        <v>667.20008</v>
      </c>
      <c r="BD229" s="92" t="n">
        <f aca="false">SUM(N$4:N$503)/COUNTA(A$4:A$503)</f>
        <v>697.19996</v>
      </c>
      <c r="BE229" s="92" t="n">
        <f aca="false">SUM(O$4:O$503)/COUNTA(A$4:A$503)</f>
        <v>713.9999</v>
      </c>
      <c r="BF229" s="92" t="n">
        <f aca="false">SUM(P$4:P$503)/COUNTA(A$4:A$503)</f>
        <v>732.59984</v>
      </c>
      <c r="BG229" s="92" t="n">
        <f aca="false">SUM(Q$4:Q$503)/COUNTA(A$4:A$503)</f>
        <v>756.59992</v>
      </c>
      <c r="BH229" s="92" t="n">
        <f aca="false">SUM(R$4:R$503)/COUNTA(A$4:A$503)</f>
        <v>776.40004</v>
      </c>
      <c r="BI229" s="92" t="n">
        <f aca="false">SUM(S$4:S$503)/COUNTA(A$4:A$503)</f>
        <v>806.40012</v>
      </c>
      <c r="BJ229" s="92" t="n">
        <f aca="false">SUM(T$4:T$503)/COUNTA(A$4:A$503)</f>
        <v>826.1999</v>
      </c>
      <c r="BK229" s="92" t="n">
        <f aca="false">SUM(U$4:U$503)/COUNTA(A$4:A$503)</f>
        <v>844.8002</v>
      </c>
      <c r="BL229" s="92" t="n">
        <f aca="false">SUM(V$4:V$503)/COUNTA(A$4:A$503)</f>
        <v>865.7998</v>
      </c>
      <c r="BM229" s="92" t="n">
        <f aca="false">SUM(W$4:W$503)/COUNTA(A$4:A$503)</f>
        <v>888.59982</v>
      </c>
      <c r="BN229" s="93" t="n">
        <f aca="false">SUM(X$4:X$503)/COUNTA(A$4:A$503)</f>
        <v>918.60034</v>
      </c>
      <c r="BO229" s="94" t="s">
        <v>20</v>
      </c>
      <c r="BP229" s="91" t="n">
        <f aca="false">IF(Z229&gt;=BB229,0,IFERROR(BB229+(SUMPRODUCT((Z$4:Z$503&gt;=BB$4:BB$503)*(Z$4:Z$503-BB$4:BB$503))/MAX(1,COUNTIF(Z$4:Z$503,"&lt;"&amp;BB229+0.01))),BB229))</f>
        <v>10695.5432177778</v>
      </c>
      <c r="BQ229" s="92" t="n">
        <f aca="false">IF(AA229&gt;=BC229,0,IFERROR(BC229+SUMPRODUCT((AA$4:AA$503&gt;=BC$4:BC$503)*(AA$4:AA$503-BC$4:BC$503))/MAX(1,COUNTIF(AA$4:AA$503,"&lt;"&amp;BC229+0.01)),BC229))</f>
        <v>2238.46589176471</v>
      </c>
      <c r="BR229" s="92" t="n">
        <f aca="false">IF(AB229&gt;=BD229,0,IFERROR(BD229+SUMPRODUCT((AB$4:AB$503&gt;=BD$4:BD$503)*(AB$4:AB$503-BD$4:BD$503))/MAX(1,COUNTIF(AB$4:AB$503,"&lt;"&amp;BD229+0.01)),BD229))</f>
        <v>3335.2938</v>
      </c>
      <c r="BS229" s="92" t="n">
        <f aca="false">IF(AC229&gt;=BE229,0,IFERROR(BE229+SUMPRODUCT((AC$4:AC$503&gt;=BE$4:BE$503)*(AC$4:AC$503-BE$4:BE$503))/MAX(1,COUNTIF(AC$4:AC$503,"&lt;"&amp;BE229+0.01)),BE229))</f>
        <v>6188.73352</v>
      </c>
      <c r="BT229" s="92" t="n">
        <f aca="false">IF(AD229&gt;=BF229,0,IFERROR(BF229+SUMPRODUCT((AD$4:AD$503&gt;=BF$4:BF$503)*(AD$4:AD$503-BF$4:BF$503))/MAX(1,COUNTIF(AD$4:AD$503,"&lt;"&amp;BF229+0.01)),BF229))</f>
        <v>11354.35411</v>
      </c>
      <c r="BU229" s="92" t="n">
        <f aca="false">IF(AE229&gt;=BG229,0,IFERROR(BG229+SUMPRODUCT((AE$4:AE$503&gt;=BG$4:BG$503)*(AE$4:AE$503-BG$4:BG$503))/MAX(1,COUNTIF(AE$4:AE$503,"&lt;"&amp;BG229+0.01)),BG229))</f>
        <v>7704.85920380952</v>
      </c>
      <c r="BV229" s="92" t="n">
        <f aca="false">IF(AF229&gt;=BH229,0,IFERROR(BH229+SUMPRODUCT((AF$4:AF$503&gt;=BH$4:BH$503)*(AF$4:AF$503-BH$4:BH$503))/MAX(1,COUNTIF(AF$4:AF$503,"&lt;"&amp;BH229+0.01)),BH229))</f>
        <v>9942.6503831579</v>
      </c>
      <c r="BW229" s="92" t="n">
        <f aca="false">IF(AG229&gt;=BI229,0,IFERROR(BI229+SUMPRODUCT((AG$4:AG$503&gt;=BI$4:BI$503)*(AG$4:AG$503-BI$4:BI$503))/MAX(1,COUNTIF(AG$4:AG$503,"&lt;"&amp;BI229+0.01)),BI229))</f>
        <v>9142.15870461538</v>
      </c>
      <c r="BX229" s="92" t="n">
        <f aca="false">IF(AH229&gt;=BJ229,0,IFERROR(BJ229+SUMPRODUCT((AH$4:AH$503&gt;=BJ$4:BJ$503)*(AH$4:AH$503-BJ$4:BJ$503))/MAX(1,COUNTIF(AH$4:AH$503,"&lt;"&amp;BJ229+0.01)),BJ229))</f>
        <v>5621.50263448276</v>
      </c>
      <c r="BY229" s="92" t="n">
        <f aca="false">IF(AI229&gt;=BK229,0,IFERROR(BK229+SUMPRODUCT((AI$4:AI$503&gt;=BK$4:BK$503)*(AI$4:AI$503-BK$4:BK$503))/MAX(1,COUNTIF(AI$4:AI$503,"&lt;"&amp;BK229+0.01)),BK229))</f>
        <v>0</v>
      </c>
      <c r="BZ229" s="92" t="n">
        <f aca="false">IF(AJ229&gt;=BL229,0,IFERROR(BL229+SUMPRODUCT((AJ$4:AJ$503&gt;=BL$4:BL$503)*(AJ$4:AJ$503-BL$4:BL$503))/MAX(1,COUNTIF(AJ$4:AJ$503,"&lt;"&amp;BL229+0.01)),BL229))</f>
        <v>0</v>
      </c>
      <c r="CA229" s="92" t="n">
        <f aca="false">IF(AK229&gt;=BM229,0,IFERROR(BM229+SUMPRODUCT((AK$4:AK$503&gt;=BM$4:BM$503)*(AK$4:AK$503-BM$4:BM$503))/MAX(1,COUNTIF(AK$4:AK$503,"&lt;"&amp;BM229+0.01)),BM229))</f>
        <v>7314.89836842105</v>
      </c>
      <c r="CB229" s="93" t="n">
        <f aca="false">IF(AL229&gt;=BN229,0,IFERROR(BN229+SUMPRODUCT((AL$4:AL$503&gt;=BN$4:BN$503)*(AL$4:AL$503-BN$4:BN$503))/MAX(1,COUNTIF(AL$4:AL$503,"&lt;"&amp;BN229+0.01)),BN229))</f>
        <v>3597.2614925</v>
      </c>
      <c r="CC229" s="95" t="str">
        <f aca="false">IF(AO229="🟢","VERDE",IF(AO229="🟡","AMARELO",IF(AO229="🟠","VERMELHO",IF(AO229="🔴","VERMELHO","ROXO"))))</f>
        <v>VERMELHO</v>
      </c>
      <c r="CD229" s="96" t="s">
        <v>176</v>
      </c>
      <c r="CE229" s="96" t="s">
        <v>66</v>
      </c>
    </row>
    <row r="230" customFormat="false" ht="14.25" hidden="false" customHeight="true" outlineLevel="0" collapsed="false">
      <c r="A230" s="65" t="s">
        <v>594</v>
      </c>
      <c r="B230" s="66" t="s">
        <v>595</v>
      </c>
      <c r="C230" s="67" t="s">
        <v>107</v>
      </c>
      <c r="D230" s="68" t="s">
        <v>108</v>
      </c>
      <c r="E230" s="69" t="s">
        <v>139</v>
      </c>
      <c r="F230" s="70" t="n">
        <f aca="false">IFERROR(VLOOKUP(C230,$AS$3:$AT$10,2,FALSE()),IFERROR(VLOOKUP(C230,$AS$15:$AT$22,2,FALSE()),""))</f>
        <v>132</v>
      </c>
      <c r="G230" s="71" t="n">
        <f aca="false">IFERROR(VLOOKUP(C230,$AS$3:$AX$10,6,FALSE()),IFERROR(VLOOKUP(C230,$AS$15:$AX$22,6,FALSE()),""))</f>
        <v>0.468190175850689</v>
      </c>
      <c r="H230" s="72" t="str">
        <f aca="false">IFERROR(VLOOKUP(C230,$AS$3:$AY$10,7,FALSE()),IFERROR(VLOOKUP(C230,$AS$15:$AY$22,7,FALSE()),""))</f>
        <v>🟡 AMARELO</v>
      </c>
      <c r="I230" s="72" t="str">
        <f aca="false">IFERROR(VLOOKUP(C230,$AS$3:$AZ$10,8,FALSE()),IFERROR(VLOOKUP(C230,$AS$15:$AZ$22,8,FALSE()),""))</f>
        <v>Sell Out</v>
      </c>
      <c r="J230" s="73"/>
      <c r="K230" s="69" t="s">
        <v>107</v>
      </c>
      <c r="L230" s="74" t="n">
        <v>5128.4</v>
      </c>
      <c r="M230" s="75" t="n">
        <v>360.39</v>
      </c>
      <c r="N230" s="75" t="n">
        <v>376.59</v>
      </c>
      <c r="O230" s="75" t="n">
        <v>385.67</v>
      </c>
      <c r="P230" s="75" t="n">
        <v>395.71</v>
      </c>
      <c r="Q230" s="75" t="n">
        <v>408.68</v>
      </c>
      <c r="R230" s="75" t="n">
        <v>419.37</v>
      </c>
      <c r="S230" s="75" t="n">
        <v>435.58</v>
      </c>
      <c r="T230" s="75" t="n">
        <v>446.27</v>
      </c>
      <c r="U230" s="75" t="n">
        <v>456.32</v>
      </c>
      <c r="V230" s="75" t="n">
        <v>467.66</v>
      </c>
      <c r="W230" s="75" t="n">
        <v>479.98</v>
      </c>
      <c r="X230" s="76" t="n">
        <v>496.18</v>
      </c>
      <c r="Y230" s="77" t="s">
        <v>20</v>
      </c>
      <c r="Z230" s="78" t="n">
        <f aca="false">SUM(AA230:AL230)</f>
        <v>3022.66</v>
      </c>
      <c r="AA230" s="75"/>
      <c r="AB230" s="79" t="n">
        <v>1086.8</v>
      </c>
      <c r="AC230" s="75"/>
      <c r="AD230" s="75"/>
      <c r="AE230" s="75"/>
      <c r="AF230" s="75"/>
      <c r="AG230" s="75" t="n">
        <v>960.27</v>
      </c>
      <c r="AH230" s="79" t="n">
        <v>975.59</v>
      </c>
      <c r="AI230" s="75"/>
      <c r="AJ230" s="75"/>
      <c r="AK230" s="75"/>
      <c r="AL230" s="76"/>
      <c r="AM230" s="56" t="s">
        <v>20</v>
      </c>
      <c r="AN230" s="80" t="n">
        <f aca="false">IF(L230=0,0,Z230/L230)</f>
        <v>0.589396302940488</v>
      </c>
      <c r="AO230" s="81" t="str">
        <f aca="false">IF(AN230="","",IF(AN230&gt;=0.9,"🟢",IF(AN230&gt;=0.7,"🟡",IF(AN230&gt;=0.5,"🟠","🔴"))))</f>
        <v>🟠</v>
      </c>
      <c r="AP230" s="82" t="n">
        <f aca="false">IF(L230=0,0,L230-Z230)</f>
        <v>2105.74</v>
      </c>
      <c r="AQ230" s="83" t="n">
        <f aca="false">IF(AP230=0,"",RANK(AP230,AP$4:AP$503,0))</f>
        <v>262</v>
      </c>
      <c r="AR230" s="84" t="s">
        <v>20</v>
      </c>
      <c r="AS230" s="141"/>
      <c r="AT230" s="141"/>
      <c r="AU230" s="141"/>
      <c r="AV230" s="141"/>
      <c r="AW230" s="141"/>
      <c r="AX230" s="141"/>
      <c r="AY230" s="142"/>
      <c r="AZ230" s="142"/>
      <c r="BA230" s="56" t="s">
        <v>20</v>
      </c>
      <c r="BB230" s="91" t="n">
        <f aca="false">SUM(L$4:L$503)/COUNTA(A$4:A$503)</f>
        <v>9494.39992</v>
      </c>
      <c r="BC230" s="92" t="n">
        <f aca="false">SUM(M$4:M$503)/COUNTA(A$4:A$503)</f>
        <v>667.20008</v>
      </c>
      <c r="BD230" s="92" t="n">
        <f aca="false">SUM(N$4:N$503)/COUNTA(A$4:A$503)</f>
        <v>697.19996</v>
      </c>
      <c r="BE230" s="92" t="n">
        <f aca="false">SUM(O$4:O$503)/COUNTA(A$4:A$503)</f>
        <v>713.9999</v>
      </c>
      <c r="BF230" s="92" t="n">
        <f aca="false">SUM(P$4:P$503)/COUNTA(A$4:A$503)</f>
        <v>732.59984</v>
      </c>
      <c r="BG230" s="92" t="n">
        <f aca="false">SUM(Q$4:Q$503)/COUNTA(A$4:A$503)</f>
        <v>756.59992</v>
      </c>
      <c r="BH230" s="92" t="n">
        <f aca="false">SUM(R$4:R$503)/COUNTA(A$4:A$503)</f>
        <v>776.40004</v>
      </c>
      <c r="BI230" s="92" t="n">
        <f aca="false">SUM(S$4:S$503)/COUNTA(A$4:A$503)</f>
        <v>806.40012</v>
      </c>
      <c r="BJ230" s="92" t="n">
        <f aca="false">SUM(T$4:T$503)/COUNTA(A$4:A$503)</f>
        <v>826.1999</v>
      </c>
      <c r="BK230" s="92" t="n">
        <f aca="false">SUM(U$4:U$503)/COUNTA(A$4:A$503)</f>
        <v>844.8002</v>
      </c>
      <c r="BL230" s="92" t="n">
        <f aca="false">SUM(V$4:V$503)/COUNTA(A$4:A$503)</f>
        <v>865.7998</v>
      </c>
      <c r="BM230" s="92" t="n">
        <f aca="false">SUM(W$4:W$503)/COUNTA(A$4:A$503)</f>
        <v>888.59982</v>
      </c>
      <c r="BN230" s="93" t="n">
        <f aca="false">SUM(X$4:X$503)/COUNTA(A$4:A$503)</f>
        <v>918.60034</v>
      </c>
      <c r="BO230" s="94" t="s">
        <v>20</v>
      </c>
      <c r="BP230" s="91" t="n">
        <f aca="false">IF(Z230&gt;=BB230,0,IFERROR(BB230+(SUMPRODUCT((Z$4:Z$503&gt;=BB$4:BB$503)*(Z$4:Z$503-BB$4:BB$503))/MAX(1,COUNTIF(Z$4:Z$503,"&lt;"&amp;BB230+0.01))),BB230))</f>
        <v>10695.5432177778</v>
      </c>
      <c r="BQ230" s="92" t="n">
        <f aca="false">IF(AA230&gt;=BC230,0,IFERROR(BC230+SUMPRODUCT((AA$4:AA$503&gt;=BC$4:BC$503)*(AA$4:AA$503-BC$4:BC$503))/MAX(1,COUNTIF(AA$4:AA$503,"&lt;"&amp;BC230+0.01)),BC230))</f>
        <v>2238.46589176471</v>
      </c>
      <c r="BR230" s="92" t="n">
        <f aca="false">IF(AB230&gt;=BD230,0,IFERROR(BD230+SUMPRODUCT((AB$4:AB$503&gt;=BD$4:BD$503)*(AB$4:AB$503-BD$4:BD$503))/MAX(1,COUNTIF(AB$4:AB$503,"&lt;"&amp;BD230+0.01)),BD230))</f>
        <v>0</v>
      </c>
      <c r="BS230" s="92" t="n">
        <f aca="false">IF(AC230&gt;=BE230,0,IFERROR(BE230+SUMPRODUCT((AC$4:AC$503&gt;=BE$4:BE$503)*(AC$4:AC$503-BE$4:BE$503))/MAX(1,COUNTIF(AC$4:AC$503,"&lt;"&amp;BE230+0.01)),BE230))</f>
        <v>6188.73352</v>
      </c>
      <c r="BT230" s="92" t="n">
        <f aca="false">IF(AD230&gt;=BF230,0,IFERROR(BF230+SUMPRODUCT((AD$4:AD$503&gt;=BF$4:BF$503)*(AD$4:AD$503-BF$4:BF$503))/MAX(1,COUNTIF(AD$4:AD$503,"&lt;"&amp;BF230+0.01)),BF230))</f>
        <v>11354.35411</v>
      </c>
      <c r="BU230" s="92" t="n">
        <f aca="false">IF(AE230&gt;=BG230,0,IFERROR(BG230+SUMPRODUCT((AE$4:AE$503&gt;=BG$4:BG$503)*(AE$4:AE$503-BG$4:BG$503))/MAX(1,COUNTIF(AE$4:AE$503,"&lt;"&amp;BG230+0.01)),BG230))</f>
        <v>7704.85920380952</v>
      </c>
      <c r="BV230" s="92" t="n">
        <f aca="false">IF(AF230&gt;=BH230,0,IFERROR(BH230+SUMPRODUCT((AF$4:AF$503&gt;=BH$4:BH$503)*(AF$4:AF$503-BH$4:BH$503))/MAX(1,COUNTIF(AF$4:AF$503,"&lt;"&amp;BH230+0.01)),BH230))</f>
        <v>9942.6503831579</v>
      </c>
      <c r="BW230" s="92" t="n">
        <f aca="false">IF(AG230&gt;=BI230,0,IFERROR(BI230+SUMPRODUCT((AG$4:AG$503&gt;=BI$4:BI$503)*(AG$4:AG$503-BI$4:BI$503))/MAX(1,COUNTIF(AG$4:AG$503,"&lt;"&amp;BI230+0.01)),BI230))</f>
        <v>0</v>
      </c>
      <c r="BX230" s="92" t="n">
        <f aca="false">IF(AH230&gt;=BJ230,0,IFERROR(BJ230+SUMPRODUCT((AH$4:AH$503&gt;=BJ$4:BJ$503)*(AH$4:AH$503-BJ$4:BJ$503))/MAX(1,COUNTIF(AH$4:AH$503,"&lt;"&amp;BJ230+0.01)),BJ230))</f>
        <v>0</v>
      </c>
      <c r="BY230" s="92" t="n">
        <f aca="false">IF(AI230&gt;=BK230,0,IFERROR(BK230+SUMPRODUCT((AI$4:AI$503&gt;=BK$4:BK$503)*(AI$4:AI$503-BK$4:BK$503))/MAX(1,COUNTIF(AI$4:AI$503,"&lt;"&amp;BK230+0.01)),BK230))</f>
        <v>7878.25652380952</v>
      </c>
      <c r="BZ230" s="92" t="n">
        <f aca="false">IF(AJ230&gt;=BL230,0,IFERROR(BL230+SUMPRODUCT((AJ$4:AJ$503&gt;=BL$4:BL$503)*(AJ$4:AJ$503-BL$4:BL$503))/MAX(1,COUNTIF(AJ$4:AJ$503,"&lt;"&amp;BL230+0.01)),BL230))</f>
        <v>6710.03292307692</v>
      </c>
      <c r="CA230" s="92" t="n">
        <f aca="false">IF(AK230&gt;=BM230,0,IFERROR(BM230+SUMPRODUCT((AK$4:AK$503&gt;=BM$4:BM$503)*(AK$4:AK$503-BM$4:BM$503))/MAX(1,COUNTIF(AK$4:AK$503,"&lt;"&amp;BM230+0.01)),BM230))</f>
        <v>7314.89836842105</v>
      </c>
      <c r="CB230" s="93" t="n">
        <f aca="false">IF(AL230&gt;=BN230,0,IFERROR(BN230+SUMPRODUCT((AL$4:AL$503&gt;=BN$4:BN$503)*(AL$4:AL$503-BN$4:BN$503))/MAX(1,COUNTIF(AL$4:AL$503,"&lt;"&amp;BN230+0.01)),BN230))</f>
        <v>3597.2614925</v>
      </c>
      <c r="CC230" s="95" t="str">
        <f aca="false">IF(AO230="🟢","VERDE",IF(AO230="🟡","AMARELO",IF(AO230="🟠","VERMELHO",IF(AO230="🔴","VERMELHO","ROXO"))))</f>
        <v>VERMELHO</v>
      </c>
      <c r="CD230" s="96" t="s">
        <v>103</v>
      </c>
      <c r="CE230" s="96" t="s">
        <v>104</v>
      </c>
    </row>
    <row r="231" customFormat="false" ht="14.25" hidden="false" customHeight="true" outlineLevel="0" collapsed="false">
      <c r="A231" s="65" t="s">
        <v>596</v>
      </c>
      <c r="B231" s="66" t="s">
        <v>597</v>
      </c>
      <c r="C231" s="67" t="s">
        <v>118</v>
      </c>
      <c r="D231" s="68" t="s">
        <v>100</v>
      </c>
      <c r="E231" s="69" t="s">
        <v>119</v>
      </c>
      <c r="F231" s="70" t="n">
        <f aca="false">IFERROR(VLOOKUP(C231,$AS$3:$AT$10,2,FALSE()),IFERROR(VLOOKUP(C231,$AS$15:$AT$22,2,FALSE()),""))</f>
        <v>42</v>
      </c>
      <c r="G231" s="71" t="n">
        <f aca="false">IFERROR(VLOOKUP(C231,$AS$3:$AX$10,6,FALSE()),IFERROR(VLOOKUP(C231,$AS$15:$AX$22,6,FALSE()),""))</f>
        <v>0.424872083346704</v>
      </c>
      <c r="H231" s="72" t="str">
        <f aca="false">IFERROR(VLOOKUP(C231,$AS$3:$AY$10,7,FALSE()),IFERROR(VLOOKUP(C231,$AS$15:$AY$22,7,FALSE()),""))</f>
        <v>🟡 AMARELO</v>
      </c>
      <c r="I231" s="72" t="str">
        <f aca="false">IFERROR(VLOOKUP(C231,$AS$3:$AZ$10,8,FALSE()),IFERROR(VLOOKUP(C231,$AS$15:$AZ$22,8,FALSE()),""))</f>
        <v>Sell Out</v>
      </c>
      <c r="J231" s="73"/>
      <c r="K231" s="69" t="s">
        <v>118</v>
      </c>
      <c r="L231" s="74" t="n">
        <v>5126.3</v>
      </c>
      <c r="M231" s="75" t="n">
        <v>360.24</v>
      </c>
      <c r="N231" s="75" t="n">
        <v>376.44</v>
      </c>
      <c r="O231" s="75" t="n">
        <v>385.51</v>
      </c>
      <c r="P231" s="75" t="n">
        <v>395.55</v>
      </c>
      <c r="Q231" s="75" t="n">
        <v>408.51</v>
      </c>
      <c r="R231" s="75" t="n">
        <v>419.2</v>
      </c>
      <c r="S231" s="75" t="n">
        <v>435.4</v>
      </c>
      <c r="T231" s="75" t="n">
        <v>446.09</v>
      </c>
      <c r="U231" s="75" t="n">
        <v>456.13</v>
      </c>
      <c r="V231" s="75" t="n">
        <v>467.47</v>
      </c>
      <c r="W231" s="75" t="n">
        <v>479.78</v>
      </c>
      <c r="X231" s="76" t="n">
        <v>495.98</v>
      </c>
      <c r="Y231" s="77" t="s">
        <v>20</v>
      </c>
      <c r="Z231" s="78" t="n">
        <f aca="false">SUM(AA231:AL231)</f>
        <v>2061.56</v>
      </c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107" t="n">
        <v>2061.56</v>
      </c>
      <c r="AM231" s="56" t="s">
        <v>20</v>
      </c>
      <c r="AN231" s="80" t="n">
        <f aca="false">IF(L231=0,0,Z231/L231)</f>
        <v>0.402153600062423</v>
      </c>
      <c r="AO231" s="81" t="str">
        <f aca="false">IF(AN231="","",IF(AN231&gt;=0.9,"🟢",IF(AN231&gt;=0.7,"🟡",IF(AN231&gt;=0.5,"🟠","🔴"))))</f>
        <v>🔴</v>
      </c>
      <c r="AP231" s="82" t="n">
        <f aca="false">IF(L231=0,0,L231-Z231)</f>
        <v>3064.74</v>
      </c>
      <c r="AQ231" s="83" t="n">
        <f aca="false">IF(AP231=0,"",RANK(AP231,AP$4:AP$503,0))</f>
        <v>206</v>
      </c>
      <c r="AR231" s="84" t="s">
        <v>20</v>
      </c>
      <c r="AS231" s="141"/>
      <c r="AT231" s="141"/>
      <c r="AU231" s="141"/>
      <c r="AV231" s="141"/>
      <c r="AW231" s="141"/>
      <c r="AX231" s="141"/>
      <c r="AY231" s="142"/>
      <c r="AZ231" s="142"/>
      <c r="BA231" s="56" t="s">
        <v>20</v>
      </c>
      <c r="BB231" s="91" t="n">
        <f aca="false">SUM(L$4:L$503)/COUNTA(A$4:A$503)</f>
        <v>9494.39992</v>
      </c>
      <c r="BC231" s="92" t="n">
        <f aca="false">SUM(M$4:M$503)/COUNTA(A$4:A$503)</f>
        <v>667.20008</v>
      </c>
      <c r="BD231" s="92" t="n">
        <f aca="false">SUM(N$4:N$503)/COUNTA(A$4:A$503)</f>
        <v>697.19996</v>
      </c>
      <c r="BE231" s="92" t="n">
        <f aca="false">SUM(O$4:O$503)/COUNTA(A$4:A$503)</f>
        <v>713.9999</v>
      </c>
      <c r="BF231" s="92" t="n">
        <f aca="false">SUM(P$4:P$503)/COUNTA(A$4:A$503)</f>
        <v>732.59984</v>
      </c>
      <c r="BG231" s="92" t="n">
        <f aca="false">SUM(Q$4:Q$503)/COUNTA(A$4:A$503)</f>
        <v>756.59992</v>
      </c>
      <c r="BH231" s="92" t="n">
        <f aca="false">SUM(R$4:R$503)/COUNTA(A$4:A$503)</f>
        <v>776.40004</v>
      </c>
      <c r="BI231" s="92" t="n">
        <f aca="false">SUM(S$4:S$503)/COUNTA(A$4:A$503)</f>
        <v>806.40012</v>
      </c>
      <c r="BJ231" s="92" t="n">
        <f aca="false">SUM(T$4:T$503)/COUNTA(A$4:A$503)</f>
        <v>826.1999</v>
      </c>
      <c r="BK231" s="92" t="n">
        <f aca="false">SUM(U$4:U$503)/COUNTA(A$4:A$503)</f>
        <v>844.8002</v>
      </c>
      <c r="BL231" s="92" t="n">
        <f aca="false">SUM(V$4:V$503)/COUNTA(A$4:A$503)</f>
        <v>865.7998</v>
      </c>
      <c r="BM231" s="92" t="n">
        <f aca="false">SUM(W$4:W$503)/COUNTA(A$4:A$503)</f>
        <v>888.59982</v>
      </c>
      <c r="BN231" s="93" t="n">
        <f aca="false">SUM(X$4:X$503)/COUNTA(A$4:A$503)</f>
        <v>918.60034</v>
      </c>
      <c r="BO231" s="94" t="s">
        <v>20</v>
      </c>
      <c r="BP231" s="91" t="n">
        <f aca="false">IF(Z231&gt;=BB231,0,IFERROR(BB231+(SUMPRODUCT((Z$4:Z$503&gt;=BB$4:BB$503)*(Z$4:Z$503-BB$4:BB$503))/MAX(1,COUNTIF(Z$4:Z$503,"&lt;"&amp;BB231+0.01))),BB231))</f>
        <v>10695.5432177778</v>
      </c>
      <c r="BQ231" s="92" t="n">
        <f aca="false">IF(AA231&gt;=BC231,0,IFERROR(BC231+SUMPRODUCT((AA$4:AA$503&gt;=BC$4:BC$503)*(AA$4:AA$503-BC$4:BC$503))/MAX(1,COUNTIF(AA$4:AA$503,"&lt;"&amp;BC231+0.01)),BC231))</f>
        <v>2238.46589176471</v>
      </c>
      <c r="BR231" s="92" t="n">
        <f aca="false">IF(AB231&gt;=BD231,0,IFERROR(BD231+SUMPRODUCT((AB$4:AB$503&gt;=BD$4:BD$503)*(AB$4:AB$503-BD$4:BD$503))/MAX(1,COUNTIF(AB$4:AB$503,"&lt;"&amp;BD231+0.01)),BD231))</f>
        <v>3335.2938</v>
      </c>
      <c r="BS231" s="92" t="n">
        <f aca="false">IF(AC231&gt;=BE231,0,IFERROR(BE231+SUMPRODUCT((AC$4:AC$503&gt;=BE$4:BE$503)*(AC$4:AC$503-BE$4:BE$503))/MAX(1,COUNTIF(AC$4:AC$503,"&lt;"&amp;BE231+0.01)),BE231))</f>
        <v>6188.73352</v>
      </c>
      <c r="BT231" s="92" t="n">
        <f aca="false">IF(AD231&gt;=BF231,0,IFERROR(BF231+SUMPRODUCT((AD$4:AD$503&gt;=BF$4:BF$503)*(AD$4:AD$503-BF$4:BF$503))/MAX(1,COUNTIF(AD$4:AD$503,"&lt;"&amp;BF231+0.01)),BF231))</f>
        <v>11354.35411</v>
      </c>
      <c r="BU231" s="92" t="n">
        <f aca="false">IF(AE231&gt;=BG231,0,IFERROR(BG231+SUMPRODUCT((AE$4:AE$503&gt;=BG$4:BG$503)*(AE$4:AE$503-BG$4:BG$503))/MAX(1,COUNTIF(AE$4:AE$503,"&lt;"&amp;BG231+0.01)),BG231))</f>
        <v>7704.85920380952</v>
      </c>
      <c r="BV231" s="92" t="n">
        <f aca="false">IF(AF231&gt;=BH231,0,IFERROR(BH231+SUMPRODUCT((AF$4:AF$503&gt;=BH$4:BH$503)*(AF$4:AF$503-BH$4:BH$503))/MAX(1,COUNTIF(AF$4:AF$503,"&lt;"&amp;BH231+0.01)),BH231))</f>
        <v>9942.6503831579</v>
      </c>
      <c r="BW231" s="92" t="n">
        <f aca="false">IF(AG231&gt;=BI231,0,IFERROR(BI231+SUMPRODUCT((AG$4:AG$503&gt;=BI$4:BI$503)*(AG$4:AG$503-BI$4:BI$503))/MAX(1,COUNTIF(AG$4:AG$503,"&lt;"&amp;BI231+0.01)),BI231))</f>
        <v>9142.15870461538</v>
      </c>
      <c r="BX231" s="92" t="n">
        <f aca="false">IF(AH231&gt;=BJ231,0,IFERROR(BJ231+SUMPRODUCT((AH$4:AH$503&gt;=BJ$4:BJ$503)*(AH$4:AH$503-BJ$4:BJ$503))/MAX(1,COUNTIF(AH$4:AH$503,"&lt;"&amp;BJ231+0.01)),BJ231))</f>
        <v>5621.50263448276</v>
      </c>
      <c r="BY231" s="92" t="n">
        <f aca="false">IF(AI231&gt;=BK231,0,IFERROR(BK231+SUMPRODUCT((AI$4:AI$503&gt;=BK$4:BK$503)*(AI$4:AI$503-BK$4:BK$503))/MAX(1,COUNTIF(AI$4:AI$503,"&lt;"&amp;BK231+0.01)),BK231))</f>
        <v>7878.25652380952</v>
      </c>
      <c r="BZ231" s="92" t="n">
        <f aca="false">IF(AJ231&gt;=BL231,0,IFERROR(BL231+SUMPRODUCT((AJ$4:AJ$503&gt;=BL$4:BL$503)*(AJ$4:AJ$503-BL$4:BL$503))/MAX(1,COUNTIF(AJ$4:AJ$503,"&lt;"&amp;BL231+0.01)),BL231))</f>
        <v>6710.03292307692</v>
      </c>
      <c r="CA231" s="92" t="n">
        <f aca="false">IF(AK231&gt;=BM231,0,IFERROR(BM231+SUMPRODUCT((AK$4:AK$503&gt;=BM$4:BM$503)*(AK$4:AK$503-BM$4:BM$503))/MAX(1,COUNTIF(AK$4:AK$503,"&lt;"&amp;BM231+0.01)),BM231))</f>
        <v>7314.89836842105</v>
      </c>
      <c r="CB231" s="93" t="n">
        <f aca="false">IF(AL231&gt;=BN231,0,IFERROR(BN231+SUMPRODUCT((AL$4:AL$503&gt;=BN$4:BN$503)*(AL$4:AL$503-BN$4:BN$503))/MAX(1,COUNTIF(AL$4:AL$503,"&lt;"&amp;BN231+0.01)),BN231))</f>
        <v>0</v>
      </c>
      <c r="CC231" s="95" t="str">
        <f aca="false">IF(AO231="🟢","VERDE",IF(AO231="🟡","AMARELO",IF(AO231="🟠","VERMELHO",IF(AO231="🔴","VERMELHO","ROXO"))))</f>
        <v>VERMELHO</v>
      </c>
      <c r="CD231" s="96" t="s">
        <v>103</v>
      </c>
      <c r="CE231" s="96" t="s">
        <v>104</v>
      </c>
    </row>
    <row r="232" customFormat="false" ht="14.25" hidden="false" customHeight="true" outlineLevel="0" collapsed="false">
      <c r="A232" s="65" t="s">
        <v>598</v>
      </c>
      <c r="B232" s="66" t="s">
        <v>599</v>
      </c>
      <c r="C232" s="67" t="s">
        <v>145</v>
      </c>
      <c r="D232" s="68" t="s">
        <v>100</v>
      </c>
      <c r="E232" s="69" t="s">
        <v>420</v>
      </c>
      <c r="F232" s="70" t="n">
        <f aca="false">IFERROR(VLOOKUP(C232,$AS$3:$AT$10,2,FALSE()),IFERROR(VLOOKUP(C232,$AS$15:$AT$22,2,FALSE()),""))</f>
        <v>10</v>
      </c>
      <c r="G232" s="71" t="n">
        <f aca="false">IFERROR(VLOOKUP(C232,$AS$3:$AX$10,6,FALSE()),IFERROR(VLOOKUP(C232,$AS$15:$AX$22,6,FALSE()),""))</f>
        <v>0.45643525037644</v>
      </c>
      <c r="H232" s="72" t="str">
        <f aca="false">IFERROR(VLOOKUP(C232,$AS$3:$AY$10,7,FALSE()),IFERROR(VLOOKUP(C232,$AS$15:$AY$22,7,FALSE()),""))</f>
        <v>🟡 AMARELO</v>
      </c>
      <c r="I232" s="72" t="str">
        <f aca="false">IFERROR(VLOOKUP(C232,$AS$3:$AZ$10,8,FALSE()),IFERROR(VLOOKUP(C232,$AS$15:$AZ$22,8,FALSE()),""))</f>
        <v>Sell Out</v>
      </c>
      <c r="J232" s="73"/>
      <c r="K232" s="69" t="s">
        <v>145</v>
      </c>
      <c r="L232" s="74" t="n">
        <v>5089.11</v>
      </c>
      <c r="M232" s="75" t="n">
        <v>357.63</v>
      </c>
      <c r="N232" s="75" t="n">
        <v>373.71</v>
      </c>
      <c r="O232" s="75" t="n">
        <v>382.71</v>
      </c>
      <c r="P232" s="75" t="n">
        <v>392.68</v>
      </c>
      <c r="Q232" s="75" t="n">
        <v>405.55</v>
      </c>
      <c r="R232" s="75" t="n">
        <v>416.16</v>
      </c>
      <c r="S232" s="75" t="n">
        <v>432.24</v>
      </c>
      <c r="T232" s="75" t="n">
        <v>442.85</v>
      </c>
      <c r="U232" s="75" t="n">
        <v>452.82</v>
      </c>
      <c r="V232" s="75" t="n">
        <v>464.08</v>
      </c>
      <c r="W232" s="75" t="n">
        <v>476.3</v>
      </c>
      <c r="X232" s="76" t="n">
        <v>492.38</v>
      </c>
      <c r="Y232" s="77" t="s">
        <v>20</v>
      </c>
      <c r="Z232" s="78" t="n">
        <f aca="false">SUM(AA232:AL232)</f>
        <v>2046.6</v>
      </c>
      <c r="AA232" s="75"/>
      <c r="AB232" s="75"/>
      <c r="AC232" s="75"/>
      <c r="AD232" s="75"/>
      <c r="AE232" s="75"/>
      <c r="AF232" s="75"/>
      <c r="AG232" s="75"/>
      <c r="AH232" s="75"/>
      <c r="AI232" s="75"/>
      <c r="AJ232" s="79" t="n">
        <v>2046.6</v>
      </c>
      <c r="AK232" s="75"/>
      <c r="AL232" s="76"/>
      <c r="AM232" s="56" t="s">
        <v>20</v>
      </c>
      <c r="AN232" s="80" t="n">
        <f aca="false">IF(L232=0,0,Z232/L232)</f>
        <v>0.402152832224102</v>
      </c>
      <c r="AO232" s="81" t="str">
        <f aca="false">IF(AN232="","",IF(AN232&gt;=0.9,"🟢",IF(AN232&gt;=0.7,"🟡",IF(AN232&gt;=0.5,"🟠","🔴"))))</f>
        <v>🔴</v>
      </c>
      <c r="AP232" s="82" t="n">
        <f aca="false">IF(L232=0,0,L232-Z232)</f>
        <v>3042.51</v>
      </c>
      <c r="AQ232" s="83" t="n">
        <f aca="false">IF(AP232=0,"",RANK(AP232,AP$4:AP$503,0))</f>
        <v>209</v>
      </c>
      <c r="AR232" s="84" t="s">
        <v>20</v>
      </c>
      <c r="AS232" s="141"/>
      <c r="AT232" s="141"/>
      <c r="AU232" s="141"/>
      <c r="AV232" s="141"/>
      <c r="AW232" s="141"/>
      <c r="AX232" s="141"/>
      <c r="AY232" s="142"/>
      <c r="AZ232" s="142"/>
      <c r="BA232" s="56" t="s">
        <v>20</v>
      </c>
      <c r="BB232" s="91" t="n">
        <f aca="false">SUM(L$4:L$503)/COUNTA(A$4:A$503)</f>
        <v>9494.39992</v>
      </c>
      <c r="BC232" s="92" t="n">
        <f aca="false">SUM(M$4:M$503)/COUNTA(A$4:A$503)</f>
        <v>667.20008</v>
      </c>
      <c r="BD232" s="92" t="n">
        <f aca="false">SUM(N$4:N$503)/COUNTA(A$4:A$503)</f>
        <v>697.19996</v>
      </c>
      <c r="BE232" s="92" t="n">
        <f aca="false">SUM(O$4:O$503)/COUNTA(A$4:A$503)</f>
        <v>713.9999</v>
      </c>
      <c r="BF232" s="92" t="n">
        <f aca="false">SUM(P$4:P$503)/COUNTA(A$4:A$503)</f>
        <v>732.59984</v>
      </c>
      <c r="BG232" s="92" t="n">
        <f aca="false">SUM(Q$4:Q$503)/COUNTA(A$4:A$503)</f>
        <v>756.59992</v>
      </c>
      <c r="BH232" s="92" t="n">
        <f aca="false">SUM(R$4:R$503)/COUNTA(A$4:A$503)</f>
        <v>776.40004</v>
      </c>
      <c r="BI232" s="92" t="n">
        <f aca="false">SUM(S$4:S$503)/COUNTA(A$4:A$503)</f>
        <v>806.40012</v>
      </c>
      <c r="BJ232" s="92" t="n">
        <f aca="false">SUM(T$4:T$503)/COUNTA(A$4:A$503)</f>
        <v>826.1999</v>
      </c>
      <c r="BK232" s="92" t="n">
        <f aca="false">SUM(U$4:U$503)/COUNTA(A$4:A$503)</f>
        <v>844.8002</v>
      </c>
      <c r="BL232" s="92" t="n">
        <f aca="false">SUM(V$4:V$503)/COUNTA(A$4:A$503)</f>
        <v>865.7998</v>
      </c>
      <c r="BM232" s="92" t="n">
        <f aca="false">SUM(W$4:W$503)/COUNTA(A$4:A$503)</f>
        <v>888.59982</v>
      </c>
      <c r="BN232" s="93" t="n">
        <f aca="false">SUM(X$4:X$503)/COUNTA(A$4:A$503)</f>
        <v>918.60034</v>
      </c>
      <c r="BO232" s="94" t="s">
        <v>20</v>
      </c>
      <c r="BP232" s="91" t="n">
        <f aca="false">IF(Z232&gt;=BB232,0,IFERROR(BB232+(SUMPRODUCT((Z$4:Z$503&gt;=BB$4:BB$503)*(Z$4:Z$503-BB$4:BB$503))/MAX(1,COUNTIF(Z$4:Z$503,"&lt;"&amp;BB232+0.01))),BB232))</f>
        <v>10695.5432177778</v>
      </c>
      <c r="BQ232" s="92" t="n">
        <f aca="false">IF(AA232&gt;=BC232,0,IFERROR(BC232+SUMPRODUCT((AA$4:AA$503&gt;=BC$4:BC$503)*(AA$4:AA$503-BC$4:BC$503))/MAX(1,COUNTIF(AA$4:AA$503,"&lt;"&amp;BC232+0.01)),BC232))</f>
        <v>2238.46589176471</v>
      </c>
      <c r="BR232" s="92" t="n">
        <f aca="false">IF(AB232&gt;=BD232,0,IFERROR(BD232+SUMPRODUCT((AB$4:AB$503&gt;=BD$4:BD$503)*(AB$4:AB$503-BD$4:BD$503))/MAX(1,COUNTIF(AB$4:AB$503,"&lt;"&amp;BD232+0.01)),BD232))</f>
        <v>3335.2938</v>
      </c>
      <c r="BS232" s="92" t="n">
        <f aca="false">IF(AC232&gt;=BE232,0,IFERROR(BE232+SUMPRODUCT((AC$4:AC$503&gt;=BE$4:BE$503)*(AC$4:AC$503-BE$4:BE$503))/MAX(1,COUNTIF(AC$4:AC$503,"&lt;"&amp;BE232+0.01)),BE232))</f>
        <v>6188.73352</v>
      </c>
      <c r="BT232" s="92" t="n">
        <f aca="false">IF(AD232&gt;=BF232,0,IFERROR(BF232+SUMPRODUCT((AD$4:AD$503&gt;=BF$4:BF$503)*(AD$4:AD$503-BF$4:BF$503))/MAX(1,COUNTIF(AD$4:AD$503,"&lt;"&amp;BF232+0.01)),BF232))</f>
        <v>11354.35411</v>
      </c>
      <c r="BU232" s="92" t="n">
        <f aca="false">IF(AE232&gt;=BG232,0,IFERROR(BG232+SUMPRODUCT((AE$4:AE$503&gt;=BG$4:BG$503)*(AE$4:AE$503-BG$4:BG$503))/MAX(1,COUNTIF(AE$4:AE$503,"&lt;"&amp;BG232+0.01)),BG232))</f>
        <v>7704.85920380952</v>
      </c>
      <c r="BV232" s="92" t="n">
        <f aca="false">IF(AF232&gt;=BH232,0,IFERROR(BH232+SUMPRODUCT((AF$4:AF$503&gt;=BH$4:BH$503)*(AF$4:AF$503-BH$4:BH$503))/MAX(1,COUNTIF(AF$4:AF$503,"&lt;"&amp;BH232+0.01)),BH232))</f>
        <v>9942.6503831579</v>
      </c>
      <c r="BW232" s="92" t="n">
        <f aca="false">IF(AG232&gt;=BI232,0,IFERROR(BI232+SUMPRODUCT((AG$4:AG$503&gt;=BI$4:BI$503)*(AG$4:AG$503-BI$4:BI$503))/MAX(1,COUNTIF(AG$4:AG$503,"&lt;"&amp;BI232+0.01)),BI232))</f>
        <v>9142.15870461538</v>
      </c>
      <c r="BX232" s="92" t="n">
        <f aca="false">IF(AH232&gt;=BJ232,0,IFERROR(BJ232+SUMPRODUCT((AH$4:AH$503&gt;=BJ$4:BJ$503)*(AH$4:AH$503-BJ$4:BJ$503))/MAX(1,COUNTIF(AH$4:AH$503,"&lt;"&amp;BJ232+0.01)),BJ232))</f>
        <v>5621.50263448276</v>
      </c>
      <c r="BY232" s="92" t="n">
        <f aca="false">IF(AI232&gt;=BK232,0,IFERROR(BK232+SUMPRODUCT((AI$4:AI$503&gt;=BK$4:BK$503)*(AI$4:AI$503-BK$4:BK$503))/MAX(1,COUNTIF(AI$4:AI$503,"&lt;"&amp;BK232+0.01)),BK232))</f>
        <v>7878.25652380952</v>
      </c>
      <c r="BZ232" s="92" t="n">
        <f aca="false">IF(AJ232&gt;=BL232,0,IFERROR(BL232+SUMPRODUCT((AJ$4:AJ$503&gt;=BL$4:BL$503)*(AJ$4:AJ$503-BL$4:BL$503))/MAX(1,COUNTIF(AJ$4:AJ$503,"&lt;"&amp;BL232+0.01)),BL232))</f>
        <v>0</v>
      </c>
      <c r="CA232" s="92" t="n">
        <f aca="false">IF(AK232&gt;=BM232,0,IFERROR(BM232+SUMPRODUCT((AK$4:AK$503&gt;=BM$4:BM$503)*(AK$4:AK$503-BM$4:BM$503))/MAX(1,COUNTIF(AK$4:AK$503,"&lt;"&amp;BM232+0.01)),BM232))</f>
        <v>7314.89836842105</v>
      </c>
      <c r="CB232" s="93" t="n">
        <f aca="false">IF(AL232&gt;=BN232,0,IFERROR(BN232+SUMPRODUCT((AL$4:AL$503&gt;=BN$4:BN$503)*(AL$4:AL$503-BN$4:BN$503))/MAX(1,COUNTIF(AL$4:AL$503,"&lt;"&amp;BN232+0.01)),BN232))</f>
        <v>3597.2614925</v>
      </c>
      <c r="CC232" s="95" t="str">
        <f aca="false">IF(AO232="🟢","VERDE",IF(AO232="🟡","AMARELO",IF(AO232="🟠","VERMELHO",IF(AO232="🔴","VERMELHO","ROXO"))))</f>
        <v>VERMELHO</v>
      </c>
      <c r="CD232" s="96" t="s">
        <v>103</v>
      </c>
      <c r="CE232" s="96" t="s">
        <v>104</v>
      </c>
    </row>
    <row r="233" customFormat="false" ht="14.25" hidden="false" customHeight="true" outlineLevel="0" collapsed="false">
      <c r="A233" s="65" t="s">
        <v>600</v>
      </c>
      <c r="B233" s="66" t="s">
        <v>601</v>
      </c>
      <c r="C233" s="67" t="s">
        <v>123</v>
      </c>
      <c r="D233" s="68" t="s">
        <v>108</v>
      </c>
      <c r="E233" s="56" t="s">
        <v>20</v>
      </c>
      <c r="F233" s="70" t="n">
        <f aca="false">IFERROR(VLOOKUP(C233,$AS$3:$AT$10,2,FALSE()),IFERROR(VLOOKUP(C233,$AS$15:$AT$22,2,FALSE()),""))</f>
        <v>49</v>
      </c>
      <c r="G233" s="71" t="n">
        <f aca="false">IFERROR(VLOOKUP(C233,$AS$3:$AX$10,6,FALSE()),IFERROR(VLOOKUP(C233,$AS$15:$AX$22,6,FALSE()),""))</f>
        <v>0.436391353881959</v>
      </c>
      <c r="H233" s="72" t="str">
        <f aca="false">IFERROR(VLOOKUP(C233,$AS$3:$AY$10,7,FALSE()),IFERROR(VLOOKUP(C233,$AS$15:$AY$22,7,FALSE()),""))</f>
        <v>🟡 AMARELO</v>
      </c>
      <c r="I233" s="72" t="str">
        <f aca="false">IFERROR(VLOOKUP(C233,$AS$3:$AZ$10,8,FALSE()),IFERROR(VLOOKUP(C233,$AS$15:$AZ$22,8,FALSE()),""))</f>
        <v>Sell Out</v>
      </c>
      <c r="J233" s="73"/>
      <c r="K233" s="56" t="s">
        <v>20</v>
      </c>
      <c r="L233" s="74" t="n">
        <v>5058.01</v>
      </c>
      <c r="M233" s="75" t="n">
        <v>355.44</v>
      </c>
      <c r="N233" s="75" t="n">
        <v>371.42</v>
      </c>
      <c r="O233" s="75" t="n">
        <v>380.37</v>
      </c>
      <c r="P233" s="75" t="n">
        <v>390.28</v>
      </c>
      <c r="Q233" s="75" t="n">
        <v>403.07</v>
      </c>
      <c r="R233" s="75" t="n">
        <v>413.62</v>
      </c>
      <c r="S233" s="75" t="n">
        <v>429.6</v>
      </c>
      <c r="T233" s="75" t="n">
        <v>440.15</v>
      </c>
      <c r="U233" s="75" t="n">
        <v>450.06</v>
      </c>
      <c r="V233" s="75" t="n">
        <v>461.24</v>
      </c>
      <c r="W233" s="75" t="n">
        <v>473.39</v>
      </c>
      <c r="X233" s="76" t="n">
        <v>489.37</v>
      </c>
      <c r="Y233" s="77" t="s">
        <v>20</v>
      </c>
      <c r="Z233" s="78" t="n">
        <f aca="false">SUM(AA233:AL233)</f>
        <v>2180.46</v>
      </c>
      <c r="AA233" s="75"/>
      <c r="AB233" s="75"/>
      <c r="AC233" s="75"/>
      <c r="AD233" s="75"/>
      <c r="AE233" s="75" t="n">
        <v>2180.46</v>
      </c>
      <c r="AF233" s="75"/>
      <c r="AG233" s="75"/>
      <c r="AH233" s="75"/>
      <c r="AI233" s="75"/>
      <c r="AJ233" s="75"/>
      <c r="AK233" s="75"/>
      <c r="AL233" s="76"/>
      <c r="AM233" s="56" t="s">
        <v>20</v>
      </c>
      <c r="AN233" s="80" t="n">
        <f aca="false">IF(L233=0,0,Z233/L233)</f>
        <v>0.431090488156409</v>
      </c>
      <c r="AO233" s="81" t="str">
        <f aca="false">IF(AN233="","",IF(AN233&gt;=0.9,"🟢",IF(AN233&gt;=0.7,"🟡",IF(AN233&gt;=0.5,"🟠","🔴"))))</f>
        <v>🔴</v>
      </c>
      <c r="AP233" s="82" t="n">
        <f aca="false">IF(L233=0,0,L233-Z233)</f>
        <v>2877.55</v>
      </c>
      <c r="AQ233" s="83" t="n">
        <f aca="false">IF(AP233=0,"",RANK(AP233,AP$4:AP$503,0))</f>
        <v>217</v>
      </c>
      <c r="AR233" s="84" t="s">
        <v>20</v>
      </c>
      <c r="AS233" s="141"/>
      <c r="AT233" s="141"/>
      <c r="AU233" s="141"/>
      <c r="AV233" s="141"/>
      <c r="AW233" s="141"/>
      <c r="AX233" s="141"/>
      <c r="AY233" s="142"/>
      <c r="AZ233" s="142"/>
      <c r="BA233" s="56" t="s">
        <v>20</v>
      </c>
      <c r="BB233" s="91" t="n">
        <f aca="false">SUM(L$4:L$503)/COUNTA(A$4:A$503)</f>
        <v>9494.39992</v>
      </c>
      <c r="BC233" s="92" t="n">
        <f aca="false">SUM(M$4:M$503)/COUNTA(A$4:A$503)</f>
        <v>667.20008</v>
      </c>
      <c r="BD233" s="92" t="n">
        <f aca="false">SUM(N$4:N$503)/COUNTA(A$4:A$503)</f>
        <v>697.19996</v>
      </c>
      <c r="BE233" s="92" t="n">
        <f aca="false">SUM(O$4:O$503)/COUNTA(A$4:A$503)</f>
        <v>713.9999</v>
      </c>
      <c r="BF233" s="92" t="n">
        <f aca="false">SUM(P$4:P$503)/COUNTA(A$4:A$503)</f>
        <v>732.59984</v>
      </c>
      <c r="BG233" s="92" t="n">
        <f aca="false">SUM(Q$4:Q$503)/COUNTA(A$4:A$503)</f>
        <v>756.59992</v>
      </c>
      <c r="BH233" s="92" t="n">
        <f aca="false">SUM(R$4:R$503)/COUNTA(A$4:A$503)</f>
        <v>776.40004</v>
      </c>
      <c r="BI233" s="92" t="n">
        <f aca="false">SUM(S$4:S$503)/COUNTA(A$4:A$503)</f>
        <v>806.40012</v>
      </c>
      <c r="BJ233" s="92" t="n">
        <f aca="false">SUM(T$4:T$503)/COUNTA(A$4:A$503)</f>
        <v>826.1999</v>
      </c>
      <c r="BK233" s="92" t="n">
        <f aca="false">SUM(U$4:U$503)/COUNTA(A$4:A$503)</f>
        <v>844.8002</v>
      </c>
      <c r="BL233" s="92" t="n">
        <f aca="false">SUM(V$4:V$503)/COUNTA(A$4:A$503)</f>
        <v>865.7998</v>
      </c>
      <c r="BM233" s="92" t="n">
        <f aca="false">SUM(W$4:W$503)/COUNTA(A$4:A$503)</f>
        <v>888.59982</v>
      </c>
      <c r="BN233" s="93" t="n">
        <f aca="false">SUM(X$4:X$503)/COUNTA(A$4:A$503)</f>
        <v>918.60034</v>
      </c>
      <c r="BO233" s="94" t="s">
        <v>20</v>
      </c>
      <c r="BP233" s="91" t="n">
        <f aca="false">IF(Z233&gt;=BB233,0,IFERROR(BB233+(SUMPRODUCT((Z$4:Z$503&gt;=BB$4:BB$503)*(Z$4:Z$503-BB$4:BB$503))/MAX(1,COUNTIF(Z$4:Z$503,"&lt;"&amp;BB233+0.01))),BB233))</f>
        <v>10695.5432177778</v>
      </c>
      <c r="BQ233" s="92" t="n">
        <f aca="false">IF(AA233&gt;=BC233,0,IFERROR(BC233+SUMPRODUCT((AA$4:AA$503&gt;=BC$4:BC$503)*(AA$4:AA$503-BC$4:BC$503))/MAX(1,COUNTIF(AA$4:AA$503,"&lt;"&amp;BC233+0.01)),BC233))</f>
        <v>2238.46589176471</v>
      </c>
      <c r="BR233" s="92" t="n">
        <f aca="false">IF(AB233&gt;=BD233,0,IFERROR(BD233+SUMPRODUCT((AB$4:AB$503&gt;=BD$4:BD$503)*(AB$4:AB$503-BD$4:BD$503))/MAX(1,COUNTIF(AB$4:AB$503,"&lt;"&amp;BD233+0.01)),BD233))</f>
        <v>3335.2938</v>
      </c>
      <c r="BS233" s="92" t="n">
        <f aca="false">IF(AC233&gt;=BE233,0,IFERROR(BE233+SUMPRODUCT((AC$4:AC$503&gt;=BE$4:BE$503)*(AC$4:AC$503-BE$4:BE$503))/MAX(1,COUNTIF(AC$4:AC$503,"&lt;"&amp;BE233+0.01)),BE233))</f>
        <v>6188.73352</v>
      </c>
      <c r="BT233" s="92" t="n">
        <f aca="false">IF(AD233&gt;=BF233,0,IFERROR(BF233+SUMPRODUCT((AD$4:AD$503&gt;=BF$4:BF$503)*(AD$4:AD$503-BF$4:BF$503))/MAX(1,COUNTIF(AD$4:AD$503,"&lt;"&amp;BF233+0.01)),BF233))</f>
        <v>11354.35411</v>
      </c>
      <c r="BU233" s="92" t="n">
        <f aca="false">IF(AE233&gt;=BG233,0,IFERROR(BG233+SUMPRODUCT((AE$4:AE$503&gt;=BG$4:BG$503)*(AE$4:AE$503-BG$4:BG$503))/MAX(1,COUNTIF(AE$4:AE$503,"&lt;"&amp;BG233+0.01)),BG233))</f>
        <v>0</v>
      </c>
      <c r="BV233" s="92" t="n">
        <f aca="false">IF(AF233&gt;=BH233,0,IFERROR(BH233+SUMPRODUCT((AF$4:AF$503&gt;=BH$4:BH$503)*(AF$4:AF$503-BH$4:BH$503))/MAX(1,COUNTIF(AF$4:AF$503,"&lt;"&amp;BH233+0.01)),BH233))</f>
        <v>9942.6503831579</v>
      </c>
      <c r="BW233" s="92" t="n">
        <f aca="false">IF(AG233&gt;=BI233,0,IFERROR(BI233+SUMPRODUCT((AG$4:AG$503&gt;=BI$4:BI$503)*(AG$4:AG$503-BI$4:BI$503))/MAX(1,COUNTIF(AG$4:AG$503,"&lt;"&amp;BI233+0.01)),BI233))</f>
        <v>9142.15870461538</v>
      </c>
      <c r="BX233" s="92" t="n">
        <f aca="false">IF(AH233&gt;=BJ233,0,IFERROR(BJ233+SUMPRODUCT((AH$4:AH$503&gt;=BJ$4:BJ$503)*(AH$4:AH$503-BJ$4:BJ$503))/MAX(1,COUNTIF(AH$4:AH$503,"&lt;"&amp;BJ233+0.01)),BJ233))</f>
        <v>5621.50263448276</v>
      </c>
      <c r="BY233" s="92" t="n">
        <f aca="false">IF(AI233&gt;=BK233,0,IFERROR(BK233+SUMPRODUCT((AI$4:AI$503&gt;=BK$4:BK$503)*(AI$4:AI$503-BK$4:BK$503))/MAX(1,COUNTIF(AI$4:AI$503,"&lt;"&amp;BK233+0.01)),BK233))</f>
        <v>7878.25652380952</v>
      </c>
      <c r="BZ233" s="92" t="n">
        <f aca="false">IF(AJ233&gt;=BL233,0,IFERROR(BL233+SUMPRODUCT((AJ$4:AJ$503&gt;=BL$4:BL$503)*(AJ$4:AJ$503-BL$4:BL$503))/MAX(1,COUNTIF(AJ$4:AJ$503,"&lt;"&amp;BL233+0.01)),BL233))</f>
        <v>6710.03292307692</v>
      </c>
      <c r="CA233" s="92" t="n">
        <f aca="false">IF(AK233&gt;=BM233,0,IFERROR(BM233+SUMPRODUCT((AK$4:AK$503&gt;=BM$4:BM$503)*(AK$4:AK$503-BM$4:BM$503))/MAX(1,COUNTIF(AK$4:AK$503,"&lt;"&amp;BM233+0.01)),BM233))</f>
        <v>7314.89836842105</v>
      </c>
      <c r="CB233" s="93" t="n">
        <f aca="false">IF(AL233&gt;=BN233,0,IFERROR(BN233+SUMPRODUCT((AL$4:AL$503&gt;=BN$4:BN$503)*(AL$4:AL$503-BN$4:BN$503))/MAX(1,COUNTIF(AL$4:AL$503,"&lt;"&amp;BN233+0.01)),BN233))</f>
        <v>3597.2614925</v>
      </c>
      <c r="CC233" s="95" t="str">
        <f aca="false">IF(AO233="🟢","VERDE",IF(AO233="🟡","AMARELO",IF(AO233="🟠","VERMELHO",IF(AO233="🔴","VERMELHO","ROXO"))))</f>
        <v>VERMELHO</v>
      </c>
      <c r="CD233" s="96" t="s">
        <v>103</v>
      </c>
      <c r="CE233" s="96" t="s">
        <v>104</v>
      </c>
    </row>
    <row r="234" customFormat="false" ht="14.25" hidden="false" customHeight="true" outlineLevel="0" collapsed="false">
      <c r="A234" s="65" t="s">
        <v>602</v>
      </c>
      <c r="B234" s="66" t="s">
        <v>603</v>
      </c>
      <c r="C234" s="67" t="s">
        <v>113</v>
      </c>
      <c r="D234" s="68" t="s">
        <v>100</v>
      </c>
      <c r="E234" s="69" t="s">
        <v>114</v>
      </c>
      <c r="F234" s="70" t="n">
        <f aca="false">IFERROR(VLOOKUP(C234,$AS$3:$AT$10,2,FALSE()),IFERROR(VLOOKUP(C234,$AS$15:$AT$22,2,FALSE()),""))</f>
        <v>49</v>
      </c>
      <c r="G234" s="71" t="n">
        <f aca="false">IFERROR(VLOOKUP(C234,$AS$3:$AX$10,6,FALSE()),IFERROR(VLOOKUP(C234,$AS$15:$AX$22,6,FALSE()),""))</f>
        <v>0.463965086137302</v>
      </c>
      <c r="H234" s="72" t="str">
        <f aca="false">IFERROR(VLOOKUP(C234,$AS$3:$AY$10,7,FALSE()),IFERROR(VLOOKUP(C234,$AS$15:$AY$22,7,FALSE()),""))</f>
        <v>🟡 AMARELO</v>
      </c>
      <c r="I234" s="72" t="str">
        <f aca="false">IFERROR(VLOOKUP(C234,$AS$3:$AZ$10,8,FALSE()),IFERROR(VLOOKUP(C234,$AS$15:$AZ$22,8,FALSE()),""))</f>
        <v>Sell Out</v>
      </c>
      <c r="J234" s="73"/>
      <c r="K234" s="69" t="s">
        <v>113</v>
      </c>
      <c r="L234" s="74" t="n">
        <v>5053.75</v>
      </c>
      <c r="M234" s="75" t="n">
        <v>355.14</v>
      </c>
      <c r="N234" s="75" t="n">
        <v>371.11</v>
      </c>
      <c r="O234" s="75" t="n">
        <v>380.05</v>
      </c>
      <c r="P234" s="75" t="n">
        <v>389.95</v>
      </c>
      <c r="Q234" s="75" t="n">
        <v>402.73</v>
      </c>
      <c r="R234" s="75" t="n">
        <v>413.27</v>
      </c>
      <c r="S234" s="75" t="n">
        <v>429.24</v>
      </c>
      <c r="T234" s="75" t="n">
        <v>439.78</v>
      </c>
      <c r="U234" s="75" t="n">
        <v>449.68</v>
      </c>
      <c r="V234" s="75" t="n">
        <v>460.85</v>
      </c>
      <c r="W234" s="75" t="n">
        <v>472.99</v>
      </c>
      <c r="X234" s="76" t="n">
        <v>488.96</v>
      </c>
      <c r="Y234" s="77" t="s">
        <v>20</v>
      </c>
      <c r="Z234" s="78" t="n">
        <f aca="false">SUM(AA234:AL234)</f>
        <v>2314.17</v>
      </c>
      <c r="AA234" s="75"/>
      <c r="AB234" s="75"/>
      <c r="AC234" s="75"/>
      <c r="AD234" s="75"/>
      <c r="AE234" s="75"/>
      <c r="AF234" s="79" t="n">
        <v>2314.17</v>
      </c>
      <c r="AG234" s="75"/>
      <c r="AH234" s="75"/>
      <c r="AI234" s="75"/>
      <c r="AJ234" s="75"/>
      <c r="AK234" s="75"/>
      <c r="AL234" s="76"/>
      <c r="AM234" s="56" t="s">
        <v>20</v>
      </c>
      <c r="AN234" s="80" t="n">
        <f aca="false">IF(L234=0,0,Z234/L234)</f>
        <v>0.457911451892159</v>
      </c>
      <c r="AO234" s="81" t="str">
        <f aca="false">IF(AN234="","",IF(AN234&gt;=0.9,"🟢",IF(AN234&gt;=0.7,"🟡",IF(AN234&gt;=0.5,"🟠","🔴"))))</f>
        <v>🔴</v>
      </c>
      <c r="AP234" s="82" t="n">
        <f aca="false">IF(L234=0,0,L234-Z234)</f>
        <v>2739.58</v>
      </c>
      <c r="AQ234" s="83" t="n">
        <f aca="false">IF(AP234=0,"",RANK(AP234,AP$4:AP$503,0))</f>
        <v>223</v>
      </c>
      <c r="AR234" s="84" t="s">
        <v>20</v>
      </c>
      <c r="AS234" s="141"/>
      <c r="AT234" s="141"/>
      <c r="AU234" s="141"/>
      <c r="AV234" s="141"/>
      <c r="AW234" s="141"/>
      <c r="AX234" s="141"/>
      <c r="AY234" s="142"/>
      <c r="AZ234" s="142"/>
      <c r="BA234" s="56" t="s">
        <v>20</v>
      </c>
      <c r="BB234" s="91" t="n">
        <f aca="false">SUM(L$4:L$503)/COUNTA(A$4:A$503)</f>
        <v>9494.39992</v>
      </c>
      <c r="BC234" s="92" t="n">
        <f aca="false">SUM(M$4:M$503)/COUNTA(A$4:A$503)</f>
        <v>667.20008</v>
      </c>
      <c r="BD234" s="92" t="n">
        <f aca="false">SUM(N$4:N$503)/COUNTA(A$4:A$503)</f>
        <v>697.19996</v>
      </c>
      <c r="BE234" s="92" t="n">
        <f aca="false">SUM(O$4:O$503)/COUNTA(A$4:A$503)</f>
        <v>713.9999</v>
      </c>
      <c r="BF234" s="92" t="n">
        <f aca="false">SUM(P$4:P$503)/COUNTA(A$4:A$503)</f>
        <v>732.59984</v>
      </c>
      <c r="BG234" s="92" t="n">
        <f aca="false">SUM(Q$4:Q$503)/COUNTA(A$4:A$503)</f>
        <v>756.59992</v>
      </c>
      <c r="BH234" s="92" t="n">
        <f aca="false">SUM(R$4:R$503)/COUNTA(A$4:A$503)</f>
        <v>776.40004</v>
      </c>
      <c r="BI234" s="92" t="n">
        <f aca="false">SUM(S$4:S$503)/COUNTA(A$4:A$503)</f>
        <v>806.40012</v>
      </c>
      <c r="BJ234" s="92" t="n">
        <f aca="false">SUM(T$4:T$503)/COUNTA(A$4:A$503)</f>
        <v>826.1999</v>
      </c>
      <c r="BK234" s="92" t="n">
        <f aca="false">SUM(U$4:U$503)/COUNTA(A$4:A$503)</f>
        <v>844.8002</v>
      </c>
      <c r="BL234" s="92" t="n">
        <f aca="false">SUM(V$4:V$503)/COUNTA(A$4:A$503)</f>
        <v>865.7998</v>
      </c>
      <c r="BM234" s="92" t="n">
        <f aca="false">SUM(W$4:W$503)/COUNTA(A$4:A$503)</f>
        <v>888.59982</v>
      </c>
      <c r="BN234" s="93" t="n">
        <f aca="false">SUM(X$4:X$503)/COUNTA(A$4:A$503)</f>
        <v>918.60034</v>
      </c>
      <c r="BO234" s="94" t="s">
        <v>20</v>
      </c>
      <c r="BP234" s="91" t="n">
        <f aca="false">IF(Z234&gt;=BB234,0,IFERROR(BB234+(SUMPRODUCT((Z$4:Z$503&gt;=BB$4:BB$503)*(Z$4:Z$503-BB$4:BB$503))/MAX(1,COUNTIF(Z$4:Z$503,"&lt;"&amp;BB234+0.01))),BB234))</f>
        <v>10695.5432177778</v>
      </c>
      <c r="BQ234" s="92" t="n">
        <f aca="false">IF(AA234&gt;=BC234,0,IFERROR(BC234+SUMPRODUCT((AA$4:AA$503&gt;=BC$4:BC$503)*(AA$4:AA$503-BC$4:BC$503))/MAX(1,COUNTIF(AA$4:AA$503,"&lt;"&amp;BC234+0.01)),BC234))</f>
        <v>2238.46589176471</v>
      </c>
      <c r="BR234" s="92" t="n">
        <f aca="false">IF(AB234&gt;=BD234,0,IFERROR(BD234+SUMPRODUCT((AB$4:AB$503&gt;=BD$4:BD$503)*(AB$4:AB$503-BD$4:BD$503))/MAX(1,COUNTIF(AB$4:AB$503,"&lt;"&amp;BD234+0.01)),BD234))</f>
        <v>3335.2938</v>
      </c>
      <c r="BS234" s="92" t="n">
        <f aca="false">IF(AC234&gt;=BE234,0,IFERROR(BE234+SUMPRODUCT((AC$4:AC$503&gt;=BE$4:BE$503)*(AC$4:AC$503-BE$4:BE$503))/MAX(1,COUNTIF(AC$4:AC$503,"&lt;"&amp;BE234+0.01)),BE234))</f>
        <v>6188.73352</v>
      </c>
      <c r="BT234" s="92" t="n">
        <f aca="false">IF(AD234&gt;=BF234,0,IFERROR(BF234+SUMPRODUCT((AD$4:AD$503&gt;=BF$4:BF$503)*(AD$4:AD$503-BF$4:BF$503))/MAX(1,COUNTIF(AD$4:AD$503,"&lt;"&amp;BF234+0.01)),BF234))</f>
        <v>11354.35411</v>
      </c>
      <c r="BU234" s="92" t="n">
        <f aca="false">IF(AE234&gt;=BG234,0,IFERROR(BG234+SUMPRODUCT((AE$4:AE$503&gt;=BG$4:BG$503)*(AE$4:AE$503-BG$4:BG$503))/MAX(1,COUNTIF(AE$4:AE$503,"&lt;"&amp;BG234+0.01)),BG234))</f>
        <v>7704.85920380952</v>
      </c>
      <c r="BV234" s="92" t="n">
        <f aca="false">IF(AF234&gt;=BH234,0,IFERROR(BH234+SUMPRODUCT((AF$4:AF$503&gt;=BH$4:BH$503)*(AF$4:AF$503-BH$4:BH$503))/MAX(1,COUNTIF(AF$4:AF$503,"&lt;"&amp;BH234+0.01)),BH234))</f>
        <v>0</v>
      </c>
      <c r="BW234" s="92" t="n">
        <f aca="false">IF(AG234&gt;=BI234,0,IFERROR(BI234+SUMPRODUCT((AG$4:AG$503&gt;=BI$4:BI$503)*(AG$4:AG$503-BI$4:BI$503))/MAX(1,COUNTIF(AG$4:AG$503,"&lt;"&amp;BI234+0.01)),BI234))</f>
        <v>9142.15870461538</v>
      </c>
      <c r="BX234" s="92" t="n">
        <f aca="false">IF(AH234&gt;=BJ234,0,IFERROR(BJ234+SUMPRODUCT((AH$4:AH$503&gt;=BJ$4:BJ$503)*(AH$4:AH$503-BJ$4:BJ$503))/MAX(1,COUNTIF(AH$4:AH$503,"&lt;"&amp;BJ234+0.01)),BJ234))</f>
        <v>5621.50263448276</v>
      </c>
      <c r="BY234" s="92" t="n">
        <f aca="false">IF(AI234&gt;=BK234,0,IFERROR(BK234+SUMPRODUCT((AI$4:AI$503&gt;=BK$4:BK$503)*(AI$4:AI$503-BK$4:BK$503))/MAX(1,COUNTIF(AI$4:AI$503,"&lt;"&amp;BK234+0.01)),BK234))</f>
        <v>7878.25652380952</v>
      </c>
      <c r="BZ234" s="92" t="n">
        <f aca="false">IF(AJ234&gt;=BL234,0,IFERROR(BL234+SUMPRODUCT((AJ$4:AJ$503&gt;=BL$4:BL$503)*(AJ$4:AJ$503-BL$4:BL$503))/MAX(1,COUNTIF(AJ$4:AJ$503,"&lt;"&amp;BL234+0.01)),BL234))</f>
        <v>6710.03292307692</v>
      </c>
      <c r="CA234" s="92" t="n">
        <f aca="false">IF(AK234&gt;=BM234,0,IFERROR(BM234+SUMPRODUCT((AK$4:AK$503&gt;=BM$4:BM$503)*(AK$4:AK$503-BM$4:BM$503))/MAX(1,COUNTIF(AK$4:AK$503,"&lt;"&amp;BM234+0.01)),BM234))</f>
        <v>7314.89836842105</v>
      </c>
      <c r="CB234" s="93" t="n">
        <f aca="false">IF(AL234&gt;=BN234,0,IFERROR(BN234+SUMPRODUCT((AL$4:AL$503&gt;=BN$4:BN$503)*(AL$4:AL$503-BN$4:BN$503))/MAX(1,COUNTIF(AL$4:AL$503,"&lt;"&amp;BN234+0.01)),BN234))</f>
        <v>3597.2614925</v>
      </c>
      <c r="CC234" s="95" t="str">
        <f aca="false">IF(AO234="🟢","VERDE",IF(AO234="🟡","AMARELO",IF(AO234="🟠","VERMELHO",IF(AO234="🔴","VERMELHO","ROXO"))))</f>
        <v>VERMELHO</v>
      </c>
      <c r="CD234" s="96" t="s">
        <v>103</v>
      </c>
      <c r="CE234" s="96" t="s">
        <v>104</v>
      </c>
    </row>
    <row r="235" customFormat="false" ht="14.25" hidden="false" customHeight="true" outlineLevel="0" collapsed="false">
      <c r="A235" s="65" t="s">
        <v>604</v>
      </c>
      <c r="B235" s="66" t="s">
        <v>605</v>
      </c>
      <c r="C235" s="67" t="s">
        <v>107</v>
      </c>
      <c r="D235" s="68" t="s">
        <v>108</v>
      </c>
      <c r="E235" s="69" t="s">
        <v>109</v>
      </c>
      <c r="F235" s="70" t="n">
        <f aca="false">IFERROR(VLOOKUP(C235,$AS$3:$AT$10,2,FALSE()),IFERROR(VLOOKUP(C235,$AS$15:$AT$22,2,FALSE()),""))</f>
        <v>132</v>
      </c>
      <c r="G235" s="71" t="n">
        <f aca="false">IFERROR(VLOOKUP(C235,$AS$3:$AX$10,6,FALSE()),IFERROR(VLOOKUP(C235,$AS$15:$AX$22,6,FALSE()),""))</f>
        <v>0.468190175850689</v>
      </c>
      <c r="H235" s="72" t="str">
        <f aca="false">IFERROR(VLOOKUP(C235,$AS$3:$AY$10,7,FALSE()),IFERROR(VLOOKUP(C235,$AS$15:$AY$22,7,FALSE()),""))</f>
        <v>🟡 AMARELO</v>
      </c>
      <c r="I235" s="72" t="str">
        <f aca="false">IFERROR(VLOOKUP(C235,$AS$3:$AZ$10,8,FALSE()),IFERROR(VLOOKUP(C235,$AS$15:$AZ$22,8,FALSE()),""))</f>
        <v>Sell Out</v>
      </c>
      <c r="J235" s="73"/>
      <c r="K235" s="69" t="s">
        <v>107</v>
      </c>
      <c r="L235" s="74" t="n">
        <v>5049.29</v>
      </c>
      <c r="M235" s="75" t="n">
        <v>354.83</v>
      </c>
      <c r="N235" s="75" t="n">
        <v>370.78</v>
      </c>
      <c r="O235" s="75" t="n">
        <v>379.72</v>
      </c>
      <c r="P235" s="75" t="n">
        <v>389.61</v>
      </c>
      <c r="Q235" s="75" t="n">
        <v>402.37</v>
      </c>
      <c r="R235" s="75" t="n">
        <v>412.9</v>
      </c>
      <c r="S235" s="75" t="n">
        <v>428.86</v>
      </c>
      <c r="T235" s="75" t="n">
        <v>439.39</v>
      </c>
      <c r="U235" s="75" t="n">
        <v>449.28</v>
      </c>
      <c r="V235" s="75" t="n">
        <v>460.45</v>
      </c>
      <c r="W235" s="75" t="n">
        <v>472.57</v>
      </c>
      <c r="X235" s="76" t="n">
        <v>488.53</v>
      </c>
      <c r="Y235" s="77" t="s">
        <v>20</v>
      </c>
      <c r="Z235" s="78" t="n">
        <f aca="false">SUM(AA235:AL235)</f>
        <v>2323.95</v>
      </c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6" t="n">
        <v>2323.95</v>
      </c>
      <c r="AM235" s="56" t="s">
        <v>20</v>
      </c>
      <c r="AN235" s="80" t="n">
        <f aca="false">IF(L235=0,0,Z235/L235)</f>
        <v>0.46025282762527</v>
      </c>
      <c r="AO235" s="81" t="str">
        <f aca="false">IF(AN235="","",IF(AN235&gt;=0.9,"🟢",IF(AN235&gt;=0.7,"🟡",IF(AN235&gt;=0.5,"🟠","🔴"))))</f>
        <v>🔴</v>
      </c>
      <c r="AP235" s="82" t="n">
        <f aca="false">IF(L235=0,0,L235-Z235)</f>
        <v>2725.34</v>
      </c>
      <c r="AQ235" s="83" t="n">
        <f aca="false">IF(AP235=0,"",RANK(AP235,AP$4:AP$503,0))</f>
        <v>224</v>
      </c>
      <c r="AR235" s="84" t="s">
        <v>20</v>
      </c>
      <c r="AS235" s="141"/>
      <c r="AT235" s="141"/>
      <c r="AU235" s="141"/>
      <c r="AV235" s="141"/>
      <c r="AW235" s="141"/>
      <c r="AX235" s="141"/>
      <c r="AY235" s="142"/>
      <c r="AZ235" s="142"/>
      <c r="BA235" s="56" t="s">
        <v>20</v>
      </c>
      <c r="BB235" s="91" t="n">
        <f aca="false">SUM(L$4:L$503)/COUNTA(A$4:A$503)</f>
        <v>9494.39992</v>
      </c>
      <c r="BC235" s="92" t="n">
        <f aca="false">SUM(M$4:M$503)/COUNTA(A$4:A$503)</f>
        <v>667.20008</v>
      </c>
      <c r="BD235" s="92" t="n">
        <f aca="false">SUM(N$4:N$503)/COUNTA(A$4:A$503)</f>
        <v>697.19996</v>
      </c>
      <c r="BE235" s="92" t="n">
        <f aca="false">SUM(O$4:O$503)/COUNTA(A$4:A$503)</f>
        <v>713.9999</v>
      </c>
      <c r="BF235" s="92" t="n">
        <f aca="false">SUM(P$4:P$503)/COUNTA(A$4:A$503)</f>
        <v>732.59984</v>
      </c>
      <c r="BG235" s="92" t="n">
        <f aca="false">SUM(Q$4:Q$503)/COUNTA(A$4:A$503)</f>
        <v>756.59992</v>
      </c>
      <c r="BH235" s="92" t="n">
        <f aca="false">SUM(R$4:R$503)/COUNTA(A$4:A$503)</f>
        <v>776.40004</v>
      </c>
      <c r="BI235" s="92" t="n">
        <f aca="false">SUM(S$4:S$503)/COUNTA(A$4:A$503)</f>
        <v>806.40012</v>
      </c>
      <c r="BJ235" s="92" t="n">
        <f aca="false">SUM(T$4:T$503)/COUNTA(A$4:A$503)</f>
        <v>826.1999</v>
      </c>
      <c r="BK235" s="92" t="n">
        <f aca="false">SUM(U$4:U$503)/COUNTA(A$4:A$503)</f>
        <v>844.8002</v>
      </c>
      <c r="BL235" s="92" t="n">
        <f aca="false">SUM(V$4:V$503)/COUNTA(A$4:A$503)</f>
        <v>865.7998</v>
      </c>
      <c r="BM235" s="92" t="n">
        <f aca="false">SUM(W$4:W$503)/COUNTA(A$4:A$503)</f>
        <v>888.59982</v>
      </c>
      <c r="BN235" s="93" t="n">
        <f aca="false">SUM(X$4:X$503)/COUNTA(A$4:A$503)</f>
        <v>918.60034</v>
      </c>
      <c r="BO235" s="94" t="s">
        <v>20</v>
      </c>
      <c r="BP235" s="91" t="n">
        <f aca="false">IF(Z235&gt;=BB235,0,IFERROR(BB235+(SUMPRODUCT((Z$4:Z$503&gt;=BB$4:BB$503)*(Z$4:Z$503-BB$4:BB$503))/MAX(1,COUNTIF(Z$4:Z$503,"&lt;"&amp;BB235+0.01))),BB235))</f>
        <v>10695.5432177778</v>
      </c>
      <c r="BQ235" s="92" t="n">
        <f aca="false">IF(AA235&gt;=BC235,0,IFERROR(BC235+SUMPRODUCT((AA$4:AA$503&gt;=BC$4:BC$503)*(AA$4:AA$503-BC$4:BC$503))/MAX(1,COUNTIF(AA$4:AA$503,"&lt;"&amp;BC235+0.01)),BC235))</f>
        <v>2238.46589176471</v>
      </c>
      <c r="BR235" s="92" t="n">
        <f aca="false">IF(AB235&gt;=BD235,0,IFERROR(BD235+SUMPRODUCT((AB$4:AB$503&gt;=BD$4:BD$503)*(AB$4:AB$503-BD$4:BD$503))/MAX(1,COUNTIF(AB$4:AB$503,"&lt;"&amp;BD235+0.01)),BD235))</f>
        <v>3335.2938</v>
      </c>
      <c r="BS235" s="92" t="n">
        <f aca="false">IF(AC235&gt;=BE235,0,IFERROR(BE235+SUMPRODUCT((AC$4:AC$503&gt;=BE$4:BE$503)*(AC$4:AC$503-BE$4:BE$503))/MAX(1,COUNTIF(AC$4:AC$503,"&lt;"&amp;BE235+0.01)),BE235))</f>
        <v>6188.73352</v>
      </c>
      <c r="BT235" s="92" t="n">
        <f aca="false">IF(AD235&gt;=BF235,0,IFERROR(BF235+SUMPRODUCT((AD$4:AD$503&gt;=BF$4:BF$503)*(AD$4:AD$503-BF$4:BF$503))/MAX(1,COUNTIF(AD$4:AD$503,"&lt;"&amp;BF235+0.01)),BF235))</f>
        <v>11354.35411</v>
      </c>
      <c r="BU235" s="92" t="n">
        <f aca="false">IF(AE235&gt;=BG235,0,IFERROR(BG235+SUMPRODUCT((AE$4:AE$503&gt;=BG$4:BG$503)*(AE$4:AE$503-BG$4:BG$503))/MAX(1,COUNTIF(AE$4:AE$503,"&lt;"&amp;BG235+0.01)),BG235))</f>
        <v>7704.85920380952</v>
      </c>
      <c r="BV235" s="92" t="n">
        <f aca="false">IF(AF235&gt;=BH235,0,IFERROR(BH235+SUMPRODUCT((AF$4:AF$503&gt;=BH$4:BH$503)*(AF$4:AF$503-BH$4:BH$503))/MAX(1,COUNTIF(AF$4:AF$503,"&lt;"&amp;BH235+0.01)),BH235))</f>
        <v>9942.6503831579</v>
      </c>
      <c r="BW235" s="92" t="n">
        <f aca="false">IF(AG235&gt;=BI235,0,IFERROR(BI235+SUMPRODUCT((AG$4:AG$503&gt;=BI$4:BI$503)*(AG$4:AG$503-BI$4:BI$503))/MAX(1,COUNTIF(AG$4:AG$503,"&lt;"&amp;BI235+0.01)),BI235))</f>
        <v>9142.15870461538</v>
      </c>
      <c r="BX235" s="92" t="n">
        <f aca="false">IF(AH235&gt;=BJ235,0,IFERROR(BJ235+SUMPRODUCT((AH$4:AH$503&gt;=BJ$4:BJ$503)*(AH$4:AH$503-BJ$4:BJ$503))/MAX(1,COUNTIF(AH$4:AH$503,"&lt;"&amp;BJ235+0.01)),BJ235))</f>
        <v>5621.50263448276</v>
      </c>
      <c r="BY235" s="92" t="n">
        <f aca="false">IF(AI235&gt;=BK235,0,IFERROR(BK235+SUMPRODUCT((AI$4:AI$503&gt;=BK$4:BK$503)*(AI$4:AI$503-BK$4:BK$503))/MAX(1,COUNTIF(AI$4:AI$503,"&lt;"&amp;BK235+0.01)),BK235))</f>
        <v>7878.25652380952</v>
      </c>
      <c r="BZ235" s="92" t="n">
        <f aca="false">IF(AJ235&gt;=BL235,0,IFERROR(BL235+SUMPRODUCT((AJ$4:AJ$503&gt;=BL$4:BL$503)*(AJ$4:AJ$503-BL$4:BL$503))/MAX(1,COUNTIF(AJ$4:AJ$503,"&lt;"&amp;BL235+0.01)),BL235))</f>
        <v>6710.03292307692</v>
      </c>
      <c r="CA235" s="92" t="n">
        <f aca="false">IF(AK235&gt;=BM235,0,IFERROR(BM235+SUMPRODUCT((AK$4:AK$503&gt;=BM$4:BM$503)*(AK$4:AK$503-BM$4:BM$503))/MAX(1,COUNTIF(AK$4:AK$503,"&lt;"&amp;BM235+0.01)),BM235))</f>
        <v>7314.89836842105</v>
      </c>
      <c r="CB235" s="93" t="n">
        <f aca="false">IF(AL235&gt;=BN235,0,IFERROR(BN235+SUMPRODUCT((AL$4:AL$503&gt;=BN$4:BN$503)*(AL$4:AL$503-BN$4:BN$503))/MAX(1,COUNTIF(AL$4:AL$503,"&lt;"&amp;BN235+0.01)),BN235))</f>
        <v>0</v>
      </c>
      <c r="CC235" s="95" t="str">
        <f aca="false">IF(AO235="🟢","VERDE",IF(AO235="🟡","AMARELO",IF(AO235="🟠","VERMELHO",IF(AO235="🔴","VERMELHO","ROXO"))))</f>
        <v>VERMELHO</v>
      </c>
      <c r="CD235" s="96" t="s">
        <v>103</v>
      </c>
      <c r="CE235" s="96" t="s">
        <v>104</v>
      </c>
    </row>
    <row r="236" customFormat="false" ht="14.25" hidden="false" customHeight="true" outlineLevel="0" collapsed="false">
      <c r="A236" s="65" t="s">
        <v>606</v>
      </c>
      <c r="B236" s="66" t="s">
        <v>607</v>
      </c>
      <c r="C236" s="66" t="s">
        <v>102</v>
      </c>
      <c r="D236" s="68" t="s">
        <v>175</v>
      </c>
      <c r="E236" s="69" t="s">
        <v>139</v>
      </c>
      <c r="F236" s="70" t="n">
        <f aca="false">IFERROR(VLOOKUP(C236,$AS$3:$AT$10,2,FALSE()),IFERROR(VLOOKUP(C236,$AS$15:$AT$22,2,FALSE()),""))</f>
        <v>21</v>
      </c>
      <c r="G236" s="71" t="n">
        <f aca="false">IFERROR(VLOOKUP(C236,$AS$3:$AX$10,6,FALSE()),IFERROR(VLOOKUP(C236,$AS$15:$AX$22,6,FALSE()),""))</f>
        <v>0.491514556258592</v>
      </c>
      <c r="H236" s="72" t="str">
        <f aca="false">IFERROR(VLOOKUP(C236,$AS$3:$AY$10,7,FALSE()),IFERROR(VLOOKUP(C236,$AS$15:$AY$22,7,FALSE()),""))</f>
        <v>🟡 AMARELO</v>
      </c>
      <c r="I236" s="72" t="str">
        <f aca="false">IFERROR(VLOOKUP(C236,$AS$3:$AZ$10,8,FALSE()),IFERROR(VLOOKUP(C236,$AS$15:$AZ$22,8,FALSE()),""))</f>
        <v>Sell Out</v>
      </c>
      <c r="J236" s="73"/>
      <c r="K236" s="69" t="s">
        <v>107</v>
      </c>
      <c r="L236" s="74" t="n">
        <v>5034.28</v>
      </c>
      <c r="M236" s="75" t="n">
        <v>353.77</v>
      </c>
      <c r="N236" s="75" t="n">
        <v>369.68</v>
      </c>
      <c r="O236" s="75" t="n">
        <v>378.59</v>
      </c>
      <c r="P236" s="75" t="n">
        <v>388.45</v>
      </c>
      <c r="Q236" s="75" t="n">
        <v>401.18</v>
      </c>
      <c r="R236" s="75" t="n">
        <v>411.68</v>
      </c>
      <c r="S236" s="75" t="n">
        <v>427.58</v>
      </c>
      <c r="T236" s="75" t="n">
        <v>438.08</v>
      </c>
      <c r="U236" s="75" t="n">
        <v>447.94</v>
      </c>
      <c r="V236" s="75" t="n">
        <v>459.08</v>
      </c>
      <c r="W236" s="75" t="n">
        <v>471.17</v>
      </c>
      <c r="X236" s="76" t="n">
        <v>487.08</v>
      </c>
      <c r="Y236" s="77" t="s">
        <v>20</v>
      </c>
      <c r="Z236" s="78" t="n">
        <f aca="false">SUM(AA236:AL236)</f>
        <v>2029.15</v>
      </c>
      <c r="AA236" s="75"/>
      <c r="AB236" s="75"/>
      <c r="AC236" s="75"/>
      <c r="AD236" s="75"/>
      <c r="AE236" s="75"/>
      <c r="AF236" s="75"/>
      <c r="AG236" s="75"/>
      <c r="AH236" s="75"/>
      <c r="AI236" s="79" t="n">
        <v>658.76</v>
      </c>
      <c r="AJ236" s="75"/>
      <c r="AK236" s="79" t="n">
        <v>1370.39</v>
      </c>
      <c r="AL236" s="76"/>
      <c r="AM236" s="56" t="s">
        <v>20</v>
      </c>
      <c r="AN236" s="80" t="n">
        <f aca="false">IF(L236=0,0,Z236/L236)</f>
        <v>0.403066575557975</v>
      </c>
      <c r="AO236" s="81" t="str">
        <f aca="false">IF(AN236="","",IF(AN236&gt;=0.9,"🟢",IF(AN236&gt;=0.7,"🟡",IF(AN236&gt;=0.5,"🟠","🔴"))))</f>
        <v>🔴</v>
      </c>
      <c r="AP236" s="82" t="n">
        <f aca="false">IF(L236=0,0,L236-Z236)</f>
        <v>3005.13</v>
      </c>
      <c r="AQ236" s="83" t="n">
        <f aca="false">IF(AP236=0,"",RANK(AP236,AP$4:AP$503,0))</f>
        <v>211</v>
      </c>
      <c r="AR236" s="84" t="s">
        <v>20</v>
      </c>
      <c r="AS236" s="141"/>
      <c r="AT236" s="141"/>
      <c r="AU236" s="141"/>
      <c r="AV236" s="141"/>
      <c r="AW236" s="141"/>
      <c r="AX236" s="141"/>
      <c r="AY236" s="142"/>
      <c r="AZ236" s="142"/>
      <c r="BA236" s="56" t="s">
        <v>20</v>
      </c>
      <c r="BB236" s="91" t="n">
        <f aca="false">SUM(L$4:L$503)/COUNTA(A$4:A$503)</f>
        <v>9494.39992</v>
      </c>
      <c r="BC236" s="92" t="n">
        <f aca="false">SUM(M$4:M$503)/COUNTA(A$4:A$503)</f>
        <v>667.20008</v>
      </c>
      <c r="BD236" s="92" t="n">
        <f aca="false">SUM(N$4:N$503)/COUNTA(A$4:A$503)</f>
        <v>697.19996</v>
      </c>
      <c r="BE236" s="92" t="n">
        <f aca="false">SUM(O$4:O$503)/COUNTA(A$4:A$503)</f>
        <v>713.9999</v>
      </c>
      <c r="BF236" s="92" t="n">
        <f aca="false">SUM(P$4:P$503)/COUNTA(A$4:A$503)</f>
        <v>732.59984</v>
      </c>
      <c r="BG236" s="92" t="n">
        <f aca="false">SUM(Q$4:Q$503)/COUNTA(A$4:A$503)</f>
        <v>756.59992</v>
      </c>
      <c r="BH236" s="92" t="n">
        <f aca="false">SUM(R$4:R$503)/COUNTA(A$4:A$503)</f>
        <v>776.40004</v>
      </c>
      <c r="BI236" s="92" t="n">
        <f aca="false">SUM(S$4:S$503)/COUNTA(A$4:A$503)</f>
        <v>806.40012</v>
      </c>
      <c r="BJ236" s="92" t="n">
        <f aca="false">SUM(T$4:T$503)/COUNTA(A$4:A$503)</f>
        <v>826.1999</v>
      </c>
      <c r="BK236" s="92" t="n">
        <f aca="false">SUM(U$4:U$503)/COUNTA(A$4:A$503)</f>
        <v>844.8002</v>
      </c>
      <c r="BL236" s="92" t="n">
        <f aca="false">SUM(V$4:V$503)/COUNTA(A$4:A$503)</f>
        <v>865.7998</v>
      </c>
      <c r="BM236" s="92" t="n">
        <f aca="false">SUM(W$4:W$503)/COUNTA(A$4:A$503)</f>
        <v>888.59982</v>
      </c>
      <c r="BN236" s="93" t="n">
        <f aca="false">SUM(X$4:X$503)/COUNTA(A$4:A$503)</f>
        <v>918.60034</v>
      </c>
      <c r="BO236" s="94" t="s">
        <v>20</v>
      </c>
      <c r="BP236" s="91" t="n">
        <f aca="false">IF(Z236&gt;=BB236,0,IFERROR(BB236+(SUMPRODUCT((Z$4:Z$503&gt;=BB$4:BB$503)*(Z$4:Z$503-BB$4:BB$503))/MAX(1,COUNTIF(Z$4:Z$503,"&lt;"&amp;BB236+0.01))),BB236))</f>
        <v>10695.5432177778</v>
      </c>
      <c r="BQ236" s="92" t="n">
        <f aca="false">IF(AA236&gt;=BC236,0,IFERROR(BC236+SUMPRODUCT((AA$4:AA$503&gt;=BC$4:BC$503)*(AA$4:AA$503-BC$4:BC$503))/MAX(1,COUNTIF(AA$4:AA$503,"&lt;"&amp;BC236+0.01)),BC236))</f>
        <v>2238.46589176471</v>
      </c>
      <c r="BR236" s="92" t="n">
        <f aca="false">IF(AB236&gt;=BD236,0,IFERROR(BD236+SUMPRODUCT((AB$4:AB$503&gt;=BD$4:BD$503)*(AB$4:AB$503-BD$4:BD$503))/MAX(1,COUNTIF(AB$4:AB$503,"&lt;"&amp;BD236+0.01)),BD236))</f>
        <v>3335.2938</v>
      </c>
      <c r="BS236" s="92" t="n">
        <f aca="false">IF(AC236&gt;=BE236,0,IFERROR(BE236+SUMPRODUCT((AC$4:AC$503&gt;=BE$4:BE$503)*(AC$4:AC$503-BE$4:BE$503))/MAX(1,COUNTIF(AC$4:AC$503,"&lt;"&amp;BE236+0.01)),BE236))</f>
        <v>6188.73352</v>
      </c>
      <c r="BT236" s="92" t="n">
        <f aca="false">IF(AD236&gt;=BF236,0,IFERROR(BF236+SUMPRODUCT((AD$4:AD$503&gt;=BF$4:BF$503)*(AD$4:AD$503-BF$4:BF$503))/MAX(1,COUNTIF(AD$4:AD$503,"&lt;"&amp;BF236+0.01)),BF236))</f>
        <v>11354.35411</v>
      </c>
      <c r="BU236" s="92" t="n">
        <f aca="false">IF(AE236&gt;=BG236,0,IFERROR(BG236+SUMPRODUCT((AE$4:AE$503&gt;=BG$4:BG$503)*(AE$4:AE$503-BG$4:BG$503))/MAX(1,COUNTIF(AE$4:AE$503,"&lt;"&amp;BG236+0.01)),BG236))</f>
        <v>7704.85920380952</v>
      </c>
      <c r="BV236" s="92" t="n">
        <f aca="false">IF(AF236&gt;=BH236,0,IFERROR(BH236+SUMPRODUCT((AF$4:AF$503&gt;=BH$4:BH$503)*(AF$4:AF$503-BH$4:BH$503))/MAX(1,COUNTIF(AF$4:AF$503,"&lt;"&amp;BH236+0.01)),BH236))</f>
        <v>9942.6503831579</v>
      </c>
      <c r="BW236" s="92" t="n">
        <f aca="false">IF(AG236&gt;=BI236,0,IFERROR(BI236+SUMPRODUCT((AG$4:AG$503&gt;=BI$4:BI$503)*(AG$4:AG$503-BI$4:BI$503))/MAX(1,COUNTIF(AG$4:AG$503,"&lt;"&amp;BI236+0.01)),BI236))</f>
        <v>9142.15870461538</v>
      </c>
      <c r="BX236" s="92" t="n">
        <f aca="false">IF(AH236&gt;=BJ236,0,IFERROR(BJ236+SUMPRODUCT((AH$4:AH$503&gt;=BJ$4:BJ$503)*(AH$4:AH$503-BJ$4:BJ$503))/MAX(1,COUNTIF(AH$4:AH$503,"&lt;"&amp;BJ236+0.01)),BJ236))</f>
        <v>5621.50263448276</v>
      </c>
      <c r="BY236" s="92" t="n">
        <f aca="false">IF(AI236&gt;=BK236,0,IFERROR(BK236+SUMPRODUCT((AI$4:AI$503&gt;=BK$4:BK$503)*(AI$4:AI$503-BK$4:BK$503))/MAX(1,COUNTIF(AI$4:AI$503,"&lt;"&amp;BK236+0.01)),BK236))</f>
        <v>7878.25652380952</v>
      </c>
      <c r="BZ236" s="92" t="n">
        <f aca="false">IF(AJ236&gt;=BL236,0,IFERROR(BL236+SUMPRODUCT((AJ$4:AJ$503&gt;=BL$4:BL$503)*(AJ$4:AJ$503-BL$4:BL$503))/MAX(1,COUNTIF(AJ$4:AJ$503,"&lt;"&amp;BL236+0.01)),BL236))</f>
        <v>6710.03292307692</v>
      </c>
      <c r="CA236" s="92" t="n">
        <f aca="false">IF(AK236&gt;=BM236,0,IFERROR(BM236+SUMPRODUCT((AK$4:AK$503&gt;=BM$4:BM$503)*(AK$4:AK$503-BM$4:BM$503))/MAX(1,COUNTIF(AK$4:AK$503,"&lt;"&amp;BM236+0.01)),BM236))</f>
        <v>0</v>
      </c>
      <c r="CB236" s="93" t="n">
        <f aca="false">IF(AL236&gt;=BN236,0,IFERROR(BN236+SUMPRODUCT((AL$4:AL$503&gt;=BN$4:BN$503)*(AL$4:AL$503-BN$4:BN$503))/MAX(1,COUNTIF(AL$4:AL$503,"&lt;"&amp;BN236+0.01)),BN236))</f>
        <v>3597.2614925</v>
      </c>
      <c r="CC236" s="95" t="str">
        <f aca="false">IF(AO236="🟢","VERDE",IF(AO236="🟡","AMARELO",IF(AO236="🟠","VERMELHO",IF(AO236="🔴","VERMELHO","ROXO"))))</f>
        <v>VERMELHO</v>
      </c>
      <c r="CD236" s="96" t="s">
        <v>176</v>
      </c>
      <c r="CE236" s="96" t="s">
        <v>102</v>
      </c>
    </row>
    <row r="237" customFormat="false" ht="14.25" hidden="false" customHeight="true" outlineLevel="0" collapsed="false">
      <c r="A237" s="65" t="s">
        <v>608</v>
      </c>
      <c r="B237" s="66" t="s">
        <v>609</v>
      </c>
      <c r="C237" s="67" t="s">
        <v>118</v>
      </c>
      <c r="D237" s="68" t="s">
        <v>100</v>
      </c>
      <c r="E237" s="69" t="s">
        <v>119</v>
      </c>
      <c r="F237" s="70" t="n">
        <f aca="false">IFERROR(VLOOKUP(C237,$AS$3:$AT$10,2,FALSE()),IFERROR(VLOOKUP(C237,$AS$15:$AT$22,2,FALSE()),""))</f>
        <v>42</v>
      </c>
      <c r="G237" s="71" t="n">
        <f aca="false">IFERROR(VLOOKUP(C237,$AS$3:$AX$10,6,FALSE()),IFERROR(VLOOKUP(C237,$AS$15:$AX$22,6,FALSE()),""))</f>
        <v>0.424872083346704</v>
      </c>
      <c r="H237" s="72" t="str">
        <f aca="false">IFERROR(VLOOKUP(C237,$AS$3:$AY$10,7,FALSE()),IFERROR(VLOOKUP(C237,$AS$15:$AY$22,7,FALSE()),""))</f>
        <v>🟡 AMARELO</v>
      </c>
      <c r="I237" s="72" t="str">
        <f aca="false">IFERROR(VLOOKUP(C237,$AS$3:$AZ$10,8,FALSE()),IFERROR(VLOOKUP(C237,$AS$15:$AZ$22,8,FALSE()),""))</f>
        <v>Sell Out</v>
      </c>
      <c r="J237" s="73"/>
      <c r="K237" s="69" t="s">
        <v>118</v>
      </c>
      <c r="L237" s="74" t="n">
        <v>5011.85</v>
      </c>
      <c r="M237" s="75" t="n">
        <v>352.2</v>
      </c>
      <c r="N237" s="75" t="n">
        <v>368.03</v>
      </c>
      <c r="O237" s="75" t="n">
        <v>376.9</v>
      </c>
      <c r="P237" s="75" t="n">
        <v>386.72</v>
      </c>
      <c r="Q237" s="75" t="n">
        <v>399.39</v>
      </c>
      <c r="R237" s="75" t="n">
        <v>409.84</v>
      </c>
      <c r="S237" s="75" t="n">
        <v>425.68</v>
      </c>
      <c r="T237" s="75" t="n">
        <v>436.13</v>
      </c>
      <c r="U237" s="75" t="n">
        <v>445.95</v>
      </c>
      <c r="V237" s="75" t="n">
        <v>457.03</v>
      </c>
      <c r="W237" s="75" t="n">
        <v>469.07</v>
      </c>
      <c r="X237" s="76" t="n">
        <v>484.91</v>
      </c>
      <c r="Y237" s="77" t="s">
        <v>20</v>
      </c>
      <c r="Z237" s="78" t="n">
        <f aca="false">SUM(AA237:AL237)</f>
        <v>4031.04</v>
      </c>
      <c r="AA237" s="75"/>
      <c r="AB237" s="75"/>
      <c r="AC237" s="75"/>
      <c r="AD237" s="75"/>
      <c r="AE237" s="75"/>
      <c r="AF237" s="75"/>
      <c r="AG237" s="75"/>
      <c r="AH237" s="75"/>
      <c r="AI237" s="75" t="n">
        <v>2015.52</v>
      </c>
      <c r="AJ237" s="79" t="n">
        <v>2015.52</v>
      </c>
      <c r="AK237" s="75"/>
      <c r="AL237" s="76"/>
      <c r="AM237" s="56" t="s">
        <v>20</v>
      </c>
      <c r="AN237" s="80" t="n">
        <f aca="false">IF(L237=0,0,Z237/L237)</f>
        <v>0.804301804722807</v>
      </c>
      <c r="AO237" s="81" t="str">
        <f aca="false">IF(AN237="","",IF(AN237&gt;=0.9,"🟢",IF(AN237&gt;=0.7,"🟡",IF(AN237&gt;=0.5,"🟠","🔴"))))</f>
        <v>🟡</v>
      </c>
      <c r="AP237" s="82" t="n">
        <f aca="false">IF(L237=0,0,L237-Z237)</f>
        <v>980.81</v>
      </c>
      <c r="AQ237" s="83" t="n">
        <f aca="false">IF(AP237=0,"",RANK(AP237,AP$4:AP$503,0))</f>
        <v>392</v>
      </c>
      <c r="AR237" s="84" t="s">
        <v>20</v>
      </c>
      <c r="AS237" s="141"/>
      <c r="AT237" s="141"/>
      <c r="AU237" s="141"/>
      <c r="AV237" s="141"/>
      <c r="AW237" s="141"/>
      <c r="AX237" s="141"/>
      <c r="AY237" s="142"/>
      <c r="AZ237" s="142"/>
      <c r="BA237" s="56" t="s">
        <v>20</v>
      </c>
      <c r="BB237" s="91" t="n">
        <f aca="false">SUM(L$4:L$503)/COUNTA(A$4:A$503)</f>
        <v>9494.39992</v>
      </c>
      <c r="BC237" s="92" t="n">
        <f aca="false">SUM(M$4:M$503)/COUNTA(A$4:A$503)</f>
        <v>667.20008</v>
      </c>
      <c r="BD237" s="92" t="n">
        <f aca="false">SUM(N$4:N$503)/COUNTA(A$4:A$503)</f>
        <v>697.19996</v>
      </c>
      <c r="BE237" s="92" t="n">
        <f aca="false">SUM(O$4:O$503)/COUNTA(A$4:A$503)</f>
        <v>713.9999</v>
      </c>
      <c r="BF237" s="92" t="n">
        <f aca="false">SUM(P$4:P$503)/COUNTA(A$4:A$503)</f>
        <v>732.59984</v>
      </c>
      <c r="BG237" s="92" t="n">
        <f aca="false">SUM(Q$4:Q$503)/COUNTA(A$4:A$503)</f>
        <v>756.59992</v>
      </c>
      <c r="BH237" s="92" t="n">
        <f aca="false">SUM(R$4:R$503)/COUNTA(A$4:A$503)</f>
        <v>776.40004</v>
      </c>
      <c r="BI237" s="92" t="n">
        <f aca="false">SUM(S$4:S$503)/COUNTA(A$4:A$503)</f>
        <v>806.40012</v>
      </c>
      <c r="BJ237" s="92" t="n">
        <f aca="false">SUM(T$4:T$503)/COUNTA(A$4:A$503)</f>
        <v>826.1999</v>
      </c>
      <c r="BK237" s="92" t="n">
        <f aca="false">SUM(U$4:U$503)/COUNTA(A$4:A$503)</f>
        <v>844.8002</v>
      </c>
      <c r="BL237" s="92" t="n">
        <f aca="false">SUM(V$4:V$503)/COUNTA(A$4:A$503)</f>
        <v>865.7998</v>
      </c>
      <c r="BM237" s="92" t="n">
        <f aca="false">SUM(W$4:W$503)/COUNTA(A$4:A$503)</f>
        <v>888.59982</v>
      </c>
      <c r="BN237" s="93" t="n">
        <f aca="false">SUM(X$4:X$503)/COUNTA(A$4:A$503)</f>
        <v>918.60034</v>
      </c>
      <c r="BO237" s="94" t="s">
        <v>20</v>
      </c>
      <c r="BP237" s="91" t="n">
        <f aca="false">IF(Z237&gt;=BB237,0,IFERROR(BB237+(SUMPRODUCT((Z$4:Z$503&gt;=BB$4:BB$503)*(Z$4:Z$503-BB$4:BB$503))/MAX(1,COUNTIF(Z$4:Z$503,"&lt;"&amp;BB237+0.01))),BB237))</f>
        <v>10695.5432177778</v>
      </c>
      <c r="BQ237" s="92" t="n">
        <f aca="false">IF(AA237&gt;=BC237,0,IFERROR(BC237+SUMPRODUCT((AA$4:AA$503&gt;=BC$4:BC$503)*(AA$4:AA$503-BC$4:BC$503))/MAX(1,COUNTIF(AA$4:AA$503,"&lt;"&amp;BC237+0.01)),BC237))</f>
        <v>2238.46589176471</v>
      </c>
      <c r="BR237" s="92" t="n">
        <f aca="false">IF(AB237&gt;=BD237,0,IFERROR(BD237+SUMPRODUCT((AB$4:AB$503&gt;=BD$4:BD$503)*(AB$4:AB$503-BD$4:BD$503))/MAX(1,COUNTIF(AB$4:AB$503,"&lt;"&amp;BD237+0.01)),BD237))</f>
        <v>3335.2938</v>
      </c>
      <c r="BS237" s="92" t="n">
        <f aca="false">IF(AC237&gt;=BE237,0,IFERROR(BE237+SUMPRODUCT((AC$4:AC$503&gt;=BE$4:BE$503)*(AC$4:AC$503-BE$4:BE$503))/MAX(1,COUNTIF(AC$4:AC$503,"&lt;"&amp;BE237+0.01)),BE237))</f>
        <v>6188.73352</v>
      </c>
      <c r="BT237" s="92" t="n">
        <f aca="false">IF(AD237&gt;=BF237,0,IFERROR(BF237+SUMPRODUCT((AD$4:AD$503&gt;=BF$4:BF$503)*(AD$4:AD$503-BF$4:BF$503))/MAX(1,COUNTIF(AD$4:AD$503,"&lt;"&amp;BF237+0.01)),BF237))</f>
        <v>11354.35411</v>
      </c>
      <c r="BU237" s="92" t="n">
        <f aca="false">IF(AE237&gt;=BG237,0,IFERROR(BG237+SUMPRODUCT((AE$4:AE$503&gt;=BG$4:BG$503)*(AE$4:AE$503-BG$4:BG$503))/MAX(1,COUNTIF(AE$4:AE$503,"&lt;"&amp;BG237+0.01)),BG237))</f>
        <v>7704.85920380952</v>
      </c>
      <c r="BV237" s="92" t="n">
        <f aca="false">IF(AF237&gt;=BH237,0,IFERROR(BH237+SUMPRODUCT((AF$4:AF$503&gt;=BH$4:BH$503)*(AF$4:AF$503-BH$4:BH$503))/MAX(1,COUNTIF(AF$4:AF$503,"&lt;"&amp;BH237+0.01)),BH237))</f>
        <v>9942.6503831579</v>
      </c>
      <c r="BW237" s="92" t="n">
        <f aca="false">IF(AG237&gt;=BI237,0,IFERROR(BI237+SUMPRODUCT((AG$4:AG$503&gt;=BI$4:BI$503)*(AG$4:AG$503-BI$4:BI$503))/MAX(1,COUNTIF(AG$4:AG$503,"&lt;"&amp;BI237+0.01)),BI237))</f>
        <v>9142.15870461538</v>
      </c>
      <c r="BX237" s="92" t="n">
        <f aca="false">IF(AH237&gt;=BJ237,0,IFERROR(BJ237+SUMPRODUCT((AH$4:AH$503&gt;=BJ$4:BJ$503)*(AH$4:AH$503-BJ$4:BJ$503))/MAX(1,COUNTIF(AH$4:AH$503,"&lt;"&amp;BJ237+0.01)),BJ237))</f>
        <v>5621.50263448276</v>
      </c>
      <c r="BY237" s="92" t="n">
        <f aca="false">IF(AI237&gt;=BK237,0,IFERROR(BK237+SUMPRODUCT((AI$4:AI$503&gt;=BK$4:BK$503)*(AI$4:AI$503-BK$4:BK$503))/MAX(1,COUNTIF(AI$4:AI$503,"&lt;"&amp;BK237+0.01)),BK237))</f>
        <v>0</v>
      </c>
      <c r="BZ237" s="92" t="n">
        <f aca="false">IF(AJ237&gt;=BL237,0,IFERROR(BL237+SUMPRODUCT((AJ$4:AJ$503&gt;=BL$4:BL$503)*(AJ$4:AJ$503-BL$4:BL$503))/MAX(1,COUNTIF(AJ$4:AJ$503,"&lt;"&amp;BL237+0.01)),BL237))</f>
        <v>0</v>
      </c>
      <c r="CA237" s="92" t="n">
        <f aca="false">IF(AK237&gt;=BM237,0,IFERROR(BM237+SUMPRODUCT((AK$4:AK$503&gt;=BM$4:BM$503)*(AK$4:AK$503-BM$4:BM$503))/MAX(1,COUNTIF(AK$4:AK$503,"&lt;"&amp;BM237+0.01)),BM237))</f>
        <v>7314.89836842105</v>
      </c>
      <c r="CB237" s="93" t="n">
        <f aca="false">IF(AL237&gt;=BN237,0,IFERROR(BN237+SUMPRODUCT((AL$4:AL$503&gt;=BN$4:BN$503)*(AL$4:AL$503-BN$4:BN$503))/MAX(1,COUNTIF(AL$4:AL$503,"&lt;"&amp;BN237+0.01)),BN237))</f>
        <v>3597.2614925</v>
      </c>
      <c r="CC237" s="95" t="str">
        <f aca="false">IF(AO237="🟢","VERDE",IF(AO237="🟡","AMARELO",IF(AO237="🟠","VERMELHO",IF(AO237="🔴","VERMELHO","ROXO"))))</f>
        <v>AMARELO</v>
      </c>
      <c r="CD237" s="96" t="s">
        <v>103</v>
      </c>
      <c r="CE237" s="96" t="s">
        <v>104</v>
      </c>
    </row>
    <row r="238" customFormat="false" ht="14.25" hidden="false" customHeight="true" outlineLevel="0" collapsed="false">
      <c r="A238" s="65" t="s">
        <v>610</v>
      </c>
      <c r="B238" s="66" t="s">
        <v>611</v>
      </c>
      <c r="C238" s="67" t="s">
        <v>118</v>
      </c>
      <c r="D238" s="68" t="s">
        <v>100</v>
      </c>
      <c r="E238" s="69" t="s">
        <v>119</v>
      </c>
      <c r="F238" s="70" t="n">
        <f aca="false">IFERROR(VLOOKUP(C238,$AS$3:$AT$10,2,FALSE()),IFERROR(VLOOKUP(C238,$AS$15:$AT$22,2,FALSE()),""))</f>
        <v>42</v>
      </c>
      <c r="G238" s="71" t="n">
        <f aca="false">IFERROR(VLOOKUP(C238,$AS$3:$AX$10,6,FALSE()),IFERROR(VLOOKUP(C238,$AS$15:$AX$22,6,FALSE()),""))</f>
        <v>0.424872083346704</v>
      </c>
      <c r="H238" s="72" t="str">
        <f aca="false">IFERROR(VLOOKUP(C238,$AS$3:$AY$10,7,FALSE()),IFERROR(VLOOKUP(C238,$AS$15:$AY$22,7,FALSE()),""))</f>
        <v>🟡 AMARELO</v>
      </c>
      <c r="I238" s="72" t="str">
        <f aca="false">IFERROR(VLOOKUP(C238,$AS$3:$AZ$10,8,FALSE()),IFERROR(VLOOKUP(C238,$AS$15:$AZ$22,8,FALSE()),""))</f>
        <v>Sell Out</v>
      </c>
      <c r="J238" s="73"/>
      <c r="K238" s="69" t="s">
        <v>118</v>
      </c>
      <c r="L238" s="74" t="n">
        <v>5011.68</v>
      </c>
      <c r="M238" s="75" t="n">
        <v>352.19</v>
      </c>
      <c r="N238" s="75" t="n">
        <v>368.02</v>
      </c>
      <c r="O238" s="75" t="n">
        <v>376.89</v>
      </c>
      <c r="P238" s="75" t="n">
        <v>386.71</v>
      </c>
      <c r="Q238" s="75" t="n">
        <v>399.38</v>
      </c>
      <c r="R238" s="75" t="n">
        <v>409.83</v>
      </c>
      <c r="S238" s="75" t="n">
        <v>425.66</v>
      </c>
      <c r="T238" s="75" t="n">
        <v>436.11</v>
      </c>
      <c r="U238" s="75" t="n">
        <v>445.93</v>
      </c>
      <c r="V238" s="75" t="n">
        <v>457.02</v>
      </c>
      <c r="W238" s="75" t="n">
        <v>469.05</v>
      </c>
      <c r="X238" s="76" t="n">
        <v>484.89</v>
      </c>
      <c r="Y238" s="77" t="s">
        <v>20</v>
      </c>
      <c r="Z238" s="78" t="n">
        <f aca="false">SUM(AA238:AL238)</f>
        <v>2062.63</v>
      </c>
      <c r="AA238" s="75"/>
      <c r="AB238" s="75"/>
      <c r="AC238" s="75"/>
      <c r="AD238" s="75"/>
      <c r="AE238" s="75"/>
      <c r="AF238" s="75"/>
      <c r="AG238" s="79" t="n">
        <v>2062.63</v>
      </c>
      <c r="AH238" s="75"/>
      <c r="AI238" s="75"/>
      <c r="AJ238" s="75"/>
      <c r="AK238" s="75"/>
      <c r="AL238" s="76"/>
      <c r="AM238" s="56" t="s">
        <v>20</v>
      </c>
      <c r="AN238" s="80" t="n">
        <f aca="false">IF(L238=0,0,Z238/L238)</f>
        <v>0.411564585129138</v>
      </c>
      <c r="AO238" s="81" t="str">
        <f aca="false">IF(AN238="","",IF(AN238&gt;=0.9,"🟢",IF(AN238&gt;=0.7,"🟡",IF(AN238&gt;=0.5,"🟠","🔴"))))</f>
        <v>🔴</v>
      </c>
      <c r="AP238" s="82" t="n">
        <f aca="false">IF(L238=0,0,L238-Z238)</f>
        <v>2949.05</v>
      </c>
      <c r="AQ238" s="83" t="n">
        <f aca="false">IF(AP238=0,"",RANK(AP238,AP$4:AP$503,0))</f>
        <v>212</v>
      </c>
      <c r="AR238" s="84" t="s">
        <v>20</v>
      </c>
      <c r="AS238" s="141"/>
      <c r="AT238" s="141"/>
      <c r="AU238" s="141"/>
      <c r="AV238" s="141"/>
      <c r="AW238" s="141"/>
      <c r="AX238" s="141"/>
      <c r="AY238" s="142"/>
      <c r="AZ238" s="142"/>
      <c r="BA238" s="56" t="s">
        <v>20</v>
      </c>
      <c r="BB238" s="91" t="n">
        <f aca="false">SUM(L$4:L$503)/COUNTA(A$4:A$503)</f>
        <v>9494.39992</v>
      </c>
      <c r="BC238" s="92" t="n">
        <f aca="false">SUM(M$4:M$503)/COUNTA(A$4:A$503)</f>
        <v>667.20008</v>
      </c>
      <c r="BD238" s="92" t="n">
        <f aca="false">SUM(N$4:N$503)/COUNTA(A$4:A$503)</f>
        <v>697.19996</v>
      </c>
      <c r="BE238" s="92" t="n">
        <f aca="false">SUM(O$4:O$503)/COUNTA(A$4:A$503)</f>
        <v>713.9999</v>
      </c>
      <c r="BF238" s="92" t="n">
        <f aca="false">SUM(P$4:P$503)/COUNTA(A$4:A$503)</f>
        <v>732.59984</v>
      </c>
      <c r="BG238" s="92" t="n">
        <f aca="false">SUM(Q$4:Q$503)/COUNTA(A$4:A$503)</f>
        <v>756.59992</v>
      </c>
      <c r="BH238" s="92" t="n">
        <f aca="false">SUM(R$4:R$503)/COUNTA(A$4:A$503)</f>
        <v>776.40004</v>
      </c>
      <c r="BI238" s="92" t="n">
        <f aca="false">SUM(S$4:S$503)/COUNTA(A$4:A$503)</f>
        <v>806.40012</v>
      </c>
      <c r="BJ238" s="92" t="n">
        <f aca="false">SUM(T$4:T$503)/COUNTA(A$4:A$503)</f>
        <v>826.1999</v>
      </c>
      <c r="BK238" s="92" t="n">
        <f aca="false">SUM(U$4:U$503)/COUNTA(A$4:A$503)</f>
        <v>844.8002</v>
      </c>
      <c r="BL238" s="92" t="n">
        <f aca="false">SUM(V$4:V$503)/COUNTA(A$4:A$503)</f>
        <v>865.7998</v>
      </c>
      <c r="BM238" s="92" t="n">
        <f aca="false">SUM(W$4:W$503)/COUNTA(A$4:A$503)</f>
        <v>888.59982</v>
      </c>
      <c r="BN238" s="93" t="n">
        <f aca="false">SUM(X$4:X$503)/COUNTA(A$4:A$503)</f>
        <v>918.60034</v>
      </c>
      <c r="BO238" s="94" t="s">
        <v>20</v>
      </c>
      <c r="BP238" s="91" t="n">
        <f aca="false">IF(Z238&gt;=BB238,0,IFERROR(BB238+(SUMPRODUCT((Z$4:Z$503&gt;=BB$4:BB$503)*(Z$4:Z$503-BB$4:BB$503))/MAX(1,COUNTIF(Z$4:Z$503,"&lt;"&amp;BB238+0.01))),BB238))</f>
        <v>10695.5432177778</v>
      </c>
      <c r="BQ238" s="92" t="n">
        <f aca="false">IF(AA238&gt;=BC238,0,IFERROR(BC238+SUMPRODUCT((AA$4:AA$503&gt;=BC$4:BC$503)*(AA$4:AA$503-BC$4:BC$503))/MAX(1,COUNTIF(AA$4:AA$503,"&lt;"&amp;BC238+0.01)),BC238))</f>
        <v>2238.46589176471</v>
      </c>
      <c r="BR238" s="92" t="n">
        <f aca="false">IF(AB238&gt;=BD238,0,IFERROR(BD238+SUMPRODUCT((AB$4:AB$503&gt;=BD$4:BD$503)*(AB$4:AB$503-BD$4:BD$503))/MAX(1,COUNTIF(AB$4:AB$503,"&lt;"&amp;BD238+0.01)),BD238))</f>
        <v>3335.2938</v>
      </c>
      <c r="BS238" s="92" t="n">
        <f aca="false">IF(AC238&gt;=BE238,0,IFERROR(BE238+SUMPRODUCT((AC$4:AC$503&gt;=BE$4:BE$503)*(AC$4:AC$503-BE$4:BE$503))/MAX(1,COUNTIF(AC$4:AC$503,"&lt;"&amp;BE238+0.01)),BE238))</f>
        <v>6188.73352</v>
      </c>
      <c r="BT238" s="92" t="n">
        <f aca="false">IF(AD238&gt;=BF238,0,IFERROR(BF238+SUMPRODUCT((AD$4:AD$503&gt;=BF$4:BF$503)*(AD$4:AD$503-BF$4:BF$503))/MAX(1,COUNTIF(AD$4:AD$503,"&lt;"&amp;BF238+0.01)),BF238))</f>
        <v>11354.35411</v>
      </c>
      <c r="BU238" s="92" t="n">
        <f aca="false">IF(AE238&gt;=BG238,0,IFERROR(BG238+SUMPRODUCT((AE$4:AE$503&gt;=BG$4:BG$503)*(AE$4:AE$503-BG$4:BG$503))/MAX(1,COUNTIF(AE$4:AE$503,"&lt;"&amp;BG238+0.01)),BG238))</f>
        <v>7704.85920380952</v>
      </c>
      <c r="BV238" s="92" t="n">
        <f aca="false">IF(AF238&gt;=BH238,0,IFERROR(BH238+SUMPRODUCT((AF$4:AF$503&gt;=BH$4:BH$503)*(AF$4:AF$503-BH$4:BH$503))/MAX(1,COUNTIF(AF$4:AF$503,"&lt;"&amp;BH238+0.01)),BH238))</f>
        <v>9942.6503831579</v>
      </c>
      <c r="BW238" s="92" t="n">
        <f aca="false">IF(AG238&gt;=BI238,0,IFERROR(BI238+SUMPRODUCT((AG$4:AG$503&gt;=BI$4:BI$503)*(AG$4:AG$503-BI$4:BI$503))/MAX(1,COUNTIF(AG$4:AG$503,"&lt;"&amp;BI238+0.01)),BI238))</f>
        <v>0</v>
      </c>
      <c r="BX238" s="92" t="n">
        <f aca="false">IF(AH238&gt;=BJ238,0,IFERROR(BJ238+SUMPRODUCT((AH$4:AH$503&gt;=BJ$4:BJ$503)*(AH$4:AH$503-BJ$4:BJ$503))/MAX(1,COUNTIF(AH$4:AH$503,"&lt;"&amp;BJ238+0.01)),BJ238))</f>
        <v>5621.50263448276</v>
      </c>
      <c r="BY238" s="92" t="n">
        <f aca="false">IF(AI238&gt;=BK238,0,IFERROR(BK238+SUMPRODUCT((AI$4:AI$503&gt;=BK$4:BK$503)*(AI$4:AI$503-BK$4:BK$503))/MAX(1,COUNTIF(AI$4:AI$503,"&lt;"&amp;BK238+0.01)),BK238))</f>
        <v>7878.25652380952</v>
      </c>
      <c r="BZ238" s="92" t="n">
        <f aca="false">IF(AJ238&gt;=BL238,0,IFERROR(BL238+SUMPRODUCT((AJ$4:AJ$503&gt;=BL$4:BL$503)*(AJ$4:AJ$503-BL$4:BL$503))/MAX(1,COUNTIF(AJ$4:AJ$503,"&lt;"&amp;BL238+0.01)),BL238))</f>
        <v>6710.03292307692</v>
      </c>
      <c r="CA238" s="92" t="n">
        <f aca="false">IF(AK238&gt;=BM238,0,IFERROR(BM238+SUMPRODUCT((AK$4:AK$503&gt;=BM$4:BM$503)*(AK$4:AK$503-BM$4:BM$503))/MAX(1,COUNTIF(AK$4:AK$503,"&lt;"&amp;BM238+0.01)),BM238))</f>
        <v>7314.89836842105</v>
      </c>
      <c r="CB238" s="93" t="n">
        <f aca="false">IF(AL238&gt;=BN238,0,IFERROR(BN238+SUMPRODUCT((AL$4:AL$503&gt;=BN$4:BN$503)*(AL$4:AL$503-BN$4:BN$503))/MAX(1,COUNTIF(AL$4:AL$503,"&lt;"&amp;BN238+0.01)),BN238))</f>
        <v>3597.2614925</v>
      </c>
      <c r="CC238" s="95" t="str">
        <f aca="false">IF(AO238="🟢","VERDE",IF(AO238="🟡","AMARELO",IF(AO238="🟠","VERMELHO",IF(AO238="🔴","VERMELHO","ROXO"))))</f>
        <v>VERMELHO</v>
      </c>
      <c r="CD238" s="96" t="s">
        <v>103</v>
      </c>
      <c r="CE238" s="96" t="s">
        <v>104</v>
      </c>
    </row>
    <row r="239" customFormat="false" ht="14.25" hidden="false" customHeight="true" outlineLevel="0" collapsed="false">
      <c r="A239" s="65" t="s">
        <v>612</v>
      </c>
      <c r="B239" s="66" t="s">
        <v>613</v>
      </c>
      <c r="C239" s="67" t="s">
        <v>113</v>
      </c>
      <c r="D239" s="68" t="s">
        <v>100</v>
      </c>
      <c r="E239" s="69" t="s">
        <v>260</v>
      </c>
      <c r="F239" s="70" t="n">
        <f aca="false">IFERROR(VLOOKUP(C239,$AS$3:$AT$10,2,FALSE()),IFERROR(VLOOKUP(C239,$AS$15:$AT$22,2,FALSE()),""))</f>
        <v>49</v>
      </c>
      <c r="G239" s="71" t="n">
        <f aca="false">IFERROR(VLOOKUP(C239,$AS$3:$AX$10,6,FALSE()),IFERROR(VLOOKUP(C239,$AS$15:$AX$22,6,FALSE()),""))</f>
        <v>0.463965086137302</v>
      </c>
      <c r="H239" s="72" t="str">
        <f aca="false">IFERROR(VLOOKUP(C239,$AS$3:$AY$10,7,FALSE()),IFERROR(VLOOKUP(C239,$AS$15:$AY$22,7,FALSE()),""))</f>
        <v>🟡 AMARELO</v>
      </c>
      <c r="I239" s="72" t="str">
        <f aca="false">IFERROR(VLOOKUP(C239,$AS$3:$AZ$10,8,FALSE()),IFERROR(VLOOKUP(C239,$AS$15:$AZ$22,8,FALSE()),""))</f>
        <v>Sell Out</v>
      </c>
      <c r="J239" s="73"/>
      <c r="K239" s="69" t="s">
        <v>113</v>
      </c>
      <c r="L239" s="74" t="n">
        <v>4915.24</v>
      </c>
      <c r="M239" s="75" t="n">
        <v>345.41</v>
      </c>
      <c r="N239" s="75" t="n">
        <v>360.94</v>
      </c>
      <c r="O239" s="75" t="n">
        <v>369.64</v>
      </c>
      <c r="P239" s="75" t="n">
        <v>379.27</v>
      </c>
      <c r="Q239" s="75" t="n">
        <v>391.69</v>
      </c>
      <c r="R239" s="75" t="n">
        <v>401.94</v>
      </c>
      <c r="S239" s="75" t="n">
        <v>417.47</v>
      </c>
      <c r="T239" s="75" t="n">
        <v>427.72</v>
      </c>
      <c r="U239" s="75" t="n">
        <v>437.35</v>
      </c>
      <c r="V239" s="75" t="n">
        <v>448.22</v>
      </c>
      <c r="W239" s="75" t="n">
        <v>460.03</v>
      </c>
      <c r="X239" s="76" t="n">
        <v>475.56</v>
      </c>
      <c r="Y239" s="77" t="s">
        <v>20</v>
      </c>
      <c r="Z239" s="78" t="n">
        <f aca="false">SUM(AA239:AL239)</f>
        <v>1993.09</v>
      </c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107" t="n">
        <v>1993.09</v>
      </c>
      <c r="AM239" s="56" t="s">
        <v>20</v>
      </c>
      <c r="AN239" s="80" t="n">
        <f aca="false">IF(L239=0,0,Z239/L239)</f>
        <v>0.405491898666189</v>
      </c>
      <c r="AO239" s="81" t="str">
        <f aca="false">IF(AN239="","",IF(AN239&gt;=0.9,"🟢",IF(AN239&gt;=0.7,"🟡",IF(AN239&gt;=0.5,"🟠","🔴"))))</f>
        <v>🔴</v>
      </c>
      <c r="AP239" s="82" t="n">
        <f aca="false">IF(L239=0,0,L239-Z239)</f>
        <v>2922.15</v>
      </c>
      <c r="AQ239" s="83" t="n">
        <f aca="false">IF(AP239=0,"",RANK(AP239,AP$4:AP$503,0))</f>
        <v>215</v>
      </c>
      <c r="AR239" s="84" t="s">
        <v>20</v>
      </c>
      <c r="AS239" s="141"/>
      <c r="AT239" s="141"/>
      <c r="AU239" s="141"/>
      <c r="AV239" s="141"/>
      <c r="AW239" s="141"/>
      <c r="AX239" s="141"/>
      <c r="AY239" s="142"/>
      <c r="AZ239" s="142"/>
      <c r="BA239" s="56" t="s">
        <v>20</v>
      </c>
      <c r="BB239" s="91" t="n">
        <f aca="false">SUM(L$4:L$503)/COUNTA(A$4:A$503)</f>
        <v>9494.39992</v>
      </c>
      <c r="BC239" s="92" t="n">
        <f aca="false">SUM(M$4:M$503)/COUNTA(A$4:A$503)</f>
        <v>667.20008</v>
      </c>
      <c r="BD239" s="92" t="n">
        <f aca="false">SUM(N$4:N$503)/COUNTA(A$4:A$503)</f>
        <v>697.19996</v>
      </c>
      <c r="BE239" s="92" t="n">
        <f aca="false">SUM(O$4:O$503)/COUNTA(A$4:A$503)</f>
        <v>713.9999</v>
      </c>
      <c r="BF239" s="92" t="n">
        <f aca="false">SUM(P$4:P$503)/COUNTA(A$4:A$503)</f>
        <v>732.59984</v>
      </c>
      <c r="BG239" s="92" t="n">
        <f aca="false">SUM(Q$4:Q$503)/COUNTA(A$4:A$503)</f>
        <v>756.59992</v>
      </c>
      <c r="BH239" s="92" t="n">
        <f aca="false">SUM(R$4:R$503)/COUNTA(A$4:A$503)</f>
        <v>776.40004</v>
      </c>
      <c r="BI239" s="92" t="n">
        <f aca="false">SUM(S$4:S$503)/COUNTA(A$4:A$503)</f>
        <v>806.40012</v>
      </c>
      <c r="BJ239" s="92" t="n">
        <f aca="false">SUM(T$4:T$503)/COUNTA(A$4:A$503)</f>
        <v>826.1999</v>
      </c>
      <c r="BK239" s="92" t="n">
        <f aca="false">SUM(U$4:U$503)/COUNTA(A$4:A$503)</f>
        <v>844.8002</v>
      </c>
      <c r="BL239" s="92" t="n">
        <f aca="false">SUM(V$4:V$503)/COUNTA(A$4:A$503)</f>
        <v>865.7998</v>
      </c>
      <c r="BM239" s="92" t="n">
        <f aca="false">SUM(W$4:W$503)/COUNTA(A$4:A$503)</f>
        <v>888.59982</v>
      </c>
      <c r="BN239" s="93" t="n">
        <f aca="false">SUM(X$4:X$503)/COUNTA(A$4:A$503)</f>
        <v>918.60034</v>
      </c>
      <c r="BO239" s="94" t="s">
        <v>20</v>
      </c>
      <c r="BP239" s="91" t="n">
        <f aca="false">IF(Z239&gt;=BB239,0,IFERROR(BB239+(SUMPRODUCT((Z$4:Z$503&gt;=BB$4:BB$503)*(Z$4:Z$503-BB$4:BB$503))/MAX(1,COUNTIF(Z$4:Z$503,"&lt;"&amp;BB239+0.01))),BB239))</f>
        <v>10695.5432177778</v>
      </c>
      <c r="BQ239" s="92" t="n">
        <f aca="false">IF(AA239&gt;=BC239,0,IFERROR(BC239+SUMPRODUCT((AA$4:AA$503&gt;=BC$4:BC$503)*(AA$4:AA$503-BC$4:BC$503))/MAX(1,COUNTIF(AA$4:AA$503,"&lt;"&amp;BC239+0.01)),BC239))</f>
        <v>2238.46589176471</v>
      </c>
      <c r="BR239" s="92" t="n">
        <f aca="false">IF(AB239&gt;=BD239,0,IFERROR(BD239+SUMPRODUCT((AB$4:AB$503&gt;=BD$4:BD$503)*(AB$4:AB$503-BD$4:BD$503))/MAX(1,COUNTIF(AB$4:AB$503,"&lt;"&amp;BD239+0.01)),BD239))</f>
        <v>3335.2938</v>
      </c>
      <c r="BS239" s="92" t="n">
        <f aca="false">IF(AC239&gt;=BE239,0,IFERROR(BE239+SUMPRODUCT((AC$4:AC$503&gt;=BE$4:BE$503)*(AC$4:AC$503-BE$4:BE$503))/MAX(1,COUNTIF(AC$4:AC$503,"&lt;"&amp;BE239+0.01)),BE239))</f>
        <v>6188.73352</v>
      </c>
      <c r="BT239" s="92" t="n">
        <f aca="false">IF(AD239&gt;=BF239,0,IFERROR(BF239+SUMPRODUCT((AD$4:AD$503&gt;=BF$4:BF$503)*(AD$4:AD$503-BF$4:BF$503))/MAX(1,COUNTIF(AD$4:AD$503,"&lt;"&amp;BF239+0.01)),BF239))</f>
        <v>11354.35411</v>
      </c>
      <c r="BU239" s="92" t="n">
        <f aca="false">IF(AE239&gt;=BG239,0,IFERROR(BG239+SUMPRODUCT((AE$4:AE$503&gt;=BG$4:BG$503)*(AE$4:AE$503-BG$4:BG$503))/MAX(1,COUNTIF(AE$4:AE$503,"&lt;"&amp;BG239+0.01)),BG239))</f>
        <v>7704.85920380952</v>
      </c>
      <c r="BV239" s="92" t="n">
        <f aca="false">IF(AF239&gt;=BH239,0,IFERROR(BH239+SUMPRODUCT((AF$4:AF$503&gt;=BH$4:BH$503)*(AF$4:AF$503-BH$4:BH$503))/MAX(1,COUNTIF(AF$4:AF$503,"&lt;"&amp;BH239+0.01)),BH239))</f>
        <v>9942.6503831579</v>
      </c>
      <c r="BW239" s="92" t="n">
        <f aca="false">IF(AG239&gt;=BI239,0,IFERROR(BI239+SUMPRODUCT((AG$4:AG$503&gt;=BI$4:BI$503)*(AG$4:AG$503-BI$4:BI$503))/MAX(1,COUNTIF(AG$4:AG$503,"&lt;"&amp;BI239+0.01)),BI239))</f>
        <v>9142.15870461538</v>
      </c>
      <c r="BX239" s="92" t="n">
        <f aca="false">IF(AH239&gt;=BJ239,0,IFERROR(BJ239+SUMPRODUCT((AH$4:AH$503&gt;=BJ$4:BJ$503)*(AH$4:AH$503-BJ$4:BJ$503))/MAX(1,COUNTIF(AH$4:AH$503,"&lt;"&amp;BJ239+0.01)),BJ239))</f>
        <v>5621.50263448276</v>
      </c>
      <c r="BY239" s="92" t="n">
        <f aca="false">IF(AI239&gt;=BK239,0,IFERROR(BK239+SUMPRODUCT((AI$4:AI$503&gt;=BK$4:BK$503)*(AI$4:AI$503-BK$4:BK$503))/MAX(1,COUNTIF(AI$4:AI$503,"&lt;"&amp;BK239+0.01)),BK239))</f>
        <v>7878.25652380952</v>
      </c>
      <c r="BZ239" s="92" t="n">
        <f aca="false">IF(AJ239&gt;=BL239,0,IFERROR(BL239+SUMPRODUCT((AJ$4:AJ$503&gt;=BL$4:BL$503)*(AJ$4:AJ$503-BL$4:BL$503))/MAX(1,COUNTIF(AJ$4:AJ$503,"&lt;"&amp;BL239+0.01)),BL239))</f>
        <v>6710.03292307692</v>
      </c>
      <c r="CA239" s="92" t="n">
        <f aca="false">IF(AK239&gt;=BM239,0,IFERROR(BM239+SUMPRODUCT((AK$4:AK$503&gt;=BM$4:BM$503)*(AK$4:AK$503-BM$4:BM$503))/MAX(1,COUNTIF(AK$4:AK$503,"&lt;"&amp;BM239+0.01)),BM239))</f>
        <v>7314.89836842105</v>
      </c>
      <c r="CB239" s="93" t="n">
        <f aca="false">IF(AL239&gt;=BN239,0,IFERROR(BN239+SUMPRODUCT((AL$4:AL$503&gt;=BN$4:BN$503)*(AL$4:AL$503-BN$4:BN$503))/MAX(1,COUNTIF(AL$4:AL$503,"&lt;"&amp;BN239+0.01)),BN239))</f>
        <v>0</v>
      </c>
      <c r="CC239" s="95" t="str">
        <f aca="false">IF(AO239="🟢","VERDE",IF(AO239="🟡","AMARELO",IF(AO239="🟠","VERMELHO",IF(AO239="🔴","VERMELHO","ROXO"))))</f>
        <v>VERMELHO</v>
      </c>
      <c r="CD239" s="96" t="s">
        <v>103</v>
      </c>
      <c r="CE239" s="96" t="s">
        <v>104</v>
      </c>
    </row>
    <row r="240" customFormat="false" ht="14.25" hidden="false" customHeight="true" outlineLevel="0" collapsed="false">
      <c r="A240" s="65" t="s">
        <v>614</v>
      </c>
      <c r="B240" s="66" t="s">
        <v>615</v>
      </c>
      <c r="C240" s="66" t="s">
        <v>115</v>
      </c>
      <c r="D240" s="68" t="s">
        <v>184</v>
      </c>
      <c r="E240" s="69" t="s">
        <v>109</v>
      </c>
      <c r="F240" s="70" t="n">
        <f aca="false">IFERROR(VLOOKUP(C240,$AS$3:$AT$10,2,FALSE()),IFERROR(VLOOKUP(C240,$AS$15:$AT$22,2,FALSE()),""))</f>
        <v>25</v>
      </c>
      <c r="G240" s="71" t="n">
        <f aca="false">IFERROR(VLOOKUP(C240,$AS$3:$AX$10,6,FALSE()),IFERROR(VLOOKUP(C240,$AS$15:$AX$22,6,FALSE()),""))</f>
        <v>0.536751750851081</v>
      </c>
      <c r="H240" s="72" t="str">
        <f aca="false">IFERROR(VLOOKUP(C240,$AS$3:$AY$10,7,FALSE()),IFERROR(VLOOKUP(C240,$AS$15:$AY$22,7,FALSE()),""))</f>
        <v>🟡 AMARELO</v>
      </c>
      <c r="I240" s="72" t="str">
        <f aca="false">IFERROR(VLOOKUP(C240,$AS$3:$AZ$10,8,FALSE()),IFERROR(VLOOKUP(C240,$AS$15:$AZ$22,8,FALSE()),""))</f>
        <v>Sell Out</v>
      </c>
      <c r="J240" s="73"/>
      <c r="K240" s="69" t="s">
        <v>107</v>
      </c>
      <c r="L240" s="74" t="n">
        <v>4908.66</v>
      </c>
      <c r="M240" s="75" t="n">
        <v>344.95</v>
      </c>
      <c r="N240" s="75" t="n">
        <v>360.46</v>
      </c>
      <c r="O240" s="75" t="n">
        <v>369.14</v>
      </c>
      <c r="P240" s="75" t="n">
        <v>378.76</v>
      </c>
      <c r="Q240" s="75" t="n">
        <v>391.17</v>
      </c>
      <c r="R240" s="75" t="n">
        <v>401.4</v>
      </c>
      <c r="S240" s="75" t="n">
        <v>416.91</v>
      </c>
      <c r="T240" s="75" t="n">
        <v>427.15</v>
      </c>
      <c r="U240" s="75" t="n">
        <v>436.77</v>
      </c>
      <c r="V240" s="75" t="n">
        <v>447.62</v>
      </c>
      <c r="W240" s="75" t="n">
        <v>459.41</v>
      </c>
      <c r="X240" s="76" t="n">
        <v>474.92</v>
      </c>
      <c r="Y240" s="77" t="s">
        <v>20</v>
      </c>
      <c r="Z240" s="78" t="n">
        <f aca="false">SUM(AA240:AL240)</f>
        <v>1974.02</v>
      </c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9" t="n">
        <v>1974.02</v>
      </c>
      <c r="AL240" s="76"/>
      <c r="AM240" s="56" t="s">
        <v>20</v>
      </c>
      <c r="AN240" s="80" t="n">
        <f aca="false">IF(L240=0,0,Z240/L240)</f>
        <v>0.402150485061096</v>
      </c>
      <c r="AO240" s="81" t="str">
        <f aca="false">IF(AN240="","",IF(AN240&gt;=0.9,"🟢",IF(AN240&gt;=0.7,"🟡",IF(AN240&gt;=0.5,"🟠","🔴"))))</f>
        <v>🔴</v>
      </c>
      <c r="AP240" s="82" t="n">
        <f aca="false">IF(L240=0,0,L240-Z240)</f>
        <v>2934.64</v>
      </c>
      <c r="AQ240" s="83" t="n">
        <f aca="false">IF(AP240=0,"",RANK(AP240,AP$4:AP$503,0))</f>
        <v>214</v>
      </c>
      <c r="AR240" s="84" t="s">
        <v>20</v>
      </c>
      <c r="AS240" s="141"/>
      <c r="AT240" s="141"/>
      <c r="AU240" s="141"/>
      <c r="AV240" s="141"/>
      <c r="AW240" s="141"/>
      <c r="AX240" s="141"/>
      <c r="AY240" s="142"/>
      <c r="AZ240" s="142"/>
      <c r="BA240" s="56" t="s">
        <v>20</v>
      </c>
      <c r="BB240" s="91" t="n">
        <f aca="false">SUM(L$4:L$503)/COUNTA(A$4:A$503)</f>
        <v>9494.39992</v>
      </c>
      <c r="BC240" s="92" t="n">
        <f aca="false">SUM(M$4:M$503)/COUNTA(A$4:A$503)</f>
        <v>667.20008</v>
      </c>
      <c r="BD240" s="92" t="n">
        <f aca="false">SUM(N$4:N$503)/COUNTA(A$4:A$503)</f>
        <v>697.19996</v>
      </c>
      <c r="BE240" s="92" t="n">
        <f aca="false">SUM(O$4:O$503)/COUNTA(A$4:A$503)</f>
        <v>713.9999</v>
      </c>
      <c r="BF240" s="92" t="n">
        <f aca="false">SUM(P$4:P$503)/COUNTA(A$4:A$503)</f>
        <v>732.59984</v>
      </c>
      <c r="BG240" s="92" t="n">
        <f aca="false">SUM(Q$4:Q$503)/COUNTA(A$4:A$503)</f>
        <v>756.59992</v>
      </c>
      <c r="BH240" s="92" t="n">
        <f aca="false">SUM(R$4:R$503)/COUNTA(A$4:A$503)</f>
        <v>776.40004</v>
      </c>
      <c r="BI240" s="92" t="n">
        <f aca="false">SUM(S$4:S$503)/COUNTA(A$4:A$503)</f>
        <v>806.40012</v>
      </c>
      <c r="BJ240" s="92" t="n">
        <f aca="false">SUM(T$4:T$503)/COUNTA(A$4:A$503)</f>
        <v>826.1999</v>
      </c>
      <c r="BK240" s="92" t="n">
        <f aca="false">SUM(U$4:U$503)/COUNTA(A$4:A$503)</f>
        <v>844.8002</v>
      </c>
      <c r="BL240" s="92" t="n">
        <f aca="false">SUM(V$4:V$503)/COUNTA(A$4:A$503)</f>
        <v>865.7998</v>
      </c>
      <c r="BM240" s="92" t="n">
        <f aca="false">SUM(W$4:W$503)/COUNTA(A$4:A$503)</f>
        <v>888.59982</v>
      </c>
      <c r="BN240" s="93" t="n">
        <f aca="false">SUM(X$4:X$503)/COUNTA(A$4:A$503)</f>
        <v>918.60034</v>
      </c>
      <c r="BO240" s="94" t="s">
        <v>20</v>
      </c>
      <c r="BP240" s="91" t="n">
        <f aca="false">IF(Z240&gt;=BB240,0,IFERROR(BB240+(SUMPRODUCT((Z$4:Z$503&gt;=BB$4:BB$503)*(Z$4:Z$503-BB$4:BB$503))/MAX(1,COUNTIF(Z$4:Z$503,"&lt;"&amp;BB240+0.01))),BB240))</f>
        <v>10695.5432177778</v>
      </c>
      <c r="BQ240" s="92" t="n">
        <f aca="false">IF(AA240&gt;=BC240,0,IFERROR(BC240+SUMPRODUCT((AA$4:AA$503&gt;=BC$4:BC$503)*(AA$4:AA$503-BC$4:BC$503))/MAX(1,COUNTIF(AA$4:AA$503,"&lt;"&amp;BC240+0.01)),BC240))</f>
        <v>2238.46589176471</v>
      </c>
      <c r="BR240" s="92" t="n">
        <f aca="false">IF(AB240&gt;=BD240,0,IFERROR(BD240+SUMPRODUCT((AB$4:AB$503&gt;=BD$4:BD$503)*(AB$4:AB$503-BD$4:BD$503))/MAX(1,COUNTIF(AB$4:AB$503,"&lt;"&amp;BD240+0.01)),BD240))</f>
        <v>3335.2938</v>
      </c>
      <c r="BS240" s="92" t="n">
        <f aca="false">IF(AC240&gt;=BE240,0,IFERROR(BE240+SUMPRODUCT((AC$4:AC$503&gt;=BE$4:BE$503)*(AC$4:AC$503-BE$4:BE$503))/MAX(1,COUNTIF(AC$4:AC$503,"&lt;"&amp;BE240+0.01)),BE240))</f>
        <v>6188.73352</v>
      </c>
      <c r="BT240" s="92" t="n">
        <f aca="false">IF(AD240&gt;=BF240,0,IFERROR(BF240+SUMPRODUCT((AD$4:AD$503&gt;=BF$4:BF$503)*(AD$4:AD$503-BF$4:BF$503))/MAX(1,COUNTIF(AD$4:AD$503,"&lt;"&amp;BF240+0.01)),BF240))</f>
        <v>11354.35411</v>
      </c>
      <c r="BU240" s="92" t="n">
        <f aca="false">IF(AE240&gt;=BG240,0,IFERROR(BG240+SUMPRODUCT((AE$4:AE$503&gt;=BG$4:BG$503)*(AE$4:AE$503-BG$4:BG$503))/MAX(1,COUNTIF(AE$4:AE$503,"&lt;"&amp;BG240+0.01)),BG240))</f>
        <v>7704.85920380952</v>
      </c>
      <c r="BV240" s="92" t="n">
        <f aca="false">IF(AF240&gt;=BH240,0,IFERROR(BH240+SUMPRODUCT((AF$4:AF$503&gt;=BH$4:BH$503)*(AF$4:AF$503-BH$4:BH$503))/MAX(1,COUNTIF(AF$4:AF$503,"&lt;"&amp;BH240+0.01)),BH240))</f>
        <v>9942.6503831579</v>
      </c>
      <c r="BW240" s="92" t="n">
        <f aca="false">IF(AG240&gt;=BI240,0,IFERROR(BI240+SUMPRODUCT((AG$4:AG$503&gt;=BI$4:BI$503)*(AG$4:AG$503-BI$4:BI$503))/MAX(1,COUNTIF(AG$4:AG$503,"&lt;"&amp;BI240+0.01)),BI240))</f>
        <v>9142.15870461538</v>
      </c>
      <c r="BX240" s="92" t="n">
        <f aca="false">IF(AH240&gt;=BJ240,0,IFERROR(BJ240+SUMPRODUCT((AH$4:AH$503&gt;=BJ$4:BJ$503)*(AH$4:AH$503-BJ$4:BJ$503))/MAX(1,COUNTIF(AH$4:AH$503,"&lt;"&amp;BJ240+0.01)),BJ240))</f>
        <v>5621.50263448276</v>
      </c>
      <c r="BY240" s="92" t="n">
        <f aca="false">IF(AI240&gt;=BK240,0,IFERROR(BK240+SUMPRODUCT((AI$4:AI$503&gt;=BK$4:BK$503)*(AI$4:AI$503-BK$4:BK$503))/MAX(1,COUNTIF(AI$4:AI$503,"&lt;"&amp;BK240+0.01)),BK240))</f>
        <v>7878.25652380952</v>
      </c>
      <c r="BZ240" s="92" t="n">
        <f aca="false">IF(AJ240&gt;=BL240,0,IFERROR(BL240+SUMPRODUCT((AJ$4:AJ$503&gt;=BL$4:BL$503)*(AJ$4:AJ$503-BL$4:BL$503))/MAX(1,COUNTIF(AJ$4:AJ$503,"&lt;"&amp;BL240+0.01)),BL240))</f>
        <v>6710.03292307692</v>
      </c>
      <c r="CA240" s="92" t="n">
        <f aca="false">IF(AK240&gt;=BM240,0,IFERROR(BM240+SUMPRODUCT((AK$4:AK$503&gt;=BM$4:BM$503)*(AK$4:AK$503-BM$4:BM$503))/MAX(1,COUNTIF(AK$4:AK$503,"&lt;"&amp;BM240+0.01)),BM240))</f>
        <v>0</v>
      </c>
      <c r="CB240" s="93" t="n">
        <f aca="false">IF(AL240&gt;=BN240,0,IFERROR(BN240+SUMPRODUCT((AL$4:AL$503&gt;=BN$4:BN$503)*(AL$4:AL$503-BN$4:BN$503))/MAX(1,COUNTIF(AL$4:AL$503,"&lt;"&amp;BN240+0.01)),BN240))</f>
        <v>3597.2614925</v>
      </c>
      <c r="CC240" s="95" t="str">
        <f aca="false">IF(AO240="🟢","VERDE",IF(AO240="🟡","AMARELO",IF(AO240="🟠","VERMELHO",IF(AO240="🔴","VERMELHO","ROXO"))))</f>
        <v>VERMELHO</v>
      </c>
      <c r="CD240" s="96" t="s">
        <v>176</v>
      </c>
      <c r="CE240" s="96" t="s">
        <v>115</v>
      </c>
    </row>
    <row r="241" customFormat="false" ht="14.25" hidden="false" customHeight="true" outlineLevel="0" collapsed="false">
      <c r="A241" s="65" t="s">
        <v>616</v>
      </c>
      <c r="B241" s="66" t="s">
        <v>617</v>
      </c>
      <c r="C241" s="67" t="s">
        <v>118</v>
      </c>
      <c r="D241" s="68" t="s">
        <v>100</v>
      </c>
      <c r="E241" s="69" t="s">
        <v>119</v>
      </c>
      <c r="F241" s="70" t="n">
        <f aca="false">IFERROR(VLOOKUP(C241,$AS$3:$AT$10,2,FALSE()),IFERROR(VLOOKUP(C241,$AS$15:$AT$22,2,FALSE()),""))</f>
        <v>42</v>
      </c>
      <c r="G241" s="71" t="n">
        <f aca="false">IFERROR(VLOOKUP(C241,$AS$3:$AX$10,6,FALSE()),IFERROR(VLOOKUP(C241,$AS$15:$AX$22,6,FALSE()),""))</f>
        <v>0.424872083346704</v>
      </c>
      <c r="H241" s="72" t="str">
        <f aca="false">IFERROR(VLOOKUP(C241,$AS$3:$AY$10,7,FALSE()),IFERROR(VLOOKUP(C241,$AS$15:$AY$22,7,FALSE()),""))</f>
        <v>🟡 AMARELO</v>
      </c>
      <c r="I241" s="72" t="str">
        <f aca="false">IFERROR(VLOOKUP(C241,$AS$3:$AZ$10,8,FALSE()),IFERROR(VLOOKUP(C241,$AS$15:$AZ$22,8,FALSE()),""))</f>
        <v>Sell Out</v>
      </c>
      <c r="J241" s="73"/>
      <c r="K241" s="69" t="s">
        <v>118</v>
      </c>
      <c r="L241" s="74" t="n">
        <v>4901.72</v>
      </c>
      <c r="M241" s="75" t="n">
        <v>344.46</v>
      </c>
      <c r="N241" s="75" t="n">
        <v>359.95</v>
      </c>
      <c r="O241" s="75" t="n">
        <v>368.62</v>
      </c>
      <c r="P241" s="75" t="n">
        <v>378.22</v>
      </c>
      <c r="Q241" s="75" t="n">
        <v>390.61</v>
      </c>
      <c r="R241" s="75" t="n">
        <v>400.84</v>
      </c>
      <c r="S241" s="75" t="n">
        <v>416.32</v>
      </c>
      <c r="T241" s="75" t="n">
        <v>426.55</v>
      </c>
      <c r="U241" s="75" t="n">
        <v>436.15</v>
      </c>
      <c r="V241" s="75" t="n">
        <v>446.99</v>
      </c>
      <c r="W241" s="75" t="n">
        <v>458.76</v>
      </c>
      <c r="X241" s="76" t="n">
        <v>474.25</v>
      </c>
      <c r="Y241" s="77" t="s">
        <v>20</v>
      </c>
      <c r="Z241" s="78" t="n">
        <f aca="false">SUM(AA241:AL241)</f>
        <v>2023.82</v>
      </c>
      <c r="AA241" s="75"/>
      <c r="AB241" s="79" t="n">
        <v>609.78</v>
      </c>
      <c r="AC241" s="75"/>
      <c r="AD241" s="75"/>
      <c r="AE241" s="75"/>
      <c r="AF241" s="79" t="n">
        <v>701.58</v>
      </c>
      <c r="AG241" s="75"/>
      <c r="AH241" s="75"/>
      <c r="AI241" s="75"/>
      <c r="AJ241" s="79" t="n">
        <v>712.46</v>
      </c>
      <c r="AK241" s="75"/>
      <c r="AL241" s="76"/>
      <c r="AM241" s="56" t="s">
        <v>20</v>
      </c>
      <c r="AN241" s="80" t="n">
        <f aca="false">IF(L241=0,0,Z241/L241)</f>
        <v>0.412879560644019</v>
      </c>
      <c r="AO241" s="81" t="str">
        <f aca="false">IF(AN241="","",IF(AN241&gt;=0.9,"🟢",IF(AN241&gt;=0.7,"🟡",IF(AN241&gt;=0.5,"🟠","🔴"))))</f>
        <v>🔴</v>
      </c>
      <c r="AP241" s="82" t="n">
        <f aca="false">IF(L241=0,0,L241-Z241)</f>
        <v>2877.9</v>
      </c>
      <c r="AQ241" s="83" t="n">
        <f aca="false">IF(AP241=0,"",RANK(AP241,AP$4:AP$503,0))</f>
        <v>216</v>
      </c>
      <c r="AR241" s="84" t="s">
        <v>20</v>
      </c>
      <c r="AS241" s="141"/>
      <c r="AT241" s="141"/>
      <c r="AU241" s="141"/>
      <c r="AV241" s="141"/>
      <c r="AW241" s="141"/>
      <c r="AX241" s="141"/>
      <c r="AY241" s="142"/>
      <c r="AZ241" s="142"/>
      <c r="BA241" s="56" t="s">
        <v>20</v>
      </c>
      <c r="BB241" s="91" t="n">
        <f aca="false">SUM(L$4:L$503)/COUNTA(A$4:A$503)</f>
        <v>9494.39992</v>
      </c>
      <c r="BC241" s="92" t="n">
        <f aca="false">SUM(M$4:M$503)/COUNTA(A$4:A$503)</f>
        <v>667.20008</v>
      </c>
      <c r="BD241" s="92" t="n">
        <f aca="false">SUM(N$4:N$503)/COUNTA(A$4:A$503)</f>
        <v>697.19996</v>
      </c>
      <c r="BE241" s="92" t="n">
        <f aca="false">SUM(O$4:O$503)/COUNTA(A$4:A$503)</f>
        <v>713.9999</v>
      </c>
      <c r="BF241" s="92" t="n">
        <f aca="false">SUM(P$4:P$503)/COUNTA(A$4:A$503)</f>
        <v>732.59984</v>
      </c>
      <c r="BG241" s="92" t="n">
        <f aca="false">SUM(Q$4:Q$503)/COUNTA(A$4:A$503)</f>
        <v>756.59992</v>
      </c>
      <c r="BH241" s="92" t="n">
        <f aca="false">SUM(R$4:R$503)/COUNTA(A$4:A$503)</f>
        <v>776.40004</v>
      </c>
      <c r="BI241" s="92" t="n">
        <f aca="false">SUM(S$4:S$503)/COUNTA(A$4:A$503)</f>
        <v>806.40012</v>
      </c>
      <c r="BJ241" s="92" t="n">
        <f aca="false">SUM(T$4:T$503)/COUNTA(A$4:A$503)</f>
        <v>826.1999</v>
      </c>
      <c r="BK241" s="92" t="n">
        <f aca="false">SUM(U$4:U$503)/COUNTA(A$4:A$503)</f>
        <v>844.8002</v>
      </c>
      <c r="BL241" s="92" t="n">
        <f aca="false">SUM(V$4:V$503)/COUNTA(A$4:A$503)</f>
        <v>865.7998</v>
      </c>
      <c r="BM241" s="92" t="n">
        <f aca="false">SUM(W$4:W$503)/COUNTA(A$4:A$503)</f>
        <v>888.59982</v>
      </c>
      <c r="BN241" s="93" t="n">
        <f aca="false">SUM(X$4:X$503)/COUNTA(A$4:A$503)</f>
        <v>918.60034</v>
      </c>
      <c r="BO241" s="94" t="s">
        <v>20</v>
      </c>
      <c r="BP241" s="91" t="n">
        <f aca="false">IF(Z241&gt;=BB241,0,IFERROR(BB241+(SUMPRODUCT((Z$4:Z$503&gt;=BB$4:BB$503)*(Z$4:Z$503-BB$4:BB$503))/MAX(1,COUNTIF(Z$4:Z$503,"&lt;"&amp;BB241+0.01))),BB241))</f>
        <v>10695.5432177778</v>
      </c>
      <c r="BQ241" s="92" t="n">
        <f aca="false">IF(AA241&gt;=BC241,0,IFERROR(BC241+SUMPRODUCT((AA$4:AA$503&gt;=BC$4:BC$503)*(AA$4:AA$503-BC$4:BC$503))/MAX(1,COUNTIF(AA$4:AA$503,"&lt;"&amp;BC241+0.01)),BC241))</f>
        <v>2238.46589176471</v>
      </c>
      <c r="BR241" s="92" t="n">
        <f aca="false">IF(AB241&gt;=BD241,0,IFERROR(BD241+SUMPRODUCT((AB$4:AB$503&gt;=BD$4:BD$503)*(AB$4:AB$503-BD$4:BD$503))/MAX(1,COUNTIF(AB$4:AB$503,"&lt;"&amp;BD241+0.01)),BD241))</f>
        <v>3335.2938</v>
      </c>
      <c r="BS241" s="92" t="n">
        <f aca="false">IF(AC241&gt;=BE241,0,IFERROR(BE241+SUMPRODUCT((AC$4:AC$503&gt;=BE$4:BE$503)*(AC$4:AC$503-BE$4:BE$503))/MAX(1,COUNTIF(AC$4:AC$503,"&lt;"&amp;BE241+0.01)),BE241))</f>
        <v>6188.73352</v>
      </c>
      <c r="BT241" s="92" t="n">
        <f aca="false">IF(AD241&gt;=BF241,0,IFERROR(BF241+SUMPRODUCT((AD$4:AD$503&gt;=BF$4:BF$503)*(AD$4:AD$503-BF$4:BF$503))/MAX(1,COUNTIF(AD$4:AD$503,"&lt;"&amp;BF241+0.01)),BF241))</f>
        <v>11354.35411</v>
      </c>
      <c r="BU241" s="92" t="n">
        <f aca="false">IF(AE241&gt;=BG241,0,IFERROR(BG241+SUMPRODUCT((AE$4:AE$503&gt;=BG$4:BG$503)*(AE$4:AE$503-BG$4:BG$503))/MAX(1,COUNTIF(AE$4:AE$503,"&lt;"&amp;BG241+0.01)),BG241))</f>
        <v>7704.85920380952</v>
      </c>
      <c r="BV241" s="92" t="n">
        <f aca="false">IF(AF241&gt;=BH241,0,IFERROR(BH241+SUMPRODUCT((AF$4:AF$503&gt;=BH$4:BH$503)*(AF$4:AF$503-BH$4:BH$503))/MAX(1,COUNTIF(AF$4:AF$503,"&lt;"&amp;BH241+0.01)),BH241))</f>
        <v>9942.6503831579</v>
      </c>
      <c r="BW241" s="92" t="n">
        <f aca="false">IF(AG241&gt;=BI241,0,IFERROR(BI241+SUMPRODUCT((AG$4:AG$503&gt;=BI$4:BI$503)*(AG$4:AG$503-BI$4:BI$503))/MAX(1,COUNTIF(AG$4:AG$503,"&lt;"&amp;BI241+0.01)),BI241))</f>
        <v>9142.15870461538</v>
      </c>
      <c r="BX241" s="92" t="n">
        <f aca="false">IF(AH241&gt;=BJ241,0,IFERROR(BJ241+SUMPRODUCT((AH$4:AH$503&gt;=BJ$4:BJ$503)*(AH$4:AH$503-BJ$4:BJ$503))/MAX(1,COUNTIF(AH$4:AH$503,"&lt;"&amp;BJ241+0.01)),BJ241))</f>
        <v>5621.50263448276</v>
      </c>
      <c r="BY241" s="92" t="n">
        <f aca="false">IF(AI241&gt;=BK241,0,IFERROR(BK241+SUMPRODUCT((AI$4:AI$503&gt;=BK$4:BK$503)*(AI$4:AI$503-BK$4:BK$503))/MAX(1,COUNTIF(AI$4:AI$503,"&lt;"&amp;BK241+0.01)),BK241))</f>
        <v>7878.25652380952</v>
      </c>
      <c r="BZ241" s="92" t="n">
        <f aca="false">IF(AJ241&gt;=BL241,0,IFERROR(BL241+SUMPRODUCT((AJ$4:AJ$503&gt;=BL$4:BL$503)*(AJ$4:AJ$503-BL$4:BL$503))/MAX(1,COUNTIF(AJ$4:AJ$503,"&lt;"&amp;BL241+0.01)),BL241))</f>
        <v>6710.03292307692</v>
      </c>
      <c r="CA241" s="92" t="n">
        <f aca="false">IF(AK241&gt;=BM241,0,IFERROR(BM241+SUMPRODUCT((AK$4:AK$503&gt;=BM$4:BM$503)*(AK$4:AK$503-BM$4:BM$503))/MAX(1,COUNTIF(AK$4:AK$503,"&lt;"&amp;BM241+0.01)),BM241))</f>
        <v>7314.89836842105</v>
      </c>
      <c r="CB241" s="93" t="n">
        <f aca="false">IF(AL241&gt;=BN241,0,IFERROR(BN241+SUMPRODUCT((AL$4:AL$503&gt;=BN$4:BN$503)*(AL$4:AL$503-BN$4:BN$503))/MAX(1,COUNTIF(AL$4:AL$503,"&lt;"&amp;BN241+0.01)),BN241))</f>
        <v>3597.2614925</v>
      </c>
      <c r="CC241" s="95" t="str">
        <f aca="false">IF(AO241="🟢","VERDE",IF(AO241="🟡","AMARELO",IF(AO241="🟠","VERMELHO",IF(AO241="🔴","VERMELHO","ROXO"))))</f>
        <v>VERMELHO</v>
      </c>
      <c r="CD241" s="96" t="s">
        <v>103</v>
      </c>
      <c r="CE241" s="96" t="s">
        <v>104</v>
      </c>
    </row>
    <row r="242" customFormat="false" ht="14.25" hidden="false" customHeight="true" outlineLevel="0" collapsed="false">
      <c r="A242" s="65" t="s">
        <v>618</v>
      </c>
      <c r="B242" s="66" t="s">
        <v>619</v>
      </c>
      <c r="C242" s="67" t="s">
        <v>107</v>
      </c>
      <c r="D242" s="68" t="s">
        <v>108</v>
      </c>
      <c r="E242" s="69" t="s">
        <v>139</v>
      </c>
      <c r="F242" s="70" t="n">
        <f aca="false">IFERROR(VLOOKUP(C242,$AS$3:$AT$10,2,FALSE()),IFERROR(VLOOKUP(C242,$AS$15:$AT$22,2,FALSE()),""))</f>
        <v>132</v>
      </c>
      <c r="G242" s="71" t="n">
        <f aca="false">IFERROR(VLOOKUP(C242,$AS$3:$AX$10,6,FALSE()),IFERROR(VLOOKUP(C242,$AS$15:$AX$22,6,FALSE()),""))</f>
        <v>0.468190175850689</v>
      </c>
      <c r="H242" s="72" t="str">
        <f aca="false">IFERROR(VLOOKUP(C242,$AS$3:$AY$10,7,FALSE()),IFERROR(VLOOKUP(C242,$AS$15:$AY$22,7,FALSE()),""))</f>
        <v>🟡 AMARELO</v>
      </c>
      <c r="I242" s="72" t="str">
        <f aca="false">IFERROR(VLOOKUP(C242,$AS$3:$AZ$10,8,FALSE()),IFERROR(VLOOKUP(C242,$AS$15:$AZ$22,8,FALSE()),""))</f>
        <v>Sell Out</v>
      </c>
      <c r="J242" s="73"/>
      <c r="K242" s="69" t="s">
        <v>107</v>
      </c>
      <c r="L242" s="74" t="n">
        <v>4805.07</v>
      </c>
      <c r="M242" s="75" t="n">
        <v>337.67</v>
      </c>
      <c r="N242" s="75" t="n">
        <v>352.85</v>
      </c>
      <c r="O242" s="75" t="n">
        <v>361.35</v>
      </c>
      <c r="P242" s="75" t="n">
        <v>370.76</v>
      </c>
      <c r="Q242" s="75" t="n">
        <v>382.91</v>
      </c>
      <c r="R242" s="75" t="n">
        <v>392.93</v>
      </c>
      <c r="S242" s="75" t="n">
        <v>408.11</v>
      </c>
      <c r="T242" s="75" t="n">
        <v>418.14</v>
      </c>
      <c r="U242" s="75" t="n">
        <v>427.55</v>
      </c>
      <c r="V242" s="75" t="n">
        <v>438.18</v>
      </c>
      <c r="W242" s="75" t="n">
        <v>449.72</v>
      </c>
      <c r="X242" s="76" t="n">
        <v>464.9</v>
      </c>
      <c r="Y242" s="77" t="s">
        <v>20</v>
      </c>
      <c r="Z242" s="78" t="n">
        <f aca="false">SUM(AA242:AL242)</f>
        <v>1932.36</v>
      </c>
      <c r="AA242" s="75"/>
      <c r="AB242" s="75"/>
      <c r="AC242" s="75"/>
      <c r="AD242" s="75"/>
      <c r="AE242" s="75"/>
      <c r="AF242" s="75"/>
      <c r="AG242" s="79" t="n">
        <v>887.47</v>
      </c>
      <c r="AH242" s="75"/>
      <c r="AI242" s="75"/>
      <c r="AJ242" s="75"/>
      <c r="AK242" s="75"/>
      <c r="AL242" s="107" t="n">
        <v>1044.89</v>
      </c>
      <c r="AM242" s="56" t="s">
        <v>20</v>
      </c>
      <c r="AN242" s="80" t="n">
        <f aca="false">IF(L242=0,0,Z242/L242)</f>
        <v>0.402150228820808</v>
      </c>
      <c r="AO242" s="81" t="str">
        <f aca="false">IF(AN242="","",IF(AN242&gt;=0.9,"🟢",IF(AN242&gt;=0.7,"🟡",IF(AN242&gt;=0.5,"🟠","🔴"))))</f>
        <v>🔴</v>
      </c>
      <c r="AP242" s="82" t="n">
        <f aca="false">IF(L242=0,0,L242-Z242)</f>
        <v>2872.71</v>
      </c>
      <c r="AQ242" s="83" t="n">
        <f aca="false">IF(AP242=0,"",RANK(AP242,AP$4:AP$503,0))</f>
        <v>218</v>
      </c>
      <c r="AR242" s="84" t="s">
        <v>20</v>
      </c>
      <c r="AS242" s="141"/>
      <c r="AT242" s="141"/>
      <c r="AU242" s="141"/>
      <c r="AV242" s="141"/>
      <c r="AW242" s="141"/>
      <c r="AX242" s="141"/>
      <c r="AY242" s="142"/>
      <c r="AZ242" s="142"/>
      <c r="BA242" s="56" t="s">
        <v>20</v>
      </c>
      <c r="BB242" s="91" t="n">
        <f aca="false">SUM(L$4:L$503)/COUNTA(A$4:A$503)</f>
        <v>9494.39992</v>
      </c>
      <c r="BC242" s="92" t="n">
        <f aca="false">SUM(M$4:M$503)/COUNTA(A$4:A$503)</f>
        <v>667.20008</v>
      </c>
      <c r="BD242" s="92" t="n">
        <f aca="false">SUM(N$4:N$503)/COUNTA(A$4:A$503)</f>
        <v>697.19996</v>
      </c>
      <c r="BE242" s="92" t="n">
        <f aca="false">SUM(O$4:O$503)/COUNTA(A$4:A$503)</f>
        <v>713.9999</v>
      </c>
      <c r="BF242" s="92" t="n">
        <f aca="false">SUM(P$4:P$503)/COUNTA(A$4:A$503)</f>
        <v>732.59984</v>
      </c>
      <c r="BG242" s="92" t="n">
        <f aca="false">SUM(Q$4:Q$503)/COUNTA(A$4:A$503)</f>
        <v>756.59992</v>
      </c>
      <c r="BH242" s="92" t="n">
        <f aca="false">SUM(R$4:R$503)/COUNTA(A$4:A$503)</f>
        <v>776.40004</v>
      </c>
      <c r="BI242" s="92" t="n">
        <f aca="false">SUM(S$4:S$503)/COUNTA(A$4:A$503)</f>
        <v>806.40012</v>
      </c>
      <c r="BJ242" s="92" t="n">
        <f aca="false">SUM(T$4:T$503)/COUNTA(A$4:A$503)</f>
        <v>826.1999</v>
      </c>
      <c r="BK242" s="92" t="n">
        <f aca="false">SUM(U$4:U$503)/COUNTA(A$4:A$503)</f>
        <v>844.8002</v>
      </c>
      <c r="BL242" s="92" t="n">
        <f aca="false">SUM(V$4:V$503)/COUNTA(A$4:A$503)</f>
        <v>865.7998</v>
      </c>
      <c r="BM242" s="92" t="n">
        <f aca="false">SUM(W$4:W$503)/COUNTA(A$4:A$503)</f>
        <v>888.59982</v>
      </c>
      <c r="BN242" s="93" t="n">
        <f aca="false">SUM(X$4:X$503)/COUNTA(A$4:A$503)</f>
        <v>918.60034</v>
      </c>
      <c r="BO242" s="94" t="s">
        <v>20</v>
      </c>
      <c r="BP242" s="91" t="n">
        <f aca="false">IF(Z242&gt;=BB242,0,IFERROR(BB242+(SUMPRODUCT((Z$4:Z$503&gt;=BB$4:BB$503)*(Z$4:Z$503-BB$4:BB$503))/MAX(1,COUNTIF(Z$4:Z$503,"&lt;"&amp;BB242+0.01))),BB242))</f>
        <v>10695.5432177778</v>
      </c>
      <c r="BQ242" s="92" t="n">
        <f aca="false">IF(AA242&gt;=BC242,0,IFERROR(BC242+SUMPRODUCT((AA$4:AA$503&gt;=BC$4:BC$503)*(AA$4:AA$503-BC$4:BC$503))/MAX(1,COUNTIF(AA$4:AA$503,"&lt;"&amp;BC242+0.01)),BC242))</f>
        <v>2238.46589176471</v>
      </c>
      <c r="BR242" s="92" t="n">
        <f aca="false">IF(AB242&gt;=BD242,0,IFERROR(BD242+SUMPRODUCT((AB$4:AB$503&gt;=BD$4:BD$503)*(AB$4:AB$503-BD$4:BD$503))/MAX(1,COUNTIF(AB$4:AB$503,"&lt;"&amp;BD242+0.01)),BD242))</f>
        <v>3335.2938</v>
      </c>
      <c r="BS242" s="92" t="n">
        <f aca="false">IF(AC242&gt;=BE242,0,IFERROR(BE242+SUMPRODUCT((AC$4:AC$503&gt;=BE$4:BE$503)*(AC$4:AC$503-BE$4:BE$503))/MAX(1,COUNTIF(AC$4:AC$503,"&lt;"&amp;BE242+0.01)),BE242))</f>
        <v>6188.73352</v>
      </c>
      <c r="BT242" s="92" t="n">
        <f aca="false">IF(AD242&gt;=BF242,0,IFERROR(BF242+SUMPRODUCT((AD$4:AD$503&gt;=BF$4:BF$503)*(AD$4:AD$503-BF$4:BF$503))/MAX(1,COUNTIF(AD$4:AD$503,"&lt;"&amp;BF242+0.01)),BF242))</f>
        <v>11354.35411</v>
      </c>
      <c r="BU242" s="92" t="n">
        <f aca="false">IF(AE242&gt;=BG242,0,IFERROR(BG242+SUMPRODUCT((AE$4:AE$503&gt;=BG$4:BG$503)*(AE$4:AE$503-BG$4:BG$503))/MAX(1,COUNTIF(AE$4:AE$503,"&lt;"&amp;BG242+0.01)),BG242))</f>
        <v>7704.85920380952</v>
      </c>
      <c r="BV242" s="92" t="n">
        <f aca="false">IF(AF242&gt;=BH242,0,IFERROR(BH242+SUMPRODUCT((AF$4:AF$503&gt;=BH$4:BH$503)*(AF$4:AF$503-BH$4:BH$503))/MAX(1,COUNTIF(AF$4:AF$503,"&lt;"&amp;BH242+0.01)),BH242))</f>
        <v>9942.6503831579</v>
      </c>
      <c r="BW242" s="92" t="n">
        <f aca="false">IF(AG242&gt;=BI242,0,IFERROR(BI242+SUMPRODUCT((AG$4:AG$503&gt;=BI$4:BI$503)*(AG$4:AG$503-BI$4:BI$503))/MAX(1,COUNTIF(AG$4:AG$503,"&lt;"&amp;BI242+0.01)),BI242))</f>
        <v>0</v>
      </c>
      <c r="BX242" s="92" t="n">
        <f aca="false">IF(AH242&gt;=BJ242,0,IFERROR(BJ242+SUMPRODUCT((AH$4:AH$503&gt;=BJ$4:BJ$503)*(AH$4:AH$503-BJ$4:BJ$503))/MAX(1,COUNTIF(AH$4:AH$503,"&lt;"&amp;BJ242+0.01)),BJ242))</f>
        <v>5621.50263448276</v>
      </c>
      <c r="BY242" s="92" t="n">
        <f aca="false">IF(AI242&gt;=BK242,0,IFERROR(BK242+SUMPRODUCT((AI$4:AI$503&gt;=BK$4:BK$503)*(AI$4:AI$503-BK$4:BK$503))/MAX(1,COUNTIF(AI$4:AI$503,"&lt;"&amp;BK242+0.01)),BK242))</f>
        <v>7878.25652380952</v>
      </c>
      <c r="BZ242" s="92" t="n">
        <f aca="false">IF(AJ242&gt;=BL242,0,IFERROR(BL242+SUMPRODUCT((AJ$4:AJ$503&gt;=BL$4:BL$503)*(AJ$4:AJ$503-BL$4:BL$503))/MAX(1,COUNTIF(AJ$4:AJ$503,"&lt;"&amp;BL242+0.01)),BL242))</f>
        <v>6710.03292307692</v>
      </c>
      <c r="CA242" s="92" t="n">
        <f aca="false">IF(AK242&gt;=BM242,0,IFERROR(BM242+SUMPRODUCT((AK$4:AK$503&gt;=BM$4:BM$503)*(AK$4:AK$503-BM$4:BM$503))/MAX(1,COUNTIF(AK$4:AK$503,"&lt;"&amp;BM242+0.01)),BM242))</f>
        <v>7314.89836842105</v>
      </c>
      <c r="CB242" s="93" t="n">
        <f aca="false">IF(AL242&gt;=BN242,0,IFERROR(BN242+SUMPRODUCT((AL$4:AL$503&gt;=BN$4:BN$503)*(AL$4:AL$503-BN$4:BN$503))/MAX(1,COUNTIF(AL$4:AL$503,"&lt;"&amp;BN242+0.01)),BN242))</f>
        <v>0</v>
      </c>
      <c r="CC242" s="95" t="str">
        <f aca="false">IF(AO242="🟢","VERDE",IF(AO242="🟡","AMARELO",IF(AO242="🟠","VERMELHO",IF(AO242="🔴","VERMELHO","ROXO"))))</f>
        <v>VERMELHO</v>
      </c>
      <c r="CD242" s="96" t="s">
        <v>103</v>
      </c>
      <c r="CE242" s="96" t="s">
        <v>104</v>
      </c>
    </row>
    <row r="243" customFormat="false" ht="14.25" hidden="false" customHeight="true" outlineLevel="0" collapsed="false">
      <c r="A243" s="65" t="s">
        <v>620</v>
      </c>
      <c r="B243" s="66" t="s">
        <v>621</v>
      </c>
      <c r="C243" s="67" t="s">
        <v>118</v>
      </c>
      <c r="D243" s="68" t="s">
        <v>100</v>
      </c>
      <c r="E243" s="69" t="s">
        <v>119</v>
      </c>
      <c r="F243" s="70" t="n">
        <f aca="false">IFERROR(VLOOKUP(C243,$AS$3:$AT$10,2,FALSE()),IFERROR(VLOOKUP(C243,$AS$15:$AT$22,2,FALSE()),""))</f>
        <v>42</v>
      </c>
      <c r="G243" s="71" t="n">
        <f aca="false">IFERROR(VLOOKUP(C243,$AS$3:$AX$10,6,FALSE()),IFERROR(VLOOKUP(C243,$AS$15:$AX$22,6,FALSE()),""))</f>
        <v>0.424872083346704</v>
      </c>
      <c r="H243" s="72" t="str">
        <f aca="false">IFERROR(VLOOKUP(C243,$AS$3:$AY$10,7,FALSE()),IFERROR(VLOOKUP(C243,$AS$15:$AY$22,7,FALSE()),""))</f>
        <v>🟡 AMARELO</v>
      </c>
      <c r="I243" s="72" t="str">
        <f aca="false">IFERROR(VLOOKUP(C243,$AS$3:$AZ$10,8,FALSE()),IFERROR(VLOOKUP(C243,$AS$15:$AZ$22,8,FALSE()),""))</f>
        <v>Sell Out</v>
      </c>
      <c r="J243" s="73"/>
      <c r="K243" s="69" t="s">
        <v>118</v>
      </c>
      <c r="L243" s="74" t="n">
        <v>4794.63</v>
      </c>
      <c r="M243" s="75" t="n">
        <v>336.93</v>
      </c>
      <c r="N243" s="75" t="n">
        <v>352.08</v>
      </c>
      <c r="O243" s="75" t="n">
        <v>360.57</v>
      </c>
      <c r="P243" s="75" t="n">
        <v>369.96</v>
      </c>
      <c r="Q243" s="75" t="n">
        <v>382.08</v>
      </c>
      <c r="R243" s="75" t="n">
        <v>392.08</v>
      </c>
      <c r="S243" s="75" t="n">
        <v>407.23</v>
      </c>
      <c r="T243" s="75" t="n">
        <v>417.23</v>
      </c>
      <c r="U243" s="75" t="n">
        <v>426.62</v>
      </c>
      <c r="V243" s="75" t="n">
        <v>437.22</v>
      </c>
      <c r="W243" s="75" t="n">
        <v>448.74</v>
      </c>
      <c r="X243" s="76" t="n">
        <v>463.89</v>
      </c>
      <c r="Y243" s="77" t="s">
        <v>20</v>
      </c>
      <c r="Z243" s="78" t="n">
        <f aca="false">SUM(AA243:AL243)</f>
        <v>1928.16</v>
      </c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9" t="n">
        <v>1928.16</v>
      </c>
      <c r="AL243" s="76"/>
      <c r="AM243" s="56" t="s">
        <v>20</v>
      </c>
      <c r="AN243" s="80" t="n">
        <f aca="false">IF(L243=0,0,Z243/L243)</f>
        <v>0.40214990520645</v>
      </c>
      <c r="AO243" s="81" t="str">
        <f aca="false">IF(AN243="","",IF(AN243&gt;=0.9,"🟢",IF(AN243&gt;=0.7,"🟡",IF(AN243&gt;=0.5,"🟠","🔴"))))</f>
        <v>🔴</v>
      </c>
      <c r="AP243" s="82" t="n">
        <f aca="false">IF(L243=0,0,L243-Z243)</f>
        <v>2866.47</v>
      </c>
      <c r="AQ243" s="83" t="n">
        <f aca="false">IF(AP243=0,"",RANK(AP243,AP$4:AP$503,0))</f>
        <v>219</v>
      </c>
      <c r="AR243" s="84" t="s">
        <v>20</v>
      </c>
      <c r="AS243" s="141"/>
      <c r="AT243" s="141"/>
      <c r="AU243" s="141"/>
      <c r="AV243" s="141"/>
      <c r="AW243" s="141"/>
      <c r="AX243" s="141"/>
      <c r="AY243" s="142"/>
      <c r="AZ243" s="142"/>
      <c r="BA243" s="56" t="s">
        <v>20</v>
      </c>
      <c r="BB243" s="91" t="n">
        <f aca="false">SUM(L$4:L$503)/COUNTA(A$4:A$503)</f>
        <v>9494.39992</v>
      </c>
      <c r="BC243" s="92" t="n">
        <f aca="false">SUM(M$4:M$503)/COUNTA(A$4:A$503)</f>
        <v>667.20008</v>
      </c>
      <c r="BD243" s="92" t="n">
        <f aca="false">SUM(N$4:N$503)/COUNTA(A$4:A$503)</f>
        <v>697.19996</v>
      </c>
      <c r="BE243" s="92" t="n">
        <f aca="false">SUM(O$4:O$503)/COUNTA(A$4:A$503)</f>
        <v>713.9999</v>
      </c>
      <c r="BF243" s="92" t="n">
        <f aca="false">SUM(P$4:P$503)/COUNTA(A$4:A$503)</f>
        <v>732.59984</v>
      </c>
      <c r="BG243" s="92" t="n">
        <f aca="false">SUM(Q$4:Q$503)/COUNTA(A$4:A$503)</f>
        <v>756.59992</v>
      </c>
      <c r="BH243" s="92" t="n">
        <f aca="false">SUM(R$4:R$503)/COUNTA(A$4:A$503)</f>
        <v>776.40004</v>
      </c>
      <c r="BI243" s="92" t="n">
        <f aca="false">SUM(S$4:S$503)/COUNTA(A$4:A$503)</f>
        <v>806.40012</v>
      </c>
      <c r="BJ243" s="92" t="n">
        <f aca="false">SUM(T$4:T$503)/COUNTA(A$4:A$503)</f>
        <v>826.1999</v>
      </c>
      <c r="BK243" s="92" t="n">
        <f aca="false">SUM(U$4:U$503)/COUNTA(A$4:A$503)</f>
        <v>844.8002</v>
      </c>
      <c r="BL243" s="92" t="n">
        <f aca="false">SUM(V$4:V$503)/COUNTA(A$4:A$503)</f>
        <v>865.7998</v>
      </c>
      <c r="BM243" s="92" t="n">
        <f aca="false">SUM(W$4:W$503)/COUNTA(A$4:A$503)</f>
        <v>888.59982</v>
      </c>
      <c r="BN243" s="93" t="n">
        <f aca="false">SUM(X$4:X$503)/COUNTA(A$4:A$503)</f>
        <v>918.60034</v>
      </c>
      <c r="BO243" s="94" t="s">
        <v>20</v>
      </c>
      <c r="BP243" s="91" t="n">
        <f aca="false">IF(Z243&gt;=BB243,0,IFERROR(BB243+(SUMPRODUCT((Z$4:Z$503&gt;=BB$4:BB$503)*(Z$4:Z$503-BB$4:BB$503))/MAX(1,COUNTIF(Z$4:Z$503,"&lt;"&amp;BB243+0.01))),BB243))</f>
        <v>10695.5432177778</v>
      </c>
      <c r="BQ243" s="92" t="n">
        <f aca="false">IF(AA243&gt;=BC243,0,IFERROR(BC243+SUMPRODUCT((AA$4:AA$503&gt;=BC$4:BC$503)*(AA$4:AA$503-BC$4:BC$503))/MAX(1,COUNTIF(AA$4:AA$503,"&lt;"&amp;BC243+0.01)),BC243))</f>
        <v>2238.46589176471</v>
      </c>
      <c r="BR243" s="92" t="n">
        <f aca="false">IF(AB243&gt;=BD243,0,IFERROR(BD243+SUMPRODUCT((AB$4:AB$503&gt;=BD$4:BD$503)*(AB$4:AB$503-BD$4:BD$503))/MAX(1,COUNTIF(AB$4:AB$503,"&lt;"&amp;BD243+0.01)),BD243))</f>
        <v>3335.2938</v>
      </c>
      <c r="BS243" s="92" t="n">
        <f aca="false">IF(AC243&gt;=BE243,0,IFERROR(BE243+SUMPRODUCT((AC$4:AC$503&gt;=BE$4:BE$503)*(AC$4:AC$503-BE$4:BE$503))/MAX(1,COUNTIF(AC$4:AC$503,"&lt;"&amp;BE243+0.01)),BE243))</f>
        <v>6188.73352</v>
      </c>
      <c r="BT243" s="92" t="n">
        <f aca="false">IF(AD243&gt;=BF243,0,IFERROR(BF243+SUMPRODUCT((AD$4:AD$503&gt;=BF$4:BF$503)*(AD$4:AD$503-BF$4:BF$503))/MAX(1,COUNTIF(AD$4:AD$503,"&lt;"&amp;BF243+0.01)),BF243))</f>
        <v>11354.35411</v>
      </c>
      <c r="BU243" s="92" t="n">
        <f aca="false">IF(AE243&gt;=BG243,0,IFERROR(BG243+SUMPRODUCT((AE$4:AE$503&gt;=BG$4:BG$503)*(AE$4:AE$503-BG$4:BG$503))/MAX(1,COUNTIF(AE$4:AE$503,"&lt;"&amp;BG243+0.01)),BG243))</f>
        <v>7704.85920380952</v>
      </c>
      <c r="BV243" s="92" t="n">
        <f aca="false">IF(AF243&gt;=BH243,0,IFERROR(BH243+SUMPRODUCT((AF$4:AF$503&gt;=BH$4:BH$503)*(AF$4:AF$503-BH$4:BH$503))/MAX(1,COUNTIF(AF$4:AF$503,"&lt;"&amp;BH243+0.01)),BH243))</f>
        <v>9942.6503831579</v>
      </c>
      <c r="BW243" s="92" t="n">
        <f aca="false">IF(AG243&gt;=BI243,0,IFERROR(BI243+SUMPRODUCT((AG$4:AG$503&gt;=BI$4:BI$503)*(AG$4:AG$503-BI$4:BI$503))/MAX(1,COUNTIF(AG$4:AG$503,"&lt;"&amp;BI243+0.01)),BI243))</f>
        <v>9142.15870461538</v>
      </c>
      <c r="BX243" s="92" t="n">
        <f aca="false">IF(AH243&gt;=BJ243,0,IFERROR(BJ243+SUMPRODUCT((AH$4:AH$503&gt;=BJ$4:BJ$503)*(AH$4:AH$503-BJ$4:BJ$503))/MAX(1,COUNTIF(AH$4:AH$503,"&lt;"&amp;BJ243+0.01)),BJ243))</f>
        <v>5621.50263448276</v>
      </c>
      <c r="BY243" s="92" t="n">
        <f aca="false">IF(AI243&gt;=BK243,0,IFERROR(BK243+SUMPRODUCT((AI$4:AI$503&gt;=BK$4:BK$503)*(AI$4:AI$503-BK$4:BK$503))/MAX(1,COUNTIF(AI$4:AI$503,"&lt;"&amp;BK243+0.01)),BK243))</f>
        <v>7878.25652380952</v>
      </c>
      <c r="BZ243" s="92" t="n">
        <f aca="false">IF(AJ243&gt;=BL243,0,IFERROR(BL243+SUMPRODUCT((AJ$4:AJ$503&gt;=BL$4:BL$503)*(AJ$4:AJ$503-BL$4:BL$503))/MAX(1,COUNTIF(AJ$4:AJ$503,"&lt;"&amp;BL243+0.01)),BL243))</f>
        <v>6710.03292307692</v>
      </c>
      <c r="CA243" s="92" t="n">
        <f aca="false">IF(AK243&gt;=BM243,0,IFERROR(BM243+SUMPRODUCT((AK$4:AK$503&gt;=BM$4:BM$503)*(AK$4:AK$503-BM$4:BM$503))/MAX(1,COUNTIF(AK$4:AK$503,"&lt;"&amp;BM243+0.01)),BM243))</f>
        <v>0</v>
      </c>
      <c r="CB243" s="93" t="n">
        <f aca="false">IF(AL243&gt;=BN243,0,IFERROR(BN243+SUMPRODUCT((AL$4:AL$503&gt;=BN$4:BN$503)*(AL$4:AL$503-BN$4:BN$503))/MAX(1,COUNTIF(AL$4:AL$503,"&lt;"&amp;BN243+0.01)),BN243))</f>
        <v>3597.2614925</v>
      </c>
      <c r="CC243" s="95" t="str">
        <f aca="false">IF(AO243="🟢","VERDE",IF(AO243="🟡","AMARELO",IF(AO243="🟠","VERMELHO",IF(AO243="🔴","VERMELHO","ROXO"))))</f>
        <v>VERMELHO</v>
      </c>
      <c r="CD243" s="96" t="s">
        <v>103</v>
      </c>
      <c r="CE243" s="96" t="s">
        <v>104</v>
      </c>
    </row>
    <row r="244" customFormat="false" ht="14.25" hidden="false" customHeight="true" outlineLevel="0" collapsed="false">
      <c r="A244" s="65" t="s">
        <v>622</v>
      </c>
      <c r="B244" s="66" t="s">
        <v>623</v>
      </c>
      <c r="C244" s="67" t="s">
        <v>113</v>
      </c>
      <c r="D244" s="68" t="s">
        <v>100</v>
      </c>
      <c r="E244" s="69" t="s">
        <v>260</v>
      </c>
      <c r="F244" s="70" t="n">
        <f aca="false">IFERROR(VLOOKUP(C244,$AS$3:$AT$10,2,FALSE()),IFERROR(VLOOKUP(C244,$AS$15:$AT$22,2,FALSE()),""))</f>
        <v>49</v>
      </c>
      <c r="G244" s="71" t="n">
        <f aca="false">IFERROR(VLOOKUP(C244,$AS$3:$AX$10,6,FALSE()),IFERROR(VLOOKUP(C244,$AS$15:$AX$22,6,FALSE()),""))</f>
        <v>0.463965086137302</v>
      </c>
      <c r="H244" s="72" t="str">
        <f aca="false">IFERROR(VLOOKUP(C244,$AS$3:$AY$10,7,FALSE()),IFERROR(VLOOKUP(C244,$AS$15:$AY$22,7,FALSE()),""))</f>
        <v>🟡 AMARELO</v>
      </c>
      <c r="I244" s="72" t="str">
        <f aca="false">IFERROR(VLOOKUP(C244,$AS$3:$AZ$10,8,FALSE()),IFERROR(VLOOKUP(C244,$AS$15:$AZ$22,8,FALSE()),""))</f>
        <v>Sell Out</v>
      </c>
      <c r="J244" s="73"/>
      <c r="K244" s="69" t="s">
        <v>113</v>
      </c>
      <c r="L244" s="74" t="n">
        <v>4793.23</v>
      </c>
      <c r="M244" s="75" t="n">
        <v>336.83</v>
      </c>
      <c r="N244" s="75" t="n">
        <v>351.98</v>
      </c>
      <c r="O244" s="75" t="n">
        <v>360.46</v>
      </c>
      <c r="P244" s="75" t="n">
        <v>369.85</v>
      </c>
      <c r="Q244" s="75" t="n">
        <v>381.97</v>
      </c>
      <c r="R244" s="75" t="n">
        <v>391.96</v>
      </c>
      <c r="S244" s="75" t="n">
        <v>407.11</v>
      </c>
      <c r="T244" s="75" t="n">
        <v>417.11</v>
      </c>
      <c r="U244" s="75" t="n">
        <v>426.5</v>
      </c>
      <c r="V244" s="75" t="n">
        <v>437.1</v>
      </c>
      <c r="W244" s="75" t="n">
        <v>448.61</v>
      </c>
      <c r="X244" s="76" t="n">
        <v>463.75</v>
      </c>
      <c r="Y244" s="77" t="s">
        <v>20</v>
      </c>
      <c r="Z244" s="78" t="n">
        <f aca="false">SUM(AA244:AL244)</f>
        <v>1927.6</v>
      </c>
      <c r="AA244" s="75"/>
      <c r="AB244" s="75"/>
      <c r="AC244" s="75"/>
      <c r="AD244" s="75"/>
      <c r="AE244" s="75"/>
      <c r="AF244" s="75"/>
      <c r="AG244" s="75"/>
      <c r="AH244" s="79" t="n">
        <v>1927.6</v>
      </c>
      <c r="AI244" s="75"/>
      <c r="AJ244" s="75"/>
      <c r="AK244" s="75"/>
      <c r="AL244" s="76"/>
      <c r="AM244" s="56" t="s">
        <v>20</v>
      </c>
      <c r="AN244" s="80" t="n">
        <f aca="false">IF(L244=0,0,Z244/L244)</f>
        <v>0.402150533147794</v>
      </c>
      <c r="AO244" s="81" t="str">
        <f aca="false">IF(AN244="","",IF(AN244&gt;=0.9,"🟢",IF(AN244&gt;=0.7,"🟡",IF(AN244&gt;=0.5,"🟠","🔴"))))</f>
        <v>🔴</v>
      </c>
      <c r="AP244" s="82" t="n">
        <f aca="false">IF(L244=0,0,L244-Z244)</f>
        <v>2865.63</v>
      </c>
      <c r="AQ244" s="83" t="n">
        <f aca="false">IF(AP244=0,"",RANK(AP244,AP$4:AP$503,0))</f>
        <v>220</v>
      </c>
      <c r="AR244" s="84" t="s">
        <v>20</v>
      </c>
      <c r="AS244" s="141"/>
      <c r="AT244" s="141"/>
      <c r="AU244" s="141"/>
      <c r="AV244" s="141"/>
      <c r="AW244" s="141"/>
      <c r="AX244" s="141"/>
      <c r="AY244" s="142"/>
      <c r="AZ244" s="142"/>
      <c r="BA244" s="56" t="s">
        <v>20</v>
      </c>
      <c r="BB244" s="91" t="n">
        <f aca="false">SUM(L$4:L$503)/COUNTA(A$4:A$503)</f>
        <v>9494.39992</v>
      </c>
      <c r="BC244" s="92" t="n">
        <f aca="false">SUM(M$4:M$503)/COUNTA(A$4:A$503)</f>
        <v>667.20008</v>
      </c>
      <c r="BD244" s="92" t="n">
        <f aca="false">SUM(N$4:N$503)/COUNTA(A$4:A$503)</f>
        <v>697.19996</v>
      </c>
      <c r="BE244" s="92" t="n">
        <f aca="false">SUM(O$4:O$503)/COUNTA(A$4:A$503)</f>
        <v>713.9999</v>
      </c>
      <c r="BF244" s="92" t="n">
        <f aca="false">SUM(P$4:P$503)/COUNTA(A$4:A$503)</f>
        <v>732.59984</v>
      </c>
      <c r="BG244" s="92" t="n">
        <f aca="false">SUM(Q$4:Q$503)/COUNTA(A$4:A$503)</f>
        <v>756.59992</v>
      </c>
      <c r="BH244" s="92" t="n">
        <f aca="false">SUM(R$4:R$503)/COUNTA(A$4:A$503)</f>
        <v>776.40004</v>
      </c>
      <c r="BI244" s="92" t="n">
        <f aca="false">SUM(S$4:S$503)/COUNTA(A$4:A$503)</f>
        <v>806.40012</v>
      </c>
      <c r="BJ244" s="92" t="n">
        <f aca="false">SUM(T$4:T$503)/COUNTA(A$4:A$503)</f>
        <v>826.1999</v>
      </c>
      <c r="BK244" s="92" t="n">
        <f aca="false">SUM(U$4:U$503)/COUNTA(A$4:A$503)</f>
        <v>844.8002</v>
      </c>
      <c r="BL244" s="92" t="n">
        <f aca="false">SUM(V$4:V$503)/COUNTA(A$4:A$503)</f>
        <v>865.7998</v>
      </c>
      <c r="BM244" s="92" t="n">
        <f aca="false">SUM(W$4:W$503)/COUNTA(A$4:A$503)</f>
        <v>888.59982</v>
      </c>
      <c r="BN244" s="93" t="n">
        <f aca="false">SUM(X$4:X$503)/COUNTA(A$4:A$503)</f>
        <v>918.60034</v>
      </c>
      <c r="BO244" s="94" t="s">
        <v>20</v>
      </c>
      <c r="BP244" s="91" t="n">
        <f aca="false">IF(Z244&gt;=BB244,0,IFERROR(BB244+(SUMPRODUCT((Z$4:Z$503&gt;=BB$4:BB$503)*(Z$4:Z$503-BB$4:BB$503))/MAX(1,COUNTIF(Z$4:Z$503,"&lt;"&amp;BB244+0.01))),BB244))</f>
        <v>10695.5432177778</v>
      </c>
      <c r="BQ244" s="92" t="n">
        <f aca="false">IF(AA244&gt;=BC244,0,IFERROR(BC244+SUMPRODUCT((AA$4:AA$503&gt;=BC$4:BC$503)*(AA$4:AA$503-BC$4:BC$503))/MAX(1,COUNTIF(AA$4:AA$503,"&lt;"&amp;BC244+0.01)),BC244))</f>
        <v>2238.46589176471</v>
      </c>
      <c r="BR244" s="92" t="n">
        <f aca="false">IF(AB244&gt;=BD244,0,IFERROR(BD244+SUMPRODUCT((AB$4:AB$503&gt;=BD$4:BD$503)*(AB$4:AB$503-BD$4:BD$503))/MAX(1,COUNTIF(AB$4:AB$503,"&lt;"&amp;BD244+0.01)),BD244))</f>
        <v>3335.2938</v>
      </c>
      <c r="BS244" s="92" t="n">
        <f aca="false">IF(AC244&gt;=BE244,0,IFERROR(BE244+SUMPRODUCT((AC$4:AC$503&gt;=BE$4:BE$503)*(AC$4:AC$503-BE$4:BE$503))/MAX(1,COUNTIF(AC$4:AC$503,"&lt;"&amp;BE244+0.01)),BE244))</f>
        <v>6188.73352</v>
      </c>
      <c r="BT244" s="92" t="n">
        <f aca="false">IF(AD244&gt;=BF244,0,IFERROR(BF244+SUMPRODUCT((AD$4:AD$503&gt;=BF$4:BF$503)*(AD$4:AD$503-BF$4:BF$503))/MAX(1,COUNTIF(AD$4:AD$503,"&lt;"&amp;BF244+0.01)),BF244))</f>
        <v>11354.35411</v>
      </c>
      <c r="BU244" s="92" t="n">
        <f aca="false">IF(AE244&gt;=BG244,0,IFERROR(BG244+SUMPRODUCT((AE$4:AE$503&gt;=BG$4:BG$503)*(AE$4:AE$503-BG$4:BG$503))/MAX(1,COUNTIF(AE$4:AE$503,"&lt;"&amp;BG244+0.01)),BG244))</f>
        <v>7704.85920380952</v>
      </c>
      <c r="BV244" s="92" t="n">
        <f aca="false">IF(AF244&gt;=BH244,0,IFERROR(BH244+SUMPRODUCT((AF$4:AF$503&gt;=BH$4:BH$503)*(AF$4:AF$503-BH$4:BH$503))/MAX(1,COUNTIF(AF$4:AF$503,"&lt;"&amp;BH244+0.01)),BH244))</f>
        <v>9942.6503831579</v>
      </c>
      <c r="BW244" s="92" t="n">
        <f aca="false">IF(AG244&gt;=BI244,0,IFERROR(BI244+SUMPRODUCT((AG$4:AG$503&gt;=BI$4:BI$503)*(AG$4:AG$503-BI$4:BI$503))/MAX(1,COUNTIF(AG$4:AG$503,"&lt;"&amp;BI244+0.01)),BI244))</f>
        <v>9142.15870461538</v>
      </c>
      <c r="BX244" s="92" t="n">
        <f aca="false">IF(AH244&gt;=BJ244,0,IFERROR(BJ244+SUMPRODUCT((AH$4:AH$503&gt;=BJ$4:BJ$503)*(AH$4:AH$503-BJ$4:BJ$503))/MAX(1,COUNTIF(AH$4:AH$503,"&lt;"&amp;BJ244+0.01)),BJ244))</f>
        <v>0</v>
      </c>
      <c r="BY244" s="92" t="n">
        <f aca="false">IF(AI244&gt;=BK244,0,IFERROR(BK244+SUMPRODUCT((AI$4:AI$503&gt;=BK$4:BK$503)*(AI$4:AI$503-BK$4:BK$503))/MAX(1,COUNTIF(AI$4:AI$503,"&lt;"&amp;BK244+0.01)),BK244))</f>
        <v>7878.25652380952</v>
      </c>
      <c r="BZ244" s="92" t="n">
        <f aca="false">IF(AJ244&gt;=BL244,0,IFERROR(BL244+SUMPRODUCT((AJ$4:AJ$503&gt;=BL$4:BL$503)*(AJ$4:AJ$503-BL$4:BL$503))/MAX(1,COUNTIF(AJ$4:AJ$503,"&lt;"&amp;BL244+0.01)),BL244))</f>
        <v>6710.03292307692</v>
      </c>
      <c r="CA244" s="92" t="n">
        <f aca="false">IF(AK244&gt;=BM244,0,IFERROR(BM244+SUMPRODUCT((AK$4:AK$503&gt;=BM$4:BM$503)*(AK$4:AK$503-BM$4:BM$503))/MAX(1,COUNTIF(AK$4:AK$503,"&lt;"&amp;BM244+0.01)),BM244))</f>
        <v>7314.89836842105</v>
      </c>
      <c r="CB244" s="93" t="n">
        <f aca="false">IF(AL244&gt;=BN244,0,IFERROR(BN244+SUMPRODUCT((AL$4:AL$503&gt;=BN$4:BN$503)*(AL$4:AL$503-BN$4:BN$503))/MAX(1,COUNTIF(AL$4:AL$503,"&lt;"&amp;BN244+0.01)),BN244))</f>
        <v>3597.2614925</v>
      </c>
      <c r="CC244" s="95" t="str">
        <f aca="false">IF(AO244="🟢","VERDE",IF(AO244="🟡","AMARELO",IF(AO244="🟠","VERMELHO",IF(AO244="🔴","VERMELHO","ROXO"))))</f>
        <v>VERMELHO</v>
      </c>
      <c r="CD244" s="96" t="s">
        <v>103</v>
      </c>
      <c r="CE244" s="96" t="s">
        <v>104</v>
      </c>
    </row>
    <row r="245" customFormat="false" ht="14.25" hidden="false" customHeight="true" outlineLevel="0" collapsed="false">
      <c r="A245" s="65" t="s">
        <v>624</v>
      </c>
      <c r="B245" s="66" t="s">
        <v>625</v>
      </c>
      <c r="C245" s="66" t="s">
        <v>115</v>
      </c>
      <c r="D245" s="68" t="s">
        <v>184</v>
      </c>
      <c r="E245" s="69" t="s">
        <v>109</v>
      </c>
      <c r="F245" s="70" t="n">
        <f aca="false">IFERROR(VLOOKUP(C245,$AS$3:$AT$10,2,FALSE()),IFERROR(VLOOKUP(C245,$AS$15:$AT$22,2,FALSE()),""))</f>
        <v>25</v>
      </c>
      <c r="G245" s="71" t="n">
        <f aca="false">IFERROR(VLOOKUP(C245,$AS$3:$AX$10,6,FALSE()),IFERROR(VLOOKUP(C245,$AS$15:$AX$22,6,FALSE()),""))</f>
        <v>0.536751750851081</v>
      </c>
      <c r="H245" s="72" t="str">
        <f aca="false">IFERROR(VLOOKUP(C245,$AS$3:$AY$10,7,FALSE()),IFERROR(VLOOKUP(C245,$AS$15:$AY$22,7,FALSE()),""))</f>
        <v>🟡 AMARELO</v>
      </c>
      <c r="I245" s="72" t="str">
        <f aca="false">IFERROR(VLOOKUP(C245,$AS$3:$AZ$10,8,FALSE()),IFERROR(VLOOKUP(C245,$AS$15:$AZ$22,8,FALSE()),""))</f>
        <v>Sell Out</v>
      </c>
      <c r="J245" s="73"/>
      <c r="K245" s="69" t="s">
        <v>107</v>
      </c>
      <c r="L245" s="74" t="n">
        <v>4742.19</v>
      </c>
      <c r="M245" s="75" t="n">
        <v>333.25</v>
      </c>
      <c r="N245" s="75" t="n">
        <v>348.23</v>
      </c>
      <c r="O245" s="75" t="n">
        <v>356.62</v>
      </c>
      <c r="P245" s="75" t="n">
        <v>365.91</v>
      </c>
      <c r="Q245" s="75" t="n">
        <v>377.9</v>
      </c>
      <c r="R245" s="75" t="n">
        <v>387.79</v>
      </c>
      <c r="S245" s="75" t="n">
        <v>402.78</v>
      </c>
      <c r="T245" s="75" t="n">
        <v>412.66</v>
      </c>
      <c r="U245" s="75" t="n">
        <v>421.96</v>
      </c>
      <c r="V245" s="75" t="n">
        <v>432.44</v>
      </c>
      <c r="W245" s="75" t="n">
        <v>443.83</v>
      </c>
      <c r="X245" s="76" t="n">
        <v>458.82</v>
      </c>
      <c r="Y245" s="77" t="s">
        <v>20</v>
      </c>
      <c r="Z245" s="78" t="n">
        <f aca="false">SUM(AA245:AL245)</f>
        <v>2051.59</v>
      </c>
      <c r="AA245" s="75"/>
      <c r="AB245" s="75"/>
      <c r="AC245" s="75"/>
      <c r="AD245" s="75"/>
      <c r="AE245" s="75"/>
      <c r="AF245" s="75"/>
      <c r="AG245" s="79" t="n">
        <v>770.86</v>
      </c>
      <c r="AH245" s="75"/>
      <c r="AI245" s="75"/>
      <c r="AJ245" s="79" t="n">
        <v>603</v>
      </c>
      <c r="AK245" s="75"/>
      <c r="AL245" s="107" t="n">
        <v>677.73</v>
      </c>
      <c r="AM245" s="56" t="s">
        <v>20</v>
      </c>
      <c r="AN245" s="80" t="n">
        <f aca="false">IF(L245=0,0,Z245/L245)</f>
        <v>0.432625010807243</v>
      </c>
      <c r="AO245" s="81" t="str">
        <f aca="false">IF(AN245="","",IF(AN245&gt;=0.9,"🟢",IF(AN245&gt;=0.7,"🟡",IF(AN245&gt;=0.5,"🟠","🔴"))))</f>
        <v>🔴</v>
      </c>
      <c r="AP245" s="82" t="n">
        <f aca="false">IF(L245=0,0,L245-Z245)</f>
        <v>2690.6</v>
      </c>
      <c r="AQ245" s="83" t="n">
        <f aca="false">IF(AP245=0,"",RANK(AP245,AP$4:AP$503,0))</f>
        <v>228</v>
      </c>
      <c r="AR245" s="84" t="s">
        <v>20</v>
      </c>
      <c r="AS245" s="141"/>
      <c r="AT245" s="141"/>
      <c r="AU245" s="141"/>
      <c r="AV245" s="141"/>
      <c r="AW245" s="141"/>
      <c r="AX245" s="141"/>
      <c r="AY245" s="142"/>
      <c r="AZ245" s="142"/>
      <c r="BA245" s="56" t="s">
        <v>20</v>
      </c>
      <c r="BB245" s="91" t="n">
        <f aca="false">SUM(L$4:L$503)/COUNTA(A$4:A$503)</f>
        <v>9494.39992</v>
      </c>
      <c r="BC245" s="92" t="n">
        <f aca="false">SUM(M$4:M$503)/COUNTA(A$4:A$503)</f>
        <v>667.20008</v>
      </c>
      <c r="BD245" s="92" t="n">
        <f aca="false">SUM(N$4:N$503)/COUNTA(A$4:A$503)</f>
        <v>697.19996</v>
      </c>
      <c r="BE245" s="92" t="n">
        <f aca="false">SUM(O$4:O$503)/COUNTA(A$4:A$503)</f>
        <v>713.9999</v>
      </c>
      <c r="BF245" s="92" t="n">
        <f aca="false">SUM(P$4:P$503)/COUNTA(A$4:A$503)</f>
        <v>732.59984</v>
      </c>
      <c r="BG245" s="92" t="n">
        <f aca="false">SUM(Q$4:Q$503)/COUNTA(A$4:A$503)</f>
        <v>756.59992</v>
      </c>
      <c r="BH245" s="92" t="n">
        <f aca="false">SUM(R$4:R$503)/COUNTA(A$4:A$503)</f>
        <v>776.40004</v>
      </c>
      <c r="BI245" s="92" t="n">
        <f aca="false">SUM(S$4:S$503)/COUNTA(A$4:A$503)</f>
        <v>806.40012</v>
      </c>
      <c r="BJ245" s="92" t="n">
        <f aca="false">SUM(T$4:T$503)/COUNTA(A$4:A$503)</f>
        <v>826.1999</v>
      </c>
      <c r="BK245" s="92" t="n">
        <f aca="false">SUM(U$4:U$503)/COUNTA(A$4:A$503)</f>
        <v>844.8002</v>
      </c>
      <c r="BL245" s="92" t="n">
        <f aca="false">SUM(V$4:V$503)/COUNTA(A$4:A$503)</f>
        <v>865.7998</v>
      </c>
      <c r="BM245" s="92" t="n">
        <f aca="false">SUM(W$4:W$503)/COUNTA(A$4:A$503)</f>
        <v>888.59982</v>
      </c>
      <c r="BN245" s="93" t="n">
        <f aca="false">SUM(X$4:X$503)/COUNTA(A$4:A$503)</f>
        <v>918.60034</v>
      </c>
      <c r="BO245" s="94" t="s">
        <v>20</v>
      </c>
      <c r="BP245" s="91" t="n">
        <f aca="false">IF(Z245&gt;=BB245,0,IFERROR(BB245+(SUMPRODUCT((Z$4:Z$503&gt;=BB$4:BB$503)*(Z$4:Z$503-BB$4:BB$503))/MAX(1,COUNTIF(Z$4:Z$503,"&lt;"&amp;BB245+0.01))),BB245))</f>
        <v>10695.5432177778</v>
      </c>
      <c r="BQ245" s="92" t="n">
        <f aca="false">IF(AA245&gt;=BC245,0,IFERROR(BC245+SUMPRODUCT((AA$4:AA$503&gt;=BC$4:BC$503)*(AA$4:AA$503-BC$4:BC$503))/MAX(1,COUNTIF(AA$4:AA$503,"&lt;"&amp;BC245+0.01)),BC245))</f>
        <v>2238.46589176471</v>
      </c>
      <c r="BR245" s="92" t="n">
        <f aca="false">IF(AB245&gt;=BD245,0,IFERROR(BD245+SUMPRODUCT((AB$4:AB$503&gt;=BD$4:BD$503)*(AB$4:AB$503-BD$4:BD$503))/MAX(1,COUNTIF(AB$4:AB$503,"&lt;"&amp;BD245+0.01)),BD245))</f>
        <v>3335.2938</v>
      </c>
      <c r="BS245" s="92" t="n">
        <f aca="false">IF(AC245&gt;=BE245,0,IFERROR(BE245+SUMPRODUCT((AC$4:AC$503&gt;=BE$4:BE$503)*(AC$4:AC$503-BE$4:BE$503))/MAX(1,COUNTIF(AC$4:AC$503,"&lt;"&amp;BE245+0.01)),BE245))</f>
        <v>6188.73352</v>
      </c>
      <c r="BT245" s="92" t="n">
        <f aca="false">IF(AD245&gt;=BF245,0,IFERROR(BF245+SUMPRODUCT((AD$4:AD$503&gt;=BF$4:BF$503)*(AD$4:AD$503-BF$4:BF$503))/MAX(1,COUNTIF(AD$4:AD$503,"&lt;"&amp;BF245+0.01)),BF245))</f>
        <v>11354.35411</v>
      </c>
      <c r="BU245" s="92" t="n">
        <f aca="false">IF(AE245&gt;=BG245,0,IFERROR(BG245+SUMPRODUCT((AE$4:AE$503&gt;=BG$4:BG$503)*(AE$4:AE$503-BG$4:BG$503))/MAX(1,COUNTIF(AE$4:AE$503,"&lt;"&amp;BG245+0.01)),BG245))</f>
        <v>7704.85920380952</v>
      </c>
      <c r="BV245" s="92" t="n">
        <f aca="false">IF(AF245&gt;=BH245,0,IFERROR(BH245+SUMPRODUCT((AF$4:AF$503&gt;=BH$4:BH$503)*(AF$4:AF$503-BH$4:BH$503))/MAX(1,COUNTIF(AF$4:AF$503,"&lt;"&amp;BH245+0.01)),BH245))</f>
        <v>9942.6503831579</v>
      </c>
      <c r="BW245" s="92" t="n">
        <f aca="false">IF(AG245&gt;=BI245,0,IFERROR(BI245+SUMPRODUCT((AG$4:AG$503&gt;=BI$4:BI$503)*(AG$4:AG$503-BI$4:BI$503))/MAX(1,COUNTIF(AG$4:AG$503,"&lt;"&amp;BI245+0.01)),BI245))</f>
        <v>9142.15870461538</v>
      </c>
      <c r="BX245" s="92" t="n">
        <f aca="false">IF(AH245&gt;=BJ245,0,IFERROR(BJ245+SUMPRODUCT((AH$4:AH$503&gt;=BJ$4:BJ$503)*(AH$4:AH$503-BJ$4:BJ$503))/MAX(1,COUNTIF(AH$4:AH$503,"&lt;"&amp;BJ245+0.01)),BJ245))</f>
        <v>5621.50263448276</v>
      </c>
      <c r="BY245" s="92" t="n">
        <f aca="false">IF(AI245&gt;=BK245,0,IFERROR(BK245+SUMPRODUCT((AI$4:AI$503&gt;=BK$4:BK$503)*(AI$4:AI$503-BK$4:BK$503))/MAX(1,COUNTIF(AI$4:AI$503,"&lt;"&amp;BK245+0.01)),BK245))</f>
        <v>7878.25652380952</v>
      </c>
      <c r="BZ245" s="92" t="n">
        <f aca="false">IF(AJ245&gt;=BL245,0,IFERROR(BL245+SUMPRODUCT((AJ$4:AJ$503&gt;=BL$4:BL$503)*(AJ$4:AJ$503-BL$4:BL$503))/MAX(1,COUNTIF(AJ$4:AJ$503,"&lt;"&amp;BL245+0.01)),BL245))</f>
        <v>6710.03292307692</v>
      </c>
      <c r="CA245" s="92" t="n">
        <f aca="false">IF(AK245&gt;=BM245,0,IFERROR(BM245+SUMPRODUCT((AK$4:AK$503&gt;=BM$4:BM$503)*(AK$4:AK$503-BM$4:BM$503))/MAX(1,COUNTIF(AK$4:AK$503,"&lt;"&amp;BM245+0.01)),BM245))</f>
        <v>7314.89836842105</v>
      </c>
      <c r="CB245" s="93" t="n">
        <f aca="false">IF(AL245&gt;=BN245,0,IFERROR(BN245+SUMPRODUCT((AL$4:AL$503&gt;=BN$4:BN$503)*(AL$4:AL$503-BN$4:BN$503))/MAX(1,COUNTIF(AL$4:AL$503,"&lt;"&amp;BN245+0.01)),BN245))</f>
        <v>3597.2614925</v>
      </c>
      <c r="CC245" s="95" t="str">
        <f aca="false">IF(AO245="🟢","VERDE",IF(AO245="🟡","AMARELO",IF(AO245="🟠","VERMELHO",IF(AO245="🔴","VERMELHO","ROXO"))))</f>
        <v>VERMELHO</v>
      </c>
      <c r="CD245" s="96" t="s">
        <v>176</v>
      </c>
      <c r="CE245" s="96" t="s">
        <v>115</v>
      </c>
    </row>
    <row r="246" customFormat="false" ht="14.25" hidden="false" customHeight="true" outlineLevel="0" collapsed="false">
      <c r="A246" s="65" t="s">
        <v>626</v>
      </c>
      <c r="B246" s="66" t="s">
        <v>627</v>
      </c>
      <c r="C246" s="67" t="s">
        <v>99</v>
      </c>
      <c r="D246" s="68" t="s">
        <v>100</v>
      </c>
      <c r="E246" s="69" t="s">
        <v>101</v>
      </c>
      <c r="F246" s="70" t="n">
        <f aca="false">IFERROR(VLOOKUP(C246,$AS$3:$AT$10,2,FALSE()),IFERROR(VLOOKUP(C246,$AS$15:$AT$22,2,FALSE()),""))</f>
        <v>33</v>
      </c>
      <c r="G246" s="71" t="n">
        <f aca="false">IFERROR(VLOOKUP(C246,$AS$3:$AX$10,6,FALSE()),IFERROR(VLOOKUP(C246,$AS$15:$AX$22,6,FALSE()),""))</f>
        <v>0.341494038351172</v>
      </c>
      <c r="H246" s="72" t="str">
        <f aca="false">IFERROR(VLOOKUP(C246,$AS$3:$AY$10,7,FALSE()),IFERROR(VLOOKUP(C246,$AS$15:$AY$22,7,FALSE()),""))</f>
        <v>🔴 VERMELHO</v>
      </c>
      <c r="I246" s="72" t="str">
        <f aca="false">IFERROR(VLOOKUP(C246,$AS$3:$AZ$10,8,FALSE()),IFERROR(VLOOKUP(C246,$AS$15:$AZ$22,8,FALSE()),""))</f>
        <v>Positivação + Expandir</v>
      </c>
      <c r="J246" s="73"/>
      <c r="K246" s="69" t="s">
        <v>99</v>
      </c>
      <c r="L246" s="74" t="n">
        <v>4730.07</v>
      </c>
      <c r="M246" s="75" t="n">
        <v>332.4</v>
      </c>
      <c r="N246" s="75" t="n">
        <v>347.34</v>
      </c>
      <c r="O246" s="75" t="n">
        <v>355.71</v>
      </c>
      <c r="P246" s="75" t="n">
        <v>364.98</v>
      </c>
      <c r="Q246" s="75" t="n">
        <v>376.93</v>
      </c>
      <c r="R246" s="75" t="n">
        <v>386.8</v>
      </c>
      <c r="S246" s="75" t="n">
        <v>401.74</v>
      </c>
      <c r="T246" s="75" t="n">
        <v>411.61</v>
      </c>
      <c r="U246" s="75" t="n">
        <v>420.88</v>
      </c>
      <c r="V246" s="75" t="n">
        <v>431.34</v>
      </c>
      <c r="W246" s="75" t="n">
        <v>442.7</v>
      </c>
      <c r="X246" s="76" t="n">
        <v>457.64</v>
      </c>
      <c r="Y246" s="77" t="s">
        <v>20</v>
      </c>
      <c r="Z246" s="78" t="n">
        <f aca="false">SUM(AA246:AL246)</f>
        <v>2113.33</v>
      </c>
      <c r="AA246" s="75"/>
      <c r="AB246" s="75"/>
      <c r="AC246" s="75"/>
      <c r="AD246" s="75"/>
      <c r="AE246" s="75"/>
      <c r="AF246" s="75"/>
      <c r="AG246" s="79" t="n">
        <v>896.65</v>
      </c>
      <c r="AH246" s="75"/>
      <c r="AI246" s="79" t="n">
        <v>1216.68</v>
      </c>
      <c r="AJ246" s="75"/>
      <c r="AK246" s="75"/>
      <c r="AL246" s="76"/>
      <c r="AM246" s="56" t="s">
        <v>20</v>
      </c>
      <c r="AN246" s="80" t="n">
        <f aca="false">IF(L246=0,0,Z246/L246)</f>
        <v>0.446786199781399</v>
      </c>
      <c r="AO246" s="81" t="str">
        <f aca="false">IF(AN246="","",IF(AN246&gt;=0.9,"🟢",IF(AN246&gt;=0.7,"🟡",IF(AN246&gt;=0.5,"🟠","🔴"))))</f>
        <v>🔴</v>
      </c>
      <c r="AP246" s="82" t="n">
        <f aca="false">IF(L246=0,0,L246-Z246)</f>
        <v>2616.74</v>
      </c>
      <c r="AQ246" s="83" t="n">
        <f aca="false">IF(AP246=0,"",RANK(AP246,AP$4:AP$503,0))</f>
        <v>234</v>
      </c>
      <c r="AR246" s="84" t="s">
        <v>20</v>
      </c>
      <c r="AS246" s="141"/>
      <c r="AT246" s="141"/>
      <c r="AU246" s="141"/>
      <c r="AV246" s="141"/>
      <c r="AW246" s="141"/>
      <c r="AX246" s="141"/>
      <c r="AY246" s="142"/>
      <c r="AZ246" s="142"/>
      <c r="BA246" s="56" t="s">
        <v>20</v>
      </c>
      <c r="BB246" s="91" t="n">
        <f aca="false">SUM(L$4:L$503)/COUNTA(A$4:A$503)</f>
        <v>9494.39992</v>
      </c>
      <c r="BC246" s="92" t="n">
        <f aca="false">SUM(M$4:M$503)/COUNTA(A$4:A$503)</f>
        <v>667.20008</v>
      </c>
      <c r="BD246" s="92" t="n">
        <f aca="false">SUM(N$4:N$503)/COUNTA(A$4:A$503)</f>
        <v>697.19996</v>
      </c>
      <c r="BE246" s="92" t="n">
        <f aca="false">SUM(O$4:O$503)/COUNTA(A$4:A$503)</f>
        <v>713.9999</v>
      </c>
      <c r="BF246" s="92" t="n">
        <f aca="false">SUM(P$4:P$503)/COUNTA(A$4:A$503)</f>
        <v>732.59984</v>
      </c>
      <c r="BG246" s="92" t="n">
        <f aca="false">SUM(Q$4:Q$503)/COUNTA(A$4:A$503)</f>
        <v>756.59992</v>
      </c>
      <c r="BH246" s="92" t="n">
        <f aca="false">SUM(R$4:R$503)/COUNTA(A$4:A$503)</f>
        <v>776.40004</v>
      </c>
      <c r="BI246" s="92" t="n">
        <f aca="false">SUM(S$4:S$503)/COUNTA(A$4:A$503)</f>
        <v>806.40012</v>
      </c>
      <c r="BJ246" s="92" t="n">
        <f aca="false">SUM(T$4:T$503)/COUNTA(A$4:A$503)</f>
        <v>826.1999</v>
      </c>
      <c r="BK246" s="92" t="n">
        <f aca="false">SUM(U$4:U$503)/COUNTA(A$4:A$503)</f>
        <v>844.8002</v>
      </c>
      <c r="BL246" s="92" t="n">
        <f aca="false">SUM(V$4:V$503)/COUNTA(A$4:A$503)</f>
        <v>865.7998</v>
      </c>
      <c r="BM246" s="92" t="n">
        <f aca="false">SUM(W$4:W$503)/COUNTA(A$4:A$503)</f>
        <v>888.59982</v>
      </c>
      <c r="BN246" s="93" t="n">
        <f aca="false">SUM(X$4:X$503)/COUNTA(A$4:A$503)</f>
        <v>918.60034</v>
      </c>
      <c r="BO246" s="94" t="s">
        <v>20</v>
      </c>
      <c r="BP246" s="91" t="n">
        <f aca="false">IF(Z246&gt;=BB246,0,IFERROR(BB246+(SUMPRODUCT((Z$4:Z$503&gt;=BB$4:BB$503)*(Z$4:Z$503-BB$4:BB$503))/MAX(1,COUNTIF(Z$4:Z$503,"&lt;"&amp;BB246+0.01))),BB246))</f>
        <v>10695.5432177778</v>
      </c>
      <c r="BQ246" s="92" t="n">
        <f aca="false">IF(AA246&gt;=BC246,0,IFERROR(BC246+SUMPRODUCT((AA$4:AA$503&gt;=BC$4:BC$503)*(AA$4:AA$503-BC$4:BC$503))/MAX(1,COUNTIF(AA$4:AA$503,"&lt;"&amp;BC246+0.01)),BC246))</f>
        <v>2238.46589176471</v>
      </c>
      <c r="BR246" s="92" t="n">
        <f aca="false">IF(AB246&gt;=BD246,0,IFERROR(BD246+SUMPRODUCT((AB$4:AB$503&gt;=BD$4:BD$503)*(AB$4:AB$503-BD$4:BD$503))/MAX(1,COUNTIF(AB$4:AB$503,"&lt;"&amp;BD246+0.01)),BD246))</f>
        <v>3335.2938</v>
      </c>
      <c r="BS246" s="92" t="n">
        <f aca="false">IF(AC246&gt;=BE246,0,IFERROR(BE246+SUMPRODUCT((AC$4:AC$503&gt;=BE$4:BE$503)*(AC$4:AC$503-BE$4:BE$503))/MAX(1,COUNTIF(AC$4:AC$503,"&lt;"&amp;BE246+0.01)),BE246))</f>
        <v>6188.73352</v>
      </c>
      <c r="BT246" s="92" t="n">
        <f aca="false">IF(AD246&gt;=BF246,0,IFERROR(BF246+SUMPRODUCT((AD$4:AD$503&gt;=BF$4:BF$503)*(AD$4:AD$503-BF$4:BF$503))/MAX(1,COUNTIF(AD$4:AD$503,"&lt;"&amp;BF246+0.01)),BF246))</f>
        <v>11354.35411</v>
      </c>
      <c r="BU246" s="92" t="n">
        <f aca="false">IF(AE246&gt;=BG246,0,IFERROR(BG246+SUMPRODUCT((AE$4:AE$503&gt;=BG$4:BG$503)*(AE$4:AE$503-BG$4:BG$503))/MAX(1,COUNTIF(AE$4:AE$503,"&lt;"&amp;BG246+0.01)),BG246))</f>
        <v>7704.85920380952</v>
      </c>
      <c r="BV246" s="92" t="n">
        <f aca="false">IF(AF246&gt;=BH246,0,IFERROR(BH246+SUMPRODUCT((AF$4:AF$503&gt;=BH$4:BH$503)*(AF$4:AF$503-BH$4:BH$503))/MAX(1,COUNTIF(AF$4:AF$503,"&lt;"&amp;BH246+0.01)),BH246))</f>
        <v>9942.6503831579</v>
      </c>
      <c r="BW246" s="92" t="n">
        <f aca="false">IF(AG246&gt;=BI246,0,IFERROR(BI246+SUMPRODUCT((AG$4:AG$503&gt;=BI$4:BI$503)*(AG$4:AG$503-BI$4:BI$503))/MAX(1,COUNTIF(AG$4:AG$503,"&lt;"&amp;BI246+0.01)),BI246))</f>
        <v>0</v>
      </c>
      <c r="BX246" s="92" t="n">
        <f aca="false">IF(AH246&gt;=BJ246,0,IFERROR(BJ246+SUMPRODUCT((AH$4:AH$503&gt;=BJ$4:BJ$503)*(AH$4:AH$503-BJ$4:BJ$503))/MAX(1,COUNTIF(AH$4:AH$503,"&lt;"&amp;BJ246+0.01)),BJ246))</f>
        <v>5621.50263448276</v>
      </c>
      <c r="BY246" s="92" t="n">
        <f aca="false">IF(AI246&gt;=BK246,0,IFERROR(BK246+SUMPRODUCT((AI$4:AI$503&gt;=BK$4:BK$503)*(AI$4:AI$503-BK$4:BK$503))/MAX(1,COUNTIF(AI$4:AI$503,"&lt;"&amp;BK246+0.01)),BK246))</f>
        <v>0</v>
      </c>
      <c r="BZ246" s="92" t="n">
        <f aca="false">IF(AJ246&gt;=BL246,0,IFERROR(BL246+SUMPRODUCT((AJ$4:AJ$503&gt;=BL$4:BL$503)*(AJ$4:AJ$503-BL$4:BL$503))/MAX(1,COUNTIF(AJ$4:AJ$503,"&lt;"&amp;BL246+0.01)),BL246))</f>
        <v>6710.03292307692</v>
      </c>
      <c r="CA246" s="92" t="n">
        <f aca="false">IF(AK246&gt;=BM246,0,IFERROR(BM246+SUMPRODUCT((AK$4:AK$503&gt;=BM$4:BM$503)*(AK$4:AK$503-BM$4:BM$503))/MAX(1,COUNTIF(AK$4:AK$503,"&lt;"&amp;BM246+0.01)),BM246))</f>
        <v>7314.89836842105</v>
      </c>
      <c r="CB246" s="93" t="n">
        <f aca="false">IF(AL246&gt;=BN246,0,IFERROR(BN246+SUMPRODUCT((AL$4:AL$503&gt;=BN$4:BN$503)*(AL$4:AL$503-BN$4:BN$503))/MAX(1,COUNTIF(AL$4:AL$503,"&lt;"&amp;BN246+0.01)),BN246))</f>
        <v>3597.2614925</v>
      </c>
      <c r="CC246" s="95" t="str">
        <f aca="false">IF(AO246="🟢","VERDE",IF(AO246="🟡","AMARELO",IF(AO246="🟠","VERMELHO",IF(AO246="🔴","VERMELHO","ROXO"))))</f>
        <v>VERMELHO</v>
      </c>
      <c r="CD246" s="96" t="s">
        <v>103</v>
      </c>
      <c r="CE246" s="96" t="s">
        <v>104</v>
      </c>
    </row>
    <row r="247" customFormat="false" ht="14.25" hidden="false" customHeight="true" outlineLevel="0" collapsed="false">
      <c r="A247" s="65" t="s">
        <v>628</v>
      </c>
      <c r="B247" s="66" t="s">
        <v>629</v>
      </c>
      <c r="C247" s="67" t="s">
        <v>113</v>
      </c>
      <c r="D247" s="68" t="s">
        <v>100</v>
      </c>
      <c r="E247" s="69" t="s">
        <v>250</v>
      </c>
      <c r="F247" s="70" t="n">
        <f aca="false">IFERROR(VLOOKUP(C247,$AS$3:$AT$10,2,FALSE()),IFERROR(VLOOKUP(C247,$AS$15:$AT$22,2,FALSE()),""))</f>
        <v>49</v>
      </c>
      <c r="G247" s="71" t="n">
        <f aca="false">IFERROR(VLOOKUP(C247,$AS$3:$AX$10,6,FALSE()),IFERROR(VLOOKUP(C247,$AS$15:$AX$22,6,FALSE()),""))</f>
        <v>0.463965086137302</v>
      </c>
      <c r="H247" s="72" t="str">
        <f aca="false">IFERROR(VLOOKUP(C247,$AS$3:$AY$10,7,FALSE()),IFERROR(VLOOKUP(C247,$AS$15:$AY$22,7,FALSE()),""))</f>
        <v>🟡 AMARELO</v>
      </c>
      <c r="I247" s="72" t="str">
        <f aca="false">IFERROR(VLOOKUP(C247,$AS$3:$AZ$10,8,FALSE()),IFERROR(VLOOKUP(C247,$AS$15:$AZ$22,8,FALSE()),""))</f>
        <v>Sell Out</v>
      </c>
      <c r="J247" s="73"/>
      <c r="K247" s="69" t="s">
        <v>113</v>
      </c>
      <c r="L247" s="74" t="n">
        <v>4719.12</v>
      </c>
      <c r="M247" s="75" t="n">
        <v>331.63</v>
      </c>
      <c r="N247" s="75" t="n">
        <v>346.54</v>
      </c>
      <c r="O247" s="75" t="n">
        <v>354.89</v>
      </c>
      <c r="P247" s="75" t="n">
        <v>364.13</v>
      </c>
      <c r="Q247" s="75" t="n">
        <v>376.06</v>
      </c>
      <c r="R247" s="75" t="n">
        <v>385.9</v>
      </c>
      <c r="S247" s="75" t="n">
        <v>400.82</v>
      </c>
      <c r="T247" s="75" t="n">
        <v>410.66</v>
      </c>
      <c r="U247" s="75" t="n">
        <v>419.9</v>
      </c>
      <c r="V247" s="75" t="n">
        <v>430.34</v>
      </c>
      <c r="W247" s="75" t="n">
        <v>441.67</v>
      </c>
      <c r="X247" s="76" t="n">
        <v>456.58</v>
      </c>
      <c r="Y247" s="77" t="s">
        <v>20</v>
      </c>
      <c r="Z247" s="78" t="n">
        <f aca="false">SUM(AA247:AL247)</f>
        <v>2005.32</v>
      </c>
      <c r="AA247" s="75"/>
      <c r="AB247" s="75"/>
      <c r="AC247" s="75"/>
      <c r="AD247" s="79" t="n">
        <v>799.2</v>
      </c>
      <c r="AE247" s="75"/>
      <c r="AF247" s="75"/>
      <c r="AG247" s="75"/>
      <c r="AH247" s="75"/>
      <c r="AI247" s="79" t="n">
        <v>1206.12</v>
      </c>
      <c r="AJ247" s="75"/>
      <c r="AK247" s="75"/>
      <c r="AL247" s="76"/>
      <c r="AM247" s="56" t="s">
        <v>20</v>
      </c>
      <c r="AN247" s="80" t="n">
        <f aca="false">IF(L247=0,0,Z247/L247)</f>
        <v>0.424935157402228</v>
      </c>
      <c r="AO247" s="81" t="str">
        <f aca="false">IF(AN247="","",IF(AN247&gt;=0.9,"🟢",IF(AN247&gt;=0.7,"🟡",IF(AN247&gt;=0.5,"🟠","🔴"))))</f>
        <v>🔴</v>
      </c>
      <c r="AP247" s="82" t="n">
        <f aca="false">IF(L247=0,0,L247-Z247)</f>
        <v>2713.8</v>
      </c>
      <c r="AQ247" s="83" t="n">
        <f aca="false">IF(AP247=0,"",RANK(AP247,AP$4:AP$503,0))</f>
        <v>226</v>
      </c>
      <c r="AR247" s="84" t="s">
        <v>20</v>
      </c>
      <c r="AS247" s="141"/>
      <c r="AT247" s="141"/>
      <c r="AU247" s="141"/>
      <c r="AV247" s="141"/>
      <c r="AW247" s="141"/>
      <c r="AX247" s="141"/>
      <c r="AY247" s="142"/>
      <c r="AZ247" s="142"/>
      <c r="BA247" s="56" t="s">
        <v>20</v>
      </c>
      <c r="BB247" s="91" t="n">
        <f aca="false">SUM(L$4:L$503)/COUNTA(A$4:A$503)</f>
        <v>9494.39992</v>
      </c>
      <c r="BC247" s="92" t="n">
        <f aca="false">SUM(M$4:M$503)/COUNTA(A$4:A$503)</f>
        <v>667.20008</v>
      </c>
      <c r="BD247" s="92" t="n">
        <f aca="false">SUM(N$4:N$503)/COUNTA(A$4:A$503)</f>
        <v>697.19996</v>
      </c>
      <c r="BE247" s="92" t="n">
        <f aca="false">SUM(O$4:O$503)/COUNTA(A$4:A$503)</f>
        <v>713.9999</v>
      </c>
      <c r="BF247" s="92" t="n">
        <f aca="false">SUM(P$4:P$503)/COUNTA(A$4:A$503)</f>
        <v>732.59984</v>
      </c>
      <c r="BG247" s="92" t="n">
        <f aca="false">SUM(Q$4:Q$503)/COUNTA(A$4:A$503)</f>
        <v>756.59992</v>
      </c>
      <c r="BH247" s="92" t="n">
        <f aca="false">SUM(R$4:R$503)/COUNTA(A$4:A$503)</f>
        <v>776.40004</v>
      </c>
      <c r="BI247" s="92" t="n">
        <f aca="false">SUM(S$4:S$503)/COUNTA(A$4:A$503)</f>
        <v>806.40012</v>
      </c>
      <c r="BJ247" s="92" t="n">
        <f aca="false">SUM(T$4:T$503)/COUNTA(A$4:A$503)</f>
        <v>826.1999</v>
      </c>
      <c r="BK247" s="92" t="n">
        <f aca="false">SUM(U$4:U$503)/COUNTA(A$4:A$503)</f>
        <v>844.8002</v>
      </c>
      <c r="BL247" s="92" t="n">
        <f aca="false">SUM(V$4:V$503)/COUNTA(A$4:A$503)</f>
        <v>865.7998</v>
      </c>
      <c r="BM247" s="92" t="n">
        <f aca="false">SUM(W$4:W$503)/COUNTA(A$4:A$503)</f>
        <v>888.59982</v>
      </c>
      <c r="BN247" s="93" t="n">
        <f aca="false">SUM(X$4:X$503)/COUNTA(A$4:A$503)</f>
        <v>918.60034</v>
      </c>
      <c r="BO247" s="94" t="s">
        <v>20</v>
      </c>
      <c r="BP247" s="91" t="n">
        <f aca="false">IF(Z247&gt;=BB247,0,IFERROR(BB247+(SUMPRODUCT((Z$4:Z$503&gt;=BB$4:BB$503)*(Z$4:Z$503-BB$4:BB$503))/MAX(1,COUNTIF(Z$4:Z$503,"&lt;"&amp;BB247+0.01))),BB247))</f>
        <v>10695.5432177778</v>
      </c>
      <c r="BQ247" s="92" t="n">
        <f aca="false">IF(AA247&gt;=BC247,0,IFERROR(BC247+SUMPRODUCT((AA$4:AA$503&gt;=BC$4:BC$503)*(AA$4:AA$503-BC$4:BC$503))/MAX(1,COUNTIF(AA$4:AA$503,"&lt;"&amp;BC247+0.01)),BC247))</f>
        <v>2238.46589176471</v>
      </c>
      <c r="BR247" s="92" t="n">
        <f aca="false">IF(AB247&gt;=BD247,0,IFERROR(BD247+SUMPRODUCT((AB$4:AB$503&gt;=BD$4:BD$503)*(AB$4:AB$503-BD$4:BD$503))/MAX(1,COUNTIF(AB$4:AB$503,"&lt;"&amp;BD247+0.01)),BD247))</f>
        <v>3335.2938</v>
      </c>
      <c r="BS247" s="92" t="n">
        <f aca="false">IF(AC247&gt;=BE247,0,IFERROR(BE247+SUMPRODUCT((AC$4:AC$503&gt;=BE$4:BE$503)*(AC$4:AC$503-BE$4:BE$503))/MAX(1,COUNTIF(AC$4:AC$503,"&lt;"&amp;BE247+0.01)),BE247))</f>
        <v>6188.73352</v>
      </c>
      <c r="BT247" s="92" t="n">
        <f aca="false">IF(AD247&gt;=BF247,0,IFERROR(BF247+SUMPRODUCT((AD$4:AD$503&gt;=BF$4:BF$503)*(AD$4:AD$503-BF$4:BF$503))/MAX(1,COUNTIF(AD$4:AD$503,"&lt;"&amp;BF247+0.01)),BF247))</f>
        <v>0</v>
      </c>
      <c r="BU247" s="92" t="n">
        <f aca="false">IF(AE247&gt;=BG247,0,IFERROR(BG247+SUMPRODUCT((AE$4:AE$503&gt;=BG$4:BG$503)*(AE$4:AE$503-BG$4:BG$503))/MAX(1,COUNTIF(AE$4:AE$503,"&lt;"&amp;BG247+0.01)),BG247))</f>
        <v>7704.85920380952</v>
      </c>
      <c r="BV247" s="92" t="n">
        <f aca="false">IF(AF247&gt;=BH247,0,IFERROR(BH247+SUMPRODUCT((AF$4:AF$503&gt;=BH$4:BH$503)*(AF$4:AF$503-BH$4:BH$503))/MAX(1,COUNTIF(AF$4:AF$503,"&lt;"&amp;BH247+0.01)),BH247))</f>
        <v>9942.6503831579</v>
      </c>
      <c r="BW247" s="92" t="n">
        <f aca="false">IF(AG247&gt;=BI247,0,IFERROR(BI247+SUMPRODUCT((AG$4:AG$503&gt;=BI$4:BI$503)*(AG$4:AG$503-BI$4:BI$503))/MAX(1,COUNTIF(AG$4:AG$503,"&lt;"&amp;BI247+0.01)),BI247))</f>
        <v>9142.15870461538</v>
      </c>
      <c r="BX247" s="92" t="n">
        <f aca="false">IF(AH247&gt;=BJ247,0,IFERROR(BJ247+SUMPRODUCT((AH$4:AH$503&gt;=BJ$4:BJ$503)*(AH$4:AH$503-BJ$4:BJ$503))/MAX(1,COUNTIF(AH$4:AH$503,"&lt;"&amp;BJ247+0.01)),BJ247))</f>
        <v>5621.50263448276</v>
      </c>
      <c r="BY247" s="92" t="n">
        <f aca="false">IF(AI247&gt;=BK247,0,IFERROR(BK247+SUMPRODUCT((AI$4:AI$503&gt;=BK$4:BK$503)*(AI$4:AI$503-BK$4:BK$503))/MAX(1,COUNTIF(AI$4:AI$503,"&lt;"&amp;BK247+0.01)),BK247))</f>
        <v>0</v>
      </c>
      <c r="BZ247" s="92" t="n">
        <f aca="false">IF(AJ247&gt;=BL247,0,IFERROR(BL247+SUMPRODUCT((AJ$4:AJ$503&gt;=BL$4:BL$503)*(AJ$4:AJ$503-BL$4:BL$503))/MAX(1,COUNTIF(AJ$4:AJ$503,"&lt;"&amp;BL247+0.01)),BL247))</f>
        <v>6710.03292307692</v>
      </c>
      <c r="CA247" s="92" t="n">
        <f aca="false">IF(AK247&gt;=BM247,0,IFERROR(BM247+SUMPRODUCT((AK$4:AK$503&gt;=BM$4:BM$503)*(AK$4:AK$503-BM$4:BM$503))/MAX(1,COUNTIF(AK$4:AK$503,"&lt;"&amp;BM247+0.01)),BM247))</f>
        <v>7314.89836842105</v>
      </c>
      <c r="CB247" s="93" t="n">
        <f aca="false">IF(AL247&gt;=BN247,0,IFERROR(BN247+SUMPRODUCT((AL$4:AL$503&gt;=BN$4:BN$503)*(AL$4:AL$503-BN$4:BN$503))/MAX(1,COUNTIF(AL$4:AL$503,"&lt;"&amp;BN247+0.01)),BN247))</f>
        <v>3597.2614925</v>
      </c>
      <c r="CC247" s="95" t="str">
        <f aca="false">IF(AO247="🟢","VERDE",IF(AO247="🟡","AMARELO",IF(AO247="🟠","VERMELHO",IF(AO247="🔴","VERMELHO","ROXO"))))</f>
        <v>VERMELHO</v>
      </c>
      <c r="CD247" s="96" t="s">
        <v>103</v>
      </c>
      <c r="CE247" s="96" t="s">
        <v>104</v>
      </c>
    </row>
    <row r="248" customFormat="false" ht="14.25" hidden="false" customHeight="true" outlineLevel="0" collapsed="false">
      <c r="A248" s="65" t="s">
        <v>630</v>
      </c>
      <c r="B248" s="66" t="s">
        <v>631</v>
      </c>
      <c r="C248" s="67" t="s">
        <v>107</v>
      </c>
      <c r="D248" s="68" t="s">
        <v>108</v>
      </c>
      <c r="E248" s="69" t="s">
        <v>139</v>
      </c>
      <c r="F248" s="70" t="n">
        <f aca="false">IFERROR(VLOOKUP(C248,$AS$3:$AT$10,2,FALSE()),IFERROR(VLOOKUP(C248,$AS$15:$AT$22,2,FALSE()),""))</f>
        <v>132</v>
      </c>
      <c r="G248" s="71" t="n">
        <f aca="false">IFERROR(VLOOKUP(C248,$AS$3:$AX$10,6,FALSE()),IFERROR(VLOOKUP(C248,$AS$15:$AX$22,6,FALSE()),""))</f>
        <v>0.468190175850689</v>
      </c>
      <c r="H248" s="72" t="str">
        <f aca="false">IFERROR(VLOOKUP(C248,$AS$3:$AY$10,7,FALSE()),IFERROR(VLOOKUP(C248,$AS$15:$AY$22,7,FALSE()),""))</f>
        <v>🟡 AMARELO</v>
      </c>
      <c r="I248" s="72" t="str">
        <f aca="false">IFERROR(VLOOKUP(C248,$AS$3:$AZ$10,8,FALSE()),IFERROR(VLOOKUP(C248,$AS$15:$AZ$22,8,FALSE()),""))</f>
        <v>Sell Out</v>
      </c>
      <c r="J248" s="73"/>
      <c r="K248" s="69" t="s">
        <v>107</v>
      </c>
      <c r="L248" s="74" t="n">
        <v>4706.92</v>
      </c>
      <c r="M248" s="75" t="n">
        <v>330.77</v>
      </c>
      <c r="N248" s="75" t="n">
        <v>345.64</v>
      </c>
      <c r="O248" s="75" t="n">
        <v>353.97</v>
      </c>
      <c r="P248" s="75" t="n">
        <v>363.19</v>
      </c>
      <c r="Q248" s="75" t="n">
        <v>375.09</v>
      </c>
      <c r="R248" s="75" t="n">
        <v>384.91</v>
      </c>
      <c r="S248" s="75" t="n">
        <v>399.78</v>
      </c>
      <c r="T248" s="75" t="n">
        <v>409.59</v>
      </c>
      <c r="U248" s="75" t="n">
        <v>418.82</v>
      </c>
      <c r="V248" s="75" t="n">
        <v>429.23</v>
      </c>
      <c r="W248" s="75" t="n">
        <v>440.53</v>
      </c>
      <c r="X248" s="76" t="n">
        <v>455.4</v>
      </c>
      <c r="Y248" s="77" t="s">
        <v>20</v>
      </c>
      <c r="Z248" s="78" t="n">
        <f aca="false">SUM(AA248:AL248)</f>
        <v>1892.89</v>
      </c>
      <c r="AA248" s="75"/>
      <c r="AB248" s="75"/>
      <c r="AC248" s="75"/>
      <c r="AD248" s="75"/>
      <c r="AE248" s="75"/>
      <c r="AF248" s="79" t="n">
        <v>1892.89</v>
      </c>
      <c r="AG248" s="75"/>
      <c r="AH248" s="75"/>
      <c r="AI248" s="75"/>
      <c r="AJ248" s="75"/>
      <c r="AK248" s="75"/>
      <c r="AL248" s="76"/>
      <c r="AM248" s="56" t="s">
        <v>20</v>
      </c>
      <c r="AN248" s="80" t="n">
        <f aca="false">IF(L248=0,0,Z248/L248)</f>
        <v>0.402150450825593</v>
      </c>
      <c r="AO248" s="81" t="str">
        <f aca="false">IF(AN248="","",IF(AN248&gt;=0.9,"🟢",IF(AN248&gt;=0.7,"🟡",IF(AN248&gt;=0.5,"🟠","🔴"))))</f>
        <v>🔴</v>
      </c>
      <c r="AP248" s="82" t="n">
        <f aca="false">IF(L248=0,0,L248-Z248)</f>
        <v>2814.03</v>
      </c>
      <c r="AQ248" s="83" t="n">
        <f aca="false">IF(AP248=0,"",RANK(AP248,AP$4:AP$503,0))</f>
        <v>221</v>
      </c>
      <c r="AR248" s="84" t="s">
        <v>20</v>
      </c>
      <c r="AS248" s="141"/>
      <c r="AT248" s="141"/>
      <c r="AU248" s="141"/>
      <c r="AV248" s="141"/>
      <c r="AW248" s="141"/>
      <c r="AX248" s="141"/>
      <c r="AY248" s="142"/>
      <c r="AZ248" s="142"/>
      <c r="BA248" s="56" t="s">
        <v>20</v>
      </c>
      <c r="BB248" s="91" t="n">
        <f aca="false">SUM(L$4:L$503)/COUNTA(A$4:A$503)</f>
        <v>9494.39992</v>
      </c>
      <c r="BC248" s="92" t="n">
        <f aca="false">SUM(M$4:M$503)/COUNTA(A$4:A$503)</f>
        <v>667.20008</v>
      </c>
      <c r="BD248" s="92" t="n">
        <f aca="false">SUM(N$4:N$503)/COUNTA(A$4:A$503)</f>
        <v>697.19996</v>
      </c>
      <c r="BE248" s="92" t="n">
        <f aca="false">SUM(O$4:O$503)/COUNTA(A$4:A$503)</f>
        <v>713.9999</v>
      </c>
      <c r="BF248" s="92" t="n">
        <f aca="false">SUM(P$4:P$503)/COUNTA(A$4:A$503)</f>
        <v>732.59984</v>
      </c>
      <c r="BG248" s="92" t="n">
        <f aca="false">SUM(Q$4:Q$503)/COUNTA(A$4:A$503)</f>
        <v>756.59992</v>
      </c>
      <c r="BH248" s="92" t="n">
        <f aca="false">SUM(R$4:R$503)/COUNTA(A$4:A$503)</f>
        <v>776.40004</v>
      </c>
      <c r="BI248" s="92" t="n">
        <f aca="false">SUM(S$4:S$503)/COUNTA(A$4:A$503)</f>
        <v>806.40012</v>
      </c>
      <c r="BJ248" s="92" t="n">
        <f aca="false">SUM(T$4:T$503)/COUNTA(A$4:A$503)</f>
        <v>826.1999</v>
      </c>
      <c r="BK248" s="92" t="n">
        <f aca="false">SUM(U$4:U$503)/COUNTA(A$4:A$503)</f>
        <v>844.8002</v>
      </c>
      <c r="BL248" s="92" t="n">
        <f aca="false">SUM(V$4:V$503)/COUNTA(A$4:A$503)</f>
        <v>865.7998</v>
      </c>
      <c r="BM248" s="92" t="n">
        <f aca="false">SUM(W$4:W$503)/COUNTA(A$4:A$503)</f>
        <v>888.59982</v>
      </c>
      <c r="BN248" s="93" t="n">
        <f aca="false">SUM(X$4:X$503)/COUNTA(A$4:A$503)</f>
        <v>918.60034</v>
      </c>
      <c r="BO248" s="94" t="s">
        <v>20</v>
      </c>
      <c r="BP248" s="91" t="n">
        <f aca="false">IF(Z248&gt;=BB248,0,IFERROR(BB248+(SUMPRODUCT((Z$4:Z$503&gt;=BB$4:BB$503)*(Z$4:Z$503-BB$4:BB$503))/MAX(1,COUNTIF(Z$4:Z$503,"&lt;"&amp;BB248+0.01))),BB248))</f>
        <v>10695.5432177778</v>
      </c>
      <c r="BQ248" s="92" t="n">
        <f aca="false">IF(AA248&gt;=BC248,0,IFERROR(BC248+SUMPRODUCT((AA$4:AA$503&gt;=BC$4:BC$503)*(AA$4:AA$503-BC$4:BC$503))/MAX(1,COUNTIF(AA$4:AA$503,"&lt;"&amp;BC248+0.01)),BC248))</f>
        <v>2238.46589176471</v>
      </c>
      <c r="BR248" s="92" t="n">
        <f aca="false">IF(AB248&gt;=BD248,0,IFERROR(BD248+SUMPRODUCT((AB$4:AB$503&gt;=BD$4:BD$503)*(AB$4:AB$503-BD$4:BD$503))/MAX(1,COUNTIF(AB$4:AB$503,"&lt;"&amp;BD248+0.01)),BD248))</f>
        <v>3335.2938</v>
      </c>
      <c r="BS248" s="92" t="n">
        <f aca="false">IF(AC248&gt;=BE248,0,IFERROR(BE248+SUMPRODUCT((AC$4:AC$503&gt;=BE$4:BE$503)*(AC$4:AC$503-BE$4:BE$503))/MAX(1,COUNTIF(AC$4:AC$503,"&lt;"&amp;BE248+0.01)),BE248))</f>
        <v>6188.73352</v>
      </c>
      <c r="BT248" s="92" t="n">
        <f aca="false">IF(AD248&gt;=BF248,0,IFERROR(BF248+SUMPRODUCT((AD$4:AD$503&gt;=BF$4:BF$503)*(AD$4:AD$503-BF$4:BF$503))/MAX(1,COUNTIF(AD$4:AD$503,"&lt;"&amp;BF248+0.01)),BF248))</f>
        <v>11354.35411</v>
      </c>
      <c r="BU248" s="92" t="n">
        <f aca="false">IF(AE248&gt;=BG248,0,IFERROR(BG248+SUMPRODUCT((AE$4:AE$503&gt;=BG$4:BG$503)*(AE$4:AE$503-BG$4:BG$503))/MAX(1,COUNTIF(AE$4:AE$503,"&lt;"&amp;BG248+0.01)),BG248))</f>
        <v>7704.85920380952</v>
      </c>
      <c r="BV248" s="92" t="n">
        <f aca="false">IF(AF248&gt;=BH248,0,IFERROR(BH248+SUMPRODUCT((AF$4:AF$503&gt;=BH$4:BH$503)*(AF$4:AF$503-BH$4:BH$503))/MAX(1,COUNTIF(AF$4:AF$503,"&lt;"&amp;BH248+0.01)),BH248))</f>
        <v>0</v>
      </c>
      <c r="BW248" s="92" t="n">
        <f aca="false">IF(AG248&gt;=BI248,0,IFERROR(BI248+SUMPRODUCT((AG$4:AG$503&gt;=BI$4:BI$503)*(AG$4:AG$503-BI$4:BI$503))/MAX(1,COUNTIF(AG$4:AG$503,"&lt;"&amp;BI248+0.01)),BI248))</f>
        <v>9142.15870461538</v>
      </c>
      <c r="BX248" s="92" t="n">
        <f aca="false">IF(AH248&gt;=BJ248,0,IFERROR(BJ248+SUMPRODUCT((AH$4:AH$503&gt;=BJ$4:BJ$503)*(AH$4:AH$503-BJ$4:BJ$503))/MAX(1,COUNTIF(AH$4:AH$503,"&lt;"&amp;BJ248+0.01)),BJ248))</f>
        <v>5621.50263448276</v>
      </c>
      <c r="BY248" s="92" t="n">
        <f aca="false">IF(AI248&gt;=BK248,0,IFERROR(BK248+SUMPRODUCT((AI$4:AI$503&gt;=BK$4:BK$503)*(AI$4:AI$503-BK$4:BK$503))/MAX(1,COUNTIF(AI$4:AI$503,"&lt;"&amp;BK248+0.01)),BK248))</f>
        <v>7878.25652380952</v>
      </c>
      <c r="BZ248" s="92" t="n">
        <f aca="false">IF(AJ248&gt;=BL248,0,IFERROR(BL248+SUMPRODUCT((AJ$4:AJ$503&gt;=BL$4:BL$503)*(AJ$4:AJ$503-BL$4:BL$503))/MAX(1,COUNTIF(AJ$4:AJ$503,"&lt;"&amp;BL248+0.01)),BL248))</f>
        <v>6710.03292307692</v>
      </c>
      <c r="CA248" s="92" t="n">
        <f aca="false">IF(AK248&gt;=BM248,0,IFERROR(BM248+SUMPRODUCT((AK$4:AK$503&gt;=BM$4:BM$503)*(AK$4:AK$503-BM$4:BM$503))/MAX(1,COUNTIF(AK$4:AK$503,"&lt;"&amp;BM248+0.01)),BM248))</f>
        <v>7314.89836842105</v>
      </c>
      <c r="CB248" s="93" t="n">
        <f aca="false">IF(AL248&gt;=BN248,0,IFERROR(BN248+SUMPRODUCT((AL$4:AL$503&gt;=BN$4:BN$503)*(AL$4:AL$503-BN$4:BN$503))/MAX(1,COUNTIF(AL$4:AL$503,"&lt;"&amp;BN248+0.01)),BN248))</f>
        <v>3597.2614925</v>
      </c>
      <c r="CC248" s="95" t="str">
        <f aca="false">IF(AO248="🟢","VERDE",IF(AO248="🟡","AMARELO",IF(AO248="🟠","VERMELHO",IF(AO248="🔴","VERMELHO","ROXO"))))</f>
        <v>VERMELHO</v>
      </c>
      <c r="CD248" s="96" t="s">
        <v>103</v>
      </c>
      <c r="CE248" s="96" t="s">
        <v>104</v>
      </c>
    </row>
    <row r="249" customFormat="false" ht="14.25" hidden="false" customHeight="true" outlineLevel="0" collapsed="false">
      <c r="A249" s="65" t="s">
        <v>632</v>
      </c>
      <c r="B249" s="66" t="s">
        <v>633</v>
      </c>
      <c r="C249" s="66" t="s">
        <v>102</v>
      </c>
      <c r="D249" s="68" t="s">
        <v>175</v>
      </c>
      <c r="E249" s="56" t="s">
        <v>20</v>
      </c>
      <c r="F249" s="70" t="n">
        <f aca="false">IFERROR(VLOOKUP(C249,$AS$3:$AT$10,2,FALSE()),IFERROR(VLOOKUP(C249,$AS$15:$AT$22,2,FALSE()),""))</f>
        <v>21</v>
      </c>
      <c r="G249" s="71" t="n">
        <f aca="false">IFERROR(VLOOKUP(C249,$AS$3:$AX$10,6,FALSE()),IFERROR(VLOOKUP(C249,$AS$15:$AX$22,6,FALSE()),""))</f>
        <v>0.491514556258592</v>
      </c>
      <c r="H249" s="72" t="str">
        <f aca="false">IFERROR(VLOOKUP(C249,$AS$3:$AY$10,7,FALSE()),IFERROR(VLOOKUP(C249,$AS$15:$AY$22,7,FALSE()),""))</f>
        <v>🟡 AMARELO</v>
      </c>
      <c r="I249" s="72" t="str">
        <f aca="false">IFERROR(VLOOKUP(C249,$AS$3:$AZ$10,8,FALSE()),IFERROR(VLOOKUP(C249,$AS$15:$AZ$22,8,FALSE()),""))</f>
        <v>Sell Out</v>
      </c>
      <c r="J249" s="73"/>
      <c r="K249" s="56" t="s">
        <v>20</v>
      </c>
      <c r="L249" s="74" t="n">
        <v>4602.89</v>
      </c>
      <c r="M249" s="75" t="n">
        <v>323.46</v>
      </c>
      <c r="N249" s="75" t="n">
        <v>338</v>
      </c>
      <c r="O249" s="75" t="n">
        <v>346.15</v>
      </c>
      <c r="P249" s="75" t="n">
        <v>355.17</v>
      </c>
      <c r="Q249" s="75" t="n">
        <v>366.8</v>
      </c>
      <c r="R249" s="75" t="n">
        <v>376.4</v>
      </c>
      <c r="S249" s="75" t="n">
        <v>390.94</v>
      </c>
      <c r="T249" s="75" t="n">
        <v>400.54</v>
      </c>
      <c r="U249" s="75" t="n">
        <v>409.56</v>
      </c>
      <c r="V249" s="75" t="n">
        <v>419.74</v>
      </c>
      <c r="W249" s="75" t="n">
        <v>430.79</v>
      </c>
      <c r="X249" s="76" t="n">
        <v>445.34</v>
      </c>
      <c r="Y249" s="77" t="s">
        <v>20</v>
      </c>
      <c r="Z249" s="78" t="n">
        <f aca="false">SUM(AA249:AL249)</f>
        <v>1855.3</v>
      </c>
      <c r="AA249" s="75"/>
      <c r="AB249" s="75"/>
      <c r="AC249" s="75"/>
      <c r="AD249" s="75"/>
      <c r="AE249" s="75"/>
      <c r="AF249" s="75"/>
      <c r="AG249" s="75"/>
      <c r="AH249" s="75"/>
      <c r="AI249" s="75"/>
      <c r="AJ249" s="75" t="n">
        <v>1043.04</v>
      </c>
      <c r="AK249" s="75"/>
      <c r="AL249" s="76" t="n">
        <v>812.26</v>
      </c>
      <c r="AM249" s="56" t="s">
        <v>20</v>
      </c>
      <c r="AN249" s="80" t="n">
        <f aca="false">IF(L249=0,0,Z249/L249)</f>
        <v>0.403072852055991</v>
      </c>
      <c r="AO249" s="81" t="str">
        <f aca="false">IF(AN249="","",IF(AN249&gt;=0.9,"🟢",IF(AN249&gt;=0.7,"🟡",IF(AN249&gt;=0.5,"🟠","🔴"))))</f>
        <v>🔴</v>
      </c>
      <c r="AP249" s="82" t="n">
        <f aca="false">IF(L249=0,0,L249-Z249)</f>
        <v>2747.59</v>
      </c>
      <c r="AQ249" s="83" t="n">
        <f aca="false">IF(AP249=0,"",RANK(AP249,AP$4:AP$503,0))</f>
        <v>222</v>
      </c>
      <c r="AR249" s="84" t="s">
        <v>20</v>
      </c>
      <c r="AS249" s="141"/>
      <c r="AT249" s="141"/>
      <c r="AU249" s="141"/>
      <c r="AV249" s="141"/>
      <c r="AW249" s="141"/>
      <c r="AX249" s="141"/>
      <c r="AY249" s="142"/>
      <c r="AZ249" s="142"/>
      <c r="BA249" s="56" t="s">
        <v>20</v>
      </c>
      <c r="BB249" s="91" t="n">
        <f aca="false">SUM(L$4:L$503)/COUNTA(A$4:A$503)</f>
        <v>9494.39992</v>
      </c>
      <c r="BC249" s="92" t="n">
        <f aca="false">SUM(M$4:M$503)/COUNTA(A$4:A$503)</f>
        <v>667.20008</v>
      </c>
      <c r="BD249" s="92" t="n">
        <f aca="false">SUM(N$4:N$503)/COUNTA(A$4:A$503)</f>
        <v>697.19996</v>
      </c>
      <c r="BE249" s="92" t="n">
        <f aca="false">SUM(O$4:O$503)/COUNTA(A$4:A$503)</f>
        <v>713.9999</v>
      </c>
      <c r="BF249" s="92" t="n">
        <f aca="false">SUM(P$4:P$503)/COUNTA(A$4:A$503)</f>
        <v>732.59984</v>
      </c>
      <c r="BG249" s="92" t="n">
        <f aca="false">SUM(Q$4:Q$503)/COUNTA(A$4:A$503)</f>
        <v>756.59992</v>
      </c>
      <c r="BH249" s="92" t="n">
        <f aca="false">SUM(R$4:R$503)/COUNTA(A$4:A$503)</f>
        <v>776.40004</v>
      </c>
      <c r="BI249" s="92" t="n">
        <f aca="false">SUM(S$4:S$503)/COUNTA(A$4:A$503)</f>
        <v>806.40012</v>
      </c>
      <c r="BJ249" s="92" t="n">
        <f aca="false">SUM(T$4:T$503)/COUNTA(A$4:A$503)</f>
        <v>826.1999</v>
      </c>
      <c r="BK249" s="92" t="n">
        <f aca="false">SUM(U$4:U$503)/COUNTA(A$4:A$503)</f>
        <v>844.8002</v>
      </c>
      <c r="BL249" s="92" t="n">
        <f aca="false">SUM(V$4:V$503)/COUNTA(A$4:A$503)</f>
        <v>865.7998</v>
      </c>
      <c r="BM249" s="92" t="n">
        <f aca="false">SUM(W$4:W$503)/COUNTA(A$4:A$503)</f>
        <v>888.59982</v>
      </c>
      <c r="BN249" s="93" t="n">
        <f aca="false">SUM(X$4:X$503)/COUNTA(A$4:A$503)</f>
        <v>918.60034</v>
      </c>
      <c r="BO249" s="94" t="s">
        <v>20</v>
      </c>
      <c r="BP249" s="91" t="n">
        <f aca="false">IF(Z249&gt;=BB249,0,IFERROR(BB249+(SUMPRODUCT((Z$4:Z$503&gt;=BB$4:BB$503)*(Z$4:Z$503-BB$4:BB$503))/MAX(1,COUNTIF(Z$4:Z$503,"&lt;"&amp;BB249+0.01))),BB249))</f>
        <v>10695.5432177778</v>
      </c>
      <c r="BQ249" s="92" t="n">
        <f aca="false">IF(AA249&gt;=BC249,0,IFERROR(BC249+SUMPRODUCT((AA$4:AA$503&gt;=BC$4:BC$503)*(AA$4:AA$503-BC$4:BC$503))/MAX(1,COUNTIF(AA$4:AA$503,"&lt;"&amp;BC249+0.01)),BC249))</f>
        <v>2238.46589176471</v>
      </c>
      <c r="BR249" s="92" t="n">
        <f aca="false">IF(AB249&gt;=BD249,0,IFERROR(BD249+SUMPRODUCT((AB$4:AB$503&gt;=BD$4:BD$503)*(AB$4:AB$503-BD$4:BD$503))/MAX(1,COUNTIF(AB$4:AB$503,"&lt;"&amp;BD249+0.01)),BD249))</f>
        <v>3335.2938</v>
      </c>
      <c r="BS249" s="92" t="n">
        <f aca="false">IF(AC249&gt;=BE249,0,IFERROR(BE249+SUMPRODUCT((AC$4:AC$503&gt;=BE$4:BE$503)*(AC$4:AC$503-BE$4:BE$503))/MAX(1,COUNTIF(AC$4:AC$503,"&lt;"&amp;BE249+0.01)),BE249))</f>
        <v>6188.73352</v>
      </c>
      <c r="BT249" s="92" t="n">
        <f aca="false">IF(AD249&gt;=BF249,0,IFERROR(BF249+SUMPRODUCT((AD$4:AD$503&gt;=BF$4:BF$503)*(AD$4:AD$503-BF$4:BF$503))/MAX(1,COUNTIF(AD$4:AD$503,"&lt;"&amp;BF249+0.01)),BF249))</f>
        <v>11354.35411</v>
      </c>
      <c r="BU249" s="92" t="n">
        <f aca="false">IF(AE249&gt;=BG249,0,IFERROR(BG249+SUMPRODUCT((AE$4:AE$503&gt;=BG$4:BG$503)*(AE$4:AE$503-BG$4:BG$503))/MAX(1,COUNTIF(AE$4:AE$503,"&lt;"&amp;BG249+0.01)),BG249))</f>
        <v>7704.85920380952</v>
      </c>
      <c r="BV249" s="92" t="n">
        <f aca="false">IF(AF249&gt;=BH249,0,IFERROR(BH249+SUMPRODUCT((AF$4:AF$503&gt;=BH$4:BH$503)*(AF$4:AF$503-BH$4:BH$503))/MAX(1,COUNTIF(AF$4:AF$503,"&lt;"&amp;BH249+0.01)),BH249))</f>
        <v>9942.6503831579</v>
      </c>
      <c r="BW249" s="92" t="n">
        <f aca="false">IF(AG249&gt;=BI249,0,IFERROR(BI249+SUMPRODUCT((AG$4:AG$503&gt;=BI$4:BI$503)*(AG$4:AG$503-BI$4:BI$503))/MAX(1,COUNTIF(AG$4:AG$503,"&lt;"&amp;BI249+0.01)),BI249))</f>
        <v>9142.15870461538</v>
      </c>
      <c r="BX249" s="92" t="n">
        <f aca="false">IF(AH249&gt;=BJ249,0,IFERROR(BJ249+SUMPRODUCT((AH$4:AH$503&gt;=BJ$4:BJ$503)*(AH$4:AH$503-BJ$4:BJ$503))/MAX(1,COUNTIF(AH$4:AH$503,"&lt;"&amp;BJ249+0.01)),BJ249))</f>
        <v>5621.50263448276</v>
      </c>
      <c r="BY249" s="92" t="n">
        <f aca="false">IF(AI249&gt;=BK249,0,IFERROR(BK249+SUMPRODUCT((AI$4:AI$503&gt;=BK$4:BK$503)*(AI$4:AI$503-BK$4:BK$503))/MAX(1,COUNTIF(AI$4:AI$503,"&lt;"&amp;BK249+0.01)),BK249))</f>
        <v>7878.25652380952</v>
      </c>
      <c r="BZ249" s="92" t="n">
        <f aca="false">IF(AJ249&gt;=BL249,0,IFERROR(BL249+SUMPRODUCT((AJ$4:AJ$503&gt;=BL$4:BL$503)*(AJ$4:AJ$503-BL$4:BL$503))/MAX(1,COUNTIF(AJ$4:AJ$503,"&lt;"&amp;BL249+0.01)),BL249))</f>
        <v>0</v>
      </c>
      <c r="CA249" s="92" t="n">
        <f aca="false">IF(AK249&gt;=BM249,0,IFERROR(BM249+SUMPRODUCT((AK$4:AK$503&gt;=BM$4:BM$503)*(AK$4:AK$503-BM$4:BM$503))/MAX(1,COUNTIF(AK$4:AK$503,"&lt;"&amp;BM249+0.01)),BM249))</f>
        <v>7314.89836842105</v>
      </c>
      <c r="CB249" s="93" t="n">
        <f aca="false">IF(AL249&gt;=BN249,0,IFERROR(BN249+SUMPRODUCT((AL$4:AL$503&gt;=BN$4:BN$503)*(AL$4:AL$503-BN$4:BN$503))/MAX(1,COUNTIF(AL$4:AL$503,"&lt;"&amp;BN249+0.01)),BN249))</f>
        <v>3597.2614925</v>
      </c>
      <c r="CC249" s="95" t="str">
        <f aca="false">IF(AO249="🟢","VERDE",IF(AO249="🟡","AMARELO",IF(AO249="🟠","VERMELHO",IF(AO249="🔴","VERMELHO","ROXO"))))</f>
        <v>VERMELHO</v>
      </c>
      <c r="CD249" s="96" t="s">
        <v>176</v>
      </c>
      <c r="CE249" s="96" t="s">
        <v>102</v>
      </c>
    </row>
    <row r="250" customFormat="false" ht="14.25" hidden="false" customHeight="true" outlineLevel="0" collapsed="false">
      <c r="A250" s="65" t="s">
        <v>634</v>
      </c>
      <c r="B250" s="66" t="s">
        <v>635</v>
      </c>
      <c r="C250" s="67" t="s">
        <v>107</v>
      </c>
      <c r="D250" s="68" t="s">
        <v>108</v>
      </c>
      <c r="E250" s="69" t="s">
        <v>109</v>
      </c>
      <c r="F250" s="70" t="n">
        <f aca="false">IFERROR(VLOOKUP(C250,$AS$3:$AT$10,2,FALSE()),IFERROR(VLOOKUP(C250,$AS$15:$AT$22,2,FALSE()),""))</f>
        <v>132</v>
      </c>
      <c r="G250" s="71" t="n">
        <f aca="false">IFERROR(VLOOKUP(C250,$AS$3:$AX$10,6,FALSE()),IFERROR(VLOOKUP(C250,$AS$15:$AX$22,6,FALSE()),""))</f>
        <v>0.468190175850689</v>
      </c>
      <c r="H250" s="72" t="str">
        <f aca="false">IFERROR(VLOOKUP(C250,$AS$3:$AY$10,7,FALSE()),IFERROR(VLOOKUP(C250,$AS$15:$AY$22,7,FALSE()),""))</f>
        <v>🟡 AMARELO</v>
      </c>
      <c r="I250" s="72" t="str">
        <f aca="false">IFERROR(VLOOKUP(C250,$AS$3:$AZ$10,8,FALSE()),IFERROR(VLOOKUP(C250,$AS$15:$AZ$22,8,FALSE()),""))</f>
        <v>Sell Out</v>
      </c>
      <c r="J250" s="73"/>
      <c r="K250" s="69" t="s">
        <v>107</v>
      </c>
      <c r="L250" s="74" t="n">
        <v>4565.97</v>
      </c>
      <c r="M250" s="75" t="n">
        <v>320.86</v>
      </c>
      <c r="N250" s="75" t="n">
        <v>335.29</v>
      </c>
      <c r="O250" s="75" t="n">
        <v>343.37</v>
      </c>
      <c r="P250" s="75" t="n">
        <v>352.32</v>
      </c>
      <c r="Q250" s="75" t="n">
        <v>363.86</v>
      </c>
      <c r="R250" s="75" t="n">
        <v>373.38</v>
      </c>
      <c r="S250" s="75" t="n">
        <v>387.81</v>
      </c>
      <c r="T250" s="75" t="n">
        <v>397.33</v>
      </c>
      <c r="U250" s="75" t="n">
        <v>406.27</v>
      </c>
      <c r="V250" s="75" t="n">
        <v>416.37</v>
      </c>
      <c r="W250" s="75" t="n">
        <v>427.34</v>
      </c>
      <c r="X250" s="76" t="n">
        <v>441.77</v>
      </c>
      <c r="Y250" s="77" t="s">
        <v>20</v>
      </c>
      <c r="Z250" s="78" t="n">
        <f aca="false">SUM(AA250:AL250)</f>
        <v>1916.99</v>
      </c>
      <c r="AA250" s="75"/>
      <c r="AB250" s="75"/>
      <c r="AC250" s="75"/>
      <c r="AD250" s="75"/>
      <c r="AE250" s="79" t="n">
        <v>700.02</v>
      </c>
      <c r="AF250" s="79" t="n">
        <v>1216.97</v>
      </c>
      <c r="AG250" s="75"/>
      <c r="AH250" s="75"/>
      <c r="AI250" s="75"/>
      <c r="AJ250" s="75"/>
      <c r="AK250" s="75"/>
      <c r="AL250" s="76"/>
      <c r="AM250" s="56" t="s">
        <v>20</v>
      </c>
      <c r="AN250" s="80" t="n">
        <f aca="false">IF(L250=0,0,Z250/L250)</f>
        <v>0.419842881140262</v>
      </c>
      <c r="AO250" s="81" t="str">
        <f aca="false">IF(AN250="","",IF(AN250&gt;=0.9,"🟢",IF(AN250&gt;=0.7,"🟡",IF(AN250&gt;=0.5,"🟠","🔴"))))</f>
        <v>🔴</v>
      </c>
      <c r="AP250" s="82" t="n">
        <f aca="false">IF(L250=0,0,L250-Z250)</f>
        <v>2648.98</v>
      </c>
      <c r="AQ250" s="83" t="n">
        <f aca="false">IF(AP250=0,"",RANK(AP250,AP$4:AP$503,0))</f>
        <v>231</v>
      </c>
      <c r="AR250" s="84" t="s">
        <v>20</v>
      </c>
      <c r="AS250" s="141"/>
      <c r="AT250" s="141"/>
      <c r="AU250" s="141"/>
      <c r="AV250" s="141"/>
      <c r="AW250" s="141"/>
      <c r="AX250" s="141"/>
      <c r="AY250" s="142"/>
      <c r="AZ250" s="142"/>
      <c r="BA250" s="56" t="s">
        <v>20</v>
      </c>
      <c r="BB250" s="91" t="n">
        <f aca="false">SUM(L$4:L$503)/COUNTA(A$4:A$503)</f>
        <v>9494.39992</v>
      </c>
      <c r="BC250" s="92" t="n">
        <f aca="false">SUM(M$4:M$503)/COUNTA(A$4:A$503)</f>
        <v>667.20008</v>
      </c>
      <c r="BD250" s="92" t="n">
        <f aca="false">SUM(N$4:N$503)/COUNTA(A$4:A$503)</f>
        <v>697.19996</v>
      </c>
      <c r="BE250" s="92" t="n">
        <f aca="false">SUM(O$4:O$503)/COUNTA(A$4:A$503)</f>
        <v>713.9999</v>
      </c>
      <c r="BF250" s="92" t="n">
        <f aca="false">SUM(P$4:P$503)/COUNTA(A$4:A$503)</f>
        <v>732.59984</v>
      </c>
      <c r="BG250" s="92" t="n">
        <f aca="false">SUM(Q$4:Q$503)/COUNTA(A$4:A$503)</f>
        <v>756.59992</v>
      </c>
      <c r="BH250" s="92" t="n">
        <f aca="false">SUM(R$4:R$503)/COUNTA(A$4:A$503)</f>
        <v>776.40004</v>
      </c>
      <c r="BI250" s="92" t="n">
        <f aca="false">SUM(S$4:S$503)/COUNTA(A$4:A$503)</f>
        <v>806.40012</v>
      </c>
      <c r="BJ250" s="92" t="n">
        <f aca="false">SUM(T$4:T$503)/COUNTA(A$4:A$503)</f>
        <v>826.1999</v>
      </c>
      <c r="BK250" s="92" t="n">
        <f aca="false">SUM(U$4:U$503)/COUNTA(A$4:A$503)</f>
        <v>844.8002</v>
      </c>
      <c r="BL250" s="92" t="n">
        <f aca="false">SUM(V$4:V$503)/COUNTA(A$4:A$503)</f>
        <v>865.7998</v>
      </c>
      <c r="BM250" s="92" t="n">
        <f aca="false">SUM(W$4:W$503)/COUNTA(A$4:A$503)</f>
        <v>888.59982</v>
      </c>
      <c r="BN250" s="93" t="n">
        <f aca="false">SUM(X$4:X$503)/COUNTA(A$4:A$503)</f>
        <v>918.60034</v>
      </c>
      <c r="BO250" s="94" t="s">
        <v>20</v>
      </c>
      <c r="BP250" s="91" t="n">
        <f aca="false">IF(Z250&gt;=BB250,0,IFERROR(BB250+(SUMPRODUCT((Z$4:Z$503&gt;=BB$4:BB$503)*(Z$4:Z$503-BB$4:BB$503))/MAX(1,COUNTIF(Z$4:Z$503,"&lt;"&amp;BB250+0.01))),BB250))</f>
        <v>10695.5432177778</v>
      </c>
      <c r="BQ250" s="92" t="n">
        <f aca="false">IF(AA250&gt;=BC250,0,IFERROR(BC250+SUMPRODUCT((AA$4:AA$503&gt;=BC$4:BC$503)*(AA$4:AA$503-BC$4:BC$503))/MAX(1,COUNTIF(AA$4:AA$503,"&lt;"&amp;BC250+0.01)),BC250))</f>
        <v>2238.46589176471</v>
      </c>
      <c r="BR250" s="92" t="n">
        <f aca="false">IF(AB250&gt;=BD250,0,IFERROR(BD250+SUMPRODUCT((AB$4:AB$503&gt;=BD$4:BD$503)*(AB$4:AB$503-BD$4:BD$503))/MAX(1,COUNTIF(AB$4:AB$503,"&lt;"&amp;BD250+0.01)),BD250))</f>
        <v>3335.2938</v>
      </c>
      <c r="BS250" s="92" t="n">
        <f aca="false">IF(AC250&gt;=BE250,0,IFERROR(BE250+SUMPRODUCT((AC$4:AC$503&gt;=BE$4:BE$503)*(AC$4:AC$503-BE$4:BE$503))/MAX(1,COUNTIF(AC$4:AC$503,"&lt;"&amp;BE250+0.01)),BE250))</f>
        <v>6188.73352</v>
      </c>
      <c r="BT250" s="92" t="n">
        <f aca="false">IF(AD250&gt;=BF250,0,IFERROR(BF250+SUMPRODUCT((AD$4:AD$503&gt;=BF$4:BF$503)*(AD$4:AD$503-BF$4:BF$503))/MAX(1,COUNTIF(AD$4:AD$503,"&lt;"&amp;BF250+0.01)),BF250))</f>
        <v>11354.35411</v>
      </c>
      <c r="BU250" s="92" t="n">
        <f aca="false">IF(AE250&gt;=BG250,0,IFERROR(BG250+SUMPRODUCT((AE$4:AE$503&gt;=BG$4:BG$503)*(AE$4:AE$503-BG$4:BG$503))/MAX(1,COUNTIF(AE$4:AE$503,"&lt;"&amp;BG250+0.01)),BG250))</f>
        <v>7704.85920380952</v>
      </c>
      <c r="BV250" s="92" t="n">
        <f aca="false">IF(AF250&gt;=BH250,0,IFERROR(BH250+SUMPRODUCT((AF$4:AF$503&gt;=BH$4:BH$503)*(AF$4:AF$503-BH$4:BH$503))/MAX(1,COUNTIF(AF$4:AF$503,"&lt;"&amp;BH250+0.01)),BH250))</f>
        <v>0</v>
      </c>
      <c r="BW250" s="92" t="n">
        <f aca="false">IF(AG250&gt;=BI250,0,IFERROR(BI250+SUMPRODUCT((AG$4:AG$503&gt;=BI$4:BI$503)*(AG$4:AG$503-BI$4:BI$503))/MAX(1,COUNTIF(AG$4:AG$503,"&lt;"&amp;BI250+0.01)),BI250))</f>
        <v>9142.15870461538</v>
      </c>
      <c r="BX250" s="92" t="n">
        <f aca="false">IF(AH250&gt;=BJ250,0,IFERROR(BJ250+SUMPRODUCT((AH$4:AH$503&gt;=BJ$4:BJ$503)*(AH$4:AH$503-BJ$4:BJ$503))/MAX(1,COUNTIF(AH$4:AH$503,"&lt;"&amp;BJ250+0.01)),BJ250))</f>
        <v>5621.50263448276</v>
      </c>
      <c r="BY250" s="92" t="n">
        <f aca="false">IF(AI250&gt;=BK250,0,IFERROR(BK250+SUMPRODUCT((AI$4:AI$503&gt;=BK$4:BK$503)*(AI$4:AI$503-BK$4:BK$503))/MAX(1,COUNTIF(AI$4:AI$503,"&lt;"&amp;BK250+0.01)),BK250))</f>
        <v>7878.25652380952</v>
      </c>
      <c r="BZ250" s="92" t="n">
        <f aca="false">IF(AJ250&gt;=BL250,0,IFERROR(BL250+SUMPRODUCT((AJ$4:AJ$503&gt;=BL$4:BL$503)*(AJ$4:AJ$503-BL$4:BL$503))/MAX(1,COUNTIF(AJ$4:AJ$503,"&lt;"&amp;BL250+0.01)),BL250))</f>
        <v>6710.03292307692</v>
      </c>
      <c r="CA250" s="92" t="n">
        <f aca="false">IF(AK250&gt;=BM250,0,IFERROR(BM250+SUMPRODUCT((AK$4:AK$503&gt;=BM$4:BM$503)*(AK$4:AK$503-BM$4:BM$503))/MAX(1,COUNTIF(AK$4:AK$503,"&lt;"&amp;BM250+0.01)),BM250))</f>
        <v>7314.89836842105</v>
      </c>
      <c r="CB250" s="93" t="n">
        <f aca="false">IF(AL250&gt;=BN250,0,IFERROR(BN250+SUMPRODUCT((AL$4:AL$503&gt;=BN$4:BN$503)*(AL$4:AL$503-BN$4:BN$503))/MAX(1,COUNTIF(AL$4:AL$503,"&lt;"&amp;BN250+0.01)),BN250))</f>
        <v>3597.2614925</v>
      </c>
      <c r="CC250" s="95" t="str">
        <f aca="false">IF(AO250="🟢","VERDE",IF(AO250="🟡","AMARELO",IF(AO250="🟠","VERMELHO",IF(AO250="🔴","VERMELHO","ROXO"))))</f>
        <v>VERMELHO</v>
      </c>
      <c r="CD250" s="96" t="s">
        <v>103</v>
      </c>
      <c r="CE250" s="96" t="s">
        <v>104</v>
      </c>
    </row>
    <row r="251" customFormat="false" ht="14.25" hidden="false" customHeight="true" outlineLevel="0" collapsed="false">
      <c r="A251" s="65" t="s">
        <v>636</v>
      </c>
      <c r="B251" s="66" t="s">
        <v>637</v>
      </c>
      <c r="C251" s="67" t="s">
        <v>123</v>
      </c>
      <c r="D251" s="68" t="s">
        <v>108</v>
      </c>
      <c r="E251" s="56" t="s">
        <v>20</v>
      </c>
      <c r="F251" s="70" t="n">
        <f aca="false">IFERROR(VLOOKUP(C251,$AS$3:$AT$10,2,FALSE()),IFERROR(VLOOKUP(C251,$AS$15:$AT$22,2,FALSE()),""))</f>
        <v>49</v>
      </c>
      <c r="G251" s="71" t="n">
        <f aca="false">IFERROR(VLOOKUP(C251,$AS$3:$AX$10,6,FALSE()),IFERROR(VLOOKUP(C251,$AS$15:$AX$22,6,FALSE()),""))</f>
        <v>0.436391353881959</v>
      </c>
      <c r="H251" s="72" t="str">
        <f aca="false">IFERROR(VLOOKUP(C251,$AS$3:$AY$10,7,FALSE()),IFERROR(VLOOKUP(C251,$AS$15:$AY$22,7,FALSE()),""))</f>
        <v>🟡 AMARELO</v>
      </c>
      <c r="I251" s="72" t="str">
        <f aca="false">IFERROR(VLOOKUP(C251,$AS$3:$AZ$10,8,FALSE()),IFERROR(VLOOKUP(C251,$AS$15:$AZ$22,8,FALSE()),""))</f>
        <v>Sell Out</v>
      </c>
      <c r="J251" s="73"/>
      <c r="K251" s="56" t="s">
        <v>20</v>
      </c>
      <c r="L251" s="74" t="n">
        <v>4554.11</v>
      </c>
      <c r="M251" s="75" t="n">
        <v>320.03</v>
      </c>
      <c r="N251" s="75" t="n">
        <v>334.42</v>
      </c>
      <c r="O251" s="75" t="n">
        <v>342.48</v>
      </c>
      <c r="P251" s="75" t="n">
        <v>351.4</v>
      </c>
      <c r="Q251" s="75" t="n">
        <v>362.91</v>
      </c>
      <c r="R251" s="75" t="n">
        <v>372.41</v>
      </c>
      <c r="S251" s="75" t="n">
        <v>386.8</v>
      </c>
      <c r="T251" s="75" t="n">
        <v>396.3</v>
      </c>
      <c r="U251" s="75" t="n">
        <v>405.22</v>
      </c>
      <c r="V251" s="75" t="n">
        <v>415.29</v>
      </c>
      <c r="W251" s="75" t="n">
        <v>426.23</v>
      </c>
      <c r="X251" s="76" t="n">
        <v>440.62</v>
      </c>
      <c r="Y251" s="77" t="s">
        <v>20</v>
      </c>
      <c r="Z251" s="78" t="n">
        <f aca="false">SUM(AA251:AL251)</f>
        <v>1831.44</v>
      </c>
      <c r="AA251" s="75"/>
      <c r="AB251" s="75"/>
      <c r="AC251" s="75" t="n">
        <v>1831.44</v>
      </c>
      <c r="AD251" s="75"/>
      <c r="AE251" s="75"/>
      <c r="AF251" s="75"/>
      <c r="AG251" s="75"/>
      <c r="AH251" s="75"/>
      <c r="AI251" s="75"/>
      <c r="AJ251" s="75"/>
      <c r="AK251" s="75"/>
      <c r="AL251" s="76"/>
      <c r="AM251" s="56" t="s">
        <v>20</v>
      </c>
      <c r="AN251" s="80" t="n">
        <f aca="false">IF(L251=0,0,Z251/L251)</f>
        <v>0.402151024020061</v>
      </c>
      <c r="AO251" s="81" t="str">
        <f aca="false">IF(AN251="","",IF(AN251&gt;=0.9,"🟢",IF(AN251&gt;=0.7,"🟡",IF(AN251&gt;=0.5,"🟠","🔴"))))</f>
        <v>🔴</v>
      </c>
      <c r="AP251" s="82" t="n">
        <f aca="false">IF(L251=0,0,L251-Z251)</f>
        <v>2722.67</v>
      </c>
      <c r="AQ251" s="83" t="n">
        <f aca="false">IF(AP251=0,"",RANK(AP251,AP$4:AP$503,0))</f>
        <v>225</v>
      </c>
      <c r="AR251" s="84" t="s">
        <v>20</v>
      </c>
      <c r="AS251" s="141"/>
      <c r="AT251" s="141"/>
      <c r="AU251" s="141"/>
      <c r="AV251" s="141"/>
      <c r="AW251" s="141"/>
      <c r="AX251" s="141"/>
      <c r="AY251" s="142"/>
      <c r="AZ251" s="142"/>
      <c r="BA251" s="56" t="s">
        <v>20</v>
      </c>
      <c r="BB251" s="91" t="n">
        <f aca="false">SUM(L$4:L$503)/COUNTA(A$4:A$503)</f>
        <v>9494.39992</v>
      </c>
      <c r="BC251" s="92" t="n">
        <f aca="false">SUM(M$4:M$503)/COUNTA(A$4:A$503)</f>
        <v>667.20008</v>
      </c>
      <c r="BD251" s="92" t="n">
        <f aca="false">SUM(N$4:N$503)/COUNTA(A$4:A$503)</f>
        <v>697.19996</v>
      </c>
      <c r="BE251" s="92" t="n">
        <f aca="false">SUM(O$4:O$503)/COUNTA(A$4:A$503)</f>
        <v>713.9999</v>
      </c>
      <c r="BF251" s="92" t="n">
        <f aca="false">SUM(P$4:P$503)/COUNTA(A$4:A$503)</f>
        <v>732.59984</v>
      </c>
      <c r="BG251" s="92" t="n">
        <f aca="false">SUM(Q$4:Q$503)/COUNTA(A$4:A$503)</f>
        <v>756.59992</v>
      </c>
      <c r="BH251" s="92" t="n">
        <f aca="false">SUM(R$4:R$503)/COUNTA(A$4:A$503)</f>
        <v>776.40004</v>
      </c>
      <c r="BI251" s="92" t="n">
        <f aca="false">SUM(S$4:S$503)/COUNTA(A$4:A$503)</f>
        <v>806.40012</v>
      </c>
      <c r="BJ251" s="92" t="n">
        <f aca="false">SUM(T$4:T$503)/COUNTA(A$4:A$503)</f>
        <v>826.1999</v>
      </c>
      <c r="BK251" s="92" t="n">
        <f aca="false">SUM(U$4:U$503)/COUNTA(A$4:A$503)</f>
        <v>844.8002</v>
      </c>
      <c r="BL251" s="92" t="n">
        <f aca="false">SUM(V$4:V$503)/COUNTA(A$4:A$503)</f>
        <v>865.7998</v>
      </c>
      <c r="BM251" s="92" t="n">
        <f aca="false">SUM(W$4:W$503)/COUNTA(A$4:A$503)</f>
        <v>888.59982</v>
      </c>
      <c r="BN251" s="93" t="n">
        <f aca="false">SUM(X$4:X$503)/COUNTA(A$4:A$503)</f>
        <v>918.60034</v>
      </c>
      <c r="BO251" s="94" t="s">
        <v>20</v>
      </c>
      <c r="BP251" s="91" t="n">
        <f aca="false">IF(Z251&gt;=BB251,0,IFERROR(BB251+(SUMPRODUCT((Z$4:Z$503&gt;=BB$4:BB$503)*(Z$4:Z$503-BB$4:BB$503))/MAX(1,COUNTIF(Z$4:Z$503,"&lt;"&amp;BB251+0.01))),BB251))</f>
        <v>10695.5432177778</v>
      </c>
      <c r="BQ251" s="92" t="n">
        <f aca="false">IF(AA251&gt;=BC251,0,IFERROR(BC251+SUMPRODUCT((AA$4:AA$503&gt;=BC$4:BC$503)*(AA$4:AA$503-BC$4:BC$503))/MAX(1,COUNTIF(AA$4:AA$503,"&lt;"&amp;BC251+0.01)),BC251))</f>
        <v>2238.46589176471</v>
      </c>
      <c r="BR251" s="92" t="n">
        <f aca="false">IF(AB251&gt;=BD251,0,IFERROR(BD251+SUMPRODUCT((AB$4:AB$503&gt;=BD$4:BD$503)*(AB$4:AB$503-BD$4:BD$503))/MAX(1,COUNTIF(AB$4:AB$503,"&lt;"&amp;BD251+0.01)),BD251))</f>
        <v>3335.2938</v>
      </c>
      <c r="BS251" s="92" t="n">
        <f aca="false">IF(AC251&gt;=BE251,0,IFERROR(BE251+SUMPRODUCT((AC$4:AC$503&gt;=BE$4:BE$503)*(AC$4:AC$503-BE$4:BE$503))/MAX(1,COUNTIF(AC$4:AC$503,"&lt;"&amp;BE251+0.01)),BE251))</f>
        <v>0</v>
      </c>
      <c r="BT251" s="92" t="n">
        <f aca="false">IF(AD251&gt;=BF251,0,IFERROR(BF251+SUMPRODUCT((AD$4:AD$503&gt;=BF$4:BF$503)*(AD$4:AD$503-BF$4:BF$503))/MAX(1,COUNTIF(AD$4:AD$503,"&lt;"&amp;BF251+0.01)),BF251))</f>
        <v>11354.35411</v>
      </c>
      <c r="BU251" s="92" t="n">
        <f aca="false">IF(AE251&gt;=BG251,0,IFERROR(BG251+SUMPRODUCT((AE$4:AE$503&gt;=BG$4:BG$503)*(AE$4:AE$503-BG$4:BG$503))/MAX(1,COUNTIF(AE$4:AE$503,"&lt;"&amp;BG251+0.01)),BG251))</f>
        <v>7704.85920380952</v>
      </c>
      <c r="BV251" s="92" t="n">
        <f aca="false">IF(AF251&gt;=BH251,0,IFERROR(BH251+SUMPRODUCT((AF$4:AF$503&gt;=BH$4:BH$503)*(AF$4:AF$503-BH$4:BH$503))/MAX(1,COUNTIF(AF$4:AF$503,"&lt;"&amp;BH251+0.01)),BH251))</f>
        <v>9942.6503831579</v>
      </c>
      <c r="BW251" s="92" t="n">
        <f aca="false">IF(AG251&gt;=BI251,0,IFERROR(BI251+SUMPRODUCT((AG$4:AG$503&gt;=BI$4:BI$503)*(AG$4:AG$503-BI$4:BI$503))/MAX(1,COUNTIF(AG$4:AG$503,"&lt;"&amp;BI251+0.01)),BI251))</f>
        <v>9142.15870461538</v>
      </c>
      <c r="BX251" s="92" t="n">
        <f aca="false">IF(AH251&gt;=BJ251,0,IFERROR(BJ251+SUMPRODUCT((AH$4:AH$503&gt;=BJ$4:BJ$503)*(AH$4:AH$503-BJ$4:BJ$503))/MAX(1,COUNTIF(AH$4:AH$503,"&lt;"&amp;BJ251+0.01)),BJ251))</f>
        <v>5621.50263448276</v>
      </c>
      <c r="BY251" s="92" t="n">
        <f aca="false">IF(AI251&gt;=BK251,0,IFERROR(BK251+SUMPRODUCT((AI$4:AI$503&gt;=BK$4:BK$503)*(AI$4:AI$503-BK$4:BK$503))/MAX(1,COUNTIF(AI$4:AI$503,"&lt;"&amp;BK251+0.01)),BK251))</f>
        <v>7878.25652380952</v>
      </c>
      <c r="BZ251" s="92" t="n">
        <f aca="false">IF(AJ251&gt;=BL251,0,IFERROR(BL251+SUMPRODUCT((AJ$4:AJ$503&gt;=BL$4:BL$503)*(AJ$4:AJ$503-BL$4:BL$503))/MAX(1,COUNTIF(AJ$4:AJ$503,"&lt;"&amp;BL251+0.01)),BL251))</f>
        <v>6710.03292307692</v>
      </c>
      <c r="CA251" s="92" t="n">
        <f aca="false">IF(AK251&gt;=BM251,0,IFERROR(BM251+SUMPRODUCT((AK$4:AK$503&gt;=BM$4:BM$503)*(AK$4:AK$503-BM$4:BM$503))/MAX(1,COUNTIF(AK$4:AK$503,"&lt;"&amp;BM251+0.01)),BM251))</f>
        <v>7314.89836842105</v>
      </c>
      <c r="CB251" s="93" t="n">
        <f aca="false">IF(AL251&gt;=BN251,0,IFERROR(BN251+SUMPRODUCT((AL$4:AL$503&gt;=BN$4:BN$503)*(AL$4:AL$503-BN$4:BN$503))/MAX(1,COUNTIF(AL$4:AL$503,"&lt;"&amp;BN251+0.01)),BN251))</f>
        <v>3597.2614925</v>
      </c>
      <c r="CC251" s="95" t="str">
        <f aca="false">IF(AO251="🟢","VERDE",IF(AO251="🟡","AMARELO",IF(AO251="🟠","VERMELHO",IF(AO251="🔴","VERMELHO","ROXO"))))</f>
        <v>VERMELHO</v>
      </c>
      <c r="CD251" s="96" t="s">
        <v>103</v>
      </c>
      <c r="CE251" s="96" t="s">
        <v>104</v>
      </c>
    </row>
    <row r="252" customFormat="false" ht="14.25" hidden="false" customHeight="true" outlineLevel="0" collapsed="false">
      <c r="A252" s="65" t="s">
        <v>638</v>
      </c>
      <c r="B252" s="66" t="s">
        <v>639</v>
      </c>
      <c r="C252" s="67" t="s">
        <v>145</v>
      </c>
      <c r="D252" s="68" t="s">
        <v>100</v>
      </c>
      <c r="E252" s="69" t="s">
        <v>146</v>
      </c>
      <c r="F252" s="70" t="n">
        <f aca="false">IFERROR(VLOOKUP(C252,$AS$3:$AT$10,2,FALSE()),IFERROR(VLOOKUP(C252,$AS$15:$AT$22,2,FALSE()),""))</f>
        <v>10</v>
      </c>
      <c r="G252" s="71" t="n">
        <f aca="false">IFERROR(VLOOKUP(C252,$AS$3:$AX$10,6,FALSE()),IFERROR(VLOOKUP(C252,$AS$15:$AX$22,6,FALSE()),""))</f>
        <v>0.45643525037644</v>
      </c>
      <c r="H252" s="72" t="str">
        <f aca="false">IFERROR(VLOOKUP(C252,$AS$3:$AY$10,7,FALSE()),IFERROR(VLOOKUP(C252,$AS$15:$AY$22,7,FALSE()),""))</f>
        <v>🟡 AMARELO</v>
      </c>
      <c r="I252" s="72" t="str">
        <f aca="false">IFERROR(VLOOKUP(C252,$AS$3:$AZ$10,8,FALSE()),IFERROR(VLOOKUP(C252,$AS$15:$AZ$22,8,FALSE()),""))</f>
        <v>Sell Out</v>
      </c>
      <c r="J252" s="73"/>
      <c r="K252" s="69" t="s">
        <v>145</v>
      </c>
      <c r="L252" s="74" t="n">
        <v>4537.49</v>
      </c>
      <c r="M252" s="75" t="n">
        <v>318.86</v>
      </c>
      <c r="N252" s="75" t="n">
        <v>333.2</v>
      </c>
      <c r="O252" s="75" t="n">
        <v>341.23</v>
      </c>
      <c r="P252" s="75" t="n">
        <v>350.12</v>
      </c>
      <c r="Q252" s="75" t="n">
        <v>361.59</v>
      </c>
      <c r="R252" s="75" t="n">
        <v>371.05</v>
      </c>
      <c r="S252" s="75" t="n">
        <v>385.39</v>
      </c>
      <c r="T252" s="75" t="n">
        <v>394.85</v>
      </c>
      <c r="U252" s="75" t="n">
        <v>403.74</v>
      </c>
      <c r="V252" s="75" t="n">
        <v>413.78</v>
      </c>
      <c r="W252" s="75" t="n">
        <v>424.67</v>
      </c>
      <c r="X252" s="76" t="n">
        <v>439.01</v>
      </c>
      <c r="Y252" s="77" t="s">
        <v>20</v>
      </c>
      <c r="Z252" s="78" t="n">
        <f aca="false">SUM(AA252:AL252)</f>
        <v>2010.76</v>
      </c>
      <c r="AA252" s="75"/>
      <c r="AB252" s="75"/>
      <c r="AC252" s="75"/>
      <c r="AD252" s="75"/>
      <c r="AE252" s="75"/>
      <c r="AF252" s="75"/>
      <c r="AG252" s="75"/>
      <c r="AH252" s="79" t="n">
        <v>2010.76</v>
      </c>
      <c r="AI252" s="75"/>
      <c r="AJ252" s="75"/>
      <c r="AK252" s="75"/>
      <c r="AL252" s="76"/>
      <c r="AM252" s="56" t="s">
        <v>20</v>
      </c>
      <c r="AN252" s="80" t="n">
        <f aca="false">IF(L252=0,0,Z252/L252)</f>
        <v>0.4431436763497</v>
      </c>
      <c r="AO252" s="81" t="str">
        <f aca="false">IF(AN252="","",IF(AN252&gt;=0.9,"🟢",IF(AN252&gt;=0.7,"🟡",IF(AN252&gt;=0.5,"🟠","🔴"))))</f>
        <v>🔴</v>
      </c>
      <c r="AP252" s="82" t="n">
        <f aca="false">IF(L252=0,0,L252-Z252)</f>
        <v>2526.73</v>
      </c>
      <c r="AQ252" s="83" t="n">
        <f aca="false">IF(AP252=0,"",RANK(AP252,AP$4:AP$503,0))</f>
        <v>240</v>
      </c>
      <c r="AR252" s="84" t="s">
        <v>20</v>
      </c>
      <c r="AS252" s="141"/>
      <c r="AT252" s="141"/>
      <c r="AU252" s="141"/>
      <c r="AV252" s="141"/>
      <c r="AW252" s="141"/>
      <c r="AX252" s="141"/>
      <c r="AY252" s="142"/>
      <c r="AZ252" s="142"/>
      <c r="BA252" s="56" t="s">
        <v>20</v>
      </c>
      <c r="BB252" s="91" t="n">
        <f aca="false">SUM(L$4:L$503)/COUNTA(A$4:A$503)</f>
        <v>9494.39992</v>
      </c>
      <c r="BC252" s="92" t="n">
        <f aca="false">SUM(M$4:M$503)/COUNTA(A$4:A$503)</f>
        <v>667.20008</v>
      </c>
      <c r="BD252" s="92" t="n">
        <f aca="false">SUM(N$4:N$503)/COUNTA(A$4:A$503)</f>
        <v>697.19996</v>
      </c>
      <c r="BE252" s="92" t="n">
        <f aca="false">SUM(O$4:O$503)/COUNTA(A$4:A$503)</f>
        <v>713.9999</v>
      </c>
      <c r="BF252" s="92" t="n">
        <f aca="false">SUM(P$4:P$503)/COUNTA(A$4:A$503)</f>
        <v>732.59984</v>
      </c>
      <c r="BG252" s="92" t="n">
        <f aca="false">SUM(Q$4:Q$503)/COUNTA(A$4:A$503)</f>
        <v>756.59992</v>
      </c>
      <c r="BH252" s="92" t="n">
        <f aca="false">SUM(R$4:R$503)/COUNTA(A$4:A$503)</f>
        <v>776.40004</v>
      </c>
      <c r="BI252" s="92" t="n">
        <f aca="false">SUM(S$4:S$503)/COUNTA(A$4:A$503)</f>
        <v>806.40012</v>
      </c>
      <c r="BJ252" s="92" t="n">
        <f aca="false">SUM(T$4:T$503)/COUNTA(A$4:A$503)</f>
        <v>826.1999</v>
      </c>
      <c r="BK252" s="92" t="n">
        <f aca="false">SUM(U$4:U$503)/COUNTA(A$4:A$503)</f>
        <v>844.8002</v>
      </c>
      <c r="BL252" s="92" t="n">
        <f aca="false">SUM(V$4:V$503)/COUNTA(A$4:A$503)</f>
        <v>865.7998</v>
      </c>
      <c r="BM252" s="92" t="n">
        <f aca="false">SUM(W$4:W$503)/COUNTA(A$4:A$503)</f>
        <v>888.59982</v>
      </c>
      <c r="BN252" s="93" t="n">
        <f aca="false">SUM(X$4:X$503)/COUNTA(A$4:A$503)</f>
        <v>918.60034</v>
      </c>
      <c r="BO252" s="94" t="s">
        <v>20</v>
      </c>
      <c r="BP252" s="91" t="n">
        <f aca="false">IF(Z252&gt;=BB252,0,IFERROR(BB252+(SUMPRODUCT((Z$4:Z$503&gt;=BB$4:BB$503)*(Z$4:Z$503-BB$4:BB$503))/MAX(1,COUNTIF(Z$4:Z$503,"&lt;"&amp;BB252+0.01))),BB252))</f>
        <v>10695.5432177778</v>
      </c>
      <c r="BQ252" s="92" t="n">
        <f aca="false">IF(AA252&gt;=BC252,0,IFERROR(BC252+SUMPRODUCT((AA$4:AA$503&gt;=BC$4:BC$503)*(AA$4:AA$503-BC$4:BC$503))/MAX(1,COUNTIF(AA$4:AA$503,"&lt;"&amp;BC252+0.01)),BC252))</f>
        <v>2238.46589176471</v>
      </c>
      <c r="BR252" s="92" t="n">
        <f aca="false">IF(AB252&gt;=BD252,0,IFERROR(BD252+SUMPRODUCT((AB$4:AB$503&gt;=BD$4:BD$503)*(AB$4:AB$503-BD$4:BD$503))/MAX(1,COUNTIF(AB$4:AB$503,"&lt;"&amp;BD252+0.01)),BD252))</f>
        <v>3335.2938</v>
      </c>
      <c r="BS252" s="92" t="n">
        <f aca="false">IF(AC252&gt;=BE252,0,IFERROR(BE252+SUMPRODUCT((AC$4:AC$503&gt;=BE$4:BE$503)*(AC$4:AC$503-BE$4:BE$503))/MAX(1,COUNTIF(AC$4:AC$503,"&lt;"&amp;BE252+0.01)),BE252))</f>
        <v>6188.73352</v>
      </c>
      <c r="BT252" s="92" t="n">
        <f aca="false">IF(AD252&gt;=BF252,0,IFERROR(BF252+SUMPRODUCT((AD$4:AD$503&gt;=BF$4:BF$503)*(AD$4:AD$503-BF$4:BF$503))/MAX(1,COUNTIF(AD$4:AD$503,"&lt;"&amp;BF252+0.01)),BF252))</f>
        <v>11354.35411</v>
      </c>
      <c r="BU252" s="92" t="n">
        <f aca="false">IF(AE252&gt;=BG252,0,IFERROR(BG252+SUMPRODUCT((AE$4:AE$503&gt;=BG$4:BG$503)*(AE$4:AE$503-BG$4:BG$503))/MAX(1,COUNTIF(AE$4:AE$503,"&lt;"&amp;BG252+0.01)),BG252))</f>
        <v>7704.85920380952</v>
      </c>
      <c r="BV252" s="92" t="n">
        <f aca="false">IF(AF252&gt;=BH252,0,IFERROR(BH252+SUMPRODUCT((AF$4:AF$503&gt;=BH$4:BH$503)*(AF$4:AF$503-BH$4:BH$503))/MAX(1,COUNTIF(AF$4:AF$503,"&lt;"&amp;BH252+0.01)),BH252))</f>
        <v>9942.6503831579</v>
      </c>
      <c r="BW252" s="92" t="n">
        <f aca="false">IF(AG252&gt;=BI252,0,IFERROR(BI252+SUMPRODUCT((AG$4:AG$503&gt;=BI$4:BI$503)*(AG$4:AG$503-BI$4:BI$503))/MAX(1,COUNTIF(AG$4:AG$503,"&lt;"&amp;BI252+0.01)),BI252))</f>
        <v>9142.15870461538</v>
      </c>
      <c r="BX252" s="92" t="n">
        <f aca="false">IF(AH252&gt;=BJ252,0,IFERROR(BJ252+SUMPRODUCT((AH$4:AH$503&gt;=BJ$4:BJ$503)*(AH$4:AH$503-BJ$4:BJ$503))/MAX(1,COUNTIF(AH$4:AH$503,"&lt;"&amp;BJ252+0.01)),BJ252))</f>
        <v>0</v>
      </c>
      <c r="BY252" s="92" t="n">
        <f aca="false">IF(AI252&gt;=BK252,0,IFERROR(BK252+SUMPRODUCT((AI$4:AI$503&gt;=BK$4:BK$503)*(AI$4:AI$503-BK$4:BK$503))/MAX(1,COUNTIF(AI$4:AI$503,"&lt;"&amp;BK252+0.01)),BK252))</f>
        <v>7878.25652380952</v>
      </c>
      <c r="BZ252" s="92" t="n">
        <f aca="false">IF(AJ252&gt;=BL252,0,IFERROR(BL252+SUMPRODUCT((AJ$4:AJ$503&gt;=BL$4:BL$503)*(AJ$4:AJ$503-BL$4:BL$503))/MAX(1,COUNTIF(AJ$4:AJ$503,"&lt;"&amp;BL252+0.01)),BL252))</f>
        <v>6710.03292307692</v>
      </c>
      <c r="CA252" s="92" t="n">
        <f aca="false">IF(AK252&gt;=BM252,0,IFERROR(BM252+SUMPRODUCT((AK$4:AK$503&gt;=BM$4:BM$503)*(AK$4:AK$503-BM$4:BM$503))/MAX(1,COUNTIF(AK$4:AK$503,"&lt;"&amp;BM252+0.01)),BM252))</f>
        <v>7314.89836842105</v>
      </c>
      <c r="CB252" s="93" t="n">
        <f aca="false">IF(AL252&gt;=BN252,0,IFERROR(BN252+SUMPRODUCT((AL$4:AL$503&gt;=BN$4:BN$503)*(AL$4:AL$503-BN$4:BN$503))/MAX(1,COUNTIF(AL$4:AL$503,"&lt;"&amp;BN252+0.01)),BN252))</f>
        <v>3597.2614925</v>
      </c>
      <c r="CC252" s="95" t="str">
        <f aca="false">IF(AO252="🟢","VERDE",IF(AO252="🟡","AMARELO",IF(AO252="🟠","VERMELHO",IF(AO252="🔴","VERMELHO","ROXO"))))</f>
        <v>VERMELHO</v>
      </c>
      <c r="CD252" s="96" t="s">
        <v>103</v>
      </c>
      <c r="CE252" s="96" t="s">
        <v>104</v>
      </c>
    </row>
    <row r="253" customFormat="false" ht="14.25" hidden="false" customHeight="true" outlineLevel="0" collapsed="false">
      <c r="A253" s="65" t="s">
        <v>640</v>
      </c>
      <c r="B253" s="66" t="s">
        <v>641</v>
      </c>
      <c r="C253" s="67" t="s">
        <v>107</v>
      </c>
      <c r="D253" s="68" t="s">
        <v>108</v>
      </c>
      <c r="E253" s="69" t="s">
        <v>109</v>
      </c>
      <c r="F253" s="70" t="n">
        <f aca="false">IFERROR(VLOOKUP(C253,$AS$3:$AT$10,2,FALSE()),IFERROR(VLOOKUP(C253,$AS$15:$AT$22,2,FALSE()),""))</f>
        <v>132</v>
      </c>
      <c r="G253" s="71" t="n">
        <f aca="false">IFERROR(VLOOKUP(C253,$AS$3:$AX$10,6,FALSE()),IFERROR(VLOOKUP(C253,$AS$15:$AX$22,6,FALSE()),""))</f>
        <v>0.468190175850689</v>
      </c>
      <c r="H253" s="72" t="str">
        <f aca="false">IFERROR(VLOOKUP(C253,$AS$3:$AY$10,7,FALSE()),IFERROR(VLOOKUP(C253,$AS$15:$AY$22,7,FALSE()),""))</f>
        <v>🟡 AMARELO</v>
      </c>
      <c r="I253" s="72" t="str">
        <f aca="false">IFERROR(VLOOKUP(C253,$AS$3:$AZ$10,8,FALSE()),IFERROR(VLOOKUP(C253,$AS$15:$AZ$22,8,FALSE()),""))</f>
        <v>Sell Out</v>
      </c>
      <c r="J253" s="73"/>
      <c r="K253" s="69" t="s">
        <v>107</v>
      </c>
      <c r="L253" s="74" t="n">
        <v>4524.24</v>
      </c>
      <c r="M253" s="75" t="n">
        <v>317.93</v>
      </c>
      <c r="N253" s="75" t="n">
        <v>332.23</v>
      </c>
      <c r="O253" s="75" t="n">
        <v>340.23</v>
      </c>
      <c r="P253" s="75" t="n">
        <v>349.1</v>
      </c>
      <c r="Q253" s="75" t="n">
        <v>360.53</v>
      </c>
      <c r="R253" s="75" t="n">
        <v>369.97</v>
      </c>
      <c r="S253" s="75" t="n">
        <v>384.26</v>
      </c>
      <c r="T253" s="75" t="n">
        <v>393.7</v>
      </c>
      <c r="U253" s="75" t="n">
        <v>402.56</v>
      </c>
      <c r="V253" s="75" t="n">
        <v>412.57</v>
      </c>
      <c r="W253" s="75" t="n">
        <v>423.43</v>
      </c>
      <c r="X253" s="76" t="n">
        <v>437.73</v>
      </c>
      <c r="Y253" s="77" t="s">
        <v>20</v>
      </c>
      <c r="Z253" s="78" t="n">
        <f aca="false">SUM(AA253:AL253)</f>
        <v>1958.68</v>
      </c>
      <c r="AA253" s="75"/>
      <c r="AB253" s="75"/>
      <c r="AC253" s="75"/>
      <c r="AD253" s="75"/>
      <c r="AE253" s="75"/>
      <c r="AF253" s="75"/>
      <c r="AG253" s="75"/>
      <c r="AH253" s="75"/>
      <c r="AI253" s="75"/>
      <c r="AJ253" s="79" t="n">
        <v>1958.68</v>
      </c>
      <c r="AK253" s="75"/>
      <c r="AL253" s="76"/>
      <c r="AM253" s="56" t="s">
        <v>20</v>
      </c>
      <c r="AN253" s="80" t="n">
        <f aca="false">IF(L253=0,0,Z253/L253)</f>
        <v>0.432930171697346</v>
      </c>
      <c r="AO253" s="81" t="str">
        <f aca="false">IF(AN253="","",IF(AN253&gt;=0.9,"🟢",IF(AN253&gt;=0.7,"🟡",IF(AN253&gt;=0.5,"🟠","🔴"))))</f>
        <v>🔴</v>
      </c>
      <c r="AP253" s="82" t="n">
        <f aca="false">IF(L253=0,0,L253-Z253)</f>
        <v>2565.56</v>
      </c>
      <c r="AQ253" s="83" t="n">
        <f aca="false">IF(AP253=0,"",RANK(AP253,AP$4:AP$503,0))</f>
        <v>237</v>
      </c>
      <c r="AR253" s="84" t="s">
        <v>20</v>
      </c>
      <c r="AS253" s="141"/>
      <c r="AT253" s="141"/>
      <c r="AU253" s="141"/>
      <c r="AV253" s="141"/>
      <c r="AW253" s="141"/>
      <c r="AX253" s="141"/>
      <c r="AY253" s="142"/>
      <c r="AZ253" s="142"/>
      <c r="BA253" s="56" t="s">
        <v>20</v>
      </c>
      <c r="BB253" s="91" t="n">
        <f aca="false">SUM(L$4:L$503)/COUNTA(A$4:A$503)</f>
        <v>9494.39992</v>
      </c>
      <c r="BC253" s="92" t="n">
        <f aca="false">SUM(M$4:M$503)/COUNTA(A$4:A$503)</f>
        <v>667.20008</v>
      </c>
      <c r="BD253" s="92" t="n">
        <f aca="false">SUM(N$4:N$503)/COUNTA(A$4:A$503)</f>
        <v>697.19996</v>
      </c>
      <c r="BE253" s="92" t="n">
        <f aca="false">SUM(O$4:O$503)/COUNTA(A$4:A$503)</f>
        <v>713.9999</v>
      </c>
      <c r="BF253" s="92" t="n">
        <f aca="false">SUM(P$4:P$503)/COUNTA(A$4:A$503)</f>
        <v>732.59984</v>
      </c>
      <c r="BG253" s="92" t="n">
        <f aca="false">SUM(Q$4:Q$503)/COUNTA(A$4:A$503)</f>
        <v>756.59992</v>
      </c>
      <c r="BH253" s="92" t="n">
        <f aca="false">SUM(R$4:R$503)/COUNTA(A$4:A$503)</f>
        <v>776.40004</v>
      </c>
      <c r="BI253" s="92" t="n">
        <f aca="false">SUM(S$4:S$503)/COUNTA(A$4:A$503)</f>
        <v>806.40012</v>
      </c>
      <c r="BJ253" s="92" t="n">
        <f aca="false">SUM(T$4:T$503)/COUNTA(A$4:A$503)</f>
        <v>826.1999</v>
      </c>
      <c r="BK253" s="92" t="n">
        <f aca="false">SUM(U$4:U$503)/COUNTA(A$4:A$503)</f>
        <v>844.8002</v>
      </c>
      <c r="BL253" s="92" t="n">
        <f aca="false">SUM(V$4:V$503)/COUNTA(A$4:A$503)</f>
        <v>865.7998</v>
      </c>
      <c r="BM253" s="92" t="n">
        <f aca="false">SUM(W$4:W$503)/COUNTA(A$4:A$503)</f>
        <v>888.59982</v>
      </c>
      <c r="BN253" s="93" t="n">
        <f aca="false">SUM(X$4:X$503)/COUNTA(A$4:A$503)</f>
        <v>918.60034</v>
      </c>
      <c r="BO253" s="94" t="s">
        <v>20</v>
      </c>
      <c r="BP253" s="91" t="n">
        <f aca="false">IF(Z253&gt;=BB253,0,IFERROR(BB253+(SUMPRODUCT((Z$4:Z$503&gt;=BB$4:BB$503)*(Z$4:Z$503-BB$4:BB$503))/MAX(1,COUNTIF(Z$4:Z$503,"&lt;"&amp;BB253+0.01))),BB253))</f>
        <v>10695.5432177778</v>
      </c>
      <c r="BQ253" s="92" t="n">
        <f aca="false">IF(AA253&gt;=BC253,0,IFERROR(BC253+SUMPRODUCT((AA$4:AA$503&gt;=BC$4:BC$503)*(AA$4:AA$503-BC$4:BC$503))/MAX(1,COUNTIF(AA$4:AA$503,"&lt;"&amp;BC253+0.01)),BC253))</f>
        <v>2238.46589176471</v>
      </c>
      <c r="BR253" s="92" t="n">
        <f aca="false">IF(AB253&gt;=BD253,0,IFERROR(BD253+SUMPRODUCT((AB$4:AB$503&gt;=BD$4:BD$503)*(AB$4:AB$503-BD$4:BD$503))/MAX(1,COUNTIF(AB$4:AB$503,"&lt;"&amp;BD253+0.01)),BD253))</f>
        <v>3335.2938</v>
      </c>
      <c r="BS253" s="92" t="n">
        <f aca="false">IF(AC253&gt;=BE253,0,IFERROR(BE253+SUMPRODUCT((AC$4:AC$503&gt;=BE$4:BE$503)*(AC$4:AC$503-BE$4:BE$503))/MAX(1,COUNTIF(AC$4:AC$503,"&lt;"&amp;BE253+0.01)),BE253))</f>
        <v>6188.73352</v>
      </c>
      <c r="BT253" s="92" t="n">
        <f aca="false">IF(AD253&gt;=BF253,0,IFERROR(BF253+SUMPRODUCT((AD$4:AD$503&gt;=BF$4:BF$503)*(AD$4:AD$503-BF$4:BF$503))/MAX(1,COUNTIF(AD$4:AD$503,"&lt;"&amp;BF253+0.01)),BF253))</f>
        <v>11354.35411</v>
      </c>
      <c r="BU253" s="92" t="n">
        <f aca="false">IF(AE253&gt;=BG253,0,IFERROR(BG253+SUMPRODUCT((AE$4:AE$503&gt;=BG$4:BG$503)*(AE$4:AE$503-BG$4:BG$503))/MAX(1,COUNTIF(AE$4:AE$503,"&lt;"&amp;BG253+0.01)),BG253))</f>
        <v>7704.85920380952</v>
      </c>
      <c r="BV253" s="92" t="n">
        <f aca="false">IF(AF253&gt;=BH253,0,IFERROR(BH253+SUMPRODUCT((AF$4:AF$503&gt;=BH$4:BH$503)*(AF$4:AF$503-BH$4:BH$503))/MAX(1,COUNTIF(AF$4:AF$503,"&lt;"&amp;BH253+0.01)),BH253))</f>
        <v>9942.6503831579</v>
      </c>
      <c r="BW253" s="92" t="n">
        <f aca="false">IF(AG253&gt;=BI253,0,IFERROR(BI253+SUMPRODUCT((AG$4:AG$503&gt;=BI$4:BI$503)*(AG$4:AG$503-BI$4:BI$503))/MAX(1,COUNTIF(AG$4:AG$503,"&lt;"&amp;BI253+0.01)),BI253))</f>
        <v>9142.15870461538</v>
      </c>
      <c r="BX253" s="92" t="n">
        <f aca="false">IF(AH253&gt;=BJ253,0,IFERROR(BJ253+SUMPRODUCT((AH$4:AH$503&gt;=BJ$4:BJ$503)*(AH$4:AH$503-BJ$4:BJ$503))/MAX(1,COUNTIF(AH$4:AH$503,"&lt;"&amp;BJ253+0.01)),BJ253))</f>
        <v>5621.50263448276</v>
      </c>
      <c r="BY253" s="92" t="n">
        <f aca="false">IF(AI253&gt;=BK253,0,IFERROR(BK253+SUMPRODUCT((AI$4:AI$503&gt;=BK$4:BK$503)*(AI$4:AI$503-BK$4:BK$503))/MAX(1,COUNTIF(AI$4:AI$503,"&lt;"&amp;BK253+0.01)),BK253))</f>
        <v>7878.25652380952</v>
      </c>
      <c r="BZ253" s="92" t="n">
        <f aca="false">IF(AJ253&gt;=BL253,0,IFERROR(BL253+SUMPRODUCT((AJ$4:AJ$503&gt;=BL$4:BL$503)*(AJ$4:AJ$503-BL$4:BL$503))/MAX(1,COUNTIF(AJ$4:AJ$503,"&lt;"&amp;BL253+0.01)),BL253))</f>
        <v>0</v>
      </c>
      <c r="CA253" s="92" t="n">
        <f aca="false">IF(AK253&gt;=BM253,0,IFERROR(BM253+SUMPRODUCT((AK$4:AK$503&gt;=BM$4:BM$503)*(AK$4:AK$503-BM$4:BM$503))/MAX(1,COUNTIF(AK$4:AK$503,"&lt;"&amp;BM253+0.01)),BM253))</f>
        <v>7314.89836842105</v>
      </c>
      <c r="CB253" s="93" t="n">
        <f aca="false">IF(AL253&gt;=BN253,0,IFERROR(BN253+SUMPRODUCT((AL$4:AL$503&gt;=BN$4:BN$503)*(AL$4:AL$503-BN$4:BN$503))/MAX(1,COUNTIF(AL$4:AL$503,"&lt;"&amp;BN253+0.01)),BN253))</f>
        <v>3597.2614925</v>
      </c>
      <c r="CC253" s="95" t="str">
        <f aca="false">IF(AO253="🟢","VERDE",IF(AO253="🟡","AMARELO",IF(AO253="🟠","VERMELHO",IF(AO253="🔴","VERMELHO","ROXO"))))</f>
        <v>VERMELHO</v>
      </c>
      <c r="CD253" s="96" t="s">
        <v>103</v>
      </c>
      <c r="CE253" s="96" t="s">
        <v>104</v>
      </c>
    </row>
    <row r="254" customFormat="false" ht="14.25" hidden="false" customHeight="true" outlineLevel="0" collapsed="false">
      <c r="A254" s="65" t="s">
        <v>642</v>
      </c>
      <c r="B254" s="66" t="s">
        <v>643</v>
      </c>
      <c r="C254" s="67" t="s">
        <v>118</v>
      </c>
      <c r="D254" s="68" t="s">
        <v>100</v>
      </c>
      <c r="E254" s="69" t="s">
        <v>119</v>
      </c>
      <c r="F254" s="70" t="n">
        <f aca="false">IFERROR(VLOOKUP(C254,$AS$3:$AT$10,2,FALSE()),IFERROR(VLOOKUP(C254,$AS$15:$AT$22,2,FALSE()),""))</f>
        <v>42</v>
      </c>
      <c r="G254" s="71" t="n">
        <f aca="false">IFERROR(VLOOKUP(C254,$AS$3:$AX$10,6,FALSE()),IFERROR(VLOOKUP(C254,$AS$15:$AX$22,6,FALSE()),""))</f>
        <v>0.424872083346704</v>
      </c>
      <c r="H254" s="72" t="str">
        <f aca="false">IFERROR(VLOOKUP(C254,$AS$3:$AY$10,7,FALSE()),IFERROR(VLOOKUP(C254,$AS$15:$AY$22,7,FALSE()),""))</f>
        <v>🟡 AMARELO</v>
      </c>
      <c r="I254" s="72" t="str">
        <f aca="false">IFERROR(VLOOKUP(C254,$AS$3:$AZ$10,8,FALSE()),IFERROR(VLOOKUP(C254,$AS$15:$AZ$22,8,FALSE()),""))</f>
        <v>Sell Out</v>
      </c>
      <c r="J254" s="73"/>
      <c r="K254" s="69" t="s">
        <v>118</v>
      </c>
      <c r="L254" s="74" t="n">
        <v>4520.2</v>
      </c>
      <c r="M254" s="75" t="n">
        <v>317.65</v>
      </c>
      <c r="N254" s="75" t="n">
        <v>331.93</v>
      </c>
      <c r="O254" s="75" t="n">
        <v>339.93</v>
      </c>
      <c r="P254" s="75" t="n">
        <v>348.78</v>
      </c>
      <c r="Q254" s="75" t="n">
        <v>360.21</v>
      </c>
      <c r="R254" s="75" t="n">
        <v>369.64</v>
      </c>
      <c r="S254" s="75" t="n">
        <v>383.92</v>
      </c>
      <c r="T254" s="75" t="n">
        <v>393.35</v>
      </c>
      <c r="U254" s="75" t="n">
        <v>402.2</v>
      </c>
      <c r="V254" s="75" t="n">
        <v>412.2</v>
      </c>
      <c r="W254" s="75" t="n">
        <v>423.05</v>
      </c>
      <c r="X254" s="76" t="n">
        <v>437.34</v>
      </c>
      <c r="Y254" s="77" t="s">
        <v>20</v>
      </c>
      <c r="Z254" s="78" t="n">
        <f aca="false">SUM(AA254:AL254)</f>
        <v>1817.8</v>
      </c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107" t="n">
        <v>1817.8</v>
      </c>
      <c r="AM254" s="56" t="s">
        <v>20</v>
      </c>
      <c r="AN254" s="80" t="n">
        <f aca="false">IF(L254=0,0,Z254/L254)</f>
        <v>0.402150347329764</v>
      </c>
      <c r="AO254" s="81" t="str">
        <f aca="false">IF(AN254="","",IF(AN254&gt;=0.9,"🟢",IF(AN254&gt;=0.7,"🟡",IF(AN254&gt;=0.5,"🟠","🔴"))))</f>
        <v>🔴</v>
      </c>
      <c r="AP254" s="82" t="n">
        <f aca="false">IF(L254=0,0,L254-Z254)</f>
        <v>2702.4</v>
      </c>
      <c r="AQ254" s="83" t="n">
        <f aca="false">IF(AP254=0,"",RANK(AP254,AP$4:AP$503,0))</f>
        <v>227</v>
      </c>
      <c r="AR254" s="84" t="s">
        <v>20</v>
      </c>
      <c r="AS254" s="141"/>
      <c r="AT254" s="141"/>
      <c r="AU254" s="141"/>
      <c r="AV254" s="141"/>
      <c r="AW254" s="141"/>
      <c r="AX254" s="141"/>
      <c r="AY254" s="142"/>
      <c r="AZ254" s="142"/>
      <c r="BA254" s="56" t="s">
        <v>20</v>
      </c>
      <c r="BB254" s="91" t="n">
        <f aca="false">SUM(L$4:L$503)/COUNTA(A$4:A$503)</f>
        <v>9494.39992</v>
      </c>
      <c r="BC254" s="92" t="n">
        <f aca="false">SUM(M$4:M$503)/COUNTA(A$4:A$503)</f>
        <v>667.20008</v>
      </c>
      <c r="BD254" s="92" t="n">
        <f aca="false">SUM(N$4:N$503)/COUNTA(A$4:A$503)</f>
        <v>697.19996</v>
      </c>
      <c r="BE254" s="92" t="n">
        <f aca="false">SUM(O$4:O$503)/COUNTA(A$4:A$503)</f>
        <v>713.9999</v>
      </c>
      <c r="BF254" s="92" t="n">
        <f aca="false">SUM(P$4:P$503)/COUNTA(A$4:A$503)</f>
        <v>732.59984</v>
      </c>
      <c r="BG254" s="92" t="n">
        <f aca="false">SUM(Q$4:Q$503)/COUNTA(A$4:A$503)</f>
        <v>756.59992</v>
      </c>
      <c r="BH254" s="92" t="n">
        <f aca="false">SUM(R$4:R$503)/COUNTA(A$4:A$503)</f>
        <v>776.40004</v>
      </c>
      <c r="BI254" s="92" t="n">
        <f aca="false">SUM(S$4:S$503)/COUNTA(A$4:A$503)</f>
        <v>806.40012</v>
      </c>
      <c r="BJ254" s="92" t="n">
        <f aca="false">SUM(T$4:T$503)/COUNTA(A$4:A$503)</f>
        <v>826.1999</v>
      </c>
      <c r="BK254" s="92" t="n">
        <f aca="false">SUM(U$4:U$503)/COUNTA(A$4:A$503)</f>
        <v>844.8002</v>
      </c>
      <c r="BL254" s="92" t="n">
        <f aca="false">SUM(V$4:V$503)/COUNTA(A$4:A$503)</f>
        <v>865.7998</v>
      </c>
      <c r="BM254" s="92" t="n">
        <f aca="false">SUM(W$4:W$503)/COUNTA(A$4:A$503)</f>
        <v>888.59982</v>
      </c>
      <c r="BN254" s="93" t="n">
        <f aca="false">SUM(X$4:X$503)/COUNTA(A$4:A$503)</f>
        <v>918.60034</v>
      </c>
      <c r="BO254" s="94" t="s">
        <v>20</v>
      </c>
      <c r="BP254" s="91" t="n">
        <f aca="false">IF(Z254&gt;=BB254,0,IFERROR(BB254+(SUMPRODUCT((Z$4:Z$503&gt;=BB$4:BB$503)*(Z$4:Z$503-BB$4:BB$503))/MAX(1,COUNTIF(Z$4:Z$503,"&lt;"&amp;BB254+0.01))),BB254))</f>
        <v>10695.5432177778</v>
      </c>
      <c r="BQ254" s="92" t="n">
        <f aca="false">IF(AA254&gt;=BC254,0,IFERROR(BC254+SUMPRODUCT((AA$4:AA$503&gt;=BC$4:BC$503)*(AA$4:AA$503-BC$4:BC$503))/MAX(1,COUNTIF(AA$4:AA$503,"&lt;"&amp;BC254+0.01)),BC254))</f>
        <v>2238.46589176471</v>
      </c>
      <c r="BR254" s="92" t="n">
        <f aca="false">IF(AB254&gt;=BD254,0,IFERROR(BD254+SUMPRODUCT((AB$4:AB$503&gt;=BD$4:BD$503)*(AB$4:AB$503-BD$4:BD$503))/MAX(1,COUNTIF(AB$4:AB$503,"&lt;"&amp;BD254+0.01)),BD254))</f>
        <v>3335.2938</v>
      </c>
      <c r="BS254" s="92" t="n">
        <f aca="false">IF(AC254&gt;=BE254,0,IFERROR(BE254+SUMPRODUCT((AC$4:AC$503&gt;=BE$4:BE$503)*(AC$4:AC$503-BE$4:BE$503))/MAX(1,COUNTIF(AC$4:AC$503,"&lt;"&amp;BE254+0.01)),BE254))</f>
        <v>6188.73352</v>
      </c>
      <c r="BT254" s="92" t="n">
        <f aca="false">IF(AD254&gt;=BF254,0,IFERROR(BF254+SUMPRODUCT((AD$4:AD$503&gt;=BF$4:BF$503)*(AD$4:AD$503-BF$4:BF$503))/MAX(1,COUNTIF(AD$4:AD$503,"&lt;"&amp;BF254+0.01)),BF254))</f>
        <v>11354.35411</v>
      </c>
      <c r="BU254" s="92" t="n">
        <f aca="false">IF(AE254&gt;=BG254,0,IFERROR(BG254+SUMPRODUCT((AE$4:AE$503&gt;=BG$4:BG$503)*(AE$4:AE$503-BG$4:BG$503))/MAX(1,COUNTIF(AE$4:AE$503,"&lt;"&amp;BG254+0.01)),BG254))</f>
        <v>7704.85920380952</v>
      </c>
      <c r="BV254" s="92" t="n">
        <f aca="false">IF(AF254&gt;=BH254,0,IFERROR(BH254+SUMPRODUCT((AF$4:AF$503&gt;=BH$4:BH$503)*(AF$4:AF$503-BH$4:BH$503))/MAX(1,COUNTIF(AF$4:AF$503,"&lt;"&amp;BH254+0.01)),BH254))</f>
        <v>9942.6503831579</v>
      </c>
      <c r="BW254" s="92" t="n">
        <f aca="false">IF(AG254&gt;=BI254,0,IFERROR(BI254+SUMPRODUCT((AG$4:AG$503&gt;=BI$4:BI$503)*(AG$4:AG$503-BI$4:BI$503))/MAX(1,COUNTIF(AG$4:AG$503,"&lt;"&amp;BI254+0.01)),BI254))</f>
        <v>9142.15870461538</v>
      </c>
      <c r="BX254" s="92" t="n">
        <f aca="false">IF(AH254&gt;=BJ254,0,IFERROR(BJ254+SUMPRODUCT((AH$4:AH$503&gt;=BJ$4:BJ$503)*(AH$4:AH$503-BJ$4:BJ$503))/MAX(1,COUNTIF(AH$4:AH$503,"&lt;"&amp;BJ254+0.01)),BJ254))</f>
        <v>5621.50263448276</v>
      </c>
      <c r="BY254" s="92" t="n">
        <f aca="false">IF(AI254&gt;=BK254,0,IFERROR(BK254+SUMPRODUCT((AI$4:AI$503&gt;=BK$4:BK$503)*(AI$4:AI$503-BK$4:BK$503))/MAX(1,COUNTIF(AI$4:AI$503,"&lt;"&amp;BK254+0.01)),BK254))</f>
        <v>7878.25652380952</v>
      </c>
      <c r="BZ254" s="92" t="n">
        <f aca="false">IF(AJ254&gt;=BL254,0,IFERROR(BL254+SUMPRODUCT((AJ$4:AJ$503&gt;=BL$4:BL$503)*(AJ$4:AJ$503-BL$4:BL$503))/MAX(1,COUNTIF(AJ$4:AJ$503,"&lt;"&amp;BL254+0.01)),BL254))</f>
        <v>6710.03292307692</v>
      </c>
      <c r="CA254" s="92" t="n">
        <f aca="false">IF(AK254&gt;=BM254,0,IFERROR(BM254+SUMPRODUCT((AK$4:AK$503&gt;=BM$4:BM$503)*(AK$4:AK$503-BM$4:BM$503))/MAX(1,COUNTIF(AK$4:AK$503,"&lt;"&amp;BM254+0.01)),BM254))</f>
        <v>7314.89836842105</v>
      </c>
      <c r="CB254" s="93" t="n">
        <f aca="false">IF(AL254&gt;=BN254,0,IFERROR(BN254+SUMPRODUCT((AL$4:AL$503&gt;=BN$4:BN$503)*(AL$4:AL$503-BN$4:BN$503))/MAX(1,COUNTIF(AL$4:AL$503,"&lt;"&amp;BN254+0.01)),BN254))</f>
        <v>0</v>
      </c>
      <c r="CC254" s="95" t="str">
        <f aca="false">IF(AO254="🟢","VERDE",IF(AO254="🟡","AMARELO",IF(AO254="🟠","VERMELHO",IF(AO254="🔴","VERMELHO","ROXO"))))</f>
        <v>VERMELHO</v>
      </c>
      <c r="CD254" s="96" t="s">
        <v>103</v>
      </c>
      <c r="CE254" s="96" t="s">
        <v>104</v>
      </c>
    </row>
    <row r="255" customFormat="false" ht="14.25" hidden="false" customHeight="true" outlineLevel="0" collapsed="false">
      <c r="A255" s="65" t="s">
        <v>644</v>
      </c>
      <c r="B255" s="66" t="s">
        <v>645</v>
      </c>
      <c r="C255" s="66" t="s">
        <v>66</v>
      </c>
      <c r="D255" s="68" t="s">
        <v>175</v>
      </c>
      <c r="E255" s="69" t="s">
        <v>139</v>
      </c>
      <c r="F255" s="70" t="n">
        <f aca="false">IFERROR(VLOOKUP(C255,$AS$3:$AT$10,2,FALSE()),IFERROR(VLOOKUP(C255,$AS$15:$AT$22,2,FALSE()),""))</f>
        <v>44</v>
      </c>
      <c r="G255" s="71" t="n">
        <f aca="false">IFERROR(VLOOKUP(C255,$AS$3:$AX$10,6,FALSE()),IFERROR(VLOOKUP(C255,$AS$15:$AX$22,6,FALSE()),""))</f>
        <v>0.496839506257363</v>
      </c>
      <c r="H255" s="72" t="str">
        <f aca="false">IFERROR(VLOOKUP(C255,$AS$3:$AY$10,7,FALSE()),IFERROR(VLOOKUP(C255,$AS$15:$AY$22,7,FALSE()),""))</f>
        <v>🟡 AMARELO</v>
      </c>
      <c r="I255" s="72" t="str">
        <f aca="false">IFERROR(VLOOKUP(C255,$AS$3:$AZ$10,8,FALSE()),IFERROR(VLOOKUP(C255,$AS$15:$AZ$22,8,FALSE()),""))</f>
        <v>Sell Out</v>
      </c>
      <c r="J255" s="73"/>
      <c r="K255" s="69" t="s">
        <v>107</v>
      </c>
      <c r="L255" s="74" t="n">
        <v>4493.22</v>
      </c>
      <c r="M255" s="75" t="n">
        <v>315.75</v>
      </c>
      <c r="N255" s="75" t="n">
        <v>329.95</v>
      </c>
      <c r="O255" s="75" t="n">
        <v>337.9</v>
      </c>
      <c r="P255" s="75" t="n">
        <v>346.7</v>
      </c>
      <c r="Q255" s="75" t="n">
        <v>358.06</v>
      </c>
      <c r="R255" s="75" t="n">
        <v>367.43</v>
      </c>
      <c r="S255" s="75" t="n">
        <v>381.63</v>
      </c>
      <c r="T255" s="75" t="n">
        <v>391</v>
      </c>
      <c r="U255" s="75" t="n">
        <v>399.8</v>
      </c>
      <c r="V255" s="75" t="n">
        <v>409.74</v>
      </c>
      <c r="W255" s="75" t="n">
        <v>420.53</v>
      </c>
      <c r="X255" s="76" t="n">
        <v>434.73</v>
      </c>
      <c r="Y255" s="77" t="s">
        <v>20</v>
      </c>
      <c r="Z255" s="78" t="n">
        <f aca="false">SUM(AA255:AL255)</f>
        <v>1806.95</v>
      </c>
      <c r="AA255" s="75"/>
      <c r="AB255" s="75"/>
      <c r="AC255" s="79" t="n">
        <v>610.51</v>
      </c>
      <c r="AD255" s="75"/>
      <c r="AE255" s="75"/>
      <c r="AF255" s="79" t="n">
        <v>1196.44</v>
      </c>
      <c r="AG255" s="75"/>
      <c r="AH255" s="75"/>
      <c r="AI255" s="75"/>
      <c r="AJ255" s="75"/>
      <c r="AK255" s="75"/>
      <c r="AL255" s="76"/>
      <c r="AM255" s="56" t="s">
        <v>20</v>
      </c>
      <c r="AN255" s="80" t="n">
        <f aca="false">IF(L255=0,0,Z255/L255)</f>
        <v>0.402150350973244</v>
      </c>
      <c r="AO255" s="81" t="str">
        <f aca="false">IF(AN255="","",IF(AN255&gt;=0.9,"🟢",IF(AN255&gt;=0.7,"🟡",IF(AN255&gt;=0.5,"🟠","🔴"))))</f>
        <v>🔴</v>
      </c>
      <c r="AP255" s="82" t="n">
        <f aca="false">IF(L255=0,0,L255-Z255)</f>
        <v>2686.27</v>
      </c>
      <c r="AQ255" s="83" t="n">
        <f aca="false">IF(AP255=0,"",RANK(AP255,AP$4:AP$503,0))</f>
        <v>229</v>
      </c>
      <c r="AR255" s="84" t="s">
        <v>20</v>
      </c>
      <c r="AS255" s="141"/>
      <c r="AT255" s="141"/>
      <c r="AU255" s="141"/>
      <c r="AV255" s="141"/>
      <c r="AW255" s="141"/>
      <c r="AX255" s="141"/>
      <c r="AY255" s="142"/>
      <c r="AZ255" s="142"/>
      <c r="BA255" s="56" t="s">
        <v>20</v>
      </c>
      <c r="BB255" s="91" t="n">
        <f aca="false">SUM(L$4:L$503)/COUNTA(A$4:A$503)</f>
        <v>9494.39992</v>
      </c>
      <c r="BC255" s="92" t="n">
        <f aca="false">SUM(M$4:M$503)/COUNTA(A$4:A$503)</f>
        <v>667.20008</v>
      </c>
      <c r="BD255" s="92" t="n">
        <f aca="false">SUM(N$4:N$503)/COUNTA(A$4:A$503)</f>
        <v>697.19996</v>
      </c>
      <c r="BE255" s="92" t="n">
        <f aca="false">SUM(O$4:O$503)/COUNTA(A$4:A$503)</f>
        <v>713.9999</v>
      </c>
      <c r="BF255" s="92" t="n">
        <f aca="false">SUM(P$4:P$503)/COUNTA(A$4:A$503)</f>
        <v>732.59984</v>
      </c>
      <c r="BG255" s="92" t="n">
        <f aca="false">SUM(Q$4:Q$503)/COUNTA(A$4:A$503)</f>
        <v>756.59992</v>
      </c>
      <c r="BH255" s="92" t="n">
        <f aca="false">SUM(R$4:R$503)/COUNTA(A$4:A$503)</f>
        <v>776.40004</v>
      </c>
      <c r="BI255" s="92" t="n">
        <f aca="false">SUM(S$4:S$503)/COUNTA(A$4:A$503)</f>
        <v>806.40012</v>
      </c>
      <c r="BJ255" s="92" t="n">
        <f aca="false">SUM(T$4:T$503)/COUNTA(A$4:A$503)</f>
        <v>826.1999</v>
      </c>
      <c r="BK255" s="92" t="n">
        <f aca="false">SUM(U$4:U$503)/COUNTA(A$4:A$503)</f>
        <v>844.8002</v>
      </c>
      <c r="BL255" s="92" t="n">
        <f aca="false">SUM(V$4:V$503)/COUNTA(A$4:A$503)</f>
        <v>865.7998</v>
      </c>
      <c r="BM255" s="92" t="n">
        <f aca="false">SUM(W$4:W$503)/COUNTA(A$4:A$503)</f>
        <v>888.59982</v>
      </c>
      <c r="BN255" s="93" t="n">
        <f aca="false">SUM(X$4:X$503)/COUNTA(A$4:A$503)</f>
        <v>918.60034</v>
      </c>
      <c r="BO255" s="94" t="s">
        <v>20</v>
      </c>
      <c r="BP255" s="91" t="n">
        <f aca="false">IF(Z255&gt;=BB255,0,IFERROR(BB255+(SUMPRODUCT((Z$4:Z$503&gt;=BB$4:BB$503)*(Z$4:Z$503-BB$4:BB$503))/MAX(1,COUNTIF(Z$4:Z$503,"&lt;"&amp;BB255+0.01))),BB255))</f>
        <v>10695.5432177778</v>
      </c>
      <c r="BQ255" s="92" t="n">
        <f aca="false">IF(AA255&gt;=BC255,0,IFERROR(BC255+SUMPRODUCT((AA$4:AA$503&gt;=BC$4:BC$503)*(AA$4:AA$503-BC$4:BC$503))/MAX(1,COUNTIF(AA$4:AA$503,"&lt;"&amp;BC255+0.01)),BC255))</f>
        <v>2238.46589176471</v>
      </c>
      <c r="BR255" s="92" t="n">
        <f aca="false">IF(AB255&gt;=BD255,0,IFERROR(BD255+SUMPRODUCT((AB$4:AB$503&gt;=BD$4:BD$503)*(AB$4:AB$503-BD$4:BD$503))/MAX(1,COUNTIF(AB$4:AB$503,"&lt;"&amp;BD255+0.01)),BD255))</f>
        <v>3335.2938</v>
      </c>
      <c r="BS255" s="92" t="n">
        <f aca="false">IF(AC255&gt;=BE255,0,IFERROR(BE255+SUMPRODUCT((AC$4:AC$503&gt;=BE$4:BE$503)*(AC$4:AC$503-BE$4:BE$503))/MAX(1,COUNTIF(AC$4:AC$503,"&lt;"&amp;BE255+0.01)),BE255))</f>
        <v>6188.73352</v>
      </c>
      <c r="BT255" s="92" t="n">
        <f aca="false">IF(AD255&gt;=BF255,0,IFERROR(BF255+SUMPRODUCT((AD$4:AD$503&gt;=BF$4:BF$503)*(AD$4:AD$503-BF$4:BF$503))/MAX(1,COUNTIF(AD$4:AD$503,"&lt;"&amp;BF255+0.01)),BF255))</f>
        <v>11354.35411</v>
      </c>
      <c r="BU255" s="92" t="n">
        <f aca="false">IF(AE255&gt;=BG255,0,IFERROR(BG255+SUMPRODUCT((AE$4:AE$503&gt;=BG$4:BG$503)*(AE$4:AE$503-BG$4:BG$503))/MAX(1,COUNTIF(AE$4:AE$503,"&lt;"&amp;BG255+0.01)),BG255))</f>
        <v>7704.85920380952</v>
      </c>
      <c r="BV255" s="92" t="n">
        <f aca="false">IF(AF255&gt;=BH255,0,IFERROR(BH255+SUMPRODUCT((AF$4:AF$503&gt;=BH$4:BH$503)*(AF$4:AF$503-BH$4:BH$503))/MAX(1,COUNTIF(AF$4:AF$503,"&lt;"&amp;BH255+0.01)),BH255))</f>
        <v>0</v>
      </c>
      <c r="BW255" s="92" t="n">
        <f aca="false">IF(AG255&gt;=BI255,0,IFERROR(BI255+SUMPRODUCT((AG$4:AG$503&gt;=BI$4:BI$503)*(AG$4:AG$503-BI$4:BI$503))/MAX(1,COUNTIF(AG$4:AG$503,"&lt;"&amp;BI255+0.01)),BI255))</f>
        <v>9142.15870461538</v>
      </c>
      <c r="BX255" s="92" t="n">
        <f aca="false">IF(AH255&gt;=BJ255,0,IFERROR(BJ255+SUMPRODUCT((AH$4:AH$503&gt;=BJ$4:BJ$503)*(AH$4:AH$503-BJ$4:BJ$503))/MAX(1,COUNTIF(AH$4:AH$503,"&lt;"&amp;BJ255+0.01)),BJ255))</f>
        <v>5621.50263448276</v>
      </c>
      <c r="BY255" s="92" t="n">
        <f aca="false">IF(AI255&gt;=BK255,0,IFERROR(BK255+SUMPRODUCT((AI$4:AI$503&gt;=BK$4:BK$503)*(AI$4:AI$503-BK$4:BK$503))/MAX(1,COUNTIF(AI$4:AI$503,"&lt;"&amp;BK255+0.01)),BK255))</f>
        <v>7878.25652380952</v>
      </c>
      <c r="BZ255" s="92" t="n">
        <f aca="false">IF(AJ255&gt;=BL255,0,IFERROR(BL255+SUMPRODUCT((AJ$4:AJ$503&gt;=BL$4:BL$503)*(AJ$4:AJ$503-BL$4:BL$503))/MAX(1,COUNTIF(AJ$4:AJ$503,"&lt;"&amp;BL255+0.01)),BL255))</f>
        <v>6710.03292307692</v>
      </c>
      <c r="CA255" s="92" t="n">
        <f aca="false">IF(AK255&gt;=BM255,0,IFERROR(BM255+SUMPRODUCT((AK$4:AK$503&gt;=BM$4:BM$503)*(AK$4:AK$503-BM$4:BM$503))/MAX(1,COUNTIF(AK$4:AK$503,"&lt;"&amp;BM255+0.01)),BM255))</f>
        <v>7314.89836842105</v>
      </c>
      <c r="CB255" s="93" t="n">
        <f aca="false">IF(AL255&gt;=BN255,0,IFERROR(BN255+SUMPRODUCT((AL$4:AL$503&gt;=BN$4:BN$503)*(AL$4:AL$503-BN$4:BN$503))/MAX(1,COUNTIF(AL$4:AL$503,"&lt;"&amp;BN255+0.01)),BN255))</f>
        <v>3597.2614925</v>
      </c>
      <c r="CC255" s="95" t="str">
        <f aca="false">IF(AO255="🟢","VERDE",IF(AO255="🟡","AMARELO",IF(AO255="🟠","VERMELHO",IF(AO255="🔴","VERMELHO","ROXO"))))</f>
        <v>VERMELHO</v>
      </c>
      <c r="CD255" s="96" t="s">
        <v>176</v>
      </c>
      <c r="CE255" s="96" t="s">
        <v>66</v>
      </c>
    </row>
    <row r="256" customFormat="false" ht="14.25" hidden="false" customHeight="true" outlineLevel="0" collapsed="false">
      <c r="A256" s="65" t="s">
        <v>646</v>
      </c>
      <c r="B256" s="66" t="s">
        <v>647</v>
      </c>
      <c r="C256" s="67" t="s">
        <v>107</v>
      </c>
      <c r="D256" s="68" t="s">
        <v>108</v>
      </c>
      <c r="E256" s="69" t="s">
        <v>109</v>
      </c>
      <c r="F256" s="70" t="n">
        <f aca="false">IFERROR(VLOOKUP(C256,$AS$3:$AT$10,2,FALSE()),IFERROR(VLOOKUP(C256,$AS$15:$AT$22,2,FALSE()),""))</f>
        <v>132</v>
      </c>
      <c r="G256" s="71" t="n">
        <f aca="false">IFERROR(VLOOKUP(C256,$AS$3:$AX$10,6,FALSE()),IFERROR(VLOOKUP(C256,$AS$15:$AX$22,6,FALSE()),""))</f>
        <v>0.468190175850689</v>
      </c>
      <c r="H256" s="72" t="str">
        <f aca="false">IFERROR(VLOOKUP(C256,$AS$3:$AY$10,7,FALSE()),IFERROR(VLOOKUP(C256,$AS$15:$AY$22,7,FALSE()),""))</f>
        <v>🟡 AMARELO</v>
      </c>
      <c r="I256" s="72" t="str">
        <f aca="false">IFERROR(VLOOKUP(C256,$AS$3:$AZ$10,8,FALSE()),IFERROR(VLOOKUP(C256,$AS$15:$AZ$22,8,FALSE()),""))</f>
        <v>Sell Out</v>
      </c>
      <c r="J256" s="73"/>
      <c r="K256" s="69" t="s">
        <v>107</v>
      </c>
      <c r="L256" s="74" t="n">
        <v>4412.18</v>
      </c>
      <c r="M256" s="75" t="n">
        <v>310.06</v>
      </c>
      <c r="N256" s="75" t="n">
        <v>324</v>
      </c>
      <c r="O256" s="75" t="n">
        <v>331.81</v>
      </c>
      <c r="P256" s="75" t="n">
        <v>340.45</v>
      </c>
      <c r="Q256" s="75" t="n">
        <v>351.6</v>
      </c>
      <c r="R256" s="75" t="n">
        <v>360.8</v>
      </c>
      <c r="S256" s="75" t="n">
        <v>374.74</v>
      </c>
      <c r="T256" s="75" t="n">
        <v>383.95</v>
      </c>
      <c r="U256" s="75" t="n">
        <v>392.59</v>
      </c>
      <c r="V256" s="75" t="n">
        <v>402.35</v>
      </c>
      <c r="W256" s="75" t="n">
        <v>412.94</v>
      </c>
      <c r="X256" s="76" t="n">
        <v>426.89</v>
      </c>
      <c r="Y256" s="77" t="s">
        <v>20</v>
      </c>
      <c r="Z256" s="78" t="n">
        <f aca="false">SUM(AA256:AL256)</f>
        <v>1781.87</v>
      </c>
      <c r="AA256" s="75"/>
      <c r="AB256" s="75"/>
      <c r="AC256" s="75"/>
      <c r="AD256" s="75"/>
      <c r="AE256" s="75"/>
      <c r="AF256" s="75"/>
      <c r="AG256" s="75"/>
      <c r="AH256" s="79" t="n">
        <v>983.87</v>
      </c>
      <c r="AI256" s="79" t="n">
        <v>798</v>
      </c>
      <c r="AJ256" s="75"/>
      <c r="AK256" s="75"/>
      <c r="AL256" s="76"/>
      <c r="AM256" s="56" t="s">
        <v>20</v>
      </c>
      <c r="AN256" s="80" t="n">
        <f aca="false">IF(L256=0,0,Z256/L256)</f>
        <v>0.4038525173497</v>
      </c>
      <c r="AO256" s="81" t="str">
        <f aca="false">IF(AN256="","",IF(AN256&gt;=0.9,"🟢",IF(AN256&gt;=0.7,"🟡",IF(AN256&gt;=0.5,"🟠","🔴"))))</f>
        <v>🔴</v>
      </c>
      <c r="AP256" s="82" t="n">
        <f aca="false">IF(L256=0,0,L256-Z256)</f>
        <v>2630.31</v>
      </c>
      <c r="AQ256" s="83" t="n">
        <f aca="false">IF(AP256=0,"",RANK(AP256,AP$4:AP$503,0))</f>
        <v>233</v>
      </c>
      <c r="AR256" s="84" t="s">
        <v>20</v>
      </c>
      <c r="AS256" s="141"/>
      <c r="AT256" s="141"/>
      <c r="AU256" s="141"/>
      <c r="AV256" s="141"/>
      <c r="AW256" s="141"/>
      <c r="AX256" s="141"/>
      <c r="AY256" s="142"/>
      <c r="AZ256" s="142"/>
      <c r="BA256" s="56" t="s">
        <v>20</v>
      </c>
      <c r="BB256" s="91" t="n">
        <f aca="false">SUM(L$4:L$503)/COUNTA(A$4:A$503)</f>
        <v>9494.39992</v>
      </c>
      <c r="BC256" s="92" t="n">
        <f aca="false">SUM(M$4:M$503)/COUNTA(A$4:A$503)</f>
        <v>667.20008</v>
      </c>
      <c r="BD256" s="92" t="n">
        <f aca="false">SUM(N$4:N$503)/COUNTA(A$4:A$503)</f>
        <v>697.19996</v>
      </c>
      <c r="BE256" s="92" t="n">
        <f aca="false">SUM(O$4:O$503)/COUNTA(A$4:A$503)</f>
        <v>713.9999</v>
      </c>
      <c r="BF256" s="92" t="n">
        <f aca="false">SUM(P$4:P$503)/COUNTA(A$4:A$503)</f>
        <v>732.59984</v>
      </c>
      <c r="BG256" s="92" t="n">
        <f aca="false">SUM(Q$4:Q$503)/COUNTA(A$4:A$503)</f>
        <v>756.59992</v>
      </c>
      <c r="BH256" s="92" t="n">
        <f aca="false">SUM(R$4:R$503)/COUNTA(A$4:A$503)</f>
        <v>776.40004</v>
      </c>
      <c r="BI256" s="92" t="n">
        <f aca="false">SUM(S$4:S$503)/COUNTA(A$4:A$503)</f>
        <v>806.40012</v>
      </c>
      <c r="BJ256" s="92" t="n">
        <f aca="false">SUM(T$4:T$503)/COUNTA(A$4:A$503)</f>
        <v>826.1999</v>
      </c>
      <c r="BK256" s="92" t="n">
        <f aca="false">SUM(U$4:U$503)/COUNTA(A$4:A$503)</f>
        <v>844.8002</v>
      </c>
      <c r="BL256" s="92" t="n">
        <f aca="false">SUM(V$4:V$503)/COUNTA(A$4:A$503)</f>
        <v>865.7998</v>
      </c>
      <c r="BM256" s="92" t="n">
        <f aca="false">SUM(W$4:W$503)/COUNTA(A$4:A$503)</f>
        <v>888.59982</v>
      </c>
      <c r="BN256" s="93" t="n">
        <f aca="false">SUM(X$4:X$503)/COUNTA(A$4:A$503)</f>
        <v>918.60034</v>
      </c>
      <c r="BO256" s="94" t="s">
        <v>20</v>
      </c>
      <c r="BP256" s="91" t="n">
        <f aca="false">IF(Z256&gt;=BB256,0,IFERROR(BB256+(SUMPRODUCT((Z$4:Z$503&gt;=BB$4:BB$503)*(Z$4:Z$503-BB$4:BB$503))/MAX(1,COUNTIF(Z$4:Z$503,"&lt;"&amp;BB256+0.01))),BB256))</f>
        <v>10695.5432177778</v>
      </c>
      <c r="BQ256" s="92" t="n">
        <f aca="false">IF(AA256&gt;=BC256,0,IFERROR(BC256+SUMPRODUCT((AA$4:AA$503&gt;=BC$4:BC$503)*(AA$4:AA$503-BC$4:BC$503))/MAX(1,COUNTIF(AA$4:AA$503,"&lt;"&amp;BC256+0.01)),BC256))</f>
        <v>2238.46589176471</v>
      </c>
      <c r="BR256" s="92" t="n">
        <f aca="false">IF(AB256&gt;=BD256,0,IFERROR(BD256+SUMPRODUCT((AB$4:AB$503&gt;=BD$4:BD$503)*(AB$4:AB$503-BD$4:BD$503))/MAX(1,COUNTIF(AB$4:AB$503,"&lt;"&amp;BD256+0.01)),BD256))</f>
        <v>3335.2938</v>
      </c>
      <c r="BS256" s="92" t="n">
        <f aca="false">IF(AC256&gt;=BE256,0,IFERROR(BE256+SUMPRODUCT((AC$4:AC$503&gt;=BE$4:BE$503)*(AC$4:AC$503-BE$4:BE$503))/MAX(1,COUNTIF(AC$4:AC$503,"&lt;"&amp;BE256+0.01)),BE256))</f>
        <v>6188.73352</v>
      </c>
      <c r="BT256" s="92" t="n">
        <f aca="false">IF(AD256&gt;=BF256,0,IFERROR(BF256+SUMPRODUCT((AD$4:AD$503&gt;=BF$4:BF$503)*(AD$4:AD$503-BF$4:BF$503))/MAX(1,COUNTIF(AD$4:AD$503,"&lt;"&amp;BF256+0.01)),BF256))</f>
        <v>11354.35411</v>
      </c>
      <c r="BU256" s="92" t="n">
        <f aca="false">IF(AE256&gt;=BG256,0,IFERROR(BG256+SUMPRODUCT((AE$4:AE$503&gt;=BG$4:BG$503)*(AE$4:AE$503-BG$4:BG$503))/MAX(1,COUNTIF(AE$4:AE$503,"&lt;"&amp;BG256+0.01)),BG256))</f>
        <v>7704.85920380952</v>
      </c>
      <c r="BV256" s="92" t="n">
        <f aca="false">IF(AF256&gt;=BH256,0,IFERROR(BH256+SUMPRODUCT((AF$4:AF$503&gt;=BH$4:BH$503)*(AF$4:AF$503-BH$4:BH$503))/MAX(1,COUNTIF(AF$4:AF$503,"&lt;"&amp;BH256+0.01)),BH256))</f>
        <v>9942.6503831579</v>
      </c>
      <c r="BW256" s="92" t="n">
        <f aca="false">IF(AG256&gt;=BI256,0,IFERROR(BI256+SUMPRODUCT((AG$4:AG$503&gt;=BI$4:BI$503)*(AG$4:AG$503-BI$4:BI$503))/MAX(1,COUNTIF(AG$4:AG$503,"&lt;"&amp;BI256+0.01)),BI256))</f>
        <v>9142.15870461538</v>
      </c>
      <c r="BX256" s="92" t="n">
        <f aca="false">IF(AH256&gt;=BJ256,0,IFERROR(BJ256+SUMPRODUCT((AH$4:AH$503&gt;=BJ$4:BJ$503)*(AH$4:AH$503-BJ$4:BJ$503))/MAX(1,COUNTIF(AH$4:AH$503,"&lt;"&amp;BJ256+0.01)),BJ256))</f>
        <v>0</v>
      </c>
      <c r="BY256" s="92" t="n">
        <f aca="false">IF(AI256&gt;=BK256,0,IFERROR(BK256+SUMPRODUCT((AI$4:AI$503&gt;=BK$4:BK$503)*(AI$4:AI$503-BK$4:BK$503))/MAX(1,COUNTIF(AI$4:AI$503,"&lt;"&amp;BK256+0.01)),BK256))</f>
        <v>7878.25652380952</v>
      </c>
      <c r="BZ256" s="92" t="n">
        <f aca="false">IF(AJ256&gt;=BL256,0,IFERROR(BL256+SUMPRODUCT((AJ$4:AJ$503&gt;=BL$4:BL$503)*(AJ$4:AJ$503-BL$4:BL$503))/MAX(1,COUNTIF(AJ$4:AJ$503,"&lt;"&amp;BL256+0.01)),BL256))</f>
        <v>6710.03292307692</v>
      </c>
      <c r="CA256" s="92" t="n">
        <f aca="false">IF(AK256&gt;=BM256,0,IFERROR(BM256+SUMPRODUCT((AK$4:AK$503&gt;=BM$4:BM$503)*(AK$4:AK$503-BM$4:BM$503))/MAX(1,COUNTIF(AK$4:AK$503,"&lt;"&amp;BM256+0.01)),BM256))</f>
        <v>7314.89836842105</v>
      </c>
      <c r="CB256" s="93" t="n">
        <f aca="false">IF(AL256&gt;=BN256,0,IFERROR(BN256+SUMPRODUCT((AL$4:AL$503&gt;=BN$4:BN$503)*(AL$4:AL$503-BN$4:BN$503))/MAX(1,COUNTIF(AL$4:AL$503,"&lt;"&amp;BN256+0.01)),BN256))</f>
        <v>3597.2614925</v>
      </c>
      <c r="CC256" s="95" t="str">
        <f aca="false">IF(AO256="🟢","VERDE",IF(AO256="🟡","AMARELO",IF(AO256="🟠","VERMELHO",IF(AO256="🔴","VERMELHO","ROXO"))))</f>
        <v>VERMELHO</v>
      </c>
      <c r="CD256" s="96" t="s">
        <v>103</v>
      </c>
      <c r="CE256" s="96" t="s">
        <v>104</v>
      </c>
    </row>
    <row r="257" customFormat="false" ht="14.25" hidden="false" customHeight="true" outlineLevel="0" collapsed="false">
      <c r="A257" s="65" t="s">
        <v>648</v>
      </c>
      <c r="B257" s="66" t="s">
        <v>649</v>
      </c>
      <c r="C257" s="67" t="s">
        <v>107</v>
      </c>
      <c r="D257" s="68" t="s">
        <v>108</v>
      </c>
      <c r="E257" s="69" t="s">
        <v>139</v>
      </c>
      <c r="F257" s="70" t="n">
        <f aca="false">IFERROR(VLOOKUP(C257,$AS$3:$AT$10,2,FALSE()),IFERROR(VLOOKUP(C257,$AS$15:$AT$22,2,FALSE()),""))</f>
        <v>132</v>
      </c>
      <c r="G257" s="71" t="n">
        <f aca="false">IFERROR(VLOOKUP(C257,$AS$3:$AX$10,6,FALSE()),IFERROR(VLOOKUP(C257,$AS$15:$AX$22,6,FALSE()),""))</f>
        <v>0.468190175850689</v>
      </c>
      <c r="H257" s="72" t="str">
        <f aca="false">IFERROR(VLOOKUP(C257,$AS$3:$AY$10,7,FALSE()),IFERROR(VLOOKUP(C257,$AS$15:$AY$22,7,FALSE()),""))</f>
        <v>🟡 AMARELO</v>
      </c>
      <c r="I257" s="72" t="str">
        <f aca="false">IFERROR(VLOOKUP(C257,$AS$3:$AZ$10,8,FALSE()),IFERROR(VLOOKUP(C257,$AS$15:$AZ$22,8,FALSE()),""))</f>
        <v>Sell Out</v>
      </c>
      <c r="J257" s="73"/>
      <c r="K257" s="69" t="s">
        <v>107</v>
      </c>
      <c r="L257" s="74" t="n">
        <v>4406.61</v>
      </c>
      <c r="M257" s="75" t="n">
        <v>309.67</v>
      </c>
      <c r="N257" s="75" t="n">
        <v>323.59</v>
      </c>
      <c r="O257" s="75" t="n">
        <v>331.39</v>
      </c>
      <c r="P257" s="75" t="n">
        <v>340.02</v>
      </c>
      <c r="Q257" s="75" t="n">
        <v>351.16</v>
      </c>
      <c r="R257" s="75" t="n">
        <v>360.35</v>
      </c>
      <c r="S257" s="75" t="n">
        <v>374.27</v>
      </c>
      <c r="T257" s="75" t="n">
        <v>383.46</v>
      </c>
      <c r="U257" s="75" t="n">
        <v>392.09</v>
      </c>
      <c r="V257" s="75" t="n">
        <v>401.84</v>
      </c>
      <c r="W257" s="75" t="n">
        <v>412.42</v>
      </c>
      <c r="X257" s="76" t="n">
        <v>426.35</v>
      </c>
      <c r="Y257" s="77" t="s">
        <v>20</v>
      </c>
      <c r="Z257" s="78" t="n">
        <f aca="false">SUM(AA257:AL257)</f>
        <v>3564.99</v>
      </c>
      <c r="AA257" s="75"/>
      <c r="AB257" s="75"/>
      <c r="AC257" s="75"/>
      <c r="AD257" s="75"/>
      <c r="AE257" s="75"/>
      <c r="AF257" s="75" t="n">
        <v>1792.87</v>
      </c>
      <c r="AG257" s="79" t="n">
        <v>1772.12</v>
      </c>
      <c r="AH257" s="75"/>
      <c r="AI257" s="75"/>
      <c r="AJ257" s="75"/>
      <c r="AK257" s="75"/>
      <c r="AL257" s="76"/>
      <c r="AM257" s="56" t="s">
        <v>20</v>
      </c>
      <c r="AN257" s="80" t="n">
        <f aca="false">IF(L257=0,0,Z257/L257)</f>
        <v>0.809009646871405</v>
      </c>
      <c r="AO257" s="81" t="str">
        <f aca="false">IF(AN257="","",IF(AN257&gt;=0.9,"🟢",IF(AN257&gt;=0.7,"🟡",IF(AN257&gt;=0.5,"🟠","🔴"))))</f>
        <v>🟡</v>
      </c>
      <c r="AP257" s="82" t="n">
        <f aca="false">IF(L257=0,0,L257-Z257)</f>
        <v>841.62</v>
      </c>
      <c r="AQ257" s="83" t="n">
        <f aca="false">IF(AP257=0,"",RANK(AP257,AP$4:AP$503,0))</f>
        <v>415</v>
      </c>
      <c r="AR257" s="84" t="s">
        <v>20</v>
      </c>
      <c r="AS257" s="141"/>
      <c r="AT257" s="141"/>
      <c r="AU257" s="141"/>
      <c r="AV257" s="141"/>
      <c r="AW257" s="141"/>
      <c r="AX257" s="141"/>
      <c r="AY257" s="142"/>
      <c r="AZ257" s="142"/>
      <c r="BA257" s="56" t="s">
        <v>20</v>
      </c>
      <c r="BB257" s="91" t="n">
        <f aca="false">SUM(L$4:L$503)/COUNTA(A$4:A$503)</f>
        <v>9494.39992</v>
      </c>
      <c r="BC257" s="92" t="n">
        <f aca="false">SUM(M$4:M$503)/COUNTA(A$4:A$503)</f>
        <v>667.20008</v>
      </c>
      <c r="BD257" s="92" t="n">
        <f aca="false">SUM(N$4:N$503)/COUNTA(A$4:A$503)</f>
        <v>697.19996</v>
      </c>
      <c r="BE257" s="92" t="n">
        <f aca="false">SUM(O$4:O$503)/COUNTA(A$4:A$503)</f>
        <v>713.9999</v>
      </c>
      <c r="BF257" s="92" t="n">
        <f aca="false">SUM(P$4:P$503)/COUNTA(A$4:A$503)</f>
        <v>732.59984</v>
      </c>
      <c r="BG257" s="92" t="n">
        <f aca="false">SUM(Q$4:Q$503)/COUNTA(A$4:A$503)</f>
        <v>756.59992</v>
      </c>
      <c r="BH257" s="92" t="n">
        <f aca="false">SUM(R$4:R$503)/COUNTA(A$4:A$503)</f>
        <v>776.40004</v>
      </c>
      <c r="BI257" s="92" t="n">
        <f aca="false">SUM(S$4:S$503)/COUNTA(A$4:A$503)</f>
        <v>806.40012</v>
      </c>
      <c r="BJ257" s="92" t="n">
        <f aca="false">SUM(T$4:T$503)/COUNTA(A$4:A$503)</f>
        <v>826.1999</v>
      </c>
      <c r="BK257" s="92" t="n">
        <f aca="false">SUM(U$4:U$503)/COUNTA(A$4:A$503)</f>
        <v>844.8002</v>
      </c>
      <c r="BL257" s="92" t="n">
        <f aca="false">SUM(V$4:V$503)/COUNTA(A$4:A$503)</f>
        <v>865.7998</v>
      </c>
      <c r="BM257" s="92" t="n">
        <f aca="false">SUM(W$4:W$503)/COUNTA(A$4:A$503)</f>
        <v>888.59982</v>
      </c>
      <c r="BN257" s="93" t="n">
        <f aca="false">SUM(X$4:X$503)/COUNTA(A$4:A$503)</f>
        <v>918.60034</v>
      </c>
      <c r="BO257" s="94" t="s">
        <v>20</v>
      </c>
      <c r="BP257" s="91" t="n">
        <f aca="false">IF(Z257&gt;=BB257,0,IFERROR(BB257+(SUMPRODUCT((Z$4:Z$503&gt;=BB$4:BB$503)*(Z$4:Z$503-BB$4:BB$503))/MAX(1,COUNTIF(Z$4:Z$503,"&lt;"&amp;BB257+0.01))),BB257))</f>
        <v>10695.5432177778</v>
      </c>
      <c r="BQ257" s="92" t="n">
        <f aca="false">IF(AA257&gt;=BC257,0,IFERROR(BC257+SUMPRODUCT((AA$4:AA$503&gt;=BC$4:BC$503)*(AA$4:AA$503-BC$4:BC$503))/MAX(1,COUNTIF(AA$4:AA$503,"&lt;"&amp;BC257+0.01)),BC257))</f>
        <v>2238.46589176471</v>
      </c>
      <c r="BR257" s="92" t="n">
        <f aca="false">IF(AB257&gt;=BD257,0,IFERROR(BD257+SUMPRODUCT((AB$4:AB$503&gt;=BD$4:BD$503)*(AB$4:AB$503-BD$4:BD$503))/MAX(1,COUNTIF(AB$4:AB$503,"&lt;"&amp;BD257+0.01)),BD257))</f>
        <v>3335.2938</v>
      </c>
      <c r="BS257" s="92" t="n">
        <f aca="false">IF(AC257&gt;=BE257,0,IFERROR(BE257+SUMPRODUCT((AC$4:AC$503&gt;=BE$4:BE$503)*(AC$4:AC$503-BE$4:BE$503))/MAX(1,COUNTIF(AC$4:AC$503,"&lt;"&amp;BE257+0.01)),BE257))</f>
        <v>6188.73352</v>
      </c>
      <c r="BT257" s="92" t="n">
        <f aca="false">IF(AD257&gt;=BF257,0,IFERROR(BF257+SUMPRODUCT((AD$4:AD$503&gt;=BF$4:BF$503)*(AD$4:AD$503-BF$4:BF$503))/MAX(1,COUNTIF(AD$4:AD$503,"&lt;"&amp;BF257+0.01)),BF257))</f>
        <v>11354.35411</v>
      </c>
      <c r="BU257" s="92" t="n">
        <f aca="false">IF(AE257&gt;=BG257,0,IFERROR(BG257+SUMPRODUCT((AE$4:AE$503&gt;=BG$4:BG$503)*(AE$4:AE$503-BG$4:BG$503))/MAX(1,COUNTIF(AE$4:AE$503,"&lt;"&amp;BG257+0.01)),BG257))</f>
        <v>7704.85920380952</v>
      </c>
      <c r="BV257" s="92" t="n">
        <f aca="false">IF(AF257&gt;=BH257,0,IFERROR(BH257+SUMPRODUCT((AF$4:AF$503&gt;=BH$4:BH$503)*(AF$4:AF$503-BH$4:BH$503))/MAX(1,COUNTIF(AF$4:AF$503,"&lt;"&amp;BH257+0.01)),BH257))</f>
        <v>0</v>
      </c>
      <c r="BW257" s="92" t="n">
        <f aca="false">IF(AG257&gt;=BI257,0,IFERROR(BI257+SUMPRODUCT((AG$4:AG$503&gt;=BI$4:BI$503)*(AG$4:AG$503-BI$4:BI$503))/MAX(1,COUNTIF(AG$4:AG$503,"&lt;"&amp;BI257+0.01)),BI257))</f>
        <v>0</v>
      </c>
      <c r="BX257" s="92" t="n">
        <f aca="false">IF(AH257&gt;=BJ257,0,IFERROR(BJ257+SUMPRODUCT((AH$4:AH$503&gt;=BJ$4:BJ$503)*(AH$4:AH$503-BJ$4:BJ$503))/MAX(1,COUNTIF(AH$4:AH$503,"&lt;"&amp;BJ257+0.01)),BJ257))</f>
        <v>5621.50263448276</v>
      </c>
      <c r="BY257" s="92" t="n">
        <f aca="false">IF(AI257&gt;=BK257,0,IFERROR(BK257+SUMPRODUCT((AI$4:AI$503&gt;=BK$4:BK$503)*(AI$4:AI$503-BK$4:BK$503))/MAX(1,COUNTIF(AI$4:AI$503,"&lt;"&amp;BK257+0.01)),BK257))</f>
        <v>7878.25652380952</v>
      </c>
      <c r="BZ257" s="92" t="n">
        <f aca="false">IF(AJ257&gt;=BL257,0,IFERROR(BL257+SUMPRODUCT((AJ$4:AJ$503&gt;=BL$4:BL$503)*(AJ$4:AJ$503-BL$4:BL$503))/MAX(1,COUNTIF(AJ$4:AJ$503,"&lt;"&amp;BL257+0.01)),BL257))</f>
        <v>6710.03292307692</v>
      </c>
      <c r="CA257" s="92" t="n">
        <f aca="false">IF(AK257&gt;=BM257,0,IFERROR(BM257+SUMPRODUCT((AK$4:AK$503&gt;=BM$4:BM$503)*(AK$4:AK$503-BM$4:BM$503))/MAX(1,COUNTIF(AK$4:AK$503,"&lt;"&amp;BM257+0.01)),BM257))</f>
        <v>7314.89836842105</v>
      </c>
      <c r="CB257" s="93" t="n">
        <f aca="false">IF(AL257&gt;=BN257,0,IFERROR(BN257+SUMPRODUCT((AL$4:AL$503&gt;=BN$4:BN$503)*(AL$4:AL$503-BN$4:BN$503))/MAX(1,COUNTIF(AL$4:AL$503,"&lt;"&amp;BN257+0.01)),BN257))</f>
        <v>3597.2614925</v>
      </c>
      <c r="CC257" s="95" t="str">
        <f aca="false">IF(AO257="🟢","VERDE",IF(AO257="🟡","AMARELO",IF(AO257="🟠","VERMELHO",IF(AO257="🔴","VERMELHO","ROXO"))))</f>
        <v>AMARELO</v>
      </c>
      <c r="CD257" s="96" t="s">
        <v>103</v>
      </c>
      <c r="CE257" s="96" t="s">
        <v>104</v>
      </c>
    </row>
    <row r="258" customFormat="false" ht="14.25" hidden="false" customHeight="true" outlineLevel="0" collapsed="false">
      <c r="A258" s="65" t="s">
        <v>650</v>
      </c>
      <c r="B258" s="66" t="s">
        <v>651</v>
      </c>
      <c r="C258" s="66" t="s">
        <v>66</v>
      </c>
      <c r="D258" s="68" t="s">
        <v>175</v>
      </c>
      <c r="E258" s="69" t="s">
        <v>139</v>
      </c>
      <c r="F258" s="70" t="n">
        <f aca="false">IFERROR(VLOOKUP(C258,$AS$3:$AT$10,2,FALSE()),IFERROR(VLOOKUP(C258,$AS$15:$AT$22,2,FALSE()),""))</f>
        <v>44</v>
      </c>
      <c r="G258" s="71" t="n">
        <f aca="false">IFERROR(VLOOKUP(C258,$AS$3:$AX$10,6,FALSE()),IFERROR(VLOOKUP(C258,$AS$15:$AX$22,6,FALSE()),""))</f>
        <v>0.496839506257363</v>
      </c>
      <c r="H258" s="72" t="str">
        <f aca="false">IFERROR(VLOOKUP(C258,$AS$3:$AY$10,7,FALSE()),IFERROR(VLOOKUP(C258,$AS$15:$AY$22,7,FALSE()),""))</f>
        <v>🟡 AMARELO</v>
      </c>
      <c r="I258" s="72" t="str">
        <f aca="false">IFERROR(VLOOKUP(C258,$AS$3:$AZ$10,8,FALSE()),IFERROR(VLOOKUP(C258,$AS$15:$AZ$22,8,FALSE()),""))</f>
        <v>Sell Out</v>
      </c>
      <c r="J258" s="73"/>
      <c r="K258" s="69" t="s">
        <v>107</v>
      </c>
      <c r="L258" s="74" t="n">
        <v>4403.08</v>
      </c>
      <c r="M258" s="75" t="n">
        <v>309.42</v>
      </c>
      <c r="N258" s="75" t="n">
        <v>323.33</v>
      </c>
      <c r="O258" s="75" t="n">
        <v>331.12</v>
      </c>
      <c r="P258" s="75" t="n">
        <v>339.75</v>
      </c>
      <c r="Q258" s="75" t="n">
        <v>350.88</v>
      </c>
      <c r="R258" s="75" t="n">
        <v>360.06</v>
      </c>
      <c r="S258" s="75" t="n">
        <v>373.97</v>
      </c>
      <c r="T258" s="75" t="n">
        <v>383.15</v>
      </c>
      <c r="U258" s="75" t="n">
        <v>391.78</v>
      </c>
      <c r="V258" s="75" t="n">
        <v>401.52</v>
      </c>
      <c r="W258" s="75" t="n">
        <v>412.09</v>
      </c>
      <c r="X258" s="76" t="n">
        <v>426.01</v>
      </c>
      <c r="Y258" s="77" t="s">
        <v>20</v>
      </c>
      <c r="Z258" s="78" t="n">
        <f aca="false">SUM(AA258:AL258)</f>
        <v>4288.86</v>
      </c>
      <c r="AA258" s="75"/>
      <c r="AB258" s="75"/>
      <c r="AC258" s="75"/>
      <c r="AD258" s="79" t="n">
        <v>546.42</v>
      </c>
      <c r="AE258" s="75"/>
      <c r="AF258" s="79" t="n">
        <v>3742.44</v>
      </c>
      <c r="AG258" s="75"/>
      <c r="AH258" s="75"/>
      <c r="AI258" s="75"/>
      <c r="AJ258" s="75"/>
      <c r="AK258" s="75"/>
      <c r="AL258" s="76"/>
      <c r="AM258" s="56" t="s">
        <v>20</v>
      </c>
      <c r="AN258" s="80" t="n">
        <f aca="false">IF(L258=0,0,Z258/L258)</f>
        <v>0.974059067743489</v>
      </c>
      <c r="AO258" s="81" t="str">
        <f aca="false">IF(AN258="","",IF(AN258&gt;=0.9,"🟢",IF(AN258&gt;=0.7,"🟡",IF(AN258&gt;=0.5,"🟠","🔴"))))</f>
        <v>🟢</v>
      </c>
      <c r="AP258" s="82" t="n">
        <f aca="false">IF(L258=0,0,L258-Z258)</f>
        <v>114.22</v>
      </c>
      <c r="AQ258" s="83" t="n">
        <f aca="false">IF(AP258=0,"",RANK(AP258,AP$4:AP$503,0))</f>
        <v>477</v>
      </c>
      <c r="AR258" s="84" t="s">
        <v>20</v>
      </c>
      <c r="AS258" s="141"/>
      <c r="AT258" s="141"/>
      <c r="AU258" s="141"/>
      <c r="AV258" s="141"/>
      <c r="AW258" s="141"/>
      <c r="AX258" s="141"/>
      <c r="AY258" s="142"/>
      <c r="AZ258" s="142"/>
      <c r="BA258" s="56" t="s">
        <v>20</v>
      </c>
      <c r="BB258" s="91" t="n">
        <f aca="false">SUM(L$4:L$503)/COUNTA(A$4:A$503)</f>
        <v>9494.39992</v>
      </c>
      <c r="BC258" s="92" t="n">
        <f aca="false">SUM(M$4:M$503)/COUNTA(A$4:A$503)</f>
        <v>667.20008</v>
      </c>
      <c r="BD258" s="92" t="n">
        <f aca="false">SUM(N$4:N$503)/COUNTA(A$4:A$503)</f>
        <v>697.19996</v>
      </c>
      <c r="BE258" s="92" t="n">
        <f aca="false">SUM(O$4:O$503)/COUNTA(A$4:A$503)</f>
        <v>713.9999</v>
      </c>
      <c r="BF258" s="92" t="n">
        <f aca="false">SUM(P$4:P$503)/COUNTA(A$4:A$503)</f>
        <v>732.59984</v>
      </c>
      <c r="BG258" s="92" t="n">
        <f aca="false">SUM(Q$4:Q$503)/COUNTA(A$4:A$503)</f>
        <v>756.59992</v>
      </c>
      <c r="BH258" s="92" t="n">
        <f aca="false">SUM(R$4:R$503)/COUNTA(A$4:A$503)</f>
        <v>776.40004</v>
      </c>
      <c r="BI258" s="92" t="n">
        <f aca="false">SUM(S$4:S$503)/COUNTA(A$4:A$503)</f>
        <v>806.40012</v>
      </c>
      <c r="BJ258" s="92" t="n">
        <f aca="false">SUM(T$4:T$503)/COUNTA(A$4:A$503)</f>
        <v>826.1999</v>
      </c>
      <c r="BK258" s="92" t="n">
        <f aca="false">SUM(U$4:U$503)/COUNTA(A$4:A$503)</f>
        <v>844.8002</v>
      </c>
      <c r="BL258" s="92" t="n">
        <f aca="false">SUM(V$4:V$503)/COUNTA(A$4:A$503)</f>
        <v>865.7998</v>
      </c>
      <c r="BM258" s="92" t="n">
        <f aca="false">SUM(W$4:W$503)/COUNTA(A$4:A$503)</f>
        <v>888.59982</v>
      </c>
      <c r="BN258" s="93" t="n">
        <f aca="false">SUM(X$4:X$503)/COUNTA(A$4:A$503)</f>
        <v>918.60034</v>
      </c>
      <c r="BO258" s="94" t="s">
        <v>20</v>
      </c>
      <c r="BP258" s="91" t="n">
        <f aca="false">IF(Z258&gt;=BB258,0,IFERROR(BB258+(SUMPRODUCT((Z$4:Z$503&gt;=BB$4:BB$503)*(Z$4:Z$503-BB$4:BB$503))/MAX(1,COUNTIF(Z$4:Z$503,"&lt;"&amp;BB258+0.01))),BB258))</f>
        <v>10695.5432177778</v>
      </c>
      <c r="BQ258" s="92" t="n">
        <f aca="false">IF(AA258&gt;=BC258,0,IFERROR(BC258+SUMPRODUCT((AA$4:AA$503&gt;=BC$4:BC$503)*(AA$4:AA$503-BC$4:BC$503))/MAX(1,COUNTIF(AA$4:AA$503,"&lt;"&amp;BC258+0.01)),BC258))</f>
        <v>2238.46589176471</v>
      </c>
      <c r="BR258" s="92" t="n">
        <f aca="false">IF(AB258&gt;=BD258,0,IFERROR(BD258+SUMPRODUCT((AB$4:AB$503&gt;=BD$4:BD$503)*(AB$4:AB$503-BD$4:BD$503))/MAX(1,COUNTIF(AB$4:AB$503,"&lt;"&amp;BD258+0.01)),BD258))</f>
        <v>3335.2938</v>
      </c>
      <c r="BS258" s="92" t="n">
        <f aca="false">IF(AC258&gt;=BE258,0,IFERROR(BE258+SUMPRODUCT((AC$4:AC$503&gt;=BE$4:BE$503)*(AC$4:AC$503-BE$4:BE$503))/MAX(1,COUNTIF(AC$4:AC$503,"&lt;"&amp;BE258+0.01)),BE258))</f>
        <v>6188.73352</v>
      </c>
      <c r="BT258" s="92" t="n">
        <f aca="false">IF(AD258&gt;=BF258,0,IFERROR(BF258+SUMPRODUCT((AD$4:AD$503&gt;=BF$4:BF$503)*(AD$4:AD$503-BF$4:BF$503))/MAX(1,COUNTIF(AD$4:AD$503,"&lt;"&amp;BF258+0.01)),BF258))</f>
        <v>11354.35411</v>
      </c>
      <c r="BU258" s="92" t="n">
        <f aca="false">IF(AE258&gt;=BG258,0,IFERROR(BG258+SUMPRODUCT((AE$4:AE$503&gt;=BG$4:BG$503)*(AE$4:AE$503-BG$4:BG$503))/MAX(1,COUNTIF(AE$4:AE$503,"&lt;"&amp;BG258+0.01)),BG258))</f>
        <v>7704.85920380952</v>
      </c>
      <c r="BV258" s="92" t="n">
        <f aca="false">IF(AF258&gt;=BH258,0,IFERROR(BH258+SUMPRODUCT((AF$4:AF$503&gt;=BH$4:BH$503)*(AF$4:AF$503-BH$4:BH$503))/MAX(1,COUNTIF(AF$4:AF$503,"&lt;"&amp;BH258+0.01)),BH258))</f>
        <v>0</v>
      </c>
      <c r="BW258" s="92" t="n">
        <f aca="false">IF(AG258&gt;=BI258,0,IFERROR(BI258+SUMPRODUCT((AG$4:AG$503&gt;=BI$4:BI$503)*(AG$4:AG$503-BI$4:BI$503))/MAX(1,COUNTIF(AG$4:AG$503,"&lt;"&amp;BI258+0.01)),BI258))</f>
        <v>9142.15870461538</v>
      </c>
      <c r="BX258" s="92" t="n">
        <f aca="false">IF(AH258&gt;=BJ258,0,IFERROR(BJ258+SUMPRODUCT((AH$4:AH$503&gt;=BJ$4:BJ$503)*(AH$4:AH$503-BJ$4:BJ$503))/MAX(1,COUNTIF(AH$4:AH$503,"&lt;"&amp;BJ258+0.01)),BJ258))</f>
        <v>5621.50263448276</v>
      </c>
      <c r="BY258" s="92" t="n">
        <f aca="false">IF(AI258&gt;=BK258,0,IFERROR(BK258+SUMPRODUCT((AI$4:AI$503&gt;=BK$4:BK$503)*(AI$4:AI$503-BK$4:BK$503))/MAX(1,COUNTIF(AI$4:AI$503,"&lt;"&amp;BK258+0.01)),BK258))</f>
        <v>7878.25652380952</v>
      </c>
      <c r="BZ258" s="92" t="n">
        <f aca="false">IF(AJ258&gt;=BL258,0,IFERROR(BL258+SUMPRODUCT((AJ$4:AJ$503&gt;=BL$4:BL$503)*(AJ$4:AJ$503-BL$4:BL$503))/MAX(1,COUNTIF(AJ$4:AJ$503,"&lt;"&amp;BL258+0.01)),BL258))</f>
        <v>6710.03292307692</v>
      </c>
      <c r="CA258" s="92" t="n">
        <f aca="false">IF(AK258&gt;=BM258,0,IFERROR(BM258+SUMPRODUCT((AK$4:AK$503&gt;=BM$4:BM$503)*(AK$4:AK$503-BM$4:BM$503))/MAX(1,COUNTIF(AK$4:AK$503,"&lt;"&amp;BM258+0.01)),BM258))</f>
        <v>7314.89836842105</v>
      </c>
      <c r="CB258" s="93" t="n">
        <f aca="false">IF(AL258&gt;=BN258,0,IFERROR(BN258+SUMPRODUCT((AL$4:AL$503&gt;=BN$4:BN$503)*(AL$4:AL$503-BN$4:BN$503))/MAX(1,COUNTIF(AL$4:AL$503,"&lt;"&amp;BN258+0.01)),BN258))</f>
        <v>3597.2614925</v>
      </c>
      <c r="CC258" s="95" t="str">
        <f aca="false">IF(AO258="🟢","VERDE",IF(AO258="🟡","AMARELO",IF(AO258="🟠","VERMELHO",IF(AO258="🔴","VERMELHO","ROXO"))))</f>
        <v>VERDE</v>
      </c>
      <c r="CD258" s="96" t="s">
        <v>176</v>
      </c>
      <c r="CE258" s="96" t="s">
        <v>66</v>
      </c>
    </row>
    <row r="259" customFormat="false" ht="14.25" hidden="false" customHeight="true" outlineLevel="0" collapsed="false">
      <c r="A259" s="65" t="s">
        <v>652</v>
      </c>
      <c r="B259" s="66" t="s">
        <v>653</v>
      </c>
      <c r="C259" s="67" t="s">
        <v>118</v>
      </c>
      <c r="D259" s="68" t="s">
        <v>100</v>
      </c>
      <c r="E259" s="69" t="s">
        <v>119</v>
      </c>
      <c r="F259" s="70" t="n">
        <f aca="false">IFERROR(VLOOKUP(C259,$AS$3:$AT$10,2,FALSE()),IFERROR(VLOOKUP(C259,$AS$15:$AT$22,2,FALSE()),""))</f>
        <v>42</v>
      </c>
      <c r="G259" s="71" t="n">
        <f aca="false">IFERROR(VLOOKUP(C259,$AS$3:$AX$10,6,FALSE()),IFERROR(VLOOKUP(C259,$AS$15:$AX$22,6,FALSE()),""))</f>
        <v>0.424872083346704</v>
      </c>
      <c r="H259" s="72" t="str">
        <f aca="false">IFERROR(VLOOKUP(C259,$AS$3:$AY$10,7,FALSE()),IFERROR(VLOOKUP(C259,$AS$15:$AY$22,7,FALSE()),""))</f>
        <v>🟡 AMARELO</v>
      </c>
      <c r="I259" s="72" t="str">
        <f aca="false">IFERROR(VLOOKUP(C259,$AS$3:$AZ$10,8,FALSE()),IFERROR(VLOOKUP(C259,$AS$15:$AZ$22,8,FALSE()),""))</f>
        <v>Sell Out</v>
      </c>
      <c r="J259" s="73"/>
      <c r="K259" s="69" t="s">
        <v>118</v>
      </c>
      <c r="L259" s="74" t="n">
        <v>4382.81</v>
      </c>
      <c r="M259" s="75" t="n">
        <v>307.99</v>
      </c>
      <c r="N259" s="75" t="n">
        <v>321.84</v>
      </c>
      <c r="O259" s="75" t="n">
        <v>329.6</v>
      </c>
      <c r="P259" s="75" t="n">
        <v>338.18</v>
      </c>
      <c r="Q259" s="75" t="n">
        <v>349.26</v>
      </c>
      <c r="R259" s="75" t="n">
        <v>358.4</v>
      </c>
      <c r="S259" s="75" t="n">
        <v>372.25</v>
      </c>
      <c r="T259" s="75" t="n">
        <v>381.39</v>
      </c>
      <c r="U259" s="75" t="n">
        <v>389.98</v>
      </c>
      <c r="V259" s="75" t="n">
        <v>399.67</v>
      </c>
      <c r="W259" s="75" t="n">
        <v>410.2</v>
      </c>
      <c r="X259" s="76" t="n">
        <v>424.05</v>
      </c>
      <c r="Y259" s="77" t="s">
        <v>20</v>
      </c>
      <c r="Z259" s="78" t="n">
        <f aca="false">SUM(AA259:AL259)</f>
        <v>1979.11</v>
      </c>
      <c r="AA259" s="75"/>
      <c r="AB259" s="75"/>
      <c r="AC259" s="75"/>
      <c r="AD259" s="75"/>
      <c r="AE259" s="75"/>
      <c r="AF259" s="75"/>
      <c r="AG259" s="75"/>
      <c r="AH259" s="75"/>
      <c r="AI259" s="75"/>
      <c r="AJ259" s="79" t="n">
        <v>1979.11</v>
      </c>
      <c r="AK259" s="75"/>
      <c r="AL259" s="76"/>
      <c r="AM259" s="56" t="s">
        <v>20</v>
      </c>
      <c r="AN259" s="80" t="n">
        <f aca="false">IF(L259=0,0,Z259/L259)</f>
        <v>0.451561897504113</v>
      </c>
      <c r="AO259" s="81" t="str">
        <f aca="false">IF(AN259="","",IF(AN259&gt;=0.9,"🟢",IF(AN259&gt;=0.7,"🟡",IF(AN259&gt;=0.5,"🟠","🔴"))))</f>
        <v>🔴</v>
      </c>
      <c r="AP259" s="82" t="n">
        <f aca="false">IF(L259=0,0,L259-Z259)</f>
        <v>2403.7</v>
      </c>
      <c r="AQ259" s="83" t="n">
        <f aca="false">IF(AP259=0,"",RANK(AP259,AP$4:AP$503,0))</f>
        <v>243</v>
      </c>
      <c r="AR259" s="84" t="s">
        <v>20</v>
      </c>
      <c r="AS259" s="141"/>
      <c r="AT259" s="141"/>
      <c r="AU259" s="141"/>
      <c r="AV259" s="141"/>
      <c r="AW259" s="141"/>
      <c r="AX259" s="141"/>
      <c r="AY259" s="142"/>
      <c r="AZ259" s="142"/>
      <c r="BA259" s="56" t="s">
        <v>20</v>
      </c>
      <c r="BB259" s="91" t="n">
        <f aca="false">SUM(L$4:L$503)/COUNTA(A$4:A$503)</f>
        <v>9494.39992</v>
      </c>
      <c r="BC259" s="92" t="n">
        <f aca="false">SUM(M$4:M$503)/COUNTA(A$4:A$503)</f>
        <v>667.20008</v>
      </c>
      <c r="BD259" s="92" t="n">
        <f aca="false">SUM(N$4:N$503)/COUNTA(A$4:A$503)</f>
        <v>697.19996</v>
      </c>
      <c r="BE259" s="92" t="n">
        <f aca="false">SUM(O$4:O$503)/COUNTA(A$4:A$503)</f>
        <v>713.9999</v>
      </c>
      <c r="BF259" s="92" t="n">
        <f aca="false">SUM(P$4:P$503)/COUNTA(A$4:A$503)</f>
        <v>732.59984</v>
      </c>
      <c r="BG259" s="92" t="n">
        <f aca="false">SUM(Q$4:Q$503)/COUNTA(A$4:A$503)</f>
        <v>756.59992</v>
      </c>
      <c r="BH259" s="92" t="n">
        <f aca="false">SUM(R$4:R$503)/COUNTA(A$4:A$503)</f>
        <v>776.40004</v>
      </c>
      <c r="BI259" s="92" t="n">
        <f aca="false">SUM(S$4:S$503)/COUNTA(A$4:A$503)</f>
        <v>806.40012</v>
      </c>
      <c r="BJ259" s="92" t="n">
        <f aca="false">SUM(T$4:T$503)/COUNTA(A$4:A$503)</f>
        <v>826.1999</v>
      </c>
      <c r="BK259" s="92" t="n">
        <f aca="false">SUM(U$4:U$503)/COUNTA(A$4:A$503)</f>
        <v>844.8002</v>
      </c>
      <c r="BL259" s="92" t="n">
        <f aca="false">SUM(V$4:V$503)/COUNTA(A$4:A$503)</f>
        <v>865.7998</v>
      </c>
      <c r="BM259" s="92" t="n">
        <f aca="false">SUM(W$4:W$503)/COUNTA(A$4:A$503)</f>
        <v>888.59982</v>
      </c>
      <c r="BN259" s="93" t="n">
        <f aca="false">SUM(X$4:X$503)/COUNTA(A$4:A$503)</f>
        <v>918.60034</v>
      </c>
      <c r="BO259" s="94" t="s">
        <v>20</v>
      </c>
      <c r="BP259" s="91" t="n">
        <f aca="false">IF(Z259&gt;=BB259,0,IFERROR(BB259+(SUMPRODUCT((Z$4:Z$503&gt;=BB$4:BB$503)*(Z$4:Z$503-BB$4:BB$503))/MAX(1,COUNTIF(Z$4:Z$503,"&lt;"&amp;BB259+0.01))),BB259))</f>
        <v>10695.5432177778</v>
      </c>
      <c r="BQ259" s="92" t="n">
        <f aca="false">IF(AA259&gt;=BC259,0,IFERROR(BC259+SUMPRODUCT((AA$4:AA$503&gt;=BC$4:BC$503)*(AA$4:AA$503-BC$4:BC$503))/MAX(1,COUNTIF(AA$4:AA$503,"&lt;"&amp;BC259+0.01)),BC259))</f>
        <v>2238.46589176471</v>
      </c>
      <c r="BR259" s="92" t="n">
        <f aca="false">IF(AB259&gt;=BD259,0,IFERROR(BD259+SUMPRODUCT((AB$4:AB$503&gt;=BD$4:BD$503)*(AB$4:AB$503-BD$4:BD$503))/MAX(1,COUNTIF(AB$4:AB$503,"&lt;"&amp;BD259+0.01)),BD259))</f>
        <v>3335.2938</v>
      </c>
      <c r="BS259" s="92" t="n">
        <f aca="false">IF(AC259&gt;=BE259,0,IFERROR(BE259+SUMPRODUCT((AC$4:AC$503&gt;=BE$4:BE$503)*(AC$4:AC$503-BE$4:BE$503))/MAX(1,COUNTIF(AC$4:AC$503,"&lt;"&amp;BE259+0.01)),BE259))</f>
        <v>6188.73352</v>
      </c>
      <c r="BT259" s="92" t="n">
        <f aca="false">IF(AD259&gt;=BF259,0,IFERROR(BF259+SUMPRODUCT((AD$4:AD$503&gt;=BF$4:BF$503)*(AD$4:AD$503-BF$4:BF$503))/MAX(1,COUNTIF(AD$4:AD$503,"&lt;"&amp;BF259+0.01)),BF259))</f>
        <v>11354.35411</v>
      </c>
      <c r="BU259" s="92" t="n">
        <f aca="false">IF(AE259&gt;=BG259,0,IFERROR(BG259+SUMPRODUCT((AE$4:AE$503&gt;=BG$4:BG$503)*(AE$4:AE$503-BG$4:BG$503))/MAX(1,COUNTIF(AE$4:AE$503,"&lt;"&amp;BG259+0.01)),BG259))</f>
        <v>7704.85920380952</v>
      </c>
      <c r="BV259" s="92" t="n">
        <f aca="false">IF(AF259&gt;=BH259,0,IFERROR(BH259+SUMPRODUCT((AF$4:AF$503&gt;=BH$4:BH$503)*(AF$4:AF$503-BH$4:BH$503))/MAX(1,COUNTIF(AF$4:AF$503,"&lt;"&amp;BH259+0.01)),BH259))</f>
        <v>9942.6503831579</v>
      </c>
      <c r="BW259" s="92" t="n">
        <f aca="false">IF(AG259&gt;=BI259,0,IFERROR(BI259+SUMPRODUCT((AG$4:AG$503&gt;=BI$4:BI$503)*(AG$4:AG$503-BI$4:BI$503))/MAX(1,COUNTIF(AG$4:AG$503,"&lt;"&amp;BI259+0.01)),BI259))</f>
        <v>9142.15870461538</v>
      </c>
      <c r="BX259" s="92" t="n">
        <f aca="false">IF(AH259&gt;=BJ259,0,IFERROR(BJ259+SUMPRODUCT((AH$4:AH$503&gt;=BJ$4:BJ$503)*(AH$4:AH$503-BJ$4:BJ$503))/MAX(1,COUNTIF(AH$4:AH$503,"&lt;"&amp;BJ259+0.01)),BJ259))</f>
        <v>5621.50263448276</v>
      </c>
      <c r="BY259" s="92" t="n">
        <f aca="false">IF(AI259&gt;=BK259,0,IFERROR(BK259+SUMPRODUCT((AI$4:AI$503&gt;=BK$4:BK$503)*(AI$4:AI$503-BK$4:BK$503))/MAX(1,COUNTIF(AI$4:AI$503,"&lt;"&amp;BK259+0.01)),BK259))</f>
        <v>7878.25652380952</v>
      </c>
      <c r="BZ259" s="92" t="n">
        <f aca="false">IF(AJ259&gt;=BL259,0,IFERROR(BL259+SUMPRODUCT((AJ$4:AJ$503&gt;=BL$4:BL$503)*(AJ$4:AJ$503-BL$4:BL$503))/MAX(1,COUNTIF(AJ$4:AJ$503,"&lt;"&amp;BL259+0.01)),BL259))</f>
        <v>0</v>
      </c>
      <c r="CA259" s="92" t="n">
        <f aca="false">IF(AK259&gt;=BM259,0,IFERROR(BM259+SUMPRODUCT((AK$4:AK$503&gt;=BM$4:BM$503)*(AK$4:AK$503-BM$4:BM$503))/MAX(1,COUNTIF(AK$4:AK$503,"&lt;"&amp;BM259+0.01)),BM259))</f>
        <v>7314.89836842105</v>
      </c>
      <c r="CB259" s="93" t="n">
        <f aca="false">IF(AL259&gt;=BN259,0,IFERROR(BN259+SUMPRODUCT((AL$4:AL$503&gt;=BN$4:BN$503)*(AL$4:AL$503-BN$4:BN$503))/MAX(1,COUNTIF(AL$4:AL$503,"&lt;"&amp;BN259+0.01)),BN259))</f>
        <v>3597.2614925</v>
      </c>
      <c r="CC259" s="95" t="str">
        <f aca="false">IF(AO259="🟢","VERDE",IF(AO259="🟡","AMARELO",IF(AO259="🟠","VERMELHO",IF(AO259="🔴","VERMELHO","ROXO"))))</f>
        <v>VERMELHO</v>
      </c>
      <c r="CD259" s="96" t="s">
        <v>103</v>
      </c>
      <c r="CE259" s="96" t="s">
        <v>104</v>
      </c>
    </row>
    <row r="260" customFormat="false" ht="14.25" hidden="false" customHeight="true" outlineLevel="0" collapsed="false">
      <c r="A260" s="65" t="s">
        <v>654</v>
      </c>
      <c r="B260" s="66" t="s">
        <v>655</v>
      </c>
      <c r="C260" s="67" t="s">
        <v>123</v>
      </c>
      <c r="D260" s="68" t="s">
        <v>100</v>
      </c>
      <c r="E260" s="56" t="s">
        <v>20</v>
      </c>
      <c r="F260" s="70" t="n">
        <f aca="false">IFERROR(VLOOKUP(C260,$AS$3:$AT$10,2,FALSE()),IFERROR(VLOOKUP(C260,$AS$15:$AT$22,2,FALSE()),""))</f>
        <v>49</v>
      </c>
      <c r="G260" s="71" t="n">
        <f aca="false">IFERROR(VLOOKUP(C260,$AS$3:$AX$10,6,FALSE()),IFERROR(VLOOKUP(C260,$AS$15:$AX$22,6,FALSE()),""))</f>
        <v>0.436391353881959</v>
      </c>
      <c r="H260" s="72" t="str">
        <f aca="false">IFERROR(VLOOKUP(C260,$AS$3:$AY$10,7,FALSE()),IFERROR(VLOOKUP(C260,$AS$15:$AY$22,7,FALSE()),""))</f>
        <v>🟡 AMARELO</v>
      </c>
      <c r="I260" s="72" t="str">
        <f aca="false">IFERROR(VLOOKUP(C260,$AS$3:$AZ$10,8,FALSE()),IFERROR(VLOOKUP(C260,$AS$15:$AZ$22,8,FALSE()),""))</f>
        <v>Sell Out</v>
      </c>
      <c r="J260" s="73"/>
      <c r="K260" s="56" t="s">
        <v>20</v>
      </c>
      <c r="L260" s="74" t="n">
        <v>4379.01</v>
      </c>
      <c r="M260" s="75" t="n">
        <v>307.73</v>
      </c>
      <c r="N260" s="75" t="n">
        <v>321.56</v>
      </c>
      <c r="O260" s="75" t="n">
        <v>329.31</v>
      </c>
      <c r="P260" s="75" t="n">
        <v>337.89</v>
      </c>
      <c r="Q260" s="75" t="n">
        <v>348.96</v>
      </c>
      <c r="R260" s="75" t="n">
        <v>358.09</v>
      </c>
      <c r="S260" s="75" t="n">
        <v>371.93</v>
      </c>
      <c r="T260" s="75" t="n">
        <v>381.06</v>
      </c>
      <c r="U260" s="75" t="n">
        <v>389.64</v>
      </c>
      <c r="V260" s="75" t="n">
        <v>399.32</v>
      </c>
      <c r="W260" s="75" t="n">
        <v>409.84</v>
      </c>
      <c r="X260" s="76" t="n">
        <v>423.68</v>
      </c>
      <c r="Y260" s="77" t="s">
        <v>20</v>
      </c>
      <c r="Z260" s="78" t="n">
        <f aca="false">SUM(AA260:AL260)</f>
        <v>1903</v>
      </c>
      <c r="AA260" s="75"/>
      <c r="AB260" s="75"/>
      <c r="AC260" s="75"/>
      <c r="AD260" s="75"/>
      <c r="AE260" s="75"/>
      <c r="AF260" s="75" t="n">
        <v>1903</v>
      </c>
      <c r="AG260" s="75"/>
      <c r="AH260" s="75"/>
      <c r="AI260" s="75"/>
      <c r="AJ260" s="75"/>
      <c r="AK260" s="75"/>
      <c r="AL260" s="76"/>
      <c r="AM260" s="56" t="s">
        <v>20</v>
      </c>
      <c r="AN260" s="80" t="n">
        <f aca="false">IF(L260=0,0,Z260/L260)</f>
        <v>0.434573111274009</v>
      </c>
      <c r="AO260" s="81" t="str">
        <f aca="false">IF(AN260="","",IF(AN260&gt;=0.9,"🟢",IF(AN260&gt;=0.7,"🟡",IF(AN260&gt;=0.5,"🟠","🔴"))))</f>
        <v>🔴</v>
      </c>
      <c r="AP260" s="82" t="n">
        <f aca="false">IF(L260=0,0,L260-Z260)</f>
        <v>2476.01</v>
      </c>
      <c r="AQ260" s="83" t="n">
        <f aca="false">IF(AP260=0,"",RANK(AP260,AP$4:AP$503,0))</f>
        <v>241</v>
      </c>
      <c r="AR260" s="84" t="s">
        <v>20</v>
      </c>
      <c r="AS260" s="141"/>
      <c r="AT260" s="141"/>
      <c r="AU260" s="141"/>
      <c r="AV260" s="141"/>
      <c r="AW260" s="141"/>
      <c r="AX260" s="141"/>
      <c r="AY260" s="142"/>
      <c r="AZ260" s="142"/>
      <c r="BA260" s="56" t="s">
        <v>20</v>
      </c>
      <c r="BB260" s="91" t="n">
        <f aca="false">SUM(L$4:L$503)/COUNTA(A$4:A$503)</f>
        <v>9494.39992</v>
      </c>
      <c r="BC260" s="92" t="n">
        <f aca="false">SUM(M$4:M$503)/COUNTA(A$4:A$503)</f>
        <v>667.20008</v>
      </c>
      <c r="BD260" s="92" t="n">
        <f aca="false">SUM(N$4:N$503)/COUNTA(A$4:A$503)</f>
        <v>697.19996</v>
      </c>
      <c r="BE260" s="92" t="n">
        <f aca="false">SUM(O$4:O$503)/COUNTA(A$4:A$503)</f>
        <v>713.9999</v>
      </c>
      <c r="BF260" s="92" t="n">
        <f aca="false">SUM(P$4:P$503)/COUNTA(A$4:A$503)</f>
        <v>732.59984</v>
      </c>
      <c r="BG260" s="92" t="n">
        <f aca="false">SUM(Q$4:Q$503)/COUNTA(A$4:A$503)</f>
        <v>756.59992</v>
      </c>
      <c r="BH260" s="92" t="n">
        <f aca="false">SUM(R$4:R$503)/COUNTA(A$4:A$503)</f>
        <v>776.40004</v>
      </c>
      <c r="BI260" s="92" t="n">
        <f aca="false">SUM(S$4:S$503)/COUNTA(A$4:A$503)</f>
        <v>806.40012</v>
      </c>
      <c r="BJ260" s="92" t="n">
        <f aca="false">SUM(T$4:T$503)/COUNTA(A$4:A$503)</f>
        <v>826.1999</v>
      </c>
      <c r="BK260" s="92" t="n">
        <f aca="false">SUM(U$4:U$503)/COUNTA(A$4:A$503)</f>
        <v>844.8002</v>
      </c>
      <c r="BL260" s="92" t="n">
        <f aca="false">SUM(V$4:V$503)/COUNTA(A$4:A$503)</f>
        <v>865.7998</v>
      </c>
      <c r="BM260" s="92" t="n">
        <f aca="false">SUM(W$4:W$503)/COUNTA(A$4:A$503)</f>
        <v>888.59982</v>
      </c>
      <c r="BN260" s="93" t="n">
        <f aca="false">SUM(X$4:X$503)/COUNTA(A$4:A$503)</f>
        <v>918.60034</v>
      </c>
      <c r="BO260" s="94" t="s">
        <v>20</v>
      </c>
      <c r="BP260" s="91" t="n">
        <f aca="false">IF(Z260&gt;=BB260,0,IFERROR(BB260+(SUMPRODUCT((Z$4:Z$503&gt;=BB$4:BB$503)*(Z$4:Z$503-BB$4:BB$503))/MAX(1,COUNTIF(Z$4:Z$503,"&lt;"&amp;BB260+0.01))),BB260))</f>
        <v>10695.5432177778</v>
      </c>
      <c r="BQ260" s="92" t="n">
        <f aca="false">IF(AA260&gt;=BC260,0,IFERROR(BC260+SUMPRODUCT((AA$4:AA$503&gt;=BC$4:BC$503)*(AA$4:AA$503-BC$4:BC$503))/MAX(1,COUNTIF(AA$4:AA$503,"&lt;"&amp;BC260+0.01)),BC260))</f>
        <v>2238.46589176471</v>
      </c>
      <c r="BR260" s="92" t="n">
        <f aca="false">IF(AB260&gt;=BD260,0,IFERROR(BD260+SUMPRODUCT((AB$4:AB$503&gt;=BD$4:BD$503)*(AB$4:AB$503-BD$4:BD$503))/MAX(1,COUNTIF(AB$4:AB$503,"&lt;"&amp;BD260+0.01)),BD260))</f>
        <v>3335.2938</v>
      </c>
      <c r="BS260" s="92" t="n">
        <f aca="false">IF(AC260&gt;=BE260,0,IFERROR(BE260+SUMPRODUCT((AC$4:AC$503&gt;=BE$4:BE$503)*(AC$4:AC$503-BE$4:BE$503))/MAX(1,COUNTIF(AC$4:AC$503,"&lt;"&amp;BE260+0.01)),BE260))</f>
        <v>6188.73352</v>
      </c>
      <c r="BT260" s="92" t="n">
        <f aca="false">IF(AD260&gt;=BF260,0,IFERROR(BF260+SUMPRODUCT((AD$4:AD$503&gt;=BF$4:BF$503)*(AD$4:AD$503-BF$4:BF$503))/MAX(1,COUNTIF(AD$4:AD$503,"&lt;"&amp;BF260+0.01)),BF260))</f>
        <v>11354.35411</v>
      </c>
      <c r="BU260" s="92" t="n">
        <f aca="false">IF(AE260&gt;=BG260,0,IFERROR(BG260+SUMPRODUCT((AE$4:AE$503&gt;=BG$4:BG$503)*(AE$4:AE$503-BG$4:BG$503))/MAX(1,COUNTIF(AE$4:AE$503,"&lt;"&amp;BG260+0.01)),BG260))</f>
        <v>7704.85920380952</v>
      </c>
      <c r="BV260" s="92" t="n">
        <f aca="false">IF(AF260&gt;=BH260,0,IFERROR(BH260+SUMPRODUCT((AF$4:AF$503&gt;=BH$4:BH$503)*(AF$4:AF$503-BH$4:BH$503))/MAX(1,COUNTIF(AF$4:AF$503,"&lt;"&amp;BH260+0.01)),BH260))</f>
        <v>0</v>
      </c>
      <c r="BW260" s="92" t="n">
        <f aca="false">IF(AG260&gt;=BI260,0,IFERROR(BI260+SUMPRODUCT((AG$4:AG$503&gt;=BI$4:BI$503)*(AG$4:AG$503-BI$4:BI$503))/MAX(1,COUNTIF(AG$4:AG$503,"&lt;"&amp;BI260+0.01)),BI260))</f>
        <v>9142.15870461538</v>
      </c>
      <c r="BX260" s="92" t="n">
        <f aca="false">IF(AH260&gt;=BJ260,0,IFERROR(BJ260+SUMPRODUCT((AH$4:AH$503&gt;=BJ$4:BJ$503)*(AH$4:AH$503-BJ$4:BJ$503))/MAX(1,COUNTIF(AH$4:AH$503,"&lt;"&amp;BJ260+0.01)),BJ260))</f>
        <v>5621.50263448276</v>
      </c>
      <c r="BY260" s="92" t="n">
        <f aca="false">IF(AI260&gt;=BK260,0,IFERROR(BK260+SUMPRODUCT((AI$4:AI$503&gt;=BK$4:BK$503)*(AI$4:AI$503-BK$4:BK$503))/MAX(1,COUNTIF(AI$4:AI$503,"&lt;"&amp;BK260+0.01)),BK260))</f>
        <v>7878.25652380952</v>
      </c>
      <c r="BZ260" s="92" t="n">
        <f aca="false">IF(AJ260&gt;=BL260,0,IFERROR(BL260+SUMPRODUCT((AJ$4:AJ$503&gt;=BL$4:BL$503)*(AJ$4:AJ$503-BL$4:BL$503))/MAX(1,COUNTIF(AJ$4:AJ$503,"&lt;"&amp;BL260+0.01)),BL260))</f>
        <v>6710.03292307692</v>
      </c>
      <c r="CA260" s="92" t="n">
        <f aca="false">IF(AK260&gt;=BM260,0,IFERROR(BM260+SUMPRODUCT((AK$4:AK$503&gt;=BM$4:BM$503)*(AK$4:AK$503-BM$4:BM$503))/MAX(1,COUNTIF(AK$4:AK$503,"&lt;"&amp;BM260+0.01)),BM260))</f>
        <v>7314.89836842105</v>
      </c>
      <c r="CB260" s="93" t="n">
        <f aca="false">IF(AL260&gt;=BN260,0,IFERROR(BN260+SUMPRODUCT((AL$4:AL$503&gt;=BN$4:BN$503)*(AL$4:AL$503-BN$4:BN$503))/MAX(1,COUNTIF(AL$4:AL$503,"&lt;"&amp;BN260+0.01)),BN260))</f>
        <v>3597.2614925</v>
      </c>
      <c r="CC260" s="95" t="str">
        <f aca="false">IF(AO260="🟢","VERDE",IF(AO260="🟡","AMARELO",IF(AO260="🟠","VERMELHO",IF(AO260="🔴","VERMELHO","ROXO"))))</f>
        <v>VERMELHO</v>
      </c>
      <c r="CD260" s="96" t="s">
        <v>103</v>
      </c>
      <c r="CE260" s="96" t="s">
        <v>104</v>
      </c>
    </row>
    <row r="261" customFormat="false" ht="14.25" hidden="false" customHeight="true" outlineLevel="0" collapsed="false">
      <c r="A261" s="65" t="s">
        <v>656</v>
      </c>
      <c r="B261" s="66" t="s">
        <v>657</v>
      </c>
      <c r="C261" s="67" t="s">
        <v>123</v>
      </c>
      <c r="D261" s="68" t="s">
        <v>108</v>
      </c>
      <c r="E261" s="56" t="s">
        <v>20</v>
      </c>
      <c r="F261" s="70" t="n">
        <f aca="false">IFERROR(VLOOKUP(C261,$AS$3:$AT$10,2,FALSE()),IFERROR(VLOOKUP(C261,$AS$15:$AT$22,2,FALSE()),""))</f>
        <v>49</v>
      </c>
      <c r="G261" s="71" t="n">
        <f aca="false">IFERROR(VLOOKUP(C261,$AS$3:$AX$10,6,FALSE()),IFERROR(VLOOKUP(C261,$AS$15:$AX$22,6,FALSE()),""))</f>
        <v>0.436391353881959</v>
      </c>
      <c r="H261" s="72" t="str">
        <f aca="false">IFERROR(VLOOKUP(C261,$AS$3:$AY$10,7,FALSE()),IFERROR(VLOOKUP(C261,$AS$15:$AY$22,7,FALSE()),""))</f>
        <v>🟡 AMARELO</v>
      </c>
      <c r="I261" s="72" t="str">
        <f aca="false">IFERROR(VLOOKUP(C261,$AS$3:$AZ$10,8,FALSE()),IFERROR(VLOOKUP(C261,$AS$15:$AZ$22,8,FALSE()),""))</f>
        <v>Sell Out</v>
      </c>
      <c r="J261" s="73"/>
      <c r="K261" s="56" t="s">
        <v>20</v>
      </c>
      <c r="L261" s="74" t="n">
        <v>4376.09</v>
      </c>
      <c r="M261" s="75" t="n">
        <v>307.52</v>
      </c>
      <c r="N261" s="75" t="n">
        <v>321.35</v>
      </c>
      <c r="O261" s="75" t="n">
        <v>329.09</v>
      </c>
      <c r="P261" s="75" t="n">
        <v>337.66</v>
      </c>
      <c r="Q261" s="75" t="n">
        <v>348.73</v>
      </c>
      <c r="R261" s="75" t="n">
        <v>357.85</v>
      </c>
      <c r="S261" s="75" t="n">
        <v>371.68</v>
      </c>
      <c r="T261" s="75" t="n">
        <v>380.81</v>
      </c>
      <c r="U261" s="75" t="n">
        <v>389.38</v>
      </c>
      <c r="V261" s="75" t="n">
        <v>399.06</v>
      </c>
      <c r="W261" s="75" t="n">
        <v>409.57</v>
      </c>
      <c r="X261" s="76" t="n">
        <v>423.39</v>
      </c>
      <c r="Y261" s="77" t="s">
        <v>20</v>
      </c>
      <c r="Z261" s="78" t="n">
        <f aca="false">SUM(AA261:AL261)</f>
        <v>1759.65</v>
      </c>
      <c r="AA261" s="75"/>
      <c r="AB261" s="75"/>
      <c r="AC261" s="75"/>
      <c r="AD261" s="75"/>
      <c r="AE261" s="75"/>
      <c r="AF261" s="75"/>
      <c r="AG261" s="75" t="n">
        <v>657.55</v>
      </c>
      <c r="AH261" s="75"/>
      <c r="AI261" s="75" t="n">
        <v>692.03</v>
      </c>
      <c r="AJ261" s="75"/>
      <c r="AK261" s="75"/>
      <c r="AL261" s="76" t="n">
        <v>410.07</v>
      </c>
      <c r="AM261" s="56" t="s">
        <v>20</v>
      </c>
      <c r="AN261" s="80" t="n">
        <f aca="false">IF(L261=0,0,Z261/L261)</f>
        <v>0.402105532564458</v>
      </c>
      <c r="AO261" s="81" t="str">
        <f aca="false">IF(AN261="","",IF(AN261&gt;=0.9,"🟢",IF(AN261&gt;=0.7,"🟡",IF(AN261&gt;=0.5,"🟠","🔴"))))</f>
        <v>🔴</v>
      </c>
      <c r="AP261" s="82" t="n">
        <f aca="false">IF(L261=0,0,L261-Z261)</f>
        <v>2616.44</v>
      </c>
      <c r="AQ261" s="83" t="n">
        <f aca="false">IF(AP261=0,"",RANK(AP261,AP$4:AP$503,0))</f>
        <v>235</v>
      </c>
      <c r="AR261" s="84" t="s">
        <v>20</v>
      </c>
      <c r="AS261" s="141"/>
      <c r="AT261" s="141"/>
      <c r="AU261" s="141"/>
      <c r="AV261" s="141"/>
      <c r="AW261" s="141"/>
      <c r="AX261" s="141"/>
      <c r="AY261" s="142"/>
      <c r="AZ261" s="142"/>
      <c r="BA261" s="56" t="s">
        <v>20</v>
      </c>
      <c r="BB261" s="91" t="n">
        <f aca="false">SUM(L$4:L$503)/COUNTA(A$4:A$503)</f>
        <v>9494.39992</v>
      </c>
      <c r="BC261" s="92" t="n">
        <f aca="false">SUM(M$4:M$503)/COUNTA(A$4:A$503)</f>
        <v>667.20008</v>
      </c>
      <c r="BD261" s="92" t="n">
        <f aca="false">SUM(N$4:N$503)/COUNTA(A$4:A$503)</f>
        <v>697.19996</v>
      </c>
      <c r="BE261" s="92" t="n">
        <f aca="false">SUM(O$4:O$503)/COUNTA(A$4:A$503)</f>
        <v>713.9999</v>
      </c>
      <c r="BF261" s="92" t="n">
        <f aca="false">SUM(P$4:P$503)/COUNTA(A$4:A$503)</f>
        <v>732.59984</v>
      </c>
      <c r="BG261" s="92" t="n">
        <f aca="false">SUM(Q$4:Q$503)/COUNTA(A$4:A$503)</f>
        <v>756.59992</v>
      </c>
      <c r="BH261" s="92" t="n">
        <f aca="false">SUM(R$4:R$503)/COUNTA(A$4:A$503)</f>
        <v>776.40004</v>
      </c>
      <c r="BI261" s="92" t="n">
        <f aca="false">SUM(S$4:S$503)/COUNTA(A$4:A$503)</f>
        <v>806.40012</v>
      </c>
      <c r="BJ261" s="92" t="n">
        <f aca="false">SUM(T$4:T$503)/COUNTA(A$4:A$503)</f>
        <v>826.1999</v>
      </c>
      <c r="BK261" s="92" t="n">
        <f aca="false">SUM(U$4:U$503)/COUNTA(A$4:A$503)</f>
        <v>844.8002</v>
      </c>
      <c r="BL261" s="92" t="n">
        <f aca="false">SUM(V$4:V$503)/COUNTA(A$4:A$503)</f>
        <v>865.7998</v>
      </c>
      <c r="BM261" s="92" t="n">
        <f aca="false">SUM(W$4:W$503)/COUNTA(A$4:A$503)</f>
        <v>888.59982</v>
      </c>
      <c r="BN261" s="93" t="n">
        <f aca="false">SUM(X$4:X$503)/COUNTA(A$4:A$503)</f>
        <v>918.60034</v>
      </c>
      <c r="BO261" s="94" t="s">
        <v>20</v>
      </c>
      <c r="BP261" s="91" t="n">
        <f aca="false">IF(Z261&gt;=BB261,0,IFERROR(BB261+(SUMPRODUCT((Z$4:Z$503&gt;=BB$4:BB$503)*(Z$4:Z$503-BB$4:BB$503))/MAX(1,COUNTIF(Z$4:Z$503,"&lt;"&amp;BB261+0.01))),BB261))</f>
        <v>10695.5432177778</v>
      </c>
      <c r="BQ261" s="92" t="n">
        <f aca="false">IF(AA261&gt;=BC261,0,IFERROR(BC261+SUMPRODUCT((AA$4:AA$503&gt;=BC$4:BC$503)*(AA$4:AA$503-BC$4:BC$503))/MAX(1,COUNTIF(AA$4:AA$503,"&lt;"&amp;BC261+0.01)),BC261))</f>
        <v>2238.46589176471</v>
      </c>
      <c r="BR261" s="92" t="n">
        <f aca="false">IF(AB261&gt;=BD261,0,IFERROR(BD261+SUMPRODUCT((AB$4:AB$503&gt;=BD$4:BD$503)*(AB$4:AB$503-BD$4:BD$503))/MAX(1,COUNTIF(AB$4:AB$503,"&lt;"&amp;BD261+0.01)),BD261))</f>
        <v>3335.2938</v>
      </c>
      <c r="BS261" s="92" t="n">
        <f aca="false">IF(AC261&gt;=BE261,0,IFERROR(BE261+SUMPRODUCT((AC$4:AC$503&gt;=BE$4:BE$503)*(AC$4:AC$503-BE$4:BE$503))/MAX(1,COUNTIF(AC$4:AC$503,"&lt;"&amp;BE261+0.01)),BE261))</f>
        <v>6188.73352</v>
      </c>
      <c r="BT261" s="92" t="n">
        <f aca="false">IF(AD261&gt;=BF261,0,IFERROR(BF261+SUMPRODUCT((AD$4:AD$503&gt;=BF$4:BF$503)*(AD$4:AD$503-BF$4:BF$503))/MAX(1,COUNTIF(AD$4:AD$503,"&lt;"&amp;BF261+0.01)),BF261))</f>
        <v>11354.35411</v>
      </c>
      <c r="BU261" s="92" t="n">
        <f aca="false">IF(AE261&gt;=BG261,0,IFERROR(BG261+SUMPRODUCT((AE$4:AE$503&gt;=BG$4:BG$503)*(AE$4:AE$503-BG$4:BG$503))/MAX(1,COUNTIF(AE$4:AE$503,"&lt;"&amp;BG261+0.01)),BG261))</f>
        <v>7704.85920380952</v>
      </c>
      <c r="BV261" s="92" t="n">
        <f aca="false">IF(AF261&gt;=BH261,0,IFERROR(BH261+SUMPRODUCT((AF$4:AF$503&gt;=BH$4:BH$503)*(AF$4:AF$503-BH$4:BH$503))/MAX(1,COUNTIF(AF$4:AF$503,"&lt;"&amp;BH261+0.01)),BH261))</f>
        <v>9942.6503831579</v>
      </c>
      <c r="BW261" s="92" t="n">
        <f aca="false">IF(AG261&gt;=BI261,0,IFERROR(BI261+SUMPRODUCT((AG$4:AG$503&gt;=BI$4:BI$503)*(AG$4:AG$503-BI$4:BI$503))/MAX(1,COUNTIF(AG$4:AG$503,"&lt;"&amp;BI261+0.01)),BI261))</f>
        <v>9142.15870461538</v>
      </c>
      <c r="BX261" s="92" t="n">
        <f aca="false">IF(AH261&gt;=BJ261,0,IFERROR(BJ261+SUMPRODUCT((AH$4:AH$503&gt;=BJ$4:BJ$503)*(AH$4:AH$503-BJ$4:BJ$503))/MAX(1,COUNTIF(AH$4:AH$503,"&lt;"&amp;BJ261+0.01)),BJ261))</f>
        <v>5621.50263448276</v>
      </c>
      <c r="BY261" s="92" t="n">
        <f aca="false">IF(AI261&gt;=BK261,0,IFERROR(BK261+SUMPRODUCT((AI$4:AI$503&gt;=BK$4:BK$503)*(AI$4:AI$503-BK$4:BK$503))/MAX(1,COUNTIF(AI$4:AI$503,"&lt;"&amp;BK261+0.01)),BK261))</f>
        <v>7878.25652380952</v>
      </c>
      <c r="BZ261" s="92" t="n">
        <f aca="false">IF(AJ261&gt;=BL261,0,IFERROR(BL261+SUMPRODUCT((AJ$4:AJ$503&gt;=BL$4:BL$503)*(AJ$4:AJ$503-BL$4:BL$503))/MAX(1,COUNTIF(AJ$4:AJ$503,"&lt;"&amp;BL261+0.01)),BL261))</f>
        <v>6710.03292307692</v>
      </c>
      <c r="CA261" s="92" t="n">
        <f aca="false">IF(AK261&gt;=BM261,0,IFERROR(BM261+SUMPRODUCT((AK$4:AK$503&gt;=BM$4:BM$503)*(AK$4:AK$503-BM$4:BM$503))/MAX(1,COUNTIF(AK$4:AK$503,"&lt;"&amp;BM261+0.01)),BM261))</f>
        <v>7314.89836842105</v>
      </c>
      <c r="CB261" s="93" t="n">
        <f aca="false">IF(AL261&gt;=BN261,0,IFERROR(BN261+SUMPRODUCT((AL$4:AL$503&gt;=BN$4:BN$503)*(AL$4:AL$503-BN$4:BN$503))/MAX(1,COUNTIF(AL$4:AL$503,"&lt;"&amp;BN261+0.01)),BN261))</f>
        <v>3597.2614925</v>
      </c>
      <c r="CC261" s="95" t="str">
        <f aca="false">IF(AO261="🟢","VERDE",IF(AO261="🟡","AMARELO",IF(AO261="🟠","VERMELHO",IF(AO261="🔴","VERMELHO","ROXO"))))</f>
        <v>VERMELHO</v>
      </c>
      <c r="CD261" s="96" t="s">
        <v>103</v>
      </c>
      <c r="CE261" s="96" t="s">
        <v>104</v>
      </c>
    </row>
    <row r="262" customFormat="false" ht="14.25" hidden="false" customHeight="true" outlineLevel="0" collapsed="false">
      <c r="A262" s="65" t="s">
        <v>658</v>
      </c>
      <c r="B262" s="66" t="s">
        <v>659</v>
      </c>
      <c r="C262" s="67" t="s">
        <v>149</v>
      </c>
      <c r="D262" s="68" t="s">
        <v>100</v>
      </c>
      <c r="E262" s="69" t="s">
        <v>119</v>
      </c>
      <c r="F262" s="70" t="n">
        <f aca="false">IFERROR(VLOOKUP(C262,$AS$3:$AT$10,2,FALSE()),IFERROR(VLOOKUP(C262,$AS$15:$AT$22,2,FALSE()),""))</f>
        <v>29</v>
      </c>
      <c r="G262" s="71" t="n">
        <f aca="false">IFERROR(VLOOKUP(C262,$AS$3:$AX$10,6,FALSE()),IFERROR(VLOOKUP(C262,$AS$15:$AX$22,6,FALSE()),""))</f>
        <v>0.425845065256079</v>
      </c>
      <c r="H262" s="72" t="str">
        <f aca="false">IFERROR(VLOOKUP(C262,$AS$3:$AY$10,7,FALSE()),IFERROR(VLOOKUP(C262,$AS$15:$AY$22,7,FALSE()),""))</f>
        <v>🟡 AMARELO</v>
      </c>
      <c r="I262" s="72" t="str">
        <f aca="false">IFERROR(VLOOKUP(C262,$AS$3:$AZ$10,8,FALSE()),IFERROR(VLOOKUP(C262,$AS$15:$AZ$22,8,FALSE()),""))</f>
        <v>Sell Out</v>
      </c>
      <c r="J262" s="73"/>
      <c r="K262" s="69" t="s">
        <v>149</v>
      </c>
      <c r="L262" s="74" t="n">
        <v>4346.28</v>
      </c>
      <c r="M262" s="75" t="n">
        <v>305.43</v>
      </c>
      <c r="N262" s="75" t="n">
        <v>319.16</v>
      </c>
      <c r="O262" s="75" t="n">
        <v>326.85</v>
      </c>
      <c r="P262" s="75" t="n">
        <v>335.36</v>
      </c>
      <c r="Q262" s="75" t="n">
        <v>346.35</v>
      </c>
      <c r="R262" s="75" t="n">
        <v>355.41</v>
      </c>
      <c r="S262" s="75" t="n">
        <v>369.15</v>
      </c>
      <c r="T262" s="75" t="n">
        <v>378.21</v>
      </c>
      <c r="U262" s="75" t="n">
        <v>386.73</v>
      </c>
      <c r="V262" s="75" t="n">
        <v>396.34</v>
      </c>
      <c r="W262" s="75" t="n">
        <v>406.78</v>
      </c>
      <c r="X262" s="76" t="n">
        <v>420.51</v>
      </c>
      <c r="Y262" s="77" t="s">
        <v>20</v>
      </c>
      <c r="Z262" s="78" t="n">
        <f aca="false">SUM(AA262:AL262)</f>
        <v>1747.86</v>
      </c>
      <c r="AA262" s="75"/>
      <c r="AB262" s="79" t="n">
        <v>1747.86</v>
      </c>
      <c r="AC262" s="75"/>
      <c r="AD262" s="75"/>
      <c r="AE262" s="75"/>
      <c r="AF262" s="75"/>
      <c r="AG262" s="75"/>
      <c r="AH262" s="75"/>
      <c r="AI262" s="75"/>
      <c r="AJ262" s="75"/>
      <c r="AK262" s="75"/>
      <c r="AL262" s="76"/>
      <c r="AM262" s="56" t="s">
        <v>20</v>
      </c>
      <c r="AN262" s="80" t="n">
        <f aca="false">IF(L262=0,0,Z262/L262)</f>
        <v>0.402150804826196</v>
      </c>
      <c r="AO262" s="81" t="str">
        <f aca="false">IF(AN262="","",IF(AN262&gt;=0.9,"🟢",IF(AN262&gt;=0.7,"🟡",IF(AN262&gt;=0.5,"🟠","🔴"))))</f>
        <v>🔴</v>
      </c>
      <c r="AP262" s="82" t="n">
        <f aca="false">IF(L262=0,0,L262-Z262)</f>
        <v>2598.42</v>
      </c>
      <c r="AQ262" s="83" t="n">
        <f aca="false">IF(AP262=0,"",RANK(AP262,AP$4:AP$503,0))</f>
        <v>236</v>
      </c>
      <c r="AR262" s="84" t="s">
        <v>20</v>
      </c>
      <c r="AS262" s="141"/>
      <c r="AT262" s="141"/>
      <c r="AU262" s="141"/>
      <c r="AV262" s="141"/>
      <c r="AW262" s="141"/>
      <c r="AX262" s="141"/>
      <c r="AY262" s="142"/>
      <c r="AZ262" s="142"/>
      <c r="BA262" s="56" t="s">
        <v>20</v>
      </c>
      <c r="BB262" s="91" t="n">
        <f aca="false">SUM(L$4:L$503)/COUNTA(A$4:A$503)</f>
        <v>9494.39992</v>
      </c>
      <c r="BC262" s="92" t="n">
        <f aca="false">SUM(M$4:M$503)/COUNTA(A$4:A$503)</f>
        <v>667.20008</v>
      </c>
      <c r="BD262" s="92" t="n">
        <f aca="false">SUM(N$4:N$503)/COUNTA(A$4:A$503)</f>
        <v>697.19996</v>
      </c>
      <c r="BE262" s="92" t="n">
        <f aca="false">SUM(O$4:O$503)/COUNTA(A$4:A$503)</f>
        <v>713.9999</v>
      </c>
      <c r="BF262" s="92" t="n">
        <f aca="false">SUM(P$4:P$503)/COUNTA(A$4:A$503)</f>
        <v>732.59984</v>
      </c>
      <c r="BG262" s="92" t="n">
        <f aca="false">SUM(Q$4:Q$503)/COUNTA(A$4:A$503)</f>
        <v>756.59992</v>
      </c>
      <c r="BH262" s="92" t="n">
        <f aca="false">SUM(R$4:R$503)/COUNTA(A$4:A$503)</f>
        <v>776.40004</v>
      </c>
      <c r="BI262" s="92" t="n">
        <f aca="false">SUM(S$4:S$503)/COUNTA(A$4:A$503)</f>
        <v>806.40012</v>
      </c>
      <c r="BJ262" s="92" t="n">
        <f aca="false">SUM(T$4:T$503)/COUNTA(A$4:A$503)</f>
        <v>826.1999</v>
      </c>
      <c r="BK262" s="92" t="n">
        <f aca="false">SUM(U$4:U$503)/COUNTA(A$4:A$503)</f>
        <v>844.8002</v>
      </c>
      <c r="BL262" s="92" t="n">
        <f aca="false">SUM(V$4:V$503)/COUNTA(A$4:A$503)</f>
        <v>865.7998</v>
      </c>
      <c r="BM262" s="92" t="n">
        <f aca="false">SUM(W$4:W$503)/COUNTA(A$4:A$503)</f>
        <v>888.59982</v>
      </c>
      <c r="BN262" s="93" t="n">
        <f aca="false">SUM(X$4:X$503)/COUNTA(A$4:A$503)</f>
        <v>918.60034</v>
      </c>
      <c r="BO262" s="94" t="s">
        <v>20</v>
      </c>
      <c r="BP262" s="91" t="n">
        <f aca="false">IF(Z262&gt;=BB262,0,IFERROR(BB262+(SUMPRODUCT((Z$4:Z$503&gt;=BB$4:BB$503)*(Z$4:Z$503-BB$4:BB$503))/MAX(1,COUNTIF(Z$4:Z$503,"&lt;"&amp;BB262+0.01))),BB262))</f>
        <v>10695.5432177778</v>
      </c>
      <c r="BQ262" s="92" t="n">
        <f aca="false">IF(AA262&gt;=BC262,0,IFERROR(BC262+SUMPRODUCT((AA$4:AA$503&gt;=BC$4:BC$503)*(AA$4:AA$503-BC$4:BC$503))/MAX(1,COUNTIF(AA$4:AA$503,"&lt;"&amp;BC262+0.01)),BC262))</f>
        <v>2238.46589176471</v>
      </c>
      <c r="BR262" s="92" t="n">
        <f aca="false">IF(AB262&gt;=BD262,0,IFERROR(BD262+SUMPRODUCT((AB$4:AB$503&gt;=BD$4:BD$503)*(AB$4:AB$503-BD$4:BD$503))/MAX(1,COUNTIF(AB$4:AB$503,"&lt;"&amp;BD262+0.01)),BD262))</f>
        <v>0</v>
      </c>
      <c r="BS262" s="92" t="n">
        <f aca="false">IF(AC262&gt;=BE262,0,IFERROR(BE262+SUMPRODUCT((AC$4:AC$503&gt;=BE$4:BE$503)*(AC$4:AC$503-BE$4:BE$503))/MAX(1,COUNTIF(AC$4:AC$503,"&lt;"&amp;BE262+0.01)),BE262))</f>
        <v>6188.73352</v>
      </c>
      <c r="BT262" s="92" t="n">
        <f aca="false">IF(AD262&gt;=BF262,0,IFERROR(BF262+SUMPRODUCT((AD$4:AD$503&gt;=BF$4:BF$503)*(AD$4:AD$503-BF$4:BF$503))/MAX(1,COUNTIF(AD$4:AD$503,"&lt;"&amp;BF262+0.01)),BF262))</f>
        <v>11354.35411</v>
      </c>
      <c r="BU262" s="92" t="n">
        <f aca="false">IF(AE262&gt;=BG262,0,IFERROR(BG262+SUMPRODUCT((AE$4:AE$503&gt;=BG$4:BG$503)*(AE$4:AE$503-BG$4:BG$503))/MAX(1,COUNTIF(AE$4:AE$503,"&lt;"&amp;BG262+0.01)),BG262))</f>
        <v>7704.85920380952</v>
      </c>
      <c r="BV262" s="92" t="n">
        <f aca="false">IF(AF262&gt;=BH262,0,IFERROR(BH262+SUMPRODUCT((AF$4:AF$503&gt;=BH$4:BH$503)*(AF$4:AF$503-BH$4:BH$503))/MAX(1,COUNTIF(AF$4:AF$503,"&lt;"&amp;BH262+0.01)),BH262))</f>
        <v>9942.6503831579</v>
      </c>
      <c r="BW262" s="92" t="n">
        <f aca="false">IF(AG262&gt;=BI262,0,IFERROR(BI262+SUMPRODUCT((AG$4:AG$503&gt;=BI$4:BI$503)*(AG$4:AG$503-BI$4:BI$503))/MAX(1,COUNTIF(AG$4:AG$503,"&lt;"&amp;BI262+0.01)),BI262))</f>
        <v>9142.15870461538</v>
      </c>
      <c r="BX262" s="92" t="n">
        <f aca="false">IF(AH262&gt;=BJ262,0,IFERROR(BJ262+SUMPRODUCT((AH$4:AH$503&gt;=BJ$4:BJ$503)*(AH$4:AH$503-BJ$4:BJ$503))/MAX(1,COUNTIF(AH$4:AH$503,"&lt;"&amp;BJ262+0.01)),BJ262))</f>
        <v>5621.50263448276</v>
      </c>
      <c r="BY262" s="92" t="n">
        <f aca="false">IF(AI262&gt;=BK262,0,IFERROR(BK262+SUMPRODUCT((AI$4:AI$503&gt;=BK$4:BK$503)*(AI$4:AI$503-BK$4:BK$503))/MAX(1,COUNTIF(AI$4:AI$503,"&lt;"&amp;BK262+0.01)),BK262))</f>
        <v>7878.25652380952</v>
      </c>
      <c r="BZ262" s="92" t="n">
        <f aca="false">IF(AJ262&gt;=BL262,0,IFERROR(BL262+SUMPRODUCT((AJ$4:AJ$503&gt;=BL$4:BL$503)*(AJ$4:AJ$503-BL$4:BL$503))/MAX(1,COUNTIF(AJ$4:AJ$503,"&lt;"&amp;BL262+0.01)),BL262))</f>
        <v>6710.03292307692</v>
      </c>
      <c r="CA262" s="92" t="n">
        <f aca="false">IF(AK262&gt;=BM262,0,IFERROR(BM262+SUMPRODUCT((AK$4:AK$503&gt;=BM$4:BM$503)*(AK$4:AK$503-BM$4:BM$503))/MAX(1,COUNTIF(AK$4:AK$503,"&lt;"&amp;BM262+0.01)),BM262))</f>
        <v>7314.89836842105</v>
      </c>
      <c r="CB262" s="93" t="n">
        <f aca="false">IF(AL262&gt;=BN262,0,IFERROR(BN262+SUMPRODUCT((AL$4:AL$503&gt;=BN$4:BN$503)*(AL$4:AL$503-BN$4:BN$503))/MAX(1,COUNTIF(AL$4:AL$503,"&lt;"&amp;BN262+0.01)),BN262))</f>
        <v>3597.2614925</v>
      </c>
      <c r="CC262" s="95" t="str">
        <f aca="false">IF(AO262="🟢","VERDE",IF(AO262="🟡","AMARELO",IF(AO262="🟠","VERMELHO",IF(AO262="🔴","VERMELHO","ROXO"))))</f>
        <v>VERMELHO</v>
      </c>
      <c r="CD262" s="96" t="s">
        <v>103</v>
      </c>
      <c r="CE262" s="96" t="s">
        <v>104</v>
      </c>
    </row>
    <row r="263" customFormat="false" ht="14.25" hidden="false" customHeight="true" outlineLevel="0" collapsed="false">
      <c r="A263" s="65" t="s">
        <v>660</v>
      </c>
      <c r="B263" s="66" t="s">
        <v>661</v>
      </c>
      <c r="C263" s="67" t="s">
        <v>107</v>
      </c>
      <c r="D263" s="68" t="s">
        <v>108</v>
      </c>
      <c r="E263" s="69" t="s">
        <v>109</v>
      </c>
      <c r="F263" s="70" t="n">
        <f aca="false">IFERROR(VLOOKUP(C263,$AS$3:$AT$10,2,FALSE()),IFERROR(VLOOKUP(C263,$AS$15:$AT$22,2,FALSE()),""))</f>
        <v>132</v>
      </c>
      <c r="G263" s="71" t="n">
        <f aca="false">IFERROR(VLOOKUP(C263,$AS$3:$AX$10,6,FALSE()),IFERROR(VLOOKUP(C263,$AS$15:$AX$22,6,FALSE()),""))</f>
        <v>0.468190175850689</v>
      </c>
      <c r="H263" s="72" t="str">
        <f aca="false">IFERROR(VLOOKUP(C263,$AS$3:$AY$10,7,FALSE()),IFERROR(VLOOKUP(C263,$AS$15:$AY$22,7,FALSE()),""))</f>
        <v>🟡 AMARELO</v>
      </c>
      <c r="I263" s="72" t="str">
        <f aca="false">IFERROR(VLOOKUP(C263,$AS$3:$AZ$10,8,FALSE()),IFERROR(VLOOKUP(C263,$AS$15:$AZ$22,8,FALSE()),""))</f>
        <v>Sell Out</v>
      </c>
      <c r="J263" s="73"/>
      <c r="K263" s="69" t="s">
        <v>107</v>
      </c>
      <c r="L263" s="74" t="n">
        <v>4338.66</v>
      </c>
      <c r="M263" s="75" t="n">
        <v>304.89</v>
      </c>
      <c r="N263" s="75" t="n">
        <v>318.6</v>
      </c>
      <c r="O263" s="75" t="n">
        <v>326.28</v>
      </c>
      <c r="P263" s="75" t="n">
        <v>334.78</v>
      </c>
      <c r="Q263" s="75" t="n">
        <v>345.74</v>
      </c>
      <c r="R263" s="75" t="n">
        <v>354.79</v>
      </c>
      <c r="S263" s="75" t="n">
        <v>368.5</v>
      </c>
      <c r="T263" s="75" t="n">
        <v>377.55</v>
      </c>
      <c r="U263" s="75" t="n">
        <v>386.05</v>
      </c>
      <c r="V263" s="75" t="n">
        <v>395.65</v>
      </c>
      <c r="W263" s="75" t="n">
        <v>406.06</v>
      </c>
      <c r="X263" s="76" t="n">
        <v>419.77</v>
      </c>
      <c r="Y263" s="77" t="s">
        <v>20</v>
      </c>
      <c r="Z263" s="78" t="n">
        <f aca="false">SUM(AA263:AL263)</f>
        <v>0</v>
      </c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6"/>
      <c r="AM263" s="56" t="s">
        <v>20</v>
      </c>
      <c r="AN263" s="80" t="n">
        <f aca="false">IF(L263=0,0,Z263/L263)</f>
        <v>0</v>
      </c>
      <c r="AO263" s="81" t="str">
        <f aca="false">IF(AN263="","",IF(AN263&gt;=0.9,"🟢",IF(AN263&gt;=0.7,"🟡",IF(AN263&gt;=0.5,"🟠","🔴"))))</f>
        <v>🔴</v>
      </c>
      <c r="AP263" s="82" t="n">
        <f aca="false">IF(L263=0,0,L263-Z263)</f>
        <v>4338.66</v>
      </c>
      <c r="AQ263" s="83" t="n">
        <f aca="false">IF(AP263=0,"",RANK(AP263,AP$4:AP$503,0))</f>
        <v>150</v>
      </c>
      <c r="AR263" s="84" t="s">
        <v>20</v>
      </c>
      <c r="AS263" s="141"/>
      <c r="AT263" s="141"/>
      <c r="AU263" s="141"/>
      <c r="AV263" s="141"/>
      <c r="AW263" s="141"/>
      <c r="AX263" s="141"/>
      <c r="AY263" s="142"/>
      <c r="AZ263" s="142"/>
      <c r="BA263" s="56" t="s">
        <v>20</v>
      </c>
      <c r="BB263" s="91" t="n">
        <f aca="false">SUM(L$4:L$503)/COUNTA(A$4:A$503)</f>
        <v>9494.39992</v>
      </c>
      <c r="BC263" s="92" t="n">
        <f aca="false">SUM(M$4:M$503)/COUNTA(A$4:A$503)</f>
        <v>667.20008</v>
      </c>
      <c r="BD263" s="92" t="n">
        <f aca="false">SUM(N$4:N$503)/COUNTA(A$4:A$503)</f>
        <v>697.19996</v>
      </c>
      <c r="BE263" s="92" t="n">
        <f aca="false">SUM(O$4:O$503)/COUNTA(A$4:A$503)</f>
        <v>713.9999</v>
      </c>
      <c r="BF263" s="92" t="n">
        <f aca="false">SUM(P$4:P$503)/COUNTA(A$4:A$503)</f>
        <v>732.59984</v>
      </c>
      <c r="BG263" s="92" t="n">
        <f aca="false">SUM(Q$4:Q$503)/COUNTA(A$4:A$503)</f>
        <v>756.59992</v>
      </c>
      <c r="BH263" s="92" t="n">
        <f aca="false">SUM(R$4:R$503)/COUNTA(A$4:A$503)</f>
        <v>776.40004</v>
      </c>
      <c r="BI263" s="92" t="n">
        <f aca="false">SUM(S$4:S$503)/COUNTA(A$4:A$503)</f>
        <v>806.40012</v>
      </c>
      <c r="BJ263" s="92" t="n">
        <f aca="false">SUM(T$4:T$503)/COUNTA(A$4:A$503)</f>
        <v>826.1999</v>
      </c>
      <c r="BK263" s="92" t="n">
        <f aca="false">SUM(U$4:U$503)/COUNTA(A$4:A$503)</f>
        <v>844.8002</v>
      </c>
      <c r="BL263" s="92" t="n">
        <f aca="false">SUM(V$4:V$503)/COUNTA(A$4:A$503)</f>
        <v>865.7998</v>
      </c>
      <c r="BM263" s="92" t="n">
        <f aca="false">SUM(W$4:W$503)/COUNTA(A$4:A$503)</f>
        <v>888.59982</v>
      </c>
      <c r="BN263" s="93" t="n">
        <f aca="false">SUM(X$4:X$503)/COUNTA(A$4:A$503)</f>
        <v>918.60034</v>
      </c>
      <c r="BO263" s="94" t="s">
        <v>20</v>
      </c>
      <c r="BP263" s="91" t="n">
        <f aca="false">IF(Z263&gt;=BB263,0,IFERROR(BB263+(SUMPRODUCT((Z$4:Z$503&gt;=BB$4:BB$503)*(Z$4:Z$503-BB$4:BB$503))/MAX(1,COUNTIF(Z$4:Z$503,"&lt;"&amp;BB263+0.01))),BB263))</f>
        <v>10695.5432177778</v>
      </c>
      <c r="BQ263" s="92" t="n">
        <f aca="false">IF(AA263&gt;=BC263,0,IFERROR(BC263+SUMPRODUCT((AA$4:AA$503&gt;=BC$4:BC$503)*(AA$4:AA$503-BC$4:BC$503))/MAX(1,COUNTIF(AA$4:AA$503,"&lt;"&amp;BC263+0.01)),BC263))</f>
        <v>2238.46589176471</v>
      </c>
      <c r="BR263" s="92" t="n">
        <f aca="false">IF(AB263&gt;=BD263,0,IFERROR(BD263+SUMPRODUCT((AB$4:AB$503&gt;=BD$4:BD$503)*(AB$4:AB$503-BD$4:BD$503))/MAX(1,COUNTIF(AB$4:AB$503,"&lt;"&amp;BD263+0.01)),BD263))</f>
        <v>3335.2938</v>
      </c>
      <c r="BS263" s="92" t="n">
        <f aca="false">IF(AC263&gt;=BE263,0,IFERROR(BE263+SUMPRODUCT((AC$4:AC$503&gt;=BE$4:BE$503)*(AC$4:AC$503-BE$4:BE$503))/MAX(1,COUNTIF(AC$4:AC$503,"&lt;"&amp;BE263+0.01)),BE263))</f>
        <v>6188.73352</v>
      </c>
      <c r="BT263" s="92" t="n">
        <f aca="false">IF(AD263&gt;=BF263,0,IFERROR(BF263+SUMPRODUCT((AD$4:AD$503&gt;=BF$4:BF$503)*(AD$4:AD$503-BF$4:BF$503))/MAX(1,COUNTIF(AD$4:AD$503,"&lt;"&amp;BF263+0.01)),BF263))</f>
        <v>11354.35411</v>
      </c>
      <c r="BU263" s="92" t="n">
        <f aca="false">IF(AE263&gt;=BG263,0,IFERROR(BG263+SUMPRODUCT((AE$4:AE$503&gt;=BG$4:BG$503)*(AE$4:AE$503-BG$4:BG$503))/MAX(1,COUNTIF(AE$4:AE$503,"&lt;"&amp;BG263+0.01)),BG263))</f>
        <v>7704.85920380952</v>
      </c>
      <c r="BV263" s="92" t="n">
        <f aca="false">IF(AF263&gt;=BH263,0,IFERROR(BH263+SUMPRODUCT((AF$4:AF$503&gt;=BH$4:BH$503)*(AF$4:AF$503-BH$4:BH$503))/MAX(1,COUNTIF(AF$4:AF$503,"&lt;"&amp;BH263+0.01)),BH263))</f>
        <v>9942.6503831579</v>
      </c>
      <c r="BW263" s="92" t="n">
        <f aca="false">IF(AG263&gt;=BI263,0,IFERROR(BI263+SUMPRODUCT((AG$4:AG$503&gt;=BI$4:BI$503)*(AG$4:AG$503-BI$4:BI$503))/MAX(1,COUNTIF(AG$4:AG$503,"&lt;"&amp;BI263+0.01)),BI263))</f>
        <v>9142.15870461538</v>
      </c>
      <c r="BX263" s="92" t="n">
        <f aca="false">IF(AH263&gt;=BJ263,0,IFERROR(BJ263+SUMPRODUCT((AH$4:AH$503&gt;=BJ$4:BJ$503)*(AH$4:AH$503-BJ$4:BJ$503))/MAX(1,COUNTIF(AH$4:AH$503,"&lt;"&amp;BJ263+0.01)),BJ263))</f>
        <v>5621.50263448276</v>
      </c>
      <c r="BY263" s="92" t="n">
        <f aca="false">IF(AI263&gt;=BK263,0,IFERROR(BK263+SUMPRODUCT((AI$4:AI$503&gt;=BK$4:BK$503)*(AI$4:AI$503-BK$4:BK$503))/MAX(1,COUNTIF(AI$4:AI$503,"&lt;"&amp;BK263+0.01)),BK263))</f>
        <v>7878.25652380952</v>
      </c>
      <c r="BZ263" s="92" t="n">
        <f aca="false">IF(AJ263&gt;=BL263,0,IFERROR(BL263+SUMPRODUCT((AJ$4:AJ$503&gt;=BL$4:BL$503)*(AJ$4:AJ$503-BL$4:BL$503))/MAX(1,COUNTIF(AJ$4:AJ$503,"&lt;"&amp;BL263+0.01)),BL263))</f>
        <v>6710.03292307692</v>
      </c>
      <c r="CA263" s="92" t="n">
        <f aca="false">IF(AK263&gt;=BM263,0,IFERROR(BM263+SUMPRODUCT((AK$4:AK$503&gt;=BM$4:BM$503)*(AK$4:AK$503-BM$4:BM$503))/MAX(1,COUNTIF(AK$4:AK$503,"&lt;"&amp;BM263+0.01)),BM263))</f>
        <v>7314.89836842105</v>
      </c>
      <c r="CB263" s="93" t="n">
        <f aca="false">IF(AL263&gt;=BN263,0,IFERROR(BN263+SUMPRODUCT((AL$4:AL$503&gt;=BN$4:BN$503)*(AL$4:AL$503-BN$4:BN$503))/MAX(1,COUNTIF(AL$4:AL$503,"&lt;"&amp;BN263+0.01)),BN263))</f>
        <v>3597.2614925</v>
      </c>
      <c r="CC263" s="95" t="str">
        <f aca="false">IF(AO263="🟢","VERDE",IF(AO263="🟡","AMARELO",IF(AO263="🟠","VERMELHO",IF(AO263="🔴","VERMELHO","ROXO"))))</f>
        <v>VERMELHO</v>
      </c>
      <c r="CD263" s="96" t="s">
        <v>103</v>
      </c>
      <c r="CE263" s="96" t="s">
        <v>104</v>
      </c>
    </row>
    <row r="264" customFormat="false" ht="14.25" hidden="false" customHeight="true" outlineLevel="0" collapsed="false">
      <c r="A264" s="65" t="s">
        <v>662</v>
      </c>
      <c r="B264" s="66" t="s">
        <v>663</v>
      </c>
      <c r="C264" s="67" t="s">
        <v>118</v>
      </c>
      <c r="D264" s="68" t="s">
        <v>100</v>
      </c>
      <c r="E264" s="69" t="s">
        <v>119</v>
      </c>
      <c r="F264" s="70" t="n">
        <f aca="false">IFERROR(VLOOKUP(C264,$AS$3:$AT$10,2,FALSE()),IFERROR(VLOOKUP(C264,$AS$15:$AT$22,2,FALSE()),""))</f>
        <v>42</v>
      </c>
      <c r="G264" s="71" t="n">
        <f aca="false">IFERROR(VLOOKUP(C264,$AS$3:$AX$10,6,FALSE()),IFERROR(VLOOKUP(C264,$AS$15:$AX$22,6,FALSE()),""))</f>
        <v>0.424872083346704</v>
      </c>
      <c r="H264" s="72" t="str">
        <f aca="false">IFERROR(VLOOKUP(C264,$AS$3:$AY$10,7,FALSE()),IFERROR(VLOOKUP(C264,$AS$15:$AY$22,7,FALSE()),""))</f>
        <v>🟡 AMARELO</v>
      </c>
      <c r="I264" s="72" t="str">
        <f aca="false">IFERROR(VLOOKUP(C264,$AS$3:$AZ$10,8,FALSE()),IFERROR(VLOOKUP(C264,$AS$15:$AZ$22,8,FALSE()),""))</f>
        <v>Sell Out</v>
      </c>
      <c r="J264" s="73"/>
      <c r="K264" s="69" t="s">
        <v>118</v>
      </c>
      <c r="L264" s="74" t="n">
        <v>4337.92</v>
      </c>
      <c r="M264" s="75" t="n">
        <v>304.84</v>
      </c>
      <c r="N264" s="75" t="n">
        <v>318.55</v>
      </c>
      <c r="O264" s="75" t="n">
        <v>326.22</v>
      </c>
      <c r="P264" s="75" t="n">
        <v>334.72</v>
      </c>
      <c r="Q264" s="75" t="n">
        <v>345.69</v>
      </c>
      <c r="R264" s="75" t="n">
        <v>354.73</v>
      </c>
      <c r="S264" s="75" t="n">
        <v>368.44</v>
      </c>
      <c r="T264" s="75" t="n">
        <v>377.48</v>
      </c>
      <c r="U264" s="75" t="n">
        <v>385.98</v>
      </c>
      <c r="V264" s="75" t="n">
        <v>395.58</v>
      </c>
      <c r="W264" s="75" t="n">
        <v>405.99</v>
      </c>
      <c r="X264" s="76" t="n">
        <v>419.7</v>
      </c>
      <c r="Y264" s="77" t="s">
        <v>20</v>
      </c>
      <c r="Z264" s="78" t="n">
        <f aca="false">SUM(AA264:AL264)</f>
        <v>1809</v>
      </c>
      <c r="AA264" s="75"/>
      <c r="AB264" s="75"/>
      <c r="AC264" s="75"/>
      <c r="AD264" s="75"/>
      <c r="AE264" s="75"/>
      <c r="AF264" s="75"/>
      <c r="AG264" s="75"/>
      <c r="AH264" s="75"/>
      <c r="AI264" s="79" t="n">
        <v>1809</v>
      </c>
      <c r="AJ264" s="75"/>
      <c r="AK264" s="75"/>
      <c r="AL264" s="76"/>
      <c r="AM264" s="56" t="s">
        <v>20</v>
      </c>
      <c r="AN264" s="80" t="n">
        <f aca="false">IF(L264=0,0,Z264/L264)</f>
        <v>0.417020138683978</v>
      </c>
      <c r="AO264" s="81" t="str">
        <f aca="false">IF(AN264="","",IF(AN264&gt;=0.9,"🟢",IF(AN264&gt;=0.7,"🟡",IF(AN264&gt;=0.5,"🟠","🔴"))))</f>
        <v>🔴</v>
      </c>
      <c r="AP264" s="82" t="n">
        <f aca="false">IF(L264=0,0,L264-Z264)</f>
        <v>2528.92</v>
      </c>
      <c r="AQ264" s="83" t="n">
        <f aca="false">IF(AP264=0,"",RANK(AP264,AP$4:AP$503,0))</f>
        <v>239</v>
      </c>
      <c r="AR264" s="84" t="s">
        <v>20</v>
      </c>
      <c r="AS264" s="141"/>
      <c r="AT264" s="141"/>
      <c r="AU264" s="141"/>
      <c r="AV264" s="141"/>
      <c r="AW264" s="141"/>
      <c r="AX264" s="141"/>
      <c r="AY264" s="142"/>
      <c r="AZ264" s="142"/>
      <c r="BA264" s="56" t="s">
        <v>20</v>
      </c>
      <c r="BB264" s="91" t="n">
        <f aca="false">SUM(L$4:L$503)/COUNTA(A$4:A$503)</f>
        <v>9494.39992</v>
      </c>
      <c r="BC264" s="92" t="n">
        <f aca="false">SUM(M$4:M$503)/COUNTA(A$4:A$503)</f>
        <v>667.20008</v>
      </c>
      <c r="BD264" s="92" t="n">
        <f aca="false">SUM(N$4:N$503)/COUNTA(A$4:A$503)</f>
        <v>697.19996</v>
      </c>
      <c r="BE264" s="92" t="n">
        <f aca="false">SUM(O$4:O$503)/COUNTA(A$4:A$503)</f>
        <v>713.9999</v>
      </c>
      <c r="BF264" s="92" t="n">
        <f aca="false">SUM(P$4:P$503)/COUNTA(A$4:A$503)</f>
        <v>732.59984</v>
      </c>
      <c r="BG264" s="92" t="n">
        <f aca="false">SUM(Q$4:Q$503)/COUNTA(A$4:A$503)</f>
        <v>756.59992</v>
      </c>
      <c r="BH264" s="92" t="n">
        <f aca="false">SUM(R$4:R$503)/COUNTA(A$4:A$503)</f>
        <v>776.40004</v>
      </c>
      <c r="BI264" s="92" t="n">
        <f aca="false">SUM(S$4:S$503)/COUNTA(A$4:A$503)</f>
        <v>806.40012</v>
      </c>
      <c r="BJ264" s="92" t="n">
        <f aca="false">SUM(T$4:T$503)/COUNTA(A$4:A$503)</f>
        <v>826.1999</v>
      </c>
      <c r="BK264" s="92" t="n">
        <f aca="false">SUM(U$4:U$503)/COUNTA(A$4:A$503)</f>
        <v>844.8002</v>
      </c>
      <c r="BL264" s="92" t="n">
        <f aca="false">SUM(V$4:V$503)/COUNTA(A$4:A$503)</f>
        <v>865.7998</v>
      </c>
      <c r="BM264" s="92" t="n">
        <f aca="false">SUM(W$4:W$503)/COUNTA(A$4:A$503)</f>
        <v>888.59982</v>
      </c>
      <c r="BN264" s="93" t="n">
        <f aca="false">SUM(X$4:X$503)/COUNTA(A$4:A$503)</f>
        <v>918.60034</v>
      </c>
      <c r="BO264" s="94" t="s">
        <v>20</v>
      </c>
      <c r="BP264" s="91" t="n">
        <f aca="false">IF(Z264&gt;=BB264,0,IFERROR(BB264+(SUMPRODUCT((Z$4:Z$503&gt;=BB$4:BB$503)*(Z$4:Z$503-BB$4:BB$503))/MAX(1,COUNTIF(Z$4:Z$503,"&lt;"&amp;BB264+0.01))),BB264))</f>
        <v>10695.5432177778</v>
      </c>
      <c r="BQ264" s="92" t="n">
        <f aca="false">IF(AA264&gt;=BC264,0,IFERROR(BC264+SUMPRODUCT((AA$4:AA$503&gt;=BC$4:BC$503)*(AA$4:AA$503-BC$4:BC$503))/MAX(1,COUNTIF(AA$4:AA$503,"&lt;"&amp;BC264+0.01)),BC264))</f>
        <v>2238.46589176471</v>
      </c>
      <c r="BR264" s="92" t="n">
        <f aca="false">IF(AB264&gt;=BD264,0,IFERROR(BD264+SUMPRODUCT((AB$4:AB$503&gt;=BD$4:BD$503)*(AB$4:AB$503-BD$4:BD$503))/MAX(1,COUNTIF(AB$4:AB$503,"&lt;"&amp;BD264+0.01)),BD264))</f>
        <v>3335.2938</v>
      </c>
      <c r="BS264" s="92" t="n">
        <f aca="false">IF(AC264&gt;=BE264,0,IFERROR(BE264+SUMPRODUCT((AC$4:AC$503&gt;=BE$4:BE$503)*(AC$4:AC$503-BE$4:BE$503))/MAX(1,COUNTIF(AC$4:AC$503,"&lt;"&amp;BE264+0.01)),BE264))</f>
        <v>6188.73352</v>
      </c>
      <c r="BT264" s="92" t="n">
        <f aca="false">IF(AD264&gt;=BF264,0,IFERROR(BF264+SUMPRODUCT((AD$4:AD$503&gt;=BF$4:BF$503)*(AD$4:AD$503-BF$4:BF$503))/MAX(1,COUNTIF(AD$4:AD$503,"&lt;"&amp;BF264+0.01)),BF264))</f>
        <v>11354.35411</v>
      </c>
      <c r="BU264" s="92" t="n">
        <f aca="false">IF(AE264&gt;=BG264,0,IFERROR(BG264+SUMPRODUCT((AE$4:AE$503&gt;=BG$4:BG$503)*(AE$4:AE$503-BG$4:BG$503))/MAX(1,COUNTIF(AE$4:AE$503,"&lt;"&amp;BG264+0.01)),BG264))</f>
        <v>7704.85920380952</v>
      </c>
      <c r="BV264" s="92" t="n">
        <f aca="false">IF(AF264&gt;=BH264,0,IFERROR(BH264+SUMPRODUCT((AF$4:AF$503&gt;=BH$4:BH$503)*(AF$4:AF$503-BH$4:BH$503))/MAX(1,COUNTIF(AF$4:AF$503,"&lt;"&amp;BH264+0.01)),BH264))</f>
        <v>9942.6503831579</v>
      </c>
      <c r="BW264" s="92" t="n">
        <f aca="false">IF(AG264&gt;=BI264,0,IFERROR(BI264+SUMPRODUCT((AG$4:AG$503&gt;=BI$4:BI$503)*(AG$4:AG$503-BI$4:BI$503))/MAX(1,COUNTIF(AG$4:AG$503,"&lt;"&amp;BI264+0.01)),BI264))</f>
        <v>9142.15870461538</v>
      </c>
      <c r="BX264" s="92" t="n">
        <f aca="false">IF(AH264&gt;=BJ264,0,IFERROR(BJ264+SUMPRODUCT((AH$4:AH$503&gt;=BJ$4:BJ$503)*(AH$4:AH$503-BJ$4:BJ$503))/MAX(1,COUNTIF(AH$4:AH$503,"&lt;"&amp;BJ264+0.01)),BJ264))</f>
        <v>5621.50263448276</v>
      </c>
      <c r="BY264" s="92" t="n">
        <f aca="false">IF(AI264&gt;=BK264,0,IFERROR(BK264+SUMPRODUCT((AI$4:AI$503&gt;=BK$4:BK$503)*(AI$4:AI$503-BK$4:BK$503))/MAX(1,COUNTIF(AI$4:AI$503,"&lt;"&amp;BK264+0.01)),BK264))</f>
        <v>0</v>
      </c>
      <c r="BZ264" s="92" t="n">
        <f aca="false">IF(AJ264&gt;=BL264,0,IFERROR(BL264+SUMPRODUCT((AJ$4:AJ$503&gt;=BL$4:BL$503)*(AJ$4:AJ$503-BL$4:BL$503))/MAX(1,COUNTIF(AJ$4:AJ$503,"&lt;"&amp;BL264+0.01)),BL264))</f>
        <v>6710.03292307692</v>
      </c>
      <c r="CA264" s="92" t="n">
        <f aca="false">IF(AK264&gt;=BM264,0,IFERROR(BM264+SUMPRODUCT((AK$4:AK$503&gt;=BM$4:BM$503)*(AK$4:AK$503-BM$4:BM$503))/MAX(1,COUNTIF(AK$4:AK$503,"&lt;"&amp;BM264+0.01)),BM264))</f>
        <v>7314.89836842105</v>
      </c>
      <c r="CB264" s="93" t="n">
        <f aca="false">IF(AL264&gt;=BN264,0,IFERROR(BN264+SUMPRODUCT((AL$4:AL$503&gt;=BN$4:BN$503)*(AL$4:AL$503-BN$4:BN$503))/MAX(1,COUNTIF(AL$4:AL$503,"&lt;"&amp;BN264+0.01)),BN264))</f>
        <v>3597.2614925</v>
      </c>
      <c r="CC264" s="95" t="str">
        <f aca="false">IF(AO264="🟢","VERDE",IF(AO264="🟡","AMARELO",IF(AO264="🟠","VERMELHO",IF(AO264="🔴","VERMELHO","ROXO"))))</f>
        <v>VERMELHO</v>
      </c>
      <c r="CD264" s="96" t="s">
        <v>103</v>
      </c>
      <c r="CE264" s="96" t="s">
        <v>104</v>
      </c>
    </row>
    <row r="265" customFormat="false" ht="14.25" hidden="false" customHeight="true" outlineLevel="0" collapsed="false">
      <c r="A265" s="65" t="s">
        <v>664</v>
      </c>
      <c r="B265" s="66" t="s">
        <v>665</v>
      </c>
      <c r="C265" s="67" t="s">
        <v>118</v>
      </c>
      <c r="D265" s="68" t="s">
        <v>100</v>
      </c>
      <c r="E265" s="69" t="s">
        <v>119</v>
      </c>
      <c r="F265" s="70" t="n">
        <f aca="false">IFERROR(VLOOKUP(C265,$AS$3:$AT$10,2,FALSE()),IFERROR(VLOOKUP(C265,$AS$15:$AT$22,2,FALSE()),""))</f>
        <v>42</v>
      </c>
      <c r="G265" s="71" t="n">
        <f aca="false">IFERROR(VLOOKUP(C265,$AS$3:$AX$10,6,FALSE()),IFERROR(VLOOKUP(C265,$AS$15:$AX$22,6,FALSE()),""))</f>
        <v>0.424872083346704</v>
      </c>
      <c r="H265" s="72" t="str">
        <f aca="false">IFERROR(VLOOKUP(C265,$AS$3:$AY$10,7,FALSE()),IFERROR(VLOOKUP(C265,$AS$15:$AY$22,7,FALSE()),""))</f>
        <v>🟡 AMARELO</v>
      </c>
      <c r="I265" s="72" t="str">
        <f aca="false">IFERROR(VLOOKUP(C265,$AS$3:$AZ$10,8,FALSE()),IFERROR(VLOOKUP(C265,$AS$15:$AZ$22,8,FALSE()),""))</f>
        <v>Sell Out</v>
      </c>
      <c r="J265" s="73"/>
      <c r="K265" s="69" t="s">
        <v>118</v>
      </c>
      <c r="L265" s="74" t="n">
        <v>4326.74</v>
      </c>
      <c r="M265" s="75" t="n">
        <v>304.05</v>
      </c>
      <c r="N265" s="75" t="n">
        <v>317.72</v>
      </c>
      <c r="O265" s="75" t="n">
        <v>325.38</v>
      </c>
      <c r="P265" s="75" t="n">
        <v>333.86</v>
      </c>
      <c r="Q265" s="75" t="n">
        <v>344.79</v>
      </c>
      <c r="R265" s="75" t="n">
        <v>353.82</v>
      </c>
      <c r="S265" s="75" t="n">
        <v>367.49</v>
      </c>
      <c r="T265" s="75" t="n">
        <v>376.51</v>
      </c>
      <c r="U265" s="75" t="n">
        <v>384.99</v>
      </c>
      <c r="V265" s="75" t="n">
        <v>394.56</v>
      </c>
      <c r="W265" s="75" t="n">
        <v>404.95</v>
      </c>
      <c r="X265" s="76" t="n">
        <v>418.62</v>
      </c>
      <c r="Y265" s="77" t="s">
        <v>20</v>
      </c>
      <c r="Z265" s="78" t="n">
        <f aca="false">SUM(AA265:AL265)</f>
        <v>1690</v>
      </c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107" t="n">
        <v>1690</v>
      </c>
      <c r="AM265" s="56" t="s">
        <v>20</v>
      </c>
      <c r="AN265" s="80" t="n">
        <f aca="false">IF(L265=0,0,Z265/L265)</f>
        <v>0.390594304256785</v>
      </c>
      <c r="AO265" s="81" t="str">
        <f aca="false">IF(AN265="","",IF(AN265&gt;=0.9,"🟢",IF(AN265&gt;=0.7,"🟡",IF(AN265&gt;=0.5,"🟠","🔴"))))</f>
        <v>🔴</v>
      </c>
      <c r="AP265" s="82" t="n">
        <f aca="false">IF(L265=0,0,L265-Z265)</f>
        <v>2636.74</v>
      </c>
      <c r="AQ265" s="83" t="n">
        <f aca="false">IF(AP265=0,"",RANK(AP265,AP$4:AP$503,0))</f>
        <v>232</v>
      </c>
      <c r="AR265" s="84" t="s">
        <v>20</v>
      </c>
      <c r="AS265" s="141"/>
      <c r="AT265" s="141"/>
      <c r="AU265" s="141"/>
      <c r="AV265" s="141"/>
      <c r="AW265" s="141"/>
      <c r="AX265" s="141"/>
      <c r="AY265" s="142"/>
      <c r="AZ265" s="142"/>
      <c r="BA265" s="56" t="s">
        <v>20</v>
      </c>
      <c r="BB265" s="91" t="n">
        <f aca="false">SUM(L$4:L$503)/COUNTA(A$4:A$503)</f>
        <v>9494.39992</v>
      </c>
      <c r="BC265" s="92" t="n">
        <f aca="false">SUM(M$4:M$503)/COUNTA(A$4:A$503)</f>
        <v>667.20008</v>
      </c>
      <c r="BD265" s="92" t="n">
        <f aca="false">SUM(N$4:N$503)/COUNTA(A$4:A$503)</f>
        <v>697.19996</v>
      </c>
      <c r="BE265" s="92" t="n">
        <f aca="false">SUM(O$4:O$503)/COUNTA(A$4:A$503)</f>
        <v>713.9999</v>
      </c>
      <c r="BF265" s="92" t="n">
        <f aca="false">SUM(P$4:P$503)/COUNTA(A$4:A$503)</f>
        <v>732.59984</v>
      </c>
      <c r="BG265" s="92" t="n">
        <f aca="false">SUM(Q$4:Q$503)/COUNTA(A$4:A$503)</f>
        <v>756.59992</v>
      </c>
      <c r="BH265" s="92" t="n">
        <f aca="false">SUM(R$4:R$503)/COUNTA(A$4:A$503)</f>
        <v>776.40004</v>
      </c>
      <c r="BI265" s="92" t="n">
        <f aca="false">SUM(S$4:S$503)/COUNTA(A$4:A$503)</f>
        <v>806.40012</v>
      </c>
      <c r="BJ265" s="92" t="n">
        <f aca="false">SUM(T$4:T$503)/COUNTA(A$4:A$503)</f>
        <v>826.1999</v>
      </c>
      <c r="BK265" s="92" t="n">
        <f aca="false">SUM(U$4:U$503)/COUNTA(A$4:A$503)</f>
        <v>844.8002</v>
      </c>
      <c r="BL265" s="92" t="n">
        <f aca="false">SUM(V$4:V$503)/COUNTA(A$4:A$503)</f>
        <v>865.7998</v>
      </c>
      <c r="BM265" s="92" t="n">
        <f aca="false">SUM(W$4:W$503)/COUNTA(A$4:A$503)</f>
        <v>888.59982</v>
      </c>
      <c r="BN265" s="93" t="n">
        <f aca="false">SUM(X$4:X$503)/COUNTA(A$4:A$503)</f>
        <v>918.60034</v>
      </c>
      <c r="BO265" s="94" t="s">
        <v>20</v>
      </c>
      <c r="BP265" s="91" t="n">
        <f aca="false">IF(Z265&gt;=BB265,0,IFERROR(BB265+(SUMPRODUCT((Z$4:Z$503&gt;=BB$4:BB$503)*(Z$4:Z$503-BB$4:BB$503))/MAX(1,COUNTIF(Z$4:Z$503,"&lt;"&amp;BB265+0.01))),BB265))</f>
        <v>10695.5432177778</v>
      </c>
      <c r="BQ265" s="92" t="n">
        <f aca="false">IF(AA265&gt;=BC265,0,IFERROR(BC265+SUMPRODUCT((AA$4:AA$503&gt;=BC$4:BC$503)*(AA$4:AA$503-BC$4:BC$503))/MAX(1,COUNTIF(AA$4:AA$503,"&lt;"&amp;BC265+0.01)),BC265))</f>
        <v>2238.46589176471</v>
      </c>
      <c r="BR265" s="92" t="n">
        <f aca="false">IF(AB265&gt;=BD265,0,IFERROR(BD265+SUMPRODUCT((AB$4:AB$503&gt;=BD$4:BD$503)*(AB$4:AB$503-BD$4:BD$503))/MAX(1,COUNTIF(AB$4:AB$503,"&lt;"&amp;BD265+0.01)),BD265))</f>
        <v>3335.2938</v>
      </c>
      <c r="BS265" s="92" t="n">
        <f aca="false">IF(AC265&gt;=BE265,0,IFERROR(BE265+SUMPRODUCT((AC$4:AC$503&gt;=BE$4:BE$503)*(AC$4:AC$503-BE$4:BE$503))/MAX(1,COUNTIF(AC$4:AC$503,"&lt;"&amp;BE265+0.01)),BE265))</f>
        <v>6188.73352</v>
      </c>
      <c r="BT265" s="92" t="n">
        <f aca="false">IF(AD265&gt;=BF265,0,IFERROR(BF265+SUMPRODUCT((AD$4:AD$503&gt;=BF$4:BF$503)*(AD$4:AD$503-BF$4:BF$503))/MAX(1,COUNTIF(AD$4:AD$503,"&lt;"&amp;BF265+0.01)),BF265))</f>
        <v>11354.35411</v>
      </c>
      <c r="BU265" s="92" t="n">
        <f aca="false">IF(AE265&gt;=BG265,0,IFERROR(BG265+SUMPRODUCT((AE$4:AE$503&gt;=BG$4:BG$503)*(AE$4:AE$503-BG$4:BG$503))/MAX(1,COUNTIF(AE$4:AE$503,"&lt;"&amp;BG265+0.01)),BG265))</f>
        <v>7704.85920380952</v>
      </c>
      <c r="BV265" s="92" t="n">
        <f aca="false">IF(AF265&gt;=BH265,0,IFERROR(BH265+SUMPRODUCT((AF$4:AF$503&gt;=BH$4:BH$503)*(AF$4:AF$503-BH$4:BH$503))/MAX(1,COUNTIF(AF$4:AF$503,"&lt;"&amp;BH265+0.01)),BH265))</f>
        <v>9942.6503831579</v>
      </c>
      <c r="BW265" s="92" t="n">
        <f aca="false">IF(AG265&gt;=BI265,0,IFERROR(BI265+SUMPRODUCT((AG$4:AG$503&gt;=BI$4:BI$503)*(AG$4:AG$503-BI$4:BI$503))/MAX(1,COUNTIF(AG$4:AG$503,"&lt;"&amp;BI265+0.01)),BI265))</f>
        <v>9142.15870461538</v>
      </c>
      <c r="BX265" s="92" t="n">
        <f aca="false">IF(AH265&gt;=BJ265,0,IFERROR(BJ265+SUMPRODUCT((AH$4:AH$503&gt;=BJ$4:BJ$503)*(AH$4:AH$503-BJ$4:BJ$503))/MAX(1,COUNTIF(AH$4:AH$503,"&lt;"&amp;BJ265+0.01)),BJ265))</f>
        <v>5621.50263448276</v>
      </c>
      <c r="BY265" s="92" t="n">
        <f aca="false">IF(AI265&gt;=BK265,0,IFERROR(BK265+SUMPRODUCT((AI$4:AI$503&gt;=BK$4:BK$503)*(AI$4:AI$503-BK$4:BK$503))/MAX(1,COUNTIF(AI$4:AI$503,"&lt;"&amp;BK265+0.01)),BK265))</f>
        <v>7878.25652380952</v>
      </c>
      <c r="BZ265" s="92" t="n">
        <f aca="false">IF(AJ265&gt;=BL265,0,IFERROR(BL265+SUMPRODUCT((AJ$4:AJ$503&gt;=BL$4:BL$503)*(AJ$4:AJ$503-BL$4:BL$503))/MAX(1,COUNTIF(AJ$4:AJ$503,"&lt;"&amp;BL265+0.01)),BL265))</f>
        <v>6710.03292307692</v>
      </c>
      <c r="CA265" s="92" t="n">
        <f aca="false">IF(AK265&gt;=BM265,0,IFERROR(BM265+SUMPRODUCT((AK$4:AK$503&gt;=BM$4:BM$503)*(AK$4:AK$503-BM$4:BM$503))/MAX(1,COUNTIF(AK$4:AK$503,"&lt;"&amp;BM265+0.01)),BM265))</f>
        <v>7314.89836842105</v>
      </c>
      <c r="CB265" s="93" t="n">
        <f aca="false">IF(AL265&gt;=BN265,0,IFERROR(BN265+SUMPRODUCT((AL$4:AL$503&gt;=BN$4:BN$503)*(AL$4:AL$503-BN$4:BN$503))/MAX(1,COUNTIF(AL$4:AL$503,"&lt;"&amp;BN265+0.01)),BN265))</f>
        <v>0</v>
      </c>
      <c r="CC265" s="95" t="str">
        <f aca="false">IF(AO265="🟢","VERDE",IF(AO265="🟡","AMARELO",IF(AO265="🟠","VERMELHO",IF(AO265="🔴","VERMELHO","ROXO"))))</f>
        <v>VERMELHO</v>
      </c>
      <c r="CD265" s="96" t="s">
        <v>103</v>
      </c>
      <c r="CE265" s="96" t="s">
        <v>104</v>
      </c>
    </row>
    <row r="266" customFormat="false" ht="14.25" hidden="false" customHeight="true" outlineLevel="0" collapsed="false">
      <c r="A266" s="65" t="s">
        <v>666</v>
      </c>
      <c r="B266" s="66" t="s">
        <v>667</v>
      </c>
      <c r="C266" s="67" t="s">
        <v>99</v>
      </c>
      <c r="D266" s="68" t="s">
        <v>100</v>
      </c>
      <c r="E266" s="69" t="s">
        <v>101</v>
      </c>
      <c r="F266" s="70" t="n">
        <f aca="false">IFERROR(VLOOKUP(C266,$AS$3:$AT$10,2,FALSE()),IFERROR(VLOOKUP(C266,$AS$15:$AT$22,2,FALSE()),""))</f>
        <v>33</v>
      </c>
      <c r="G266" s="71" t="n">
        <f aca="false">IFERROR(VLOOKUP(C266,$AS$3:$AX$10,6,FALSE()),IFERROR(VLOOKUP(C266,$AS$15:$AX$22,6,FALSE()),""))</f>
        <v>0.341494038351172</v>
      </c>
      <c r="H266" s="72" t="str">
        <f aca="false">IFERROR(VLOOKUP(C266,$AS$3:$AY$10,7,FALSE()),IFERROR(VLOOKUP(C266,$AS$15:$AY$22,7,FALSE()),""))</f>
        <v>🔴 VERMELHO</v>
      </c>
      <c r="I266" s="72" t="str">
        <f aca="false">IFERROR(VLOOKUP(C266,$AS$3:$AZ$10,8,FALSE()),IFERROR(VLOOKUP(C266,$AS$15:$AZ$22,8,FALSE()),""))</f>
        <v>Positivação + Expandir</v>
      </c>
      <c r="J266" s="73"/>
      <c r="K266" s="69" t="s">
        <v>99</v>
      </c>
      <c r="L266" s="74" t="n">
        <v>4311.76</v>
      </c>
      <c r="M266" s="75" t="n">
        <v>303</v>
      </c>
      <c r="N266" s="75" t="n">
        <v>316.62</v>
      </c>
      <c r="O266" s="75" t="n">
        <v>324.25</v>
      </c>
      <c r="P266" s="75" t="n">
        <v>332.7</v>
      </c>
      <c r="Q266" s="75" t="n">
        <v>343.6</v>
      </c>
      <c r="R266" s="75" t="n">
        <v>352.59</v>
      </c>
      <c r="S266" s="75" t="n">
        <v>366.22</v>
      </c>
      <c r="T266" s="75" t="n">
        <v>375.21</v>
      </c>
      <c r="U266" s="75" t="n">
        <v>383.66</v>
      </c>
      <c r="V266" s="75" t="n">
        <v>393.19</v>
      </c>
      <c r="W266" s="75" t="n">
        <v>403.55</v>
      </c>
      <c r="X266" s="76" t="n">
        <v>417.17</v>
      </c>
      <c r="Y266" s="77" t="s">
        <v>20</v>
      </c>
      <c r="Z266" s="78" t="n">
        <f aca="false">SUM(AA266:AL266)</f>
        <v>2048.08</v>
      </c>
      <c r="AA266" s="75"/>
      <c r="AB266" s="75"/>
      <c r="AC266" s="79" t="n">
        <v>1391.63</v>
      </c>
      <c r="AD266" s="75"/>
      <c r="AE266" s="75"/>
      <c r="AF266" s="75"/>
      <c r="AG266" s="75"/>
      <c r="AH266" s="75"/>
      <c r="AI266" s="75"/>
      <c r="AJ266" s="75"/>
      <c r="AK266" s="75"/>
      <c r="AL266" s="107" t="n">
        <v>656.45</v>
      </c>
      <c r="AM266" s="56" t="s">
        <v>20</v>
      </c>
      <c r="AN266" s="80" t="n">
        <f aca="false">IF(L266=0,0,Z266/L266)</f>
        <v>0.474998608456871</v>
      </c>
      <c r="AO266" s="81" t="str">
        <f aca="false">IF(AN266="","",IF(AN266&gt;=0.9,"🟢",IF(AN266&gt;=0.7,"🟡",IF(AN266&gt;=0.5,"🟠","🔴"))))</f>
        <v>🔴</v>
      </c>
      <c r="AP266" s="82" t="n">
        <f aca="false">IF(L266=0,0,L266-Z266)</f>
        <v>2263.68</v>
      </c>
      <c r="AQ266" s="83" t="n">
        <f aca="false">IF(AP266=0,"",RANK(AP266,AP$4:AP$503,0))</f>
        <v>252</v>
      </c>
      <c r="AR266" s="84" t="s">
        <v>20</v>
      </c>
      <c r="AS266" s="141"/>
      <c r="AT266" s="141"/>
      <c r="AU266" s="141"/>
      <c r="AV266" s="141"/>
      <c r="AW266" s="141"/>
      <c r="AX266" s="141"/>
      <c r="AY266" s="142"/>
      <c r="AZ266" s="142"/>
      <c r="BA266" s="56" t="s">
        <v>20</v>
      </c>
      <c r="BB266" s="91" t="n">
        <f aca="false">SUM(L$4:L$503)/COUNTA(A$4:A$503)</f>
        <v>9494.39992</v>
      </c>
      <c r="BC266" s="92" t="n">
        <f aca="false">SUM(M$4:M$503)/COUNTA(A$4:A$503)</f>
        <v>667.20008</v>
      </c>
      <c r="BD266" s="92" t="n">
        <f aca="false">SUM(N$4:N$503)/COUNTA(A$4:A$503)</f>
        <v>697.19996</v>
      </c>
      <c r="BE266" s="92" t="n">
        <f aca="false">SUM(O$4:O$503)/COUNTA(A$4:A$503)</f>
        <v>713.9999</v>
      </c>
      <c r="BF266" s="92" t="n">
        <f aca="false">SUM(P$4:P$503)/COUNTA(A$4:A$503)</f>
        <v>732.59984</v>
      </c>
      <c r="BG266" s="92" t="n">
        <f aca="false">SUM(Q$4:Q$503)/COUNTA(A$4:A$503)</f>
        <v>756.59992</v>
      </c>
      <c r="BH266" s="92" t="n">
        <f aca="false">SUM(R$4:R$503)/COUNTA(A$4:A$503)</f>
        <v>776.40004</v>
      </c>
      <c r="BI266" s="92" t="n">
        <f aca="false">SUM(S$4:S$503)/COUNTA(A$4:A$503)</f>
        <v>806.40012</v>
      </c>
      <c r="BJ266" s="92" t="n">
        <f aca="false">SUM(T$4:T$503)/COUNTA(A$4:A$503)</f>
        <v>826.1999</v>
      </c>
      <c r="BK266" s="92" t="n">
        <f aca="false">SUM(U$4:U$503)/COUNTA(A$4:A$503)</f>
        <v>844.8002</v>
      </c>
      <c r="BL266" s="92" t="n">
        <f aca="false">SUM(V$4:V$503)/COUNTA(A$4:A$503)</f>
        <v>865.7998</v>
      </c>
      <c r="BM266" s="92" t="n">
        <f aca="false">SUM(W$4:W$503)/COUNTA(A$4:A$503)</f>
        <v>888.59982</v>
      </c>
      <c r="BN266" s="93" t="n">
        <f aca="false">SUM(X$4:X$503)/COUNTA(A$4:A$503)</f>
        <v>918.60034</v>
      </c>
      <c r="BO266" s="94" t="s">
        <v>20</v>
      </c>
      <c r="BP266" s="91" t="n">
        <f aca="false">IF(Z266&gt;=BB266,0,IFERROR(BB266+(SUMPRODUCT((Z$4:Z$503&gt;=BB$4:BB$503)*(Z$4:Z$503-BB$4:BB$503))/MAX(1,COUNTIF(Z$4:Z$503,"&lt;"&amp;BB266+0.01))),BB266))</f>
        <v>10695.5432177778</v>
      </c>
      <c r="BQ266" s="92" t="n">
        <f aca="false">IF(AA266&gt;=BC266,0,IFERROR(BC266+SUMPRODUCT((AA$4:AA$503&gt;=BC$4:BC$503)*(AA$4:AA$503-BC$4:BC$503))/MAX(1,COUNTIF(AA$4:AA$503,"&lt;"&amp;BC266+0.01)),BC266))</f>
        <v>2238.46589176471</v>
      </c>
      <c r="BR266" s="92" t="n">
        <f aca="false">IF(AB266&gt;=BD266,0,IFERROR(BD266+SUMPRODUCT((AB$4:AB$503&gt;=BD$4:BD$503)*(AB$4:AB$503-BD$4:BD$503))/MAX(1,COUNTIF(AB$4:AB$503,"&lt;"&amp;BD266+0.01)),BD266))</f>
        <v>3335.2938</v>
      </c>
      <c r="BS266" s="92" t="n">
        <f aca="false">IF(AC266&gt;=BE266,0,IFERROR(BE266+SUMPRODUCT((AC$4:AC$503&gt;=BE$4:BE$503)*(AC$4:AC$503-BE$4:BE$503))/MAX(1,COUNTIF(AC$4:AC$503,"&lt;"&amp;BE266+0.01)),BE266))</f>
        <v>0</v>
      </c>
      <c r="BT266" s="92" t="n">
        <f aca="false">IF(AD266&gt;=BF266,0,IFERROR(BF266+SUMPRODUCT((AD$4:AD$503&gt;=BF$4:BF$503)*(AD$4:AD$503-BF$4:BF$503))/MAX(1,COUNTIF(AD$4:AD$503,"&lt;"&amp;BF266+0.01)),BF266))</f>
        <v>11354.35411</v>
      </c>
      <c r="BU266" s="92" t="n">
        <f aca="false">IF(AE266&gt;=BG266,0,IFERROR(BG266+SUMPRODUCT((AE$4:AE$503&gt;=BG$4:BG$503)*(AE$4:AE$503-BG$4:BG$503))/MAX(1,COUNTIF(AE$4:AE$503,"&lt;"&amp;BG266+0.01)),BG266))</f>
        <v>7704.85920380952</v>
      </c>
      <c r="BV266" s="92" t="n">
        <f aca="false">IF(AF266&gt;=BH266,0,IFERROR(BH266+SUMPRODUCT((AF$4:AF$503&gt;=BH$4:BH$503)*(AF$4:AF$503-BH$4:BH$503))/MAX(1,COUNTIF(AF$4:AF$503,"&lt;"&amp;BH266+0.01)),BH266))</f>
        <v>9942.6503831579</v>
      </c>
      <c r="BW266" s="92" t="n">
        <f aca="false">IF(AG266&gt;=BI266,0,IFERROR(BI266+SUMPRODUCT((AG$4:AG$503&gt;=BI$4:BI$503)*(AG$4:AG$503-BI$4:BI$503))/MAX(1,COUNTIF(AG$4:AG$503,"&lt;"&amp;BI266+0.01)),BI266))</f>
        <v>9142.15870461538</v>
      </c>
      <c r="BX266" s="92" t="n">
        <f aca="false">IF(AH266&gt;=BJ266,0,IFERROR(BJ266+SUMPRODUCT((AH$4:AH$503&gt;=BJ$4:BJ$503)*(AH$4:AH$503-BJ$4:BJ$503))/MAX(1,COUNTIF(AH$4:AH$503,"&lt;"&amp;BJ266+0.01)),BJ266))</f>
        <v>5621.50263448276</v>
      </c>
      <c r="BY266" s="92" t="n">
        <f aca="false">IF(AI266&gt;=BK266,0,IFERROR(BK266+SUMPRODUCT((AI$4:AI$503&gt;=BK$4:BK$503)*(AI$4:AI$503-BK$4:BK$503))/MAX(1,COUNTIF(AI$4:AI$503,"&lt;"&amp;BK266+0.01)),BK266))</f>
        <v>7878.25652380952</v>
      </c>
      <c r="BZ266" s="92" t="n">
        <f aca="false">IF(AJ266&gt;=BL266,0,IFERROR(BL266+SUMPRODUCT((AJ$4:AJ$503&gt;=BL$4:BL$503)*(AJ$4:AJ$503-BL$4:BL$503))/MAX(1,COUNTIF(AJ$4:AJ$503,"&lt;"&amp;BL266+0.01)),BL266))</f>
        <v>6710.03292307692</v>
      </c>
      <c r="CA266" s="92" t="n">
        <f aca="false">IF(AK266&gt;=BM266,0,IFERROR(BM266+SUMPRODUCT((AK$4:AK$503&gt;=BM$4:BM$503)*(AK$4:AK$503-BM$4:BM$503))/MAX(1,COUNTIF(AK$4:AK$503,"&lt;"&amp;BM266+0.01)),BM266))</f>
        <v>7314.89836842105</v>
      </c>
      <c r="CB266" s="93" t="n">
        <f aca="false">IF(AL266&gt;=BN266,0,IFERROR(BN266+SUMPRODUCT((AL$4:AL$503&gt;=BN$4:BN$503)*(AL$4:AL$503-BN$4:BN$503))/MAX(1,COUNTIF(AL$4:AL$503,"&lt;"&amp;BN266+0.01)),BN266))</f>
        <v>3597.2614925</v>
      </c>
      <c r="CC266" s="95" t="str">
        <f aca="false">IF(AO266="🟢","VERDE",IF(AO266="🟡","AMARELO",IF(AO266="🟠","VERMELHO",IF(AO266="🔴","VERMELHO","ROXO"))))</f>
        <v>VERMELHO</v>
      </c>
      <c r="CD266" s="96" t="s">
        <v>103</v>
      </c>
      <c r="CE266" s="96" t="s">
        <v>104</v>
      </c>
    </row>
    <row r="267" customFormat="false" ht="14.25" hidden="false" customHeight="true" outlineLevel="0" collapsed="false">
      <c r="A267" s="65" t="s">
        <v>668</v>
      </c>
      <c r="B267" s="66" t="s">
        <v>669</v>
      </c>
      <c r="C267" s="67" t="s">
        <v>107</v>
      </c>
      <c r="D267" s="68" t="s">
        <v>108</v>
      </c>
      <c r="E267" s="69" t="s">
        <v>139</v>
      </c>
      <c r="F267" s="70" t="n">
        <f aca="false">IFERROR(VLOOKUP(C267,$AS$3:$AT$10,2,FALSE()),IFERROR(VLOOKUP(C267,$AS$15:$AT$22,2,FALSE()),""))</f>
        <v>132</v>
      </c>
      <c r="G267" s="71" t="n">
        <f aca="false">IFERROR(VLOOKUP(C267,$AS$3:$AX$10,6,FALSE()),IFERROR(VLOOKUP(C267,$AS$15:$AX$22,6,FALSE()),""))</f>
        <v>0.468190175850689</v>
      </c>
      <c r="H267" s="72" t="str">
        <f aca="false">IFERROR(VLOOKUP(C267,$AS$3:$AY$10,7,FALSE()),IFERROR(VLOOKUP(C267,$AS$15:$AY$22,7,FALSE()),""))</f>
        <v>🟡 AMARELO</v>
      </c>
      <c r="I267" s="72" t="str">
        <f aca="false">IFERROR(VLOOKUP(C267,$AS$3:$AZ$10,8,FALSE()),IFERROR(VLOOKUP(C267,$AS$15:$AZ$22,8,FALSE()),""))</f>
        <v>Sell Out</v>
      </c>
      <c r="J267" s="73"/>
      <c r="K267" s="69" t="s">
        <v>107</v>
      </c>
      <c r="L267" s="74" t="n">
        <v>4275.36</v>
      </c>
      <c r="M267" s="75" t="n">
        <v>300.44</v>
      </c>
      <c r="N267" s="75" t="n">
        <v>313.95</v>
      </c>
      <c r="O267" s="75" t="n">
        <v>321.52</v>
      </c>
      <c r="P267" s="75" t="n">
        <v>329.89</v>
      </c>
      <c r="Q267" s="75" t="n">
        <v>340.7</v>
      </c>
      <c r="R267" s="75" t="n">
        <v>349.62</v>
      </c>
      <c r="S267" s="75" t="n">
        <v>363.12</v>
      </c>
      <c r="T267" s="75" t="n">
        <v>372.04</v>
      </c>
      <c r="U267" s="75" t="n">
        <v>380.42</v>
      </c>
      <c r="V267" s="75" t="n">
        <v>389.87</v>
      </c>
      <c r="W267" s="75" t="n">
        <v>400.14</v>
      </c>
      <c r="X267" s="76" t="n">
        <v>413.65</v>
      </c>
      <c r="Y267" s="77" t="s">
        <v>20</v>
      </c>
      <c r="Z267" s="78" t="n">
        <f aca="false">SUM(AA267:AL267)</f>
        <v>1730.84</v>
      </c>
      <c r="AA267" s="79" t="n">
        <v>460.8</v>
      </c>
      <c r="AB267" s="75"/>
      <c r="AC267" s="75"/>
      <c r="AD267" s="79" t="n">
        <v>1270.04</v>
      </c>
      <c r="AE267" s="75"/>
      <c r="AF267" s="75"/>
      <c r="AG267" s="75"/>
      <c r="AH267" s="75"/>
      <c r="AI267" s="75"/>
      <c r="AJ267" s="75"/>
      <c r="AK267" s="75"/>
      <c r="AL267" s="76"/>
      <c r="AM267" s="56" t="s">
        <v>20</v>
      </c>
      <c r="AN267" s="80" t="n">
        <f aca="false">IF(L267=0,0,Z267/L267)</f>
        <v>0.404840761947532</v>
      </c>
      <c r="AO267" s="81" t="str">
        <f aca="false">IF(AN267="","",IF(AN267&gt;=0.9,"🟢",IF(AN267&gt;=0.7,"🟡",IF(AN267&gt;=0.5,"🟠","🔴"))))</f>
        <v>🔴</v>
      </c>
      <c r="AP267" s="82" t="n">
        <f aca="false">IF(L267=0,0,L267-Z267)</f>
        <v>2544.52</v>
      </c>
      <c r="AQ267" s="83" t="n">
        <f aca="false">IF(AP267=0,"",RANK(AP267,AP$4:AP$503,0))</f>
        <v>238</v>
      </c>
      <c r="AR267" s="84" t="s">
        <v>20</v>
      </c>
      <c r="AS267" s="141"/>
      <c r="AT267" s="141"/>
      <c r="AU267" s="141"/>
      <c r="AV267" s="141"/>
      <c r="AW267" s="141"/>
      <c r="AX267" s="141"/>
      <c r="AY267" s="142"/>
      <c r="AZ267" s="142"/>
      <c r="BA267" s="56" t="s">
        <v>20</v>
      </c>
      <c r="BB267" s="91" t="n">
        <f aca="false">SUM(L$4:L$503)/COUNTA(A$4:A$503)</f>
        <v>9494.39992</v>
      </c>
      <c r="BC267" s="92" t="n">
        <f aca="false">SUM(M$4:M$503)/COUNTA(A$4:A$503)</f>
        <v>667.20008</v>
      </c>
      <c r="BD267" s="92" t="n">
        <f aca="false">SUM(N$4:N$503)/COUNTA(A$4:A$503)</f>
        <v>697.19996</v>
      </c>
      <c r="BE267" s="92" t="n">
        <f aca="false">SUM(O$4:O$503)/COUNTA(A$4:A$503)</f>
        <v>713.9999</v>
      </c>
      <c r="BF267" s="92" t="n">
        <f aca="false">SUM(P$4:P$503)/COUNTA(A$4:A$503)</f>
        <v>732.59984</v>
      </c>
      <c r="BG267" s="92" t="n">
        <f aca="false">SUM(Q$4:Q$503)/COUNTA(A$4:A$503)</f>
        <v>756.59992</v>
      </c>
      <c r="BH267" s="92" t="n">
        <f aca="false">SUM(R$4:R$503)/COUNTA(A$4:A$503)</f>
        <v>776.40004</v>
      </c>
      <c r="BI267" s="92" t="n">
        <f aca="false">SUM(S$4:S$503)/COUNTA(A$4:A$503)</f>
        <v>806.40012</v>
      </c>
      <c r="BJ267" s="92" t="n">
        <f aca="false">SUM(T$4:T$503)/COUNTA(A$4:A$503)</f>
        <v>826.1999</v>
      </c>
      <c r="BK267" s="92" t="n">
        <f aca="false">SUM(U$4:U$503)/COUNTA(A$4:A$503)</f>
        <v>844.8002</v>
      </c>
      <c r="BL267" s="92" t="n">
        <f aca="false">SUM(V$4:V$503)/COUNTA(A$4:A$503)</f>
        <v>865.7998</v>
      </c>
      <c r="BM267" s="92" t="n">
        <f aca="false">SUM(W$4:W$503)/COUNTA(A$4:A$503)</f>
        <v>888.59982</v>
      </c>
      <c r="BN267" s="93" t="n">
        <f aca="false">SUM(X$4:X$503)/COUNTA(A$4:A$503)</f>
        <v>918.60034</v>
      </c>
      <c r="BO267" s="94" t="s">
        <v>20</v>
      </c>
      <c r="BP267" s="91" t="n">
        <f aca="false">IF(Z267&gt;=BB267,0,IFERROR(BB267+(SUMPRODUCT((Z$4:Z$503&gt;=BB$4:BB$503)*(Z$4:Z$503-BB$4:BB$503))/MAX(1,COUNTIF(Z$4:Z$503,"&lt;"&amp;BB267+0.01))),BB267))</f>
        <v>10695.5432177778</v>
      </c>
      <c r="BQ267" s="92" t="n">
        <f aca="false">IF(AA267&gt;=BC267,0,IFERROR(BC267+SUMPRODUCT((AA$4:AA$503&gt;=BC$4:BC$503)*(AA$4:AA$503-BC$4:BC$503))/MAX(1,COUNTIF(AA$4:AA$503,"&lt;"&amp;BC267+0.01)),BC267))</f>
        <v>2238.46589176471</v>
      </c>
      <c r="BR267" s="92" t="n">
        <f aca="false">IF(AB267&gt;=BD267,0,IFERROR(BD267+SUMPRODUCT((AB$4:AB$503&gt;=BD$4:BD$503)*(AB$4:AB$503-BD$4:BD$503))/MAX(1,COUNTIF(AB$4:AB$503,"&lt;"&amp;BD267+0.01)),BD267))</f>
        <v>3335.2938</v>
      </c>
      <c r="BS267" s="92" t="n">
        <f aca="false">IF(AC267&gt;=BE267,0,IFERROR(BE267+SUMPRODUCT((AC$4:AC$503&gt;=BE$4:BE$503)*(AC$4:AC$503-BE$4:BE$503))/MAX(1,COUNTIF(AC$4:AC$503,"&lt;"&amp;BE267+0.01)),BE267))</f>
        <v>6188.73352</v>
      </c>
      <c r="BT267" s="92" t="n">
        <f aca="false">IF(AD267&gt;=BF267,0,IFERROR(BF267+SUMPRODUCT((AD$4:AD$503&gt;=BF$4:BF$503)*(AD$4:AD$503-BF$4:BF$503))/MAX(1,COUNTIF(AD$4:AD$503,"&lt;"&amp;BF267+0.01)),BF267))</f>
        <v>0</v>
      </c>
      <c r="BU267" s="92" t="n">
        <f aca="false">IF(AE267&gt;=BG267,0,IFERROR(BG267+SUMPRODUCT((AE$4:AE$503&gt;=BG$4:BG$503)*(AE$4:AE$503-BG$4:BG$503))/MAX(1,COUNTIF(AE$4:AE$503,"&lt;"&amp;BG267+0.01)),BG267))</f>
        <v>7704.85920380952</v>
      </c>
      <c r="BV267" s="92" t="n">
        <f aca="false">IF(AF267&gt;=BH267,0,IFERROR(BH267+SUMPRODUCT((AF$4:AF$503&gt;=BH$4:BH$503)*(AF$4:AF$503-BH$4:BH$503))/MAX(1,COUNTIF(AF$4:AF$503,"&lt;"&amp;BH267+0.01)),BH267))</f>
        <v>9942.6503831579</v>
      </c>
      <c r="BW267" s="92" t="n">
        <f aca="false">IF(AG267&gt;=BI267,0,IFERROR(BI267+SUMPRODUCT((AG$4:AG$503&gt;=BI$4:BI$503)*(AG$4:AG$503-BI$4:BI$503))/MAX(1,COUNTIF(AG$4:AG$503,"&lt;"&amp;BI267+0.01)),BI267))</f>
        <v>9142.15870461538</v>
      </c>
      <c r="BX267" s="92" t="n">
        <f aca="false">IF(AH267&gt;=BJ267,0,IFERROR(BJ267+SUMPRODUCT((AH$4:AH$503&gt;=BJ$4:BJ$503)*(AH$4:AH$503-BJ$4:BJ$503))/MAX(1,COUNTIF(AH$4:AH$503,"&lt;"&amp;BJ267+0.01)),BJ267))</f>
        <v>5621.50263448276</v>
      </c>
      <c r="BY267" s="92" t="n">
        <f aca="false">IF(AI267&gt;=BK267,0,IFERROR(BK267+SUMPRODUCT((AI$4:AI$503&gt;=BK$4:BK$503)*(AI$4:AI$503-BK$4:BK$503))/MAX(1,COUNTIF(AI$4:AI$503,"&lt;"&amp;BK267+0.01)),BK267))</f>
        <v>7878.25652380952</v>
      </c>
      <c r="BZ267" s="92" t="n">
        <f aca="false">IF(AJ267&gt;=BL267,0,IFERROR(BL267+SUMPRODUCT((AJ$4:AJ$503&gt;=BL$4:BL$503)*(AJ$4:AJ$503-BL$4:BL$503))/MAX(1,COUNTIF(AJ$4:AJ$503,"&lt;"&amp;BL267+0.01)),BL267))</f>
        <v>6710.03292307692</v>
      </c>
      <c r="CA267" s="92" t="n">
        <f aca="false">IF(AK267&gt;=BM267,0,IFERROR(BM267+SUMPRODUCT((AK$4:AK$503&gt;=BM$4:BM$503)*(AK$4:AK$503-BM$4:BM$503))/MAX(1,COUNTIF(AK$4:AK$503,"&lt;"&amp;BM267+0.01)),BM267))</f>
        <v>7314.89836842105</v>
      </c>
      <c r="CB267" s="93" t="n">
        <f aca="false">IF(AL267&gt;=BN267,0,IFERROR(BN267+SUMPRODUCT((AL$4:AL$503&gt;=BN$4:BN$503)*(AL$4:AL$503-BN$4:BN$503))/MAX(1,COUNTIF(AL$4:AL$503,"&lt;"&amp;BN267+0.01)),BN267))</f>
        <v>3597.2614925</v>
      </c>
      <c r="CC267" s="95" t="str">
        <f aca="false">IF(AO267="🟢","VERDE",IF(AO267="🟡","AMARELO",IF(AO267="🟠","VERMELHO",IF(AO267="🔴","VERMELHO","ROXO"))))</f>
        <v>VERMELHO</v>
      </c>
      <c r="CD267" s="96" t="s">
        <v>103</v>
      </c>
      <c r="CE267" s="96" t="s">
        <v>104</v>
      </c>
    </row>
    <row r="268" customFormat="false" ht="14.25" hidden="false" customHeight="true" outlineLevel="0" collapsed="false">
      <c r="A268" s="65" t="s">
        <v>670</v>
      </c>
      <c r="B268" s="66" t="s">
        <v>671</v>
      </c>
      <c r="C268" s="67" t="s">
        <v>123</v>
      </c>
      <c r="D268" s="68" t="s">
        <v>108</v>
      </c>
      <c r="E268" s="56" t="s">
        <v>20</v>
      </c>
      <c r="F268" s="70" t="n">
        <f aca="false">IFERROR(VLOOKUP(C268,$AS$3:$AT$10,2,FALSE()),IFERROR(VLOOKUP(C268,$AS$15:$AT$22,2,FALSE()),""))</f>
        <v>49</v>
      </c>
      <c r="G268" s="71" t="n">
        <f aca="false">IFERROR(VLOOKUP(C268,$AS$3:$AX$10,6,FALSE()),IFERROR(VLOOKUP(C268,$AS$15:$AX$22,6,FALSE()),""))</f>
        <v>0.436391353881959</v>
      </c>
      <c r="H268" s="72" t="str">
        <f aca="false">IFERROR(VLOOKUP(C268,$AS$3:$AY$10,7,FALSE()),IFERROR(VLOOKUP(C268,$AS$15:$AY$22,7,FALSE()),""))</f>
        <v>🟡 AMARELO</v>
      </c>
      <c r="I268" s="72" t="str">
        <f aca="false">IFERROR(VLOOKUP(C268,$AS$3:$AZ$10,8,FALSE()),IFERROR(VLOOKUP(C268,$AS$15:$AZ$22,8,FALSE()),""))</f>
        <v>Sell Out</v>
      </c>
      <c r="J268" s="73"/>
      <c r="K268" s="56" t="s">
        <v>20</v>
      </c>
      <c r="L268" s="74" t="n">
        <v>4253.68</v>
      </c>
      <c r="M268" s="75" t="n">
        <v>298.92</v>
      </c>
      <c r="N268" s="75" t="n">
        <v>312.36</v>
      </c>
      <c r="O268" s="75" t="n">
        <v>319.89</v>
      </c>
      <c r="P268" s="75" t="n">
        <v>328.22</v>
      </c>
      <c r="Q268" s="75" t="n">
        <v>338.97</v>
      </c>
      <c r="R268" s="75" t="n">
        <v>347.84</v>
      </c>
      <c r="S268" s="75" t="n">
        <v>361.28</v>
      </c>
      <c r="T268" s="75" t="n">
        <v>370.15</v>
      </c>
      <c r="U268" s="75" t="n">
        <v>378.49</v>
      </c>
      <c r="V268" s="75" t="n">
        <v>387.9</v>
      </c>
      <c r="W268" s="75" t="n">
        <v>398.11</v>
      </c>
      <c r="X268" s="76" t="n">
        <v>411.55</v>
      </c>
      <c r="Y268" s="77" t="s">
        <v>20</v>
      </c>
      <c r="Z268" s="78" t="n">
        <f aca="false">SUM(AA268:AL268)</f>
        <v>4184.58</v>
      </c>
      <c r="AA268" s="75"/>
      <c r="AB268" s="75"/>
      <c r="AC268" s="75"/>
      <c r="AD268" s="75"/>
      <c r="AE268" s="75"/>
      <c r="AF268" s="75"/>
      <c r="AG268" s="75"/>
      <c r="AH268" s="75"/>
      <c r="AI268" s="75"/>
      <c r="AJ268" s="75" t="n">
        <v>2127.96</v>
      </c>
      <c r="AK268" s="75" t="n">
        <v>2056.62</v>
      </c>
      <c r="AL268" s="76"/>
      <c r="AM268" s="56" t="s">
        <v>20</v>
      </c>
      <c r="AN268" s="80" t="n">
        <f aca="false">IF(L268=0,0,Z268/L268)</f>
        <v>0.983755242519418</v>
      </c>
      <c r="AO268" s="81" t="str">
        <f aca="false">IF(AN268="","",IF(AN268&gt;=0.9,"🟢",IF(AN268&gt;=0.7,"🟡",IF(AN268&gt;=0.5,"🟠","🔴"))))</f>
        <v>🟢</v>
      </c>
      <c r="AP268" s="82" t="n">
        <f aca="false">IF(L268=0,0,L268-Z268)</f>
        <v>69.1000000000004</v>
      </c>
      <c r="AQ268" s="83" t="n">
        <f aca="false">IF(AP268=0,"",RANK(AP268,AP$4:AP$503,0))</f>
        <v>478</v>
      </c>
      <c r="AR268" s="84" t="s">
        <v>20</v>
      </c>
      <c r="AS268" s="141"/>
      <c r="AT268" s="141"/>
      <c r="AU268" s="141"/>
      <c r="AV268" s="141"/>
      <c r="AW268" s="141"/>
      <c r="AX268" s="141"/>
      <c r="AY268" s="142"/>
      <c r="AZ268" s="142"/>
      <c r="BA268" s="56" t="s">
        <v>20</v>
      </c>
      <c r="BB268" s="91" t="n">
        <f aca="false">SUM(L$4:L$503)/COUNTA(A$4:A$503)</f>
        <v>9494.39992</v>
      </c>
      <c r="BC268" s="92" t="n">
        <f aca="false">SUM(M$4:M$503)/COUNTA(A$4:A$503)</f>
        <v>667.20008</v>
      </c>
      <c r="BD268" s="92" t="n">
        <f aca="false">SUM(N$4:N$503)/COUNTA(A$4:A$503)</f>
        <v>697.19996</v>
      </c>
      <c r="BE268" s="92" t="n">
        <f aca="false">SUM(O$4:O$503)/COUNTA(A$4:A$503)</f>
        <v>713.9999</v>
      </c>
      <c r="BF268" s="92" t="n">
        <f aca="false">SUM(P$4:P$503)/COUNTA(A$4:A$503)</f>
        <v>732.59984</v>
      </c>
      <c r="BG268" s="92" t="n">
        <f aca="false">SUM(Q$4:Q$503)/COUNTA(A$4:A$503)</f>
        <v>756.59992</v>
      </c>
      <c r="BH268" s="92" t="n">
        <f aca="false">SUM(R$4:R$503)/COUNTA(A$4:A$503)</f>
        <v>776.40004</v>
      </c>
      <c r="BI268" s="92" t="n">
        <f aca="false">SUM(S$4:S$503)/COUNTA(A$4:A$503)</f>
        <v>806.40012</v>
      </c>
      <c r="BJ268" s="92" t="n">
        <f aca="false">SUM(T$4:T$503)/COUNTA(A$4:A$503)</f>
        <v>826.1999</v>
      </c>
      <c r="BK268" s="92" t="n">
        <f aca="false">SUM(U$4:U$503)/COUNTA(A$4:A$503)</f>
        <v>844.8002</v>
      </c>
      <c r="BL268" s="92" t="n">
        <f aca="false">SUM(V$4:V$503)/COUNTA(A$4:A$503)</f>
        <v>865.7998</v>
      </c>
      <c r="BM268" s="92" t="n">
        <f aca="false">SUM(W$4:W$503)/COUNTA(A$4:A$503)</f>
        <v>888.59982</v>
      </c>
      <c r="BN268" s="93" t="n">
        <f aca="false">SUM(X$4:X$503)/COUNTA(A$4:A$503)</f>
        <v>918.60034</v>
      </c>
      <c r="BO268" s="94" t="s">
        <v>20</v>
      </c>
      <c r="BP268" s="91" t="n">
        <f aca="false">IF(Z268&gt;=BB268,0,IFERROR(BB268+(SUMPRODUCT((Z$4:Z$503&gt;=BB$4:BB$503)*(Z$4:Z$503-BB$4:BB$503))/MAX(1,COUNTIF(Z$4:Z$503,"&lt;"&amp;BB268+0.01))),BB268))</f>
        <v>10695.5432177778</v>
      </c>
      <c r="BQ268" s="92" t="n">
        <f aca="false">IF(AA268&gt;=BC268,0,IFERROR(BC268+SUMPRODUCT((AA$4:AA$503&gt;=BC$4:BC$503)*(AA$4:AA$503-BC$4:BC$503))/MAX(1,COUNTIF(AA$4:AA$503,"&lt;"&amp;BC268+0.01)),BC268))</f>
        <v>2238.46589176471</v>
      </c>
      <c r="BR268" s="92" t="n">
        <f aca="false">IF(AB268&gt;=BD268,0,IFERROR(BD268+SUMPRODUCT((AB$4:AB$503&gt;=BD$4:BD$503)*(AB$4:AB$503-BD$4:BD$503))/MAX(1,COUNTIF(AB$4:AB$503,"&lt;"&amp;BD268+0.01)),BD268))</f>
        <v>3335.2938</v>
      </c>
      <c r="BS268" s="92" t="n">
        <f aca="false">IF(AC268&gt;=BE268,0,IFERROR(BE268+SUMPRODUCT((AC$4:AC$503&gt;=BE$4:BE$503)*(AC$4:AC$503-BE$4:BE$503))/MAX(1,COUNTIF(AC$4:AC$503,"&lt;"&amp;BE268+0.01)),BE268))</f>
        <v>6188.73352</v>
      </c>
      <c r="BT268" s="92" t="n">
        <f aca="false">IF(AD268&gt;=BF268,0,IFERROR(BF268+SUMPRODUCT((AD$4:AD$503&gt;=BF$4:BF$503)*(AD$4:AD$503-BF$4:BF$503))/MAX(1,COUNTIF(AD$4:AD$503,"&lt;"&amp;BF268+0.01)),BF268))</f>
        <v>11354.35411</v>
      </c>
      <c r="BU268" s="92" t="n">
        <f aca="false">IF(AE268&gt;=BG268,0,IFERROR(BG268+SUMPRODUCT((AE$4:AE$503&gt;=BG$4:BG$503)*(AE$4:AE$503-BG$4:BG$503))/MAX(1,COUNTIF(AE$4:AE$503,"&lt;"&amp;BG268+0.01)),BG268))</f>
        <v>7704.85920380952</v>
      </c>
      <c r="BV268" s="92" t="n">
        <f aca="false">IF(AF268&gt;=BH268,0,IFERROR(BH268+SUMPRODUCT((AF$4:AF$503&gt;=BH$4:BH$503)*(AF$4:AF$503-BH$4:BH$503))/MAX(1,COUNTIF(AF$4:AF$503,"&lt;"&amp;BH268+0.01)),BH268))</f>
        <v>9942.6503831579</v>
      </c>
      <c r="BW268" s="92" t="n">
        <f aca="false">IF(AG268&gt;=BI268,0,IFERROR(BI268+SUMPRODUCT((AG$4:AG$503&gt;=BI$4:BI$503)*(AG$4:AG$503-BI$4:BI$503))/MAX(1,COUNTIF(AG$4:AG$503,"&lt;"&amp;BI268+0.01)),BI268))</f>
        <v>9142.15870461538</v>
      </c>
      <c r="BX268" s="92" t="n">
        <f aca="false">IF(AH268&gt;=BJ268,0,IFERROR(BJ268+SUMPRODUCT((AH$4:AH$503&gt;=BJ$4:BJ$503)*(AH$4:AH$503-BJ$4:BJ$503))/MAX(1,COUNTIF(AH$4:AH$503,"&lt;"&amp;BJ268+0.01)),BJ268))</f>
        <v>5621.50263448276</v>
      </c>
      <c r="BY268" s="92" t="n">
        <f aca="false">IF(AI268&gt;=BK268,0,IFERROR(BK268+SUMPRODUCT((AI$4:AI$503&gt;=BK$4:BK$503)*(AI$4:AI$503-BK$4:BK$503))/MAX(1,COUNTIF(AI$4:AI$503,"&lt;"&amp;BK268+0.01)),BK268))</f>
        <v>7878.25652380952</v>
      </c>
      <c r="BZ268" s="92" t="n">
        <f aca="false">IF(AJ268&gt;=BL268,0,IFERROR(BL268+SUMPRODUCT((AJ$4:AJ$503&gt;=BL$4:BL$503)*(AJ$4:AJ$503-BL$4:BL$503))/MAX(1,COUNTIF(AJ$4:AJ$503,"&lt;"&amp;BL268+0.01)),BL268))</f>
        <v>0</v>
      </c>
      <c r="CA268" s="92" t="n">
        <f aca="false">IF(AK268&gt;=BM268,0,IFERROR(BM268+SUMPRODUCT((AK$4:AK$503&gt;=BM$4:BM$503)*(AK$4:AK$503-BM$4:BM$503))/MAX(1,COUNTIF(AK$4:AK$503,"&lt;"&amp;BM268+0.01)),BM268))</f>
        <v>0</v>
      </c>
      <c r="CB268" s="93" t="n">
        <f aca="false">IF(AL268&gt;=BN268,0,IFERROR(BN268+SUMPRODUCT((AL$4:AL$503&gt;=BN$4:BN$503)*(AL$4:AL$503-BN$4:BN$503))/MAX(1,COUNTIF(AL$4:AL$503,"&lt;"&amp;BN268+0.01)),BN268))</f>
        <v>3597.2614925</v>
      </c>
      <c r="CC268" s="95" t="str">
        <f aca="false">IF(AO268="🟢","VERDE",IF(AO268="🟡","AMARELO",IF(AO268="🟠","VERMELHO",IF(AO268="🔴","VERMELHO","ROXO"))))</f>
        <v>VERDE</v>
      </c>
      <c r="CD268" s="96" t="s">
        <v>103</v>
      </c>
      <c r="CE268" s="96" t="s">
        <v>104</v>
      </c>
    </row>
    <row r="269" customFormat="false" ht="14.25" hidden="false" customHeight="true" outlineLevel="0" collapsed="false">
      <c r="A269" s="65" t="s">
        <v>672</v>
      </c>
      <c r="B269" s="66" t="s">
        <v>673</v>
      </c>
      <c r="C269" s="67" t="s">
        <v>107</v>
      </c>
      <c r="D269" s="68" t="s">
        <v>108</v>
      </c>
      <c r="E269" s="69" t="s">
        <v>109</v>
      </c>
      <c r="F269" s="70" t="n">
        <f aca="false">IFERROR(VLOOKUP(C269,$AS$3:$AT$10,2,FALSE()),IFERROR(VLOOKUP(C269,$AS$15:$AT$22,2,FALSE()),""))</f>
        <v>132</v>
      </c>
      <c r="G269" s="71" t="n">
        <f aca="false">IFERROR(VLOOKUP(C269,$AS$3:$AX$10,6,FALSE()),IFERROR(VLOOKUP(C269,$AS$15:$AX$22,6,FALSE()),""))</f>
        <v>0.468190175850689</v>
      </c>
      <c r="H269" s="72" t="str">
        <f aca="false">IFERROR(VLOOKUP(C269,$AS$3:$AY$10,7,FALSE()),IFERROR(VLOOKUP(C269,$AS$15:$AY$22,7,FALSE()),""))</f>
        <v>🟡 AMARELO</v>
      </c>
      <c r="I269" s="72" t="str">
        <f aca="false">IFERROR(VLOOKUP(C269,$AS$3:$AZ$10,8,FALSE()),IFERROR(VLOOKUP(C269,$AS$15:$AZ$22,8,FALSE()),""))</f>
        <v>Sell Out</v>
      </c>
      <c r="J269" s="73"/>
      <c r="K269" s="69" t="s">
        <v>107</v>
      </c>
      <c r="L269" s="74" t="n">
        <v>4238.27</v>
      </c>
      <c r="M269" s="75" t="n">
        <v>297.84</v>
      </c>
      <c r="N269" s="75" t="n">
        <v>311.23</v>
      </c>
      <c r="O269" s="75" t="n">
        <v>318.73</v>
      </c>
      <c r="P269" s="75" t="n">
        <v>327.03</v>
      </c>
      <c r="Q269" s="75" t="n">
        <v>337.74</v>
      </c>
      <c r="R269" s="75" t="n">
        <v>346.58</v>
      </c>
      <c r="S269" s="75" t="n">
        <v>359.97</v>
      </c>
      <c r="T269" s="75" t="n">
        <v>368.81</v>
      </c>
      <c r="U269" s="75" t="n">
        <v>377.12</v>
      </c>
      <c r="V269" s="75" t="n">
        <v>386.49</v>
      </c>
      <c r="W269" s="75" t="n">
        <v>396.67</v>
      </c>
      <c r="X269" s="76" t="n">
        <v>410.06</v>
      </c>
      <c r="Y269" s="77" t="s">
        <v>20</v>
      </c>
      <c r="Z269" s="78" t="n">
        <f aca="false">SUM(AA269:AL269)</f>
        <v>2177.3</v>
      </c>
      <c r="AA269" s="75"/>
      <c r="AB269" s="75"/>
      <c r="AC269" s="75"/>
      <c r="AD269" s="75"/>
      <c r="AE269" s="79" t="n">
        <v>2177.3</v>
      </c>
      <c r="AF269" s="75"/>
      <c r="AG269" s="75"/>
      <c r="AH269" s="75"/>
      <c r="AI269" s="75"/>
      <c r="AJ269" s="75"/>
      <c r="AK269" s="75"/>
      <c r="AL269" s="76"/>
      <c r="AM269" s="56" t="s">
        <v>20</v>
      </c>
      <c r="AN269" s="80" t="n">
        <f aca="false">IF(L269=0,0,Z269/L269)</f>
        <v>0.513723759930349</v>
      </c>
      <c r="AO269" s="81" t="str">
        <f aca="false">IF(AN269="","",IF(AN269&gt;=0.9,"🟢",IF(AN269&gt;=0.7,"🟡",IF(AN269&gt;=0.5,"🟠","🔴"))))</f>
        <v>🟠</v>
      </c>
      <c r="AP269" s="82" t="n">
        <f aca="false">IF(L269=0,0,L269-Z269)</f>
        <v>2060.97</v>
      </c>
      <c r="AQ269" s="83" t="n">
        <f aca="false">IF(AP269=0,"",RANK(AP269,AP$4:AP$503,0))</f>
        <v>266</v>
      </c>
      <c r="AR269" s="84" t="s">
        <v>20</v>
      </c>
      <c r="AS269" s="141"/>
      <c r="AT269" s="141"/>
      <c r="AU269" s="141"/>
      <c r="AV269" s="141"/>
      <c r="AW269" s="141"/>
      <c r="AX269" s="141"/>
      <c r="AY269" s="142"/>
      <c r="AZ269" s="142"/>
      <c r="BA269" s="56" t="s">
        <v>20</v>
      </c>
      <c r="BB269" s="91" t="n">
        <f aca="false">SUM(L$4:L$503)/COUNTA(A$4:A$503)</f>
        <v>9494.39992</v>
      </c>
      <c r="BC269" s="92" t="n">
        <f aca="false">SUM(M$4:M$503)/COUNTA(A$4:A$503)</f>
        <v>667.20008</v>
      </c>
      <c r="BD269" s="92" t="n">
        <f aca="false">SUM(N$4:N$503)/COUNTA(A$4:A$503)</f>
        <v>697.19996</v>
      </c>
      <c r="BE269" s="92" t="n">
        <f aca="false">SUM(O$4:O$503)/COUNTA(A$4:A$503)</f>
        <v>713.9999</v>
      </c>
      <c r="BF269" s="92" t="n">
        <f aca="false">SUM(P$4:P$503)/COUNTA(A$4:A$503)</f>
        <v>732.59984</v>
      </c>
      <c r="BG269" s="92" t="n">
        <f aca="false">SUM(Q$4:Q$503)/COUNTA(A$4:A$503)</f>
        <v>756.59992</v>
      </c>
      <c r="BH269" s="92" t="n">
        <f aca="false">SUM(R$4:R$503)/COUNTA(A$4:A$503)</f>
        <v>776.40004</v>
      </c>
      <c r="BI269" s="92" t="n">
        <f aca="false">SUM(S$4:S$503)/COUNTA(A$4:A$503)</f>
        <v>806.40012</v>
      </c>
      <c r="BJ269" s="92" t="n">
        <f aca="false">SUM(T$4:T$503)/COUNTA(A$4:A$503)</f>
        <v>826.1999</v>
      </c>
      <c r="BK269" s="92" t="n">
        <f aca="false">SUM(U$4:U$503)/COUNTA(A$4:A$503)</f>
        <v>844.8002</v>
      </c>
      <c r="BL269" s="92" t="n">
        <f aca="false">SUM(V$4:V$503)/COUNTA(A$4:A$503)</f>
        <v>865.7998</v>
      </c>
      <c r="BM269" s="92" t="n">
        <f aca="false">SUM(W$4:W$503)/COUNTA(A$4:A$503)</f>
        <v>888.59982</v>
      </c>
      <c r="BN269" s="93" t="n">
        <f aca="false">SUM(X$4:X$503)/COUNTA(A$4:A$503)</f>
        <v>918.60034</v>
      </c>
      <c r="BO269" s="94" t="s">
        <v>20</v>
      </c>
      <c r="BP269" s="91" t="n">
        <f aca="false">IF(Z269&gt;=BB269,0,IFERROR(BB269+(SUMPRODUCT((Z$4:Z$503&gt;=BB$4:BB$503)*(Z$4:Z$503-BB$4:BB$503))/MAX(1,COUNTIF(Z$4:Z$503,"&lt;"&amp;BB269+0.01))),BB269))</f>
        <v>10695.5432177778</v>
      </c>
      <c r="BQ269" s="92" t="n">
        <f aca="false">IF(AA269&gt;=BC269,0,IFERROR(BC269+SUMPRODUCT((AA$4:AA$503&gt;=BC$4:BC$503)*(AA$4:AA$503-BC$4:BC$503))/MAX(1,COUNTIF(AA$4:AA$503,"&lt;"&amp;BC269+0.01)),BC269))</f>
        <v>2238.46589176471</v>
      </c>
      <c r="BR269" s="92" t="n">
        <f aca="false">IF(AB269&gt;=BD269,0,IFERROR(BD269+SUMPRODUCT((AB$4:AB$503&gt;=BD$4:BD$503)*(AB$4:AB$503-BD$4:BD$503))/MAX(1,COUNTIF(AB$4:AB$503,"&lt;"&amp;BD269+0.01)),BD269))</f>
        <v>3335.2938</v>
      </c>
      <c r="BS269" s="92" t="n">
        <f aca="false">IF(AC269&gt;=BE269,0,IFERROR(BE269+SUMPRODUCT((AC$4:AC$503&gt;=BE$4:BE$503)*(AC$4:AC$503-BE$4:BE$503))/MAX(1,COUNTIF(AC$4:AC$503,"&lt;"&amp;BE269+0.01)),BE269))</f>
        <v>6188.73352</v>
      </c>
      <c r="BT269" s="92" t="n">
        <f aca="false">IF(AD269&gt;=BF269,0,IFERROR(BF269+SUMPRODUCT((AD$4:AD$503&gt;=BF$4:BF$503)*(AD$4:AD$503-BF$4:BF$503))/MAX(1,COUNTIF(AD$4:AD$503,"&lt;"&amp;BF269+0.01)),BF269))</f>
        <v>11354.35411</v>
      </c>
      <c r="BU269" s="92" t="n">
        <f aca="false">IF(AE269&gt;=BG269,0,IFERROR(BG269+SUMPRODUCT((AE$4:AE$503&gt;=BG$4:BG$503)*(AE$4:AE$503-BG$4:BG$503))/MAX(1,COUNTIF(AE$4:AE$503,"&lt;"&amp;BG269+0.01)),BG269))</f>
        <v>0</v>
      </c>
      <c r="BV269" s="92" t="n">
        <f aca="false">IF(AF269&gt;=BH269,0,IFERROR(BH269+SUMPRODUCT((AF$4:AF$503&gt;=BH$4:BH$503)*(AF$4:AF$503-BH$4:BH$503))/MAX(1,COUNTIF(AF$4:AF$503,"&lt;"&amp;BH269+0.01)),BH269))</f>
        <v>9942.6503831579</v>
      </c>
      <c r="BW269" s="92" t="n">
        <f aca="false">IF(AG269&gt;=BI269,0,IFERROR(BI269+SUMPRODUCT((AG$4:AG$503&gt;=BI$4:BI$503)*(AG$4:AG$503-BI$4:BI$503))/MAX(1,COUNTIF(AG$4:AG$503,"&lt;"&amp;BI269+0.01)),BI269))</f>
        <v>9142.15870461538</v>
      </c>
      <c r="BX269" s="92" t="n">
        <f aca="false">IF(AH269&gt;=BJ269,0,IFERROR(BJ269+SUMPRODUCT((AH$4:AH$503&gt;=BJ$4:BJ$503)*(AH$4:AH$503-BJ$4:BJ$503))/MAX(1,COUNTIF(AH$4:AH$503,"&lt;"&amp;BJ269+0.01)),BJ269))</f>
        <v>5621.50263448276</v>
      </c>
      <c r="BY269" s="92" t="n">
        <f aca="false">IF(AI269&gt;=BK269,0,IFERROR(BK269+SUMPRODUCT((AI$4:AI$503&gt;=BK$4:BK$503)*(AI$4:AI$503-BK$4:BK$503))/MAX(1,COUNTIF(AI$4:AI$503,"&lt;"&amp;BK269+0.01)),BK269))</f>
        <v>7878.25652380952</v>
      </c>
      <c r="BZ269" s="92" t="n">
        <f aca="false">IF(AJ269&gt;=BL269,0,IFERROR(BL269+SUMPRODUCT((AJ$4:AJ$503&gt;=BL$4:BL$503)*(AJ$4:AJ$503-BL$4:BL$503))/MAX(1,COUNTIF(AJ$4:AJ$503,"&lt;"&amp;BL269+0.01)),BL269))</f>
        <v>6710.03292307692</v>
      </c>
      <c r="CA269" s="92" t="n">
        <f aca="false">IF(AK269&gt;=BM269,0,IFERROR(BM269+SUMPRODUCT((AK$4:AK$503&gt;=BM$4:BM$503)*(AK$4:AK$503-BM$4:BM$503))/MAX(1,COUNTIF(AK$4:AK$503,"&lt;"&amp;BM269+0.01)),BM269))</f>
        <v>7314.89836842105</v>
      </c>
      <c r="CB269" s="93" t="n">
        <f aca="false">IF(AL269&gt;=BN269,0,IFERROR(BN269+SUMPRODUCT((AL$4:AL$503&gt;=BN$4:BN$503)*(AL$4:AL$503-BN$4:BN$503))/MAX(1,COUNTIF(AL$4:AL$503,"&lt;"&amp;BN269+0.01)),BN269))</f>
        <v>3597.2614925</v>
      </c>
      <c r="CC269" s="95" t="str">
        <f aca="false">IF(AO269="🟢","VERDE",IF(AO269="🟡","AMARELO",IF(AO269="🟠","VERMELHO",IF(AO269="🔴","VERMELHO","ROXO"))))</f>
        <v>VERMELHO</v>
      </c>
      <c r="CD269" s="96" t="s">
        <v>103</v>
      </c>
      <c r="CE269" s="96" t="s">
        <v>104</v>
      </c>
    </row>
    <row r="270" customFormat="false" ht="14.25" hidden="false" customHeight="true" outlineLevel="0" collapsed="false">
      <c r="A270" s="65" t="s">
        <v>674</v>
      </c>
      <c r="B270" s="66" t="s">
        <v>675</v>
      </c>
      <c r="C270" s="67" t="s">
        <v>107</v>
      </c>
      <c r="D270" s="68" t="s">
        <v>108</v>
      </c>
      <c r="E270" s="69" t="s">
        <v>109</v>
      </c>
      <c r="F270" s="70" t="n">
        <f aca="false">IFERROR(VLOOKUP(C270,$AS$3:$AT$10,2,FALSE()),IFERROR(VLOOKUP(C270,$AS$15:$AT$22,2,FALSE()),""))</f>
        <v>132</v>
      </c>
      <c r="G270" s="71" t="n">
        <f aca="false">IFERROR(VLOOKUP(C270,$AS$3:$AX$10,6,FALSE()),IFERROR(VLOOKUP(C270,$AS$15:$AX$22,6,FALSE()),""))</f>
        <v>0.468190175850689</v>
      </c>
      <c r="H270" s="72" t="str">
        <f aca="false">IFERROR(VLOOKUP(C270,$AS$3:$AY$10,7,FALSE()),IFERROR(VLOOKUP(C270,$AS$15:$AY$22,7,FALSE()),""))</f>
        <v>🟡 AMARELO</v>
      </c>
      <c r="I270" s="72" t="str">
        <f aca="false">IFERROR(VLOOKUP(C270,$AS$3:$AZ$10,8,FALSE()),IFERROR(VLOOKUP(C270,$AS$15:$AZ$22,8,FALSE()),""))</f>
        <v>Sell Out</v>
      </c>
      <c r="J270" s="73"/>
      <c r="K270" s="69" t="s">
        <v>107</v>
      </c>
      <c r="L270" s="74" t="n">
        <v>4205.6</v>
      </c>
      <c r="M270" s="75" t="n">
        <v>295.54</v>
      </c>
      <c r="N270" s="75" t="n">
        <v>308.83</v>
      </c>
      <c r="O270" s="75" t="n">
        <v>316.27</v>
      </c>
      <c r="P270" s="75" t="n">
        <v>324.51</v>
      </c>
      <c r="Q270" s="75" t="n">
        <v>335.14</v>
      </c>
      <c r="R270" s="75" t="n">
        <v>343.91</v>
      </c>
      <c r="S270" s="75" t="n">
        <v>357.2</v>
      </c>
      <c r="T270" s="75" t="n">
        <v>365.97</v>
      </c>
      <c r="U270" s="75" t="n">
        <v>374.21</v>
      </c>
      <c r="V270" s="75" t="n">
        <v>383.51</v>
      </c>
      <c r="W270" s="75" t="n">
        <v>393.61</v>
      </c>
      <c r="X270" s="76" t="n">
        <v>406.9</v>
      </c>
      <c r="Y270" s="77" t="s">
        <v>20</v>
      </c>
      <c r="Z270" s="78" t="n">
        <f aca="false">SUM(AA270:AL270)</f>
        <v>361.23</v>
      </c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107" t="n">
        <v>361.23</v>
      </c>
      <c r="AM270" s="56" t="s">
        <v>20</v>
      </c>
      <c r="AN270" s="80" t="n">
        <f aca="false">IF(L270=0,0,Z270/L270)</f>
        <v>0.0858926193646566</v>
      </c>
      <c r="AO270" s="81" t="str">
        <f aca="false">IF(AN270="","",IF(AN270&gt;=0.9,"🟢",IF(AN270&gt;=0.7,"🟡",IF(AN270&gt;=0.5,"🟠","🔴"))))</f>
        <v>🔴</v>
      </c>
      <c r="AP270" s="82" t="n">
        <f aca="false">IF(L270=0,0,L270-Z270)</f>
        <v>3844.37</v>
      </c>
      <c r="AQ270" s="83" t="n">
        <f aca="false">IF(AP270=0,"",RANK(AP270,AP$4:AP$503,0))</f>
        <v>169</v>
      </c>
      <c r="AR270" s="84" t="s">
        <v>20</v>
      </c>
      <c r="AS270" s="141"/>
      <c r="AT270" s="141"/>
      <c r="AU270" s="141"/>
      <c r="AV270" s="141"/>
      <c r="AW270" s="141"/>
      <c r="AX270" s="141"/>
      <c r="AY270" s="142"/>
      <c r="AZ270" s="142"/>
      <c r="BA270" s="56" t="s">
        <v>20</v>
      </c>
      <c r="BB270" s="91" t="n">
        <f aca="false">SUM(L$4:L$503)/COUNTA(A$4:A$503)</f>
        <v>9494.39992</v>
      </c>
      <c r="BC270" s="92" t="n">
        <f aca="false">SUM(M$4:M$503)/COUNTA(A$4:A$503)</f>
        <v>667.20008</v>
      </c>
      <c r="BD270" s="92" t="n">
        <f aca="false">SUM(N$4:N$503)/COUNTA(A$4:A$503)</f>
        <v>697.19996</v>
      </c>
      <c r="BE270" s="92" t="n">
        <f aca="false">SUM(O$4:O$503)/COUNTA(A$4:A$503)</f>
        <v>713.9999</v>
      </c>
      <c r="BF270" s="92" t="n">
        <f aca="false">SUM(P$4:P$503)/COUNTA(A$4:A$503)</f>
        <v>732.59984</v>
      </c>
      <c r="BG270" s="92" t="n">
        <f aca="false">SUM(Q$4:Q$503)/COUNTA(A$4:A$503)</f>
        <v>756.59992</v>
      </c>
      <c r="BH270" s="92" t="n">
        <f aca="false">SUM(R$4:R$503)/COUNTA(A$4:A$503)</f>
        <v>776.40004</v>
      </c>
      <c r="BI270" s="92" t="n">
        <f aca="false">SUM(S$4:S$503)/COUNTA(A$4:A$503)</f>
        <v>806.40012</v>
      </c>
      <c r="BJ270" s="92" t="n">
        <f aca="false">SUM(T$4:T$503)/COUNTA(A$4:A$503)</f>
        <v>826.1999</v>
      </c>
      <c r="BK270" s="92" t="n">
        <f aca="false">SUM(U$4:U$503)/COUNTA(A$4:A$503)</f>
        <v>844.8002</v>
      </c>
      <c r="BL270" s="92" t="n">
        <f aca="false">SUM(V$4:V$503)/COUNTA(A$4:A$503)</f>
        <v>865.7998</v>
      </c>
      <c r="BM270" s="92" t="n">
        <f aca="false">SUM(W$4:W$503)/COUNTA(A$4:A$503)</f>
        <v>888.59982</v>
      </c>
      <c r="BN270" s="93" t="n">
        <f aca="false">SUM(X$4:X$503)/COUNTA(A$4:A$503)</f>
        <v>918.60034</v>
      </c>
      <c r="BO270" s="94" t="s">
        <v>20</v>
      </c>
      <c r="BP270" s="91" t="n">
        <f aca="false">IF(Z270&gt;=BB270,0,IFERROR(BB270+(SUMPRODUCT((Z$4:Z$503&gt;=BB$4:BB$503)*(Z$4:Z$503-BB$4:BB$503))/MAX(1,COUNTIF(Z$4:Z$503,"&lt;"&amp;BB270+0.01))),BB270))</f>
        <v>10695.5432177778</v>
      </c>
      <c r="BQ270" s="92" t="n">
        <f aca="false">IF(AA270&gt;=BC270,0,IFERROR(BC270+SUMPRODUCT((AA$4:AA$503&gt;=BC$4:BC$503)*(AA$4:AA$503-BC$4:BC$503))/MAX(1,COUNTIF(AA$4:AA$503,"&lt;"&amp;BC270+0.01)),BC270))</f>
        <v>2238.46589176471</v>
      </c>
      <c r="BR270" s="92" t="n">
        <f aca="false">IF(AB270&gt;=BD270,0,IFERROR(BD270+SUMPRODUCT((AB$4:AB$503&gt;=BD$4:BD$503)*(AB$4:AB$503-BD$4:BD$503))/MAX(1,COUNTIF(AB$4:AB$503,"&lt;"&amp;BD270+0.01)),BD270))</f>
        <v>3335.2938</v>
      </c>
      <c r="BS270" s="92" t="n">
        <f aca="false">IF(AC270&gt;=BE270,0,IFERROR(BE270+SUMPRODUCT((AC$4:AC$503&gt;=BE$4:BE$503)*(AC$4:AC$503-BE$4:BE$503))/MAX(1,COUNTIF(AC$4:AC$503,"&lt;"&amp;BE270+0.01)),BE270))</f>
        <v>6188.73352</v>
      </c>
      <c r="BT270" s="92" t="n">
        <f aca="false">IF(AD270&gt;=BF270,0,IFERROR(BF270+SUMPRODUCT((AD$4:AD$503&gt;=BF$4:BF$503)*(AD$4:AD$503-BF$4:BF$503))/MAX(1,COUNTIF(AD$4:AD$503,"&lt;"&amp;BF270+0.01)),BF270))</f>
        <v>11354.35411</v>
      </c>
      <c r="BU270" s="92" t="n">
        <f aca="false">IF(AE270&gt;=BG270,0,IFERROR(BG270+SUMPRODUCT((AE$4:AE$503&gt;=BG$4:BG$503)*(AE$4:AE$503-BG$4:BG$503))/MAX(1,COUNTIF(AE$4:AE$503,"&lt;"&amp;BG270+0.01)),BG270))</f>
        <v>7704.85920380952</v>
      </c>
      <c r="BV270" s="92" t="n">
        <f aca="false">IF(AF270&gt;=BH270,0,IFERROR(BH270+SUMPRODUCT((AF$4:AF$503&gt;=BH$4:BH$503)*(AF$4:AF$503-BH$4:BH$503))/MAX(1,COUNTIF(AF$4:AF$503,"&lt;"&amp;BH270+0.01)),BH270))</f>
        <v>9942.6503831579</v>
      </c>
      <c r="BW270" s="92" t="n">
        <f aca="false">IF(AG270&gt;=BI270,0,IFERROR(BI270+SUMPRODUCT((AG$4:AG$503&gt;=BI$4:BI$503)*(AG$4:AG$503-BI$4:BI$503))/MAX(1,COUNTIF(AG$4:AG$503,"&lt;"&amp;BI270+0.01)),BI270))</f>
        <v>9142.15870461538</v>
      </c>
      <c r="BX270" s="92" t="n">
        <f aca="false">IF(AH270&gt;=BJ270,0,IFERROR(BJ270+SUMPRODUCT((AH$4:AH$503&gt;=BJ$4:BJ$503)*(AH$4:AH$503-BJ$4:BJ$503))/MAX(1,COUNTIF(AH$4:AH$503,"&lt;"&amp;BJ270+0.01)),BJ270))</f>
        <v>5621.50263448276</v>
      </c>
      <c r="BY270" s="92" t="n">
        <f aca="false">IF(AI270&gt;=BK270,0,IFERROR(BK270+SUMPRODUCT((AI$4:AI$503&gt;=BK$4:BK$503)*(AI$4:AI$503-BK$4:BK$503))/MAX(1,COUNTIF(AI$4:AI$503,"&lt;"&amp;BK270+0.01)),BK270))</f>
        <v>7878.25652380952</v>
      </c>
      <c r="BZ270" s="92" t="n">
        <f aca="false">IF(AJ270&gt;=BL270,0,IFERROR(BL270+SUMPRODUCT((AJ$4:AJ$503&gt;=BL$4:BL$503)*(AJ$4:AJ$503-BL$4:BL$503))/MAX(1,COUNTIF(AJ$4:AJ$503,"&lt;"&amp;BL270+0.01)),BL270))</f>
        <v>6710.03292307692</v>
      </c>
      <c r="CA270" s="92" t="n">
        <f aca="false">IF(AK270&gt;=BM270,0,IFERROR(BM270+SUMPRODUCT((AK$4:AK$503&gt;=BM$4:BM$503)*(AK$4:AK$503-BM$4:BM$503))/MAX(1,COUNTIF(AK$4:AK$503,"&lt;"&amp;BM270+0.01)),BM270))</f>
        <v>7314.89836842105</v>
      </c>
      <c r="CB270" s="93" t="n">
        <f aca="false">IF(AL270&gt;=BN270,0,IFERROR(BN270+SUMPRODUCT((AL$4:AL$503&gt;=BN$4:BN$503)*(AL$4:AL$503-BN$4:BN$503))/MAX(1,COUNTIF(AL$4:AL$503,"&lt;"&amp;BN270+0.01)),BN270))</f>
        <v>3597.2614925</v>
      </c>
      <c r="CC270" s="95" t="str">
        <f aca="false">IF(AO270="🟢","VERDE",IF(AO270="🟡","AMARELO",IF(AO270="🟠","VERMELHO",IF(AO270="🔴","VERMELHO","ROXO"))))</f>
        <v>VERMELHO</v>
      </c>
      <c r="CD270" s="96" t="s">
        <v>103</v>
      </c>
      <c r="CE270" s="96" t="s">
        <v>104</v>
      </c>
    </row>
    <row r="271" customFormat="false" ht="14.25" hidden="false" customHeight="true" outlineLevel="0" collapsed="false">
      <c r="A271" s="65" t="s">
        <v>676</v>
      </c>
      <c r="B271" s="66" t="s">
        <v>677</v>
      </c>
      <c r="C271" s="67" t="s">
        <v>123</v>
      </c>
      <c r="D271" s="68" t="s">
        <v>108</v>
      </c>
      <c r="E271" s="56" t="s">
        <v>20</v>
      </c>
      <c r="F271" s="70" t="n">
        <f aca="false">IFERROR(VLOOKUP(C271,$AS$3:$AT$10,2,FALSE()),IFERROR(VLOOKUP(C271,$AS$15:$AT$22,2,FALSE()),""))</f>
        <v>49</v>
      </c>
      <c r="G271" s="71" t="n">
        <f aca="false">IFERROR(VLOOKUP(C271,$AS$3:$AX$10,6,FALSE()),IFERROR(VLOOKUP(C271,$AS$15:$AX$22,6,FALSE()),""))</f>
        <v>0.436391353881959</v>
      </c>
      <c r="H271" s="72" t="str">
        <f aca="false">IFERROR(VLOOKUP(C271,$AS$3:$AY$10,7,FALSE()),IFERROR(VLOOKUP(C271,$AS$15:$AY$22,7,FALSE()),""))</f>
        <v>🟡 AMARELO</v>
      </c>
      <c r="I271" s="72" t="str">
        <f aca="false">IFERROR(VLOOKUP(C271,$AS$3:$AZ$10,8,FALSE()),IFERROR(VLOOKUP(C271,$AS$15:$AZ$22,8,FALSE()),""))</f>
        <v>Sell Out</v>
      </c>
      <c r="J271" s="73"/>
      <c r="K271" s="56" t="s">
        <v>20</v>
      </c>
      <c r="L271" s="74" t="n">
        <v>4177.67</v>
      </c>
      <c r="M271" s="75" t="n">
        <v>293.58</v>
      </c>
      <c r="N271" s="75" t="n">
        <v>306.78</v>
      </c>
      <c r="O271" s="75" t="n">
        <v>314.17</v>
      </c>
      <c r="P271" s="75" t="n">
        <v>322.35</v>
      </c>
      <c r="Q271" s="75" t="n">
        <v>332.91</v>
      </c>
      <c r="R271" s="75" t="n">
        <v>341.63</v>
      </c>
      <c r="S271" s="75" t="n">
        <v>354.83</v>
      </c>
      <c r="T271" s="75" t="n">
        <v>363.54</v>
      </c>
      <c r="U271" s="75" t="n">
        <v>371.72</v>
      </c>
      <c r="V271" s="75" t="n">
        <v>380.96</v>
      </c>
      <c r="W271" s="75" t="n">
        <v>391</v>
      </c>
      <c r="X271" s="76" t="n">
        <v>404.2</v>
      </c>
      <c r="Y271" s="77" t="s">
        <v>20</v>
      </c>
      <c r="Z271" s="78" t="n">
        <f aca="false">SUM(AA271:AL271)</f>
        <v>1731.11</v>
      </c>
      <c r="AA271" s="75"/>
      <c r="AB271" s="75"/>
      <c r="AC271" s="75"/>
      <c r="AD271" s="75"/>
      <c r="AE271" s="75"/>
      <c r="AF271" s="75" t="n">
        <v>705.23</v>
      </c>
      <c r="AG271" s="75"/>
      <c r="AH271" s="75"/>
      <c r="AI271" s="75" t="n">
        <v>1025.88</v>
      </c>
      <c r="AJ271" s="75"/>
      <c r="AK271" s="75"/>
      <c r="AL271" s="76"/>
      <c r="AM271" s="56" t="s">
        <v>20</v>
      </c>
      <c r="AN271" s="80" t="n">
        <f aca="false">IF(L271=0,0,Z271/L271)</f>
        <v>0.414372126089423</v>
      </c>
      <c r="AO271" s="81" t="str">
        <f aca="false">IF(AN271="","",IF(AN271&gt;=0.9,"🟢",IF(AN271&gt;=0.7,"🟡",IF(AN271&gt;=0.5,"🟠","🔴"))))</f>
        <v>🔴</v>
      </c>
      <c r="AP271" s="82" t="n">
        <f aca="false">IF(L271=0,0,L271-Z271)</f>
        <v>2446.56</v>
      </c>
      <c r="AQ271" s="83" t="n">
        <f aca="false">IF(AP271=0,"",RANK(AP271,AP$4:AP$503,0))</f>
        <v>242</v>
      </c>
      <c r="AR271" s="84" t="s">
        <v>20</v>
      </c>
      <c r="AS271" s="141"/>
      <c r="AT271" s="141"/>
      <c r="AU271" s="141"/>
      <c r="AV271" s="141"/>
      <c r="AW271" s="141"/>
      <c r="AX271" s="141"/>
      <c r="AY271" s="142"/>
      <c r="AZ271" s="142"/>
      <c r="BA271" s="56" t="s">
        <v>20</v>
      </c>
      <c r="BB271" s="91" t="n">
        <f aca="false">SUM(L$4:L$503)/COUNTA(A$4:A$503)</f>
        <v>9494.39992</v>
      </c>
      <c r="BC271" s="92" t="n">
        <f aca="false">SUM(M$4:M$503)/COUNTA(A$4:A$503)</f>
        <v>667.20008</v>
      </c>
      <c r="BD271" s="92" t="n">
        <f aca="false">SUM(N$4:N$503)/COUNTA(A$4:A$503)</f>
        <v>697.19996</v>
      </c>
      <c r="BE271" s="92" t="n">
        <f aca="false">SUM(O$4:O$503)/COUNTA(A$4:A$503)</f>
        <v>713.9999</v>
      </c>
      <c r="BF271" s="92" t="n">
        <f aca="false">SUM(P$4:P$503)/COUNTA(A$4:A$503)</f>
        <v>732.59984</v>
      </c>
      <c r="BG271" s="92" t="n">
        <f aca="false">SUM(Q$4:Q$503)/COUNTA(A$4:A$503)</f>
        <v>756.59992</v>
      </c>
      <c r="BH271" s="92" t="n">
        <f aca="false">SUM(R$4:R$503)/COUNTA(A$4:A$503)</f>
        <v>776.40004</v>
      </c>
      <c r="BI271" s="92" t="n">
        <f aca="false">SUM(S$4:S$503)/COUNTA(A$4:A$503)</f>
        <v>806.40012</v>
      </c>
      <c r="BJ271" s="92" t="n">
        <f aca="false">SUM(T$4:T$503)/COUNTA(A$4:A$503)</f>
        <v>826.1999</v>
      </c>
      <c r="BK271" s="92" t="n">
        <f aca="false">SUM(U$4:U$503)/COUNTA(A$4:A$503)</f>
        <v>844.8002</v>
      </c>
      <c r="BL271" s="92" t="n">
        <f aca="false">SUM(V$4:V$503)/COUNTA(A$4:A$503)</f>
        <v>865.7998</v>
      </c>
      <c r="BM271" s="92" t="n">
        <f aca="false">SUM(W$4:W$503)/COUNTA(A$4:A$503)</f>
        <v>888.59982</v>
      </c>
      <c r="BN271" s="93" t="n">
        <f aca="false">SUM(X$4:X$503)/COUNTA(A$4:A$503)</f>
        <v>918.60034</v>
      </c>
      <c r="BO271" s="94" t="s">
        <v>20</v>
      </c>
      <c r="BP271" s="91" t="n">
        <f aca="false">IF(Z271&gt;=BB271,0,IFERROR(BB271+(SUMPRODUCT((Z$4:Z$503&gt;=BB$4:BB$503)*(Z$4:Z$503-BB$4:BB$503))/MAX(1,COUNTIF(Z$4:Z$503,"&lt;"&amp;BB271+0.01))),BB271))</f>
        <v>10695.5432177778</v>
      </c>
      <c r="BQ271" s="92" t="n">
        <f aca="false">IF(AA271&gt;=BC271,0,IFERROR(BC271+SUMPRODUCT((AA$4:AA$503&gt;=BC$4:BC$503)*(AA$4:AA$503-BC$4:BC$503))/MAX(1,COUNTIF(AA$4:AA$503,"&lt;"&amp;BC271+0.01)),BC271))</f>
        <v>2238.46589176471</v>
      </c>
      <c r="BR271" s="92" t="n">
        <f aca="false">IF(AB271&gt;=BD271,0,IFERROR(BD271+SUMPRODUCT((AB$4:AB$503&gt;=BD$4:BD$503)*(AB$4:AB$503-BD$4:BD$503))/MAX(1,COUNTIF(AB$4:AB$503,"&lt;"&amp;BD271+0.01)),BD271))</f>
        <v>3335.2938</v>
      </c>
      <c r="BS271" s="92" t="n">
        <f aca="false">IF(AC271&gt;=BE271,0,IFERROR(BE271+SUMPRODUCT((AC$4:AC$503&gt;=BE$4:BE$503)*(AC$4:AC$503-BE$4:BE$503))/MAX(1,COUNTIF(AC$4:AC$503,"&lt;"&amp;BE271+0.01)),BE271))</f>
        <v>6188.73352</v>
      </c>
      <c r="BT271" s="92" t="n">
        <f aca="false">IF(AD271&gt;=BF271,0,IFERROR(BF271+SUMPRODUCT((AD$4:AD$503&gt;=BF$4:BF$503)*(AD$4:AD$503-BF$4:BF$503))/MAX(1,COUNTIF(AD$4:AD$503,"&lt;"&amp;BF271+0.01)),BF271))</f>
        <v>11354.35411</v>
      </c>
      <c r="BU271" s="92" t="n">
        <f aca="false">IF(AE271&gt;=BG271,0,IFERROR(BG271+SUMPRODUCT((AE$4:AE$503&gt;=BG$4:BG$503)*(AE$4:AE$503-BG$4:BG$503))/MAX(1,COUNTIF(AE$4:AE$503,"&lt;"&amp;BG271+0.01)),BG271))</f>
        <v>7704.85920380952</v>
      </c>
      <c r="BV271" s="92" t="n">
        <f aca="false">IF(AF271&gt;=BH271,0,IFERROR(BH271+SUMPRODUCT((AF$4:AF$503&gt;=BH$4:BH$503)*(AF$4:AF$503-BH$4:BH$503))/MAX(1,COUNTIF(AF$4:AF$503,"&lt;"&amp;BH271+0.01)),BH271))</f>
        <v>9942.6503831579</v>
      </c>
      <c r="BW271" s="92" t="n">
        <f aca="false">IF(AG271&gt;=BI271,0,IFERROR(BI271+SUMPRODUCT((AG$4:AG$503&gt;=BI$4:BI$503)*(AG$4:AG$503-BI$4:BI$503))/MAX(1,COUNTIF(AG$4:AG$503,"&lt;"&amp;BI271+0.01)),BI271))</f>
        <v>9142.15870461538</v>
      </c>
      <c r="BX271" s="92" t="n">
        <f aca="false">IF(AH271&gt;=BJ271,0,IFERROR(BJ271+SUMPRODUCT((AH$4:AH$503&gt;=BJ$4:BJ$503)*(AH$4:AH$503-BJ$4:BJ$503))/MAX(1,COUNTIF(AH$4:AH$503,"&lt;"&amp;BJ271+0.01)),BJ271))</f>
        <v>5621.50263448276</v>
      </c>
      <c r="BY271" s="92" t="n">
        <f aca="false">IF(AI271&gt;=BK271,0,IFERROR(BK271+SUMPRODUCT((AI$4:AI$503&gt;=BK$4:BK$503)*(AI$4:AI$503-BK$4:BK$503))/MAX(1,COUNTIF(AI$4:AI$503,"&lt;"&amp;BK271+0.01)),BK271))</f>
        <v>0</v>
      </c>
      <c r="BZ271" s="92" t="n">
        <f aca="false">IF(AJ271&gt;=BL271,0,IFERROR(BL271+SUMPRODUCT((AJ$4:AJ$503&gt;=BL$4:BL$503)*(AJ$4:AJ$503-BL$4:BL$503))/MAX(1,COUNTIF(AJ$4:AJ$503,"&lt;"&amp;BL271+0.01)),BL271))</f>
        <v>6710.03292307692</v>
      </c>
      <c r="CA271" s="92" t="n">
        <f aca="false">IF(AK271&gt;=BM271,0,IFERROR(BM271+SUMPRODUCT((AK$4:AK$503&gt;=BM$4:BM$503)*(AK$4:AK$503-BM$4:BM$503))/MAX(1,COUNTIF(AK$4:AK$503,"&lt;"&amp;BM271+0.01)),BM271))</f>
        <v>7314.89836842105</v>
      </c>
      <c r="CB271" s="93" t="n">
        <f aca="false">IF(AL271&gt;=BN271,0,IFERROR(BN271+SUMPRODUCT((AL$4:AL$503&gt;=BN$4:BN$503)*(AL$4:AL$503-BN$4:BN$503))/MAX(1,COUNTIF(AL$4:AL$503,"&lt;"&amp;BN271+0.01)),BN271))</f>
        <v>3597.2614925</v>
      </c>
      <c r="CC271" s="95" t="str">
        <f aca="false">IF(AO271="🟢","VERDE",IF(AO271="🟡","AMARELO",IF(AO271="🟠","VERMELHO",IF(AO271="🔴","VERMELHO","ROXO"))))</f>
        <v>VERMELHO</v>
      </c>
      <c r="CD271" s="96" t="s">
        <v>103</v>
      </c>
      <c r="CE271" s="96" t="s">
        <v>104</v>
      </c>
    </row>
    <row r="272" customFormat="false" ht="14.25" hidden="false" customHeight="true" outlineLevel="0" collapsed="false">
      <c r="A272" s="65" t="s">
        <v>678</v>
      </c>
      <c r="B272" s="66" t="s">
        <v>679</v>
      </c>
      <c r="C272" s="67" t="s">
        <v>118</v>
      </c>
      <c r="D272" s="68" t="s">
        <v>100</v>
      </c>
      <c r="E272" s="69" t="s">
        <v>119</v>
      </c>
      <c r="F272" s="70" t="n">
        <f aca="false">IFERROR(VLOOKUP(C272,$AS$3:$AT$10,2,FALSE()),IFERROR(VLOOKUP(C272,$AS$15:$AT$22,2,FALSE()),""))</f>
        <v>42</v>
      </c>
      <c r="G272" s="71" t="n">
        <f aca="false">IFERROR(VLOOKUP(C272,$AS$3:$AX$10,6,FALSE()),IFERROR(VLOOKUP(C272,$AS$15:$AX$22,6,FALSE()),""))</f>
        <v>0.424872083346704</v>
      </c>
      <c r="H272" s="72" t="str">
        <f aca="false">IFERROR(VLOOKUP(C272,$AS$3:$AY$10,7,FALSE()),IFERROR(VLOOKUP(C272,$AS$15:$AY$22,7,FALSE()),""))</f>
        <v>🟡 AMARELO</v>
      </c>
      <c r="I272" s="72" t="str">
        <f aca="false">IFERROR(VLOOKUP(C272,$AS$3:$AZ$10,8,FALSE()),IFERROR(VLOOKUP(C272,$AS$15:$AZ$22,8,FALSE()),""))</f>
        <v>Sell Out</v>
      </c>
      <c r="J272" s="73"/>
      <c r="K272" s="69" t="s">
        <v>118</v>
      </c>
      <c r="L272" s="74" t="n">
        <v>3991.33</v>
      </c>
      <c r="M272" s="75" t="n">
        <v>280.48</v>
      </c>
      <c r="N272" s="75" t="n">
        <v>293.09</v>
      </c>
      <c r="O272" s="75" t="n">
        <v>300.16</v>
      </c>
      <c r="P272" s="75" t="n">
        <v>307.98</v>
      </c>
      <c r="Q272" s="75" t="n">
        <v>318.07</v>
      </c>
      <c r="R272" s="75" t="n">
        <v>326.39</v>
      </c>
      <c r="S272" s="75" t="n">
        <v>339</v>
      </c>
      <c r="T272" s="75" t="n">
        <v>347.32</v>
      </c>
      <c r="U272" s="75" t="n">
        <v>355.14</v>
      </c>
      <c r="V272" s="75" t="n">
        <v>363.97</v>
      </c>
      <c r="W272" s="75" t="n">
        <v>373.56</v>
      </c>
      <c r="X272" s="76" t="n">
        <v>386.17</v>
      </c>
      <c r="Y272" s="77" t="s">
        <v>20</v>
      </c>
      <c r="Z272" s="78" t="n">
        <f aca="false">SUM(AA272:AL272)</f>
        <v>1605.12</v>
      </c>
      <c r="AA272" s="75"/>
      <c r="AB272" s="75"/>
      <c r="AC272" s="79" t="n">
        <v>1605.12</v>
      </c>
      <c r="AD272" s="75"/>
      <c r="AE272" s="75"/>
      <c r="AF272" s="75"/>
      <c r="AG272" s="75"/>
      <c r="AH272" s="75"/>
      <c r="AI272" s="75"/>
      <c r="AJ272" s="75"/>
      <c r="AK272" s="75"/>
      <c r="AL272" s="76"/>
      <c r="AM272" s="56" t="s">
        <v>20</v>
      </c>
      <c r="AN272" s="80" t="n">
        <f aca="false">IF(L272=0,0,Z272/L272)</f>
        <v>0.402151663731137</v>
      </c>
      <c r="AO272" s="81" t="str">
        <f aca="false">IF(AN272="","",IF(AN272&gt;=0.9,"🟢",IF(AN272&gt;=0.7,"🟡",IF(AN272&gt;=0.5,"🟠","🔴"))))</f>
        <v>🔴</v>
      </c>
      <c r="AP272" s="82" t="n">
        <f aca="false">IF(L272=0,0,L272-Z272)</f>
        <v>2386.21</v>
      </c>
      <c r="AQ272" s="83" t="n">
        <f aca="false">IF(AP272=0,"",RANK(AP272,AP$4:AP$503,0))</f>
        <v>244</v>
      </c>
      <c r="AR272" s="84" t="s">
        <v>20</v>
      </c>
      <c r="AS272" s="141"/>
      <c r="AT272" s="141"/>
      <c r="AU272" s="141"/>
      <c r="AV272" s="141"/>
      <c r="AW272" s="141"/>
      <c r="AX272" s="141"/>
      <c r="AY272" s="142"/>
      <c r="AZ272" s="142"/>
      <c r="BA272" s="56" t="s">
        <v>20</v>
      </c>
      <c r="BB272" s="91" t="n">
        <f aca="false">SUM(L$4:L$503)/COUNTA(A$4:A$503)</f>
        <v>9494.39992</v>
      </c>
      <c r="BC272" s="92" t="n">
        <f aca="false">SUM(M$4:M$503)/COUNTA(A$4:A$503)</f>
        <v>667.20008</v>
      </c>
      <c r="BD272" s="92" t="n">
        <f aca="false">SUM(N$4:N$503)/COUNTA(A$4:A$503)</f>
        <v>697.19996</v>
      </c>
      <c r="BE272" s="92" t="n">
        <f aca="false">SUM(O$4:O$503)/COUNTA(A$4:A$503)</f>
        <v>713.9999</v>
      </c>
      <c r="BF272" s="92" t="n">
        <f aca="false">SUM(P$4:P$503)/COUNTA(A$4:A$503)</f>
        <v>732.59984</v>
      </c>
      <c r="BG272" s="92" t="n">
        <f aca="false">SUM(Q$4:Q$503)/COUNTA(A$4:A$503)</f>
        <v>756.59992</v>
      </c>
      <c r="BH272" s="92" t="n">
        <f aca="false">SUM(R$4:R$503)/COUNTA(A$4:A$503)</f>
        <v>776.40004</v>
      </c>
      <c r="BI272" s="92" t="n">
        <f aca="false">SUM(S$4:S$503)/COUNTA(A$4:A$503)</f>
        <v>806.40012</v>
      </c>
      <c r="BJ272" s="92" t="n">
        <f aca="false">SUM(T$4:T$503)/COUNTA(A$4:A$503)</f>
        <v>826.1999</v>
      </c>
      <c r="BK272" s="92" t="n">
        <f aca="false">SUM(U$4:U$503)/COUNTA(A$4:A$503)</f>
        <v>844.8002</v>
      </c>
      <c r="BL272" s="92" t="n">
        <f aca="false">SUM(V$4:V$503)/COUNTA(A$4:A$503)</f>
        <v>865.7998</v>
      </c>
      <c r="BM272" s="92" t="n">
        <f aca="false">SUM(W$4:W$503)/COUNTA(A$4:A$503)</f>
        <v>888.59982</v>
      </c>
      <c r="BN272" s="93" t="n">
        <f aca="false">SUM(X$4:X$503)/COUNTA(A$4:A$503)</f>
        <v>918.60034</v>
      </c>
      <c r="BO272" s="94" t="s">
        <v>20</v>
      </c>
      <c r="BP272" s="91" t="n">
        <f aca="false">IF(Z272&gt;=BB272,0,IFERROR(BB272+(SUMPRODUCT((Z$4:Z$503&gt;=BB$4:BB$503)*(Z$4:Z$503-BB$4:BB$503))/MAX(1,COUNTIF(Z$4:Z$503,"&lt;"&amp;BB272+0.01))),BB272))</f>
        <v>10695.5432177778</v>
      </c>
      <c r="BQ272" s="92" t="n">
        <f aca="false">IF(AA272&gt;=BC272,0,IFERROR(BC272+SUMPRODUCT((AA$4:AA$503&gt;=BC$4:BC$503)*(AA$4:AA$503-BC$4:BC$503))/MAX(1,COUNTIF(AA$4:AA$503,"&lt;"&amp;BC272+0.01)),BC272))</f>
        <v>2238.46589176471</v>
      </c>
      <c r="BR272" s="92" t="n">
        <f aca="false">IF(AB272&gt;=BD272,0,IFERROR(BD272+SUMPRODUCT((AB$4:AB$503&gt;=BD$4:BD$503)*(AB$4:AB$503-BD$4:BD$503))/MAX(1,COUNTIF(AB$4:AB$503,"&lt;"&amp;BD272+0.01)),BD272))</f>
        <v>3335.2938</v>
      </c>
      <c r="BS272" s="92" t="n">
        <f aca="false">IF(AC272&gt;=BE272,0,IFERROR(BE272+SUMPRODUCT((AC$4:AC$503&gt;=BE$4:BE$503)*(AC$4:AC$503-BE$4:BE$503))/MAX(1,COUNTIF(AC$4:AC$503,"&lt;"&amp;BE272+0.01)),BE272))</f>
        <v>0</v>
      </c>
      <c r="BT272" s="92" t="n">
        <f aca="false">IF(AD272&gt;=BF272,0,IFERROR(BF272+SUMPRODUCT((AD$4:AD$503&gt;=BF$4:BF$503)*(AD$4:AD$503-BF$4:BF$503))/MAX(1,COUNTIF(AD$4:AD$503,"&lt;"&amp;BF272+0.01)),BF272))</f>
        <v>11354.35411</v>
      </c>
      <c r="BU272" s="92" t="n">
        <f aca="false">IF(AE272&gt;=BG272,0,IFERROR(BG272+SUMPRODUCT((AE$4:AE$503&gt;=BG$4:BG$503)*(AE$4:AE$503-BG$4:BG$503))/MAX(1,COUNTIF(AE$4:AE$503,"&lt;"&amp;BG272+0.01)),BG272))</f>
        <v>7704.85920380952</v>
      </c>
      <c r="BV272" s="92" t="n">
        <f aca="false">IF(AF272&gt;=BH272,0,IFERROR(BH272+SUMPRODUCT((AF$4:AF$503&gt;=BH$4:BH$503)*(AF$4:AF$503-BH$4:BH$503))/MAX(1,COUNTIF(AF$4:AF$503,"&lt;"&amp;BH272+0.01)),BH272))</f>
        <v>9942.6503831579</v>
      </c>
      <c r="BW272" s="92" t="n">
        <f aca="false">IF(AG272&gt;=BI272,0,IFERROR(BI272+SUMPRODUCT((AG$4:AG$503&gt;=BI$4:BI$503)*(AG$4:AG$503-BI$4:BI$503))/MAX(1,COUNTIF(AG$4:AG$503,"&lt;"&amp;BI272+0.01)),BI272))</f>
        <v>9142.15870461538</v>
      </c>
      <c r="BX272" s="92" t="n">
        <f aca="false">IF(AH272&gt;=BJ272,0,IFERROR(BJ272+SUMPRODUCT((AH$4:AH$503&gt;=BJ$4:BJ$503)*(AH$4:AH$503-BJ$4:BJ$503))/MAX(1,COUNTIF(AH$4:AH$503,"&lt;"&amp;BJ272+0.01)),BJ272))</f>
        <v>5621.50263448276</v>
      </c>
      <c r="BY272" s="92" t="n">
        <f aca="false">IF(AI272&gt;=BK272,0,IFERROR(BK272+SUMPRODUCT((AI$4:AI$503&gt;=BK$4:BK$503)*(AI$4:AI$503-BK$4:BK$503))/MAX(1,COUNTIF(AI$4:AI$503,"&lt;"&amp;BK272+0.01)),BK272))</f>
        <v>7878.25652380952</v>
      </c>
      <c r="BZ272" s="92" t="n">
        <f aca="false">IF(AJ272&gt;=BL272,0,IFERROR(BL272+SUMPRODUCT((AJ$4:AJ$503&gt;=BL$4:BL$503)*(AJ$4:AJ$503-BL$4:BL$503))/MAX(1,COUNTIF(AJ$4:AJ$503,"&lt;"&amp;BL272+0.01)),BL272))</f>
        <v>6710.03292307692</v>
      </c>
      <c r="CA272" s="92" t="n">
        <f aca="false">IF(AK272&gt;=BM272,0,IFERROR(BM272+SUMPRODUCT((AK$4:AK$503&gt;=BM$4:BM$503)*(AK$4:AK$503-BM$4:BM$503))/MAX(1,COUNTIF(AK$4:AK$503,"&lt;"&amp;BM272+0.01)),BM272))</f>
        <v>7314.89836842105</v>
      </c>
      <c r="CB272" s="93" t="n">
        <f aca="false">IF(AL272&gt;=BN272,0,IFERROR(BN272+SUMPRODUCT((AL$4:AL$503&gt;=BN$4:BN$503)*(AL$4:AL$503-BN$4:BN$503))/MAX(1,COUNTIF(AL$4:AL$503,"&lt;"&amp;BN272+0.01)),BN272))</f>
        <v>3597.2614925</v>
      </c>
      <c r="CC272" s="95" t="str">
        <f aca="false">IF(AO272="🟢","VERDE",IF(AO272="🟡","AMARELO",IF(AO272="🟠","VERMELHO",IF(AO272="🔴","VERMELHO","ROXO"))))</f>
        <v>VERMELHO</v>
      </c>
      <c r="CD272" s="96" t="s">
        <v>103</v>
      </c>
      <c r="CE272" s="96" t="s">
        <v>104</v>
      </c>
    </row>
    <row r="273" customFormat="false" ht="14.25" hidden="false" customHeight="true" outlineLevel="0" collapsed="false">
      <c r="A273" s="65" t="s">
        <v>680</v>
      </c>
      <c r="B273" s="66" t="s">
        <v>681</v>
      </c>
      <c r="C273" s="67" t="s">
        <v>107</v>
      </c>
      <c r="D273" s="68" t="s">
        <v>108</v>
      </c>
      <c r="E273" s="69" t="s">
        <v>109</v>
      </c>
      <c r="F273" s="70" t="n">
        <f aca="false">IFERROR(VLOOKUP(C273,$AS$3:$AT$10,2,FALSE()),IFERROR(VLOOKUP(C273,$AS$15:$AT$22,2,FALSE()),""))</f>
        <v>132</v>
      </c>
      <c r="G273" s="71" t="n">
        <f aca="false">IFERROR(VLOOKUP(C273,$AS$3:$AX$10,6,FALSE()),IFERROR(VLOOKUP(C273,$AS$15:$AX$22,6,FALSE()),""))</f>
        <v>0.468190175850689</v>
      </c>
      <c r="H273" s="72" t="str">
        <f aca="false">IFERROR(VLOOKUP(C273,$AS$3:$AY$10,7,FALSE()),IFERROR(VLOOKUP(C273,$AS$15:$AY$22,7,FALSE()),""))</f>
        <v>🟡 AMARELO</v>
      </c>
      <c r="I273" s="72" t="str">
        <f aca="false">IFERROR(VLOOKUP(C273,$AS$3:$AZ$10,8,FALSE()),IFERROR(VLOOKUP(C273,$AS$15:$AZ$22,8,FALSE()),""))</f>
        <v>Sell Out</v>
      </c>
      <c r="J273" s="73"/>
      <c r="K273" s="69" t="s">
        <v>107</v>
      </c>
      <c r="L273" s="74" t="n">
        <v>3957.73</v>
      </c>
      <c r="M273" s="75" t="n">
        <v>278.12</v>
      </c>
      <c r="N273" s="75" t="n">
        <v>290.63</v>
      </c>
      <c r="O273" s="75" t="n">
        <v>297.63</v>
      </c>
      <c r="P273" s="75" t="n">
        <v>305.38</v>
      </c>
      <c r="Q273" s="75" t="n">
        <v>315.39</v>
      </c>
      <c r="R273" s="75" t="n">
        <v>323.64</v>
      </c>
      <c r="S273" s="75" t="n">
        <v>336.15</v>
      </c>
      <c r="T273" s="75" t="n">
        <v>344.4</v>
      </c>
      <c r="U273" s="75" t="n">
        <v>352.15</v>
      </c>
      <c r="V273" s="75" t="n">
        <v>360.91</v>
      </c>
      <c r="W273" s="75" t="n">
        <v>370.41</v>
      </c>
      <c r="X273" s="76" t="n">
        <v>382.92</v>
      </c>
      <c r="Y273" s="77" t="s">
        <v>20</v>
      </c>
      <c r="Z273" s="78" t="n">
        <f aca="false">SUM(AA273:AL273)</f>
        <v>1689.32</v>
      </c>
      <c r="AA273" s="75"/>
      <c r="AB273" s="75"/>
      <c r="AC273" s="75"/>
      <c r="AD273" s="75"/>
      <c r="AE273" s="75"/>
      <c r="AF273" s="75"/>
      <c r="AG273" s="75"/>
      <c r="AH273" s="75"/>
      <c r="AI273" s="75"/>
      <c r="AJ273" s="79" t="n">
        <v>661.04</v>
      </c>
      <c r="AK273" s="75"/>
      <c r="AL273" s="107" t="n">
        <v>1028.28</v>
      </c>
      <c r="AM273" s="56" t="s">
        <v>20</v>
      </c>
      <c r="AN273" s="80" t="n">
        <f aca="false">IF(L273=0,0,Z273/L273)</f>
        <v>0.426840638446786</v>
      </c>
      <c r="AO273" s="81" t="str">
        <f aca="false">IF(AN273="","",IF(AN273&gt;=0.9,"🟢",IF(AN273&gt;=0.7,"🟡",IF(AN273&gt;=0.5,"🟠","🔴"))))</f>
        <v>🔴</v>
      </c>
      <c r="AP273" s="82" t="n">
        <f aca="false">IF(L273=0,0,L273-Z273)</f>
        <v>2268.41</v>
      </c>
      <c r="AQ273" s="83" t="n">
        <f aca="false">IF(AP273=0,"",RANK(AP273,AP$4:AP$503,0))</f>
        <v>251</v>
      </c>
      <c r="AR273" s="84" t="s">
        <v>20</v>
      </c>
      <c r="AS273" s="141"/>
      <c r="AT273" s="141"/>
      <c r="AU273" s="141"/>
      <c r="AV273" s="141"/>
      <c r="AW273" s="141"/>
      <c r="AX273" s="141"/>
      <c r="AY273" s="142"/>
      <c r="AZ273" s="142"/>
      <c r="BA273" s="56" t="s">
        <v>20</v>
      </c>
      <c r="BB273" s="91" t="n">
        <f aca="false">SUM(L$4:L$503)/COUNTA(A$4:A$503)</f>
        <v>9494.39992</v>
      </c>
      <c r="BC273" s="92" t="n">
        <f aca="false">SUM(M$4:M$503)/COUNTA(A$4:A$503)</f>
        <v>667.20008</v>
      </c>
      <c r="BD273" s="92" t="n">
        <f aca="false">SUM(N$4:N$503)/COUNTA(A$4:A$503)</f>
        <v>697.19996</v>
      </c>
      <c r="BE273" s="92" t="n">
        <f aca="false">SUM(O$4:O$503)/COUNTA(A$4:A$503)</f>
        <v>713.9999</v>
      </c>
      <c r="BF273" s="92" t="n">
        <f aca="false">SUM(P$4:P$503)/COUNTA(A$4:A$503)</f>
        <v>732.59984</v>
      </c>
      <c r="BG273" s="92" t="n">
        <f aca="false">SUM(Q$4:Q$503)/COUNTA(A$4:A$503)</f>
        <v>756.59992</v>
      </c>
      <c r="BH273" s="92" t="n">
        <f aca="false">SUM(R$4:R$503)/COUNTA(A$4:A$503)</f>
        <v>776.40004</v>
      </c>
      <c r="BI273" s="92" t="n">
        <f aca="false">SUM(S$4:S$503)/COUNTA(A$4:A$503)</f>
        <v>806.40012</v>
      </c>
      <c r="BJ273" s="92" t="n">
        <f aca="false">SUM(T$4:T$503)/COUNTA(A$4:A$503)</f>
        <v>826.1999</v>
      </c>
      <c r="BK273" s="92" t="n">
        <f aca="false">SUM(U$4:U$503)/COUNTA(A$4:A$503)</f>
        <v>844.8002</v>
      </c>
      <c r="BL273" s="92" t="n">
        <f aca="false">SUM(V$4:V$503)/COUNTA(A$4:A$503)</f>
        <v>865.7998</v>
      </c>
      <c r="BM273" s="92" t="n">
        <f aca="false">SUM(W$4:W$503)/COUNTA(A$4:A$503)</f>
        <v>888.59982</v>
      </c>
      <c r="BN273" s="93" t="n">
        <f aca="false">SUM(X$4:X$503)/COUNTA(A$4:A$503)</f>
        <v>918.60034</v>
      </c>
      <c r="BO273" s="94" t="s">
        <v>20</v>
      </c>
      <c r="BP273" s="91" t="n">
        <f aca="false">IF(Z273&gt;=BB273,0,IFERROR(BB273+(SUMPRODUCT((Z$4:Z$503&gt;=BB$4:BB$503)*(Z$4:Z$503-BB$4:BB$503))/MAX(1,COUNTIF(Z$4:Z$503,"&lt;"&amp;BB273+0.01))),BB273))</f>
        <v>10695.5432177778</v>
      </c>
      <c r="BQ273" s="92" t="n">
        <f aca="false">IF(AA273&gt;=BC273,0,IFERROR(BC273+SUMPRODUCT((AA$4:AA$503&gt;=BC$4:BC$503)*(AA$4:AA$503-BC$4:BC$503))/MAX(1,COUNTIF(AA$4:AA$503,"&lt;"&amp;BC273+0.01)),BC273))</f>
        <v>2238.46589176471</v>
      </c>
      <c r="BR273" s="92" t="n">
        <f aca="false">IF(AB273&gt;=BD273,0,IFERROR(BD273+SUMPRODUCT((AB$4:AB$503&gt;=BD$4:BD$503)*(AB$4:AB$503-BD$4:BD$503))/MAX(1,COUNTIF(AB$4:AB$503,"&lt;"&amp;BD273+0.01)),BD273))</f>
        <v>3335.2938</v>
      </c>
      <c r="BS273" s="92" t="n">
        <f aca="false">IF(AC273&gt;=BE273,0,IFERROR(BE273+SUMPRODUCT((AC$4:AC$503&gt;=BE$4:BE$503)*(AC$4:AC$503-BE$4:BE$503))/MAX(1,COUNTIF(AC$4:AC$503,"&lt;"&amp;BE273+0.01)),BE273))</f>
        <v>6188.73352</v>
      </c>
      <c r="BT273" s="92" t="n">
        <f aca="false">IF(AD273&gt;=BF273,0,IFERROR(BF273+SUMPRODUCT((AD$4:AD$503&gt;=BF$4:BF$503)*(AD$4:AD$503-BF$4:BF$503))/MAX(1,COUNTIF(AD$4:AD$503,"&lt;"&amp;BF273+0.01)),BF273))</f>
        <v>11354.35411</v>
      </c>
      <c r="BU273" s="92" t="n">
        <f aca="false">IF(AE273&gt;=BG273,0,IFERROR(BG273+SUMPRODUCT((AE$4:AE$503&gt;=BG$4:BG$503)*(AE$4:AE$503-BG$4:BG$503))/MAX(1,COUNTIF(AE$4:AE$503,"&lt;"&amp;BG273+0.01)),BG273))</f>
        <v>7704.85920380952</v>
      </c>
      <c r="BV273" s="92" t="n">
        <f aca="false">IF(AF273&gt;=BH273,0,IFERROR(BH273+SUMPRODUCT((AF$4:AF$503&gt;=BH$4:BH$503)*(AF$4:AF$503-BH$4:BH$503))/MAX(1,COUNTIF(AF$4:AF$503,"&lt;"&amp;BH273+0.01)),BH273))</f>
        <v>9942.6503831579</v>
      </c>
      <c r="BW273" s="92" t="n">
        <f aca="false">IF(AG273&gt;=BI273,0,IFERROR(BI273+SUMPRODUCT((AG$4:AG$503&gt;=BI$4:BI$503)*(AG$4:AG$503-BI$4:BI$503))/MAX(1,COUNTIF(AG$4:AG$503,"&lt;"&amp;BI273+0.01)),BI273))</f>
        <v>9142.15870461538</v>
      </c>
      <c r="BX273" s="92" t="n">
        <f aca="false">IF(AH273&gt;=BJ273,0,IFERROR(BJ273+SUMPRODUCT((AH$4:AH$503&gt;=BJ$4:BJ$503)*(AH$4:AH$503-BJ$4:BJ$503))/MAX(1,COUNTIF(AH$4:AH$503,"&lt;"&amp;BJ273+0.01)),BJ273))</f>
        <v>5621.50263448276</v>
      </c>
      <c r="BY273" s="92" t="n">
        <f aca="false">IF(AI273&gt;=BK273,0,IFERROR(BK273+SUMPRODUCT((AI$4:AI$503&gt;=BK$4:BK$503)*(AI$4:AI$503-BK$4:BK$503))/MAX(1,COUNTIF(AI$4:AI$503,"&lt;"&amp;BK273+0.01)),BK273))</f>
        <v>7878.25652380952</v>
      </c>
      <c r="BZ273" s="92" t="n">
        <f aca="false">IF(AJ273&gt;=BL273,0,IFERROR(BL273+SUMPRODUCT((AJ$4:AJ$503&gt;=BL$4:BL$503)*(AJ$4:AJ$503-BL$4:BL$503))/MAX(1,COUNTIF(AJ$4:AJ$503,"&lt;"&amp;BL273+0.01)),BL273))</f>
        <v>6710.03292307692</v>
      </c>
      <c r="CA273" s="92" t="n">
        <f aca="false">IF(AK273&gt;=BM273,0,IFERROR(BM273+SUMPRODUCT((AK$4:AK$503&gt;=BM$4:BM$503)*(AK$4:AK$503-BM$4:BM$503))/MAX(1,COUNTIF(AK$4:AK$503,"&lt;"&amp;BM273+0.01)),BM273))</f>
        <v>7314.89836842105</v>
      </c>
      <c r="CB273" s="93" t="n">
        <f aca="false">IF(AL273&gt;=BN273,0,IFERROR(BN273+SUMPRODUCT((AL$4:AL$503&gt;=BN$4:BN$503)*(AL$4:AL$503-BN$4:BN$503))/MAX(1,COUNTIF(AL$4:AL$503,"&lt;"&amp;BN273+0.01)),BN273))</f>
        <v>0</v>
      </c>
      <c r="CC273" s="95" t="str">
        <f aca="false">IF(AO273="🟢","VERDE",IF(AO273="🟡","AMARELO",IF(AO273="🟠","VERMELHO",IF(AO273="🔴","VERMELHO","ROXO"))))</f>
        <v>VERMELHO</v>
      </c>
      <c r="CD273" s="96" t="s">
        <v>103</v>
      </c>
      <c r="CE273" s="96" t="s">
        <v>104</v>
      </c>
    </row>
    <row r="274" customFormat="false" ht="14.25" hidden="false" customHeight="true" outlineLevel="0" collapsed="false">
      <c r="A274" s="65" t="s">
        <v>682</v>
      </c>
      <c r="B274" s="66" t="s">
        <v>683</v>
      </c>
      <c r="C274" s="67" t="s">
        <v>149</v>
      </c>
      <c r="D274" s="68" t="s">
        <v>100</v>
      </c>
      <c r="E274" s="69" t="s">
        <v>119</v>
      </c>
      <c r="F274" s="70" t="n">
        <f aca="false">IFERROR(VLOOKUP(C274,$AS$3:$AT$10,2,FALSE()),IFERROR(VLOOKUP(C274,$AS$15:$AT$22,2,FALSE()),""))</f>
        <v>29</v>
      </c>
      <c r="G274" s="71" t="n">
        <f aca="false">IFERROR(VLOOKUP(C274,$AS$3:$AX$10,6,FALSE()),IFERROR(VLOOKUP(C274,$AS$15:$AX$22,6,FALSE()),""))</f>
        <v>0.425845065256079</v>
      </c>
      <c r="H274" s="72" t="str">
        <f aca="false">IFERROR(VLOOKUP(C274,$AS$3:$AY$10,7,FALSE()),IFERROR(VLOOKUP(C274,$AS$15:$AY$22,7,FALSE()),""))</f>
        <v>🟡 AMARELO</v>
      </c>
      <c r="I274" s="72" t="str">
        <f aca="false">IFERROR(VLOOKUP(C274,$AS$3:$AZ$10,8,FALSE()),IFERROR(VLOOKUP(C274,$AS$15:$AZ$22,8,FALSE()),""))</f>
        <v>Sell Out</v>
      </c>
      <c r="J274" s="73"/>
      <c r="K274" s="69" t="s">
        <v>149</v>
      </c>
      <c r="L274" s="74" t="n">
        <v>3943.91</v>
      </c>
      <c r="M274" s="75" t="n">
        <v>277.15</v>
      </c>
      <c r="N274" s="75" t="n">
        <v>289.61</v>
      </c>
      <c r="O274" s="75" t="n">
        <v>296.59</v>
      </c>
      <c r="P274" s="75" t="n">
        <v>304.32</v>
      </c>
      <c r="Q274" s="75" t="n">
        <v>314.29</v>
      </c>
      <c r="R274" s="75" t="n">
        <v>322.51</v>
      </c>
      <c r="S274" s="75" t="n">
        <v>334.97</v>
      </c>
      <c r="T274" s="75" t="n">
        <v>343.2</v>
      </c>
      <c r="U274" s="75" t="n">
        <v>350.92</v>
      </c>
      <c r="V274" s="75" t="n">
        <v>359.65</v>
      </c>
      <c r="W274" s="75" t="n">
        <v>369.12</v>
      </c>
      <c r="X274" s="76" t="n">
        <v>381.58</v>
      </c>
      <c r="Y274" s="77" t="s">
        <v>20</v>
      </c>
      <c r="Z274" s="78" t="n">
        <f aca="false">SUM(AA274:AL274)</f>
        <v>1586.05</v>
      </c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9" t="n">
        <v>1586.05</v>
      </c>
      <c r="AL274" s="76"/>
      <c r="AM274" s="56" t="s">
        <v>20</v>
      </c>
      <c r="AN274" s="80" t="n">
        <f aca="false">IF(L274=0,0,Z274/L274)</f>
        <v>0.402151671818069</v>
      </c>
      <c r="AO274" s="81" t="str">
        <f aca="false">IF(AN274="","",IF(AN274&gt;=0.9,"🟢",IF(AN274&gt;=0.7,"🟡",IF(AN274&gt;=0.5,"🟠","🔴"))))</f>
        <v>🔴</v>
      </c>
      <c r="AP274" s="82" t="n">
        <f aca="false">IF(L274=0,0,L274-Z274)</f>
        <v>2357.86</v>
      </c>
      <c r="AQ274" s="83" t="n">
        <f aca="false">IF(AP274=0,"",RANK(AP274,AP$4:AP$503,0))</f>
        <v>245</v>
      </c>
      <c r="AR274" s="84" t="s">
        <v>20</v>
      </c>
      <c r="AS274" s="141"/>
      <c r="AT274" s="141"/>
      <c r="AU274" s="141"/>
      <c r="AV274" s="141"/>
      <c r="AW274" s="141"/>
      <c r="AX274" s="141"/>
      <c r="AY274" s="142"/>
      <c r="AZ274" s="142"/>
      <c r="BA274" s="56" t="s">
        <v>20</v>
      </c>
      <c r="BB274" s="91" t="n">
        <f aca="false">SUM(L$4:L$503)/COUNTA(A$4:A$503)</f>
        <v>9494.39992</v>
      </c>
      <c r="BC274" s="92" t="n">
        <f aca="false">SUM(M$4:M$503)/COUNTA(A$4:A$503)</f>
        <v>667.20008</v>
      </c>
      <c r="BD274" s="92" t="n">
        <f aca="false">SUM(N$4:N$503)/COUNTA(A$4:A$503)</f>
        <v>697.19996</v>
      </c>
      <c r="BE274" s="92" t="n">
        <f aca="false">SUM(O$4:O$503)/COUNTA(A$4:A$503)</f>
        <v>713.9999</v>
      </c>
      <c r="BF274" s="92" t="n">
        <f aca="false">SUM(P$4:P$503)/COUNTA(A$4:A$503)</f>
        <v>732.59984</v>
      </c>
      <c r="BG274" s="92" t="n">
        <f aca="false">SUM(Q$4:Q$503)/COUNTA(A$4:A$503)</f>
        <v>756.59992</v>
      </c>
      <c r="BH274" s="92" t="n">
        <f aca="false">SUM(R$4:R$503)/COUNTA(A$4:A$503)</f>
        <v>776.40004</v>
      </c>
      <c r="BI274" s="92" t="n">
        <f aca="false">SUM(S$4:S$503)/COUNTA(A$4:A$503)</f>
        <v>806.40012</v>
      </c>
      <c r="BJ274" s="92" t="n">
        <f aca="false">SUM(T$4:T$503)/COUNTA(A$4:A$503)</f>
        <v>826.1999</v>
      </c>
      <c r="BK274" s="92" t="n">
        <f aca="false">SUM(U$4:U$503)/COUNTA(A$4:A$503)</f>
        <v>844.8002</v>
      </c>
      <c r="BL274" s="92" t="n">
        <f aca="false">SUM(V$4:V$503)/COUNTA(A$4:A$503)</f>
        <v>865.7998</v>
      </c>
      <c r="BM274" s="92" t="n">
        <f aca="false">SUM(W$4:W$503)/COUNTA(A$4:A$503)</f>
        <v>888.59982</v>
      </c>
      <c r="BN274" s="93" t="n">
        <f aca="false">SUM(X$4:X$503)/COUNTA(A$4:A$503)</f>
        <v>918.60034</v>
      </c>
      <c r="BO274" s="94" t="s">
        <v>20</v>
      </c>
      <c r="BP274" s="91" t="n">
        <f aca="false">IF(Z274&gt;=BB274,0,IFERROR(BB274+(SUMPRODUCT((Z$4:Z$503&gt;=BB$4:BB$503)*(Z$4:Z$503-BB$4:BB$503))/MAX(1,COUNTIF(Z$4:Z$503,"&lt;"&amp;BB274+0.01))),BB274))</f>
        <v>10695.5432177778</v>
      </c>
      <c r="BQ274" s="92" t="n">
        <f aca="false">IF(AA274&gt;=BC274,0,IFERROR(BC274+SUMPRODUCT((AA$4:AA$503&gt;=BC$4:BC$503)*(AA$4:AA$503-BC$4:BC$503))/MAX(1,COUNTIF(AA$4:AA$503,"&lt;"&amp;BC274+0.01)),BC274))</f>
        <v>2238.46589176471</v>
      </c>
      <c r="BR274" s="92" t="n">
        <f aca="false">IF(AB274&gt;=BD274,0,IFERROR(BD274+SUMPRODUCT((AB$4:AB$503&gt;=BD$4:BD$503)*(AB$4:AB$503-BD$4:BD$503))/MAX(1,COUNTIF(AB$4:AB$503,"&lt;"&amp;BD274+0.01)),BD274))</f>
        <v>3335.2938</v>
      </c>
      <c r="BS274" s="92" t="n">
        <f aca="false">IF(AC274&gt;=BE274,0,IFERROR(BE274+SUMPRODUCT((AC$4:AC$503&gt;=BE$4:BE$503)*(AC$4:AC$503-BE$4:BE$503))/MAX(1,COUNTIF(AC$4:AC$503,"&lt;"&amp;BE274+0.01)),BE274))</f>
        <v>6188.73352</v>
      </c>
      <c r="BT274" s="92" t="n">
        <f aca="false">IF(AD274&gt;=BF274,0,IFERROR(BF274+SUMPRODUCT((AD$4:AD$503&gt;=BF$4:BF$503)*(AD$4:AD$503-BF$4:BF$503))/MAX(1,COUNTIF(AD$4:AD$503,"&lt;"&amp;BF274+0.01)),BF274))</f>
        <v>11354.35411</v>
      </c>
      <c r="BU274" s="92" t="n">
        <f aca="false">IF(AE274&gt;=BG274,0,IFERROR(BG274+SUMPRODUCT((AE$4:AE$503&gt;=BG$4:BG$503)*(AE$4:AE$503-BG$4:BG$503))/MAX(1,COUNTIF(AE$4:AE$503,"&lt;"&amp;BG274+0.01)),BG274))</f>
        <v>7704.85920380952</v>
      </c>
      <c r="BV274" s="92" t="n">
        <f aca="false">IF(AF274&gt;=BH274,0,IFERROR(BH274+SUMPRODUCT((AF$4:AF$503&gt;=BH$4:BH$503)*(AF$4:AF$503-BH$4:BH$503))/MAX(1,COUNTIF(AF$4:AF$503,"&lt;"&amp;BH274+0.01)),BH274))</f>
        <v>9942.6503831579</v>
      </c>
      <c r="BW274" s="92" t="n">
        <f aca="false">IF(AG274&gt;=BI274,0,IFERROR(BI274+SUMPRODUCT((AG$4:AG$503&gt;=BI$4:BI$503)*(AG$4:AG$503-BI$4:BI$503))/MAX(1,COUNTIF(AG$4:AG$503,"&lt;"&amp;BI274+0.01)),BI274))</f>
        <v>9142.15870461538</v>
      </c>
      <c r="BX274" s="92" t="n">
        <f aca="false">IF(AH274&gt;=BJ274,0,IFERROR(BJ274+SUMPRODUCT((AH$4:AH$503&gt;=BJ$4:BJ$503)*(AH$4:AH$503-BJ$4:BJ$503))/MAX(1,COUNTIF(AH$4:AH$503,"&lt;"&amp;BJ274+0.01)),BJ274))</f>
        <v>5621.50263448276</v>
      </c>
      <c r="BY274" s="92" t="n">
        <f aca="false">IF(AI274&gt;=BK274,0,IFERROR(BK274+SUMPRODUCT((AI$4:AI$503&gt;=BK$4:BK$503)*(AI$4:AI$503-BK$4:BK$503))/MAX(1,COUNTIF(AI$4:AI$503,"&lt;"&amp;BK274+0.01)),BK274))</f>
        <v>7878.25652380952</v>
      </c>
      <c r="BZ274" s="92" t="n">
        <f aca="false">IF(AJ274&gt;=BL274,0,IFERROR(BL274+SUMPRODUCT((AJ$4:AJ$503&gt;=BL$4:BL$503)*(AJ$4:AJ$503-BL$4:BL$503))/MAX(1,COUNTIF(AJ$4:AJ$503,"&lt;"&amp;BL274+0.01)),BL274))</f>
        <v>6710.03292307692</v>
      </c>
      <c r="CA274" s="92" t="n">
        <f aca="false">IF(AK274&gt;=BM274,0,IFERROR(BM274+SUMPRODUCT((AK$4:AK$503&gt;=BM$4:BM$503)*(AK$4:AK$503-BM$4:BM$503))/MAX(1,COUNTIF(AK$4:AK$503,"&lt;"&amp;BM274+0.01)),BM274))</f>
        <v>0</v>
      </c>
      <c r="CB274" s="93" t="n">
        <f aca="false">IF(AL274&gt;=BN274,0,IFERROR(BN274+SUMPRODUCT((AL$4:AL$503&gt;=BN$4:BN$503)*(AL$4:AL$503-BN$4:BN$503))/MAX(1,COUNTIF(AL$4:AL$503,"&lt;"&amp;BN274+0.01)),BN274))</f>
        <v>3597.2614925</v>
      </c>
      <c r="CC274" s="95" t="str">
        <f aca="false">IF(AO274="🟢","VERDE",IF(AO274="🟡","AMARELO",IF(AO274="🟠","VERMELHO",IF(AO274="🔴","VERMELHO","ROXO"))))</f>
        <v>VERMELHO</v>
      </c>
      <c r="CD274" s="96" t="s">
        <v>103</v>
      </c>
      <c r="CE274" s="96" t="s">
        <v>104</v>
      </c>
    </row>
    <row r="275" customFormat="false" ht="14.25" hidden="false" customHeight="true" outlineLevel="0" collapsed="false">
      <c r="A275" s="65" t="s">
        <v>684</v>
      </c>
      <c r="B275" s="66" t="s">
        <v>685</v>
      </c>
      <c r="C275" s="67" t="s">
        <v>118</v>
      </c>
      <c r="D275" s="68" t="s">
        <v>100</v>
      </c>
      <c r="E275" s="69" t="s">
        <v>119</v>
      </c>
      <c r="F275" s="70" t="n">
        <f aca="false">IFERROR(VLOOKUP(C275,$AS$3:$AT$10,2,FALSE()),IFERROR(VLOOKUP(C275,$AS$15:$AT$22,2,FALSE()),""))</f>
        <v>42</v>
      </c>
      <c r="G275" s="71" t="n">
        <f aca="false">IFERROR(VLOOKUP(C275,$AS$3:$AX$10,6,FALSE()),IFERROR(VLOOKUP(C275,$AS$15:$AX$22,6,FALSE()),""))</f>
        <v>0.424872083346704</v>
      </c>
      <c r="H275" s="72" t="str">
        <f aca="false">IFERROR(VLOOKUP(C275,$AS$3:$AY$10,7,FALSE()),IFERROR(VLOOKUP(C275,$AS$15:$AY$22,7,FALSE()),""))</f>
        <v>🟡 AMARELO</v>
      </c>
      <c r="I275" s="72" t="str">
        <f aca="false">IFERROR(VLOOKUP(C275,$AS$3:$AZ$10,8,FALSE()),IFERROR(VLOOKUP(C275,$AS$15:$AZ$22,8,FALSE()),""))</f>
        <v>Sell Out</v>
      </c>
      <c r="J275" s="73"/>
      <c r="K275" s="69" t="s">
        <v>118</v>
      </c>
      <c r="L275" s="74" t="n">
        <v>3941.87</v>
      </c>
      <c r="M275" s="75" t="n">
        <v>277.01</v>
      </c>
      <c r="N275" s="75" t="n">
        <v>289.46</v>
      </c>
      <c r="O275" s="75" t="n">
        <v>296.44</v>
      </c>
      <c r="P275" s="75" t="n">
        <v>304.16</v>
      </c>
      <c r="Q275" s="75" t="n">
        <v>314.12</v>
      </c>
      <c r="R275" s="75" t="n">
        <v>322.35</v>
      </c>
      <c r="S275" s="75" t="n">
        <v>334.8</v>
      </c>
      <c r="T275" s="75" t="n">
        <v>343.02</v>
      </c>
      <c r="U275" s="75" t="n">
        <v>350.74</v>
      </c>
      <c r="V275" s="75" t="n">
        <v>359.46</v>
      </c>
      <c r="W275" s="75" t="n">
        <v>368.93</v>
      </c>
      <c r="X275" s="76" t="n">
        <v>381.38</v>
      </c>
      <c r="Y275" s="77" t="s">
        <v>20</v>
      </c>
      <c r="Z275" s="78" t="n">
        <f aca="false">SUM(AA275:AL275)</f>
        <v>3339.65</v>
      </c>
      <c r="AA275" s="75"/>
      <c r="AB275" s="75"/>
      <c r="AC275" s="75" t="n">
        <v>1754.42</v>
      </c>
      <c r="AD275" s="79" t="n">
        <v>1585.23</v>
      </c>
      <c r="AE275" s="75"/>
      <c r="AF275" s="75"/>
      <c r="AG275" s="75"/>
      <c r="AH275" s="75"/>
      <c r="AI275" s="75"/>
      <c r="AJ275" s="75"/>
      <c r="AK275" s="75"/>
      <c r="AL275" s="76"/>
      <c r="AM275" s="56" t="s">
        <v>20</v>
      </c>
      <c r="AN275" s="80" t="n">
        <f aca="false">IF(L275=0,0,Z275/L275)</f>
        <v>0.847224794323506</v>
      </c>
      <c r="AO275" s="81" t="str">
        <f aca="false">IF(AN275="","",IF(AN275&gt;=0.9,"🟢",IF(AN275&gt;=0.7,"🟡",IF(AN275&gt;=0.5,"🟠","🔴"))))</f>
        <v>🟡</v>
      </c>
      <c r="AP275" s="82" t="n">
        <f aca="false">IF(L275=0,0,L275-Z275)</f>
        <v>602.22</v>
      </c>
      <c r="AQ275" s="83" t="n">
        <f aca="false">IF(AP275=0,"",RANK(AP275,AP$4:AP$503,0))</f>
        <v>442</v>
      </c>
      <c r="AR275" s="84" t="s">
        <v>20</v>
      </c>
      <c r="AS275" s="141"/>
      <c r="AT275" s="141"/>
      <c r="AU275" s="141"/>
      <c r="AV275" s="141"/>
      <c r="AW275" s="141"/>
      <c r="AX275" s="141"/>
      <c r="AY275" s="142"/>
      <c r="AZ275" s="142"/>
      <c r="BA275" s="56" t="s">
        <v>20</v>
      </c>
      <c r="BB275" s="91" t="n">
        <f aca="false">SUM(L$4:L$503)/COUNTA(A$4:A$503)</f>
        <v>9494.39992</v>
      </c>
      <c r="BC275" s="92" t="n">
        <f aca="false">SUM(M$4:M$503)/COUNTA(A$4:A$503)</f>
        <v>667.20008</v>
      </c>
      <c r="BD275" s="92" t="n">
        <f aca="false">SUM(N$4:N$503)/COUNTA(A$4:A$503)</f>
        <v>697.19996</v>
      </c>
      <c r="BE275" s="92" t="n">
        <f aca="false">SUM(O$4:O$503)/COUNTA(A$4:A$503)</f>
        <v>713.9999</v>
      </c>
      <c r="BF275" s="92" t="n">
        <f aca="false">SUM(P$4:P$503)/COUNTA(A$4:A$503)</f>
        <v>732.59984</v>
      </c>
      <c r="BG275" s="92" t="n">
        <f aca="false">SUM(Q$4:Q$503)/COUNTA(A$4:A$503)</f>
        <v>756.59992</v>
      </c>
      <c r="BH275" s="92" t="n">
        <f aca="false">SUM(R$4:R$503)/COUNTA(A$4:A$503)</f>
        <v>776.40004</v>
      </c>
      <c r="BI275" s="92" t="n">
        <f aca="false">SUM(S$4:S$503)/COUNTA(A$4:A$503)</f>
        <v>806.40012</v>
      </c>
      <c r="BJ275" s="92" t="n">
        <f aca="false">SUM(T$4:T$503)/COUNTA(A$4:A$503)</f>
        <v>826.1999</v>
      </c>
      <c r="BK275" s="92" t="n">
        <f aca="false">SUM(U$4:U$503)/COUNTA(A$4:A$503)</f>
        <v>844.8002</v>
      </c>
      <c r="BL275" s="92" t="n">
        <f aca="false">SUM(V$4:V$503)/COUNTA(A$4:A$503)</f>
        <v>865.7998</v>
      </c>
      <c r="BM275" s="92" t="n">
        <f aca="false">SUM(W$4:W$503)/COUNTA(A$4:A$503)</f>
        <v>888.59982</v>
      </c>
      <c r="BN275" s="93" t="n">
        <f aca="false">SUM(X$4:X$503)/COUNTA(A$4:A$503)</f>
        <v>918.60034</v>
      </c>
      <c r="BO275" s="94" t="s">
        <v>20</v>
      </c>
      <c r="BP275" s="91" t="n">
        <f aca="false">IF(Z275&gt;=BB275,0,IFERROR(BB275+(SUMPRODUCT((Z$4:Z$503&gt;=BB$4:BB$503)*(Z$4:Z$503-BB$4:BB$503))/MAX(1,COUNTIF(Z$4:Z$503,"&lt;"&amp;BB275+0.01))),BB275))</f>
        <v>10695.5432177778</v>
      </c>
      <c r="BQ275" s="92" t="n">
        <f aca="false">IF(AA275&gt;=BC275,0,IFERROR(BC275+SUMPRODUCT((AA$4:AA$503&gt;=BC$4:BC$503)*(AA$4:AA$503-BC$4:BC$503))/MAX(1,COUNTIF(AA$4:AA$503,"&lt;"&amp;BC275+0.01)),BC275))</f>
        <v>2238.46589176471</v>
      </c>
      <c r="BR275" s="92" t="n">
        <f aca="false">IF(AB275&gt;=BD275,0,IFERROR(BD275+SUMPRODUCT((AB$4:AB$503&gt;=BD$4:BD$503)*(AB$4:AB$503-BD$4:BD$503))/MAX(1,COUNTIF(AB$4:AB$503,"&lt;"&amp;BD275+0.01)),BD275))</f>
        <v>3335.2938</v>
      </c>
      <c r="BS275" s="92" t="n">
        <f aca="false">IF(AC275&gt;=BE275,0,IFERROR(BE275+SUMPRODUCT((AC$4:AC$503&gt;=BE$4:BE$503)*(AC$4:AC$503-BE$4:BE$503))/MAX(1,COUNTIF(AC$4:AC$503,"&lt;"&amp;BE275+0.01)),BE275))</f>
        <v>0</v>
      </c>
      <c r="BT275" s="92" t="n">
        <f aca="false">IF(AD275&gt;=BF275,0,IFERROR(BF275+SUMPRODUCT((AD$4:AD$503&gt;=BF$4:BF$503)*(AD$4:AD$503-BF$4:BF$503))/MAX(1,COUNTIF(AD$4:AD$503,"&lt;"&amp;BF275+0.01)),BF275))</f>
        <v>0</v>
      </c>
      <c r="BU275" s="92" t="n">
        <f aca="false">IF(AE275&gt;=BG275,0,IFERROR(BG275+SUMPRODUCT((AE$4:AE$503&gt;=BG$4:BG$503)*(AE$4:AE$503-BG$4:BG$503))/MAX(1,COUNTIF(AE$4:AE$503,"&lt;"&amp;BG275+0.01)),BG275))</f>
        <v>7704.85920380952</v>
      </c>
      <c r="BV275" s="92" t="n">
        <f aca="false">IF(AF275&gt;=BH275,0,IFERROR(BH275+SUMPRODUCT((AF$4:AF$503&gt;=BH$4:BH$503)*(AF$4:AF$503-BH$4:BH$503))/MAX(1,COUNTIF(AF$4:AF$503,"&lt;"&amp;BH275+0.01)),BH275))</f>
        <v>9942.6503831579</v>
      </c>
      <c r="BW275" s="92" t="n">
        <f aca="false">IF(AG275&gt;=BI275,0,IFERROR(BI275+SUMPRODUCT((AG$4:AG$503&gt;=BI$4:BI$503)*(AG$4:AG$503-BI$4:BI$503))/MAX(1,COUNTIF(AG$4:AG$503,"&lt;"&amp;BI275+0.01)),BI275))</f>
        <v>9142.15870461538</v>
      </c>
      <c r="BX275" s="92" t="n">
        <f aca="false">IF(AH275&gt;=BJ275,0,IFERROR(BJ275+SUMPRODUCT((AH$4:AH$503&gt;=BJ$4:BJ$503)*(AH$4:AH$503-BJ$4:BJ$503))/MAX(1,COUNTIF(AH$4:AH$503,"&lt;"&amp;BJ275+0.01)),BJ275))</f>
        <v>5621.50263448276</v>
      </c>
      <c r="BY275" s="92" t="n">
        <f aca="false">IF(AI275&gt;=BK275,0,IFERROR(BK275+SUMPRODUCT((AI$4:AI$503&gt;=BK$4:BK$503)*(AI$4:AI$503-BK$4:BK$503))/MAX(1,COUNTIF(AI$4:AI$503,"&lt;"&amp;BK275+0.01)),BK275))</f>
        <v>7878.25652380952</v>
      </c>
      <c r="BZ275" s="92" t="n">
        <f aca="false">IF(AJ275&gt;=BL275,0,IFERROR(BL275+SUMPRODUCT((AJ$4:AJ$503&gt;=BL$4:BL$503)*(AJ$4:AJ$503-BL$4:BL$503))/MAX(1,COUNTIF(AJ$4:AJ$503,"&lt;"&amp;BL275+0.01)),BL275))</f>
        <v>6710.03292307692</v>
      </c>
      <c r="CA275" s="92" t="n">
        <f aca="false">IF(AK275&gt;=BM275,0,IFERROR(BM275+SUMPRODUCT((AK$4:AK$503&gt;=BM$4:BM$503)*(AK$4:AK$503-BM$4:BM$503))/MAX(1,COUNTIF(AK$4:AK$503,"&lt;"&amp;BM275+0.01)),BM275))</f>
        <v>7314.89836842105</v>
      </c>
      <c r="CB275" s="93" t="n">
        <f aca="false">IF(AL275&gt;=BN275,0,IFERROR(BN275+SUMPRODUCT((AL$4:AL$503&gt;=BN$4:BN$503)*(AL$4:AL$503-BN$4:BN$503))/MAX(1,COUNTIF(AL$4:AL$503,"&lt;"&amp;BN275+0.01)),BN275))</f>
        <v>3597.2614925</v>
      </c>
      <c r="CC275" s="95" t="str">
        <f aca="false">IF(AO275="🟢","VERDE",IF(AO275="🟡","AMARELO",IF(AO275="🟠","VERMELHO",IF(AO275="🔴","VERMELHO","ROXO"))))</f>
        <v>AMARELO</v>
      </c>
      <c r="CD275" s="96" t="s">
        <v>103</v>
      </c>
      <c r="CE275" s="96" t="s">
        <v>104</v>
      </c>
    </row>
    <row r="276" customFormat="false" ht="14.25" hidden="false" customHeight="true" outlineLevel="0" collapsed="false">
      <c r="A276" s="65" t="s">
        <v>686</v>
      </c>
      <c r="B276" s="66" t="s">
        <v>687</v>
      </c>
      <c r="C276" s="67" t="s">
        <v>99</v>
      </c>
      <c r="D276" s="68" t="s">
        <v>100</v>
      </c>
      <c r="E276" s="69" t="s">
        <v>127</v>
      </c>
      <c r="F276" s="70" t="n">
        <f aca="false">IFERROR(VLOOKUP(C276,$AS$3:$AT$10,2,FALSE()),IFERROR(VLOOKUP(C276,$AS$15:$AT$22,2,FALSE()),""))</f>
        <v>33</v>
      </c>
      <c r="G276" s="71" t="n">
        <f aca="false">IFERROR(VLOOKUP(C276,$AS$3:$AX$10,6,FALSE()),IFERROR(VLOOKUP(C276,$AS$15:$AX$22,6,FALSE()),""))</f>
        <v>0.341494038351172</v>
      </c>
      <c r="H276" s="72" t="str">
        <f aca="false">IFERROR(VLOOKUP(C276,$AS$3:$AY$10,7,FALSE()),IFERROR(VLOOKUP(C276,$AS$15:$AY$22,7,FALSE()),""))</f>
        <v>🔴 VERMELHO</v>
      </c>
      <c r="I276" s="72" t="str">
        <f aca="false">IFERROR(VLOOKUP(C276,$AS$3:$AZ$10,8,FALSE()),IFERROR(VLOOKUP(C276,$AS$15:$AZ$22,8,FALSE()),""))</f>
        <v>Positivação + Expandir</v>
      </c>
      <c r="J276" s="73"/>
      <c r="K276" s="69" t="s">
        <v>99</v>
      </c>
      <c r="L276" s="74" t="n">
        <v>3904.01</v>
      </c>
      <c r="M276" s="75" t="n">
        <v>274.35</v>
      </c>
      <c r="N276" s="75" t="n">
        <v>286.68</v>
      </c>
      <c r="O276" s="75" t="n">
        <v>293.59</v>
      </c>
      <c r="P276" s="75" t="n">
        <v>301.24</v>
      </c>
      <c r="Q276" s="75" t="n">
        <v>311.11</v>
      </c>
      <c r="R276" s="75" t="n">
        <v>319.25</v>
      </c>
      <c r="S276" s="75" t="n">
        <v>331.58</v>
      </c>
      <c r="T276" s="75" t="n">
        <v>339.73</v>
      </c>
      <c r="U276" s="75" t="n">
        <v>347.37</v>
      </c>
      <c r="V276" s="75" t="n">
        <v>356.01</v>
      </c>
      <c r="W276" s="75" t="n">
        <v>365.38</v>
      </c>
      <c r="X276" s="76" t="n">
        <v>377.72</v>
      </c>
      <c r="Y276" s="77" t="s">
        <v>20</v>
      </c>
      <c r="Z276" s="78" t="n">
        <f aca="false">SUM(AA276:AL276)</f>
        <v>1648.08</v>
      </c>
      <c r="AA276" s="75"/>
      <c r="AB276" s="75"/>
      <c r="AC276" s="75"/>
      <c r="AD276" s="75"/>
      <c r="AE276" s="75"/>
      <c r="AF276" s="75"/>
      <c r="AG276" s="75"/>
      <c r="AH276" s="75"/>
      <c r="AI276" s="79" t="n">
        <v>1648.08</v>
      </c>
      <c r="AJ276" s="75"/>
      <c r="AK276" s="75"/>
      <c r="AL276" s="76"/>
      <c r="AM276" s="56" t="s">
        <v>20</v>
      </c>
      <c r="AN276" s="80" t="n">
        <f aca="false">IF(L276=0,0,Z276/L276)</f>
        <v>0.422150558015989</v>
      </c>
      <c r="AO276" s="81" t="str">
        <f aca="false">IF(AN276="","",IF(AN276&gt;=0.9,"🟢",IF(AN276&gt;=0.7,"🟡",IF(AN276&gt;=0.5,"🟠","🔴"))))</f>
        <v>🔴</v>
      </c>
      <c r="AP276" s="82" t="n">
        <f aca="false">IF(L276=0,0,L276-Z276)</f>
        <v>2255.93</v>
      </c>
      <c r="AQ276" s="83" t="n">
        <f aca="false">IF(AP276=0,"",RANK(AP276,AP$4:AP$503,0))</f>
        <v>253</v>
      </c>
      <c r="AR276" s="84" t="s">
        <v>20</v>
      </c>
      <c r="AS276" s="141"/>
      <c r="AT276" s="141"/>
      <c r="AU276" s="141"/>
      <c r="AV276" s="141"/>
      <c r="AW276" s="141"/>
      <c r="AX276" s="141"/>
      <c r="AY276" s="142"/>
      <c r="AZ276" s="142"/>
      <c r="BA276" s="56" t="s">
        <v>20</v>
      </c>
      <c r="BB276" s="91" t="n">
        <f aca="false">SUM(L$4:L$503)/COUNTA(A$4:A$503)</f>
        <v>9494.39992</v>
      </c>
      <c r="BC276" s="92" t="n">
        <f aca="false">SUM(M$4:M$503)/COUNTA(A$4:A$503)</f>
        <v>667.20008</v>
      </c>
      <c r="BD276" s="92" t="n">
        <f aca="false">SUM(N$4:N$503)/COUNTA(A$4:A$503)</f>
        <v>697.19996</v>
      </c>
      <c r="BE276" s="92" t="n">
        <f aca="false">SUM(O$4:O$503)/COUNTA(A$4:A$503)</f>
        <v>713.9999</v>
      </c>
      <c r="BF276" s="92" t="n">
        <f aca="false">SUM(P$4:P$503)/COUNTA(A$4:A$503)</f>
        <v>732.59984</v>
      </c>
      <c r="BG276" s="92" t="n">
        <f aca="false">SUM(Q$4:Q$503)/COUNTA(A$4:A$503)</f>
        <v>756.59992</v>
      </c>
      <c r="BH276" s="92" t="n">
        <f aca="false">SUM(R$4:R$503)/COUNTA(A$4:A$503)</f>
        <v>776.40004</v>
      </c>
      <c r="BI276" s="92" t="n">
        <f aca="false">SUM(S$4:S$503)/COUNTA(A$4:A$503)</f>
        <v>806.40012</v>
      </c>
      <c r="BJ276" s="92" t="n">
        <f aca="false">SUM(T$4:T$503)/COUNTA(A$4:A$503)</f>
        <v>826.1999</v>
      </c>
      <c r="BK276" s="92" t="n">
        <f aca="false">SUM(U$4:U$503)/COUNTA(A$4:A$503)</f>
        <v>844.8002</v>
      </c>
      <c r="BL276" s="92" t="n">
        <f aca="false">SUM(V$4:V$503)/COUNTA(A$4:A$503)</f>
        <v>865.7998</v>
      </c>
      <c r="BM276" s="92" t="n">
        <f aca="false">SUM(W$4:W$503)/COUNTA(A$4:A$503)</f>
        <v>888.59982</v>
      </c>
      <c r="BN276" s="93" t="n">
        <f aca="false">SUM(X$4:X$503)/COUNTA(A$4:A$503)</f>
        <v>918.60034</v>
      </c>
      <c r="BO276" s="94" t="s">
        <v>20</v>
      </c>
      <c r="BP276" s="91" t="n">
        <f aca="false">IF(Z276&gt;=BB276,0,IFERROR(BB276+(SUMPRODUCT((Z$4:Z$503&gt;=BB$4:BB$503)*(Z$4:Z$503-BB$4:BB$503))/MAX(1,COUNTIF(Z$4:Z$503,"&lt;"&amp;BB276+0.01))),BB276))</f>
        <v>10695.5432177778</v>
      </c>
      <c r="BQ276" s="92" t="n">
        <f aca="false">IF(AA276&gt;=BC276,0,IFERROR(BC276+SUMPRODUCT((AA$4:AA$503&gt;=BC$4:BC$503)*(AA$4:AA$503-BC$4:BC$503))/MAX(1,COUNTIF(AA$4:AA$503,"&lt;"&amp;BC276+0.01)),BC276))</f>
        <v>2238.46589176471</v>
      </c>
      <c r="BR276" s="92" t="n">
        <f aca="false">IF(AB276&gt;=BD276,0,IFERROR(BD276+SUMPRODUCT((AB$4:AB$503&gt;=BD$4:BD$503)*(AB$4:AB$503-BD$4:BD$503))/MAX(1,COUNTIF(AB$4:AB$503,"&lt;"&amp;BD276+0.01)),BD276))</f>
        <v>3335.2938</v>
      </c>
      <c r="BS276" s="92" t="n">
        <f aca="false">IF(AC276&gt;=BE276,0,IFERROR(BE276+SUMPRODUCT((AC$4:AC$503&gt;=BE$4:BE$503)*(AC$4:AC$503-BE$4:BE$503))/MAX(1,COUNTIF(AC$4:AC$503,"&lt;"&amp;BE276+0.01)),BE276))</f>
        <v>6188.73352</v>
      </c>
      <c r="BT276" s="92" t="n">
        <f aca="false">IF(AD276&gt;=BF276,0,IFERROR(BF276+SUMPRODUCT((AD$4:AD$503&gt;=BF$4:BF$503)*(AD$4:AD$503-BF$4:BF$503))/MAX(1,COUNTIF(AD$4:AD$503,"&lt;"&amp;BF276+0.01)),BF276))</f>
        <v>11354.35411</v>
      </c>
      <c r="BU276" s="92" t="n">
        <f aca="false">IF(AE276&gt;=BG276,0,IFERROR(BG276+SUMPRODUCT((AE$4:AE$503&gt;=BG$4:BG$503)*(AE$4:AE$503-BG$4:BG$503))/MAX(1,COUNTIF(AE$4:AE$503,"&lt;"&amp;BG276+0.01)),BG276))</f>
        <v>7704.85920380952</v>
      </c>
      <c r="BV276" s="92" t="n">
        <f aca="false">IF(AF276&gt;=BH276,0,IFERROR(BH276+SUMPRODUCT((AF$4:AF$503&gt;=BH$4:BH$503)*(AF$4:AF$503-BH$4:BH$503))/MAX(1,COUNTIF(AF$4:AF$503,"&lt;"&amp;BH276+0.01)),BH276))</f>
        <v>9942.6503831579</v>
      </c>
      <c r="BW276" s="92" t="n">
        <f aca="false">IF(AG276&gt;=BI276,0,IFERROR(BI276+SUMPRODUCT((AG$4:AG$503&gt;=BI$4:BI$503)*(AG$4:AG$503-BI$4:BI$503))/MAX(1,COUNTIF(AG$4:AG$503,"&lt;"&amp;BI276+0.01)),BI276))</f>
        <v>9142.15870461538</v>
      </c>
      <c r="BX276" s="92" t="n">
        <f aca="false">IF(AH276&gt;=BJ276,0,IFERROR(BJ276+SUMPRODUCT((AH$4:AH$503&gt;=BJ$4:BJ$503)*(AH$4:AH$503-BJ$4:BJ$503))/MAX(1,COUNTIF(AH$4:AH$503,"&lt;"&amp;BJ276+0.01)),BJ276))</f>
        <v>5621.50263448276</v>
      </c>
      <c r="BY276" s="92" t="n">
        <f aca="false">IF(AI276&gt;=BK276,0,IFERROR(BK276+SUMPRODUCT((AI$4:AI$503&gt;=BK$4:BK$503)*(AI$4:AI$503-BK$4:BK$503))/MAX(1,COUNTIF(AI$4:AI$503,"&lt;"&amp;BK276+0.01)),BK276))</f>
        <v>0</v>
      </c>
      <c r="BZ276" s="92" t="n">
        <f aca="false">IF(AJ276&gt;=BL276,0,IFERROR(BL276+SUMPRODUCT((AJ$4:AJ$503&gt;=BL$4:BL$503)*(AJ$4:AJ$503-BL$4:BL$503))/MAX(1,COUNTIF(AJ$4:AJ$503,"&lt;"&amp;BL276+0.01)),BL276))</f>
        <v>6710.03292307692</v>
      </c>
      <c r="CA276" s="92" t="n">
        <f aca="false">IF(AK276&gt;=BM276,0,IFERROR(BM276+SUMPRODUCT((AK$4:AK$503&gt;=BM$4:BM$503)*(AK$4:AK$503-BM$4:BM$503))/MAX(1,COUNTIF(AK$4:AK$503,"&lt;"&amp;BM276+0.01)),BM276))</f>
        <v>7314.89836842105</v>
      </c>
      <c r="CB276" s="93" t="n">
        <f aca="false">IF(AL276&gt;=BN276,0,IFERROR(BN276+SUMPRODUCT((AL$4:AL$503&gt;=BN$4:BN$503)*(AL$4:AL$503-BN$4:BN$503))/MAX(1,COUNTIF(AL$4:AL$503,"&lt;"&amp;BN276+0.01)),BN276))</f>
        <v>3597.2614925</v>
      </c>
      <c r="CC276" s="95" t="str">
        <f aca="false">IF(AO276="🟢","VERDE",IF(AO276="🟡","AMARELO",IF(AO276="🟠","VERMELHO",IF(AO276="🔴","VERMELHO","ROXO"))))</f>
        <v>VERMELHO</v>
      </c>
      <c r="CD276" s="96" t="s">
        <v>103</v>
      </c>
      <c r="CE276" s="96" t="s">
        <v>104</v>
      </c>
    </row>
    <row r="277" customFormat="false" ht="14.25" hidden="false" customHeight="true" outlineLevel="0" collapsed="false">
      <c r="A277" s="65" t="s">
        <v>688</v>
      </c>
      <c r="B277" s="66" t="s">
        <v>689</v>
      </c>
      <c r="C277" s="66" t="s">
        <v>115</v>
      </c>
      <c r="D277" s="68" t="s">
        <v>184</v>
      </c>
      <c r="E277" s="69" t="s">
        <v>243</v>
      </c>
      <c r="F277" s="70" t="n">
        <f aca="false">IFERROR(VLOOKUP(C277,$AS$3:$AT$10,2,FALSE()),IFERROR(VLOOKUP(C277,$AS$15:$AT$22,2,FALSE()),""))</f>
        <v>25</v>
      </c>
      <c r="G277" s="71" t="n">
        <f aca="false">IFERROR(VLOOKUP(C277,$AS$3:$AX$10,6,FALSE()),IFERROR(VLOOKUP(C277,$AS$15:$AX$22,6,FALSE()),""))</f>
        <v>0.536751750851081</v>
      </c>
      <c r="H277" s="72" t="str">
        <f aca="false">IFERROR(VLOOKUP(C277,$AS$3:$AY$10,7,FALSE()),IFERROR(VLOOKUP(C277,$AS$15:$AY$22,7,FALSE()),""))</f>
        <v>🟡 AMARELO</v>
      </c>
      <c r="I277" s="72" t="str">
        <f aca="false">IFERROR(VLOOKUP(C277,$AS$3:$AZ$10,8,FALSE()),IFERROR(VLOOKUP(C277,$AS$15:$AZ$22,8,FALSE()),""))</f>
        <v>Sell Out</v>
      </c>
      <c r="J277" s="73"/>
      <c r="K277" s="69" t="s">
        <v>158</v>
      </c>
      <c r="L277" s="74" t="n">
        <v>3849.31</v>
      </c>
      <c r="M277" s="75" t="n">
        <v>270.5</v>
      </c>
      <c r="N277" s="75" t="n">
        <v>282.66</v>
      </c>
      <c r="O277" s="75" t="n">
        <v>289.48</v>
      </c>
      <c r="P277" s="75" t="n">
        <v>297.02</v>
      </c>
      <c r="Q277" s="75" t="n">
        <v>306.75</v>
      </c>
      <c r="R277" s="75" t="n">
        <v>314.77</v>
      </c>
      <c r="S277" s="75" t="n">
        <v>326.94</v>
      </c>
      <c r="T277" s="75" t="n">
        <v>334.97</v>
      </c>
      <c r="U277" s="75" t="n">
        <v>342.51</v>
      </c>
      <c r="V277" s="75" t="n">
        <v>351.02</v>
      </c>
      <c r="W277" s="75" t="n">
        <v>360.26</v>
      </c>
      <c r="X277" s="76" t="n">
        <v>372.43</v>
      </c>
      <c r="Y277" s="77" t="s">
        <v>20</v>
      </c>
      <c r="Z277" s="78" t="n">
        <f aca="false">SUM(AA277:AL277)</f>
        <v>1548</v>
      </c>
      <c r="AA277" s="75"/>
      <c r="AB277" s="75"/>
      <c r="AC277" s="75"/>
      <c r="AD277" s="75"/>
      <c r="AE277" s="75"/>
      <c r="AF277" s="75"/>
      <c r="AG277" s="75"/>
      <c r="AH277" s="75"/>
      <c r="AI277" s="79" t="n">
        <v>1548</v>
      </c>
      <c r="AJ277" s="75"/>
      <c r="AK277" s="75"/>
      <c r="AL277" s="76"/>
      <c r="AM277" s="56" t="s">
        <v>20</v>
      </c>
      <c r="AN277" s="80" t="n">
        <f aca="false">IF(L277=0,0,Z277/L277)</f>
        <v>0.402149995713518</v>
      </c>
      <c r="AO277" s="81" t="str">
        <f aca="false">IF(AN277="","",IF(AN277&gt;=0.9,"🟢",IF(AN277&gt;=0.7,"🟡",IF(AN277&gt;=0.5,"🟠","🔴"))))</f>
        <v>🔴</v>
      </c>
      <c r="AP277" s="82" t="n">
        <f aca="false">IF(L277=0,0,L277-Z277)</f>
        <v>2301.31</v>
      </c>
      <c r="AQ277" s="83" t="n">
        <f aca="false">IF(AP277=0,"",RANK(AP277,AP$4:AP$503,0))</f>
        <v>247</v>
      </c>
      <c r="AR277" s="84" t="s">
        <v>20</v>
      </c>
      <c r="AS277" s="141"/>
      <c r="AT277" s="141"/>
      <c r="AU277" s="141"/>
      <c r="AV277" s="141"/>
      <c r="AW277" s="141"/>
      <c r="AX277" s="141"/>
      <c r="AY277" s="142"/>
      <c r="AZ277" s="142"/>
      <c r="BA277" s="56" t="s">
        <v>20</v>
      </c>
      <c r="BB277" s="91" t="n">
        <f aca="false">SUM(L$4:L$503)/COUNTA(A$4:A$503)</f>
        <v>9494.39992</v>
      </c>
      <c r="BC277" s="92" t="n">
        <f aca="false">SUM(M$4:M$503)/COUNTA(A$4:A$503)</f>
        <v>667.20008</v>
      </c>
      <c r="BD277" s="92" t="n">
        <f aca="false">SUM(N$4:N$503)/COUNTA(A$4:A$503)</f>
        <v>697.19996</v>
      </c>
      <c r="BE277" s="92" t="n">
        <f aca="false">SUM(O$4:O$503)/COUNTA(A$4:A$503)</f>
        <v>713.9999</v>
      </c>
      <c r="BF277" s="92" t="n">
        <f aca="false">SUM(P$4:P$503)/COUNTA(A$4:A$503)</f>
        <v>732.59984</v>
      </c>
      <c r="BG277" s="92" t="n">
        <f aca="false">SUM(Q$4:Q$503)/COUNTA(A$4:A$503)</f>
        <v>756.59992</v>
      </c>
      <c r="BH277" s="92" t="n">
        <f aca="false">SUM(R$4:R$503)/COUNTA(A$4:A$503)</f>
        <v>776.40004</v>
      </c>
      <c r="BI277" s="92" t="n">
        <f aca="false">SUM(S$4:S$503)/COUNTA(A$4:A$503)</f>
        <v>806.40012</v>
      </c>
      <c r="BJ277" s="92" t="n">
        <f aca="false">SUM(T$4:T$503)/COUNTA(A$4:A$503)</f>
        <v>826.1999</v>
      </c>
      <c r="BK277" s="92" t="n">
        <f aca="false">SUM(U$4:U$503)/COUNTA(A$4:A$503)</f>
        <v>844.8002</v>
      </c>
      <c r="BL277" s="92" t="n">
        <f aca="false">SUM(V$4:V$503)/COUNTA(A$4:A$503)</f>
        <v>865.7998</v>
      </c>
      <c r="BM277" s="92" t="n">
        <f aca="false">SUM(W$4:W$503)/COUNTA(A$4:A$503)</f>
        <v>888.59982</v>
      </c>
      <c r="BN277" s="93" t="n">
        <f aca="false">SUM(X$4:X$503)/COUNTA(A$4:A$503)</f>
        <v>918.60034</v>
      </c>
      <c r="BO277" s="94" t="s">
        <v>20</v>
      </c>
      <c r="BP277" s="91" t="n">
        <f aca="false">IF(Z277&gt;=BB277,0,IFERROR(BB277+(SUMPRODUCT((Z$4:Z$503&gt;=BB$4:BB$503)*(Z$4:Z$503-BB$4:BB$503))/MAX(1,COUNTIF(Z$4:Z$503,"&lt;"&amp;BB277+0.01))),BB277))</f>
        <v>10695.5432177778</v>
      </c>
      <c r="BQ277" s="92" t="n">
        <f aca="false">IF(AA277&gt;=BC277,0,IFERROR(BC277+SUMPRODUCT((AA$4:AA$503&gt;=BC$4:BC$503)*(AA$4:AA$503-BC$4:BC$503))/MAX(1,COUNTIF(AA$4:AA$503,"&lt;"&amp;BC277+0.01)),BC277))</f>
        <v>2238.46589176471</v>
      </c>
      <c r="BR277" s="92" t="n">
        <f aca="false">IF(AB277&gt;=BD277,0,IFERROR(BD277+SUMPRODUCT((AB$4:AB$503&gt;=BD$4:BD$503)*(AB$4:AB$503-BD$4:BD$503))/MAX(1,COUNTIF(AB$4:AB$503,"&lt;"&amp;BD277+0.01)),BD277))</f>
        <v>3335.2938</v>
      </c>
      <c r="BS277" s="92" t="n">
        <f aca="false">IF(AC277&gt;=BE277,0,IFERROR(BE277+SUMPRODUCT((AC$4:AC$503&gt;=BE$4:BE$503)*(AC$4:AC$503-BE$4:BE$503))/MAX(1,COUNTIF(AC$4:AC$503,"&lt;"&amp;BE277+0.01)),BE277))</f>
        <v>6188.73352</v>
      </c>
      <c r="BT277" s="92" t="n">
        <f aca="false">IF(AD277&gt;=BF277,0,IFERROR(BF277+SUMPRODUCT((AD$4:AD$503&gt;=BF$4:BF$503)*(AD$4:AD$503-BF$4:BF$503))/MAX(1,COUNTIF(AD$4:AD$503,"&lt;"&amp;BF277+0.01)),BF277))</f>
        <v>11354.35411</v>
      </c>
      <c r="BU277" s="92" t="n">
        <f aca="false">IF(AE277&gt;=BG277,0,IFERROR(BG277+SUMPRODUCT((AE$4:AE$503&gt;=BG$4:BG$503)*(AE$4:AE$503-BG$4:BG$503))/MAX(1,COUNTIF(AE$4:AE$503,"&lt;"&amp;BG277+0.01)),BG277))</f>
        <v>7704.85920380952</v>
      </c>
      <c r="BV277" s="92" t="n">
        <f aca="false">IF(AF277&gt;=BH277,0,IFERROR(BH277+SUMPRODUCT((AF$4:AF$503&gt;=BH$4:BH$503)*(AF$4:AF$503-BH$4:BH$503))/MAX(1,COUNTIF(AF$4:AF$503,"&lt;"&amp;BH277+0.01)),BH277))</f>
        <v>9942.6503831579</v>
      </c>
      <c r="BW277" s="92" t="n">
        <f aca="false">IF(AG277&gt;=BI277,0,IFERROR(BI277+SUMPRODUCT((AG$4:AG$503&gt;=BI$4:BI$503)*(AG$4:AG$503-BI$4:BI$503))/MAX(1,COUNTIF(AG$4:AG$503,"&lt;"&amp;BI277+0.01)),BI277))</f>
        <v>9142.15870461538</v>
      </c>
      <c r="BX277" s="92" t="n">
        <f aca="false">IF(AH277&gt;=BJ277,0,IFERROR(BJ277+SUMPRODUCT((AH$4:AH$503&gt;=BJ$4:BJ$503)*(AH$4:AH$503-BJ$4:BJ$503))/MAX(1,COUNTIF(AH$4:AH$503,"&lt;"&amp;BJ277+0.01)),BJ277))</f>
        <v>5621.50263448276</v>
      </c>
      <c r="BY277" s="92" t="n">
        <f aca="false">IF(AI277&gt;=BK277,0,IFERROR(BK277+SUMPRODUCT((AI$4:AI$503&gt;=BK$4:BK$503)*(AI$4:AI$503-BK$4:BK$503))/MAX(1,COUNTIF(AI$4:AI$503,"&lt;"&amp;BK277+0.01)),BK277))</f>
        <v>0</v>
      </c>
      <c r="BZ277" s="92" t="n">
        <f aca="false">IF(AJ277&gt;=BL277,0,IFERROR(BL277+SUMPRODUCT((AJ$4:AJ$503&gt;=BL$4:BL$503)*(AJ$4:AJ$503-BL$4:BL$503))/MAX(1,COUNTIF(AJ$4:AJ$503,"&lt;"&amp;BL277+0.01)),BL277))</f>
        <v>6710.03292307692</v>
      </c>
      <c r="CA277" s="92" t="n">
        <f aca="false">IF(AK277&gt;=BM277,0,IFERROR(BM277+SUMPRODUCT((AK$4:AK$503&gt;=BM$4:BM$503)*(AK$4:AK$503-BM$4:BM$503))/MAX(1,COUNTIF(AK$4:AK$503,"&lt;"&amp;BM277+0.01)),BM277))</f>
        <v>7314.89836842105</v>
      </c>
      <c r="CB277" s="93" t="n">
        <f aca="false">IF(AL277&gt;=BN277,0,IFERROR(BN277+SUMPRODUCT((AL$4:AL$503&gt;=BN$4:BN$503)*(AL$4:AL$503-BN$4:BN$503))/MAX(1,COUNTIF(AL$4:AL$503,"&lt;"&amp;BN277+0.01)),BN277))</f>
        <v>3597.2614925</v>
      </c>
      <c r="CC277" s="95" t="str">
        <f aca="false">IF(AO277="🟢","VERDE",IF(AO277="🟡","AMARELO",IF(AO277="🟠","VERMELHO",IF(AO277="🔴","VERMELHO","ROXO"))))</f>
        <v>VERMELHO</v>
      </c>
      <c r="CD277" s="96" t="s">
        <v>176</v>
      </c>
      <c r="CE277" s="96" t="s">
        <v>115</v>
      </c>
    </row>
    <row r="278" customFormat="false" ht="14.25" hidden="false" customHeight="true" outlineLevel="0" collapsed="false">
      <c r="A278" s="65" t="s">
        <v>690</v>
      </c>
      <c r="B278" s="66" t="s">
        <v>691</v>
      </c>
      <c r="C278" s="67" t="s">
        <v>158</v>
      </c>
      <c r="D278" s="68" t="s">
        <v>100</v>
      </c>
      <c r="E278" s="69" t="s">
        <v>692</v>
      </c>
      <c r="F278" s="70" t="n">
        <f aca="false">IFERROR(VLOOKUP(C278,$AS$3:$AT$10,2,FALSE()),IFERROR(VLOOKUP(C278,$AS$15:$AT$22,2,FALSE()),""))</f>
        <v>29</v>
      </c>
      <c r="G278" s="71" t="n">
        <f aca="false">IFERROR(VLOOKUP(C278,$AS$3:$AX$10,6,FALSE()),IFERROR(VLOOKUP(C278,$AS$15:$AX$22,6,FALSE()),""))</f>
        <v>0.458564072601712</v>
      </c>
      <c r="H278" s="72" t="str">
        <f aca="false">IFERROR(VLOOKUP(C278,$AS$3:$AY$10,7,FALSE()),IFERROR(VLOOKUP(C278,$AS$15:$AY$22,7,FALSE()),""))</f>
        <v>🟡 AMARELO</v>
      </c>
      <c r="I278" s="72" t="str">
        <f aca="false">IFERROR(VLOOKUP(C278,$AS$3:$AZ$10,8,FALSE()),IFERROR(VLOOKUP(C278,$AS$15:$AZ$22,8,FALSE()),""))</f>
        <v>Sell Out</v>
      </c>
      <c r="J278" s="73"/>
      <c r="K278" s="69" t="s">
        <v>158</v>
      </c>
      <c r="L278" s="74" t="n">
        <v>3794.74</v>
      </c>
      <c r="M278" s="75" t="n">
        <v>266.67</v>
      </c>
      <c r="N278" s="75" t="n">
        <v>278.66</v>
      </c>
      <c r="O278" s="75" t="n">
        <v>285.37</v>
      </c>
      <c r="P278" s="75" t="n">
        <v>292.81</v>
      </c>
      <c r="Q278" s="75" t="n">
        <v>302.4</v>
      </c>
      <c r="R278" s="75" t="n">
        <v>310.31</v>
      </c>
      <c r="S278" s="75" t="n">
        <v>322.3</v>
      </c>
      <c r="T278" s="75" t="n">
        <v>330.22</v>
      </c>
      <c r="U278" s="75" t="n">
        <v>337.65</v>
      </c>
      <c r="V278" s="75" t="n">
        <v>346.04</v>
      </c>
      <c r="W278" s="75" t="n">
        <v>355.16</v>
      </c>
      <c r="X278" s="76" t="n">
        <v>367.15</v>
      </c>
      <c r="Y278" s="77" t="s">
        <v>20</v>
      </c>
      <c r="Z278" s="78" t="n">
        <f aca="false">SUM(AA278:AL278)</f>
        <v>1526.05</v>
      </c>
      <c r="AA278" s="75"/>
      <c r="AB278" s="75"/>
      <c r="AC278" s="79" t="n">
        <v>1526.05</v>
      </c>
      <c r="AD278" s="75"/>
      <c r="AE278" s="75"/>
      <c r="AF278" s="75"/>
      <c r="AG278" s="75"/>
      <c r="AH278" s="75"/>
      <c r="AI278" s="75"/>
      <c r="AJ278" s="75"/>
      <c r="AK278" s="75"/>
      <c r="AL278" s="76"/>
      <c r="AM278" s="56" t="s">
        <v>20</v>
      </c>
      <c r="AN278" s="80" t="n">
        <f aca="false">IF(L278=0,0,Z278/L278)</f>
        <v>0.402148763815176</v>
      </c>
      <c r="AO278" s="81" t="str">
        <f aca="false">IF(AN278="","",IF(AN278&gt;=0.9,"🟢",IF(AN278&gt;=0.7,"🟡",IF(AN278&gt;=0.5,"🟠","🔴"))))</f>
        <v>🔴</v>
      </c>
      <c r="AP278" s="82" t="n">
        <f aca="false">IF(L278=0,0,L278-Z278)</f>
        <v>2268.69</v>
      </c>
      <c r="AQ278" s="83" t="n">
        <f aca="false">IF(AP278=0,"",RANK(AP278,AP$4:AP$503,0))</f>
        <v>250</v>
      </c>
      <c r="AR278" s="84" t="s">
        <v>20</v>
      </c>
      <c r="AS278" s="141"/>
      <c r="AT278" s="141"/>
      <c r="AU278" s="141"/>
      <c r="AV278" s="141"/>
      <c r="AW278" s="141"/>
      <c r="AX278" s="141"/>
      <c r="AY278" s="142"/>
      <c r="AZ278" s="142"/>
      <c r="BA278" s="56" t="s">
        <v>20</v>
      </c>
      <c r="BB278" s="91" t="n">
        <f aca="false">SUM(L$4:L$503)/COUNTA(A$4:A$503)</f>
        <v>9494.39992</v>
      </c>
      <c r="BC278" s="92" t="n">
        <f aca="false">SUM(M$4:M$503)/COUNTA(A$4:A$503)</f>
        <v>667.20008</v>
      </c>
      <c r="BD278" s="92" t="n">
        <f aca="false">SUM(N$4:N$503)/COUNTA(A$4:A$503)</f>
        <v>697.19996</v>
      </c>
      <c r="BE278" s="92" t="n">
        <f aca="false">SUM(O$4:O$503)/COUNTA(A$4:A$503)</f>
        <v>713.9999</v>
      </c>
      <c r="BF278" s="92" t="n">
        <f aca="false">SUM(P$4:P$503)/COUNTA(A$4:A$503)</f>
        <v>732.59984</v>
      </c>
      <c r="BG278" s="92" t="n">
        <f aca="false">SUM(Q$4:Q$503)/COUNTA(A$4:A$503)</f>
        <v>756.59992</v>
      </c>
      <c r="BH278" s="92" t="n">
        <f aca="false">SUM(R$4:R$503)/COUNTA(A$4:A$503)</f>
        <v>776.40004</v>
      </c>
      <c r="BI278" s="92" t="n">
        <f aca="false">SUM(S$4:S$503)/COUNTA(A$4:A$503)</f>
        <v>806.40012</v>
      </c>
      <c r="BJ278" s="92" t="n">
        <f aca="false">SUM(T$4:T$503)/COUNTA(A$4:A$503)</f>
        <v>826.1999</v>
      </c>
      <c r="BK278" s="92" t="n">
        <f aca="false">SUM(U$4:U$503)/COUNTA(A$4:A$503)</f>
        <v>844.8002</v>
      </c>
      <c r="BL278" s="92" t="n">
        <f aca="false">SUM(V$4:V$503)/COUNTA(A$4:A$503)</f>
        <v>865.7998</v>
      </c>
      <c r="BM278" s="92" t="n">
        <f aca="false">SUM(W$4:W$503)/COUNTA(A$4:A$503)</f>
        <v>888.59982</v>
      </c>
      <c r="BN278" s="93" t="n">
        <f aca="false">SUM(X$4:X$503)/COUNTA(A$4:A$503)</f>
        <v>918.60034</v>
      </c>
      <c r="BO278" s="94" t="s">
        <v>20</v>
      </c>
      <c r="BP278" s="91" t="n">
        <f aca="false">IF(Z278&gt;=BB278,0,IFERROR(BB278+(SUMPRODUCT((Z$4:Z$503&gt;=BB$4:BB$503)*(Z$4:Z$503-BB$4:BB$503))/MAX(1,COUNTIF(Z$4:Z$503,"&lt;"&amp;BB278+0.01))),BB278))</f>
        <v>10695.5432177778</v>
      </c>
      <c r="BQ278" s="92" t="n">
        <f aca="false">IF(AA278&gt;=BC278,0,IFERROR(BC278+SUMPRODUCT((AA$4:AA$503&gt;=BC$4:BC$503)*(AA$4:AA$503-BC$4:BC$503))/MAX(1,COUNTIF(AA$4:AA$503,"&lt;"&amp;BC278+0.01)),BC278))</f>
        <v>2238.46589176471</v>
      </c>
      <c r="BR278" s="92" t="n">
        <f aca="false">IF(AB278&gt;=BD278,0,IFERROR(BD278+SUMPRODUCT((AB$4:AB$503&gt;=BD$4:BD$503)*(AB$4:AB$503-BD$4:BD$503))/MAX(1,COUNTIF(AB$4:AB$503,"&lt;"&amp;BD278+0.01)),BD278))</f>
        <v>3335.2938</v>
      </c>
      <c r="BS278" s="92" t="n">
        <f aca="false">IF(AC278&gt;=BE278,0,IFERROR(BE278+SUMPRODUCT((AC$4:AC$503&gt;=BE$4:BE$503)*(AC$4:AC$503-BE$4:BE$503))/MAX(1,COUNTIF(AC$4:AC$503,"&lt;"&amp;BE278+0.01)),BE278))</f>
        <v>0</v>
      </c>
      <c r="BT278" s="92" t="n">
        <f aca="false">IF(AD278&gt;=BF278,0,IFERROR(BF278+SUMPRODUCT((AD$4:AD$503&gt;=BF$4:BF$503)*(AD$4:AD$503-BF$4:BF$503))/MAX(1,COUNTIF(AD$4:AD$503,"&lt;"&amp;BF278+0.01)),BF278))</f>
        <v>11354.35411</v>
      </c>
      <c r="BU278" s="92" t="n">
        <f aca="false">IF(AE278&gt;=BG278,0,IFERROR(BG278+SUMPRODUCT((AE$4:AE$503&gt;=BG$4:BG$503)*(AE$4:AE$503-BG$4:BG$503))/MAX(1,COUNTIF(AE$4:AE$503,"&lt;"&amp;BG278+0.01)),BG278))</f>
        <v>7704.85920380952</v>
      </c>
      <c r="BV278" s="92" t="n">
        <f aca="false">IF(AF278&gt;=BH278,0,IFERROR(BH278+SUMPRODUCT((AF$4:AF$503&gt;=BH$4:BH$503)*(AF$4:AF$503-BH$4:BH$503))/MAX(1,COUNTIF(AF$4:AF$503,"&lt;"&amp;BH278+0.01)),BH278))</f>
        <v>9942.6503831579</v>
      </c>
      <c r="BW278" s="92" t="n">
        <f aca="false">IF(AG278&gt;=BI278,0,IFERROR(BI278+SUMPRODUCT((AG$4:AG$503&gt;=BI$4:BI$503)*(AG$4:AG$503-BI$4:BI$503))/MAX(1,COUNTIF(AG$4:AG$503,"&lt;"&amp;BI278+0.01)),BI278))</f>
        <v>9142.15870461538</v>
      </c>
      <c r="BX278" s="92" t="n">
        <f aca="false">IF(AH278&gt;=BJ278,0,IFERROR(BJ278+SUMPRODUCT((AH$4:AH$503&gt;=BJ$4:BJ$503)*(AH$4:AH$503-BJ$4:BJ$503))/MAX(1,COUNTIF(AH$4:AH$503,"&lt;"&amp;BJ278+0.01)),BJ278))</f>
        <v>5621.50263448276</v>
      </c>
      <c r="BY278" s="92" t="n">
        <f aca="false">IF(AI278&gt;=BK278,0,IFERROR(BK278+SUMPRODUCT((AI$4:AI$503&gt;=BK$4:BK$503)*(AI$4:AI$503-BK$4:BK$503))/MAX(1,COUNTIF(AI$4:AI$503,"&lt;"&amp;BK278+0.01)),BK278))</f>
        <v>7878.25652380952</v>
      </c>
      <c r="BZ278" s="92" t="n">
        <f aca="false">IF(AJ278&gt;=BL278,0,IFERROR(BL278+SUMPRODUCT((AJ$4:AJ$503&gt;=BL$4:BL$503)*(AJ$4:AJ$503-BL$4:BL$503))/MAX(1,COUNTIF(AJ$4:AJ$503,"&lt;"&amp;BL278+0.01)),BL278))</f>
        <v>6710.03292307692</v>
      </c>
      <c r="CA278" s="92" t="n">
        <f aca="false">IF(AK278&gt;=BM278,0,IFERROR(BM278+SUMPRODUCT((AK$4:AK$503&gt;=BM$4:BM$503)*(AK$4:AK$503-BM$4:BM$503))/MAX(1,COUNTIF(AK$4:AK$503,"&lt;"&amp;BM278+0.01)),BM278))</f>
        <v>7314.89836842105</v>
      </c>
      <c r="CB278" s="93" t="n">
        <f aca="false">IF(AL278&gt;=BN278,0,IFERROR(BN278+SUMPRODUCT((AL$4:AL$503&gt;=BN$4:BN$503)*(AL$4:AL$503-BN$4:BN$503))/MAX(1,COUNTIF(AL$4:AL$503,"&lt;"&amp;BN278+0.01)),BN278))</f>
        <v>3597.2614925</v>
      </c>
      <c r="CC278" s="95" t="str">
        <f aca="false">IF(AO278="🟢","VERDE",IF(AO278="🟡","AMARELO",IF(AO278="🟠","VERMELHO",IF(AO278="🔴","VERMELHO","ROXO"))))</f>
        <v>VERMELHO</v>
      </c>
      <c r="CD278" s="96" t="s">
        <v>103</v>
      </c>
      <c r="CE278" s="96" t="s">
        <v>104</v>
      </c>
    </row>
    <row r="279" customFormat="false" ht="14.25" hidden="false" customHeight="true" outlineLevel="0" collapsed="false">
      <c r="A279" s="65" t="s">
        <v>693</v>
      </c>
      <c r="B279" s="66" t="s">
        <v>694</v>
      </c>
      <c r="C279" s="67" t="s">
        <v>123</v>
      </c>
      <c r="D279" s="68" t="s">
        <v>108</v>
      </c>
      <c r="E279" s="56" t="s">
        <v>20</v>
      </c>
      <c r="F279" s="70" t="n">
        <f aca="false">IFERROR(VLOOKUP(C279,$AS$3:$AT$10,2,FALSE()),IFERROR(VLOOKUP(C279,$AS$15:$AT$22,2,FALSE()),""))</f>
        <v>49</v>
      </c>
      <c r="G279" s="71" t="n">
        <f aca="false">IFERROR(VLOOKUP(C279,$AS$3:$AX$10,6,FALSE()),IFERROR(VLOOKUP(C279,$AS$15:$AX$22,6,FALSE()),""))</f>
        <v>0.436391353881959</v>
      </c>
      <c r="H279" s="72" t="str">
        <f aca="false">IFERROR(VLOOKUP(C279,$AS$3:$AY$10,7,FALSE()),IFERROR(VLOOKUP(C279,$AS$15:$AY$22,7,FALSE()),""))</f>
        <v>🟡 AMARELO</v>
      </c>
      <c r="I279" s="72" t="str">
        <f aca="false">IFERROR(VLOOKUP(C279,$AS$3:$AZ$10,8,FALSE()),IFERROR(VLOOKUP(C279,$AS$15:$AZ$22,8,FALSE()),""))</f>
        <v>Sell Out</v>
      </c>
      <c r="J279" s="73"/>
      <c r="K279" s="56" t="s">
        <v>20</v>
      </c>
      <c r="L279" s="74" t="n">
        <v>3762.76</v>
      </c>
      <c r="M279" s="75" t="n">
        <v>264.42</v>
      </c>
      <c r="N279" s="75" t="n">
        <v>276.31</v>
      </c>
      <c r="O279" s="75" t="n">
        <v>282.97</v>
      </c>
      <c r="P279" s="75" t="n">
        <v>290.34</v>
      </c>
      <c r="Q279" s="75" t="n">
        <v>299.85</v>
      </c>
      <c r="R279" s="75" t="n">
        <v>307.7</v>
      </c>
      <c r="S279" s="75" t="n">
        <v>319.59</v>
      </c>
      <c r="T279" s="75" t="n">
        <v>327.43</v>
      </c>
      <c r="U279" s="75" t="n">
        <v>334.81</v>
      </c>
      <c r="V279" s="75" t="n">
        <v>343.13</v>
      </c>
      <c r="W279" s="75" t="n">
        <v>352.16</v>
      </c>
      <c r="X279" s="76" t="n">
        <v>364.05</v>
      </c>
      <c r="Y279" s="77" t="s">
        <v>20</v>
      </c>
      <c r="Z279" s="78" t="n">
        <f aca="false">SUM(AA279:AL279)</f>
        <v>1513.2</v>
      </c>
      <c r="AA279" s="75"/>
      <c r="AB279" s="75" t="n">
        <v>669.6</v>
      </c>
      <c r="AC279" s="75"/>
      <c r="AD279" s="75" t="n">
        <v>669.6</v>
      </c>
      <c r="AE279" s="75"/>
      <c r="AF279" s="75"/>
      <c r="AG279" s="75"/>
      <c r="AH279" s="75" t="n">
        <v>174</v>
      </c>
      <c r="AI279" s="75"/>
      <c r="AJ279" s="75"/>
      <c r="AK279" s="75"/>
      <c r="AL279" s="76"/>
      <c r="AM279" s="56" t="s">
        <v>20</v>
      </c>
      <c r="AN279" s="80" t="n">
        <f aca="false">IF(L279=0,0,Z279/L279)</f>
        <v>0.402151612114512</v>
      </c>
      <c r="AO279" s="81" t="str">
        <f aca="false">IF(AN279="","",IF(AN279&gt;=0.9,"🟢",IF(AN279&gt;=0.7,"🟡",IF(AN279&gt;=0.5,"🟠","🔴"))))</f>
        <v>🔴</v>
      </c>
      <c r="AP279" s="82" t="n">
        <f aca="false">IF(L279=0,0,L279-Z279)</f>
        <v>2249.56</v>
      </c>
      <c r="AQ279" s="83" t="n">
        <f aca="false">IF(AP279=0,"",RANK(AP279,AP$4:AP$503,0))</f>
        <v>254</v>
      </c>
      <c r="AR279" s="84" t="s">
        <v>20</v>
      </c>
      <c r="AS279" s="141"/>
      <c r="AT279" s="141"/>
      <c r="AU279" s="141"/>
      <c r="AV279" s="141"/>
      <c r="AW279" s="141"/>
      <c r="AX279" s="141"/>
      <c r="AY279" s="142"/>
      <c r="AZ279" s="142"/>
      <c r="BA279" s="56" t="s">
        <v>20</v>
      </c>
      <c r="BB279" s="91" t="n">
        <f aca="false">SUM(L$4:L$503)/COUNTA(A$4:A$503)</f>
        <v>9494.39992</v>
      </c>
      <c r="BC279" s="92" t="n">
        <f aca="false">SUM(M$4:M$503)/COUNTA(A$4:A$503)</f>
        <v>667.20008</v>
      </c>
      <c r="BD279" s="92" t="n">
        <f aca="false">SUM(N$4:N$503)/COUNTA(A$4:A$503)</f>
        <v>697.19996</v>
      </c>
      <c r="BE279" s="92" t="n">
        <f aca="false">SUM(O$4:O$503)/COUNTA(A$4:A$503)</f>
        <v>713.9999</v>
      </c>
      <c r="BF279" s="92" t="n">
        <f aca="false">SUM(P$4:P$503)/COUNTA(A$4:A$503)</f>
        <v>732.59984</v>
      </c>
      <c r="BG279" s="92" t="n">
        <f aca="false">SUM(Q$4:Q$503)/COUNTA(A$4:A$503)</f>
        <v>756.59992</v>
      </c>
      <c r="BH279" s="92" t="n">
        <f aca="false">SUM(R$4:R$503)/COUNTA(A$4:A$503)</f>
        <v>776.40004</v>
      </c>
      <c r="BI279" s="92" t="n">
        <f aca="false">SUM(S$4:S$503)/COUNTA(A$4:A$503)</f>
        <v>806.40012</v>
      </c>
      <c r="BJ279" s="92" t="n">
        <f aca="false">SUM(T$4:T$503)/COUNTA(A$4:A$503)</f>
        <v>826.1999</v>
      </c>
      <c r="BK279" s="92" t="n">
        <f aca="false">SUM(U$4:U$503)/COUNTA(A$4:A$503)</f>
        <v>844.8002</v>
      </c>
      <c r="BL279" s="92" t="n">
        <f aca="false">SUM(V$4:V$503)/COUNTA(A$4:A$503)</f>
        <v>865.7998</v>
      </c>
      <c r="BM279" s="92" t="n">
        <f aca="false">SUM(W$4:W$503)/COUNTA(A$4:A$503)</f>
        <v>888.59982</v>
      </c>
      <c r="BN279" s="93" t="n">
        <f aca="false">SUM(X$4:X$503)/COUNTA(A$4:A$503)</f>
        <v>918.60034</v>
      </c>
      <c r="BO279" s="94" t="s">
        <v>20</v>
      </c>
      <c r="BP279" s="91" t="n">
        <f aca="false">IF(Z279&gt;=BB279,0,IFERROR(BB279+(SUMPRODUCT((Z$4:Z$503&gt;=BB$4:BB$503)*(Z$4:Z$503-BB$4:BB$503))/MAX(1,COUNTIF(Z$4:Z$503,"&lt;"&amp;BB279+0.01))),BB279))</f>
        <v>10695.5432177778</v>
      </c>
      <c r="BQ279" s="92" t="n">
        <f aca="false">IF(AA279&gt;=BC279,0,IFERROR(BC279+SUMPRODUCT((AA$4:AA$503&gt;=BC$4:BC$503)*(AA$4:AA$503-BC$4:BC$503))/MAX(1,COUNTIF(AA$4:AA$503,"&lt;"&amp;BC279+0.01)),BC279))</f>
        <v>2238.46589176471</v>
      </c>
      <c r="BR279" s="92" t="n">
        <f aca="false">IF(AB279&gt;=BD279,0,IFERROR(BD279+SUMPRODUCT((AB$4:AB$503&gt;=BD$4:BD$503)*(AB$4:AB$503-BD$4:BD$503))/MAX(1,COUNTIF(AB$4:AB$503,"&lt;"&amp;BD279+0.01)),BD279))</f>
        <v>3335.2938</v>
      </c>
      <c r="BS279" s="92" t="n">
        <f aca="false">IF(AC279&gt;=BE279,0,IFERROR(BE279+SUMPRODUCT((AC$4:AC$503&gt;=BE$4:BE$503)*(AC$4:AC$503-BE$4:BE$503))/MAX(1,COUNTIF(AC$4:AC$503,"&lt;"&amp;BE279+0.01)),BE279))</f>
        <v>6188.73352</v>
      </c>
      <c r="BT279" s="92" t="n">
        <f aca="false">IF(AD279&gt;=BF279,0,IFERROR(BF279+SUMPRODUCT((AD$4:AD$503&gt;=BF$4:BF$503)*(AD$4:AD$503-BF$4:BF$503))/MAX(1,COUNTIF(AD$4:AD$503,"&lt;"&amp;BF279+0.01)),BF279))</f>
        <v>11354.35411</v>
      </c>
      <c r="BU279" s="92" t="n">
        <f aca="false">IF(AE279&gt;=BG279,0,IFERROR(BG279+SUMPRODUCT((AE$4:AE$503&gt;=BG$4:BG$503)*(AE$4:AE$503-BG$4:BG$503))/MAX(1,COUNTIF(AE$4:AE$503,"&lt;"&amp;BG279+0.01)),BG279))</f>
        <v>7704.85920380952</v>
      </c>
      <c r="BV279" s="92" t="n">
        <f aca="false">IF(AF279&gt;=BH279,0,IFERROR(BH279+SUMPRODUCT((AF$4:AF$503&gt;=BH$4:BH$503)*(AF$4:AF$503-BH$4:BH$503))/MAX(1,COUNTIF(AF$4:AF$503,"&lt;"&amp;BH279+0.01)),BH279))</f>
        <v>9942.6503831579</v>
      </c>
      <c r="BW279" s="92" t="n">
        <f aca="false">IF(AG279&gt;=BI279,0,IFERROR(BI279+SUMPRODUCT((AG$4:AG$503&gt;=BI$4:BI$503)*(AG$4:AG$503-BI$4:BI$503))/MAX(1,COUNTIF(AG$4:AG$503,"&lt;"&amp;BI279+0.01)),BI279))</f>
        <v>9142.15870461538</v>
      </c>
      <c r="BX279" s="92" t="n">
        <f aca="false">IF(AH279&gt;=BJ279,0,IFERROR(BJ279+SUMPRODUCT((AH$4:AH$503&gt;=BJ$4:BJ$503)*(AH$4:AH$503-BJ$4:BJ$503))/MAX(1,COUNTIF(AH$4:AH$503,"&lt;"&amp;BJ279+0.01)),BJ279))</f>
        <v>5621.50263448276</v>
      </c>
      <c r="BY279" s="92" t="n">
        <f aca="false">IF(AI279&gt;=BK279,0,IFERROR(BK279+SUMPRODUCT((AI$4:AI$503&gt;=BK$4:BK$503)*(AI$4:AI$503-BK$4:BK$503))/MAX(1,COUNTIF(AI$4:AI$503,"&lt;"&amp;BK279+0.01)),BK279))</f>
        <v>7878.25652380952</v>
      </c>
      <c r="BZ279" s="92" t="n">
        <f aca="false">IF(AJ279&gt;=BL279,0,IFERROR(BL279+SUMPRODUCT((AJ$4:AJ$503&gt;=BL$4:BL$503)*(AJ$4:AJ$503-BL$4:BL$503))/MAX(1,COUNTIF(AJ$4:AJ$503,"&lt;"&amp;BL279+0.01)),BL279))</f>
        <v>6710.03292307692</v>
      </c>
      <c r="CA279" s="92" t="n">
        <f aca="false">IF(AK279&gt;=BM279,0,IFERROR(BM279+SUMPRODUCT((AK$4:AK$503&gt;=BM$4:BM$503)*(AK$4:AK$503-BM$4:BM$503))/MAX(1,COUNTIF(AK$4:AK$503,"&lt;"&amp;BM279+0.01)),BM279))</f>
        <v>7314.89836842105</v>
      </c>
      <c r="CB279" s="93" t="n">
        <f aca="false">IF(AL279&gt;=BN279,0,IFERROR(BN279+SUMPRODUCT((AL$4:AL$503&gt;=BN$4:BN$503)*(AL$4:AL$503-BN$4:BN$503))/MAX(1,COUNTIF(AL$4:AL$503,"&lt;"&amp;BN279+0.01)),BN279))</f>
        <v>3597.2614925</v>
      </c>
      <c r="CC279" s="95" t="str">
        <f aca="false">IF(AO279="🟢","VERDE",IF(AO279="🟡","AMARELO",IF(AO279="🟠","VERMELHO",IF(AO279="🔴","VERMELHO","ROXO"))))</f>
        <v>VERMELHO</v>
      </c>
      <c r="CD279" s="96" t="s">
        <v>103</v>
      </c>
      <c r="CE279" s="96" t="s">
        <v>104</v>
      </c>
    </row>
    <row r="280" customFormat="false" ht="14.25" hidden="false" customHeight="true" outlineLevel="0" collapsed="false">
      <c r="A280" s="65" t="s">
        <v>695</v>
      </c>
      <c r="B280" s="66" t="s">
        <v>696</v>
      </c>
      <c r="C280" s="66" t="s">
        <v>66</v>
      </c>
      <c r="D280" s="68" t="s">
        <v>175</v>
      </c>
      <c r="E280" s="69" t="s">
        <v>114</v>
      </c>
      <c r="F280" s="70" t="n">
        <f aca="false">IFERROR(VLOOKUP(C280,$AS$3:$AT$10,2,FALSE()),IFERROR(VLOOKUP(C280,$AS$15:$AT$22,2,FALSE()),""))</f>
        <v>44</v>
      </c>
      <c r="G280" s="71" t="n">
        <f aca="false">IFERROR(VLOOKUP(C280,$AS$3:$AX$10,6,FALSE()),IFERROR(VLOOKUP(C280,$AS$15:$AX$22,6,FALSE()),""))</f>
        <v>0.496839506257363</v>
      </c>
      <c r="H280" s="72" t="str">
        <f aca="false">IFERROR(VLOOKUP(C280,$AS$3:$AY$10,7,FALSE()),IFERROR(VLOOKUP(C280,$AS$15:$AY$22,7,FALSE()),""))</f>
        <v>🟡 AMARELO</v>
      </c>
      <c r="I280" s="72" t="str">
        <f aca="false">IFERROR(VLOOKUP(C280,$AS$3:$AZ$10,8,FALSE()),IFERROR(VLOOKUP(C280,$AS$15:$AZ$22,8,FALSE()),""))</f>
        <v>Sell Out</v>
      </c>
      <c r="J280" s="73"/>
      <c r="K280" s="69" t="s">
        <v>113</v>
      </c>
      <c r="L280" s="74" t="n">
        <v>3760.57</v>
      </c>
      <c r="M280" s="75" t="n">
        <v>264.27</v>
      </c>
      <c r="N280" s="75" t="n">
        <v>276.15</v>
      </c>
      <c r="O280" s="75" t="n">
        <v>282.8</v>
      </c>
      <c r="P280" s="75" t="n">
        <v>290.17</v>
      </c>
      <c r="Q280" s="75" t="n">
        <v>299.68</v>
      </c>
      <c r="R280" s="75" t="n">
        <v>307.52</v>
      </c>
      <c r="S280" s="75" t="n">
        <v>319.4</v>
      </c>
      <c r="T280" s="75" t="n">
        <v>327.24</v>
      </c>
      <c r="U280" s="75" t="n">
        <v>334.61</v>
      </c>
      <c r="V280" s="75" t="n">
        <v>342.93</v>
      </c>
      <c r="W280" s="75" t="n">
        <v>351.96</v>
      </c>
      <c r="X280" s="76" t="n">
        <v>363.84</v>
      </c>
      <c r="Y280" s="77" t="s">
        <v>20</v>
      </c>
      <c r="Z280" s="78" t="n">
        <f aca="false">SUM(AA280:AL280)</f>
        <v>1512.32</v>
      </c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9" t="n">
        <v>1512.32</v>
      </c>
      <c r="AL280" s="76"/>
      <c r="AM280" s="56" t="s">
        <v>20</v>
      </c>
      <c r="AN280" s="80" t="n">
        <f aca="false">IF(L280=0,0,Z280/L280)</f>
        <v>0.40215180145563</v>
      </c>
      <c r="AO280" s="81" t="str">
        <f aca="false">IF(AN280="","",IF(AN280&gt;=0.9,"🟢",IF(AN280&gt;=0.7,"🟡",IF(AN280&gt;=0.5,"🟠","🔴"))))</f>
        <v>🔴</v>
      </c>
      <c r="AP280" s="82" t="n">
        <f aca="false">IF(L280=0,0,L280-Z280)</f>
        <v>2248.25</v>
      </c>
      <c r="AQ280" s="83" t="n">
        <f aca="false">IF(AP280=0,"",RANK(AP280,AP$4:AP$503,0))</f>
        <v>255</v>
      </c>
      <c r="AR280" s="84" t="s">
        <v>20</v>
      </c>
      <c r="AS280" s="141"/>
      <c r="AT280" s="141"/>
      <c r="AU280" s="141"/>
      <c r="AV280" s="141"/>
      <c r="AW280" s="141"/>
      <c r="AX280" s="141"/>
      <c r="AY280" s="142"/>
      <c r="AZ280" s="142"/>
      <c r="BA280" s="56" t="s">
        <v>20</v>
      </c>
      <c r="BB280" s="91" t="n">
        <f aca="false">SUM(L$4:L$503)/COUNTA(A$4:A$503)</f>
        <v>9494.39992</v>
      </c>
      <c r="BC280" s="92" t="n">
        <f aca="false">SUM(M$4:M$503)/COUNTA(A$4:A$503)</f>
        <v>667.20008</v>
      </c>
      <c r="BD280" s="92" t="n">
        <f aca="false">SUM(N$4:N$503)/COUNTA(A$4:A$503)</f>
        <v>697.19996</v>
      </c>
      <c r="BE280" s="92" t="n">
        <f aca="false">SUM(O$4:O$503)/COUNTA(A$4:A$503)</f>
        <v>713.9999</v>
      </c>
      <c r="BF280" s="92" t="n">
        <f aca="false">SUM(P$4:P$503)/COUNTA(A$4:A$503)</f>
        <v>732.59984</v>
      </c>
      <c r="BG280" s="92" t="n">
        <f aca="false">SUM(Q$4:Q$503)/COUNTA(A$4:A$503)</f>
        <v>756.59992</v>
      </c>
      <c r="BH280" s="92" t="n">
        <f aca="false">SUM(R$4:R$503)/COUNTA(A$4:A$503)</f>
        <v>776.40004</v>
      </c>
      <c r="BI280" s="92" t="n">
        <f aca="false">SUM(S$4:S$503)/COUNTA(A$4:A$503)</f>
        <v>806.40012</v>
      </c>
      <c r="BJ280" s="92" t="n">
        <f aca="false">SUM(T$4:T$503)/COUNTA(A$4:A$503)</f>
        <v>826.1999</v>
      </c>
      <c r="BK280" s="92" t="n">
        <f aca="false">SUM(U$4:U$503)/COUNTA(A$4:A$503)</f>
        <v>844.8002</v>
      </c>
      <c r="BL280" s="92" t="n">
        <f aca="false">SUM(V$4:V$503)/COUNTA(A$4:A$503)</f>
        <v>865.7998</v>
      </c>
      <c r="BM280" s="92" t="n">
        <f aca="false">SUM(W$4:W$503)/COUNTA(A$4:A$503)</f>
        <v>888.59982</v>
      </c>
      <c r="BN280" s="93" t="n">
        <f aca="false">SUM(X$4:X$503)/COUNTA(A$4:A$503)</f>
        <v>918.60034</v>
      </c>
      <c r="BO280" s="94" t="s">
        <v>20</v>
      </c>
      <c r="BP280" s="91" t="n">
        <f aca="false">IF(Z280&gt;=BB280,0,IFERROR(BB280+(SUMPRODUCT((Z$4:Z$503&gt;=BB$4:BB$503)*(Z$4:Z$503-BB$4:BB$503))/MAX(1,COUNTIF(Z$4:Z$503,"&lt;"&amp;BB280+0.01))),BB280))</f>
        <v>10695.5432177778</v>
      </c>
      <c r="BQ280" s="92" t="n">
        <f aca="false">IF(AA280&gt;=BC280,0,IFERROR(BC280+SUMPRODUCT((AA$4:AA$503&gt;=BC$4:BC$503)*(AA$4:AA$503-BC$4:BC$503))/MAX(1,COUNTIF(AA$4:AA$503,"&lt;"&amp;BC280+0.01)),BC280))</f>
        <v>2238.46589176471</v>
      </c>
      <c r="BR280" s="92" t="n">
        <f aca="false">IF(AB280&gt;=BD280,0,IFERROR(BD280+SUMPRODUCT((AB$4:AB$503&gt;=BD$4:BD$503)*(AB$4:AB$503-BD$4:BD$503))/MAX(1,COUNTIF(AB$4:AB$503,"&lt;"&amp;BD280+0.01)),BD280))</f>
        <v>3335.2938</v>
      </c>
      <c r="BS280" s="92" t="n">
        <f aca="false">IF(AC280&gt;=BE280,0,IFERROR(BE280+SUMPRODUCT((AC$4:AC$503&gt;=BE$4:BE$503)*(AC$4:AC$503-BE$4:BE$503))/MAX(1,COUNTIF(AC$4:AC$503,"&lt;"&amp;BE280+0.01)),BE280))</f>
        <v>6188.73352</v>
      </c>
      <c r="BT280" s="92" t="n">
        <f aca="false">IF(AD280&gt;=BF280,0,IFERROR(BF280+SUMPRODUCT((AD$4:AD$503&gt;=BF$4:BF$503)*(AD$4:AD$503-BF$4:BF$503))/MAX(1,COUNTIF(AD$4:AD$503,"&lt;"&amp;BF280+0.01)),BF280))</f>
        <v>11354.35411</v>
      </c>
      <c r="BU280" s="92" t="n">
        <f aca="false">IF(AE280&gt;=BG280,0,IFERROR(BG280+SUMPRODUCT((AE$4:AE$503&gt;=BG$4:BG$503)*(AE$4:AE$503-BG$4:BG$503))/MAX(1,COUNTIF(AE$4:AE$503,"&lt;"&amp;BG280+0.01)),BG280))</f>
        <v>7704.85920380952</v>
      </c>
      <c r="BV280" s="92" t="n">
        <f aca="false">IF(AF280&gt;=BH280,0,IFERROR(BH280+SUMPRODUCT((AF$4:AF$503&gt;=BH$4:BH$503)*(AF$4:AF$503-BH$4:BH$503))/MAX(1,COUNTIF(AF$4:AF$503,"&lt;"&amp;BH280+0.01)),BH280))</f>
        <v>9942.6503831579</v>
      </c>
      <c r="BW280" s="92" t="n">
        <f aca="false">IF(AG280&gt;=BI280,0,IFERROR(BI280+SUMPRODUCT((AG$4:AG$503&gt;=BI$4:BI$503)*(AG$4:AG$503-BI$4:BI$503))/MAX(1,COUNTIF(AG$4:AG$503,"&lt;"&amp;BI280+0.01)),BI280))</f>
        <v>9142.15870461538</v>
      </c>
      <c r="BX280" s="92" t="n">
        <f aca="false">IF(AH280&gt;=BJ280,0,IFERROR(BJ280+SUMPRODUCT((AH$4:AH$503&gt;=BJ$4:BJ$503)*(AH$4:AH$503-BJ$4:BJ$503))/MAX(1,COUNTIF(AH$4:AH$503,"&lt;"&amp;BJ280+0.01)),BJ280))</f>
        <v>5621.50263448276</v>
      </c>
      <c r="BY280" s="92" t="n">
        <f aca="false">IF(AI280&gt;=BK280,0,IFERROR(BK280+SUMPRODUCT((AI$4:AI$503&gt;=BK$4:BK$503)*(AI$4:AI$503-BK$4:BK$503))/MAX(1,COUNTIF(AI$4:AI$503,"&lt;"&amp;BK280+0.01)),BK280))</f>
        <v>7878.25652380952</v>
      </c>
      <c r="BZ280" s="92" t="n">
        <f aca="false">IF(AJ280&gt;=BL280,0,IFERROR(BL280+SUMPRODUCT((AJ$4:AJ$503&gt;=BL$4:BL$503)*(AJ$4:AJ$503-BL$4:BL$503))/MAX(1,COUNTIF(AJ$4:AJ$503,"&lt;"&amp;BL280+0.01)),BL280))</f>
        <v>6710.03292307692</v>
      </c>
      <c r="CA280" s="92" t="n">
        <f aca="false">IF(AK280&gt;=BM280,0,IFERROR(BM280+SUMPRODUCT((AK$4:AK$503&gt;=BM$4:BM$503)*(AK$4:AK$503-BM$4:BM$503))/MAX(1,COUNTIF(AK$4:AK$503,"&lt;"&amp;BM280+0.01)),BM280))</f>
        <v>0</v>
      </c>
      <c r="CB280" s="93" t="n">
        <f aca="false">IF(AL280&gt;=BN280,0,IFERROR(BN280+SUMPRODUCT((AL$4:AL$503&gt;=BN$4:BN$503)*(AL$4:AL$503-BN$4:BN$503))/MAX(1,COUNTIF(AL$4:AL$503,"&lt;"&amp;BN280+0.01)),BN280))</f>
        <v>3597.2614925</v>
      </c>
      <c r="CC280" s="95" t="str">
        <f aca="false">IF(AO280="🟢","VERDE",IF(AO280="🟡","AMARELO",IF(AO280="🟠","VERMELHO",IF(AO280="🔴","VERMELHO","ROXO"))))</f>
        <v>VERMELHO</v>
      </c>
      <c r="CD280" s="96" t="s">
        <v>176</v>
      </c>
      <c r="CE280" s="96" t="s">
        <v>66</v>
      </c>
    </row>
    <row r="281" customFormat="false" ht="14.25" hidden="false" customHeight="true" outlineLevel="0" collapsed="false">
      <c r="A281" s="65" t="s">
        <v>697</v>
      </c>
      <c r="B281" s="66" t="s">
        <v>698</v>
      </c>
      <c r="C281" s="66" t="s">
        <v>124</v>
      </c>
      <c r="D281" s="68" t="s">
        <v>184</v>
      </c>
      <c r="E281" s="69" t="s">
        <v>127</v>
      </c>
      <c r="F281" s="70" t="n">
        <f aca="false">IFERROR(VLOOKUP(C281,$AS$3:$AT$10,2,FALSE()),IFERROR(VLOOKUP(C281,$AS$15:$AT$22,2,FALSE()),""))</f>
        <v>7</v>
      </c>
      <c r="G281" s="71" t="n">
        <f aca="false">IFERROR(VLOOKUP(C281,$AS$3:$AX$10,6,FALSE()),IFERROR(VLOOKUP(C281,$AS$15:$AX$22,6,FALSE()),""))</f>
        <v>0.421338416191415</v>
      </c>
      <c r="H281" s="72" t="str">
        <f aca="false">IFERROR(VLOOKUP(C281,$AS$3:$AY$10,7,FALSE()),IFERROR(VLOOKUP(C281,$AS$15:$AY$22,7,FALSE()),""))</f>
        <v>🟡 AMARELO</v>
      </c>
      <c r="I281" s="72" t="str">
        <f aca="false">IFERROR(VLOOKUP(C281,$AS$3:$AZ$10,8,FALSE()),IFERROR(VLOOKUP(C281,$AS$15:$AZ$22,8,FALSE()),""))</f>
        <v>Sell Out</v>
      </c>
      <c r="J281" s="73"/>
      <c r="K281" s="69" t="s">
        <v>99</v>
      </c>
      <c r="L281" s="74" t="n">
        <v>3742.22</v>
      </c>
      <c r="M281" s="75" t="n">
        <v>262.98</v>
      </c>
      <c r="N281" s="75" t="n">
        <v>274.8</v>
      </c>
      <c r="O281" s="75" t="n">
        <v>281.42</v>
      </c>
      <c r="P281" s="75" t="n">
        <v>288.75</v>
      </c>
      <c r="Q281" s="75" t="n">
        <v>298.21</v>
      </c>
      <c r="R281" s="75" t="n">
        <v>306.02</v>
      </c>
      <c r="S281" s="75" t="n">
        <v>317.84</v>
      </c>
      <c r="T281" s="75" t="n">
        <v>325.65</v>
      </c>
      <c r="U281" s="75" t="n">
        <v>332.98</v>
      </c>
      <c r="V281" s="75" t="n">
        <v>341.26</v>
      </c>
      <c r="W281" s="75" t="n">
        <v>350.24</v>
      </c>
      <c r="X281" s="76" t="n">
        <v>362.07</v>
      </c>
      <c r="Y281" s="77" t="s">
        <v>20</v>
      </c>
      <c r="Z281" s="78" t="n">
        <f aca="false">SUM(AA281:AL281)</f>
        <v>3021.22</v>
      </c>
      <c r="AA281" s="75"/>
      <c r="AB281" s="75"/>
      <c r="AC281" s="75"/>
      <c r="AD281" s="79" t="n">
        <v>3021.22</v>
      </c>
      <c r="AE281" s="75"/>
      <c r="AF281" s="75"/>
      <c r="AG281" s="75"/>
      <c r="AH281" s="75"/>
      <c r="AI281" s="75"/>
      <c r="AJ281" s="75"/>
      <c r="AK281" s="75"/>
      <c r="AL281" s="76"/>
      <c r="AM281" s="56" t="s">
        <v>20</v>
      </c>
      <c r="AN281" s="80" t="n">
        <f aca="false">IF(L281=0,0,Z281/L281)</f>
        <v>0.807333614806185</v>
      </c>
      <c r="AO281" s="81" t="str">
        <f aca="false">IF(AN281="","",IF(AN281&gt;=0.9,"🟢",IF(AN281&gt;=0.7,"🟡",IF(AN281&gt;=0.5,"🟠","🔴"))))</f>
        <v>🟡</v>
      </c>
      <c r="AP281" s="82" t="n">
        <f aca="false">IF(L281=0,0,L281-Z281)</f>
        <v>721</v>
      </c>
      <c r="AQ281" s="83" t="n">
        <f aca="false">IF(AP281=0,"",RANK(AP281,AP$4:AP$503,0))</f>
        <v>427</v>
      </c>
      <c r="AR281" s="84" t="s">
        <v>20</v>
      </c>
      <c r="AS281" s="141"/>
      <c r="AT281" s="141"/>
      <c r="AU281" s="141"/>
      <c r="AV281" s="141"/>
      <c r="AW281" s="141"/>
      <c r="AX281" s="141"/>
      <c r="AY281" s="142"/>
      <c r="AZ281" s="142"/>
      <c r="BA281" s="56" t="s">
        <v>20</v>
      </c>
      <c r="BB281" s="91" t="n">
        <f aca="false">SUM(L$4:L$503)/COUNTA(A$4:A$503)</f>
        <v>9494.39992</v>
      </c>
      <c r="BC281" s="92" t="n">
        <f aca="false">SUM(M$4:M$503)/COUNTA(A$4:A$503)</f>
        <v>667.20008</v>
      </c>
      <c r="BD281" s="92" t="n">
        <f aca="false">SUM(N$4:N$503)/COUNTA(A$4:A$503)</f>
        <v>697.19996</v>
      </c>
      <c r="BE281" s="92" t="n">
        <f aca="false">SUM(O$4:O$503)/COUNTA(A$4:A$503)</f>
        <v>713.9999</v>
      </c>
      <c r="BF281" s="92" t="n">
        <f aca="false">SUM(P$4:P$503)/COUNTA(A$4:A$503)</f>
        <v>732.59984</v>
      </c>
      <c r="BG281" s="92" t="n">
        <f aca="false">SUM(Q$4:Q$503)/COUNTA(A$4:A$503)</f>
        <v>756.59992</v>
      </c>
      <c r="BH281" s="92" t="n">
        <f aca="false">SUM(R$4:R$503)/COUNTA(A$4:A$503)</f>
        <v>776.40004</v>
      </c>
      <c r="BI281" s="92" t="n">
        <f aca="false">SUM(S$4:S$503)/COUNTA(A$4:A$503)</f>
        <v>806.40012</v>
      </c>
      <c r="BJ281" s="92" t="n">
        <f aca="false">SUM(T$4:T$503)/COUNTA(A$4:A$503)</f>
        <v>826.1999</v>
      </c>
      <c r="BK281" s="92" t="n">
        <f aca="false">SUM(U$4:U$503)/COUNTA(A$4:A$503)</f>
        <v>844.8002</v>
      </c>
      <c r="BL281" s="92" t="n">
        <f aca="false">SUM(V$4:V$503)/COUNTA(A$4:A$503)</f>
        <v>865.7998</v>
      </c>
      <c r="BM281" s="92" t="n">
        <f aca="false">SUM(W$4:W$503)/COUNTA(A$4:A$503)</f>
        <v>888.59982</v>
      </c>
      <c r="BN281" s="93" t="n">
        <f aca="false">SUM(X$4:X$503)/COUNTA(A$4:A$503)</f>
        <v>918.60034</v>
      </c>
      <c r="BO281" s="94" t="s">
        <v>20</v>
      </c>
      <c r="BP281" s="91" t="n">
        <f aca="false">IF(Z281&gt;=BB281,0,IFERROR(BB281+(SUMPRODUCT((Z$4:Z$503&gt;=BB$4:BB$503)*(Z$4:Z$503-BB$4:BB$503))/MAX(1,COUNTIF(Z$4:Z$503,"&lt;"&amp;BB281+0.01))),BB281))</f>
        <v>10695.5432177778</v>
      </c>
      <c r="BQ281" s="92" t="n">
        <f aca="false">IF(AA281&gt;=BC281,0,IFERROR(BC281+SUMPRODUCT((AA$4:AA$503&gt;=BC$4:BC$503)*(AA$4:AA$503-BC$4:BC$503))/MAX(1,COUNTIF(AA$4:AA$503,"&lt;"&amp;BC281+0.01)),BC281))</f>
        <v>2238.46589176471</v>
      </c>
      <c r="BR281" s="92" t="n">
        <f aca="false">IF(AB281&gt;=BD281,0,IFERROR(BD281+SUMPRODUCT((AB$4:AB$503&gt;=BD$4:BD$503)*(AB$4:AB$503-BD$4:BD$503))/MAX(1,COUNTIF(AB$4:AB$503,"&lt;"&amp;BD281+0.01)),BD281))</f>
        <v>3335.2938</v>
      </c>
      <c r="BS281" s="92" t="n">
        <f aca="false">IF(AC281&gt;=BE281,0,IFERROR(BE281+SUMPRODUCT((AC$4:AC$503&gt;=BE$4:BE$503)*(AC$4:AC$503-BE$4:BE$503))/MAX(1,COUNTIF(AC$4:AC$503,"&lt;"&amp;BE281+0.01)),BE281))</f>
        <v>6188.73352</v>
      </c>
      <c r="BT281" s="92" t="n">
        <f aca="false">IF(AD281&gt;=BF281,0,IFERROR(BF281+SUMPRODUCT((AD$4:AD$503&gt;=BF$4:BF$503)*(AD$4:AD$503-BF$4:BF$503))/MAX(1,COUNTIF(AD$4:AD$503,"&lt;"&amp;BF281+0.01)),BF281))</f>
        <v>0</v>
      </c>
      <c r="BU281" s="92" t="n">
        <f aca="false">IF(AE281&gt;=BG281,0,IFERROR(BG281+SUMPRODUCT((AE$4:AE$503&gt;=BG$4:BG$503)*(AE$4:AE$503-BG$4:BG$503))/MAX(1,COUNTIF(AE$4:AE$503,"&lt;"&amp;BG281+0.01)),BG281))</f>
        <v>7704.85920380952</v>
      </c>
      <c r="BV281" s="92" t="n">
        <f aca="false">IF(AF281&gt;=BH281,0,IFERROR(BH281+SUMPRODUCT((AF$4:AF$503&gt;=BH$4:BH$503)*(AF$4:AF$503-BH$4:BH$503))/MAX(1,COUNTIF(AF$4:AF$503,"&lt;"&amp;BH281+0.01)),BH281))</f>
        <v>9942.6503831579</v>
      </c>
      <c r="BW281" s="92" t="n">
        <f aca="false">IF(AG281&gt;=BI281,0,IFERROR(BI281+SUMPRODUCT((AG$4:AG$503&gt;=BI$4:BI$503)*(AG$4:AG$503-BI$4:BI$503))/MAX(1,COUNTIF(AG$4:AG$503,"&lt;"&amp;BI281+0.01)),BI281))</f>
        <v>9142.15870461538</v>
      </c>
      <c r="BX281" s="92" t="n">
        <f aca="false">IF(AH281&gt;=BJ281,0,IFERROR(BJ281+SUMPRODUCT((AH$4:AH$503&gt;=BJ$4:BJ$503)*(AH$4:AH$503-BJ$4:BJ$503))/MAX(1,COUNTIF(AH$4:AH$503,"&lt;"&amp;BJ281+0.01)),BJ281))</f>
        <v>5621.50263448276</v>
      </c>
      <c r="BY281" s="92" t="n">
        <f aca="false">IF(AI281&gt;=BK281,0,IFERROR(BK281+SUMPRODUCT((AI$4:AI$503&gt;=BK$4:BK$503)*(AI$4:AI$503-BK$4:BK$503))/MAX(1,COUNTIF(AI$4:AI$503,"&lt;"&amp;BK281+0.01)),BK281))</f>
        <v>7878.25652380952</v>
      </c>
      <c r="BZ281" s="92" t="n">
        <f aca="false">IF(AJ281&gt;=BL281,0,IFERROR(BL281+SUMPRODUCT((AJ$4:AJ$503&gt;=BL$4:BL$503)*(AJ$4:AJ$503-BL$4:BL$503))/MAX(1,COUNTIF(AJ$4:AJ$503,"&lt;"&amp;BL281+0.01)),BL281))</f>
        <v>6710.03292307692</v>
      </c>
      <c r="CA281" s="92" t="n">
        <f aca="false">IF(AK281&gt;=BM281,0,IFERROR(BM281+SUMPRODUCT((AK$4:AK$503&gt;=BM$4:BM$503)*(AK$4:AK$503-BM$4:BM$503))/MAX(1,COUNTIF(AK$4:AK$503,"&lt;"&amp;BM281+0.01)),BM281))</f>
        <v>7314.89836842105</v>
      </c>
      <c r="CB281" s="93" t="n">
        <f aca="false">IF(AL281&gt;=BN281,0,IFERROR(BN281+SUMPRODUCT((AL$4:AL$503&gt;=BN$4:BN$503)*(AL$4:AL$503-BN$4:BN$503))/MAX(1,COUNTIF(AL$4:AL$503,"&lt;"&amp;BN281+0.01)),BN281))</f>
        <v>3597.2614925</v>
      </c>
      <c r="CC281" s="95" t="str">
        <f aca="false">IF(AO281="🟢","VERDE",IF(AO281="🟡","AMARELO",IF(AO281="🟠","VERMELHO",IF(AO281="🔴","VERMELHO","ROXO"))))</f>
        <v>AMARELO</v>
      </c>
      <c r="CD281" s="96" t="s">
        <v>176</v>
      </c>
      <c r="CE281" s="96" t="s">
        <v>124</v>
      </c>
    </row>
    <row r="282" customFormat="false" ht="14.25" hidden="false" customHeight="true" outlineLevel="0" collapsed="false">
      <c r="A282" s="65" t="s">
        <v>699</v>
      </c>
      <c r="B282" s="66" t="s">
        <v>700</v>
      </c>
      <c r="C282" s="66" t="s">
        <v>115</v>
      </c>
      <c r="D282" s="68" t="s">
        <v>184</v>
      </c>
      <c r="E282" s="69" t="s">
        <v>109</v>
      </c>
      <c r="F282" s="70" t="n">
        <f aca="false">IFERROR(VLOOKUP(C282,$AS$3:$AT$10,2,FALSE()),IFERROR(VLOOKUP(C282,$AS$15:$AT$22,2,FALSE()),""))</f>
        <v>25</v>
      </c>
      <c r="G282" s="71" t="n">
        <f aca="false">IFERROR(VLOOKUP(C282,$AS$3:$AX$10,6,FALSE()),IFERROR(VLOOKUP(C282,$AS$15:$AX$22,6,FALSE()),""))</f>
        <v>0.536751750851081</v>
      </c>
      <c r="H282" s="72" t="str">
        <f aca="false">IFERROR(VLOOKUP(C282,$AS$3:$AY$10,7,FALSE()),IFERROR(VLOOKUP(C282,$AS$15:$AY$22,7,FALSE()),""))</f>
        <v>🟡 AMARELO</v>
      </c>
      <c r="I282" s="72" t="str">
        <f aca="false">IFERROR(VLOOKUP(C282,$AS$3:$AZ$10,8,FALSE()),IFERROR(VLOOKUP(C282,$AS$15:$AZ$22,8,FALSE()),""))</f>
        <v>Sell Out</v>
      </c>
      <c r="J282" s="73"/>
      <c r="K282" s="69" t="s">
        <v>107</v>
      </c>
      <c r="L282" s="74" t="n">
        <v>3729.95</v>
      </c>
      <c r="M282" s="75" t="n">
        <v>262.11</v>
      </c>
      <c r="N282" s="75" t="n">
        <v>273.9</v>
      </c>
      <c r="O282" s="75" t="n">
        <v>280.5</v>
      </c>
      <c r="P282" s="75" t="n">
        <v>287.81</v>
      </c>
      <c r="Q282" s="75" t="n">
        <v>297.24</v>
      </c>
      <c r="R282" s="75" t="n">
        <v>305.01</v>
      </c>
      <c r="S282" s="75" t="n">
        <v>316.8</v>
      </c>
      <c r="T282" s="75" t="n">
        <v>324.58</v>
      </c>
      <c r="U282" s="75" t="n">
        <v>331.89</v>
      </c>
      <c r="V282" s="75" t="n">
        <v>340.14</v>
      </c>
      <c r="W282" s="75" t="n">
        <v>349.09</v>
      </c>
      <c r="X282" s="76" t="n">
        <v>360.88</v>
      </c>
      <c r="Y282" s="77" t="s">
        <v>20</v>
      </c>
      <c r="Z282" s="78" t="n">
        <f aca="false">SUM(AA282:AL282)</f>
        <v>3118.97</v>
      </c>
      <c r="AA282" s="75"/>
      <c r="AB282" s="75"/>
      <c r="AC282" s="75"/>
      <c r="AD282" s="75"/>
      <c r="AE282" s="75"/>
      <c r="AF282" s="75"/>
      <c r="AG282" s="75"/>
      <c r="AH282" s="75"/>
      <c r="AI282" s="75" t="n">
        <v>1618.97</v>
      </c>
      <c r="AJ282" s="79" t="n">
        <v>1500</v>
      </c>
      <c r="AK282" s="75"/>
      <c r="AL282" s="76"/>
      <c r="AM282" s="56" t="s">
        <v>20</v>
      </c>
      <c r="AN282" s="80" t="n">
        <f aca="false">IF(L282=0,0,Z282/L282)</f>
        <v>0.836196195659459</v>
      </c>
      <c r="AO282" s="81" t="str">
        <f aca="false">IF(AN282="","",IF(AN282&gt;=0.9,"🟢",IF(AN282&gt;=0.7,"🟡",IF(AN282&gt;=0.5,"🟠","🔴"))))</f>
        <v>🟡</v>
      </c>
      <c r="AP282" s="82" t="n">
        <f aca="false">IF(L282=0,0,L282-Z282)</f>
        <v>610.98</v>
      </c>
      <c r="AQ282" s="83" t="n">
        <f aca="false">IF(AP282=0,"",RANK(AP282,AP$4:AP$503,0))</f>
        <v>441</v>
      </c>
      <c r="AR282" s="84" t="s">
        <v>20</v>
      </c>
      <c r="AS282" s="141"/>
      <c r="AT282" s="141"/>
      <c r="AU282" s="141"/>
      <c r="AV282" s="141"/>
      <c r="AW282" s="141"/>
      <c r="AX282" s="141"/>
      <c r="AY282" s="142"/>
      <c r="AZ282" s="142"/>
      <c r="BA282" s="56" t="s">
        <v>20</v>
      </c>
      <c r="BB282" s="91" t="n">
        <f aca="false">SUM(L$4:L$503)/COUNTA(A$4:A$503)</f>
        <v>9494.39992</v>
      </c>
      <c r="BC282" s="92" t="n">
        <f aca="false">SUM(M$4:M$503)/COUNTA(A$4:A$503)</f>
        <v>667.20008</v>
      </c>
      <c r="BD282" s="92" t="n">
        <f aca="false">SUM(N$4:N$503)/COUNTA(A$4:A$503)</f>
        <v>697.19996</v>
      </c>
      <c r="BE282" s="92" t="n">
        <f aca="false">SUM(O$4:O$503)/COUNTA(A$4:A$503)</f>
        <v>713.9999</v>
      </c>
      <c r="BF282" s="92" t="n">
        <f aca="false">SUM(P$4:P$503)/COUNTA(A$4:A$503)</f>
        <v>732.59984</v>
      </c>
      <c r="BG282" s="92" t="n">
        <f aca="false">SUM(Q$4:Q$503)/COUNTA(A$4:A$503)</f>
        <v>756.59992</v>
      </c>
      <c r="BH282" s="92" t="n">
        <f aca="false">SUM(R$4:R$503)/COUNTA(A$4:A$503)</f>
        <v>776.40004</v>
      </c>
      <c r="BI282" s="92" t="n">
        <f aca="false">SUM(S$4:S$503)/COUNTA(A$4:A$503)</f>
        <v>806.40012</v>
      </c>
      <c r="BJ282" s="92" t="n">
        <f aca="false">SUM(T$4:T$503)/COUNTA(A$4:A$503)</f>
        <v>826.1999</v>
      </c>
      <c r="BK282" s="92" t="n">
        <f aca="false">SUM(U$4:U$503)/COUNTA(A$4:A$503)</f>
        <v>844.8002</v>
      </c>
      <c r="BL282" s="92" t="n">
        <f aca="false">SUM(V$4:V$503)/COUNTA(A$4:A$503)</f>
        <v>865.7998</v>
      </c>
      <c r="BM282" s="92" t="n">
        <f aca="false">SUM(W$4:W$503)/COUNTA(A$4:A$503)</f>
        <v>888.59982</v>
      </c>
      <c r="BN282" s="93" t="n">
        <f aca="false">SUM(X$4:X$503)/COUNTA(A$4:A$503)</f>
        <v>918.60034</v>
      </c>
      <c r="BO282" s="94" t="s">
        <v>20</v>
      </c>
      <c r="BP282" s="91" t="n">
        <f aca="false">IF(Z282&gt;=BB282,0,IFERROR(BB282+(SUMPRODUCT((Z$4:Z$503&gt;=BB$4:BB$503)*(Z$4:Z$503-BB$4:BB$503))/MAX(1,COUNTIF(Z$4:Z$503,"&lt;"&amp;BB282+0.01))),BB282))</f>
        <v>10695.5432177778</v>
      </c>
      <c r="BQ282" s="92" t="n">
        <f aca="false">IF(AA282&gt;=BC282,0,IFERROR(BC282+SUMPRODUCT((AA$4:AA$503&gt;=BC$4:BC$503)*(AA$4:AA$503-BC$4:BC$503))/MAX(1,COUNTIF(AA$4:AA$503,"&lt;"&amp;BC282+0.01)),BC282))</f>
        <v>2238.46589176471</v>
      </c>
      <c r="BR282" s="92" t="n">
        <f aca="false">IF(AB282&gt;=BD282,0,IFERROR(BD282+SUMPRODUCT((AB$4:AB$503&gt;=BD$4:BD$503)*(AB$4:AB$503-BD$4:BD$503))/MAX(1,COUNTIF(AB$4:AB$503,"&lt;"&amp;BD282+0.01)),BD282))</f>
        <v>3335.2938</v>
      </c>
      <c r="BS282" s="92" t="n">
        <f aca="false">IF(AC282&gt;=BE282,0,IFERROR(BE282+SUMPRODUCT((AC$4:AC$503&gt;=BE$4:BE$503)*(AC$4:AC$503-BE$4:BE$503))/MAX(1,COUNTIF(AC$4:AC$503,"&lt;"&amp;BE282+0.01)),BE282))</f>
        <v>6188.73352</v>
      </c>
      <c r="BT282" s="92" t="n">
        <f aca="false">IF(AD282&gt;=BF282,0,IFERROR(BF282+SUMPRODUCT((AD$4:AD$503&gt;=BF$4:BF$503)*(AD$4:AD$503-BF$4:BF$503))/MAX(1,COUNTIF(AD$4:AD$503,"&lt;"&amp;BF282+0.01)),BF282))</f>
        <v>11354.35411</v>
      </c>
      <c r="BU282" s="92" t="n">
        <f aca="false">IF(AE282&gt;=BG282,0,IFERROR(BG282+SUMPRODUCT((AE$4:AE$503&gt;=BG$4:BG$503)*(AE$4:AE$503-BG$4:BG$503))/MAX(1,COUNTIF(AE$4:AE$503,"&lt;"&amp;BG282+0.01)),BG282))</f>
        <v>7704.85920380952</v>
      </c>
      <c r="BV282" s="92" t="n">
        <f aca="false">IF(AF282&gt;=BH282,0,IFERROR(BH282+SUMPRODUCT((AF$4:AF$503&gt;=BH$4:BH$503)*(AF$4:AF$503-BH$4:BH$503))/MAX(1,COUNTIF(AF$4:AF$503,"&lt;"&amp;BH282+0.01)),BH282))</f>
        <v>9942.6503831579</v>
      </c>
      <c r="BW282" s="92" t="n">
        <f aca="false">IF(AG282&gt;=BI282,0,IFERROR(BI282+SUMPRODUCT((AG$4:AG$503&gt;=BI$4:BI$503)*(AG$4:AG$503-BI$4:BI$503))/MAX(1,COUNTIF(AG$4:AG$503,"&lt;"&amp;BI282+0.01)),BI282))</f>
        <v>9142.15870461538</v>
      </c>
      <c r="BX282" s="92" t="n">
        <f aca="false">IF(AH282&gt;=BJ282,0,IFERROR(BJ282+SUMPRODUCT((AH$4:AH$503&gt;=BJ$4:BJ$503)*(AH$4:AH$503-BJ$4:BJ$503))/MAX(1,COUNTIF(AH$4:AH$503,"&lt;"&amp;BJ282+0.01)),BJ282))</f>
        <v>5621.50263448276</v>
      </c>
      <c r="BY282" s="92" t="n">
        <f aca="false">IF(AI282&gt;=BK282,0,IFERROR(BK282+SUMPRODUCT((AI$4:AI$503&gt;=BK$4:BK$503)*(AI$4:AI$503-BK$4:BK$503))/MAX(1,COUNTIF(AI$4:AI$503,"&lt;"&amp;BK282+0.01)),BK282))</f>
        <v>0</v>
      </c>
      <c r="BZ282" s="92" t="n">
        <f aca="false">IF(AJ282&gt;=BL282,0,IFERROR(BL282+SUMPRODUCT((AJ$4:AJ$503&gt;=BL$4:BL$503)*(AJ$4:AJ$503-BL$4:BL$503))/MAX(1,COUNTIF(AJ$4:AJ$503,"&lt;"&amp;BL282+0.01)),BL282))</f>
        <v>0</v>
      </c>
      <c r="CA282" s="92" t="n">
        <f aca="false">IF(AK282&gt;=BM282,0,IFERROR(BM282+SUMPRODUCT((AK$4:AK$503&gt;=BM$4:BM$503)*(AK$4:AK$503-BM$4:BM$503))/MAX(1,COUNTIF(AK$4:AK$503,"&lt;"&amp;BM282+0.01)),BM282))</f>
        <v>7314.89836842105</v>
      </c>
      <c r="CB282" s="93" t="n">
        <f aca="false">IF(AL282&gt;=BN282,0,IFERROR(BN282+SUMPRODUCT((AL$4:AL$503&gt;=BN$4:BN$503)*(AL$4:AL$503-BN$4:BN$503))/MAX(1,COUNTIF(AL$4:AL$503,"&lt;"&amp;BN282+0.01)),BN282))</f>
        <v>3597.2614925</v>
      </c>
      <c r="CC282" s="95" t="str">
        <f aca="false">IF(AO282="🟢","VERDE",IF(AO282="🟡","AMARELO",IF(AO282="🟠","VERMELHO",IF(AO282="🔴","VERMELHO","ROXO"))))</f>
        <v>AMARELO</v>
      </c>
      <c r="CD282" s="96" t="s">
        <v>176</v>
      </c>
      <c r="CE282" s="96" t="s">
        <v>115</v>
      </c>
    </row>
    <row r="283" customFormat="false" ht="14.25" hidden="false" customHeight="true" outlineLevel="0" collapsed="false">
      <c r="A283" s="65" t="s">
        <v>701</v>
      </c>
      <c r="B283" s="66" t="s">
        <v>702</v>
      </c>
      <c r="C283" s="66" t="s">
        <v>115</v>
      </c>
      <c r="D283" s="68" t="s">
        <v>184</v>
      </c>
      <c r="E283" s="69" t="s">
        <v>146</v>
      </c>
      <c r="F283" s="70" t="n">
        <f aca="false">IFERROR(VLOOKUP(C283,$AS$3:$AT$10,2,FALSE()),IFERROR(VLOOKUP(C283,$AS$15:$AT$22,2,FALSE()),""))</f>
        <v>25</v>
      </c>
      <c r="G283" s="71" t="n">
        <f aca="false">IFERROR(VLOOKUP(C283,$AS$3:$AX$10,6,FALSE()),IFERROR(VLOOKUP(C283,$AS$15:$AX$22,6,FALSE()),""))</f>
        <v>0.536751750851081</v>
      </c>
      <c r="H283" s="72" t="str">
        <f aca="false">IFERROR(VLOOKUP(C283,$AS$3:$AY$10,7,FALSE()),IFERROR(VLOOKUP(C283,$AS$15:$AY$22,7,FALSE()),""))</f>
        <v>🟡 AMARELO</v>
      </c>
      <c r="I283" s="72" t="str">
        <f aca="false">IFERROR(VLOOKUP(C283,$AS$3:$AZ$10,8,FALSE()),IFERROR(VLOOKUP(C283,$AS$15:$AZ$22,8,FALSE()),""))</f>
        <v>Sell Out</v>
      </c>
      <c r="J283" s="73"/>
      <c r="K283" s="69" t="s">
        <v>145</v>
      </c>
      <c r="L283" s="74" t="n">
        <v>3729.95</v>
      </c>
      <c r="M283" s="75" t="n">
        <v>262.11</v>
      </c>
      <c r="N283" s="75" t="n">
        <v>273.9</v>
      </c>
      <c r="O283" s="75" t="n">
        <v>280.5</v>
      </c>
      <c r="P283" s="75" t="n">
        <v>287.81</v>
      </c>
      <c r="Q283" s="75" t="n">
        <v>297.24</v>
      </c>
      <c r="R283" s="75" t="n">
        <v>305.01</v>
      </c>
      <c r="S283" s="75" t="n">
        <v>316.8</v>
      </c>
      <c r="T283" s="75" t="n">
        <v>324.58</v>
      </c>
      <c r="U283" s="75" t="n">
        <v>331.89</v>
      </c>
      <c r="V283" s="75" t="n">
        <v>340.14</v>
      </c>
      <c r="W283" s="75" t="n">
        <v>349.09</v>
      </c>
      <c r="X283" s="76" t="n">
        <v>360.88</v>
      </c>
      <c r="Y283" s="77" t="s">
        <v>20</v>
      </c>
      <c r="Z283" s="78" t="n">
        <f aca="false">SUM(AA283:AL283)</f>
        <v>3067.26</v>
      </c>
      <c r="AA283" s="75"/>
      <c r="AB283" s="75"/>
      <c r="AC283" s="75"/>
      <c r="AD283" s="75"/>
      <c r="AE283" s="75"/>
      <c r="AF283" s="75"/>
      <c r="AG283" s="75"/>
      <c r="AH283" s="75"/>
      <c r="AI283" s="75" t="n">
        <v>1567.26</v>
      </c>
      <c r="AJ283" s="79" t="n">
        <v>1500</v>
      </c>
      <c r="AK283" s="75"/>
      <c r="AL283" s="76"/>
      <c r="AM283" s="56" t="s">
        <v>20</v>
      </c>
      <c r="AN283" s="80" t="n">
        <f aca="false">IF(L283=0,0,Z283/L283)</f>
        <v>0.82233273904476</v>
      </c>
      <c r="AO283" s="81" t="str">
        <f aca="false">IF(AN283="","",IF(AN283&gt;=0.9,"🟢",IF(AN283&gt;=0.7,"🟡",IF(AN283&gt;=0.5,"🟠","🔴"))))</f>
        <v>🟡</v>
      </c>
      <c r="AP283" s="82" t="n">
        <f aca="false">IF(L283=0,0,L283-Z283)</f>
        <v>662.69</v>
      </c>
      <c r="AQ283" s="83" t="n">
        <f aca="false">IF(AP283=0,"",RANK(AP283,AP$4:AP$503,0))</f>
        <v>432</v>
      </c>
      <c r="AR283" s="84" t="s">
        <v>20</v>
      </c>
      <c r="AS283" s="141"/>
      <c r="AT283" s="141"/>
      <c r="AU283" s="141"/>
      <c r="AV283" s="141"/>
      <c r="AW283" s="141"/>
      <c r="AX283" s="141"/>
      <c r="AY283" s="142"/>
      <c r="AZ283" s="142"/>
      <c r="BA283" s="56" t="s">
        <v>20</v>
      </c>
      <c r="BB283" s="91" t="n">
        <f aca="false">SUM(L$4:L$503)/COUNTA(A$4:A$503)</f>
        <v>9494.39992</v>
      </c>
      <c r="BC283" s="92" t="n">
        <f aca="false">SUM(M$4:M$503)/COUNTA(A$4:A$503)</f>
        <v>667.20008</v>
      </c>
      <c r="BD283" s="92" t="n">
        <f aca="false">SUM(N$4:N$503)/COUNTA(A$4:A$503)</f>
        <v>697.19996</v>
      </c>
      <c r="BE283" s="92" t="n">
        <f aca="false">SUM(O$4:O$503)/COUNTA(A$4:A$503)</f>
        <v>713.9999</v>
      </c>
      <c r="BF283" s="92" t="n">
        <f aca="false">SUM(P$4:P$503)/COUNTA(A$4:A$503)</f>
        <v>732.59984</v>
      </c>
      <c r="BG283" s="92" t="n">
        <f aca="false">SUM(Q$4:Q$503)/COUNTA(A$4:A$503)</f>
        <v>756.59992</v>
      </c>
      <c r="BH283" s="92" t="n">
        <f aca="false">SUM(R$4:R$503)/COUNTA(A$4:A$503)</f>
        <v>776.40004</v>
      </c>
      <c r="BI283" s="92" t="n">
        <f aca="false">SUM(S$4:S$503)/COUNTA(A$4:A$503)</f>
        <v>806.40012</v>
      </c>
      <c r="BJ283" s="92" t="n">
        <f aca="false">SUM(T$4:T$503)/COUNTA(A$4:A$503)</f>
        <v>826.1999</v>
      </c>
      <c r="BK283" s="92" t="n">
        <f aca="false">SUM(U$4:U$503)/COUNTA(A$4:A$503)</f>
        <v>844.8002</v>
      </c>
      <c r="BL283" s="92" t="n">
        <f aca="false">SUM(V$4:V$503)/COUNTA(A$4:A$503)</f>
        <v>865.7998</v>
      </c>
      <c r="BM283" s="92" t="n">
        <f aca="false">SUM(W$4:W$503)/COUNTA(A$4:A$503)</f>
        <v>888.59982</v>
      </c>
      <c r="BN283" s="93" t="n">
        <f aca="false">SUM(X$4:X$503)/COUNTA(A$4:A$503)</f>
        <v>918.60034</v>
      </c>
      <c r="BO283" s="94" t="s">
        <v>20</v>
      </c>
      <c r="BP283" s="91" t="n">
        <f aca="false">IF(Z283&gt;=BB283,0,IFERROR(BB283+(SUMPRODUCT((Z$4:Z$503&gt;=BB$4:BB$503)*(Z$4:Z$503-BB$4:BB$503))/MAX(1,COUNTIF(Z$4:Z$503,"&lt;"&amp;BB283+0.01))),BB283))</f>
        <v>10695.5432177778</v>
      </c>
      <c r="BQ283" s="92" t="n">
        <f aca="false">IF(AA283&gt;=BC283,0,IFERROR(BC283+SUMPRODUCT((AA$4:AA$503&gt;=BC$4:BC$503)*(AA$4:AA$503-BC$4:BC$503))/MAX(1,COUNTIF(AA$4:AA$503,"&lt;"&amp;BC283+0.01)),BC283))</f>
        <v>2238.46589176471</v>
      </c>
      <c r="BR283" s="92" t="n">
        <f aca="false">IF(AB283&gt;=BD283,0,IFERROR(BD283+SUMPRODUCT((AB$4:AB$503&gt;=BD$4:BD$503)*(AB$4:AB$503-BD$4:BD$503))/MAX(1,COUNTIF(AB$4:AB$503,"&lt;"&amp;BD283+0.01)),BD283))</f>
        <v>3335.2938</v>
      </c>
      <c r="BS283" s="92" t="n">
        <f aca="false">IF(AC283&gt;=BE283,0,IFERROR(BE283+SUMPRODUCT((AC$4:AC$503&gt;=BE$4:BE$503)*(AC$4:AC$503-BE$4:BE$503))/MAX(1,COUNTIF(AC$4:AC$503,"&lt;"&amp;BE283+0.01)),BE283))</f>
        <v>6188.73352</v>
      </c>
      <c r="BT283" s="92" t="n">
        <f aca="false">IF(AD283&gt;=BF283,0,IFERROR(BF283+SUMPRODUCT((AD$4:AD$503&gt;=BF$4:BF$503)*(AD$4:AD$503-BF$4:BF$503))/MAX(1,COUNTIF(AD$4:AD$503,"&lt;"&amp;BF283+0.01)),BF283))</f>
        <v>11354.35411</v>
      </c>
      <c r="BU283" s="92" t="n">
        <f aca="false">IF(AE283&gt;=BG283,0,IFERROR(BG283+SUMPRODUCT((AE$4:AE$503&gt;=BG$4:BG$503)*(AE$4:AE$503-BG$4:BG$503))/MAX(1,COUNTIF(AE$4:AE$503,"&lt;"&amp;BG283+0.01)),BG283))</f>
        <v>7704.85920380952</v>
      </c>
      <c r="BV283" s="92" t="n">
        <f aca="false">IF(AF283&gt;=BH283,0,IFERROR(BH283+SUMPRODUCT((AF$4:AF$503&gt;=BH$4:BH$503)*(AF$4:AF$503-BH$4:BH$503))/MAX(1,COUNTIF(AF$4:AF$503,"&lt;"&amp;BH283+0.01)),BH283))</f>
        <v>9942.6503831579</v>
      </c>
      <c r="BW283" s="92" t="n">
        <f aca="false">IF(AG283&gt;=BI283,0,IFERROR(BI283+SUMPRODUCT((AG$4:AG$503&gt;=BI$4:BI$503)*(AG$4:AG$503-BI$4:BI$503))/MAX(1,COUNTIF(AG$4:AG$503,"&lt;"&amp;BI283+0.01)),BI283))</f>
        <v>9142.15870461538</v>
      </c>
      <c r="BX283" s="92" t="n">
        <f aca="false">IF(AH283&gt;=BJ283,0,IFERROR(BJ283+SUMPRODUCT((AH$4:AH$503&gt;=BJ$4:BJ$503)*(AH$4:AH$503-BJ$4:BJ$503))/MAX(1,COUNTIF(AH$4:AH$503,"&lt;"&amp;BJ283+0.01)),BJ283))</f>
        <v>5621.50263448276</v>
      </c>
      <c r="BY283" s="92" t="n">
        <f aca="false">IF(AI283&gt;=BK283,0,IFERROR(BK283+SUMPRODUCT((AI$4:AI$503&gt;=BK$4:BK$503)*(AI$4:AI$503-BK$4:BK$503))/MAX(1,COUNTIF(AI$4:AI$503,"&lt;"&amp;BK283+0.01)),BK283))</f>
        <v>0</v>
      </c>
      <c r="BZ283" s="92" t="n">
        <f aca="false">IF(AJ283&gt;=BL283,0,IFERROR(BL283+SUMPRODUCT((AJ$4:AJ$503&gt;=BL$4:BL$503)*(AJ$4:AJ$503-BL$4:BL$503))/MAX(1,COUNTIF(AJ$4:AJ$503,"&lt;"&amp;BL283+0.01)),BL283))</f>
        <v>0</v>
      </c>
      <c r="CA283" s="92" t="n">
        <f aca="false">IF(AK283&gt;=BM283,0,IFERROR(BM283+SUMPRODUCT((AK$4:AK$503&gt;=BM$4:BM$503)*(AK$4:AK$503-BM$4:BM$503))/MAX(1,COUNTIF(AK$4:AK$503,"&lt;"&amp;BM283+0.01)),BM283))</f>
        <v>7314.89836842105</v>
      </c>
      <c r="CB283" s="93" t="n">
        <f aca="false">IF(AL283&gt;=BN283,0,IFERROR(BN283+SUMPRODUCT((AL$4:AL$503&gt;=BN$4:BN$503)*(AL$4:AL$503-BN$4:BN$503))/MAX(1,COUNTIF(AL$4:AL$503,"&lt;"&amp;BN283+0.01)),BN283))</f>
        <v>3597.2614925</v>
      </c>
      <c r="CC283" s="95" t="str">
        <f aca="false">IF(AO283="🟢","VERDE",IF(AO283="🟡","AMARELO",IF(AO283="🟠","VERMELHO",IF(AO283="🔴","VERMELHO","ROXO"))))</f>
        <v>AMARELO</v>
      </c>
      <c r="CD283" s="96" t="s">
        <v>176</v>
      </c>
      <c r="CE283" s="96" t="s">
        <v>115</v>
      </c>
    </row>
    <row r="284" customFormat="false" ht="14.25" hidden="false" customHeight="true" outlineLevel="0" collapsed="false">
      <c r="A284" s="65" t="s">
        <v>703</v>
      </c>
      <c r="B284" s="66" t="s">
        <v>704</v>
      </c>
      <c r="C284" s="66" t="s">
        <v>115</v>
      </c>
      <c r="D284" s="68" t="s">
        <v>184</v>
      </c>
      <c r="E284" s="69" t="s">
        <v>119</v>
      </c>
      <c r="F284" s="70" t="n">
        <f aca="false">IFERROR(VLOOKUP(C284,$AS$3:$AT$10,2,FALSE()),IFERROR(VLOOKUP(C284,$AS$15:$AT$22,2,FALSE()),""))</f>
        <v>25</v>
      </c>
      <c r="G284" s="71" t="n">
        <f aca="false">IFERROR(VLOOKUP(C284,$AS$3:$AX$10,6,FALSE()),IFERROR(VLOOKUP(C284,$AS$15:$AX$22,6,FALSE()),""))</f>
        <v>0.536751750851081</v>
      </c>
      <c r="H284" s="72" t="str">
        <f aca="false">IFERROR(VLOOKUP(C284,$AS$3:$AY$10,7,FALSE()),IFERROR(VLOOKUP(C284,$AS$15:$AY$22,7,FALSE()),""))</f>
        <v>🟡 AMARELO</v>
      </c>
      <c r="I284" s="72" t="str">
        <f aca="false">IFERROR(VLOOKUP(C284,$AS$3:$AZ$10,8,FALSE()),IFERROR(VLOOKUP(C284,$AS$15:$AZ$22,8,FALSE()),""))</f>
        <v>Sell Out</v>
      </c>
      <c r="J284" s="73"/>
      <c r="K284" s="69" t="s">
        <v>118</v>
      </c>
      <c r="L284" s="74" t="n">
        <v>3729.95</v>
      </c>
      <c r="M284" s="75" t="n">
        <v>262.11</v>
      </c>
      <c r="N284" s="75" t="n">
        <v>273.9</v>
      </c>
      <c r="O284" s="75" t="n">
        <v>280.5</v>
      </c>
      <c r="P284" s="75" t="n">
        <v>287.81</v>
      </c>
      <c r="Q284" s="75" t="n">
        <v>297.24</v>
      </c>
      <c r="R284" s="75" t="n">
        <v>305.01</v>
      </c>
      <c r="S284" s="75" t="n">
        <v>316.8</v>
      </c>
      <c r="T284" s="75" t="n">
        <v>324.58</v>
      </c>
      <c r="U284" s="75" t="n">
        <v>331.89</v>
      </c>
      <c r="V284" s="75" t="n">
        <v>340.14</v>
      </c>
      <c r="W284" s="75" t="n">
        <v>349.09</v>
      </c>
      <c r="X284" s="76" t="n">
        <v>360.88</v>
      </c>
      <c r="Y284" s="77" t="s">
        <v>20</v>
      </c>
      <c r="Z284" s="78" t="n">
        <f aca="false">SUM(AA284:AL284)</f>
        <v>3070.68</v>
      </c>
      <c r="AA284" s="75"/>
      <c r="AB284" s="75"/>
      <c r="AC284" s="75"/>
      <c r="AD284" s="75"/>
      <c r="AE284" s="75"/>
      <c r="AF284" s="75"/>
      <c r="AG284" s="75"/>
      <c r="AH284" s="75"/>
      <c r="AI284" s="75" t="n">
        <v>1570.68</v>
      </c>
      <c r="AJ284" s="79" t="n">
        <v>1500</v>
      </c>
      <c r="AK284" s="75"/>
      <c r="AL284" s="76"/>
      <c r="AM284" s="56" t="s">
        <v>20</v>
      </c>
      <c r="AN284" s="80" t="n">
        <f aca="false">IF(L284=0,0,Z284/L284)</f>
        <v>0.823249641416105</v>
      </c>
      <c r="AO284" s="81" t="str">
        <f aca="false">IF(AN284="","",IF(AN284&gt;=0.9,"🟢",IF(AN284&gt;=0.7,"🟡",IF(AN284&gt;=0.5,"🟠","🔴"))))</f>
        <v>🟡</v>
      </c>
      <c r="AP284" s="82" t="n">
        <f aca="false">IF(L284=0,0,L284-Z284)</f>
        <v>659.27</v>
      </c>
      <c r="AQ284" s="83" t="n">
        <f aca="false">IF(AP284=0,"",RANK(AP284,AP$4:AP$503,0))</f>
        <v>433</v>
      </c>
      <c r="AR284" s="84" t="s">
        <v>20</v>
      </c>
      <c r="AS284" s="141"/>
      <c r="AT284" s="141"/>
      <c r="AU284" s="141"/>
      <c r="AV284" s="141"/>
      <c r="AW284" s="141"/>
      <c r="AX284" s="141"/>
      <c r="AY284" s="142"/>
      <c r="AZ284" s="142"/>
      <c r="BA284" s="56" t="s">
        <v>20</v>
      </c>
      <c r="BB284" s="91" t="n">
        <f aca="false">SUM(L$4:L$503)/COUNTA(A$4:A$503)</f>
        <v>9494.39992</v>
      </c>
      <c r="BC284" s="92" t="n">
        <f aca="false">SUM(M$4:M$503)/COUNTA(A$4:A$503)</f>
        <v>667.20008</v>
      </c>
      <c r="BD284" s="92" t="n">
        <f aca="false">SUM(N$4:N$503)/COUNTA(A$4:A$503)</f>
        <v>697.19996</v>
      </c>
      <c r="BE284" s="92" t="n">
        <f aca="false">SUM(O$4:O$503)/COUNTA(A$4:A$503)</f>
        <v>713.9999</v>
      </c>
      <c r="BF284" s="92" t="n">
        <f aca="false">SUM(P$4:P$503)/COUNTA(A$4:A$503)</f>
        <v>732.59984</v>
      </c>
      <c r="BG284" s="92" t="n">
        <f aca="false">SUM(Q$4:Q$503)/COUNTA(A$4:A$503)</f>
        <v>756.59992</v>
      </c>
      <c r="BH284" s="92" t="n">
        <f aca="false">SUM(R$4:R$503)/COUNTA(A$4:A$503)</f>
        <v>776.40004</v>
      </c>
      <c r="BI284" s="92" t="n">
        <f aca="false">SUM(S$4:S$503)/COUNTA(A$4:A$503)</f>
        <v>806.40012</v>
      </c>
      <c r="BJ284" s="92" t="n">
        <f aca="false">SUM(T$4:T$503)/COUNTA(A$4:A$503)</f>
        <v>826.1999</v>
      </c>
      <c r="BK284" s="92" t="n">
        <f aca="false">SUM(U$4:U$503)/COUNTA(A$4:A$503)</f>
        <v>844.8002</v>
      </c>
      <c r="BL284" s="92" t="n">
        <f aca="false">SUM(V$4:V$503)/COUNTA(A$4:A$503)</f>
        <v>865.7998</v>
      </c>
      <c r="BM284" s="92" t="n">
        <f aca="false">SUM(W$4:W$503)/COUNTA(A$4:A$503)</f>
        <v>888.59982</v>
      </c>
      <c r="BN284" s="93" t="n">
        <f aca="false">SUM(X$4:X$503)/COUNTA(A$4:A$503)</f>
        <v>918.60034</v>
      </c>
      <c r="BO284" s="94" t="s">
        <v>20</v>
      </c>
      <c r="BP284" s="91" t="n">
        <f aca="false">IF(Z284&gt;=BB284,0,IFERROR(BB284+(SUMPRODUCT((Z$4:Z$503&gt;=BB$4:BB$503)*(Z$4:Z$503-BB$4:BB$503))/MAX(1,COUNTIF(Z$4:Z$503,"&lt;"&amp;BB284+0.01))),BB284))</f>
        <v>10695.5432177778</v>
      </c>
      <c r="BQ284" s="92" t="n">
        <f aca="false">IF(AA284&gt;=BC284,0,IFERROR(BC284+SUMPRODUCT((AA$4:AA$503&gt;=BC$4:BC$503)*(AA$4:AA$503-BC$4:BC$503))/MAX(1,COUNTIF(AA$4:AA$503,"&lt;"&amp;BC284+0.01)),BC284))</f>
        <v>2238.46589176471</v>
      </c>
      <c r="BR284" s="92" t="n">
        <f aca="false">IF(AB284&gt;=BD284,0,IFERROR(BD284+SUMPRODUCT((AB$4:AB$503&gt;=BD$4:BD$503)*(AB$4:AB$503-BD$4:BD$503))/MAX(1,COUNTIF(AB$4:AB$503,"&lt;"&amp;BD284+0.01)),BD284))</f>
        <v>3335.2938</v>
      </c>
      <c r="BS284" s="92" t="n">
        <f aca="false">IF(AC284&gt;=BE284,0,IFERROR(BE284+SUMPRODUCT((AC$4:AC$503&gt;=BE$4:BE$503)*(AC$4:AC$503-BE$4:BE$503))/MAX(1,COUNTIF(AC$4:AC$503,"&lt;"&amp;BE284+0.01)),BE284))</f>
        <v>6188.73352</v>
      </c>
      <c r="BT284" s="92" t="n">
        <f aca="false">IF(AD284&gt;=BF284,0,IFERROR(BF284+SUMPRODUCT((AD$4:AD$503&gt;=BF$4:BF$503)*(AD$4:AD$503-BF$4:BF$503))/MAX(1,COUNTIF(AD$4:AD$503,"&lt;"&amp;BF284+0.01)),BF284))</f>
        <v>11354.35411</v>
      </c>
      <c r="BU284" s="92" t="n">
        <f aca="false">IF(AE284&gt;=BG284,0,IFERROR(BG284+SUMPRODUCT((AE$4:AE$503&gt;=BG$4:BG$503)*(AE$4:AE$503-BG$4:BG$503))/MAX(1,COUNTIF(AE$4:AE$503,"&lt;"&amp;BG284+0.01)),BG284))</f>
        <v>7704.85920380952</v>
      </c>
      <c r="BV284" s="92" t="n">
        <f aca="false">IF(AF284&gt;=BH284,0,IFERROR(BH284+SUMPRODUCT((AF$4:AF$503&gt;=BH$4:BH$503)*(AF$4:AF$503-BH$4:BH$503))/MAX(1,COUNTIF(AF$4:AF$503,"&lt;"&amp;BH284+0.01)),BH284))</f>
        <v>9942.6503831579</v>
      </c>
      <c r="BW284" s="92" t="n">
        <f aca="false">IF(AG284&gt;=BI284,0,IFERROR(BI284+SUMPRODUCT((AG$4:AG$503&gt;=BI$4:BI$503)*(AG$4:AG$503-BI$4:BI$503))/MAX(1,COUNTIF(AG$4:AG$503,"&lt;"&amp;BI284+0.01)),BI284))</f>
        <v>9142.15870461538</v>
      </c>
      <c r="BX284" s="92" t="n">
        <f aca="false">IF(AH284&gt;=BJ284,0,IFERROR(BJ284+SUMPRODUCT((AH$4:AH$503&gt;=BJ$4:BJ$503)*(AH$4:AH$503-BJ$4:BJ$503))/MAX(1,COUNTIF(AH$4:AH$503,"&lt;"&amp;BJ284+0.01)),BJ284))</f>
        <v>5621.50263448276</v>
      </c>
      <c r="BY284" s="92" t="n">
        <f aca="false">IF(AI284&gt;=BK284,0,IFERROR(BK284+SUMPRODUCT((AI$4:AI$503&gt;=BK$4:BK$503)*(AI$4:AI$503-BK$4:BK$503))/MAX(1,COUNTIF(AI$4:AI$503,"&lt;"&amp;BK284+0.01)),BK284))</f>
        <v>0</v>
      </c>
      <c r="BZ284" s="92" t="n">
        <f aca="false">IF(AJ284&gt;=BL284,0,IFERROR(BL284+SUMPRODUCT((AJ$4:AJ$503&gt;=BL$4:BL$503)*(AJ$4:AJ$503-BL$4:BL$503))/MAX(1,COUNTIF(AJ$4:AJ$503,"&lt;"&amp;BL284+0.01)),BL284))</f>
        <v>0</v>
      </c>
      <c r="CA284" s="92" t="n">
        <f aca="false">IF(AK284&gt;=BM284,0,IFERROR(BM284+SUMPRODUCT((AK$4:AK$503&gt;=BM$4:BM$503)*(AK$4:AK$503-BM$4:BM$503))/MAX(1,COUNTIF(AK$4:AK$503,"&lt;"&amp;BM284+0.01)),BM284))</f>
        <v>7314.89836842105</v>
      </c>
      <c r="CB284" s="93" t="n">
        <f aca="false">IF(AL284&gt;=BN284,0,IFERROR(BN284+SUMPRODUCT((AL$4:AL$503&gt;=BN$4:BN$503)*(AL$4:AL$503-BN$4:BN$503))/MAX(1,COUNTIF(AL$4:AL$503,"&lt;"&amp;BN284+0.01)),BN284))</f>
        <v>3597.2614925</v>
      </c>
      <c r="CC284" s="95" t="str">
        <f aca="false">IF(AO284="🟢","VERDE",IF(AO284="🟡","AMARELO",IF(AO284="🟠","VERMELHO",IF(AO284="🔴","VERMELHO","ROXO"))))</f>
        <v>AMARELO</v>
      </c>
      <c r="CD284" s="96" t="s">
        <v>176</v>
      </c>
      <c r="CE284" s="96" t="s">
        <v>115</v>
      </c>
    </row>
    <row r="285" customFormat="false" ht="14.25" hidden="false" customHeight="true" outlineLevel="0" collapsed="false">
      <c r="A285" s="65" t="s">
        <v>705</v>
      </c>
      <c r="B285" s="66" t="s">
        <v>706</v>
      </c>
      <c r="C285" s="66" t="s">
        <v>115</v>
      </c>
      <c r="D285" s="68" t="s">
        <v>184</v>
      </c>
      <c r="E285" s="69" t="s">
        <v>513</v>
      </c>
      <c r="F285" s="70" t="n">
        <f aca="false">IFERROR(VLOOKUP(C285,$AS$3:$AT$10,2,FALSE()),IFERROR(VLOOKUP(C285,$AS$15:$AT$22,2,FALSE()),""))</f>
        <v>25</v>
      </c>
      <c r="G285" s="71" t="n">
        <f aca="false">IFERROR(VLOOKUP(C285,$AS$3:$AX$10,6,FALSE()),IFERROR(VLOOKUP(C285,$AS$15:$AX$22,6,FALSE()),""))</f>
        <v>0.536751750851081</v>
      </c>
      <c r="H285" s="72" t="str">
        <f aca="false">IFERROR(VLOOKUP(C285,$AS$3:$AY$10,7,FALSE()),IFERROR(VLOOKUP(C285,$AS$15:$AY$22,7,FALSE()),""))</f>
        <v>🟡 AMARELO</v>
      </c>
      <c r="I285" s="72" t="str">
        <f aca="false">IFERROR(VLOOKUP(C285,$AS$3:$AZ$10,8,FALSE()),IFERROR(VLOOKUP(C285,$AS$15:$AZ$22,8,FALSE()),""))</f>
        <v>Sell Out</v>
      </c>
      <c r="J285" s="73"/>
      <c r="K285" s="69" t="s">
        <v>145</v>
      </c>
      <c r="L285" s="74" t="n">
        <v>3729.95</v>
      </c>
      <c r="M285" s="75" t="n">
        <v>262.11</v>
      </c>
      <c r="N285" s="75" t="n">
        <v>273.9</v>
      </c>
      <c r="O285" s="75" t="n">
        <v>280.5</v>
      </c>
      <c r="P285" s="75" t="n">
        <v>287.81</v>
      </c>
      <c r="Q285" s="75" t="n">
        <v>297.24</v>
      </c>
      <c r="R285" s="75" t="n">
        <v>305.01</v>
      </c>
      <c r="S285" s="75" t="n">
        <v>316.8</v>
      </c>
      <c r="T285" s="75" t="n">
        <v>324.58</v>
      </c>
      <c r="U285" s="75" t="n">
        <v>331.89</v>
      </c>
      <c r="V285" s="75" t="n">
        <v>340.14</v>
      </c>
      <c r="W285" s="75" t="n">
        <v>349.09</v>
      </c>
      <c r="X285" s="76" t="n">
        <v>360.88</v>
      </c>
      <c r="Y285" s="77" t="s">
        <v>20</v>
      </c>
      <c r="Z285" s="78" t="n">
        <f aca="false">SUM(AA285:AL285)</f>
        <v>1500</v>
      </c>
      <c r="AA285" s="75"/>
      <c r="AB285" s="75"/>
      <c r="AC285" s="75"/>
      <c r="AD285" s="75"/>
      <c r="AE285" s="75"/>
      <c r="AF285" s="75"/>
      <c r="AG285" s="75"/>
      <c r="AH285" s="75"/>
      <c r="AI285" s="79" t="n">
        <v>1500</v>
      </c>
      <c r="AJ285" s="75"/>
      <c r="AK285" s="75"/>
      <c r="AL285" s="76"/>
      <c r="AM285" s="56" t="s">
        <v>20</v>
      </c>
      <c r="AN285" s="80" t="n">
        <f aca="false">IF(L285=0,0,Z285/L285)</f>
        <v>0.402150162870816</v>
      </c>
      <c r="AO285" s="81" t="str">
        <f aca="false">IF(AN285="","",IF(AN285&gt;=0.9,"🟢",IF(AN285&gt;=0.7,"🟡",IF(AN285&gt;=0.5,"🟠","🔴"))))</f>
        <v>🔴</v>
      </c>
      <c r="AP285" s="82" t="n">
        <f aca="false">IF(L285=0,0,L285-Z285)</f>
        <v>2229.95</v>
      </c>
      <c r="AQ285" s="83" t="n">
        <f aca="false">IF(AP285=0,"",RANK(AP285,AP$4:AP$503,0))</f>
        <v>256</v>
      </c>
      <c r="AR285" s="84" t="s">
        <v>20</v>
      </c>
      <c r="AS285" s="141"/>
      <c r="AT285" s="141"/>
      <c r="AU285" s="141"/>
      <c r="AV285" s="141"/>
      <c r="AW285" s="141"/>
      <c r="AX285" s="141"/>
      <c r="AY285" s="142"/>
      <c r="AZ285" s="142"/>
      <c r="BA285" s="56" t="s">
        <v>20</v>
      </c>
      <c r="BB285" s="91" t="n">
        <f aca="false">SUM(L$4:L$503)/COUNTA(A$4:A$503)</f>
        <v>9494.39992</v>
      </c>
      <c r="BC285" s="92" t="n">
        <f aca="false">SUM(M$4:M$503)/COUNTA(A$4:A$503)</f>
        <v>667.20008</v>
      </c>
      <c r="BD285" s="92" t="n">
        <f aca="false">SUM(N$4:N$503)/COUNTA(A$4:A$503)</f>
        <v>697.19996</v>
      </c>
      <c r="BE285" s="92" t="n">
        <f aca="false">SUM(O$4:O$503)/COUNTA(A$4:A$503)</f>
        <v>713.9999</v>
      </c>
      <c r="BF285" s="92" t="n">
        <f aca="false">SUM(P$4:P$503)/COUNTA(A$4:A$503)</f>
        <v>732.59984</v>
      </c>
      <c r="BG285" s="92" t="n">
        <f aca="false">SUM(Q$4:Q$503)/COUNTA(A$4:A$503)</f>
        <v>756.59992</v>
      </c>
      <c r="BH285" s="92" t="n">
        <f aca="false">SUM(R$4:R$503)/COUNTA(A$4:A$503)</f>
        <v>776.40004</v>
      </c>
      <c r="BI285" s="92" t="n">
        <f aca="false">SUM(S$4:S$503)/COUNTA(A$4:A$503)</f>
        <v>806.40012</v>
      </c>
      <c r="BJ285" s="92" t="n">
        <f aca="false">SUM(T$4:T$503)/COUNTA(A$4:A$503)</f>
        <v>826.1999</v>
      </c>
      <c r="BK285" s="92" t="n">
        <f aca="false">SUM(U$4:U$503)/COUNTA(A$4:A$503)</f>
        <v>844.8002</v>
      </c>
      <c r="BL285" s="92" t="n">
        <f aca="false">SUM(V$4:V$503)/COUNTA(A$4:A$503)</f>
        <v>865.7998</v>
      </c>
      <c r="BM285" s="92" t="n">
        <f aca="false">SUM(W$4:W$503)/COUNTA(A$4:A$503)</f>
        <v>888.59982</v>
      </c>
      <c r="BN285" s="93" t="n">
        <f aca="false">SUM(X$4:X$503)/COUNTA(A$4:A$503)</f>
        <v>918.60034</v>
      </c>
      <c r="BO285" s="94" t="s">
        <v>20</v>
      </c>
      <c r="BP285" s="91" t="n">
        <f aca="false">IF(Z285&gt;=BB285,0,IFERROR(BB285+(SUMPRODUCT((Z$4:Z$503&gt;=BB$4:BB$503)*(Z$4:Z$503-BB$4:BB$503))/MAX(1,COUNTIF(Z$4:Z$503,"&lt;"&amp;BB285+0.01))),BB285))</f>
        <v>10695.5432177778</v>
      </c>
      <c r="BQ285" s="92" t="n">
        <f aca="false">IF(AA285&gt;=BC285,0,IFERROR(BC285+SUMPRODUCT((AA$4:AA$503&gt;=BC$4:BC$503)*(AA$4:AA$503-BC$4:BC$503))/MAX(1,COUNTIF(AA$4:AA$503,"&lt;"&amp;BC285+0.01)),BC285))</f>
        <v>2238.46589176471</v>
      </c>
      <c r="BR285" s="92" t="n">
        <f aca="false">IF(AB285&gt;=BD285,0,IFERROR(BD285+SUMPRODUCT((AB$4:AB$503&gt;=BD$4:BD$503)*(AB$4:AB$503-BD$4:BD$503))/MAX(1,COUNTIF(AB$4:AB$503,"&lt;"&amp;BD285+0.01)),BD285))</f>
        <v>3335.2938</v>
      </c>
      <c r="BS285" s="92" t="n">
        <f aca="false">IF(AC285&gt;=BE285,0,IFERROR(BE285+SUMPRODUCT((AC$4:AC$503&gt;=BE$4:BE$503)*(AC$4:AC$503-BE$4:BE$503))/MAX(1,COUNTIF(AC$4:AC$503,"&lt;"&amp;BE285+0.01)),BE285))</f>
        <v>6188.73352</v>
      </c>
      <c r="BT285" s="92" t="n">
        <f aca="false">IF(AD285&gt;=BF285,0,IFERROR(BF285+SUMPRODUCT((AD$4:AD$503&gt;=BF$4:BF$503)*(AD$4:AD$503-BF$4:BF$503))/MAX(1,COUNTIF(AD$4:AD$503,"&lt;"&amp;BF285+0.01)),BF285))</f>
        <v>11354.35411</v>
      </c>
      <c r="BU285" s="92" t="n">
        <f aca="false">IF(AE285&gt;=BG285,0,IFERROR(BG285+SUMPRODUCT((AE$4:AE$503&gt;=BG$4:BG$503)*(AE$4:AE$503-BG$4:BG$503))/MAX(1,COUNTIF(AE$4:AE$503,"&lt;"&amp;BG285+0.01)),BG285))</f>
        <v>7704.85920380952</v>
      </c>
      <c r="BV285" s="92" t="n">
        <f aca="false">IF(AF285&gt;=BH285,0,IFERROR(BH285+SUMPRODUCT((AF$4:AF$503&gt;=BH$4:BH$503)*(AF$4:AF$503-BH$4:BH$503))/MAX(1,COUNTIF(AF$4:AF$503,"&lt;"&amp;BH285+0.01)),BH285))</f>
        <v>9942.6503831579</v>
      </c>
      <c r="BW285" s="92" t="n">
        <f aca="false">IF(AG285&gt;=BI285,0,IFERROR(BI285+SUMPRODUCT((AG$4:AG$503&gt;=BI$4:BI$503)*(AG$4:AG$503-BI$4:BI$503))/MAX(1,COUNTIF(AG$4:AG$503,"&lt;"&amp;BI285+0.01)),BI285))</f>
        <v>9142.15870461538</v>
      </c>
      <c r="BX285" s="92" t="n">
        <f aca="false">IF(AH285&gt;=BJ285,0,IFERROR(BJ285+SUMPRODUCT((AH$4:AH$503&gt;=BJ$4:BJ$503)*(AH$4:AH$503-BJ$4:BJ$503))/MAX(1,COUNTIF(AH$4:AH$503,"&lt;"&amp;BJ285+0.01)),BJ285))</f>
        <v>5621.50263448276</v>
      </c>
      <c r="BY285" s="92" t="n">
        <f aca="false">IF(AI285&gt;=BK285,0,IFERROR(BK285+SUMPRODUCT((AI$4:AI$503&gt;=BK$4:BK$503)*(AI$4:AI$503-BK$4:BK$503))/MAX(1,COUNTIF(AI$4:AI$503,"&lt;"&amp;BK285+0.01)),BK285))</f>
        <v>0</v>
      </c>
      <c r="BZ285" s="92" t="n">
        <f aca="false">IF(AJ285&gt;=BL285,0,IFERROR(BL285+SUMPRODUCT((AJ$4:AJ$503&gt;=BL$4:BL$503)*(AJ$4:AJ$503-BL$4:BL$503))/MAX(1,COUNTIF(AJ$4:AJ$503,"&lt;"&amp;BL285+0.01)),BL285))</f>
        <v>6710.03292307692</v>
      </c>
      <c r="CA285" s="92" t="n">
        <f aca="false">IF(AK285&gt;=BM285,0,IFERROR(BM285+SUMPRODUCT((AK$4:AK$503&gt;=BM$4:BM$503)*(AK$4:AK$503-BM$4:BM$503))/MAX(1,COUNTIF(AK$4:AK$503,"&lt;"&amp;BM285+0.01)),BM285))</f>
        <v>7314.89836842105</v>
      </c>
      <c r="CB285" s="93" t="n">
        <f aca="false">IF(AL285&gt;=BN285,0,IFERROR(BN285+SUMPRODUCT((AL$4:AL$503&gt;=BN$4:BN$503)*(AL$4:AL$503-BN$4:BN$503))/MAX(1,COUNTIF(AL$4:AL$503,"&lt;"&amp;BN285+0.01)),BN285))</f>
        <v>3597.2614925</v>
      </c>
      <c r="CC285" s="95" t="str">
        <f aca="false">IF(AO285="🟢","VERDE",IF(AO285="🟡","AMARELO",IF(AO285="🟠","VERMELHO",IF(AO285="🔴","VERMELHO","ROXO"))))</f>
        <v>VERMELHO</v>
      </c>
      <c r="CD285" s="96" t="s">
        <v>176</v>
      </c>
      <c r="CE285" s="96" t="s">
        <v>115</v>
      </c>
    </row>
    <row r="286" customFormat="false" ht="14.25" hidden="false" customHeight="true" outlineLevel="0" collapsed="false">
      <c r="A286" s="65" t="s">
        <v>707</v>
      </c>
      <c r="B286" s="66" t="s">
        <v>708</v>
      </c>
      <c r="C286" s="67" t="s">
        <v>123</v>
      </c>
      <c r="D286" s="68" t="s">
        <v>108</v>
      </c>
      <c r="E286" s="56" t="s">
        <v>20</v>
      </c>
      <c r="F286" s="70" t="n">
        <f aca="false">IFERROR(VLOOKUP(C286,$AS$3:$AT$10,2,FALSE()),IFERROR(VLOOKUP(C286,$AS$15:$AT$22,2,FALSE()),""))</f>
        <v>49</v>
      </c>
      <c r="G286" s="71" t="n">
        <f aca="false">IFERROR(VLOOKUP(C286,$AS$3:$AX$10,6,FALSE()),IFERROR(VLOOKUP(C286,$AS$15:$AX$22,6,FALSE()),""))</f>
        <v>0.436391353881959</v>
      </c>
      <c r="H286" s="72" t="str">
        <f aca="false">IFERROR(VLOOKUP(C286,$AS$3:$AY$10,7,FALSE()),IFERROR(VLOOKUP(C286,$AS$15:$AY$22,7,FALSE()),""))</f>
        <v>🟡 AMARELO</v>
      </c>
      <c r="I286" s="72" t="str">
        <f aca="false">IFERROR(VLOOKUP(C286,$AS$3:$AZ$10,8,FALSE()),IFERROR(VLOOKUP(C286,$AS$15:$AZ$22,8,FALSE()),""))</f>
        <v>Sell Out</v>
      </c>
      <c r="J286" s="73"/>
      <c r="K286" s="56" t="s">
        <v>20</v>
      </c>
      <c r="L286" s="74" t="n">
        <v>3726.62</v>
      </c>
      <c r="M286" s="75" t="n">
        <v>261.88</v>
      </c>
      <c r="N286" s="75" t="n">
        <v>273.66</v>
      </c>
      <c r="O286" s="75" t="n">
        <v>280.25</v>
      </c>
      <c r="P286" s="75" t="n">
        <v>287.55</v>
      </c>
      <c r="Q286" s="75" t="n">
        <v>296.97</v>
      </c>
      <c r="R286" s="75" t="n">
        <v>304.74</v>
      </c>
      <c r="S286" s="75" t="n">
        <v>316.52</v>
      </c>
      <c r="T286" s="75" t="n">
        <v>324.29</v>
      </c>
      <c r="U286" s="75" t="n">
        <v>331.59</v>
      </c>
      <c r="V286" s="75" t="n">
        <v>339.83</v>
      </c>
      <c r="W286" s="75" t="n">
        <v>348.78</v>
      </c>
      <c r="X286" s="76" t="n">
        <v>360.56</v>
      </c>
      <c r="Y286" s="77" t="s">
        <v>20</v>
      </c>
      <c r="Z286" s="78" t="n">
        <f aca="false">SUM(AA286:AL286)</f>
        <v>1676.51</v>
      </c>
      <c r="AA286" s="75"/>
      <c r="AB286" s="75"/>
      <c r="AC286" s="75"/>
      <c r="AD286" s="75" t="n">
        <v>1676.51</v>
      </c>
      <c r="AE286" s="75"/>
      <c r="AF286" s="75"/>
      <c r="AG286" s="75"/>
      <c r="AH286" s="75"/>
      <c r="AI286" s="75"/>
      <c r="AJ286" s="75"/>
      <c r="AK286" s="75"/>
      <c r="AL286" s="76"/>
      <c r="AM286" s="56" t="s">
        <v>20</v>
      </c>
      <c r="AN286" s="80" t="n">
        <f aca="false">IF(L286=0,0,Z286/L286)</f>
        <v>0.449874148692381</v>
      </c>
      <c r="AO286" s="81" t="str">
        <f aca="false">IF(AN286="","",IF(AN286&gt;=0.9,"🟢",IF(AN286&gt;=0.7,"🟡",IF(AN286&gt;=0.5,"🟠","🔴"))))</f>
        <v>🔴</v>
      </c>
      <c r="AP286" s="82" t="n">
        <f aca="false">IF(L286=0,0,L286-Z286)</f>
        <v>2050.11</v>
      </c>
      <c r="AQ286" s="83" t="n">
        <f aca="false">IF(AP286=0,"",RANK(AP286,AP$4:AP$503,0))</f>
        <v>267</v>
      </c>
      <c r="AR286" s="84" t="s">
        <v>20</v>
      </c>
      <c r="AS286" s="141"/>
      <c r="AT286" s="141"/>
      <c r="AU286" s="141"/>
      <c r="AV286" s="141"/>
      <c r="AW286" s="141"/>
      <c r="AX286" s="141"/>
      <c r="AY286" s="142"/>
      <c r="AZ286" s="142"/>
      <c r="BA286" s="56" t="s">
        <v>20</v>
      </c>
      <c r="BB286" s="91" t="n">
        <f aca="false">SUM(L$4:L$503)/COUNTA(A$4:A$503)</f>
        <v>9494.39992</v>
      </c>
      <c r="BC286" s="92" t="n">
        <f aca="false">SUM(M$4:M$503)/COUNTA(A$4:A$503)</f>
        <v>667.20008</v>
      </c>
      <c r="BD286" s="92" t="n">
        <f aca="false">SUM(N$4:N$503)/COUNTA(A$4:A$503)</f>
        <v>697.19996</v>
      </c>
      <c r="BE286" s="92" t="n">
        <f aca="false">SUM(O$4:O$503)/COUNTA(A$4:A$503)</f>
        <v>713.9999</v>
      </c>
      <c r="BF286" s="92" t="n">
        <f aca="false">SUM(P$4:P$503)/COUNTA(A$4:A$503)</f>
        <v>732.59984</v>
      </c>
      <c r="BG286" s="92" t="n">
        <f aca="false">SUM(Q$4:Q$503)/COUNTA(A$4:A$503)</f>
        <v>756.59992</v>
      </c>
      <c r="BH286" s="92" t="n">
        <f aca="false">SUM(R$4:R$503)/COUNTA(A$4:A$503)</f>
        <v>776.40004</v>
      </c>
      <c r="BI286" s="92" t="n">
        <f aca="false">SUM(S$4:S$503)/COUNTA(A$4:A$503)</f>
        <v>806.40012</v>
      </c>
      <c r="BJ286" s="92" t="n">
        <f aca="false">SUM(T$4:T$503)/COUNTA(A$4:A$503)</f>
        <v>826.1999</v>
      </c>
      <c r="BK286" s="92" t="n">
        <f aca="false">SUM(U$4:U$503)/COUNTA(A$4:A$503)</f>
        <v>844.8002</v>
      </c>
      <c r="BL286" s="92" t="n">
        <f aca="false">SUM(V$4:V$503)/COUNTA(A$4:A$503)</f>
        <v>865.7998</v>
      </c>
      <c r="BM286" s="92" t="n">
        <f aca="false">SUM(W$4:W$503)/COUNTA(A$4:A$503)</f>
        <v>888.59982</v>
      </c>
      <c r="BN286" s="93" t="n">
        <f aca="false">SUM(X$4:X$503)/COUNTA(A$4:A$503)</f>
        <v>918.60034</v>
      </c>
      <c r="BO286" s="94" t="s">
        <v>20</v>
      </c>
      <c r="BP286" s="91" t="n">
        <f aca="false">IF(Z286&gt;=BB286,0,IFERROR(BB286+(SUMPRODUCT((Z$4:Z$503&gt;=BB$4:BB$503)*(Z$4:Z$503-BB$4:BB$503))/MAX(1,COUNTIF(Z$4:Z$503,"&lt;"&amp;BB286+0.01))),BB286))</f>
        <v>10695.5432177778</v>
      </c>
      <c r="BQ286" s="92" t="n">
        <f aca="false">IF(AA286&gt;=BC286,0,IFERROR(BC286+SUMPRODUCT((AA$4:AA$503&gt;=BC$4:BC$503)*(AA$4:AA$503-BC$4:BC$503))/MAX(1,COUNTIF(AA$4:AA$503,"&lt;"&amp;BC286+0.01)),BC286))</f>
        <v>2238.46589176471</v>
      </c>
      <c r="BR286" s="92" t="n">
        <f aca="false">IF(AB286&gt;=BD286,0,IFERROR(BD286+SUMPRODUCT((AB$4:AB$503&gt;=BD$4:BD$503)*(AB$4:AB$503-BD$4:BD$503))/MAX(1,COUNTIF(AB$4:AB$503,"&lt;"&amp;BD286+0.01)),BD286))</f>
        <v>3335.2938</v>
      </c>
      <c r="BS286" s="92" t="n">
        <f aca="false">IF(AC286&gt;=BE286,0,IFERROR(BE286+SUMPRODUCT((AC$4:AC$503&gt;=BE$4:BE$503)*(AC$4:AC$503-BE$4:BE$503))/MAX(1,COUNTIF(AC$4:AC$503,"&lt;"&amp;BE286+0.01)),BE286))</f>
        <v>6188.73352</v>
      </c>
      <c r="BT286" s="92" t="n">
        <f aca="false">IF(AD286&gt;=BF286,0,IFERROR(BF286+SUMPRODUCT((AD$4:AD$503&gt;=BF$4:BF$503)*(AD$4:AD$503-BF$4:BF$503))/MAX(1,COUNTIF(AD$4:AD$503,"&lt;"&amp;BF286+0.01)),BF286))</f>
        <v>0</v>
      </c>
      <c r="BU286" s="92" t="n">
        <f aca="false">IF(AE286&gt;=BG286,0,IFERROR(BG286+SUMPRODUCT((AE$4:AE$503&gt;=BG$4:BG$503)*(AE$4:AE$503-BG$4:BG$503))/MAX(1,COUNTIF(AE$4:AE$503,"&lt;"&amp;BG286+0.01)),BG286))</f>
        <v>7704.85920380952</v>
      </c>
      <c r="BV286" s="92" t="n">
        <f aca="false">IF(AF286&gt;=BH286,0,IFERROR(BH286+SUMPRODUCT((AF$4:AF$503&gt;=BH$4:BH$503)*(AF$4:AF$503-BH$4:BH$503))/MAX(1,COUNTIF(AF$4:AF$503,"&lt;"&amp;BH286+0.01)),BH286))</f>
        <v>9942.6503831579</v>
      </c>
      <c r="BW286" s="92" t="n">
        <f aca="false">IF(AG286&gt;=BI286,0,IFERROR(BI286+SUMPRODUCT((AG$4:AG$503&gt;=BI$4:BI$503)*(AG$4:AG$503-BI$4:BI$503))/MAX(1,COUNTIF(AG$4:AG$503,"&lt;"&amp;BI286+0.01)),BI286))</f>
        <v>9142.15870461538</v>
      </c>
      <c r="BX286" s="92" t="n">
        <f aca="false">IF(AH286&gt;=BJ286,0,IFERROR(BJ286+SUMPRODUCT((AH$4:AH$503&gt;=BJ$4:BJ$503)*(AH$4:AH$503-BJ$4:BJ$503))/MAX(1,COUNTIF(AH$4:AH$503,"&lt;"&amp;BJ286+0.01)),BJ286))</f>
        <v>5621.50263448276</v>
      </c>
      <c r="BY286" s="92" t="n">
        <f aca="false">IF(AI286&gt;=BK286,0,IFERROR(BK286+SUMPRODUCT((AI$4:AI$503&gt;=BK$4:BK$503)*(AI$4:AI$503-BK$4:BK$503))/MAX(1,COUNTIF(AI$4:AI$503,"&lt;"&amp;BK286+0.01)),BK286))</f>
        <v>7878.25652380952</v>
      </c>
      <c r="BZ286" s="92" t="n">
        <f aca="false">IF(AJ286&gt;=BL286,0,IFERROR(BL286+SUMPRODUCT((AJ$4:AJ$503&gt;=BL$4:BL$503)*(AJ$4:AJ$503-BL$4:BL$503))/MAX(1,COUNTIF(AJ$4:AJ$503,"&lt;"&amp;BL286+0.01)),BL286))</f>
        <v>6710.03292307692</v>
      </c>
      <c r="CA286" s="92" t="n">
        <f aca="false">IF(AK286&gt;=BM286,0,IFERROR(BM286+SUMPRODUCT((AK$4:AK$503&gt;=BM$4:BM$503)*(AK$4:AK$503-BM$4:BM$503))/MAX(1,COUNTIF(AK$4:AK$503,"&lt;"&amp;BM286+0.01)),BM286))</f>
        <v>7314.89836842105</v>
      </c>
      <c r="CB286" s="93" t="n">
        <f aca="false">IF(AL286&gt;=BN286,0,IFERROR(BN286+SUMPRODUCT((AL$4:AL$503&gt;=BN$4:BN$503)*(AL$4:AL$503-BN$4:BN$503))/MAX(1,COUNTIF(AL$4:AL$503,"&lt;"&amp;BN286+0.01)),BN286))</f>
        <v>3597.2614925</v>
      </c>
      <c r="CC286" s="95" t="str">
        <f aca="false">IF(AO286="🟢","VERDE",IF(AO286="🟡","AMARELO",IF(AO286="🟠","VERMELHO",IF(AO286="🔴","VERMELHO","ROXO"))))</f>
        <v>VERMELHO</v>
      </c>
      <c r="CD286" s="96" t="s">
        <v>103</v>
      </c>
      <c r="CE286" s="96" t="s">
        <v>104</v>
      </c>
    </row>
    <row r="287" customFormat="false" ht="14.25" hidden="false" customHeight="true" outlineLevel="0" collapsed="false">
      <c r="A287" s="65" t="s">
        <v>709</v>
      </c>
      <c r="B287" s="66" t="s">
        <v>710</v>
      </c>
      <c r="C287" s="67" t="s">
        <v>123</v>
      </c>
      <c r="D287" s="68" t="s">
        <v>100</v>
      </c>
      <c r="E287" s="56" t="s">
        <v>20</v>
      </c>
      <c r="F287" s="70" t="n">
        <f aca="false">IFERROR(VLOOKUP(C287,$AS$3:$AT$10,2,FALSE()),IFERROR(VLOOKUP(C287,$AS$15:$AT$22,2,FALSE()),""))</f>
        <v>49</v>
      </c>
      <c r="G287" s="71" t="n">
        <f aca="false">IFERROR(VLOOKUP(C287,$AS$3:$AX$10,6,FALSE()),IFERROR(VLOOKUP(C287,$AS$15:$AX$22,6,FALSE()),""))</f>
        <v>0.436391353881959</v>
      </c>
      <c r="H287" s="72" t="str">
        <f aca="false">IFERROR(VLOOKUP(C287,$AS$3:$AY$10,7,FALSE()),IFERROR(VLOOKUP(C287,$AS$15:$AY$22,7,FALSE()),""))</f>
        <v>🟡 AMARELO</v>
      </c>
      <c r="I287" s="72" t="str">
        <f aca="false">IFERROR(VLOOKUP(C287,$AS$3:$AZ$10,8,FALSE()),IFERROR(VLOOKUP(C287,$AS$15:$AZ$22,8,FALSE()),""))</f>
        <v>Sell Out</v>
      </c>
      <c r="J287" s="73"/>
      <c r="K287" s="56" t="s">
        <v>20</v>
      </c>
      <c r="L287" s="74" t="n">
        <v>3695.52</v>
      </c>
      <c r="M287" s="75" t="n">
        <v>259.7</v>
      </c>
      <c r="N287" s="75" t="n">
        <v>271.37</v>
      </c>
      <c r="O287" s="75" t="n">
        <v>277.91</v>
      </c>
      <c r="P287" s="75" t="n">
        <v>285.15</v>
      </c>
      <c r="Q287" s="75" t="n">
        <v>294.49</v>
      </c>
      <c r="R287" s="75" t="n">
        <v>302.2</v>
      </c>
      <c r="S287" s="75" t="n">
        <v>313.88</v>
      </c>
      <c r="T287" s="75" t="n">
        <v>321.58</v>
      </c>
      <c r="U287" s="75" t="n">
        <v>328.82</v>
      </c>
      <c r="V287" s="75" t="n">
        <v>337</v>
      </c>
      <c r="W287" s="75" t="n">
        <v>345.87</v>
      </c>
      <c r="X287" s="76" t="n">
        <v>357.55</v>
      </c>
      <c r="Y287" s="77" t="s">
        <v>20</v>
      </c>
      <c r="Z287" s="78" t="n">
        <f aca="false">SUM(AA287:AL287)</f>
        <v>1486.16</v>
      </c>
      <c r="AA287" s="75"/>
      <c r="AB287" s="75"/>
      <c r="AC287" s="75"/>
      <c r="AD287" s="75"/>
      <c r="AE287" s="75"/>
      <c r="AF287" s="75"/>
      <c r="AG287" s="75" t="n">
        <v>1486.16</v>
      </c>
      <c r="AH287" s="75"/>
      <c r="AI287" s="75"/>
      <c r="AJ287" s="75"/>
      <c r="AK287" s="75"/>
      <c r="AL287" s="76"/>
      <c r="AM287" s="56" t="s">
        <v>20</v>
      </c>
      <c r="AN287" s="80" t="n">
        <f aca="false">IF(L287=0,0,Z287/L287)</f>
        <v>0.40215179460536</v>
      </c>
      <c r="AO287" s="81" t="str">
        <f aca="false">IF(AN287="","",IF(AN287&gt;=0.9,"🟢",IF(AN287&gt;=0.7,"🟡",IF(AN287&gt;=0.5,"🟠","🔴"))))</f>
        <v>🔴</v>
      </c>
      <c r="AP287" s="82" t="n">
        <f aca="false">IF(L287=0,0,L287-Z287)</f>
        <v>2209.36</v>
      </c>
      <c r="AQ287" s="83" t="n">
        <f aca="false">IF(AP287=0,"",RANK(AP287,AP$4:AP$503,0))</f>
        <v>257</v>
      </c>
      <c r="AR287" s="84" t="s">
        <v>20</v>
      </c>
      <c r="AS287" s="141"/>
      <c r="AT287" s="141"/>
      <c r="AU287" s="141"/>
      <c r="AV287" s="141"/>
      <c r="AW287" s="141"/>
      <c r="AX287" s="141"/>
      <c r="AY287" s="142"/>
      <c r="AZ287" s="142"/>
      <c r="BA287" s="56" t="s">
        <v>20</v>
      </c>
      <c r="BB287" s="91" t="n">
        <f aca="false">SUM(L$4:L$503)/COUNTA(A$4:A$503)</f>
        <v>9494.39992</v>
      </c>
      <c r="BC287" s="92" t="n">
        <f aca="false">SUM(M$4:M$503)/COUNTA(A$4:A$503)</f>
        <v>667.20008</v>
      </c>
      <c r="BD287" s="92" t="n">
        <f aca="false">SUM(N$4:N$503)/COUNTA(A$4:A$503)</f>
        <v>697.19996</v>
      </c>
      <c r="BE287" s="92" t="n">
        <f aca="false">SUM(O$4:O$503)/COUNTA(A$4:A$503)</f>
        <v>713.9999</v>
      </c>
      <c r="BF287" s="92" t="n">
        <f aca="false">SUM(P$4:P$503)/COUNTA(A$4:A$503)</f>
        <v>732.59984</v>
      </c>
      <c r="BG287" s="92" t="n">
        <f aca="false">SUM(Q$4:Q$503)/COUNTA(A$4:A$503)</f>
        <v>756.59992</v>
      </c>
      <c r="BH287" s="92" t="n">
        <f aca="false">SUM(R$4:R$503)/COUNTA(A$4:A$503)</f>
        <v>776.40004</v>
      </c>
      <c r="BI287" s="92" t="n">
        <f aca="false">SUM(S$4:S$503)/COUNTA(A$4:A$503)</f>
        <v>806.40012</v>
      </c>
      <c r="BJ287" s="92" t="n">
        <f aca="false">SUM(T$4:T$503)/COUNTA(A$4:A$503)</f>
        <v>826.1999</v>
      </c>
      <c r="BK287" s="92" t="n">
        <f aca="false">SUM(U$4:U$503)/COUNTA(A$4:A$503)</f>
        <v>844.8002</v>
      </c>
      <c r="BL287" s="92" t="n">
        <f aca="false">SUM(V$4:V$503)/COUNTA(A$4:A$503)</f>
        <v>865.7998</v>
      </c>
      <c r="BM287" s="92" t="n">
        <f aca="false">SUM(W$4:W$503)/COUNTA(A$4:A$503)</f>
        <v>888.59982</v>
      </c>
      <c r="BN287" s="93" t="n">
        <f aca="false">SUM(X$4:X$503)/COUNTA(A$4:A$503)</f>
        <v>918.60034</v>
      </c>
      <c r="BO287" s="94" t="s">
        <v>20</v>
      </c>
      <c r="BP287" s="91" t="n">
        <f aca="false">IF(Z287&gt;=BB287,0,IFERROR(BB287+(SUMPRODUCT((Z$4:Z$503&gt;=BB$4:BB$503)*(Z$4:Z$503-BB$4:BB$503))/MAX(1,COUNTIF(Z$4:Z$503,"&lt;"&amp;BB287+0.01))),BB287))</f>
        <v>10695.5432177778</v>
      </c>
      <c r="BQ287" s="92" t="n">
        <f aca="false">IF(AA287&gt;=BC287,0,IFERROR(BC287+SUMPRODUCT((AA$4:AA$503&gt;=BC$4:BC$503)*(AA$4:AA$503-BC$4:BC$503))/MAX(1,COUNTIF(AA$4:AA$503,"&lt;"&amp;BC287+0.01)),BC287))</f>
        <v>2238.46589176471</v>
      </c>
      <c r="BR287" s="92" t="n">
        <f aca="false">IF(AB287&gt;=BD287,0,IFERROR(BD287+SUMPRODUCT((AB$4:AB$503&gt;=BD$4:BD$503)*(AB$4:AB$503-BD$4:BD$503))/MAX(1,COUNTIF(AB$4:AB$503,"&lt;"&amp;BD287+0.01)),BD287))</f>
        <v>3335.2938</v>
      </c>
      <c r="BS287" s="92" t="n">
        <f aca="false">IF(AC287&gt;=BE287,0,IFERROR(BE287+SUMPRODUCT((AC$4:AC$503&gt;=BE$4:BE$503)*(AC$4:AC$503-BE$4:BE$503))/MAX(1,COUNTIF(AC$4:AC$503,"&lt;"&amp;BE287+0.01)),BE287))</f>
        <v>6188.73352</v>
      </c>
      <c r="BT287" s="92" t="n">
        <f aca="false">IF(AD287&gt;=BF287,0,IFERROR(BF287+SUMPRODUCT((AD$4:AD$503&gt;=BF$4:BF$503)*(AD$4:AD$503-BF$4:BF$503))/MAX(1,COUNTIF(AD$4:AD$503,"&lt;"&amp;BF287+0.01)),BF287))</f>
        <v>11354.35411</v>
      </c>
      <c r="BU287" s="92" t="n">
        <f aca="false">IF(AE287&gt;=BG287,0,IFERROR(BG287+SUMPRODUCT((AE$4:AE$503&gt;=BG$4:BG$503)*(AE$4:AE$503-BG$4:BG$503))/MAX(1,COUNTIF(AE$4:AE$503,"&lt;"&amp;BG287+0.01)),BG287))</f>
        <v>7704.85920380952</v>
      </c>
      <c r="BV287" s="92" t="n">
        <f aca="false">IF(AF287&gt;=BH287,0,IFERROR(BH287+SUMPRODUCT((AF$4:AF$503&gt;=BH$4:BH$503)*(AF$4:AF$503-BH$4:BH$503))/MAX(1,COUNTIF(AF$4:AF$503,"&lt;"&amp;BH287+0.01)),BH287))</f>
        <v>9942.6503831579</v>
      </c>
      <c r="BW287" s="92" t="n">
        <f aca="false">IF(AG287&gt;=BI287,0,IFERROR(BI287+SUMPRODUCT((AG$4:AG$503&gt;=BI$4:BI$503)*(AG$4:AG$503-BI$4:BI$503))/MAX(1,COUNTIF(AG$4:AG$503,"&lt;"&amp;BI287+0.01)),BI287))</f>
        <v>0</v>
      </c>
      <c r="BX287" s="92" t="n">
        <f aca="false">IF(AH287&gt;=BJ287,0,IFERROR(BJ287+SUMPRODUCT((AH$4:AH$503&gt;=BJ$4:BJ$503)*(AH$4:AH$503-BJ$4:BJ$503))/MAX(1,COUNTIF(AH$4:AH$503,"&lt;"&amp;BJ287+0.01)),BJ287))</f>
        <v>5621.50263448276</v>
      </c>
      <c r="BY287" s="92" t="n">
        <f aca="false">IF(AI287&gt;=BK287,0,IFERROR(BK287+SUMPRODUCT((AI$4:AI$503&gt;=BK$4:BK$503)*(AI$4:AI$503-BK$4:BK$503))/MAX(1,COUNTIF(AI$4:AI$503,"&lt;"&amp;BK287+0.01)),BK287))</f>
        <v>7878.25652380952</v>
      </c>
      <c r="BZ287" s="92" t="n">
        <f aca="false">IF(AJ287&gt;=BL287,0,IFERROR(BL287+SUMPRODUCT((AJ$4:AJ$503&gt;=BL$4:BL$503)*(AJ$4:AJ$503-BL$4:BL$503))/MAX(1,COUNTIF(AJ$4:AJ$503,"&lt;"&amp;BL287+0.01)),BL287))</f>
        <v>6710.03292307692</v>
      </c>
      <c r="CA287" s="92" t="n">
        <f aca="false">IF(AK287&gt;=BM287,0,IFERROR(BM287+SUMPRODUCT((AK$4:AK$503&gt;=BM$4:BM$503)*(AK$4:AK$503-BM$4:BM$503))/MAX(1,COUNTIF(AK$4:AK$503,"&lt;"&amp;BM287+0.01)),BM287))</f>
        <v>7314.89836842105</v>
      </c>
      <c r="CB287" s="93" t="n">
        <f aca="false">IF(AL287&gt;=BN287,0,IFERROR(BN287+SUMPRODUCT((AL$4:AL$503&gt;=BN$4:BN$503)*(AL$4:AL$503-BN$4:BN$503))/MAX(1,COUNTIF(AL$4:AL$503,"&lt;"&amp;BN287+0.01)),BN287))</f>
        <v>3597.2614925</v>
      </c>
      <c r="CC287" s="95" t="str">
        <f aca="false">IF(AO287="🟢","VERDE",IF(AO287="🟡","AMARELO",IF(AO287="🟠","VERMELHO",IF(AO287="🔴","VERMELHO","ROXO"))))</f>
        <v>VERMELHO</v>
      </c>
      <c r="CD287" s="96" t="s">
        <v>103</v>
      </c>
      <c r="CE287" s="96" t="s">
        <v>104</v>
      </c>
    </row>
    <row r="288" customFormat="false" ht="14.25" hidden="false" customHeight="true" outlineLevel="0" collapsed="false">
      <c r="A288" s="65" t="s">
        <v>711</v>
      </c>
      <c r="B288" s="66" t="s">
        <v>712</v>
      </c>
      <c r="C288" s="67" t="s">
        <v>99</v>
      </c>
      <c r="D288" s="68" t="s">
        <v>100</v>
      </c>
      <c r="E288" s="69" t="s">
        <v>127</v>
      </c>
      <c r="F288" s="70" t="n">
        <f aca="false">IFERROR(VLOOKUP(C288,$AS$3:$AT$10,2,FALSE()),IFERROR(VLOOKUP(C288,$AS$15:$AT$22,2,FALSE()),""))</f>
        <v>33</v>
      </c>
      <c r="G288" s="71" t="n">
        <f aca="false">IFERROR(VLOOKUP(C288,$AS$3:$AX$10,6,FALSE()),IFERROR(VLOOKUP(C288,$AS$15:$AX$22,6,FALSE()),""))</f>
        <v>0.341494038351172</v>
      </c>
      <c r="H288" s="72" t="str">
        <f aca="false">IFERROR(VLOOKUP(C288,$AS$3:$AY$10,7,FALSE()),IFERROR(VLOOKUP(C288,$AS$15:$AY$22,7,FALSE()),""))</f>
        <v>🔴 VERMELHO</v>
      </c>
      <c r="I288" s="72" t="str">
        <f aca="false">IFERROR(VLOOKUP(C288,$AS$3:$AZ$10,8,FALSE()),IFERROR(VLOOKUP(C288,$AS$15:$AZ$22,8,FALSE()),""))</f>
        <v>Positivação + Expandir</v>
      </c>
      <c r="J288" s="73"/>
      <c r="K288" s="69" t="s">
        <v>99</v>
      </c>
      <c r="L288" s="74" t="n">
        <v>3677.13</v>
      </c>
      <c r="M288" s="75" t="n">
        <v>258.4</v>
      </c>
      <c r="N288" s="75" t="n">
        <v>270.02</v>
      </c>
      <c r="O288" s="75" t="n">
        <v>276.53</v>
      </c>
      <c r="P288" s="75" t="n">
        <v>283.73</v>
      </c>
      <c r="Q288" s="75" t="n">
        <v>293.03</v>
      </c>
      <c r="R288" s="75" t="n">
        <v>300.7</v>
      </c>
      <c r="S288" s="75" t="n">
        <v>312.31</v>
      </c>
      <c r="T288" s="75" t="n">
        <v>319.98</v>
      </c>
      <c r="U288" s="75" t="n">
        <v>327.19</v>
      </c>
      <c r="V288" s="75" t="n">
        <v>335.32</v>
      </c>
      <c r="W288" s="75" t="n">
        <v>344.15</v>
      </c>
      <c r="X288" s="76" t="n">
        <v>355.77</v>
      </c>
      <c r="Y288" s="77" t="s">
        <v>20</v>
      </c>
      <c r="Z288" s="78" t="n">
        <f aca="false">SUM(AA288:AL288)</f>
        <v>1526</v>
      </c>
      <c r="AA288" s="75"/>
      <c r="AB288" s="75"/>
      <c r="AC288" s="75"/>
      <c r="AD288" s="79" t="n">
        <v>1526</v>
      </c>
      <c r="AE288" s="75"/>
      <c r="AF288" s="75"/>
      <c r="AG288" s="75"/>
      <c r="AH288" s="75"/>
      <c r="AI288" s="75"/>
      <c r="AJ288" s="75"/>
      <c r="AK288" s="75"/>
      <c r="AL288" s="76"/>
      <c r="AM288" s="56" t="s">
        <v>20</v>
      </c>
      <c r="AN288" s="80" t="n">
        <f aca="false">IF(L288=0,0,Z288/L288)</f>
        <v>0.414997566036556</v>
      </c>
      <c r="AO288" s="81" t="str">
        <f aca="false">IF(AN288="","",IF(AN288&gt;=0.9,"🟢",IF(AN288&gt;=0.7,"🟡",IF(AN288&gt;=0.5,"🟠","🔴"))))</f>
        <v>🔴</v>
      </c>
      <c r="AP288" s="82" t="n">
        <f aca="false">IF(L288=0,0,L288-Z288)</f>
        <v>2151.13</v>
      </c>
      <c r="AQ288" s="83" t="n">
        <f aca="false">IF(AP288=0,"",RANK(AP288,AP$4:AP$503,0))</f>
        <v>260</v>
      </c>
      <c r="AR288" s="84" t="s">
        <v>20</v>
      </c>
      <c r="AS288" s="141"/>
      <c r="AT288" s="141"/>
      <c r="AU288" s="141"/>
      <c r="AV288" s="141"/>
      <c r="AW288" s="141"/>
      <c r="AX288" s="141"/>
      <c r="AY288" s="142"/>
      <c r="AZ288" s="142"/>
      <c r="BA288" s="56" t="s">
        <v>20</v>
      </c>
      <c r="BB288" s="91" t="n">
        <f aca="false">SUM(L$4:L$503)/COUNTA(A$4:A$503)</f>
        <v>9494.39992</v>
      </c>
      <c r="BC288" s="92" t="n">
        <f aca="false">SUM(M$4:M$503)/COUNTA(A$4:A$503)</f>
        <v>667.20008</v>
      </c>
      <c r="BD288" s="92" t="n">
        <f aca="false">SUM(N$4:N$503)/COUNTA(A$4:A$503)</f>
        <v>697.19996</v>
      </c>
      <c r="BE288" s="92" t="n">
        <f aca="false">SUM(O$4:O$503)/COUNTA(A$4:A$503)</f>
        <v>713.9999</v>
      </c>
      <c r="BF288" s="92" t="n">
        <f aca="false">SUM(P$4:P$503)/COUNTA(A$4:A$503)</f>
        <v>732.59984</v>
      </c>
      <c r="BG288" s="92" t="n">
        <f aca="false">SUM(Q$4:Q$503)/COUNTA(A$4:A$503)</f>
        <v>756.59992</v>
      </c>
      <c r="BH288" s="92" t="n">
        <f aca="false">SUM(R$4:R$503)/COUNTA(A$4:A$503)</f>
        <v>776.40004</v>
      </c>
      <c r="BI288" s="92" t="n">
        <f aca="false">SUM(S$4:S$503)/COUNTA(A$4:A$503)</f>
        <v>806.40012</v>
      </c>
      <c r="BJ288" s="92" t="n">
        <f aca="false">SUM(T$4:T$503)/COUNTA(A$4:A$503)</f>
        <v>826.1999</v>
      </c>
      <c r="BK288" s="92" t="n">
        <f aca="false">SUM(U$4:U$503)/COUNTA(A$4:A$503)</f>
        <v>844.8002</v>
      </c>
      <c r="BL288" s="92" t="n">
        <f aca="false">SUM(V$4:V$503)/COUNTA(A$4:A$503)</f>
        <v>865.7998</v>
      </c>
      <c r="BM288" s="92" t="n">
        <f aca="false">SUM(W$4:W$503)/COUNTA(A$4:A$503)</f>
        <v>888.59982</v>
      </c>
      <c r="BN288" s="93" t="n">
        <f aca="false">SUM(X$4:X$503)/COUNTA(A$4:A$503)</f>
        <v>918.60034</v>
      </c>
      <c r="BO288" s="94" t="s">
        <v>20</v>
      </c>
      <c r="BP288" s="91" t="n">
        <f aca="false">IF(Z288&gt;=BB288,0,IFERROR(BB288+(SUMPRODUCT((Z$4:Z$503&gt;=BB$4:BB$503)*(Z$4:Z$503-BB$4:BB$503))/MAX(1,COUNTIF(Z$4:Z$503,"&lt;"&amp;BB288+0.01))),BB288))</f>
        <v>10695.5432177778</v>
      </c>
      <c r="BQ288" s="92" t="n">
        <f aca="false">IF(AA288&gt;=BC288,0,IFERROR(BC288+SUMPRODUCT((AA$4:AA$503&gt;=BC$4:BC$503)*(AA$4:AA$503-BC$4:BC$503))/MAX(1,COUNTIF(AA$4:AA$503,"&lt;"&amp;BC288+0.01)),BC288))</f>
        <v>2238.46589176471</v>
      </c>
      <c r="BR288" s="92" t="n">
        <f aca="false">IF(AB288&gt;=BD288,0,IFERROR(BD288+SUMPRODUCT((AB$4:AB$503&gt;=BD$4:BD$503)*(AB$4:AB$503-BD$4:BD$503))/MAX(1,COUNTIF(AB$4:AB$503,"&lt;"&amp;BD288+0.01)),BD288))</f>
        <v>3335.2938</v>
      </c>
      <c r="BS288" s="92" t="n">
        <f aca="false">IF(AC288&gt;=BE288,0,IFERROR(BE288+SUMPRODUCT((AC$4:AC$503&gt;=BE$4:BE$503)*(AC$4:AC$503-BE$4:BE$503))/MAX(1,COUNTIF(AC$4:AC$503,"&lt;"&amp;BE288+0.01)),BE288))</f>
        <v>6188.73352</v>
      </c>
      <c r="BT288" s="92" t="n">
        <f aca="false">IF(AD288&gt;=BF288,0,IFERROR(BF288+SUMPRODUCT((AD$4:AD$503&gt;=BF$4:BF$503)*(AD$4:AD$503-BF$4:BF$503))/MAX(1,COUNTIF(AD$4:AD$503,"&lt;"&amp;BF288+0.01)),BF288))</f>
        <v>0</v>
      </c>
      <c r="BU288" s="92" t="n">
        <f aca="false">IF(AE288&gt;=BG288,0,IFERROR(BG288+SUMPRODUCT((AE$4:AE$503&gt;=BG$4:BG$503)*(AE$4:AE$503-BG$4:BG$503))/MAX(1,COUNTIF(AE$4:AE$503,"&lt;"&amp;BG288+0.01)),BG288))</f>
        <v>7704.85920380952</v>
      </c>
      <c r="BV288" s="92" t="n">
        <f aca="false">IF(AF288&gt;=BH288,0,IFERROR(BH288+SUMPRODUCT((AF$4:AF$503&gt;=BH$4:BH$503)*(AF$4:AF$503-BH$4:BH$503))/MAX(1,COUNTIF(AF$4:AF$503,"&lt;"&amp;BH288+0.01)),BH288))</f>
        <v>9942.6503831579</v>
      </c>
      <c r="BW288" s="92" t="n">
        <f aca="false">IF(AG288&gt;=BI288,0,IFERROR(BI288+SUMPRODUCT((AG$4:AG$503&gt;=BI$4:BI$503)*(AG$4:AG$503-BI$4:BI$503))/MAX(1,COUNTIF(AG$4:AG$503,"&lt;"&amp;BI288+0.01)),BI288))</f>
        <v>9142.15870461538</v>
      </c>
      <c r="BX288" s="92" t="n">
        <f aca="false">IF(AH288&gt;=BJ288,0,IFERROR(BJ288+SUMPRODUCT((AH$4:AH$503&gt;=BJ$4:BJ$503)*(AH$4:AH$503-BJ$4:BJ$503))/MAX(1,COUNTIF(AH$4:AH$503,"&lt;"&amp;BJ288+0.01)),BJ288))</f>
        <v>5621.50263448276</v>
      </c>
      <c r="BY288" s="92" t="n">
        <f aca="false">IF(AI288&gt;=BK288,0,IFERROR(BK288+SUMPRODUCT((AI$4:AI$503&gt;=BK$4:BK$503)*(AI$4:AI$503-BK$4:BK$503))/MAX(1,COUNTIF(AI$4:AI$503,"&lt;"&amp;BK288+0.01)),BK288))</f>
        <v>7878.25652380952</v>
      </c>
      <c r="BZ288" s="92" t="n">
        <f aca="false">IF(AJ288&gt;=BL288,0,IFERROR(BL288+SUMPRODUCT((AJ$4:AJ$503&gt;=BL$4:BL$503)*(AJ$4:AJ$503-BL$4:BL$503))/MAX(1,COUNTIF(AJ$4:AJ$503,"&lt;"&amp;BL288+0.01)),BL288))</f>
        <v>6710.03292307692</v>
      </c>
      <c r="CA288" s="92" t="n">
        <f aca="false">IF(AK288&gt;=BM288,0,IFERROR(BM288+SUMPRODUCT((AK$4:AK$503&gt;=BM$4:BM$503)*(AK$4:AK$503-BM$4:BM$503))/MAX(1,COUNTIF(AK$4:AK$503,"&lt;"&amp;BM288+0.01)),BM288))</f>
        <v>7314.89836842105</v>
      </c>
      <c r="CB288" s="93" t="n">
        <f aca="false">IF(AL288&gt;=BN288,0,IFERROR(BN288+SUMPRODUCT((AL$4:AL$503&gt;=BN$4:BN$503)*(AL$4:AL$503-BN$4:BN$503))/MAX(1,COUNTIF(AL$4:AL$503,"&lt;"&amp;BN288+0.01)),BN288))</f>
        <v>3597.2614925</v>
      </c>
      <c r="CC288" s="95" t="str">
        <f aca="false">IF(AO288="🟢","VERDE",IF(AO288="🟡","AMARELO",IF(AO288="🟠","VERMELHO",IF(AO288="🔴","VERMELHO","ROXO"))))</f>
        <v>VERMELHO</v>
      </c>
      <c r="CD288" s="96" t="s">
        <v>103</v>
      </c>
      <c r="CE288" s="96" t="s">
        <v>104</v>
      </c>
    </row>
    <row r="289" customFormat="false" ht="14.25" hidden="false" customHeight="true" outlineLevel="0" collapsed="false">
      <c r="A289" s="65" t="s">
        <v>713</v>
      </c>
      <c r="B289" s="66" t="s">
        <v>714</v>
      </c>
      <c r="C289" s="67" t="s">
        <v>123</v>
      </c>
      <c r="D289" s="68" t="s">
        <v>108</v>
      </c>
      <c r="E289" s="56" t="s">
        <v>20</v>
      </c>
      <c r="F289" s="70" t="n">
        <f aca="false">IFERROR(VLOOKUP(C289,$AS$3:$AT$10,2,FALSE()),IFERROR(VLOOKUP(C289,$AS$15:$AT$22,2,FALSE()),""))</f>
        <v>49</v>
      </c>
      <c r="G289" s="71" t="n">
        <f aca="false">IFERROR(VLOOKUP(C289,$AS$3:$AX$10,6,FALSE()),IFERROR(VLOOKUP(C289,$AS$15:$AX$22,6,FALSE()),""))</f>
        <v>0.436391353881959</v>
      </c>
      <c r="H289" s="72" t="str">
        <f aca="false">IFERROR(VLOOKUP(C289,$AS$3:$AY$10,7,FALSE()),IFERROR(VLOOKUP(C289,$AS$15:$AY$22,7,FALSE()),""))</f>
        <v>🟡 AMARELO</v>
      </c>
      <c r="I289" s="72" t="str">
        <f aca="false">IFERROR(VLOOKUP(C289,$AS$3:$AZ$10,8,FALSE()),IFERROR(VLOOKUP(C289,$AS$15:$AZ$22,8,FALSE()),""))</f>
        <v>Sell Out</v>
      </c>
      <c r="J289" s="73"/>
      <c r="K289" s="56" t="s">
        <v>20</v>
      </c>
      <c r="L289" s="74" t="n">
        <v>3651.41</v>
      </c>
      <c r="M289" s="75" t="n">
        <v>256.6</v>
      </c>
      <c r="N289" s="75" t="n">
        <v>268.13</v>
      </c>
      <c r="O289" s="75" t="n">
        <v>274.59</v>
      </c>
      <c r="P289" s="75" t="n">
        <v>281.75</v>
      </c>
      <c r="Q289" s="75" t="n">
        <v>290.98</v>
      </c>
      <c r="R289" s="75" t="n">
        <v>298.59</v>
      </c>
      <c r="S289" s="75" t="n">
        <v>310.13</v>
      </c>
      <c r="T289" s="75" t="n">
        <v>317.75</v>
      </c>
      <c r="U289" s="75" t="n">
        <v>324.9</v>
      </c>
      <c r="V289" s="75" t="n">
        <v>332.97</v>
      </c>
      <c r="W289" s="75" t="n">
        <v>341.74</v>
      </c>
      <c r="X289" s="76" t="n">
        <v>353.28</v>
      </c>
      <c r="Y289" s="77" t="s">
        <v>20</v>
      </c>
      <c r="Z289" s="78" t="n">
        <f aca="false">SUM(AA289:AL289)</f>
        <v>1468.42</v>
      </c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6" t="n">
        <v>1468.42</v>
      </c>
      <c r="AM289" s="56" t="s">
        <v>20</v>
      </c>
      <c r="AN289" s="80" t="n">
        <f aca="false">IF(L289=0,0,Z289/L289)</f>
        <v>0.402151497640638</v>
      </c>
      <c r="AO289" s="81" t="str">
        <f aca="false">IF(AN289="","",IF(AN289&gt;=0.9,"🟢",IF(AN289&gt;=0.7,"🟡",IF(AN289&gt;=0.5,"🟠","🔴"))))</f>
        <v>🔴</v>
      </c>
      <c r="AP289" s="82" t="n">
        <f aca="false">IF(L289=0,0,L289-Z289)</f>
        <v>2182.99</v>
      </c>
      <c r="AQ289" s="83" t="n">
        <f aca="false">IF(AP289=0,"",RANK(AP289,AP$4:AP$503,0))</f>
        <v>258</v>
      </c>
      <c r="AR289" s="84" t="s">
        <v>20</v>
      </c>
      <c r="AS289" s="141"/>
      <c r="AT289" s="141"/>
      <c r="AU289" s="141"/>
      <c r="AV289" s="141"/>
      <c r="AW289" s="141"/>
      <c r="AX289" s="141"/>
      <c r="AY289" s="142"/>
      <c r="AZ289" s="142"/>
      <c r="BA289" s="56" t="s">
        <v>20</v>
      </c>
      <c r="BB289" s="91" t="n">
        <f aca="false">SUM(L$4:L$503)/COUNTA(A$4:A$503)</f>
        <v>9494.39992</v>
      </c>
      <c r="BC289" s="92" t="n">
        <f aca="false">SUM(M$4:M$503)/COUNTA(A$4:A$503)</f>
        <v>667.20008</v>
      </c>
      <c r="BD289" s="92" t="n">
        <f aca="false">SUM(N$4:N$503)/COUNTA(A$4:A$503)</f>
        <v>697.19996</v>
      </c>
      <c r="BE289" s="92" t="n">
        <f aca="false">SUM(O$4:O$503)/COUNTA(A$4:A$503)</f>
        <v>713.9999</v>
      </c>
      <c r="BF289" s="92" t="n">
        <f aca="false">SUM(P$4:P$503)/COUNTA(A$4:A$503)</f>
        <v>732.59984</v>
      </c>
      <c r="BG289" s="92" t="n">
        <f aca="false">SUM(Q$4:Q$503)/COUNTA(A$4:A$503)</f>
        <v>756.59992</v>
      </c>
      <c r="BH289" s="92" t="n">
        <f aca="false">SUM(R$4:R$503)/COUNTA(A$4:A$503)</f>
        <v>776.40004</v>
      </c>
      <c r="BI289" s="92" t="n">
        <f aca="false">SUM(S$4:S$503)/COUNTA(A$4:A$503)</f>
        <v>806.40012</v>
      </c>
      <c r="BJ289" s="92" t="n">
        <f aca="false">SUM(T$4:T$503)/COUNTA(A$4:A$503)</f>
        <v>826.1999</v>
      </c>
      <c r="BK289" s="92" t="n">
        <f aca="false">SUM(U$4:U$503)/COUNTA(A$4:A$503)</f>
        <v>844.8002</v>
      </c>
      <c r="BL289" s="92" t="n">
        <f aca="false">SUM(V$4:V$503)/COUNTA(A$4:A$503)</f>
        <v>865.7998</v>
      </c>
      <c r="BM289" s="92" t="n">
        <f aca="false">SUM(W$4:W$503)/COUNTA(A$4:A$503)</f>
        <v>888.59982</v>
      </c>
      <c r="BN289" s="93" t="n">
        <f aca="false">SUM(X$4:X$503)/COUNTA(A$4:A$503)</f>
        <v>918.60034</v>
      </c>
      <c r="BO289" s="94" t="s">
        <v>20</v>
      </c>
      <c r="BP289" s="91" t="n">
        <f aca="false">IF(Z289&gt;=BB289,0,IFERROR(BB289+(SUMPRODUCT((Z$4:Z$503&gt;=BB$4:BB$503)*(Z$4:Z$503-BB$4:BB$503))/MAX(1,COUNTIF(Z$4:Z$503,"&lt;"&amp;BB289+0.01))),BB289))</f>
        <v>10695.5432177778</v>
      </c>
      <c r="BQ289" s="92" t="n">
        <f aca="false">IF(AA289&gt;=BC289,0,IFERROR(BC289+SUMPRODUCT((AA$4:AA$503&gt;=BC$4:BC$503)*(AA$4:AA$503-BC$4:BC$503))/MAX(1,COUNTIF(AA$4:AA$503,"&lt;"&amp;BC289+0.01)),BC289))</f>
        <v>2238.46589176471</v>
      </c>
      <c r="BR289" s="92" t="n">
        <f aca="false">IF(AB289&gt;=BD289,0,IFERROR(BD289+SUMPRODUCT((AB$4:AB$503&gt;=BD$4:BD$503)*(AB$4:AB$503-BD$4:BD$503))/MAX(1,COUNTIF(AB$4:AB$503,"&lt;"&amp;BD289+0.01)),BD289))</f>
        <v>3335.2938</v>
      </c>
      <c r="BS289" s="92" t="n">
        <f aca="false">IF(AC289&gt;=BE289,0,IFERROR(BE289+SUMPRODUCT((AC$4:AC$503&gt;=BE$4:BE$503)*(AC$4:AC$503-BE$4:BE$503))/MAX(1,COUNTIF(AC$4:AC$503,"&lt;"&amp;BE289+0.01)),BE289))</f>
        <v>6188.73352</v>
      </c>
      <c r="BT289" s="92" t="n">
        <f aca="false">IF(AD289&gt;=BF289,0,IFERROR(BF289+SUMPRODUCT((AD$4:AD$503&gt;=BF$4:BF$503)*(AD$4:AD$503-BF$4:BF$503))/MAX(1,COUNTIF(AD$4:AD$503,"&lt;"&amp;BF289+0.01)),BF289))</f>
        <v>11354.35411</v>
      </c>
      <c r="BU289" s="92" t="n">
        <f aca="false">IF(AE289&gt;=BG289,0,IFERROR(BG289+SUMPRODUCT((AE$4:AE$503&gt;=BG$4:BG$503)*(AE$4:AE$503-BG$4:BG$503))/MAX(1,COUNTIF(AE$4:AE$503,"&lt;"&amp;BG289+0.01)),BG289))</f>
        <v>7704.85920380952</v>
      </c>
      <c r="BV289" s="92" t="n">
        <f aca="false">IF(AF289&gt;=BH289,0,IFERROR(BH289+SUMPRODUCT((AF$4:AF$503&gt;=BH$4:BH$503)*(AF$4:AF$503-BH$4:BH$503))/MAX(1,COUNTIF(AF$4:AF$503,"&lt;"&amp;BH289+0.01)),BH289))</f>
        <v>9942.6503831579</v>
      </c>
      <c r="BW289" s="92" t="n">
        <f aca="false">IF(AG289&gt;=BI289,0,IFERROR(BI289+SUMPRODUCT((AG$4:AG$503&gt;=BI$4:BI$503)*(AG$4:AG$503-BI$4:BI$503))/MAX(1,COUNTIF(AG$4:AG$503,"&lt;"&amp;BI289+0.01)),BI289))</f>
        <v>9142.15870461538</v>
      </c>
      <c r="BX289" s="92" t="n">
        <f aca="false">IF(AH289&gt;=BJ289,0,IFERROR(BJ289+SUMPRODUCT((AH$4:AH$503&gt;=BJ$4:BJ$503)*(AH$4:AH$503-BJ$4:BJ$503))/MAX(1,COUNTIF(AH$4:AH$503,"&lt;"&amp;BJ289+0.01)),BJ289))</f>
        <v>5621.50263448276</v>
      </c>
      <c r="BY289" s="92" t="n">
        <f aca="false">IF(AI289&gt;=BK289,0,IFERROR(BK289+SUMPRODUCT((AI$4:AI$503&gt;=BK$4:BK$503)*(AI$4:AI$503-BK$4:BK$503))/MAX(1,COUNTIF(AI$4:AI$503,"&lt;"&amp;BK289+0.01)),BK289))</f>
        <v>7878.25652380952</v>
      </c>
      <c r="BZ289" s="92" t="n">
        <f aca="false">IF(AJ289&gt;=BL289,0,IFERROR(BL289+SUMPRODUCT((AJ$4:AJ$503&gt;=BL$4:BL$503)*(AJ$4:AJ$503-BL$4:BL$503))/MAX(1,COUNTIF(AJ$4:AJ$503,"&lt;"&amp;BL289+0.01)),BL289))</f>
        <v>6710.03292307692</v>
      </c>
      <c r="CA289" s="92" t="n">
        <f aca="false">IF(AK289&gt;=BM289,0,IFERROR(BM289+SUMPRODUCT((AK$4:AK$503&gt;=BM$4:BM$503)*(AK$4:AK$503-BM$4:BM$503))/MAX(1,COUNTIF(AK$4:AK$503,"&lt;"&amp;BM289+0.01)),BM289))</f>
        <v>7314.89836842105</v>
      </c>
      <c r="CB289" s="93" t="n">
        <f aca="false">IF(AL289&gt;=BN289,0,IFERROR(BN289+SUMPRODUCT((AL$4:AL$503&gt;=BN$4:BN$503)*(AL$4:AL$503-BN$4:BN$503))/MAX(1,COUNTIF(AL$4:AL$503,"&lt;"&amp;BN289+0.01)),BN289))</f>
        <v>0</v>
      </c>
      <c r="CC289" s="95" t="str">
        <f aca="false">IF(AO289="🟢","VERDE",IF(AO289="🟡","AMARELO",IF(AO289="🟠","VERMELHO",IF(AO289="🔴","VERMELHO","ROXO"))))</f>
        <v>VERMELHO</v>
      </c>
      <c r="CD289" s="96" t="s">
        <v>103</v>
      </c>
      <c r="CE289" s="96" t="s">
        <v>104</v>
      </c>
    </row>
    <row r="290" customFormat="false" ht="14.25" hidden="false" customHeight="true" outlineLevel="0" collapsed="false">
      <c r="A290" s="65" t="s">
        <v>715</v>
      </c>
      <c r="B290" s="66" t="s">
        <v>716</v>
      </c>
      <c r="C290" s="66" t="s">
        <v>110</v>
      </c>
      <c r="D290" s="68" t="s">
        <v>184</v>
      </c>
      <c r="E290" s="69" t="s">
        <v>717</v>
      </c>
      <c r="F290" s="70" t="n">
        <f aca="false">IFERROR(VLOOKUP(C290,$AS$3:$AT$10,2,FALSE()),IFERROR(VLOOKUP(C290,$AS$15:$AT$22,2,FALSE()),""))</f>
        <v>15</v>
      </c>
      <c r="G290" s="71" t="n">
        <f aca="false">IFERROR(VLOOKUP(C290,$AS$3:$AX$10,6,FALSE()),IFERROR(VLOOKUP(C290,$AS$15:$AX$22,6,FALSE()),""))</f>
        <v>0.621111876107332</v>
      </c>
      <c r="H290" s="72" t="str">
        <f aca="false">IFERROR(VLOOKUP(C290,$AS$3:$AY$10,7,FALSE()),IFERROR(VLOOKUP(C290,$AS$15:$AY$22,7,FALSE()),""))</f>
        <v>🟢 VERDE</v>
      </c>
      <c r="I290" s="72" t="str">
        <f aca="false">IFERROR(VLOOKUP(C290,$AS$3:$AZ$10,8,FALSE()),IFERROR(VLOOKUP(C290,$AS$15:$AZ$22,8,FALSE()),""))</f>
        <v>JBP</v>
      </c>
      <c r="J290" s="73"/>
      <c r="K290" s="69" t="s">
        <v>145</v>
      </c>
      <c r="L290" s="74" t="n">
        <v>3611.58</v>
      </c>
      <c r="M290" s="75" t="n">
        <v>253.8</v>
      </c>
      <c r="N290" s="75" t="n">
        <v>265.21</v>
      </c>
      <c r="O290" s="75" t="n">
        <v>271.6</v>
      </c>
      <c r="P290" s="75" t="n">
        <v>278.67</v>
      </c>
      <c r="Q290" s="75" t="n">
        <v>287.8</v>
      </c>
      <c r="R290" s="75" t="n">
        <v>295.34</v>
      </c>
      <c r="S290" s="75" t="n">
        <v>306.75</v>
      </c>
      <c r="T290" s="75" t="n">
        <v>314.28</v>
      </c>
      <c r="U290" s="75" t="n">
        <v>321.35</v>
      </c>
      <c r="V290" s="75" t="n">
        <v>329.34</v>
      </c>
      <c r="W290" s="75" t="n">
        <v>338.01</v>
      </c>
      <c r="X290" s="76" t="n">
        <v>349.43</v>
      </c>
      <c r="Y290" s="77" t="s">
        <v>20</v>
      </c>
      <c r="Z290" s="78" t="n">
        <f aca="false">SUM(AA290:AL290)</f>
        <v>1452.4</v>
      </c>
      <c r="AA290" s="75"/>
      <c r="AB290" s="75"/>
      <c r="AC290" s="75"/>
      <c r="AD290" s="75"/>
      <c r="AE290" s="75"/>
      <c r="AF290" s="79" t="n">
        <v>1452.4</v>
      </c>
      <c r="AG290" s="75"/>
      <c r="AH290" s="75"/>
      <c r="AI290" s="75"/>
      <c r="AJ290" s="75"/>
      <c r="AK290" s="75"/>
      <c r="AL290" s="76"/>
      <c r="AM290" s="56" t="s">
        <v>20</v>
      </c>
      <c r="AN290" s="80" t="n">
        <f aca="false">IF(L290=0,0,Z290/L290)</f>
        <v>0.402150859180746</v>
      </c>
      <c r="AO290" s="81" t="str">
        <f aca="false">IF(AN290="","",IF(AN290&gt;=0.9,"🟢",IF(AN290&gt;=0.7,"🟡",IF(AN290&gt;=0.5,"🟠","🔴"))))</f>
        <v>🔴</v>
      </c>
      <c r="AP290" s="82" t="n">
        <f aca="false">IF(L290=0,0,L290-Z290)</f>
        <v>2159.18</v>
      </c>
      <c r="AQ290" s="83" t="n">
        <f aca="false">IF(AP290=0,"",RANK(AP290,AP$4:AP$503,0))</f>
        <v>259</v>
      </c>
      <c r="AR290" s="84" t="s">
        <v>20</v>
      </c>
      <c r="AS290" s="141"/>
      <c r="AT290" s="141"/>
      <c r="AU290" s="141"/>
      <c r="AV290" s="141"/>
      <c r="AW290" s="141"/>
      <c r="AX290" s="141"/>
      <c r="AY290" s="142"/>
      <c r="AZ290" s="142"/>
      <c r="BA290" s="56" t="s">
        <v>20</v>
      </c>
      <c r="BB290" s="91" t="n">
        <f aca="false">SUM(L$4:L$503)/COUNTA(A$4:A$503)</f>
        <v>9494.39992</v>
      </c>
      <c r="BC290" s="92" t="n">
        <f aca="false">SUM(M$4:M$503)/COUNTA(A$4:A$503)</f>
        <v>667.20008</v>
      </c>
      <c r="BD290" s="92" t="n">
        <f aca="false">SUM(N$4:N$503)/COUNTA(A$4:A$503)</f>
        <v>697.19996</v>
      </c>
      <c r="BE290" s="92" t="n">
        <f aca="false">SUM(O$4:O$503)/COUNTA(A$4:A$503)</f>
        <v>713.9999</v>
      </c>
      <c r="BF290" s="92" t="n">
        <f aca="false">SUM(P$4:P$503)/COUNTA(A$4:A$503)</f>
        <v>732.59984</v>
      </c>
      <c r="BG290" s="92" t="n">
        <f aca="false">SUM(Q$4:Q$503)/COUNTA(A$4:A$503)</f>
        <v>756.59992</v>
      </c>
      <c r="BH290" s="92" t="n">
        <f aca="false">SUM(R$4:R$503)/COUNTA(A$4:A$503)</f>
        <v>776.40004</v>
      </c>
      <c r="BI290" s="92" t="n">
        <f aca="false">SUM(S$4:S$503)/COUNTA(A$4:A$503)</f>
        <v>806.40012</v>
      </c>
      <c r="BJ290" s="92" t="n">
        <f aca="false">SUM(T$4:T$503)/COUNTA(A$4:A$503)</f>
        <v>826.1999</v>
      </c>
      <c r="BK290" s="92" t="n">
        <f aca="false">SUM(U$4:U$503)/COUNTA(A$4:A$503)</f>
        <v>844.8002</v>
      </c>
      <c r="BL290" s="92" t="n">
        <f aca="false">SUM(V$4:V$503)/COUNTA(A$4:A$503)</f>
        <v>865.7998</v>
      </c>
      <c r="BM290" s="92" t="n">
        <f aca="false">SUM(W$4:W$503)/COUNTA(A$4:A$503)</f>
        <v>888.59982</v>
      </c>
      <c r="BN290" s="93" t="n">
        <f aca="false">SUM(X$4:X$503)/COUNTA(A$4:A$503)</f>
        <v>918.60034</v>
      </c>
      <c r="BO290" s="94" t="s">
        <v>20</v>
      </c>
      <c r="BP290" s="91" t="n">
        <f aca="false">IF(Z290&gt;=BB290,0,IFERROR(BB290+(SUMPRODUCT((Z$4:Z$503&gt;=BB$4:BB$503)*(Z$4:Z$503-BB$4:BB$503))/MAX(1,COUNTIF(Z$4:Z$503,"&lt;"&amp;BB290+0.01))),BB290))</f>
        <v>10695.5432177778</v>
      </c>
      <c r="BQ290" s="92" t="n">
        <f aca="false">IF(AA290&gt;=BC290,0,IFERROR(BC290+SUMPRODUCT((AA$4:AA$503&gt;=BC$4:BC$503)*(AA$4:AA$503-BC$4:BC$503))/MAX(1,COUNTIF(AA$4:AA$503,"&lt;"&amp;BC290+0.01)),BC290))</f>
        <v>2238.46589176471</v>
      </c>
      <c r="BR290" s="92" t="n">
        <f aca="false">IF(AB290&gt;=BD290,0,IFERROR(BD290+SUMPRODUCT((AB$4:AB$503&gt;=BD$4:BD$503)*(AB$4:AB$503-BD$4:BD$503))/MAX(1,COUNTIF(AB$4:AB$503,"&lt;"&amp;BD290+0.01)),BD290))</f>
        <v>3335.2938</v>
      </c>
      <c r="BS290" s="92" t="n">
        <f aca="false">IF(AC290&gt;=BE290,0,IFERROR(BE290+SUMPRODUCT((AC$4:AC$503&gt;=BE$4:BE$503)*(AC$4:AC$503-BE$4:BE$503))/MAX(1,COUNTIF(AC$4:AC$503,"&lt;"&amp;BE290+0.01)),BE290))</f>
        <v>6188.73352</v>
      </c>
      <c r="BT290" s="92" t="n">
        <f aca="false">IF(AD290&gt;=BF290,0,IFERROR(BF290+SUMPRODUCT((AD$4:AD$503&gt;=BF$4:BF$503)*(AD$4:AD$503-BF$4:BF$503))/MAX(1,COUNTIF(AD$4:AD$503,"&lt;"&amp;BF290+0.01)),BF290))</f>
        <v>11354.35411</v>
      </c>
      <c r="BU290" s="92" t="n">
        <f aca="false">IF(AE290&gt;=BG290,0,IFERROR(BG290+SUMPRODUCT((AE$4:AE$503&gt;=BG$4:BG$503)*(AE$4:AE$503-BG$4:BG$503))/MAX(1,COUNTIF(AE$4:AE$503,"&lt;"&amp;BG290+0.01)),BG290))</f>
        <v>7704.85920380952</v>
      </c>
      <c r="BV290" s="92" t="n">
        <f aca="false">IF(AF290&gt;=BH290,0,IFERROR(BH290+SUMPRODUCT((AF$4:AF$503&gt;=BH$4:BH$503)*(AF$4:AF$503-BH$4:BH$503))/MAX(1,COUNTIF(AF$4:AF$503,"&lt;"&amp;BH290+0.01)),BH290))</f>
        <v>0</v>
      </c>
      <c r="BW290" s="92" t="n">
        <f aca="false">IF(AG290&gt;=BI290,0,IFERROR(BI290+SUMPRODUCT((AG$4:AG$503&gt;=BI$4:BI$503)*(AG$4:AG$503-BI$4:BI$503))/MAX(1,COUNTIF(AG$4:AG$503,"&lt;"&amp;BI290+0.01)),BI290))</f>
        <v>9142.15870461538</v>
      </c>
      <c r="BX290" s="92" t="n">
        <f aca="false">IF(AH290&gt;=BJ290,0,IFERROR(BJ290+SUMPRODUCT((AH$4:AH$503&gt;=BJ$4:BJ$503)*(AH$4:AH$503-BJ$4:BJ$503))/MAX(1,COUNTIF(AH$4:AH$503,"&lt;"&amp;BJ290+0.01)),BJ290))</f>
        <v>5621.50263448276</v>
      </c>
      <c r="BY290" s="92" t="n">
        <f aca="false">IF(AI290&gt;=BK290,0,IFERROR(BK290+SUMPRODUCT((AI$4:AI$503&gt;=BK$4:BK$503)*(AI$4:AI$503-BK$4:BK$503))/MAX(1,COUNTIF(AI$4:AI$503,"&lt;"&amp;BK290+0.01)),BK290))</f>
        <v>7878.25652380952</v>
      </c>
      <c r="BZ290" s="92" t="n">
        <f aca="false">IF(AJ290&gt;=BL290,0,IFERROR(BL290+SUMPRODUCT((AJ$4:AJ$503&gt;=BL$4:BL$503)*(AJ$4:AJ$503-BL$4:BL$503))/MAX(1,COUNTIF(AJ$4:AJ$503,"&lt;"&amp;BL290+0.01)),BL290))</f>
        <v>6710.03292307692</v>
      </c>
      <c r="CA290" s="92" t="n">
        <f aca="false">IF(AK290&gt;=BM290,0,IFERROR(BM290+SUMPRODUCT((AK$4:AK$503&gt;=BM$4:BM$503)*(AK$4:AK$503-BM$4:BM$503))/MAX(1,COUNTIF(AK$4:AK$503,"&lt;"&amp;BM290+0.01)),BM290))</f>
        <v>7314.89836842105</v>
      </c>
      <c r="CB290" s="93" t="n">
        <f aca="false">IF(AL290&gt;=BN290,0,IFERROR(BN290+SUMPRODUCT((AL$4:AL$503&gt;=BN$4:BN$503)*(AL$4:AL$503-BN$4:BN$503))/MAX(1,COUNTIF(AL$4:AL$503,"&lt;"&amp;BN290+0.01)),BN290))</f>
        <v>3597.2614925</v>
      </c>
      <c r="CC290" s="95" t="str">
        <f aca="false">IF(AO290="🟢","VERDE",IF(AO290="🟡","AMARELO",IF(AO290="🟠","VERMELHO",IF(AO290="🔴","VERMELHO","ROXO"))))</f>
        <v>VERMELHO</v>
      </c>
      <c r="CD290" s="96" t="s">
        <v>176</v>
      </c>
      <c r="CE290" s="96" t="s">
        <v>110</v>
      </c>
    </row>
    <row r="291" customFormat="false" ht="14.25" hidden="false" customHeight="true" outlineLevel="0" collapsed="false">
      <c r="A291" s="65" t="s">
        <v>718</v>
      </c>
      <c r="B291" s="66" t="s">
        <v>719</v>
      </c>
      <c r="C291" s="67" t="s">
        <v>107</v>
      </c>
      <c r="D291" s="68" t="s">
        <v>108</v>
      </c>
      <c r="E291" s="69" t="s">
        <v>109</v>
      </c>
      <c r="F291" s="70" t="n">
        <f aca="false">IFERROR(VLOOKUP(C291,$AS$3:$AT$10,2,FALSE()),IFERROR(VLOOKUP(C291,$AS$15:$AT$22,2,FALSE()),""))</f>
        <v>132</v>
      </c>
      <c r="G291" s="71" t="n">
        <f aca="false">IFERROR(VLOOKUP(C291,$AS$3:$AX$10,6,FALSE()),IFERROR(VLOOKUP(C291,$AS$15:$AX$22,6,FALSE()),""))</f>
        <v>0.468190175850689</v>
      </c>
      <c r="H291" s="72" t="str">
        <f aca="false">IFERROR(VLOOKUP(C291,$AS$3:$AY$10,7,FALSE()),IFERROR(VLOOKUP(C291,$AS$15:$AY$22,7,FALSE()),""))</f>
        <v>🟡 AMARELO</v>
      </c>
      <c r="I291" s="72" t="str">
        <f aca="false">IFERROR(VLOOKUP(C291,$AS$3:$AZ$10,8,FALSE()),IFERROR(VLOOKUP(C291,$AS$15:$AZ$22,8,FALSE()),""))</f>
        <v>Sell Out</v>
      </c>
      <c r="J291" s="73"/>
      <c r="K291" s="69" t="s">
        <v>107</v>
      </c>
      <c r="L291" s="74" t="n">
        <v>3603.11</v>
      </c>
      <c r="M291" s="75" t="n">
        <v>253.2</v>
      </c>
      <c r="N291" s="75" t="n">
        <v>264.59</v>
      </c>
      <c r="O291" s="75" t="n">
        <v>270.96</v>
      </c>
      <c r="P291" s="75" t="n">
        <v>278.02</v>
      </c>
      <c r="Q291" s="75" t="n">
        <v>287.13</v>
      </c>
      <c r="R291" s="75" t="n">
        <v>294.64</v>
      </c>
      <c r="S291" s="75" t="n">
        <v>306.03</v>
      </c>
      <c r="T291" s="75" t="n">
        <v>313.54</v>
      </c>
      <c r="U291" s="75" t="n">
        <v>320.6</v>
      </c>
      <c r="V291" s="75" t="n">
        <v>328.57</v>
      </c>
      <c r="W291" s="75" t="n">
        <v>337.22</v>
      </c>
      <c r="X291" s="76" t="n">
        <v>348.61</v>
      </c>
      <c r="Y291" s="77" t="s">
        <v>20</v>
      </c>
      <c r="Z291" s="78" t="n">
        <f aca="false">SUM(AA291:AL291)</f>
        <v>1498.5</v>
      </c>
      <c r="AA291" s="75"/>
      <c r="AB291" s="75"/>
      <c r="AC291" s="75"/>
      <c r="AD291" s="75"/>
      <c r="AE291" s="75"/>
      <c r="AF291" s="79" t="n">
        <v>1498.5</v>
      </c>
      <c r="AG291" s="75"/>
      <c r="AH291" s="75"/>
      <c r="AI291" s="75"/>
      <c r="AJ291" s="75"/>
      <c r="AK291" s="75"/>
      <c r="AL291" s="76"/>
      <c r="AM291" s="56" t="s">
        <v>20</v>
      </c>
      <c r="AN291" s="80" t="n">
        <f aca="false">IF(L291=0,0,Z291/L291)</f>
        <v>0.415890716630911</v>
      </c>
      <c r="AO291" s="81" t="str">
        <f aca="false">IF(AN291="","",IF(AN291&gt;=0.9,"🟢",IF(AN291&gt;=0.7,"🟡",IF(AN291&gt;=0.5,"🟠","🔴"))))</f>
        <v>🔴</v>
      </c>
      <c r="AP291" s="82" t="n">
        <f aca="false">IF(L291=0,0,L291-Z291)</f>
        <v>2104.61</v>
      </c>
      <c r="AQ291" s="83" t="n">
        <f aca="false">IF(AP291=0,"",RANK(AP291,AP$4:AP$503,0))</f>
        <v>263</v>
      </c>
      <c r="AR291" s="84" t="s">
        <v>20</v>
      </c>
      <c r="AS291" s="141"/>
      <c r="AT291" s="141"/>
      <c r="AU291" s="141"/>
      <c r="AV291" s="141"/>
      <c r="AW291" s="141"/>
      <c r="AX291" s="141"/>
      <c r="AY291" s="142"/>
      <c r="AZ291" s="142"/>
      <c r="BA291" s="56" t="s">
        <v>20</v>
      </c>
      <c r="BB291" s="91" t="n">
        <f aca="false">SUM(L$4:L$503)/COUNTA(A$4:A$503)</f>
        <v>9494.39992</v>
      </c>
      <c r="BC291" s="92" t="n">
        <f aca="false">SUM(M$4:M$503)/COUNTA(A$4:A$503)</f>
        <v>667.20008</v>
      </c>
      <c r="BD291" s="92" t="n">
        <f aca="false">SUM(N$4:N$503)/COUNTA(A$4:A$503)</f>
        <v>697.19996</v>
      </c>
      <c r="BE291" s="92" t="n">
        <f aca="false">SUM(O$4:O$503)/COUNTA(A$4:A$503)</f>
        <v>713.9999</v>
      </c>
      <c r="BF291" s="92" t="n">
        <f aca="false">SUM(P$4:P$503)/COUNTA(A$4:A$503)</f>
        <v>732.59984</v>
      </c>
      <c r="BG291" s="92" t="n">
        <f aca="false">SUM(Q$4:Q$503)/COUNTA(A$4:A$503)</f>
        <v>756.59992</v>
      </c>
      <c r="BH291" s="92" t="n">
        <f aca="false">SUM(R$4:R$503)/COUNTA(A$4:A$503)</f>
        <v>776.40004</v>
      </c>
      <c r="BI291" s="92" t="n">
        <f aca="false">SUM(S$4:S$503)/COUNTA(A$4:A$503)</f>
        <v>806.40012</v>
      </c>
      <c r="BJ291" s="92" t="n">
        <f aca="false">SUM(T$4:T$503)/COUNTA(A$4:A$503)</f>
        <v>826.1999</v>
      </c>
      <c r="BK291" s="92" t="n">
        <f aca="false">SUM(U$4:U$503)/COUNTA(A$4:A$503)</f>
        <v>844.8002</v>
      </c>
      <c r="BL291" s="92" t="n">
        <f aca="false">SUM(V$4:V$503)/COUNTA(A$4:A$503)</f>
        <v>865.7998</v>
      </c>
      <c r="BM291" s="92" t="n">
        <f aca="false">SUM(W$4:W$503)/COUNTA(A$4:A$503)</f>
        <v>888.59982</v>
      </c>
      <c r="BN291" s="93" t="n">
        <f aca="false">SUM(X$4:X$503)/COUNTA(A$4:A$503)</f>
        <v>918.60034</v>
      </c>
      <c r="BO291" s="94" t="s">
        <v>20</v>
      </c>
      <c r="BP291" s="91" t="n">
        <f aca="false">IF(Z291&gt;=BB291,0,IFERROR(BB291+(SUMPRODUCT((Z$4:Z$503&gt;=BB$4:BB$503)*(Z$4:Z$503-BB$4:BB$503))/MAX(1,COUNTIF(Z$4:Z$503,"&lt;"&amp;BB291+0.01))),BB291))</f>
        <v>10695.5432177778</v>
      </c>
      <c r="BQ291" s="92" t="n">
        <f aca="false">IF(AA291&gt;=BC291,0,IFERROR(BC291+SUMPRODUCT((AA$4:AA$503&gt;=BC$4:BC$503)*(AA$4:AA$503-BC$4:BC$503))/MAX(1,COUNTIF(AA$4:AA$503,"&lt;"&amp;BC291+0.01)),BC291))</f>
        <v>2238.46589176471</v>
      </c>
      <c r="BR291" s="92" t="n">
        <f aca="false">IF(AB291&gt;=BD291,0,IFERROR(BD291+SUMPRODUCT((AB$4:AB$503&gt;=BD$4:BD$503)*(AB$4:AB$503-BD$4:BD$503))/MAX(1,COUNTIF(AB$4:AB$503,"&lt;"&amp;BD291+0.01)),BD291))</f>
        <v>3335.2938</v>
      </c>
      <c r="BS291" s="92" t="n">
        <f aca="false">IF(AC291&gt;=BE291,0,IFERROR(BE291+SUMPRODUCT((AC$4:AC$503&gt;=BE$4:BE$503)*(AC$4:AC$503-BE$4:BE$503))/MAX(1,COUNTIF(AC$4:AC$503,"&lt;"&amp;BE291+0.01)),BE291))</f>
        <v>6188.73352</v>
      </c>
      <c r="BT291" s="92" t="n">
        <f aca="false">IF(AD291&gt;=BF291,0,IFERROR(BF291+SUMPRODUCT((AD$4:AD$503&gt;=BF$4:BF$503)*(AD$4:AD$503-BF$4:BF$503))/MAX(1,COUNTIF(AD$4:AD$503,"&lt;"&amp;BF291+0.01)),BF291))</f>
        <v>11354.35411</v>
      </c>
      <c r="BU291" s="92" t="n">
        <f aca="false">IF(AE291&gt;=BG291,0,IFERROR(BG291+SUMPRODUCT((AE$4:AE$503&gt;=BG$4:BG$503)*(AE$4:AE$503-BG$4:BG$503))/MAX(1,COUNTIF(AE$4:AE$503,"&lt;"&amp;BG291+0.01)),BG291))</f>
        <v>7704.85920380952</v>
      </c>
      <c r="BV291" s="92" t="n">
        <f aca="false">IF(AF291&gt;=BH291,0,IFERROR(BH291+SUMPRODUCT((AF$4:AF$503&gt;=BH$4:BH$503)*(AF$4:AF$503-BH$4:BH$503))/MAX(1,COUNTIF(AF$4:AF$503,"&lt;"&amp;BH291+0.01)),BH291))</f>
        <v>0</v>
      </c>
      <c r="BW291" s="92" t="n">
        <f aca="false">IF(AG291&gt;=BI291,0,IFERROR(BI291+SUMPRODUCT((AG$4:AG$503&gt;=BI$4:BI$503)*(AG$4:AG$503-BI$4:BI$503))/MAX(1,COUNTIF(AG$4:AG$503,"&lt;"&amp;BI291+0.01)),BI291))</f>
        <v>9142.15870461538</v>
      </c>
      <c r="BX291" s="92" t="n">
        <f aca="false">IF(AH291&gt;=BJ291,0,IFERROR(BJ291+SUMPRODUCT((AH$4:AH$503&gt;=BJ$4:BJ$503)*(AH$4:AH$503-BJ$4:BJ$503))/MAX(1,COUNTIF(AH$4:AH$503,"&lt;"&amp;BJ291+0.01)),BJ291))</f>
        <v>5621.50263448276</v>
      </c>
      <c r="BY291" s="92" t="n">
        <f aca="false">IF(AI291&gt;=BK291,0,IFERROR(BK291+SUMPRODUCT((AI$4:AI$503&gt;=BK$4:BK$503)*(AI$4:AI$503-BK$4:BK$503))/MAX(1,COUNTIF(AI$4:AI$503,"&lt;"&amp;BK291+0.01)),BK291))</f>
        <v>7878.25652380952</v>
      </c>
      <c r="BZ291" s="92" t="n">
        <f aca="false">IF(AJ291&gt;=BL291,0,IFERROR(BL291+SUMPRODUCT((AJ$4:AJ$503&gt;=BL$4:BL$503)*(AJ$4:AJ$503-BL$4:BL$503))/MAX(1,COUNTIF(AJ$4:AJ$503,"&lt;"&amp;BL291+0.01)),BL291))</f>
        <v>6710.03292307692</v>
      </c>
      <c r="CA291" s="92" t="n">
        <f aca="false">IF(AK291&gt;=BM291,0,IFERROR(BM291+SUMPRODUCT((AK$4:AK$503&gt;=BM$4:BM$503)*(AK$4:AK$503-BM$4:BM$503))/MAX(1,COUNTIF(AK$4:AK$503,"&lt;"&amp;BM291+0.01)),BM291))</f>
        <v>7314.89836842105</v>
      </c>
      <c r="CB291" s="93" t="n">
        <f aca="false">IF(AL291&gt;=BN291,0,IFERROR(BN291+SUMPRODUCT((AL$4:AL$503&gt;=BN$4:BN$503)*(AL$4:AL$503-BN$4:BN$503))/MAX(1,COUNTIF(AL$4:AL$503,"&lt;"&amp;BN291+0.01)),BN291))</f>
        <v>3597.2614925</v>
      </c>
      <c r="CC291" s="95" t="str">
        <f aca="false">IF(AO291="🟢","VERDE",IF(AO291="🟡","AMARELO",IF(AO291="🟠","VERMELHO",IF(AO291="🔴","VERMELHO","ROXO"))))</f>
        <v>VERMELHO</v>
      </c>
      <c r="CD291" s="96" t="s">
        <v>103</v>
      </c>
      <c r="CE291" s="96" t="s">
        <v>104</v>
      </c>
    </row>
    <row r="292" customFormat="false" ht="14.25" hidden="false" customHeight="true" outlineLevel="0" collapsed="false">
      <c r="A292" s="65" t="s">
        <v>720</v>
      </c>
      <c r="B292" s="66" t="s">
        <v>721</v>
      </c>
      <c r="C292" s="67" t="s">
        <v>99</v>
      </c>
      <c r="D292" s="68" t="s">
        <v>100</v>
      </c>
      <c r="E292" s="69" t="s">
        <v>101</v>
      </c>
      <c r="F292" s="70" t="n">
        <f aca="false">IFERROR(VLOOKUP(C292,$AS$3:$AT$10,2,FALSE()),IFERROR(VLOOKUP(C292,$AS$15:$AT$22,2,FALSE()),""))</f>
        <v>33</v>
      </c>
      <c r="G292" s="71" t="n">
        <f aca="false">IFERROR(VLOOKUP(C292,$AS$3:$AX$10,6,FALSE()),IFERROR(VLOOKUP(C292,$AS$15:$AX$22,6,FALSE()),""))</f>
        <v>0.341494038351172</v>
      </c>
      <c r="H292" s="72" t="str">
        <f aca="false">IFERROR(VLOOKUP(C292,$AS$3:$AY$10,7,FALSE()),IFERROR(VLOOKUP(C292,$AS$15:$AY$22,7,FALSE()),""))</f>
        <v>🔴 VERMELHO</v>
      </c>
      <c r="I292" s="72" t="str">
        <f aca="false">IFERROR(VLOOKUP(C292,$AS$3:$AZ$10,8,FALSE()),IFERROR(VLOOKUP(C292,$AS$15:$AZ$22,8,FALSE()),""))</f>
        <v>Positivação + Expandir</v>
      </c>
      <c r="J292" s="73"/>
      <c r="K292" s="69" t="s">
        <v>99</v>
      </c>
      <c r="L292" s="74" t="n">
        <v>3551.03</v>
      </c>
      <c r="M292" s="75" t="n">
        <v>249.54</v>
      </c>
      <c r="N292" s="75" t="n">
        <v>260.76</v>
      </c>
      <c r="O292" s="75" t="n">
        <v>267.05</v>
      </c>
      <c r="P292" s="75" t="n">
        <v>274</v>
      </c>
      <c r="Q292" s="75" t="n">
        <v>282.98</v>
      </c>
      <c r="R292" s="75" t="n">
        <v>290.38</v>
      </c>
      <c r="S292" s="75" t="n">
        <v>301.6</v>
      </c>
      <c r="T292" s="75" t="n">
        <v>309.01</v>
      </c>
      <c r="U292" s="75" t="n">
        <v>315.97</v>
      </c>
      <c r="V292" s="75" t="n">
        <v>323.82</v>
      </c>
      <c r="W292" s="75" t="n">
        <v>332.35</v>
      </c>
      <c r="X292" s="76" t="n">
        <v>343.57</v>
      </c>
      <c r="Y292" s="77" t="s">
        <v>20</v>
      </c>
      <c r="Z292" s="78" t="n">
        <f aca="false">SUM(AA292:AL292)</f>
        <v>1775.34</v>
      </c>
      <c r="AA292" s="75"/>
      <c r="AB292" s="75"/>
      <c r="AC292" s="75"/>
      <c r="AD292" s="75"/>
      <c r="AE292" s="79" t="n">
        <v>1775.34</v>
      </c>
      <c r="AF292" s="75"/>
      <c r="AG292" s="75"/>
      <c r="AH292" s="75"/>
      <c r="AI292" s="75"/>
      <c r="AJ292" s="75"/>
      <c r="AK292" s="75"/>
      <c r="AL292" s="76"/>
      <c r="AM292" s="56" t="s">
        <v>20</v>
      </c>
      <c r="AN292" s="80" t="n">
        <f aca="false">IF(L292=0,0,Z292/L292)</f>
        <v>0.499950718523921</v>
      </c>
      <c r="AO292" s="81" t="str">
        <f aca="false">IF(AN292="","",IF(AN292&gt;=0.9,"🟢",IF(AN292&gt;=0.7,"🟡",IF(AN292&gt;=0.5,"🟠","🔴"))))</f>
        <v>🔴</v>
      </c>
      <c r="AP292" s="82" t="n">
        <f aca="false">IF(L292=0,0,L292-Z292)</f>
        <v>1775.69</v>
      </c>
      <c r="AQ292" s="83" t="n">
        <f aca="false">IF(AP292=0,"",RANK(AP292,AP$4:AP$503,0))</f>
        <v>291</v>
      </c>
      <c r="AR292" s="84" t="s">
        <v>20</v>
      </c>
      <c r="AS292" s="141"/>
      <c r="AT292" s="141"/>
      <c r="AU292" s="141"/>
      <c r="AV292" s="141"/>
      <c r="AW292" s="141"/>
      <c r="AX292" s="141"/>
      <c r="AY292" s="142"/>
      <c r="AZ292" s="142"/>
      <c r="BA292" s="56" t="s">
        <v>20</v>
      </c>
      <c r="BB292" s="91" t="n">
        <f aca="false">SUM(L$4:L$503)/COUNTA(A$4:A$503)</f>
        <v>9494.39992</v>
      </c>
      <c r="BC292" s="92" t="n">
        <f aca="false">SUM(M$4:M$503)/COUNTA(A$4:A$503)</f>
        <v>667.20008</v>
      </c>
      <c r="BD292" s="92" t="n">
        <f aca="false">SUM(N$4:N$503)/COUNTA(A$4:A$503)</f>
        <v>697.19996</v>
      </c>
      <c r="BE292" s="92" t="n">
        <f aca="false">SUM(O$4:O$503)/COUNTA(A$4:A$503)</f>
        <v>713.9999</v>
      </c>
      <c r="BF292" s="92" t="n">
        <f aca="false">SUM(P$4:P$503)/COUNTA(A$4:A$503)</f>
        <v>732.59984</v>
      </c>
      <c r="BG292" s="92" t="n">
        <f aca="false">SUM(Q$4:Q$503)/COUNTA(A$4:A$503)</f>
        <v>756.59992</v>
      </c>
      <c r="BH292" s="92" t="n">
        <f aca="false">SUM(R$4:R$503)/COUNTA(A$4:A$503)</f>
        <v>776.40004</v>
      </c>
      <c r="BI292" s="92" t="n">
        <f aca="false">SUM(S$4:S$503)/COUNTA(A$4:A$503)</f>
        <v>806.40012</v>
      </c>
      <c r="BJ292" s="92" t="n">
        <f aca="false">SUM(T$4:T$503)/COUNTA(A$4:A$503)</f>
        <v>826.1999</v>
      </c>
      <c r="BK292" s="92" t="n">
        <f aca="false">SUM(U$4:U$503)/COUNTA(A$4:A$503)</f>
        <v>844.8002</v>
      </c>
      <c r="BL292" s="92" t="n">
        <f aca="false">SUM(V$4:V$503)/COUNTA(A$4:A$503)</f>
        <v>865.7998</v>
      </c>
      <c r="BM292" s="92" t="n">
        <f aca="false">SUM(W$4:W$503)/COUNTA(A$4:A$503)</f>
        <v>888.59982</v>
      </c>
      <c r="BN292" s="93" t="n">
        <f aca="false">SUM(X$4:X$503)/COUNTA(A$4:A$503)</f>
        <v>918.60034</v>
      </c>
      <c r="BO292" s="94" t="s">
        <v>20</v>
      </c>
      <c r="BP292" s="91" t="n">
        <f aca="false">IF(Z292&gt;=BB292,0,IFERROR(BB292+(SUMPRODUCT((Z$4:Z$503&gt;=BB$4:BB$503)*(Z$4:Z$503-BB$4:BB$503))/MAX(1,COUNTIF(Z$4:Z$503,"&lt;"&amp;BB292+0.01))),BB292))</f>
        <v>10695.5432177778</v>
      </c>
      <c r="BQ292" s="92" t="n">
        <f aca="false">IF(AA292&gt;=BC292,0,IFERROR(BC292+SUMPRODUCT((AA$4:AA$503&gt;=BC$4:BC$503)*(AA$4:AA$503-BC$4:BC$503))/MAX(1,COUNTIF(AA$4:AA$503,"&lt;"&amp;BC292+0.01)),BC292))</f>
        <v>2238.46589176471</v>
      </c>
      <c r="BR292" s="92" t="n">
        <f aca="false">IF(AB292&gt;=BD292,0,IFERROR(BD292+SUMPRODUCT((AB$4:AB$503&gt;=BD$4:BD$503)*(AB$4:AB$503-BD$4:BD$503))/MAX(1,COUNTIF(AB$4:AB$503,"&lt;"&amp;BD292+0.01)),BD292))</f>
        <v>3335.2938</v>
      </c>
      <c r="BS292" s="92" t="n">
        <f aca="false">IF(AC292&gt;=BE292,0,IFERROR(BE292+SUMPRODUCT((AC$4:AC$503&gt;=BE$4:BE$503)*(AC$4:AC$503-BE$4:BE$503))/MAX(1,COUNTIF(AC$4:AC$503,"&lt;"&amp;BE292+0.01)),BE292))</f>
        <v>6188.73352</v>
      </c>
      <c r="BT292" s="92" t="n">
        <f aca="false">IF(AD292&gt;=BF292,0,IFERROR(BF292+SUMPRODUCT((AD$4:AD$503&gt;=BF$4:BF$503)*(AD$4:AD$503-BF$4:BF$503))/MAX(1,COUNTIF(AD$4:AD$503,"&lt;"&amp;BF292+0.01)),BF292))</f>
        <v>11354.35411</v>
      </c>
      <c r="BU292" s="92" t="n">
        <f aca="false">IF(AE292&gt;=BG292,0,IFERROR(BG292+SUMPRODUCT((AE$4:AE$503&gt;=BG$4:BG$503)*(AE$4:AE$503-BG$4:BG$503))/MAX(1,COUNTIF(AE$4:AE$503,"&lt;"&amp;BG292+0.01)),BG292))</f>
        <v>0</v>
      </c>
      <c r="BV292" s="92" t="n">
        <f aca="false">IF(AF292&gt;=BH292,0,IFERROR(BH292+SUMPRODUCT((AF$4:AF$503&gt;=BH$4:BH$503)*(AF$4:AF$503-BH$4:BH$503))/MAX(1,COUNTIF(AF$4:AF$503,"&lt;"&amp;BH292+0.01)),BH292))</f>
        <v>9942.6503831579</v>
      </c>
      <c r="BW292" s="92" t="n">
        <f aca="false">IF(AG292&gt;=BI292,0,IFERROR(BI292+SUMPRODUCT((AG$4:AG$503&gt;=BI$4:BI$503)*(AG$4:AG$503-BI$4:BI$503))/MAX(1,COUNTIF(AG$4:AG$503,"&lt;"&amp;BI292+0.01)),BI292))</f>
        <v>9142.15870461538</v>
      </c>
      <c r="BX292" s="92" t="n">
        <f aca="false">IF(AH292&gt;=BJ292,0,IFERROR(BJ292+SUMPRODUCT((AH$4:AH$503&gt;=BJ$4:BJ$503)*(AH$4:AH$503-BJ$4:BJ$503))/MAX(1,COUNTIF(AH$4:AH$503,"&lt;"&amp;BJ292+0.01)),BJ292))</f>
        <v>5621.50263448276</v>
      </c>
      <c r="BY292" s="92" t="n">
        <f aca="false">IF(AI292&gt;=BK292,0,IFERROR(BK292+SUMPRODUCT((AI$4:AI$503&gt;=BK$4:BK$503)*(AI$4:AI$503-BK$4:BK$503))/MAX(1,COUNTIF(AI$4:AI$503,"&lt;"&amp;BK292+0.01)),BK292))</f>
        <v>7878.25652380952</v>
      </c>
      <c r="BZ292" s="92" t="n">
        <f aca="false">IF(AJ292&gt;=BL292,0,IFERROR(BL292+SUMPRODUCT((AJ$4:AJ$503&gt;=BL$4:BL$503)*(AJ$4:AJ$503-BL$4:BL$503))/MAX(1,COUNTIF(AJ$4:AJ$503,"&lt;"&amp;BL292+0.01)),BL292))</f>
        <v>6710.03292307692</v>
      </c>
      <c r="CA292" s="92" t="n">
        <f aca="false">IF(AK292&gt;=BM292,0,IFERROR(BM292+SUMPRODUCT((AK$4:AK$503&gt;=BM$4:BM$503)*(AK$4:AK$503-BM$4:BM$503))/MAX(1,COUNTIF(AK$4:AK$503,"&lt;"&amp;BM292+0.01)),BM292))</f>
        <v>7314.89836842105</v>
      </c>
      <c r="CB292" s="93" t="n">
        <f aca="false">IF(AL292&gt;=BN292,0,IFERROR(BN292+SUMPRODUCT((AL$4:AL$503&gt;=BN$4:BN$503)*(AL$4:AL$503-BN$4:BN$503))/MAX(1,COUNTIF(AL$4:AL$503,"&lt;"&amp;BN292+0.01)),BN292))</f>
        <v>3597.2614925</v>
      </c>
      <c r="CC292" s="95" t="str">
        <f aca="false">IF(AO292="🟢","VERDE",IF(AO292="🟡","AMARELO",IF(AO292="🟠","VERMELHO",IF(AO292="🔴","VERMELHO","ROXO"))))</f>
        <v>VERMELHO</v>
      </c>
      <c r="CD292" s="96" t="s">
        <v>103</v>
      </c>
      <c r="CE292" s="96" t="s">
        <v>104</v>
      </c>
    </row>
    <row r="293" customFormat="false" ht="14.25" hidden="false" customHeight="true" outlineLevel="0" collapsed="false">
      <c r="A293" s="65" t="s">
        <v>722</v>
      </c>
      <c r="B293" s="66" t="s">
        <v>723</v>
      </c>
      <c r="C293" s="67" t="s">
        <v>99</v>
      </c>
      <c r="D293" s="68" t="s">
        <v>100</v>
      </c>
      <c r="E293" s="69" t="s">
        <v>127</v>
      </c>
      <c r="F293" s="70" t="n">
        <f aca="false">IFERROR(VLOOKUP(C293,$AS$3:$AT$10,2,FALSE()),IFERROR(VLOOKUP(C293,$AS$15:$AT$22,2,FALSE()),""))</f>
        <v>33</v>
      </c>
      <c r="G293" s="71" t="n">
        <f aca="false">IFERROR(VLOOKUP(C293,$AS$3:$AX$10,6,FALSE()),IFERROR(VLOOKUP(C293,$AS$15:$AX$22,6,FALSE()),""))</f>
        <v>0.341494038351172</v>
      </c>
      <c r="H293" s="72" t="str">
        <f aca="false">IFERROR(VLOOKUP(C293,$AS$3:$AY$10,7,FALSE()),IFERROR(VLOOKUP(C293,$AS$15:$AY$22,7,FALSE()),""))</f>
        <v>🔴 VERMELHO</v>
      </c>
      <c r="I293" s="72" t="str">
        <f aca="false">IFERROR(VLOOKUP(C293,$AS$3:$AZ$10,8,FALSE()),IFERROR(VLOOKUP(C293,$AS$15:$AZ$22,8,FALSE()),""))</f>
        <v>Positivação + Expandir</v>
      </c>
      <c r="J293" s="73"/>
      <c r="K293" s="69" t="s">
        <v>99</v>
      </c>
      <c r="L293" s="74" t="n">
        <v>3546.49</v>
      </c>
      <c r="M293" s="75" t="n">
        <v>249.22</v>
      </c>
      <c r="N293" s="75" t="n">
        <v>260.43</v>
      </c>
      <c r="O293" s="75" t="n">
        <v>266.7</v>
      </c>
      <c r="P293" s="75" t="n">
        <v>273.65</v>
      </c>
      <c r="Q293" s="75" t="n">
        <v>282.62</v>
      </c>
      <c r="R293" s="75" t="n">
        <v>290.01</v>
      </c>
      <c r="S293" s="75" t="n">
        <v>301.22</v>
      </c>
      <c r="T293" s="75" t="n">
        <v>308.62</v>
      </c>
      <c r="U293" s="75" t="n">
        <v>315.56</v>
      </c>
      <c r="V293" s="75" t="n">
        <v>323.41</v>
      </c>
      <c r="W293" s="75" t="n">
        <v>331.92</v>
      </c>
      <c r="X293" s="76" t="n">
        <v>343.13</v>
      </c>
      <c r="Y293" s="77" t="s">
        <v>20</v>
      </c>
      <c r="Z293" s="78" t="n">
        <f aca="false">SUM(AA293:AL293)</f>
        <v>1572.15</v>
      </c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6" t="n">
        <v>1572.15</v>
      </c>
      <c r="AM293" s="56" t="s">
        <v>20</v>
      </c>
      <c r="AN293" s="80" t="n">
        <f aca="false">IF(L293=0,0,Z293/L293)</f>
        <v>0.443297457486134</v>
      </c>
      <c r="AO293" s="81" t="str">
        <f aca="false">IF(AN293="","",IF(AN293&gt;=0.9,"🟢",IF(AN293&gt;=0.7,"🟡",IF(AN293&gt;=0.5,"🟠","🔴"))))</f>
        <v>🔴</v>
      </c>
      <c r="AP293" s="82" t="n">
        <f aca="false">IF(L293=0,0,L293-Z293)</f>
        <v>1974.34</v>
      </c>
      <c r="AQ293" s="83" t="n">
        <f aca="false">IF(AP293=0,"",RANK(AP293,AP$4:AP$503,0))</f>
        <v>274</v>
      </c>
      <c r="AR293" s="84" t="s">
        <v>20</v>
      </c>
      <c r="AS293" s="141"/>
      <c r="AT293" s="141"/>
      <c r="AU293" s="141"/>
      <c r="AV293" s="141"/>
      <c r="AW293" s="141"/>
      <c r="AX293" s="141"/>
      <c r="AY293" s="142"/>
      <c r="AZ293" s="142"/>
      <c r="BA293" s="56" t="s">
        <v>20</v>
      </c>
      <c r="BB293" s="91" t="n">
        <f aca="false">SUM(L$4:L$503)/COUNTA(A$4:A$503)</f>
        <v>9494.39992</v>
      </c>
      <c r="BC293" s="92" t="n">
        <f aca="false">SUM(M$4:M$503)/COUNTA(A$4:A$503)</f>
        <v>667.20008</v>
      </c>
      <c r="BD293" s="92" t="n">
        <f aca="false">SUM(N$4:N$503)/COUNTA(A$4:A$503)</f>
        <v>697.19996</v>
      </c>
      <c r="BE293" s="92" t="n">
        <f aca="false">SUM(O$4:O$503)/COUNTA(A$4:A$503)</f>
        <v>713.9999</v>
      </c>
      <c r="BF293" s="92" t="n">
        <f aca="false">SUM(P$4:P$503)/COUNTA(A$4:A$503)</f>
        <v>732.59984</v>
      </c>
      <c r="BG293" s="92" t="n">
        <f aca="false">SUM(Q$4:Q$503)/COUNTA(A$4:A$503)</f>
        <v>756.59992</v>
      </c>
      <c r="BH293" s="92" t="n">
        <f aca="false">SUM(R$4:R$503)/COUNTA(A$4:A$503)</f>
        <v>776.40004</v>
      </c>
      <c r="BI293" s="92" t="n">
        <f aca="false">SUM(S$4:S$503)/COUNTA(A$4:A$503)</f>
        <v>806.40012</v>
      </c>
      <c r="BJ293" s="92" t="n">
        <f aca="false">SUM(T$4:T$503)/COUNTA(A$4:A$503)</f>
        <v>826.1999</v>
      </c>
      <c r="BK293" s="92" t="n">
        <f aca="false">SUM(U$4:U$503)/COUNTA(A$4:A$503)</f>
        <v>844.8002</v>
      </c>
      <c r="BL293" s="92" t="n">
        <f aca="false">SUM(V$4:V$503)/COUNTA(A$4:A$503)</f>
        <v>865.7998</v>
      </c>
      <c r="BM293" s="92" t="n">
        <f aca="false">SUM(W$4:W$503)/COUNTA(A$4:A$503)</f>
        <v>888.59982</v>
      </c>
      <c r="BN293" s="93" t="n">
        <f aca="false">SUM(X$4:X$503)/COUNTA(A$4:A$503)</f>
        <v>918.60034</v>
      </c>
      <c r="BO293" s="94" t="s">
        <v>20</v>
      </c>
      <c r="BP293" s="91" t="n">
        <f aca="false">IF(Z293&gt;=BB293,0,IFERROR(BB293+(SUMPRODUCT((Z$4:Z$503&gt;=BB$4:BB$503)*(Z$4:Z$503-BB$4:BB$503))/MAX(1,COUNTIF(Z$4:Z$503,"&lt;"&amp;BB293+0.01))),BB293))</f>
        <v>10695.5432177778</v>
      </c>
      <c r="BQ293" s="92" t="n">
        <f aca="false">IF(AA293&gt;=BC293,0,IFERROR(BC293+SUMPRODUCT((AA$4:AA$503&gt;=BC$4:BC$503)*(AA$4:AA$503-BC$4:BC$503))/MAX(1,COUNTIF(AA$4:AA$503,"&lt;"&amp;BC293+0.01)),BC293))</f>
        <v>2238.46589176471</v>
      </c>
      <c r="BR293" s="92" t="n">
        <f aca="false">IF(AB293&gt;=BD293,0,IFERROR(BD293+SUMPRODUCT((AB$4:AB$503&gt;=BD$4:BD$503)*(AB$4:AB$503-BD$4:BD$503))/MAX(1,COUNTIF(AB$4:AB$503,"&lt;"&amp;BD293+0.01)),BD293))</f>
        <v>3335.2938</v>
      </c>
      <c r="BS293" s="92" t="n">
        <f aca="false">IF(AC293&gt;=BE293,0,IFERROR(BE293+SUMPRODUCT((AC$4:AC$503&gt;=BE$4:BE$503)*(AC$4:AC$503-BE$4:BE$503))/MAX(1,COUNTIF(AC$4:AC$503,"&lt;"&amp;BE293+0.01)),BE293))</f>
        <v>6188.73352</v>
      </c>
      <c r="BT293" s="92" t="n">
        <f aca="false">IF(AD293&gt;=BF293,0,IFERROR(BF293+SUMPRODUCT((AD$4:AD$503&gt;=BF$4:BF$503)*(AD$4:AD$503-BF$4:BF$503))/MAX(1,COUNTIF(AD$4:AD$503,"&lt;"&amp;BF293+0.01)),BF293))</f>
        <v>11354.35411</v>
      </c>
      <c r="BU293" s="92" t="n">
        <f aca="false">IF(AE293&gt;=BG293,0,IFERROR(BG293+SUMPRODUCT((AE$4:AE$503&gt;=BG$4:BG$503)*(AE$4:AE$503-BG$4:BG$503))/MAX(1,COUNTIF(AE$4:AE$503,"&lt;"&amp;BG293+0.01)),BG293))</f>
        <v>7704.85920380952</v>
      </c>
      <c r="BV293" s="92" t="n">
        <f aca="false">IF(AF293&gt;=BH293,0,IFERROR(BH293+SUMPRODUCT((AF$4:AF$503&gt;=BH$4:BH$503)*(AF$4:AF$503-BH$4:BH$503))/MAX(1,COUNTIF(AF$4:AF$503,"&lt;"&amp;BH293+0.01)),BH293))</f>
        <v>9942.6503831579</v>
      </c>
      <c r="BW293" s="92" t="n">
        <f aca="false">IF(AG293&gt;=BI293,0,IFERROR(BI293+SUMPRODUCT((AG$4:AG$503&gt;=BI$4:BI$503)*(AG$4:AG$503-BI$4:BI$503))/MAX(1,COUNTIF(AG$4:AG$503,"&lt;"&amp;BI293+0.01)),BI293))</f>
        <v>9142.15870461538</v>
      </c>
      <c r="BX293" s="92" t="n">
        <f aca="false">IF(AH293&gt;=BJ293,0,IFERROR(BJ293+SUMPRODUCT((AH$4:AH$503&gt;=BJ$4:BJ$503)*(AH$4:AH$503-BJ$4:BJ$503))/MAX(1,COUNTIF(AH$4:AH$503,"&lt;"&amp;BJ293+0.01)),BJ293))</f>
        <v>5621.50263448276</v>
      </c>
      <c r="BY293" s="92" t="n">
        <f aca="false">IF(AI293&gt;=BK293,0,IFERROR(BK293+SUMPRODUCT((AI$4:AI$503&gt;=BK$4:BK$503)*(AI$4:AI$503-BK$4:BK$503))/MAX(1,COUNTIF(AI$4:AI$503,"&lt;"&amp;BK293+0.01)),BK293))</f>
        <v>7878.25652380952</v>
      </c>
      <c r="BZ293" s="92" t="n">
        <f aca="false">IF(AJ293&gt;=BL293,0,IFERROR(BL293+SUMPRODUCT((AJ$4:AJ$503&gt;=BL$4:BL$503)*(AJ$4:AJ$503-BL$4:BL$503))/MAX(1,COUNTIF(AJ$4:AJ$503,"&lt;"&amp;BL293+0.01)),BL293))</f>
        <v>6710.03292307692</v>
      </c>
      <c r="CA293" s="92" t="n">
        <f aca="false">IF(AK293&gt;=BM293,0,IFERROR(BM293+SUMPRODUCT((AK$4:AK$503&gt;=BM$4:BM$503)*(AK$4:AK$503-BM$4:BM$503))/MAX(1,COUNTIF(AK$4:AK$503,"&lt;"&amp;BM293+0.01)),BM293))</f>
        <v>7314.89836842105</v>
      </c>
      <c r="CB293" s="93" t="n">
        <f aca="false">IF(AL293&gt;=BN293,0,IFERROR(BN293+SUMPRODUCT((AL$4:AL$503&gt;=BN$4:BN$503)*(AL$4:AL$503-BN$4:BN$503))/MAX(1,COUNTIF(AL$4:AL$503,"&lt;"&amp;BN293+0.01)),BN293))</f>
        <v>0</v>
      </c>
      <c r="CC293" s="95" t="str">
        <f aca="false">IF(AO293="🟢","VERDE",IF(AO293="🟡","AMARELO",IF(AO293="🟠","VERMELHO",IF(AO293="🔴","VERMELHO","ROXO"))))</f>
        <v>VERMELHO</v>
      </c>
      <c r="CD293" s="96" t="s">
        <v>103</v>
      </c>
      <c r="CE293" s="96" t="s">
        <v>104</v>
      </c>
    </row>
    <row r="294" customFormat="false" ht="14.25" hidden="false" customHeight="true" outlineLevel="0" collapsed="false">
      <c r="A294" s="65" t="s">
        <v>724</v>
      </c>
      <c r="B294" s="66" t="s">
        <v>725</v>
      </c>
      <c r="C294" s="67" t="s">
        <v>107</v>
      </c>
      <c r="D294" s="68" t="s">
        <v>108</v>
      </c>
      <c r="E294" s="69" t="s">
        <v>109</v>
      </c>
      <c r="F294" s="70" t="n">
        <f aca="false">IFERROR(VLOOKUP(C294,$AS$3:$AT$10,2,FALSE()),IFERROR(VLOOKUP(C294,$AS$15:$AT$22,2,FALSE()),""))</f>
        <v>132</v>
      </c>
      <c r="G294" s="71" t="n">
        <f aca="false">IFERROR(VLOOKUP(C294,$AS$3:$AX$10,6,FALSE()),IFERROR(VLOOKUP(C294,$AS$15:$AX$22,6,FALSE()),""))</f>
        <v>0.468190175850689</v>
      </c>
      <c r="H294" s="72" t="str">
        <f aca="false">IFERROR(VLOOKUP(C294,$AS$3:$AY$10,7,FALSE()),IFERROR(VLOOKUP(C294,$AS$15:$AY$22,7,FALSE()),""))</f>
        <v>🟡 AMARELO</v>
      </c>
      <c r="I294" s="72" t="str">
        <f aca="false">IFERROR(VLOOKUP(C294,$AS$3:$AZ$10,8,FALSE()),IFERROR(VLOOKUP(C294,$AS$15:$AZ$22,8,FALSE()),""))</f>
        <v>Sell Out</v>
      </c>
      <c r="J294" s="73"/>
      <c r="K294" s="69" t="s">
        <v>107</v>
      </c>
      <c r="L294" s="74" t="n">
        <v>3524.61</v>
      </c>
      <c r="M294" s="75" t="n">
        <v>247.69</v>
      </c>
      <c r="N294" s="75" t="n">
        <v>258.82</v>
      </c>
      <c r="O294" s="75" t="n">
        <v>265.06</v>
      </c>
      <c r="P294" s="75" t="n">
        <v>271.96</v>
      </c>
      <c r="Q294" s="75" t="n">
        <v>280.87</v>
      </c>
      <c r="R294" s="75" t="n">
        <v>288.22</v>
      </c>
      <c r="S294" s="75" t="n">
        <v>299.36</v>
      </c>
      <c r="T294" s="75" t="n">
        <v>306.71</v>
      </c>
      <c r="U294" s="75" t="n">
        <v>313.62</v>
      </c>
      <c r="V294" s="75" t="n">
        <v>321.41</v>
      </c>
      <c r="W294" s="75" t="n">
        <v>329.88</v>
      </c>
      <c r="X294" s="76" t="n">
        <v>341.01</v>
      </c>
      <c r="Y294" s="77" t="s">
        <v>20</v>
      </c>
      <c r="Z294" s="78" t="n">
        <f aca="false">SUM(AA294:AL294)</f>
        <v>2118.96</v>
      </c>
      <c r="AA294" s="75"/>
      <c r="AB294" s="75"/>
      <c r="AC294" s="75"/>
      <c r="AD294" s="75"/>
      <c r="AE294" s="75"/>
      <c r="AF294" s="79" t="n">
        <v>868.99</v>
      </c>
      <c r="AG294" s="79" t="n">
        <v>720.13</v>
      </c>
      <c r="AH294" s="75"/>
      <c r="AI294" s="75"/>
      <c r="AJ294" s="75"/>
      <c r="AK294" s="79" t="n">
        <v>529.84</v>
      </c>
      <c r="AL294" s="76"/>
      <c r="AM294" s="56" t="s">
        <v>20</v>
      </c>
      <c r="AN294" s="80" t="n">
        <f aca="false">IF(L294=0,0,Z294/L294)</f>
        <v>0.601189918884643</v>
      </c>
      <c r="AO294" s="81" t="str">
        <f aca="false">IF(AN294="","",IF(AN294&gt;=0.9,"🟢",IF(AN294&gt;=0.7,"🟡",IF(AN294&gt;=0.5,"🟠","🔴"))))</f>
        <v>🟠</v>
      </c>
      <c r="AP294" s="82" t="n">
        <f aca="false">IF(L294=0,0,L294-Z294)</f>
        <v>1405.65</v>
      </c>
      <c r="AQ294" s="83" t="n">
        <f aca="false">IF(AP294=0,"",RANK(AP294,AP$4:AP$503,0))</f>
        <v>338</v>
      </c>
      <c r="AR294" s="84" t="s">
        <v>20</v>
      </c>
      <c r="AS294" s="141"/>
      <c r="AT294" s="141"/>
      <c r="AU294" s="141"/>
      <c r="AV294" s="141"/>
      <c r="AW294" s="141"/>
      <c r="AX294" s="141"/>
      <c r="AY294" s="142"/>
      <c r="AZ294" s="142"/>
      <c r="BA294" s="56" t="s">
        <v>20</v>
      </c>
      <c r="BB294" s="91" t="n">
        <f aca="false">SUM(L$4:L$503)/COUNTA(A$4:A$503)</f>
        <v>9494.39992</v>
      </c>
      <c r="BC294" s="92" t="n">
        <f aca="false">SUM(M$4:M$503)/COUNTA(A$4:A$503)</f>
        <v>667.20008</v>
      </c>
      <c r="BD294" s="92" t="n">
        <f aca="false">SUM(N$4:N$503)/COUNTA(A$4:A$503)</f>
        <v>697.19996</v>
      </c>
      <c r="BE294" s="92" t="n">
        <f aca="false">SUM(O$4:O$503)/COUNTA(A$4:A$503)</f>
        <v>713.9999</v>
      </c>
      <c r="BF294" s="92" t="n">
        <f aca="false">SUM(P$4:P$503)/COUNTA(A$4:A$503)</f>
        <v>732.59984</v>
      </c>
      <c r="BG294" s="92" t="n">
        <f aca="false">SUM(Q$4:Q$503)/COUNTA(A$4:A$503)</f>
        <v>756.59992</v>
      </c>
      <c r="BH294" s="92" t="n">
        <f aca="false">SUM(R$4:R$503)/COUNTA(A$4:A$503)</f>
        <v>776.40004</v>
      </c>
      <c r="BI294" s="92" t="n">
        <f aca="false">SUM(S$4:S$503)/COUNTA(A$4:A$503)</f>
        <v>806.40012</v>
      </c>
      <c r="BJ294" s="92" t="n">
        <f aca="false">SUM(T$4:T$503)/COUNTA(A$4:A$503)</f>
        <v>826.1999</v>
      </c>
      <c r="BK294" s="92" t="n">
        <f aca="false">SUM(U$4:U$503)/COUNTA(A$4:A$503)</f>
        <v>844.8002</v>
      </c>
      <c r="BL294" s="92" t="n">
        <f aca="false">SUM(V$4:V$503)/COUNTA(A$4:A$503)</f>
        <v>865.7998</v>
      </c>
      <c r="BM294" s="92" t="n">
        <f aca="false">SUM(W$4:W$503)/COUNTA(A$4:A$503)</f>
        <v>888.59982</v>
      </c>
      <c r="BN294" s="93" t="n">
        <f aca="false">SUM(X$4:X$503)/COUNTA(A$4:A$503)</f>
        <v>918.60034</v>
      </c>
      <c r="BO294" s="94" t="s">
        <v>20</v>
      </c>
      <c r="BP294" s="91" t="n">
        <f aca="false">IF(Z294&gt;=BB294,0,IFERROR(BB294+(SUMPRODUCT((Z$4:Z$503&gt;=BB$4:BB$503)*(Z$4:Z$503-BB$4:BB$503))/MAX(1,COUNTIF(Z$4:Z$503,"&lt;"&amp;BB294+0.01))),BB294))</f>
        <v>10695.5432177778</v>
      </c>
      <c r="BQ294" s="92" t="n">
        <f aca="false">IF(AA294&gt;=BC294,0,IFERROR(BC294+SUMPRODUCT((AA$4:AA$503&gt;=BC$4:BC$503)*(AA$4:AA$503-BC$4:BC$503))/MAX(1,COUNTIF(AA$4:AA$503,"&lt;"&amp;BC294+0.01)),BC294))</f>
        <v>2238.46589176471</v>
      </c>
      <c r="BR294" s="92" t="n">
        <f aca="false">IF(AB294&gt;=BD294,0,IFERROR(BD294+SUMPRODUCT((AB$4:AB$503&gt;=BD$4:BD$503)*(AB$4:AB$503-BD$4:BD$503))/MAX(1,COUNTIF(AB$4:AB$503,"&lt;"&amp;BD294+0.01)),BD294))</f>
        <v>3335.2938</v>
      </c>
      <c r="BS294" s="92" t="n">
        <f aca="false">IF(AC294&gt;=BE294,0,IFERROR(BE294+SUMPRODUCT((AC$4:AC$503&gt;=BE$4:BE$503)*(AC$4:AC$503-BE$4:BE$503))/MAX(1,COUNTIF(AC$4:AC$503,"&lt;"&amp;BE294+0.01)),BE294))</f>
        <v>6188.73352</v>
      </c>
      <c r="BT294" s="92" t="n">
        <f aca="false">IF(AD294&gt;=BF294,0,IFERROR(BF294+SUMPRODUCT((AD$4:AD$503&gt;=BF$4:BF$503)*(AD$4:AD$503-BF$4:BF$503))/MAX(1,COUNTIF(AD$4:AD$503,"&lt;"&amp;BF294+0.01)),BF294))</f>
        <v>11354.35411</v>
      </c>
      <c r="BU294" s="92" t="n">
        <f aca="false">IF(AE294&gt;=BG294,0,IFERROR(BG294+SUMPRODUCT((AE$4:AE$503&gt;=BG$4:BG$503)*(AE$4:AE$503-BG$4:BG$503))/MAX(1,COUNTIF(AE$4:AE$503,"&lt;"&amp;BG294+0.01)),BG294))</f>
        <v>7704.85920380952</v>
      </c>
      <c r="BV294" s="92" t="n">
        <f aca="false">IF(AF294&gt;=BH294,0,IFERROR(BH294+SUMPRODUCT((AF$4:AF$503&gt;=BH$4:BH$503)*(AF$4:AF$503-BH$4:BH$503))/MAX(1,COUNTIF(AF$4:AF$503,"&lt;"&amp;BH294+0.01)),BH294))</f>
        <v>0</v>
      </c>
      <c r="BW294" s="92" t="n">
        <f aca="false">IF(AG294&gt;=BI294,0,IFERROR(BI294+SUMPRODUCT((AG$4:AG$503&gt;=BI$4:BI$503)*(AG$4:AG$503-BI$4:BI$503))/MAX(1,COUNTIF(AG$4:AG$503,"&lt;"&amp;BI294+0.01)),BI294))</f>
        <v>9142.15870461538</v>
      </c>
      <c r="BX294" s="92" t="n">
        <f aca="false">IF(AH294&gt;=BJ294,0,IFERROR(BJ294+SUMPRODUCT((AH$4:AH$503&gt;=BJ$4:BJ$503)*(AH$4:AH$503-BJ$4:BJ$503))/MAX(1,COUNTIF(AH$4:AH$503,"&lt;"&amp;BJ294+0.01)),BJ294))</f>
        <v>5621.50263448276</v>
      </c>
      <c r="BY294" s="92" t="n">
        <f aca="false">IF(AI294&gt;=BK294,0,IFERROR(BK294+SUMPRODUCT((AI$4:AI$503&gt;=BK$4:BK$503)*(AI$4:AI$503-BK$4:BK$503))/MAX(1,COUNTIF(AI$4:AI$503,"&lt;"&amp;BK294+0.01)),BK294))</f>
        <v>7878.25652380952</v>
      </c>
      <c r="BZ294" s="92" t="n">
        <f aca="false">IF(AJ294&gt;=BL294,0,IFERROR(BL294+SUMPRODUCT((AJ$4:AJ$503&gt;=BL$4:BL$503)*(AJ$4:AJ$503-BL$4:BL$503))/MAX(1,COUNTIF(AJ$4:AJ$503,"&lt;"&amp;BL294+0.01)),BL294))</f>
        <v>6710.03292307692</v>
      </c>
      <c r="CA294" s="92" t="n">
        <f aca="false">IF(AK294&gt;=BM294,0,IFERROR(BM294+SUMPRODUCT((AK$4:AK$503&gt;=BM$4:BM$503)*(AK$4:AK$503-BM$4:BM$503))/MAX(1,COUNTIF(AK$4:AK$503,"&lt;"&amp;BM294+0.01)),BM294))</f>
        <v>7314.89836842105</v>
      </c>
      <c r="CB294" s="93" t="n">
        <f aca="false">IF(AL294&gt;=BN294,0,IFERROR(BN294+SUMPRODUCT((AL$4:AL$503&gt;=BN$4:BN$503)*(AL$4:AL$503-BN$4:BN$503))/MAX(1,COUNTIF(AL$4:AL$503,"&lt;"&amp;BN294+0.01)),BN294))</f>
        <v>3597.2614925</v>
      </c>
      <c r="CC294" s="95" t="str">
        <f aca="false">IF(AO294="🟢","VERDE",IF(AO294="🟡","AMARELO",IF(AO294="🟠","VERMELHO",IF(AO294="🔴","VERMELHO","ROXO"))))</f>
        <v>VERMELHO</v>
      </c>
      <c r="CD294" s="96" t="s">
        <v>103</v>
      </c>
      <c r="CE294" s="96" t="s">
        <v>104</v>
      </c>
    </row>
    <row r="295" customFormat="false" ht="14.25" hidden="false" customHeight="true" outlineLevel="0" collapsed="false">
      <c r="A295" s="65" t="s">
        <v>726</v>
      </c>
      <c r="B295" s="66" t="s">
        <v>727</v>
      </c>
      <c r="C295" s="67" t="s">
        <v>99</v>
      </c>
      <c r="D295" s="68" t="s">
        <v>100</v>
      </c>
      <c r="E295" s="69" t="s">
        <v>101</v>
      </c>
      <c r="F295" s="70" t="n">
        <f aca="false">IFERROR(VLOOKUP(C295,$AS$3:$AT$10,2,FALSE()),IFERROR(VLOOKUP(C295,$AS$15:$AT$22,2,FALSE()),""))</f>
        <v>33</v>
      </c>
      <c r="G295" s="71" t="n">
        <f aca="false">IFERROR(VLOOKUP(C295,$AS$3:$AX$10,6,FALSE()),IFERROR(VLOOKUP(C295,$AS$15:$AX$22,6,FALSE()),""))</f>
        <v>0.341494038351172</v>
      </c>
      <c r="H295" s="72" t="str">
        <f aca="false">IFERROR(VLOOKUP(C295,$AS$3:$AY$10,7,FALSE()),IFERROR(VLOOKUP(C295,$AS$15:$AY$22,7,FALSE()),""))</f>
        <v>🔴 VERMELHO</v>
      </c>
      <c r="I295" s="72" t="str">
        <f aca="false">IFERROR(VLOOKUP(C295,$AS$3:$AZ$10,8,FALSE()),IFERROR(VLOOKUP(C295,$AS$15:$AZ$22,8,FALSE()),""))</f>
        <v>Positivação + Expandir</v>
      </c>
      <c r="J295" s="73"/>
      <c r="K295" s="69" t="s">
        <v>99</v>
      </c>
      <c r="L295" s="74" t="n">
        <v>3512.56</v>
      </c>
      <c r="M295" s="75" t="n">
        <v>246.84</v>
      </c>
      <c r="N295" s="75" t="n">
        <v>257.94</v>
      </c>
      <c r="O295" s="75" t="n">
        <v>264.15</v>
      </c>
      <c r="P295" s="75" t="n">
        <v>271.03</v>
      </c>
      <c r="Q295" s="75" t="n">
        <v>279.91</v>
      </c>
      <c r="R295" s="75" t="n">
        <v>287.24</v>
      </c>
      <c r="S295" s="75" t="n">
        <v>298.34</v>
      </c>
      <c r="T295" s="75" t="n">
        <v>305.66</v>
      </c>
      <c r="U295" s="75" t="n">
        <v>312.54</v>
      </c>
      <c r="V295" s="75" t="n">
        <v>320.31</v>
      </c>
      <c r="W295" s="75" t="n">
        <v>328.75</v>
      </c>
      <c r="X295" s="76" t="n">
        <v>339.85</v>
      </c>
      <c r="Y295" s="77" t="s">
        <v>20</v>
      </c>
      <c r="Z295" s="78" t="n">
        <f aca="false">SUM(AA295:AL295)</f>
        <v>3195.85</v>
      </c>
      <c r="AA295" s="75"/>
      <c r="AB295" s="75"/>
      <c r="AC295" s="75" t="n">
        <v>1783.27</v>
      </c>
      <c r="AD295" s="79" t="n">
        <v>1412.58</v>
      </c>
      <c r="AE295" s="75"/>
      <c r="AF295" s="75"/>
      <c r="AG295" s="75"/>
      <c r="AH295" s="75"/>
      <c r="AI295" s="75"/>
      <c r="AJ295" s="75"/>
      <c r="AK295" s="75"/>
      <c r="AL295" s="76"/>
      <c r="AM295" s="56" t="s">
        <v>20</v>
      </c>
      <c r="AN295" s="80" t="n">
        <f aca="false">IF(L295=0,0,Z295/L295)</f>
        <v>0.909834992142483</v>
      </c>
      <c r="AO295" s="81" t="str">
        <f aca="false">IF(AN295="","",IF(AN295&gt;=0.9,"🟢",IF(AN295&gt;=0.7,"🟡",IF(AN295&gt;=0.5,"🟠","🔴"))))</f>
        <v>🟢</v>
      </c>
      <c r="AP295" s="82" t="n">
        <f aca="false">IF(L295=0,0,L295-Z295)</f>
        <v>316.71</v>
      </c>
      <c r="AQ295" s="83" t="n">
        <f aca="false">IF(AP295=0,"",RANK(AP295,AP$4:AP$503,0))</f>
        <v>469</v>
      </c>
      <c r="AR295" s="84" t="s">
        <v>20</v>
      </c>
      <c r="AS295" s="141"/>
      <c r="AT295" s="141"/>
      <c r="AU295" s="141"/>
      <c r="AV295" s="141"/>
      <c r="AW295" s="141"/>
      <c r="AX295" s="141"/>
      <c r="AY295" s="142"/>
      <c r="AZ295" s="142"/>
      <c r="BA295" s="56" t="s">
        <v>20</v>
      </c>
      <c r="BB295" s="91" t="n">
        <f aca="false">SUM(L$4:L$503)/COUNTA(A$4:A$503)</f>
        <v>9494.39992</v>
      </c>
      <c r="BC295" s="92" t="n">
        <f aca="false">SUM(M$4:M$503)/COUNTA(A$4:A$503)</f>
        <v>667.20008</v>
      </c>
      <c r="BD295" s="92" t="n">
        <f aca="false">SUM(N$4:N$503)/COUNTA(A$4:A$503)</f>
        <v>697.19996</v>
      </c>
      <c r="BE295" s="92" t="n">
        <f aca="false">SUM(O$4:O$503)/COUNTA(A$4:A$503)</f>
        <v>713.9999</v>
      </c>
      <c r="BF295" s="92" t="n">
        <f aca="false">SUM(P$4:P$503)/COUNTA(A$4:A$503)</f>
        <v>732.59984</v>
      </c>
      <c r="BG295" s="92" t="n">
        <f aca="false">SUM(Q$4:Q$503)/COUNTA(A$4:A$503)</f>
        <v>756.59992</v>
      </c>
      <c r="BH295" s="92" t="n">
        <f aca="false">SUM(R$4:R$503)/COUNTA(A$4:A$503)</f>
        <v>776.40004</v>
      </c>
      <c r="BI295" s="92" t="n">
        <f aca="false">SUM(S$4:S$503)/COUNTA(A$4:A$503)</f>
        <v>806.40012</v>
      </c>
      <c r="BJ295" s="92" t="n">
        <f aca="false">SUM(T$4:T$503)/COUNTA(A$4:A$503)</f>
        <v>826.1999</v>
      </c>
      <c r="BK295" s="92" t="n">
        <f aca="false">SUM(U$4:U$503)/COUNTA(A$4:A$503)</f>
        <v>844.8002</v>
      </c>
      <c r="BL295" s="92" t="n">
        <f aca="false">SUM(V$4:V$503)/COUNTA(A$4:A$503)</f>
        <v>865.7998</v>
      </c>
      <c r="BM295" s="92" t="n">
        <f aca="false">SUM(W$4:W$503)/COUNTA(A$4:A$503)</f>
        <v>888.59982</v>
      </c>
      <c r="BN295" s="93" t="n">
        <f aca="false">SUM(X$4:X$503)/COUNTA(A$4:A$503)</f>
        <v>918.60034</v>
      </c>
      <c r="BO295" s="94" t="s">
        <v>20</v>
      </c>
      <c r="BP295" s="91" t="n">
        <f aca="false">IF(Z295&gt;=BB295,0,IFERROR(BB295+(SUMPRODUCT((Z$4:Z$503&gt;=BB$4:BB$503)*(Z$4:Z$503-BB$4:BB$503))/MAX(1,COUNTIF(Z$4:Z$503,"&lt;"&amp;BB295+0.01))),BB295))</f>
        <v>10695.5432177778</v>
      </c>
      <c r="BQ295" s="92" t="n">
        <f aca="false">IF(AA295&gt;=BC295,0,IFERROR(BC295+SUMPRODUCT((AA$4:AA$503&gt;=BC$4:BC$503)*(AA$4:AA$503-BC$4:BC$503))/MAX(1,COUNTIF(AA$4:AA$503,"&lt;"&amp;BC295+0.01)),BC295))</f>
        <v>2238.46589176471</v>
      </c>
      <c r="BR295" s="92" t="n">
        <f aca="false">IF(AB295&gt;=BD295,0,IFERROR(BD295+SUMPRODUCT((AB$4:AB$503&gt;=BD$4:BD$503)*(AB$4:AB$503-BD$4:BD$503))/MAX(1,COUNTIF(AB$4:AB$503,"&lt;"&amp;BD295+0.01)),BD295))</f>
        <v>3335.2938</v>
      </c>
      <c r="BS295" s="92" t="n">
        <f aca="false">IF(AC295&gt;=BE295,0,IFERROR(BE295+SUMPRODUCT((AC$4:AC$503&gt;=BE$4:BE$503)*(AC$4:AC$503-BE$4:BE$503))/MAX(1,COUNTIF(AC$4:AC$503,"&lt;"&amp;BE295+0.01)),BE295))</f>
        <v>0</v>
      </c>
      <c r="BT295" s="92" t="n">
        <f aca="false">IF(AD295&gt;=BF295,0,IFERROR(BF295+SUMPRODUCT((AD$4:AD$503&gt;=BF$4:BF$503)*(AD$4:AD$503-BF$4:BF$503))/MAX(1,COUNTIF(AD$4:AD$503,"&lt;"&amp;BF295+0.01)),BF295))</f>
        <v>0</v>
      </c>
      <c r="BU295" s="92" t="n">
        <f aca="false">IF(AE295&gt;=BG295,0,IFERROR(BG295+SUMPRODUCT((AE$4:AE$503&gt;=BG$4:BG$503)*(AE$4:AE$503-BG$4:BG$503))/MAX(1,COUNTIF(AE$4:AE$503,"&lt;"&amp;BG295+0.01)),BG295))</f>
        <v>7704.85920380952</v>
      </c>
      <c r="BV295" s="92" t="n">
        <f aca="false">IF(AF295&gt;=BH295,0,IFERROR(BH295+SUMPRODUCT((AF$4:AF$503&gt;=BH$4:BH$503)*(AF$4:AF$503-BH$4:BH$503))/MAX(1,COUNTIF(AF$4:AF$503,"&lt;"&amp;BH295+0.01)),BH295))</f>
        <v>9942.6503831579</v>
      </c>
      <c r="BW295" s="92" t="n">
        <f aca="false">IF(AG295&gt;=BI295,0,IFERROR(BI295+SUMPRODUCT((AG$4:AG$503&gt;=BI$4:BI$503)*(AG$4:AG$503-BI$4:BI$503))/MAX(1,COUNTIF(AG$4:AG$503,"&lt;"&amp;BI295+0.01)),BI295))</f>
        <v>9142.15870461538</v>
      </c>
      <c r="BX295" s="92" t="n">
        <f aca="false">IF(AH295&gt;=BJ295,0,IFERROR(BJ295+SUMPRODUCT((AH$4:AH$503&gt;=BJ$4:BJ$503)*(AH$4:AH$503-BJ$4:BJ$503))/MAX(1,COUNTIF(AH$4:AH$503,"&lt;"&amp;BJ295+0.01)),BJ295))</f>
        <v>5621.50263448276</v>
      </c>
      <c r="BY295" s="92" t="n">
        <f aca="false">IF(AI295&gt;=BK295,0,IFERROR(BK295+SUMPRODUCT((AI$4:AI$503&gt;=BK$4:BK$503)*(AI$4:AI$503-BK$4:BK$503))/MAX(1,COUNTIF(AI$4:AI$503,"&lt;"&amp;BK295+0.01)),BK295))</f>
        <v>7878.25652380952</v>
      </c>
      <c r="BZ295" s="92" t="n">
        <f aca="false">IF(AJ295&gt;=BL295,0,IFERROR(BL295+SUMPRODUCT((AJ$4:AJ$503&gt;=BL$4:BL$503)*(AJ$4:AJ$503-BL$4:BL$503))/MAX(1,COUNTIF(AJ$4:AJ$503,"&lt;"&amp;BL295+0.01)),BL295))</f>
        <v>6710.03292307692</v>
      </c>
      <c r="CA295" s="92" t="n">
        <f aca="false">IF(AK295&gt;=BM295,0,IFERROR(BM295+SUMPRODUCT((AK$4:AK$503&gt;=BM$4:BM$503)*(AK$4:AK$503-BM$4:BM$503))/MAX(1,COUNTIF(AK$4:AK$503,"&lt;"&amp;BM295+0.01)),BM295))</f>
        <v>7314.89836842105</v>
      </c>
      <c r="CB295" s="93" t="n">
        <f aca="false">IF(AL295&gt;=BN295,0,IFERROR(BN295+SUMPRODUCT((AL$4:AL$503&gt;=BN$4:BN$503)*(AL$4:AL$503-BN$4:BN$503))/MAX(1,COUNTIF(AL$4:AL$503,"&lt;"&amp;BN295+0.01)),BN295))</f>
        <v>3597.2614925</v>
      </c>
      <c r="CC295" s="95" t="str">
        <f aca="false">IF(AO295="🟢","VERDE",IF(AO295="🟡","AMARELO",IF(AO295="🟠","VERMELHO",IF(AO295="🔴","VERMELHO","ROXO"))))</f>
        <v>VERDE</v>
      </c>
      <c r="CD295" s="96" t="s">
        <v>103</v>
      </c>
      <c r="CE295" s="96" t="s">
        <v>104</v>
      </c>
    </row>
    <row r="296" customFormat="false" ht="14.25" hidden="false" customHeight="true" outlineLevel="0" collapsed="false">
      <c r="A296" s="65" t="s">
        <v>728</v>
      </c>
      <c r="B296" s="66" t="s">
        <v>729</v>
      </c>
      <c r="C296" s="67" t="s">
        <v>158</v>
      </c>
      <c r="D296" s="68" t="s">
        <v>100</v>
      </c>
      <c r="E296" s="69" t="s">
        <v>187</v>
      </c>
      <c r="F296" s="70" t="n">
        <f aca="false">IFERROR(VLOOKUP(C296,$AS$3:$AT$10,2,FALSE()),IFERROR(VLOOKUP(C296,$AS$15:$AT$22,2,FALSE()),""))</f>
        <v>29</v>
      </c>
      <c r="G296" s="71" t="n">
        <f aca="false">IFERROR(VLOOKUP(C296,$AS$3:$AX$10,6,FALSE()),IFERROR(VLOOKUP(C296,$AS$15:$AX$22,6,FALSE()),""))</f>
        <v>0.458564072601712</v>
      </c>
      <c r="H296" s="72" t="str">
        <f aca="false">IFERROR(VLOOKUP(C296,$AS$3:$AY$10,7,FALSE()),IFERROR(VLOOKUP(C296,$AS$15:$AY$22,7,FALSE()),""))</f>
        <v>🟡 AMARELO</v>
      </c>
      <c r="I296" s="72" t="str">
        <f aca="false">IFERROR(VLOOKUP(C296,$AS$3:$AZ$10,8,FALSE()),IFERROR(VLOOKUP(C296,$AS$15:$AZ$22,8,FALSE()),""))</f>
        <v>Sell Out</v>
      </c>
      <c r="J296" s="73"/>
      <c r="K296" s="69" t="s">
        <v>158</v>
      </c>
      <c r="L296" s="74" t="n">
        <v>3478.38</v>
      </c>
      <c r="M296" s="75" t="n">
        <v>244.44</v>
      </c>
      <c r="N296" s="75" t="n">
        <v>255.43</v>
      </c>
      <c r="O296" s="75" t="n">
        <v>261.58</v>
      </c>
      <c r="P296" s="75" t="n">
        <v>268.4</v>
      </c>
      <c r="Q296" s="75" t="n">
        <v>277.19</v>
      </c>
      <c r="R296" s="75" t="n">
        <v>284.44</v>
      </c>
      <c r="S296" s="75" t="n">
        <v>295.43</v>
      </c>
      <c r="T296" s="75" t="n">
        <v>302.69</v>
      </c>
      <c r="U296" s="75" t="n">
        <v>309.5</v>
      </c>
      <c r="V296" s="75" t="n">
        <v>317.19</v>
      </c>
      <c r="W296" s="75" t="n">
        <v>325.55</v>
      </c>
      <c r="X296" s="76" t="n">
        <v>336.54</v>
      </c>
      <c r="Y296" s="77" t="s">
        <v>20</v>
      </c>
      <c r="Z296" s="78" t="n">
        <f aca="false">SUM(AA296:AL296)</f>
        <v>1406.13</v>
      </c>
      <c r="AA296" s="75"/>
      <c r="AB296" s="75"/>
      <c r="AC296" s="75"/>
      <c r="AD296" s="75"/>
      <c r="AE296" s="79" t="n">
        <v>668.75</v>
      </c>
      <c r="AF296" s="75"/>
      <c r="AG296" s="79" t="n">
        <v>737.38</v>
      </c>
      <c r="AH296" s="75"/>
      <c r="AI296" s="75"/>
      <c r="AJ296" s="75"/>
      <c r="AK296" s="75"/>
      <c r="AL296" s="76"/>
      <c r="AM296" s="56" t="s">
        <v>20</v>
      </c>
      <c r="AN296" s="80" t="n">
        <f aca="false">IF(L296=0,0,Z296/L296)</f>
        <v>0.404248529487865</v>
      </c>
      <c r="AO296" s="81" t="str">
        <f aca="false">IF(AN296="","",IF(AN296&gt;=0.9,"🟢",IF(AN296&gt;=0.7,"🟡",IF(AN296&gt;=0.5,"🟠","🔴"))))</f>
        <v>🔴</v>
      </c>
      <c r="AP296" s="82" t="n">
        <f aca="false">IF(L296=0,0,L296-Z296)</f>
        <v>2072.25</v>
      </c>
      <c r="AQ296" s="83" t="n">
        <f aca="false">IF(AP296=0,"",RANK(AP296,AP$4:AP$503,0))</f>
        <v>265</v>
      </c>
      <c r="AR296" s="84" t="s">
        <v>20</v>
      </c>
      <c r="AS296" s="141"/>
      <c r="AT296" s="141"/>
      <c r="AU296" s="141"/>
      <c r="AV296" s="141"/>
      <c r="AW296" s="141"/>
      <c r="AX296" s="141"/>
      <c r="AY296" s="142"/>
      <c r="AZ296" s="142"/>
      <c r="BA296" s="56" t="s">
        <v>20</v>
      </c>
      <c r="BB296" s="91" t="n">
        <f aca="false">SUM(L$4:L$503)/COUNTA(A$4:A$503)</f>
        <v>9494.39992</v>
      </c>
      <c r="BC296" s="92" t="n">
        <f aca="false">SUM(M$4:M$503)/COUNTA(A$4:A$503)</f>
        <v>667.20008</v>
      </c>
      <c r="BD296" s="92" t="n">
        <f aca="false">SUM(N$4:N$503)/COUNTA(A$4:A$503)</f>
        <v>697.19996</v>
      </c>
      <c r="BE296" s="92" t="n">
        <f aca="false">SUM(O$4:O$503)/COUNTA(A$4:A$503)</f>
        <v>713.9999</v>
      </c>
      <c r="BF296" s="92" t="n">
        <f aca="false">SUM(P$4:P$503)/COUNTA(A$4:A$503)</f>
        <v>732.59984</v>
      </c>
      <c r="BG296" s="92" t="n">
        <f aca="false">SUM(Q$4:Q$503)/COUNTA(A$4:A$503)</f>
        <v>756.59992</v>
      </c>
      <c r="BH296" s="92" t="n">
        <f aca="false">SUM(R$4:R$503)/COUNTA(A$4:A$503)</f>
        <v>776.40004</v>
      </c>
      <c r="BI296" s="92" t="n">
        <f aca="false">SUM(S$4:S$503)/COUNTA(A$4:A$503)</f>
        <v>806.40012</v>
      </c>
      <c r="BJ296" s="92" t="n">
        <f aca="false">SUM(T$4:T$503)/COUNTA(A$4:A$503)</f>
        <v>826.1999</v>
      </c>
      <c r="BK296" s="92" t="n">
        <f aca="false">SUM(U$4:U$503)/COUNTA(A$4:A$503)</f>
        <v>844.8002</v>
      </c>
      <c r="BL296" s="92" t="n">
        <f aca="false">SUM(V$4:V$503)/COUNTA(A$4:A$503)</f>
        <v>865.7998</v>
      </c>
      <c r="BM296" s="92" t="n">
        <f aca="false">SUM(W$4:W$503)/COUNTA(A$4:A$503)</f>
        <v>888.59982</v>
      </c>
      <c r="BN296" s="93" t="n">
        <f aca="false">SUM(X$4:X$503)/COUNTA(A$4:A$503)</f>
        <v>918.60034</v>
      </c>
      <c r="BO296" s="94" t="s">
        <v>20</v>
      </c>
      <c r="BP296" s="91" t="n">
        <f aca="false">IF(Z296&gt;=BB296,0,IFERROR(BB296+(SUMPRODUCT((Z$4:Z$503&gt;=BB$4:BB$503)*(Z$4:Z$503-BB$4:BB$503))/MAX(1,COUNTIF(Z$4:Z$503,"&lt;"&amp;BB296+0.01))),BB296))</f>
        <v>10695.5432177778</v>
      </c>
      <c r="BQ296" s="92" t="n">
        <f aca="false">IF(AA296&gt;=BC296,0,IFERROR(BC296+SUMPRODUCT((AA$4:AA$503&gt;=BC$4:BC$503)*(AA$4:AA$503-BC$4:BC$503))/MAX(1,COUNTIF(AA$4:AA$503,"&lt;"&amp;BC296+0.01)),BC296))</f>
        <v>2238.46589176471</v>
      </c>
      <c r="BR296" s="92" t="n">
        <f aca="false">IF(AB296&gt;=BD296,0,IFERROR(BD296+SUMPRODUCT((AB$4:AB$503&gt;=BD$4:BD$503)*(AB$4:AB$503-BD$4:BD$503))/MAX(1,COUNTIF(AB$4:AB$503,"&lt;"&amp;BD296+0.01)),BD296))</f>
        <v>3335.2938</v>
      </c>
      <c r="BS296" s="92" t="n">
        <f aca="false">IF(AC296&gt;=BE296,0,IFERROR(BE296+SUMPRODUCT((AC$4:AC$503&gt;=BE$4:BE$503)*(AC$4:AC$503-BE$4:BE$503))/MAX(1,COUNTIF(AC$4:AC$503,"&lt;"&amp;BE296+0.01)),BE296))</f>
        <v>6188.73352</v>
      </c>
      <c r="BT296" s="92" t="n">
        <f aca="false">IF(AD296&gt;=BF296,0,IFERROR(BF296+SUMPRODUCT((AD$4:AD$503&gt;=BF$4:BF$503)*(AD$4:AD$503-BF$4:BF$503))/MAX(1,COUNTIF(AD$4:AD$503,"&lt;"&amp;BF296+0.01)),BF296))</f>
        <v>11354.35411</v>
      </c>
      <c r="BU296" s="92" t="n">
        <f aca="false">IF(AE296&gt;=BG296,0,IFERROR(BG296+SUMPRODUCT((AE$4:AE$503&gt;=BG$4:BG$503)*(AE$4:AE$503-BG$4:BG$503))/MAX(1,COUNTIF(AE$4:AE$503,"&lt;"&amp;BG296+0.01)),BG296))</f>
        <v>7704.85920380952</v>
      </c>
      <c r="BV296" s="92" t="n">
        <f aca="false">IF(AF296&gt;=BH296,0,IFERROR(BH296+SUMPRODUCT((AF$4:AF$503&gt;=BH$4:BH$503)*(AF$4:AF$503-BH$4:BH$503))/MAX(1,COUNTIF(AF$4:AF$503,"&lt;"&amp;BH296+0.01)),BH296))</f>
        <v>9942.6503831579</v>
      </c>
      <c r="BW296" s="92" t="n">
        <f aca="false">IF(AG296&gt;=BI296,0,IFERROR(BI296+SUMPRODUCT((AG$4:AG$503&gt;=BI$4:BI$503)*(AG$4:AG$503-BI$4:BI$503))/MAX(1,COUNTIF(AG$4:AG$503,"&lt;"&amp;BI296+0.01)),BI296))</f>
        <v>9142.15870461538</v>
      </c>
      <c r="BX296" s="92" t="n">
        <f aca="false">IF(AH296&gt;=BJ296,0,IFERROR(BJ296+SUMPRODUCT((AH$4:AH$503&gt;=BJ$4:BJ$503)*(AH$4:AH$503-BJ$4:BJ$503))/MAX(1,COUNTIF(AH$4:AH$503,"&lt;"&amp;BJ296+0.01)),BJ296))</f>
        <v>5621.50263448276</v>
      </c>
      <c r="BY296" s="92" t="n">
        <f aca="false">IF(AI296&gt;=BK296,0,IFERROR(BK296+SUMPRODUCT((AI$4:AI$503&gt;=BK$4:BK$503)*(AI$4:AI$503-BK$4:BK$503))/MAX(1,COUNTIF(AI$4:AI$503,"&lt;"&amp;BK296+0.01)),BK296))</f>
        <v>7878.25652380952</v>
      </c>
      <c r="BZ296" s="92" t="n">
        <f aca="false">IF(AJ296&gt;=BL296,0,IFERROR(BL296+SUMPRODUCT((AJ$4:AJ$503&gt;=BL$4:BL$503)*(AJ$4:AJ$503-BL$4:BL$503))/MAX(1,COUNTIF(AJ$4:AJ$503,"&lt;"&amp;BL296+0.01)),BL296))</f>
        <v>6710.03292307692</v>
      </c>
      <c r="CA296" s="92" t="n">
        <f aca="false">IF(AK296&gt;=BM296,0,IFERROR(BM296+SUMPRODUCT((AK$4:AK$503&gt;=BM$4:BM$503)*(AK$4:AK$503-BM$4:BM$503))/MAX(1,COUNTIF(AK$4:AK$503,"&lt;"&amp;BM296+0.01)),BM296))</f>
        <v>7314.89836842105</v>
      </c>
      <c r="CB296" s="93" t="n">
        <f aca="false">IF(AL296&gt;=BN296,0,IFERROR(BN296+SUMPRODUCT((AL$4:AL$503&gt;=BN$4:BN$503)*(AL$4:AL$503-BN$4:BN$503))/MAX(1,COUNTIF(AL$4:AL$503,"&lt;"&amp;BN296+0.01)),BN296))</f>
        <v>3597.2614925</v>
      </c>
      <c r="CC296" s="95" t="str">
        <f aca="false">IF(AO296="🟢","VERDE",IF(AO296="🟡","AMARELO",IF(AO296="🟠","VERMELHO",IF(AO296="🔴","VERMELHO","ROXO"))))</f>
        <v>VERMELHO</v>
      </c>
      <c r="CD296" s="96" t="s">
        <v>103</v>
      </c>
      <c r="CE296" s="96" t="s">
        <v>104</v>
      </c>
    </row>
    <row r="297" customFormat="false" ht="14.25" hidden="false" customHeight="true" outlineLevel="0" collapsed="false">
      <c r="A297" s="65" t="s">
        <v>730</v>
      </c>
      <c r="B297" s="66" t="s">
        <v>731</v>
      </c>
      <c r="C297" s="67" t="s">
        <v>113</v>
      </c>
      <c r="D297" s="68" t="s">
        <v>100</v>
      </c>
      <c r="E297" s="69" t="s">
        <v>114</v>
      </c>
      <c r="F297" s="70" t="n">
        <f aca="false">IFERROR(VLOOKUP(C297,$AS$3:$AT$10,2,FALSE()),IFERROR(VLOOKUP(C297,$AS$15:$AT$22,2,FALSE()),""))</f>
        <v>49</v>
      </c>
      <c r="G297" s="71" t="n">
        <f aca="false">IFERROR(VLOOKUP(C297,$AS$3:$AX$10,6,FALSE()),IFERROR(VLOOKUP(C297,$AS$15:$AX$22,6,FALSE()),""))</f>
        <v>0.463965086137302</v>
      </c>
      <c r="H297" s="72" t="str">
        <f aca="false">IFERROR(VLOOKUP(C297,$AS$3:$AY$10,7,FALSE()),IFERROR(VLOOKUP(C297,$AS$15:$AY$22,7,FALSE()),""))</f>
        <v>🟡 AMARELO</v>
      </c>
      <c r="I297" s="72" t="str">
        <f aca="false">IFERROR(VLOOKUP(C297,$AS$3:$AZ$10,8,FALSE()),IFERROR(VLOOKUP(C297,$AS$15:$AZ$22,8,FALSE()),""))</f>
        <v>Sell Out</v>
      </c>
      <c r="J297" s="73"/>
      <c r="K297" s="69" t="s">
        <v>113</v>
      </c>
      <c r="L297" s="74" t="n">
        <v>3476.67</v>
      </c>
      <c r="M297" s="75" t="n">
        <v>244.32</v>
      </c>
      <c r="N297" s="75" t="n">
        <v>255.3</v>
      </c>
      <c r="O297" s="75" t="n">
        <v>261.45</v>
      </c>
      <c r="P297" s="75" t="n">
        <v>268.27</v>
      </c>
      <c r="Q297" s="75" t="n">
        <v>277.05</v>
      </c>
      <c r="R297" s="75" t="n">
        <v>284.3</v>
      </c>
      <c r="S297" s="75" t="n">
        <v>295.29</v>
      </c>
      <c r="T297" s="75" t="n">
        <v>302.54</v>
      </c>
      <c r="U297" s="75" t="n">
        <v>309.35</v>
      </c>
      <c r="V297" s="75" t="n">
        <v>317.04</v>
      </c>
      <c r="W297" s="75" t="n">
        <v>325.39</v>
      </c>
      <c r="X297" s="76" t="n">
        <v>336.37</v>
      </c>
      <c r="Y297" s="77" t="s">
        <v>20</v>
      </c>
      <c r="Z297" s="78" t="n">
        <f aca="false">SUM(AA297:AL297)</f>
        <v>1543.95</v>
      </c>
      <c r="AA297" s="75"/>
      <c r="AB297" s="75"/>
      <c r="AC297" s="75"/>
      <c r="AD297" s="75"/>
      <c r="AE297" s="75"/>
      <c r="AF297" s="79" t="n">
        <v>1543.95</v>
      </c>
      <c r="AG297" s="75"/>
      <c r="AH297" s="75"/>
      <c r="AI297" s="75"/>
      <c r="AJ297" s="75"/>
      <c r="AK297" s="75"/>
      <c r="AL297" s="76"/>
      <c r="AM297" s="56" t="s">
        <v>20</v>
      </c>
      <c r="AN297" s="80" t="n">
        <f aca="false">IF(L297=0,0,Z297/L297)</f>
        <v>0.444088740087498</v>
      </c>
      <c r="AO297" s="81" t="str">
        <f aca="false">IF(AN297="","",IF(AN297&gt;=0.9,"🟢",IF(AN297&gt;=0.7,"🟡",IF(AN297&gt;=0.5,"🟠","🔴"))))</f>
        <v>🔴</v>
      </c>
      <c r="AP297" s="82" t="n">
        <f aca="false">IF(L297=0,0,L297-Z297)</f>
        <v>1932.72</v>
      </c>
      <c r="AQ297" s="83" t="n">
        <f aca="false">IF(AP297=0,"",RANK(AP297,AP$4:AP$503,0))</f>
        <v>276</v>
      </c>
      <c r="AR297" s="84" t="s">
        <v>20</v>
      </c>
      <c r="AS297" s="141"/>
      <c r="AT297" s="141"/>
      <c r="AU297" s="141"/>
      <c r="AV297" s="141"/>
      <c r="AW297" s="141"/>
      <c r="AX297" s="141"/>
      <c r="AY297" s="142"/>
      <c r="AZ297" s="142"/>
      <c r="BA297" s="56" t="s">
        <v>20</v>
      </c>
      <c r="BB297" s="91" t="n">
        <f aca="false">SUM(L$4:L$503)/COUNTA(A$4:A$503)</f>
        <v>9494.39992</v>
      </c>
      <c r="BC297" s="92" t="n">
        <f aca="false">SUM(M$4:M$503)/COUNTA(A$4:A$503)</f>
        <v>667.20008</v>
      </c>
      <c r="BD297" s="92" t="n">
        <f aca="false">SUM(N$4:N$503)/COUNTA(A$4:A$503)</f>
        <v>697.19996</v>
      </c>
      <c r="BE297" s="92" t="n">
        <f aca="false">SUM(O$4:O$503)/COUNTA(A$4:A$503)</f>
        <v>713.9999</v>
      </c>
      <c r="BF297" s="92" t="n">
        <f aca="false">SUM(P$4:P$503)/COUNTA(A$4:A$503)</f>
        <v>732.59984</v>
      </c>
      <c r="BG297" s="92" t="n">
        <f aca="false">SUM(Q$4:Q$503)/COUNTA(A$4:A$503)</f>
        <v>756.59992</v>
      </c>
      <c r="BH297" s="92" t="n">
        <f aca="false">SUM(R$4:R$503)/COUNTA(A$4:A$503)</f>
        <v>776.40004</v>
      </c>
      <c r="BI297" s="92" t="n">
        <f aca="false">SUM(S$4:S$503)/COUNTA(A$4:A$503)</f>
        <v>806.40012</v>
      </c>
      <c r="BJ297" s="92" t="n">
        <f aca="false">SUM(T$4:T$503)/COUNTA(A$4:A$503)</f>
        <v>826.1999</v>
      </c>
      <c r="BK297" s="92" t="n">
        <f aca="false">SUM(U$4:U$503)/COUNTA(A$4:A$503)</f>
        <v>844.8002</v>
      </c>
      <c r="BL297" s="92" t="n">
        <f aca="false">SUM(V$4:V$503)/COUNTA(A$4:A$503)</f>
        <v>865.7998</v>
      </c>
      <c r="BM297" s="92" t="n">
        <f aca="false">SUM(W$4:W$503)/COUNTA(A$4:A$503)</f>
        <v>888.59982</v>
      </c>
      <c r="BN297" s="93" t="n">
        <f aca="false">SUM(X$4:X$503)/COUNTA(A$4:A$503)</f>
        <v>918.60034</v>
      </c>
      <c r="BO297" s="94" t="s">
        <v>20</v>
      </c>
      <c r="BP297" s="91" t="n">
        <f aca="false">IF(Z297&gt;=BB297,0,IFERROR(BB297+(SUMPRODUCT((Z$4:Z$503&gt;=BB$4:BB$503)*(Z$4:Z$503-BB$4:BB$503))/MAX(1,COUNTIF(Z$4:Z$503,"&lt;"&amp;BB297+0.01))),BB297))</f>
        <v>10695.5432177778</v>
      </c>
      <c r="BQ297" s="92" t="n">
        <f aca="false">IF(AA297&gt;=BC297,0,IFERROR(BC297+SUMPRODUCT((AA$4:AA$503&gt;=BC$4:BC$503)*(AA$4:AA$503-BC$4:BC$503))/MAX(1,COUNTIF(AA$4:AA$503,"&lt;"&amp;BC297+0.01)),BC297))</f>
        <v>2238.46589176471</v>
      </c>
      <c r="BR297" s="92" t="n">
        <f aca="false">IF(AB297&gt;=BD297,0,IFERROR(BD297+SUMPRODUCT((AB$4:AB$503&gt;=BD$4:BD$503)*(AB$4:AB$503-BD$4:BD$503))/MAX(1,COUNTIF(AB$4:AB$503,"&lt;"&amp;BD297+0.01)),BD297))</f>
        <v>3335.2938</v>
      </c>
      <c r="BS297" s="92" t="n">
        <f aca="false">IF(AC297&gt;=BE297,0,IFERROR(BE297+SUMPRODUCT((AC$4:AC$503&gt;=BE$4:BE$503)*(AC$4:AC$503-BE$4:BE$503))/MAX(1,COUNTIF(AC$4:AC$503,"&lt;"&amp;BE297+0.01)),BE297))</f>
        <v>6188.73352</v>
      </c>
      <c r="BT297" s="92" t="n">
        <f aca="false">IF(AD297&gt;=BF297,0,IFERROR(BF297+SUMPRODUCT((AD$4:AD$503&gt;=BF$4:BF$503)*(AD$4:AD$503-BF$4:BF$503))/MAX(1,COUNTIF(AD$4:AD$503,"&lt;"&amp;BF297+0.01)),BF297))</f>
        <v>11354.35411</v>
      </c>
      <c r="BU297" s="92" t="n">
        <f aca="false">IF(AE297&gt;=BG297,0,IFERROR(BG297+SUMPRODUCT((AE$4:AE$503&gt;=BG$4:BG$503)*(AE$4:AE$503-BG$4:BG$503))/MAX(1,COUNTIF(AE$4:AE$503,"&lt;"&amp;BG297+0.01)),BG297))</f>
        <v>7704.85920380952</v>
      </c>
      <c r="BV297" s="92" t="n">
        <f aca="false">IF(AF297&gt;=BH297,0,IFERROR(BH297+SUMPRODUCT((AF$4:AF$503&gt;=BH$4:BH$503)*(AF$4:AF$503-BH$4:BH$503))/MAX(1,COUNTIF(AF$4:AF$503,"&lt;"&amp;BH297+0.01)),BH297))</f>
        <v>0</v>
      </c>
      <c r="BW297" s="92" t="n">
        <f aca="false">IF(AG297&gt;=BI297,0,IFERROR(BI297+SUMPRODUCT((AG$4:AG$503&gt;=BI$4:BI$503)*(AG$4:AG$503-BI$4:BI$503))/MAX(1,COUNTIF(AG$4:AG$503,"&lt;"&amp;BI297+0.01)),BI297))</f>
        <v>9142.15870461538</v>
      </c>
      <c r="BX297" s="92" t="n">
        <f aca="false">IF(AH297&gt;=BJ297,0,IFERROR(BJ297+SUMPRODUCT((AH$4:AH$503&gt;=BJ$4:BJ$503)*(AH$4:AH$503-BJ$4:BJ$503))/MAX(1,COUNTIF(AH$4:AH$503,"&lt;"&amp;BJ297+0.01)),BJ297))</f>
        <v>5621.50263448276</v>
      </c>
      <c r="BY297" s="92" t="n">
        <f aca="false">IF(AI297&gt;=BK297,0,IFERROR(BK297+SUMPRODUCT((AI$4:AI$503&gt;=BK$4:BK$503)*(AI$4:AI$503-BK$4:BK$503))/MAX(1,COUNTIF(AI$4:AI$503,"&lt;"&amp;BK297+0.01)),BK297))</f>
        <v>7878.25652380952</v>
      </c>
      <c r="BZ297" s="92" t="n">
        <f aca="false">IF(AJ297&gt;=BL297,0,IFERROR(BL297+SUMPRODUCT((AJ$4:AJ$503&gt;=BL$4:BL$503)*(AJ$4:AJ$503-BL$4:BL$503))/MAX(1,COUNTIF(AJ$4:AJ$503,"&lt;"&amp;BL297+0.01)),BL297))</f>
        <v>6710.03292307692</v>
      </c>
      <c r="CA297" s="92" t="n">
        <f aca="false">IF(AK297&gt;=BM297,0,IFERROR(BM297+SUMPRODUCT((AK$4:AK$503&gt;=BM$4:BM$503)*(AK$4:AK$503-BM$4:BM$503))/MAX(1,COUNTIF(AK$4:AK$503,"&lt;"&amp;BM297+0.01)),BM297))</f>
        <v>7314.89836842105</v>
      </c>
      <c r="CB297" s="93" t="n">
        <f aca="false">IF(AL297&gt;=BN297,0,IFERROR(BN297+SUMPRODUCT((AL$4:AL$503&gt;=BN$4:BN$503)*(AL$4:AL$503-BN$4:BN$503))/MAX(1,COUNTIF(AL$4:AL$503,"&lt;"&amp;BN297+0.01)),BN297))</f>
        <v>3597.2614925</v>
      </c>
      <c r="CC297" s="95" t="str">
        <f aca="false">IF(AO297="🟢","VERDE",IF(AO297="🟡","AMARELO",IF(AO297="🟠","VERMELHO",IF(AO297="🔴","VERMELHO","ROXO"))))</f>
        <v>VERMELHO</v>
      </c>
      <c r="CD297" s="96" t="s">
        <v>103</v>
      </c>
      <c r="CE297" s="96" t="s">
        <v>104</v>
      </c>
    </row>
    <row r="298" customFormat="false" ht="14.25" hidden="false" customHeight="true" outlineLevel="0" collapsed="false">
      <c r="A298" s="65" t="s">
        <v>732</v>
      </c>
      <c r="B298" s="66" t="s">
        <v>733</v>
      </c>
      <c r="C298" s="67" t="s">
        <v>107</v>
      </c>
      <c r="D298" s="68" t="s">
        <v>108</v>
      </c>
      <c r="E298" s="69" t="s">
        <v>139</v>
      </c>
      <c r="F298" s="70" t="n">
        <f aca="false">IFERROR(VLOOKUP(C298,$AS$3:$AT$10,2,FALSE()),IFERROR(VLOOKUP(C298,$AS$15:$AT$22,2,FALSE()),""))</f>
        <v>132</v>
      </c>
      <c r="G298" s="71" t="n">
        <f aca="false">IFERROR(VLOOKUP(C298,$AS$3:$AX$10,6,FALSE()),IFERROR(VLOOKUP(C298,$AS$15:$AX$22,6,FALSE()),""))</f>
        <v>0.468190175850689</v>
      </c>
      <c r="H298" s="72" t="str">
        <f aca="false">IFERROR(VLOOKUP(C298,$AS$3:$AY$10,7,FALSE()),IFERROR(VLOOKUP(C298,$AS$15:$AY$22,7,FALSE()),""))</f>
        <v>🟡 AMARELO</v>
      </c>
      <c r="I298" s="72" t="str">
        <f aca="false">IFERROR(VLOOKUP(C298,$AS$3:$AZ$10,8,FALSE()),IFERROR(VLOOKUP(C298,$AS$15:$AZ$22,8,FALSE()),""))</f>
        <v>Sell Out</v>
      </c>
      <c r="J298" s="73"/>
      <c r="K298" s="69" t="s">
        <v>107</v>
      </c>
      <c r="L298" s="74" t="n">
        <v>3471.63</v>
      </c>
      <c r="M298" s="75" t="n">
        <v>243.96</v>
      </c>
      <c r="N298" s="75" t="n">
        <v>254.93</v>
      </c>
      <c r="O298" s="75" t="n">
        <v>261.07</v>
      </c>
      <c r="P298" s="75" t="n">
        <v>267.88</v>
      </c>
      <c r="Q298" s="75" t="n">
        <v>276.65</v>
      </c>
      <c r="R298" s="75" t="n">
        <v>283.89</v>
      </c>
      <c r="S298" s="75" t="n">
        <v>294.86</v>
      </c>
      <c r="T298" s="75" t="n">
        <v>302.1</v>
      </c>
      <c r="U298" s="75" t="n">
        <v>308.9</v>
      </c>
      <c r="V298" s="75" t="n">
        <v>316.58</v>
      </c>
      <c r="W298" s="75" t="n">
        <v>324.92</v>
      </c>
      <c r="X298" s="76" t="n">
        <v>335.89</v>
      </c>
      <c r="Y298" s="77" t="s">
        <v>20</v>
      </c>
      <c r="Z298" s="78" t="n">
        <f aca="false">SUM(AA298:AL298)</f>
        <v>2059.72</v>
      </c>
      <c r="AA298" s="75"/>
      <c r="AB298" s="75"/>
      <c r="AC298" s="79" t="n">
        <v>732.52</v>
      </c>
      <c r="AD298" s="79" t="n">
        <v>1327.2</v>
      </c>
      <c r="AE298" s="75"/>
      <c r="AF298" s="75"/>
      <c r="AG298" s="75"/>
      <c r="AH298" s="75"/>
      <c r="AI298" s="75"/>
      <c r="AJ298" s="75"/>
      <c r="AK298" s="75"/>
      <c r="AL298" s="76"/>
      <c r="AM298" s="56" t="s">
        <v>20</v>
      </c>
      <c r="AN298" s="80" t="n">
        <f aca="false">IF(L298=0,0,Z298/L298)</f>
        <v>0.593300553342378</v>
      </c>
      <c r="AO298" s="81" t="str">
        <f aca="false">IF(AN298="","",IF(AN298&gt;=0.9,"🟢",IF(AN298&gt;=0.7,"🟡",IF(AN298&gt;=0.5,"🟠","🔴"))))</f>
        <v>🟠</v>
      </c>
      <c r="AP298" s="82" t="n">
        <f aca="false">IF(L298=0,0,L298-Z298)</f>
        <v>1411.91</v>
      </c>
      <c r="AQ298" s="83" t="n">
        <f aca="false">IF(AP298=0,"",RANK(AP298,AP$4:AP$503,0))</f>
        <v>336</v>
      </c>
      <c r="AR298" s="84" t="s">
        <v>20</v>
      </c>
      <c r="AS298" s="141"/>
      <c r="AT298" s="141"/>
      <c r="AU298" s="141"/>
      <c r="AV298" s="141"/>
      <c r="AW298" s="141"/>
      <c r="AX298" s="141"/>
      <c r="AY298" s="142"/>
      <c r="AZ298" s="142"/>
      <c r="BA298" s="56" t="s">
        <v>20</v>
      </c>
      <c r="BB298" s="91" t="n">
        <f aca="false">SUM(L$4:L$503)/COUNTA(A$4:A$503)</f>
        <v>9494.39992</v>
      </c>
      <c r="BC298" s="92" t="n">
        <f aca="false">SUM(M$4:M$503)/COUNTA(A$4:A$503)</f>
        <v>667.20008</v>
      </c>
      <c r="BD298" s="92" t="n">
        <f aca="false">SUM(N$4:N$503)/COUNTA(A$4:A$503)</f>
        <v>697.19996</v>
      </c>
      <c r="BE298" s="92" t="n">
        <f aca="false">SUM(O$4:O$503)/COUNTA(A$4:A$503)</f>
        <v>713.9999</v>
      </c>
      <c r="BF298" s="92" t="n">
        <f aca="false">SUM(P$4:P$503)/COUNTA(A$4:A$503)</f>
        <v>732.59984</v>
      </c>
      <c r="BG298" s="92" t="n">
        <f aca="false">SUM(Q$4:Q$503)/COUNTA(A$4:A$503)</f>
        <v>756.59992</v>
      </c>
      <c r="BH298" s="92" t="n">
        <f aca="false">SUM(R$4:R$503)/COUNTA(A$4:A$503)</f>
        <v>776.40004</v>
      </c>
      <c r="BI298" s="92" t="n">
        <f aca="false">SUM(S$4:S$503)/COUNTA(A$4:A$503)</f>
        <v>806.40012</v>
      </c>
      <c r="BJ298" s="92" t="n">
        <f aca="false">SUM(T$4:T$503)/COUNTA(A$4:A$503)</f>
        <v>826.1999</v>
      </c>
      <c r="BK298" s="92" t="n">
        <f aca="false">SUM(U$4:U$503)/COUNTA(A$4:A$503)</f>
        <v>844.8002</v>
      </c>
      <c r="BL298" s="92" t="n">
        <f aca="false">SUM(V$4:V$503)/COUNTA(A$4:A$503)</f>
        <v>865.7998</v>
      </c>
      <c r="BM298" s="92" t="n">
        <f aca="false">SUM(W$4:W$503)/COUNTA(A$4:A$503)</f>
        <v>888.59982</v>
      </c>
      <c r="BN298" s="93" t="n">
        <f aca="false">SUM(X$4:X$503)/COUNTA(A$4:A$503)</f>
        <v>918.60034</v>
      </c>
      <c r="BO298" s="94" t="s">
        <v>20</v>
      </c>
      <c r="BP298" s="91" t="n">
        <f aca="false">IF(Z298&gt;=BB298,0,IFERROR(BB298+(SUMPRODUCT((Z$4:Z$503&gt;=BB$4:BB$503)*(Z$4:Z$503-BB$4:BB$503))/MAX(1,COUNTIF(Z$4:Z$503,"&lt;"&amp;BB298+0.01))),BB298))</f>
        <v>10695.5432177778</v>
      </c>
      <c r="BQ298" s="92" t="n">
        <f aca="false">IF(AA298&gt;=BC298,0,IFERROR(BC298+SUMPRODUCT((AA$4:AA$503&gt;=BC$4:BC$503)*(AA$4:AA$503-BC$4:BC$503))/MAX(1,COUNTIF(AA$4:AA$503,"&lt;"&amp;BC298+0.01)),BC298))</f>
        <v>2238.46589176471</v>
      </c>
      <c r="BR298" s="92" t="n">
        <f aca="false">IF(AB298&gt;=BD298,0,IFERROR(BD298+SUMPRODUCT((AB$4:AB$503&gt;=BD$4:BD$503)*(AB$4:AB$503-BD$4:BD$503))/MAX(1,COUNTIF(AB$4:AB$503,"&lt;"&amp;BD298+0.01)),BD298))</f>
        <v>3335.2938</v>
      </c>
      <c r="BS298" s="92" t="n">
        <f aca="false">IF(AC298&gt;=BE298,0,IFERROR(BE298+SUMPRODUCT((AC$4:AC$503&gt;=BE$4:BE$503)*(AC$4:AC$503-BE$4:BE$503))/MAX(1,COUNTIF(AC$4:AC$503,"&lt;"&amp;BE298+0.01)),BE298))</f>
        <v>0</v>
      </c>
      <c r="BT298" s="92" t="n">
        <f aca="false">IF(AD298&gt;=BF298,0,IFERROR(BF298+SUMPRODUCT((AD$4:AD$503&gt;=BF$4:BF$503)*(AD$4:AD$503-BF$4:BF$503))/MAX(1,COUNTIF(AD$4:AD$503,"&lt;"&amp;BF298+0.01)),BF298))</f>
        <v>0</v>
      </c>
      <c r="BU298" s="92" t="n">
        <f aca="false">IF(AE298&gt;=BG298,0,IFERROR(BG298+SUMPRODUCT((AE$4:AE$503&gt;=BG$4:BG$503)*(AE$4:AE$503-BG$4:BG$503))/MAX(1,COUNTIF(AE$4:AE$503,"&lt;"&amp;BG298+0.01)),BG298))</f>
        <v>7704.85920380952</v>
      </c>
      <c r="BV298" s="92" t="n">
        <f aca="false">IF(AF298&gt;=BH298,0,IFERROR(BH298+SUMPRODUCT((AF$4:AF$503&gt;=BH$4:BH$503)*(AF$4:AF$503-BH$4:BH$503))/MAX(1,COUNTIF(AF$4:AF$503,"&lt;"&amp;BH298+0.01)),BH298))</f>
        <v>9942.6503831579</v>
      </c>
      <c r="BW298" s="92" t="n">
        <f aca="false">IF(AG298&gt;=BI298,0,IFERROR(BI298+SUMPRODUCT((AG$4:AG$503&gt;=BI$4:BI$503)*(AG$4:AG$503-BI$4:BI$503))/MAX(1,COUNTIF(AG$4:AG$503,"&lt;"&amp;BI298+0.01)),BI298))</f>
        <v>9142.15870461538</v>
      </c>
      <c r="BX298" s="92" t="n">
        <f aca="false">IF(AH298&gt;=BJ298,0,IFERROR(BJ298+SUMPRODUCT((AH$4:AH$503&gt;=BJ$4:BJ$503)*(AH$4:AH$503-BJ$4:BJ$503))/MAX(1,COUNTIF(AH$4:AH$503,"&lt;"&amp;BJ298+0.01)),BJ298))</f>
        <v>5621.50263448276</v>
      </c>
      <c r="BY298" s="92" t="n">
        <f aca="false">IF(AI298&gt;=BK298,0,IFERROR(BK298+SUMPRODUCT((AI$4:AI$503&gt;=BK$4:BK$503)*(AI$4:AI$503-BK$4:BK$503))/MAX(1,COUNTIF(AI$4:AI$503,"&lt;"&amp;BK298+0.01)),BK298))</f>
        <v>7878.25652380952</v>
      </c>
      <c r="BZ298" s="92" t="n">
        <f aca="false">IF(AJ298&gt;=BL298,0,IFERROR(BL298+SUMPRODUCT((AJ$4:AJ$503&gt;=BL$4:BL$503)*(AJ$4:AJ$503-BL$4:BL$503))/MAX(1,COUNTIF(AJ$4:AJ$503,"&lt;"&amp;BL298+0.01)),BL298))</f>
        <v>6710.03292307692</v>
      </c>
      <c r="CA298" s="92" t="n">
        <f aca="false">IF(AK298&gt;=BM298,0,IFERROR(BM298+SUMPRODUCT((AK$4:AK$503&gt;=BM$4:BM$503)*(AK$4:AK$503-BM$4:BM$503))/MAX(1,COUNTIF(AK$4:AK$503,"&lt;"&amp;BM298+0.01)),BM298))</f>
        <v>7314.89836842105</v>
      </c>
      <c r="CB298" s="93" t="n">
        <f aca="false">IF(AL298&gt;=BN298,0,IFERROR(BN298+SUMPRODUCT((AL$4:AL$503&gt;=BN$4:BN$503)*(AL$4:AL$503-BN$4:BN$503))/MAX(1,COUNTIF(AL$4:AL$503,"&lt;"&amp;BN298+0.01)),BN298))</f>
        <v>3597.2614925</v>
      </c>
      <c r="CC298" s="95" t="str">
        <f aca="false">IF(AO298="🟢","VERDE",IF(AO298="🟡","AMARELO",IF(AO298="🟠","VERMELHO",IF(AO298="🔴","VERMELHO","ROXO"))))</f>
        <v>VERMELHO</v>
      </c>
      <c r="CD298" s="96" t="s">
        <v>103</v>
      </c>
      <c r="CE298" s="96" t="s">
        <v>104</v>
      </c>
    </row>
    <row r="299" customFormat="false" ht="14.25" hidden="false" customHeight="true" outlineLevel="0" collapsed="false">
      <c r="A299" s="65" t="s">
        <v>734</v>
      </c>
      <c r="B299" s="66" t="s">
        <v>735</v>
      </c>
      <c r="C299" s="66" t="s">
        <v>115</v>
      </c>
      <c r="D299" s="68" t="s">
        <v>184</v>
      </c>
      <c r="E299" s="69" t="s">
        <v>260</v>
      </c>
      <c r="F299" s="70" t="n">
        <f aca="false">IFERROR(VLOOKUP(C299,$AS$3:$AT$10,2,FALSE()),IFERROR(VLOOKUP(C299,$AS$15:$AT$22,2,FALSE()),""))</f>
        <v>25</v>
      </c>
      <c r="G299" s="71" t="n">
        <f aca="false">IFERROR(VLOOKUP(C299,$AS$3:$AX$10,6,FALSE()),IFERROR(VLOOKUP(C299,$AS$15:$AX$22,6,FALSE()),""))</f>
        <v>0.536751750851081</v>
      </c>
      <c r="H299" s="72" t="str">
        <f aca="false">IFERROR(VLOOKUP(C299,$AS$3:$AY$10,7,FALSE()),IFERROR(VLOOKUP(C299,$AS$15:$AY$22,7,FALSE()),""))</f>
        <v>🟡 AMARELO</v>
      </c>
      <c r="I299" s="72" t="str">
        <f aca="false">IFERROR(VLOOKUP(C299,$AS$3:$AZ$10,8,FALSE()),IFERROR(VLOOKUP(C299,$AS$15:$AZ$22,8,FALSE()),""))</f>
        <v>Sell Out</v>
      </c>
      <c r="J299" s="73"/>
      <c r="K299" s="69" t="s">
        <v>113</v>
      </c>
      <c r="L299" s="74" t="n">
        <v>3468.85</v>
      </c>
      <c r="M299" s="75" t="n">
        <v>243.77</v>
      </c>
      <c r="N299" s="75" t="n">
        <v>254.73</v>
      </c>
      <c r="O299" s="75" t="n">
        <v>260.86</v>
      </c>
      <c r="P299" s="75" t="n">
        <v>267.66</v>
      </c>
      <c r="Q299" s="75" t="n">
        <v>276.43</v>
      </c>
      <c r="R299" s="75" t="n">
        <v>283.66</v>
      </c>
      <c r="S299" s="75" t="n">
        <v>294.62</v>
      </c>
      <c r="T299" s="75" t="n">
        <v>301.86</v>
      </c>
      <c r="U299" s="75" t="n">
        <v>308.65</v>
      </c>
      <c r="V299" s="75" t="n">
        <v>316.33</v>
      </c>
      <c r="W299" s="75" t="n">
        <v>324.66</v>
      </c>
      <c r="X299" s="76" t="n">
        <v>335.62</v>
      </c>
      <c r="Y299" s="77" t="s">
        <v>20</v>
      </c>
      <c r="Z299" s="78" t="n">
        <f aca="false">SUM(AA299:AL299)</f>
        <v>1395</v>
      </c>
      <c r="AA299" s="75"/>
      <c r="AB299" s="75"/>
      <c r="AC299" s="75"/>
      <c r="AD299" s="75"/>
      <c r="AE299" s="75"/>
      <c r="AF299" s="75"/>
      <c r="AG299" s="75"/>
      <c r="AH299" s="75"/>
      <c r="AI299" s="79" t="n">
        <v>1395</v>
      </c>
      <c r="AJ299" s="75"/>
      <c r="AK299" s="75"/>
      <c r="AL299" s="76"/>
      <c r="AM299" s="56" t="s">
        <v>20</v>
      </c>
      <c r="AN299" s="80" t="n">
        <f aca="false">IF(L299=0,0,Z299/L299)</f>
        <v>0.402150568632256</v>
      </c>
      <c r="AO299" s="81" t="str">
        <f aca="false">IF(AN299="","",IF(AN299&gt;=0.9,"🟢",IF(AN299&gt;=0.7,"🟡",IF(AN299&gt;=0.5,"🟠","🔴"))))</f>
        <v>🔴</v>
      </c>
      <c r="AP299" s="82" t="n">
        <f aca="false">IF(L299=0,0,L299-Z299)</f>
        <v>2073.85</v>
      </c>
      <c r="AQ299" s="83" t="n">
        <f aca="false">IF(AP299=0,"",RANK(AP299,AP$4:AP$503,0))</f>
        <v>264</v>
      </c>
      <c r="AR299" s="84" t="s">
        <v>20</v>
      </c>
      <c r="AS299" s="141"/>
      <c r="AT299" s="141"/>
      <c r="AU299" s="141"/>
      <c r="AV299" s="141"/>
      <c r="AW299" s="141"/>
      <c r="AX299" s="141"/>
      <c r="AY299" s="142"/>
      <c r="AZ299" s="142"/>
      <c r="BA299" s="56" t="s">
        <v>20</v>
      </c>
      <c r="BB299" s="91" t="n">
        <f aca="false">SUM(L$4:L$503)/COUNTA(A$4:A$503)</f>
        <v>9494.39992</v>
      </c>
      <c r="BC299" s="92" t="n">
        <f aca="false">SUM(M$4:M$503)/COUNTA(A$4:A$503)</f>
        <v>667.20008</v>
      </c>
      <c r="BD299" s="92" t="n">
        <f aca="false">SUM(N$4:N$503)/COUNTA(A$4:A$503)</f>
        <v>697.19996</v>
      </c>
      <c r="BE299" s="92" t="n">
        <f aca="false">SUM(O$4:O$503)/COUNTA(A$4:A$503)</f>
        <v>713.9999</v>
      </c>
      <c r="BF299" s="92" t="n">
        <f aca="false">SUM(P$4:P$503)/COUNTA(A$4:A$503)</f>
        <v>732.59984</v>
      </c>
      <c r="BG299" s="92" t="n">
        <f aca="false">SUM(Q$4:Q$503)/COUNTA(A$4:A$503)</f>
        <v>756.59992</v>
      </c>
      <c r="BH299" s="92" t="n">
        <f aca="false">SUM(R$4:R$503)/COUNTA(A$4:A$503)</f>
        <v>776.40004</v>
      </c>
      <c r="BI299" s="92" t="n">
        <f aca="false">SUM(S$4:S$503)/COUNTA(A$4:A$503)</f>
        <v>806.40012</v>
      </c>
      <c r="BJ299" s="92" t="n">
        <f aca="false">SUM(T$4:T$503)/COUNTA(A$4:A$503)</f>
        <v>826.1999</v>
      </c>
      <c r="BK299" s="92" t="n">
        <f aca="false">SUM(U$4:U$503)/COUNTA(A$4:A$503)</f>
        <v>844.8002</v>
      </c>
      <c r="BL299" s="92" t="n">
        <f aca="false">SUM(V$4:V$503)/COUNTA(A$4:A$503)</f>
        <v>865.7998</v>
      </c>
      <c r="BM299" s="92" t="n">
        <f aca="false">SUM(W$4:W$503)/COUNTA(A$4:A$503)</f>
        <v>888.59982</v>
      </c>
      <c r="BN299" s="93" t="n">
        <f aca="false">SUM(X$4:X$503)/COUNTA(A$4:A$503)</f>
        <v>918.60034</v>
      </c>
      <c r="BO299" s="94" t="s">
        <v>20</v>
      </c>
      <c r="BP299" s="91" t="n">
        <f aca="false">IF(Z299&gt;=BB299,0,IFERROR(BB299+(SUMPRODUCT((Z$4:Z$503&gt;=BB$4:BB$503)*(Z$4:Z$503-BB$4:BB$503))/MAX(1,COUNTIF(Z$4:Z$503,"&lt;"&amp;BB299+0.01))),BB299))</f>
        <v>10695.5432177778</v>
      </c>
      <c r="BQ299" s="92" t="n">
        <f aca="false">IF(AA299&gt;=BC299,0,IFERROR(BC299+SUMPRODUCT((AA$4:AA$503&gt;=BC$4:BC$503)*(AA$4:AA$503-BC$4:BC$503))/MAX(1,COUNTIF(AA$4:AA$503,"&lt;"&amp;BC299+0.01)),BC299))</f>
        <v>2238.46589176471</v>
      </c>
      <c r="BR299" s="92" t="n">
        <f aca="false">IF(AB299&gt;=BD299,0,IFERROR(BD299+SUMPRODUCT((AB$4:AB$503&gt;=BD$4:BD$503)*(AB$4:AB$503-BD$4:BD$503))/MAX(1,COUNTIF(AB$4:AB$503,"&lt;"&amp;BD299+0.01)),BD299))</f>
        <v>3335.2938</v>
      </c>
      <c r="BS299" s="92" t="n">
        <f aca="false">IF(AC299&gt;=BE299,0,IFERROR(BE299+SUMPRODUCT((AC$4:AC$503&gt;=BE$4:BE$503)*(AC$4:AC$503-BE$4:BE$503))/MAX(1,COUNTIF(AC$4:AC$503,"&lt;"&amp;BE299+0.01)),BE299))</f>
        <v>6188.73352</v>
      </c>
      <c r="BT299" s="92" t="n">
        <f aca="false">IF(AD299&gt;=BF299,0,IFERROR(BF299+SUMPRODUCT((AD$4:AD$503&gt;=BF$4:BF$503)*(AD$4:AD$503-BF$4:BF$503))/MAX(1,COUNTIF(AD$4:AD$503,"&lt;"&amp;BF299+0.01)),BF299))</f>
        <v>11354.35411</v>
      </c>
      <c r="BU299" s="92" t="n">
        <f aca="false">IF(AE299&gt;=BG299,0,IFERROR(BG299+SUMPRODUCT((AE$4:AE$503&gt;=BG$4:BG$503)*(AE$4:AE$503-BG$4:BG$503))/MAX(1,COUNTIF(AE$4:AE$503,"&lt;"&amp;BG299+0.01)),BG299))</f>
        <v>7704.85920380952</v>
      </c>
      <c r="BV299" s="92" t="n">
        <f aca="false">IF(AF299&gt;=BH299,0,IFERROR(BH299+SUMPRODUCT((AF$4:AF$503&gt;=BH$4:BH$503)*(AF$4:AF$503-BH$4:BH$503))/MAX(1,COUNTIF(AF$4:AF$503,"&lt;"&amp;BH299+0.01)),BH299))</f>
        <v>9942.6503831579</v>
      </c>
      <c r="BW299" s="92" t="n">
        <f aca="false">IF(AG299&gt;=BI299,0,IFERROR(BI299+SUMPRODUCT((AG$4:AG$503&gt;=BI$4:BI$503)*(AG$4:AG$503-BI$4:BI$503))/MAX(1,COUNTIF(AG$4:AG$503,"&lt;"&amp;BI299+0.01)),BI299))</f>
        <v>9142.15870461538</v>
      </c>
      <c r="BX299" s="92" t="n">
        <f aca="false">IF(AH299&gt;=BJ299,0,IFERROR(BJ299+SUMPRODUCT((AH$4:AH$503&gt;=BJ$4:BJ$503)*(AH$4:AH$503-BJ$4:BJ$503))/MAX(1,COUNTIF(AH$4:AH$503,"&lt;"&amp;BJ299+0.01)),BJ299))</f>
        <v>5621.50263448276</v>
      </c>
      <c r="BY299" s="92" t="n">
        <f aca="false">IF(AI299&gt;=BK299,0,IFERROR(BK299+SUMPRODUCT((AI$4:AI$503&gt;=BK$4:BK$503)*(AI$4:AI$503-BK$4:BK$503))/MAX(1,COUNTIF(AI$4:AI$503,"&lt;"&amp;BK299+0.01)),BK299))</f>
        <v>0</v>
      </c>
      <c r="BZ299" s="92" t="n">
        <f aca="false">IF(AJ299&gt;=BL299,0,IFERROR(BL299+SUMPRODUCT((AJ$4:AJ$503&gt;=BL$4:BL$503)*(AJ$4:AJ$503-BL$4:BL$503))/MAX(1,COUNTIF(AJ$4:AJ$503,"&lt;"&amp;BL299+0.01)),BL299))</f>
        <v>6710.03292307692</v>
      </c>
      <c r="CA299" s="92" t="n">
        <f aca="false">IF(AK299&gt;=BM299,0,IFERROR(BM299+SUMPRODUCT((AK$4:AK$503&gt;=BM$4:BM$503)*(AK$4:AK$503-BM$4:BM$503))/MAX(1,COUNTIF(AK$4:AK$503,"&lt;"&amp;BM299+0.01)),BM299))</f>
        <v>7314.89836842105</v>
      </c>
      <c r="CB299" s="93" t="n">
        <f aca="false">IF(AL299&gt;=BN299,0,IFERROR(BN299+SUMPRODUCT((AL$4:AL$503&gt;=BN$4:BN$503)*(AL$4:AL$503-BN$4:BN$503))/MAX(1,COUNTIF(AL$4:AL$503,"&lt;"&amp;BN299+0.01)),BN299))</f>
        <v>3597.2614925</v>
      </c>
      <c r="CC299" s="95" t="str">
        <f aca="false">IF(AO299="🟢","VERDE",IF(AO299="🟡","AMARELO",IF(AO299="🟠","VERMELHO",IF(AO299="🔴","VERMELHO","ROXO"))))</f>
        <v>VERMELHO</v>
      </c>
      <c r="CD299" s="96" t="s">
        <v>176</v>
      </c>
      <c r="CE299" s="96" t="s">
        <v>115</v>
      </c>
    </row>
    <row r="300" customFormat="false" ht="14.25" hidden="false" customHeight="true" outlineLevel="0" collapsed="false">
      <c r="A300" s="65" t="s">
        <v>736</v>
      </c>
      <c r="B300" s="66" t="s">
        <v>737</v>
      </c>
      <c r="C300" s="67" t="s">
        <v>107</v>
      </c>
      <c r="D300" s="68" t="s">
        <v>108</v>
      </c>
      <c r="E300" s="69" t="s">
        <v>139</v>
      </c>
      <c r="F300" s="70" t="n">
        <f aca="false">IFERROR(VLOOKUP(C300,$AS$3:$AT$10,2,FALSE()),IFERROR(VLOOKUP(C300,$AS$15:$AT$22,2,FALSE()),""))</f>
        <v>132</v>
      </c>
      <c r="G300" s="71" t="n">
        <f aca="false">IFERROR(VLOOKUP(C300,$AS$3:$AX$10,6,FALSE()),IFERROR(VLOOKUP(C300,$AS$15:$AX$22,6,FALSE()),""))</f>
        <v>0.468190175850689</v>
      </c>
      <c r="H300" s="72" t="str">
        <f aca="false">IFERROR(VLOOKUP(C300,$AS$3:$AY$10,7,FALSE()),IFERROR(VLOOKUP(C300,$AS$15:$AY$22,7,FALSE()),""))</f>
        <v>🟡 AMARELO</v>
      </c>
      <c r="I300" s="72" t="str">
        <f aca="false">IFERROR(VLOOKUP(C300,$AS$3:$AZ$10,8,FALSE()),IFERROR(VLOOKUP(C300,$AS$15:$AZ$22,8,FALSE()),""))</f>
        <v>Sell Out</v>
      </c>
      <c r="J300" s="73"/>
      <c r="K300" s="69" t="s">
        <v>107</v>
      </c>
      <c r="L300" s="74" t="n">
        <v>3445.62</v>
      </c>
      <c r="M300" s="75" t="n">
        <v>242.13</v>
      </c>
      <c r="N300" s="75" t="n">
        <v>253.02</v>
      </c>
      <c r="O300" s="75" t="n">
        <v>259.12</v>
      </c>
      <c r="P300" s="75" t="n">
        <v>265.87</v>
      </c>
      <c r="Q300" s="75" t="n">
        <v>274.58</v>
      </c>
      <c r="R300" s="75" t="n">
        <v>281.76</v>
      </c>
      <c r="S300" s="75" t="n">
        <v>292.65</v>
      </c>
      <c r="T300" s="75" t="n">
        <v>299.84</v>
      </c>
      <c r="U300" s="75" t="n">
        <v>306.59</v>
      </c>
      <c r="V300" s="75" t="n">
        <v>314.21</v>
      </c>
      <c r="W300" s="75" t="n">
        <v>322.48</v>
      </c>
      <c r="X300" s="76" t="n">
        <v>333.37</v>
      </c>
      <c r="Y300" s="77" t="s">
        <v>20</v>
      </c>
      <c r="Z300" s="78" t="n">
        <f aca="false">SUM(AA300:AL300)</f>
        <v>2215.83</v>
      </c>
      <c r="AA300" s="75"/>
      <c r="AB300" s="75"/>
      <c r="AC300" s="75"/>
      <c r="AD300" s="75"/>
      <c r="AE300" s="75"/>
      <c r="AF300" s="79" t="n">
        <v>683.54</v>
      </c>
      <c r="AG300" s="75"/>
      <c r="AH300" s="75"/>
      <c r="AI300" s="75"/>
      <c r="AJ300" s="75" t="n">
        <v>785.29</v>
      </c>
      <c r="AK300" s="79" t="n">
        <v>747</v>
      </c>
      <c r="AL300" s="76"/>
      <c r="AM300" s="56" t="s">
        <v>20</v>
      </c>
      <c r="AN300" s="80" t="n">
        <f aca="false">IF(L300=0,0,Z300/L300)</f>
        <v>0.643086004840929</v>
      </c>
      <c r="AO300" s="81" t="str">
        <f aca="false">IF(AN300="","",IF(AN300&gt;=0.9,"🟢",IF(AN300&gt;=0.7,"🟡",IF(AN300&gt;=0.5,"🟠","🔴"))))</f>
        <v>🟠</v>
      </c>
      <c r="AP300" s="82" t="n">
        <f aca="false">IF(L300=0,0,L300-Z300)</f>
        <v>1229.79</v>
      </c>
      <c r="AQ300" s="83" t="n">
        <f aca="false">IF(AP300=0,"",RANK(AP300,AP$4:AP$503,0))</f>
        <v>355</v>
      </c>
      <c r="AR300" s="84" t="s">
        <v>20</v>
      </c>
      <c r="AS300" s="141"/>
      <c r="AT300" s="141"/>
      <c r="AU300" s="141"/>
      <c r="AV300" s="141"/>
      <c r="AW300" s="141"/>
      <c r="AX300" s="141"/>
      <c r="AY300" s="142"/>
      <c r="AZ300" s="142"/>
      <c r="BA300" s="56" t="s">
        <v>20</v>
      </c>
      <c r="BB300" s="91" t="n">
        <f aca="false">SUM(L$4:L$503)/COUNTA(A$4:A$503)</f>
        <v>9494.39992</v>
      </c>
      <c r="BC300" s="92" t="n">
        <f aca="false">SUM(M$4:M$503)/COUNTA(A$4:A$503)</f>
        <v>667.20008</v>
      </c>
      <c r="BD300" s="92" t="n">
        <f aca="false">SUM(N$4:N$503)/COUNTA(A$4:A$503)</f>
        <v>697.19996</v>
      </c>
      <c r="BE300" s="92" t="n">
        <f aca="false">SUM(O$4:O$503)/COUNTA(A$4:A$503)</f>
        <v>713.9999</v>
      </c>
      <c r="BF300" s="92" t="n">
        <f aca="false">SUM(P$4:P$503)/COUNTA(A$4:A$503)</f>
        <v>732.59984</v>
      </c>
      <c r="BG300" s="92" t="n">
        <f aca="false">SUM(Q$4:Q$503)/COUNTA(A$4:A$503)</f>
        <v>756.59992</v>
      </c>
      <c r="BH300" s="92" t="n">
        <f aca="false">SUM(R$4:R$503)/COUNTA(A$4:A$503)</f>
        <v>776.40004</v>
      </c>
      <c r="BI300" s="92" t="n">
        <f aca="false">SUM(S$4:S$503)/COUNTA(A$4:A$503)</f>
        <v>806.40012</v>
      </c>
      <c r="BJ300" s="92" t="n">
        <f aca="false">SUM(T$4:T$503)/COUNTA(A$4:A$503)</f>
        <v>826.1999</v>
      </c>
      <c r="BK300" s="92" t="n">
        <f aca="false">SUM(U$4:U$503)/COUNTA(A$4:A$503)</f>
        <v>844.8002</v>
      </c>
      <c r="BL300" s="92" t="n">
        <f aca="false">SUM(V$4:V$503)/COUNTA(A$4:A$503)</f>
        <v>865.7998</v>
      </c>
      <c r="BM300" s="92" t="n">
        <f aca="false">SUM(W$4:W$503)/COUNTA(A$4:A$503)</f>
        <v>888.59982</v>
      </c>
      <c r="BN300" s="93" t="n">
        <f aca="false">SUM(X$4:X$503)/COUNTA(A$4:A$503)</f>
        <v>918.60034</v>
      </c>
      <c r="BO300" s="94" t="s">
        <v>20</v>
      </c>
      <c r="BP300" s="91" t="n">
        <f aca="false">IF(Z300&gt;=BB300,0,IFERROR(BB300+(SUMPRODUCT((Z$4:Z$503&gt;=BB$4:BB$503)*(Z$4:Z$503-BB$4:BB$503))/MAX(1,COUNTIF(Z$4:Z$503,"&lt;"&amp;BB300+0.01))),BB300))</f>
        <v>10695.5432177778</v>
      </c>
      <c r="BQ300" s="92" t="n">
        <f aca="false">IF(AA300&gt;=BC300,0,IFERROR(BC300+SUMPRODUCT((AA$4:AA$503&gt;=BC$4:BC$503)*(AA$4:AA$503-BC$4:BC$503))/MAX(1,COUNTIF(AA$4:AA$503,"&lt;"&amp;BC300+0.01)),BC300))</f>
        <v>2238.46589176471</v>
      </c>
      <c r="BR300" s="92" t="n">
        <f aca="false">IF(AB300&gt;=BD300,0,IFERROR(BD300+SUMPRODUCT((AB$4:AB$503&gt;=BD$4:BD$503)*(AB$4:AB$503-BD$4:BD$503))/MAX(1,COUNTIF(AB$4:AB$503,"&lt;"&amp;BD300+0.01)),BD300))</f>
        <v>3335.2938</v>
      </c>
      <c r="BS300" s="92" t="n">
        <f aca="false">IF(AC300&gt;=BE300,0,IFERROR(BE300+SUMPRODUCT((AC$4:AC$503&gt;=BE$4:BE$503)*(AC$4:AC$503-BE$4:BE$503))/MAX(1,COUNTIF(AC$4:AC$503,"&lt;"&amp;BE300+0.01)),BE300))</f>
        <v>6188.73352</v>
      </c>
      <c r="BT300" s="92" t="n">
        <f aca="false">IF(AD300&gt;=BF300,0,IFERROR(BF300+SUMPRODUCT((AD$4:AD$503&gt;=BF$4:BF$503)*(AD$4:AD$503-BF$4:BF$503))/MAX(1,COUNTIF(AD$4:AD$503,"&lt;"&amp;BF300+0.01)),BF300))</f>
        <v>11354.35411</v>
      </c>
      <c r="BU300" s="92" t="n">
        <f aca="false">IF(AE300&gt;=BG300,0,IFERROR(BG300+SUMPRODUCT((AE$4:AE$503&gt;=BG$4:BG$503)*(AE$4:AE$503-BG$4:BG$503))/MAX(1,COUNTIF(AE$4:AE$503,"&lt;"&amp;BG300+0.01)),BG300))</f>
        <v>7704.85920380952</v>
      </c>
      <c r="BV300" s="92" t="n">
        <f aca="false">IF(AF300&gt;=BH300,0,IFERROR(BH300+SUMPRODUCT((AF$4:AF$503&gt;=BH$4:BH$503)*(AF$4:AF$503-BH$4:BH$503))/MAX(1,COUNTIF(AF$4:AF$503,"&lt;"&amp;BH300+0.01)),BH300))</f>
        <v>9942.6503831579</v>
      </c>
      <c r="BW300" s="92" t="n">
        <f aca="false">IF(AG300&gt;=BI300,0,IFERROR(BI300+SUMPRODUCT((AG$4:AG$503&gt;=BI$4:BI$503)*(AG$4:AG$503-BI$4:BI$503))/MAX(1,COUNTIF(AG$4:AG$503,"&lt;"&amp;BI300+0.01)),BI300))</f>
        <v>9142.15870461538</v>
      </c>
      <c r="BX300" s="92" t="n">
        <f aca="false">IF(AH300&gt;=BJ300,0,IFERROR(BJ300+SUMPRODUCT((AH$4:AH$503&gt;=BJ$4:BJ$503)*(AH$4:AH$503-BJ$4:BJ$503))/MAX(1,COUNTIF(AH$4:AH$503,"&lt;"&amp;BJ300+0.01)),BJ300))</f>
        <v>5621.50263448276</v>
      </c>
      <c r="BY300" s="92" t="n">
        <f aca="false">IF(AI300&gt;=BK300,0,IFERROR(BK300+SUMPRODUCT((AI$4:AI$503&gt;=BK$4:BK$503)*(AI$4:AI$503-BK$4:BK$503))/MAX(1,COUNTIF(AI$4:AI$503,"&lt;"&amp;BK300+0.01)),BK300))</f>
        <v>7878.25652380952</v>
      </c>
      <c r="BZ300" s="92" t="n">
        <f aca="false">IF(AJ300&gt;=BL300,0,IFERROR(BL300+SUMPRODUCT((AJ$4:AJ$503&gt;=BL$4:BL$503)*(AJ$4:AJ$503-BL$4:BL$503))/MAX(1,COUNTIF(AJ$4:AJ$503,"&lt;"&amp;BL300+0.01)),BL300))</f>
        <v>6710.03292307692</v>
      </c>
      <c r="CA300" s="92" t="n">
        <f aca="false">IF(AK300&gt;=BM300,0,IFERROR(BM300+SUMPRODUCT((AK$4:AK$503&gt;=BM$4:BM$503)*(AK$4:AK$503-BM$4:BM$503))/MAX(1,COUNTIF(AK$4:AK$503,"&lt;"&amp;BM300+0.01)),BM300))</f>
        <v>7314.89836842105</v>
      </c>
      <c r="CB300" s="93" t="n">
        <f aca="false">IF(AL300&gt;=BN300,0,IFERROR(BN300+SUMPRODUCT((AL$4:AL$503&gt;=BN$4:BN$503)*(AL$4:AL$503-BN$4:BN$503))/MAX(1,COUNTIF(AL$4:AL$503,"&lt;"&amp;BN300+0.01)),BN300))</f>
        <v>3597.2614925</v>
      </c>
      <c r="CC300" s="95" t="str">
        <f aca="false">IF(AO300="🟢","VERDE",IF(AO300="🟡","AMARELO",IF(AO300="🟠","VERMELHO",IF(AO300="🔴","VERMELHO","ROXO"))))</f>
        <v>VERMELHO</v>
      </c>
      <c r="CD300" s="96" t="s">
        <v>103</v>
      </c>
      <c r="CE300" s="96" t="s">
        <v>104</v>
      </c>
    </row>
    <row r="301" customFormat="false" ht="14.25" hidden="false" customHeight="true" outlineLevel="0" collapsed="false">
      <c r="A301" s="65" t="s">
        <v>738</v>
      </c>
      <c r="B301" s="66" t="s">
        <v>739</v>
      </c>
      <c r="C301" s="66" t="s">
        <v>102</v>
      </c>
      <c r="D301" s="68" t="s">
        <v>175</v>
      </c>
      <c r="E301" s="69" t="s">
        <v>109</v>
      </c>
      <c r="F301" s="70" t="n">
        <f aca="false">IFERROR(VLOOKUP(C301,$AS$3:$AT$10,2,FALSE()),IFERROR(VLOOKUP(C301,$AS$15:$AT$22,2,FALSE()),""))</f>
        <v>21</v>
      </c>
      <c r="G301" s="71" t="n">
        <f aca="false">IFERROR(VLOOKUP(C301,$AS$3:$AX$10,6,FALSE()),IFERROR(VLOOKUP(C301,$AS$15:$AX$22,6,FALSE()),""))</f>
        <v>0.491514556258592</v>
      </c>
      <c r="H301" s="72" t="str">
        <f aca="false">IFERROR(VLOOKUP(C301,$AS$3:$AY$10,7,FALSE()),IFERROR(VLOOKUP(C301,$AS$15:$AY$22,7,FALSE()),""))</f>
        <v>🟡 AMARELO</v>
      </c>
      <c r="I301" s="72" t="str">
        <f aca="false">IFERROR(VLOOKUP(C301,$AS$3:$AZ$10,8,FALSE()),IFERROR(VLOOKUP(C301,$AS$15:$AZ$22,8,FALSE()),""))</f>
        <v>Sell Out</v>
      </c>
      <c r="J301" s="73"/>
      <c r="K301" s="69" t="s">
        <v>107</v>
      </c>
      <c r="L301" s="74" t="n">
        <v>3422.07</v>
      </c>
      <c r="M301" s="75" t="n">
        <v>240.48</v>
      </c>
      <c r="N301" s="75" t="n">
        <v>251.29</v>
      </c>
      <c r="O301" s="75" t="n">
        <v>257.35</v>
      </c>
      <c r="P301" s="75" t="n">
        <v>264.05</v>
      </c>
      <c r="Q301" s="75" t="n">
        <v>272.7</v>
      </c>
      <c r="R301" s="75" t="n">
        <v>279.84</v>
      </c>
      <c r="S301" s="75" t="n">
        <v>290.65</v>
      </c>
      <c r="T301" s="75" t="n">
        <v>297.79</v>
      </c>
      <c r="U301" s="75" t="n">
        <v>304.49</v>
      </c>
      <c r="V301" s="75" t="n">
        <v>312.06</v>
      </c>
      <c r="W301" s="75" t="n">
        <v>320.28</v>
      </c>
      <c r="X301" s="76" t="n">
        <v>331.09</v>
      </c>
      <c r="Y301" s="77" t="s">
        <v>20</v>
      </c>
      <c r="Z301" s="78" t="n">
        <f aca="false">SUM(AA301:AL301)</f>
        <v>1418.16</v>
      </c>
      <c r="AA301" s="75"/>
      <c r="AB301" s="75"/>
      <c r="AC301" s="75"/>
      <c r="AD301" s="75"/>
      <c r="AE301" s="75"/>
      <c r="AF301" s="75"/>
      <c r="AG301" s="75"/>
      <c r="AH301" s="75"/>
      <c r="AI301" s="75"/>
      <c r="AJ301" s="79" t="n">
        <v>1418.16</v>
      </c>
      <c r="AK301" s="75"/>
      <c r="AL301" s="76"/>
      <c r="AM301" s="56" t="s">
        <v>20</v>
      </c>
      <c r="AN301" s="80" t="n">
        <f aca="false">IF(L301=0,0,Z301/L301)</f>
        <v>0.41441583602907</v>
      </c>
      <c r="AO301" s="81" t="str">
        <f aca="false">IF(AN301="","",IF(AN301&gt;=0.9,"🟢",IF(AN301&gt;=0.7,"🟡",IF(AN301&gt;=0.5,"🟠","🔴"))))</f>
        <v>🔴</v>
      </c>
      <c r="AP301" s="82" t="n">
        <f aca="false">IF(L301=0,0,L301-Z301)</f>
        <v>2003.91</v>
      </c>
      <c r="AQ301" s="83" t="n">
        <f aca="false">IF(AP301=0,"",RANK(AP301,AP$4:AP$503,0))</f>
        <v>270</v>
      </c>
      <c r="AR301" s="84" t="s">
        <v>20</v>
      </c>
      <c r="AS301" s="141"/>
      <c r="AT301" s="141"/>
      <c r="AU301" s="141"/>
      <c r="AV301" s="141"/>
      <c r="AW301" s="141"/>
      <c r="AX301" s="141"/>
      <c r="AY301" s="142"/>
      <c r="AZ301" s="142"/>
      <c r="BA301" s="56" t="s">
        <v>20</v>
      </c>
      <c r="BB301" s="91" t="n">
        <f aca="false">SUM(L$4:L$503)/COUNTA(A$4:A$503)</f>
        <v>9494.39992</v>
      </c>
      <c r="BC301" s="92" t="n">
        <f aca="false">SUM(M$4:M$503)/COUNTA(A$4:A$503)</f>
        <v>667.20008</v>
      </c>
      <c r="BD301" s="92" t="n">
        <f aca="false">SUM(N$4:N$503)/COUNTA(A$4:A$503)</f>
        <v>697.19996</v>
      </c>
      <c r="BE301" s="92" t="n">
        <f aca="false">SUM(O$4:O$503)/COUNTA(A$4:A$503)</f>
        <v>713.9999</v>
      </c>
      <c r="BF301" s="92" t="n">
        <f aca="false">SUM(P$4:P$503)/COUNTA(A$4:A$503)</f>
        <v>732.59984</v>
      </c>
      <c r="BG301" s="92" t="n">
        <f aca="false">SUM(Q$4:Q$503)/COUNTA(A$4:A$503)</f>
        <v>756.59992</v>
      </c>
      <c r="BH301" s="92" t="n">
        <f aca="false">SUM(R$4:R$503)/COUNTA(A$4:A$503)</f>
        <v>776.40004</v>
      </c>
      <c r="BI301" s="92" t="n">
        <f aca="false">SUM(S$4:S$503)/COUNTA(A$4:A$503)</f>
        <v>806.40012</v>
      </c>
      <c r="BJ301" s="92" t="n">
        <f aca="false">SUM(T$4:T$503)/COUNTA(A$4:A$503)</f>
        <v>826.1999</v>
      </c>
      <c r="BK301" s="92" t="n">
        <f aca="false">SUM(U$4:U$503)/COUNTA(A$4:A$503)</f>
        <v>844.8002</v>
      </c>
      <c r="BL301" s="92" t="n">
        <f aca="false">SUM(V$4:V$503)/COUNTA(A$4:A$503)</f>
        <v>865.7998</v>
      </c>
      <c r="BM301" s="92" t="n">
        <f aca="false">SUM(W$4:W$503)/COUNTA(A$4:A$503)</f>
        <v>888.59982</v>
      </c>
      <c r="BN301" s="93" t="n">
        <f aca="false">SUM(X$4:X$503)/COUNTA(A$4:A$503)</f>
        <v>918.60034</v>
      </c>
      <c r="BO301" s="94" t="s">
        <v>20</v>
      </c>
      <c r="BP301" s="91" t="n">
        <f aca="false">IF(Z301&gt;=BB301,0,IFERROR(BB301+(SUMPRODUCT((Z$4:Z$503&gt;=BB$4:BB$503)*(Z$4:Z$503-BB$4:BB$503))/MAX(1,COUNTIF(Z$4:Z$503,"&lt;"&amp;BB301+0.01))),BB301))</f>
        <v>10695.5432177778</v>
      </c>
      <c r="BQ301" s="92" t="n">
        <f aca="false">IF(AA301&gt;=BC301,0,IFERROR(BC301+SUMPRODUCT((AA$4:AA$503&gt;=BC$4:BC$503)*(AA$4:AA$503-BC$4:BC$503))/MAX(1,COUNTIF(AA$4:AA$503,"&lt;"&amp;BC301+0.01)),BC301))</f>
        <v>2238.46589176471</v>
      </c>
      <c r="BR301" s="92" t="n">
        <f aca="false">IF(AB301&gt;=BD301,0,IFERROR(BD301+SUMPRODUCT((AB$4:AB$503&gt;=BD$4:BD$503)*(AB$4:AB$503-BD$4:BD$503))/MAX(1,COUNTIF(AB$4:AB$503,"&lt;"&amp;BD301+0.01)),BD301))</f>
        <v>3335.2938</v>
      </c>
      <c r="BS301" s="92" t="n">
        <f aca="false">IF(AC301&gt;=BE301,0,IFERROR(BE301+SUMPRODUCT((AC$4:AC$503&gt;=BE$4:BE$503)*(AC$4:AC$503-BE$4:BE$503))/MAX(1,COUNTIF(AC$4:AC$503,"&lt;"&amp;BE301+0.01)),BE301))</f>
        <v>6188.73352</v>
      </c>
      <c r="BT301" s="92" t="n">
        <f aca="false">IF(AD301&gt;=BF301,0,IFERROR(BF301+SUMPRODUCT((AD$4:AD$503&gt;=BF$4:BF$503)*(AD$4:AD$503-BF$4:BF$503))/MAX(1,COUNTIF(AD$4:AD$503,"&lt;"&amp;BF301+0.01)),BF301))</f>
        <v>11354.35411</v>
      </c>
      <c r="BU301" s="92" t="n">
        <f aca="false">IF(AE301&gt;=BG301,0,IFERROR(BG301+SUMPRODUCT((AE$4:AE$503&gt;=BG$4:BG$503)*(AE$4:AE$503-BG$4:BG$503))/MAX(1,COUNTIF(AE$4:AE$503,"&lt;"&amp;BG301+0.01)),BG301))</f>
        <v>7704.85920380952</v>
      </c>
      <c r="BV301" s="92" t="n">
        <f aca="false">IF(AF301&gt;=BH301,0,IFERROR(BH301+SUMPRODUCT((AF$4:AF$503&gt;=BH$4:BH$503)*(AF$4:AF$503-BH$4:BH$503))/MAX(1,COUNTIF(AF$4:AF$503,"&lt;"&amp;BH301+0.01)),BH301))</f>
        <v>9942.6503831579</v>
      </c>
      <c r="BW301" s="92" t="n">
        <f aca="false">IF(AG301&gt;=BI301,0,IFERROR(BI301+SUMPRODUCT((AG$4:AG$503&gt;=BI$4:BI$503)*(AG$4:AG$503-BI$4:BI$503))/MAX(1,COUNTIF(AG$4:AG$503,"&lt;"&amp;BI301+0.01)),BI301))</f>
        <v>9142.15870461538</v>
      </c>
      <c r="BX301" s="92" t="n">
        <f aca="false">IF(AH301&gt;=BJ301,0,IFERROR(BJ301+SUMPRODUCT((AH$4:AH$503&gt;=BJ$4:BJ$503)*(AH$4:AH$503-BJ$4:BJ$503))/MAX(1,COUNTIF(AH$4:AH$503,"&lt;"&amp;BJ301+0.01)),BJ301))</f>
        <v>5621.50263448276</v>
      </c>
      <c r="BY301" s="92" t="n">
        <f aca="false">IF(AI301&gt;=BK301,0,IFERROR(BK301+SUMPRODUCT((AI$4:AI$503&gt;=BK$4:BK$503)*(AI$4:AI$503-BK$4:BK$503))/MAX(1,COUNTIF(AI$4:AI$503,"&lt;"&amp;BK301+0.01)),BK301))</f>
        <v>7878.25652380952</v>
      </c>
      <c r="BZ301" s="92" t="n">
        <f aca="false">IF(AJ301&gt;=BL301,0,IFERROR(BL301+SUMPRODUCT((AJ$4:AJ$503&gt;=BL$4:BL$503)*(AJ$4:AJ$503-BL$4:BL$503))/MAX(1,COUNTIF(AJ$4:AJ$503,"&lt;"&amp;BL301+0.01)),BL301))</f>
        <v>0</v>
      </c>
      <c r="CA301" s="92" t="n">
        <f aca="false">IF(AK301&gt;=BM301,0,IFERROR(BM301+SUMPRODUCT((AK$4:AK$503&gt;=BM$4:BM$503)*(AK$4:AK$503-BM$4:BM$503))/MAX(1,COUNTIF(AK$4:AK$503,"&lt;"&amp;BM301+0.01)),BM301))</f>
        <v>7314.89836842105</v>
      </c>
      <c r="CB301" s="93" t="n">
        <f aca="false">IF(AL301&gt;=BN301,0,IFERROR(BN301+SUMPRODUCT((AL$4:AL$503&gt;=BN$4:BN$503)*(AL$4:AL$503-BN$4:BN$503))/MAX(1,COUNTIF(AL$4:AL$503,"&lt;"&amp;BN301+0.01)),BN301))</f>
        <v>3597.2614925</v>
      </c>
      <c r="CC301" s="95" t="str">
        <f aca="false">IF(AO301="🟢","VERDE",IF(AO301="🟡","AMARELO",IF(AO301="🟠","VERMELHO",IF(AO301="🔴","VERMELHO","ROXO"))))</f>
        <v>VERMELHO</v>
      </c>
      <c r="CD301" s="96" t="s">
        <v>176</v>
      </c>
      <c r="CE301" s="96" t="s">
        <v>102</v>
      </c>
    </row>
    <row r="302" customFormat="false" ht="14.25" hidden="false" customHeight="true" outlineLevel="0" collapsed="false">
      <c r="A302" s="65" t="s">
        <v>740</v>
      </c>
      <c r="B302" s="66" t="s">
        <v>741</v>
      </c>
      <c r="C302" s="66" t="s">
        <v>102</v>
      </c>
      <c r="D302" s="68" t="s">
        <v>175</v>
      </c>
      <c r="E302" s="69" t="s">
        <v>139</v>
      </c>
      <c r="F302" s="70" t="n">
        <f aca="false">IFERROR(VLOOKUP(C302,$AS$3:$AT$10,2,FALSE()),IFERROR(VLOOKUP(C302,$AS$15:$AT$22,2,FALSE()),""))</f>
        <v>21</v>
      </c>
      <c r="G302" s="71" t="n">
        <f aca="false">IFERROR(VLOOKUP(C302,$AS$3:$AX$10,6,FALSE()),IFERROR(VLOOKUP(C302,$AS$15:$AX$22,6,FALSE()),""))</f>
        <v>0.491514556258592</v>
      </c>
      <c r="H302" s="72" t="str">
        <f aca="false">IFERROR(VLOOKUP(C302,$AS$3:$AY$10,7,FALSE()),IFERROR(VLOOKUP(C302,$AS$15:$AY$22,7,FALSE()),""))</f>
        <v>🟡 AMARELO</v>
      </c>
      <c r="I302" s="72" t="str">
        <f aca="false">IFERROR(VLOOKUP(C302,$AS$3:$AZ$10,8,FALSE()),IFERROR(VLOOKUP(C302,$AS$15:$AZ$22,8,FALSE()),""))</f>
        <v>Sell Out</v>
      </c>
      <c r="J302" s="73"/>
      <c r="K302" s="69" t="s">
        <v>107</v>
      </c>
      <c r="L302" s="74" t="n">
        <v>3421.61</v>
      </c>
      <c r="M302" s="75" t="n">
        <v>240.45</v>
      </c>
      <c r="N302" s="75" t="n">
        <v>251.26</v>
      </c>
      <c r="O302" s="75" t="n">
        <v>257.31</v>
      </c>
      <c r="P302" s="75" t="n">
        <v>264.02</v>
      </c>
      <c r="Q302" s="75" t="n">
        <v>272.66</v>
      </c>
      <c r="R302" s="75" t="n">
        <v>279.8</v>
      </c>
      <c r="S302" s="75" t="n">
        <v>290.61</v>
      </c>
      <c r="T302" s="75" t="n">
        <v>297.75</v>
      </c>
      <c r="U302" s="75" t="n">
        <v>304.45</v>
      </c>
      <c r="V302" s="75" t="n">
        <v>312.02</v>
      </c>
      <c r="W302" s="75" t="n">
        <v>320.23</v>
      </c>
      <c r="X302" s="76" t="n">
        <v>331.05</v>
      </c>
      <c r="Y302" s="77" t="s">
        <v>20</v>
      </c>
      <c r="Z302" s="78" t="n">
        <f aca="false">SUM(AA302:AL302)</f>
        <v>2779.44</v>
      </c>
      <c r="AA302" s="75"/>
      <c r="AB302" s="75"/>
      <c r="AC302" s="75"/>
      <c r="AD302" s="75"/>
      <c r="AE302" s="75"/>
      <c r="AF302" s="75"/>
      <c r="AG302" s="75"/>
      <c r="AH302" s="75"/>
      <c r="AI302" s="75"/>
      <c r="AJ302" s="75" t="n">
        <v>1403.44</v>
      </c>
      <c r="AK302" s="79" t="n">
        <v>1376</v>
      </c>
      <c r="AL302" s="76"/>
      <c r="AM302" s="56" t="s">
        <v>20</v>
      </c>
      <c r="AN302" s="80" t="n">
        <f aca="false">IF(L302=0,0,Z302/L302)</f>
        <v>0.812319346740277</v>
      </c>
      <c r="AO302" s="81" t="str">
        <f aca="false">IF(AN302="","",IF(AN302&gt;=0.9,"🟢",IF(AN302&gt;=0.7,"🟡",IF(AN302&gt;=0.5,"🟠","🔴"))))</f>
        <v>🟡</v>
      </c>
      <c r="AP302" s="82" t="n">
        <f aca="false">IF(L302=0,0,L302-Z302)</f>
        <v>642.17</v>
      </c>
      <c r="AQ302" s="83" t="n">
        <f aca="false">IF(AP302=0,"",RANK(AP302,AP$4:AP$503,0))</f>
        <v>437</v>
      </c>
      <c r="AR302" s="84" t="s">
        <v>20</v>
      </c>
      <c r="AS302" s="141"/>
      <c r="AT302" s="141"/>
      <c r="AU302" s="141"/>
      <c r="AV302" s="141"/>
      <c r="AW302" s="141"/>
      <c r="AX302" s="141"/>
      <c r="AY302" s="142"/>
      <c r="AZ302" s="142"/>
      <c r="BA302" s="56" t="s">
        <v>20</v>
      </c>
      <c r="BB302" s="91" t="n">
        <f aca="false">SUM(L$4:L$503)/COUNTA(A$4:A$503)</f>
        <v>9494.39992</v>
      </c>
      <c r="BC302" s="92" t="n">
        <f aca="false">SUM(M$4:M$503)/COUNTA(A$4:A$503)</f>
        <v>667.20008</v>
      </c>
      <c r="BD302" s="92" t="n">
        <f aca="false">SUM(N$4:N$503)/COUNTA(A$4:A$503)</f>
        <v>697.19996</v>
      </c>
      <c r="BE302" s="92" t="n">
        <f aca="false">SUM(O$4:O$503)/COUNTA(A$4:A$503)</f>
        <v>713.9999</v>
      </c>
      <c r="BF302" s="92" t="n">
        <f aca="false">SUM(P$4:P$503)/COUNTA(A$4:A$503)</f>
        <v>732.59984</v>
      </c>
      <c r="BG302" s="92" t="n">
        <f aca="false">SUM(Q$4:Q$503)/COUNTA(A$4:A$503)</f>
        <v>756.59992</v>
      </c>
      <c r="BH302" s="92" t="n">
        <f aca="false">SUM(R$4:R$503)/COUNTA(A$4:A$503)</f>
        <v>776.40004</v>
      </c>
      <c r="BI302" s="92" t="n">
        <f aca="false">SUM(S$4:S$503)/COUNTA(A$4:A$503)</f>
        <v>806.40012</v>
      </c>
      <c r="BJ302" s="92" t="n">
        <f aca="false">SUM(T$4:T$503)/COUNTA(A$4:A$503)</f>
        <v>826.1999</v>
      </c>
      <c r="BK302" s="92" t="n">
        <f aca="false">SUM(U$4:U$503)/COUNTA(A$4:A$503)</f>
        <v>844.8002</v>
      </c>
      <c r="BL302" s="92" t="n">
        <f aca="false">SUM(V$4:V$503)/COUNTA(A$4:A$503)</f>
        <v>865.7998</v>
      </c>
      <c r="BM302" s="92" t="n">
        <f aca="false">SUM(W$4:W$503)/COUNTA(A$4:A$503)</f>
        <v>888.59982</v>
      </c>
      <c r="BN302" s="93" t="n">
        <f aca="false">SUM(X$4:X$503)/COUNTA(A$4:A$503)</f>
        <v>918.60034</v>
      </c>
      <c r="BO302" s="94" t="s">
        <v>20</v>
      </c>
      <c r="BP302" s="91" t="n">
        <f aca="false">IF(Z302&gt;=BB302,0,IFERROR(BB302+(SUMPRODUCT((Z$4:Z$503&gt;=BB$4:BB$503)*(Z$4:Z$503-BB$4:BB$503))/MAX(1,COUNTIF(Z$4:Z$503,"&lt;"&amp;BB302+0.01))),BB302))</f>
        <v>10695.5432177778</v>
      </c>
      <c r="BQ302" s="92" t="n">
        <f aca="false">IF(AA302&gt;=BC302,0,IFERROR(BC302+SUMPRODUCT((AA$4:AA$503&gt;=BC$4:BC$503)*(AA$4:AA$503-BC$4:BC$503))/MAX(1,COUNTIF(AA$4:AA$503,"&lt;"&amp;BC302+0.01)),BC302))</f>
        <v>2238.46589176471</v>
      </c>
      <c r="BR302" s="92" t="n">
        <f aca="false">IF(AB302&gt;=BD302,0,IFERROR(BD302+SUMPRODUCT((AB$4:AB$503&gt;=BD$4:BD$503)*(AB$4:AB$503-BD$4:BD$503))/MAX(1,COUNTIF(AB$4:AB$503,"&lt;"&amp;BD302+0.01)),BD302))</f>
        <v>3335.2938</v>
      </c>
      <c r="BS302" s="92" t="n">
        <f aca="false">IF(AC302&gt;=BE302,0,IFERROR(BE302+SUMPRODUCT((AC$4:AC$503&gt;=BE$4:BE$503)*(AC$4:AC$503-BE$4:BE$503))/MAX(1,COUNTIF(AC$4:AC$503,"&lt;"&amp;BE302+0.01)),BE302))</f>
        <v>6188.73352</v>
      </c>
      <c r="BT302" s="92" t="n">
        <f aca="false">IF(AD302&gt;=BF302,0,IFERROR(BF302+SUMPRODUCT((AD$4:AD$503&gt;=BF$4:BF$503)*(AD$4:AD$503-BF$4:BF$503))/MAX(1,COUNTIF(AD$4:AD$503,"&lt;"&amp;BF302+0.01)),BF302))</f>
        <v>11354.35411</v>
      </c>
      <c r="BU302" s="92" t="n">
        <f aca="false">IF(AE302&gt;=BG302,0,IFERROR(BG302+SUMPRODUCT((AE$4:AE$503&gt;=BG$4:BG$503)*(AE$4:AE$503-BG$4:BG$503))/MAX(1,COUNTIF(AE$4:AE$503,"&lt;"&amp;BG302+0.01)),BG302))</f>
        <v>7704.85920380952</v>
      </c>
      <c r="BV302" s="92" t="n">
        <f aca="false">IF(AF302&gt;=BH302,0,IFERROR(BH302+SUMPRODUCT((AF$4:AF$503&gt;=BH$4:BH$503)*(AF$4:AF$503-BH$4:BH$503))/MAX(1,COUNTIF(AF$4:AF$503,"&lt;"&amp;BH302+0.01)),BH302))</f>
        <v>9942.6503831579</v>
      </c>
      <c r="BW302" s="92" t="n">
        <f aca="false">IF(AG302&gt;=BI302,0,IFERROR(BI302+SUMPRODUCT((AG$4:AG$503&gt;=BI$4:BI$503)*(AG$4:AG$503-BI$4:BI$503))/MAX(1,COUNTIF(AG$4:AG$503,"&lt;"&amp;BI302+0.01)),BI302))</f>
        <v>9142.15870461538</v>
      </c>
      <c r="BX302" s="92" t="n">
        <f aca="false">IF(AH302&gt;=BJ302,0,IFERROR(BJ302+SUMPRODUCT((AH$4:AH$503&gt;=BJ$4:BJ$503)*(AH$4:AH$503-BJ$4:BJ$503))/MAX(1,COUNTIF(AH$4:AH$503,"&lt;"&amp;BJ302+0.01)),BJ302))</f>
        <v>5621.50263448276</v>
      </c>
      <c r="BY302" s="92" t="n">
        <f aca="false">IF(AI302&gt;=BK302,0,IFERROR(BK302+SUMPRODUCT((AI$4:AI$503&gt;=BK$4:BK$503)*(AI$4:AI$503-BK$4:BK$503))/MAX(1,COUNTIF(AI$4:AI$503,"&lt;"&amp;BK302+0.01)),BK302))</f>
        <v>7878.25652380952</v>
      </c>
      <c r="BZ302" s="92" t="n">
        <f aca="false">IF(AJ302&gt;=BL302,0,IFERROR(BL302+SUMPRODUCT((AJ$4:AJ$503&gt;=BL$4:BL$503)*(AJ$4:AJ$503-BL$4:BL$503))/MAX(1,COUNTIF(AJ$4:AJ$503,"&lt;"&amp;BL302+0.01)),BL302))</f>
        <v>0</v>
      </c>
      <c r="CA302" s="92" t="n">
        <f aca="false">IF(AK302&gt;=BM302,0,IFERROR(BM302+SUMPRODUCT((AK$4:AK$503&gt;=BM$4:BM$503)*(AK$4:AK$503-BM$4:BM$503))/MAX(1,COUNTIF(AK$4:AK$503,"&lt;"&amp;BM302+0.01)),BM302))</f>
        <v>0</v>
      </c>
      <c r="CB302" s="93" t="n">
        <f aca="false">IF(AL302&gt;=BN302,0,IFERROR(BN302+SUMPRODUCT((AL$4:AL$503&gt;=BN$4:BN$503)*(AL$4:AL$503-BN$4:BN$503))/MAX(1,COUNTIF(AL$4:AL$503,"&lt;"&amp;BN302+0.01)),BN302))</f>
        <v>3597.2614925</v>
      </c>
      <c r="CC302" s="95" t="str">
        <f aca="false">IF(AO302="🟢","VERDE",IF(AO302="🟡","AMARELO",IF(AO302="🟠","VERMELHO",IF(AO302="🔴","VERMELHO","ROXO"))))</f>
        <v>AMARELO</v>
      </c>
      <c r="CD302" s="96" t="s">
        <v>176</v>
      </c>
      <c r="CE302" s="96" t="s">
        <v>102</v>
      </c>
    </row>
    <row r="303" customFormat="false" ht="14.25" hidden="false" customHeight="true" outlineLevel="0" collapsed="false">
      <c r="A303" s="65" t="s">
        <v>742</v>
      </c>
      <c r="B303" s="66" t="s">
        <v>743</v>
      </c>
      <c r="C303" s="67" t="s">
        <v>118</v>
      </c>
      <c r="D303" s="68" t="s">
        <v>100</v>
      </c>
      <c r="E303" s="69" t="s">
        <v>119</v>
      </c>
      <c r="F303" s="70" t="n">
        <f aca="false">IFERROR(VLOOKUP(C303,$AS$3:$AT$10,2,FALSE()),IFERROR(VLOOKUP(C303,$AS$15:$AT$22,2,FALSE()),""))</f>
        <v>42</v>
      </c>
      <c r="G303" s="71" t="n">
        <f aca="false">IFERROR(VLOOKUP(C303,$AS$3:$AX$10,6,FALSE()),IFERROR(VLOOKUP(C303,$AS$15:$AX$22,6,FALSE()),""))</f>
        <v>0.424872083346704</v>
      </c>
      <c r="H303" s="72" t="str">
        <f aca="false">IFERROR(VLOOKUP(C303,$AS$3:$AY$10,7,FALSE()),IFERROR(VLOOKUP(C303,$AS$15:$AY$22,7,FALSE()),""))</f>
        <v>🟡 AMARELO</v>
      </c>
      <c r="I303" s="72" t="str">
        <f aca="false">IFERROR(VLOOKUP(C303,$AS$3:$AZ$10,8,FALSE()),IFERROR(VLOOKUP(C303,$AS$15:$AZ$22,8,FALSE()),""))</f>
        <v>Sell Out</v>
      </c>
      <c r="J303" s="73"/>
      <c r="K303" s="69" t="s">
        <v>118</v>
      </c>
      <c r="L303" s="74" t="n">
        <v>3409.24</v>
      </c>
      <c r="M303" s="75" t="n">
        <v>239.58</v>
      </c>
      <c r="N303" s="75" t="n">
        <v>250.35</v>
      </c>
      <c r="O303" s="75" t="n">
        <v>256.38</v>
      </c>
      <c r="P303" s="75" t="n">
        <v>263.06</v>
      </c>
      <c r="Q303" s="75" t="n">
        <v>271.68</v>
      </c>
      <c r="R303" s="75" t="n">
        <v>278.79</v>
      </c>
      <c r="S303" s="75" t="n">
        <v>289.56</v>
      </c>
      <c r="T303" s="75" t="n">
        <v>296.67</v>
      </c>
      <c r="U303" s="75" t="n">
        <v>303.35</v>
      </c>
      <c r="V303" s="75" t="n">
        <v>310.89</v>
      </c>
      <c r="W303" s="75" t="n">
        <v>319.08</v>
      </c>
      <c r="X303" s="76" t="n">
        <v>329.85</v>
      </c>
      <c r="Y303" s="77" t="s">
        <v>20</v>
      </c>
      <c r="Z303" s="78" t="n">
        <f aca="false">SUM(AA303:AL303)</f>
        <v>1371.04</v>
      </c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107" t="n">
        <v>1371.04</v>
      </c>
      <c r="AM303" s="56" t="s">
        <v>20</v>
      </c>
      <c r="AN303" s="80" t="n">
        <f aca="false">IF(L303=0,0,Z303/L303)</f>
        <v>0.402154145792024</v>
      </c>
      <c r="AO303" s="81" t="str">
        <f aca="false">IF(AN303="","",IF(AN303&gt;=0.9,"🟢",IF(AN303&gt;=0.7,"🟡",IF(AN303&gt;=0.5,"🟠","🔴"))))</f>
        <v>🔴</v>
      </c>
      <c r="AP303" s="82" t="n">
        <f aca="false">IF(L303=0,0,L303-Z303)</f>
        <v>2038.2</v>
      </c>
      <c r="AQ303" s="83" t="n">
        <f aca="false">IF(AP303=0,"",RANK(AP303,AP$4:AP$503,0))</f>
        <v>269</v>
      </c>
      <c r="AR303" s="84" t="s">
        <v>20</v>
      </c>
      <c r="AS303" s="141"/>
      <c r="AT303" s="141"/>
      <c r="AU303" s="141"/>
      <c r="AV303" s="141"/>
      <c r="AW303" s="141"/>
      <c r="AX303" s="141"/>
      <c r="AY303" s="142"/>
      <c r="AZ303" s="142"/>
      <c r="BA303" s="56" t="s">
        <v>20</v>
      </c>
      <c r="BB303" s="91" t="n">
        <f aca="false">SUM(L$4:L$503)/COUNTA(A$4:A$503)</f>
        <v>9494.39992</v>
      </c>
      <c r="BC303" s="92" t="n">
        <f aca="false">SUM(M$4:M$503)/COUNTA(A$4:A$503)</f>
        <v>667.20008</v>
      </c>
      <c r="BD303" s="92" t="n">
        <f aca="false">SUM(N$4:N$503)/COUNTA(A$4:A$503)</f>
        <v>697.19996</v>
      </c>
      <c r="BE303" s="92" t="n">
        <f aca="false">SUM(O$4:O$503)/COUNTA(A$4:A$503)</f>
        <v>713.9999</v>
      </c>
      <c r="BF303" s="92" t="n">
        <f aca="false">SUM(P$4:P$503)/COUNTA(A$4:A$503)</f>
        <v>732.59984</v>
      </c>
      <c r="BG303" s="92" t="n">
        <f aca="false">SUM(Q$4:Q$503)/COUNTA(A$4:A$503)</f>
        <v>756.59992</v>
      </c>
      <c r="BH303" s="92" t="n">
        <f aca="false">SUM(R$4:R$503)/COUNTA(A$4:A$503)</f>
        <v>776.40004</v>
      </c>
      <c r="BI303" s="92" t="n">
        <f aca="false">SUM(S$4:S$503)/COUNTA(A$4:A$503)</f>
        <v>806.40012</v>
      </c>
      <c r="BJ303" s="92" t="n">
        <f aca="false">SUM(T$4:T$503)/COUNTA(A$4:A$503)</f>
        <v>826.1999</v>
      </c>
      <c r="BK303" s="92" t="n">
        <f aca="false">SUM(U$4:U$503)/COUNTA(A$4:A$503)</f>
        <v>844.8002</v>
      </c>
      <c r="BL303" s="92" t="n">
        <f aca="false">SUM(V$4:V$503)/COUNTA(A$4:A$503)</f>
        <v>865.7998</v>
      </c>
      <c r="BM303" s="92" t="n">
        <f aca="false">SUM(W$4:W$503)/COUNTA(A$4:A$503)</f>
        <v>888.59982</v>
      </c>
      <c r="BN303" s="93" t="n">
        <f aca="false">SUM(X$4:X$503)/COUNTA(A$4:A$503)</f>
        <v>918.60034</v>
      </c>
      <c r="BO303" s="94" t="s">
        <v>20</v>
      </c>
      <c r="BP303" s="91" t="n">
        <f aca="false">IF(Z303&gt;=BB303,0,IFERROR(BB303+(SUMPRODUCT((Z$4:Z$503&gt;=BB$4:BB$503)*(Z$4:Z$503-BB$4:BB$503))/MAX(1,COUNTIF(Z$4:Z$503,"&lt;"&amp;BB303+0.01))),BB303))</f>
        <v>10695.5432177778</v>
      </c>
      <c r="BQ303" s="92" t="n">
        <f aca="false">IF(AA303&gt;=BC303,0,IFERROR(BC303+SUMPRODUCT((AA$4:AA$503&gt;=BC$4:BC$503)*(AA$4:AA$503-BC$4:BC$503))/MAX(1,COUNTIF(AA$4:AA$503,"&lt;"&amp;BC303+0.01)),BC303))</f>
        <v>2238.46589176471</v>
      </c>
      <c r="BR303" s="92" t="n">
        <f aca="false">IF(AB303&gt;=BD303,0,IFERROR(BD303+SUMPRODUCT((AB$4:AB$503&gt;=BD$4:BD$503)*(AB$4:AB$503-BD$4:BD$503))/MAX(1,COUNTIF(AB$4:AB$503,"&lt;"&amp;BD303+0.01)),BD303))</f>
        <v>3335.2938</v>
      </c>
      <c r="BS303" s="92" t="n">
        <f aca="false">IF(AC303&gt;=BE303,0,IFERROR(BE303+SUMPRODUCT((AC$4:AC$503&gt;=BE$4:BE$503)*(AC$4:AC$503-BE$4:BE$503))/MAX(1,COUNTIF(AC$4:AC$503,"&lt;"&amp;BE303+0.01)),BE303))</f>
        <v>6188.73352</v>
      </c>
      <c r="BT303" s="92" t="n">
        <f aca="false">IF(AD303&gt;=BF303,0,IFERROR(BF303+SUMPRODUCT((AD$4:AD$503&gt;=BF$4:BF$503)*(AD$4:AD$503-BF$4:BF$503))/MAX(1,COUNTIF(AD$4:AD$503,"&lt;"&amp;BF303+0.01)),BF303))</f>
        <v>11354.35411</v>
      </c>
      <c r="BU303" s="92" t="n">
        <f aca="false">IF(AE303&gt;=BG303,0,IFERROR(BG303+SUMPRODUCT((AE$4:AE$503&gt;=BG$4:BG$503)*(AE$4:AE$503-BG$4:BG$503))/MAX(1,COUNTIF(AE$4:AE$503,"&lt;"&amp;BG303+0.01)),BG303))</f>
        <v>7704.85920380952</v>
      </c>
      <c r="BV303" s="92" t="n">
        <f aca="false">IF(AF303&gt;=BH303,0,IFERROR(BH303+SUMPRODUCT((AF$4:AF$503&gt;=BH$4:BH$503)*(AF$4:AF$503-BH$4:BH$503))/MAX(1,COUNTIF(AF$4:AF$503,"&lt;"&amp;BH303+0.01)),BH303))</f>
        <v>9942.6503831579</v>
      </c>
      <c r="BW303" s="92" t="n">
        <f aca="false">IF(AG303&gt;=BI303,0,IFERROR(BI303+SUMPRODUCT((AG$4:AG$503&gt;=BI$4:BI$503)*(AG$4:AG$503-BI$4:BI$503))/MAX(1,COUNTIF(AG$4:AG$503,"&lt;"&amp;BI303+0.01)),BI303))</f>
        <v>9142.15870461538</v>
      </c>
      <c r="BX303" s="92" t="n">
        <f aca="false">IF(AH303&gt;=BJ303,0,IFERROR(BJ303+SUMPRODUCT((AH$4:AH$503&gt;=BJ$4:BJ$503)*(AH$4:AH$503-BJ$4:BJ$503))/MAX(1,COUNTIF(AH$4:AH$503,"&lt;"&amp;BJ303+0.01)),BJ303))</f>
        <v>5621.50263448276</v>
      </c>
      <c r="BY303" s="92" t="n">
        <f aca="false">IF(AI303&gt;=BK303,0,IFERROR(BK303+SUMPRODUCT((AI$4:AI$503&gt;=BK$4:BK$503)*(AI$4:AI$503-BK$4:BK$503))/MAX(1,COUNTIF(AI$4:AI$503,"&lt;"&amp;BK303+0.01)),BK303))</f>
        <v>7878.25652380952</v>
      </c>
      <c r="BZ303" s="92" t="n">
        <f aca="false">IF(AJ303&gt;=BL303,0,IFERROR(BL303+SUMPRODUCT((AJ$4:AJ$503&gt;=BL$4:BL$503)*(AJ$4:AJ$503-BL$4:BL$503))/MAX(1,COUNTIF(AJ$4:AJ$503,"&lt;"&amp;BL303+0.01)),BL303))</f>
        <v>6710.03292307692</v>
      </c>
      <c r="CA303" s="92" t="n">
        <f aca="false">IF(AK303&gt;=BM303,0,IFERROR(BM303+SUMPRODUCT((AK$4:AK$503&gt;=BM$4:BM$503)*(AK$4:AK$503-BM$4:BM$503))/MAX(1,COUNTIF(AK$4:AK$503,"&lt;"&amp;BM303+0.01)),BM303))</f>
        <v>7314.89836842105</v>
      </c>
      <c r="CB303" s="93" t="n">
        <f aca="false">IF(AL303&gt;=BN303,0,IFERROR(BN303+SUMPRODUCT((AL$4:AL$503&gt;=BN$4:BN$503)*(AL$4:AL$503-BN$4:BN$503))/MAX(1,COUNTIF(AL$4:AL$503,"&lt;"&amp;BN303+0.01)),BN303))</f>
        <v>0</v>
      </c>
      <c r="CC303" s="95" t="str">
        <f aca="false">IF(AO303="🟢","VERDE",IF(AO303="🟡","AMARELO",IF(AO303="🟠","VERMELHO",IF(AO303="🔴","VERMELHO","ROXO"))))</f>
        <v>VERMELHO</v>
      </c>
      <c r="CD303" s="96" t="s">
        <v>103</v>
      </c>
      <c r="CE303" s="96" t="s">
        <v>104</v>
      </c>
    </row>
    <row r="304" customFormat="false" ht="14.25" hidden="false" customHeight="true" outlineLevel="0" collapsed="false">
      <c r="A304" s="65" t="s">
        <v>744</v>
      </c>
      <c r="B304" s="66" t="s">
        <v>745</v>
      </c>
      <c r="C304" s="67" t="s">
        <v>107</v>
      </c>
      <c r="D304" s="68" t="s">
        <v>108</v>
      </c>
      <c r="E304" s="69" t="s">
        <v>109</v>
      </c>
      <c r="F304" s="70" t="n">
        <f aca="false">IFERROR(VLOOKUP(C304,$AS$3:$AT$10,2,FALSE()),IFERROR(VLOOKUP(C304,$AS$15:$AT$22,2,FALSE()),""))</f>
        <v>132</v>
      </c>
      <c r="G304" s="71" t="n">
        <f aca="false">IFERROR(VLOOKUP(C304,$AS$3:$AX$10,6,FALSE()),IFERROR(VLOOKUP(C304,$AS$15:$AX$22,6,FALSE()),""))</f>
        <v>0.468190175850689</v>
      </c>
      <c r="H304" s="72" t="str">
        <f aca="false">IFERROR(VLOOKUP(C304,$AS$3:$AY$10,7,FALSE()),IFERROR(VLOOKUP(C304,$AS$15:$AY$22,7,FALSE()),""))</f>
        <v>🟡 AMARELO</v>
      </c>
      <c r="I304" s="72" t="str">
        <f aca="false">IFERROR(VLOOKUP(C304,$AS$3:$AZ$10,8,FALSE()),IFERROR(VLOOKUP(C304,$AS$15:$AZ$22,8,FALSE()),""))</f>
        <v>Sell Out</v>
      </c>
      <c r="J304" s="73"/>
      <c r="K304" s="69" t="s">
        <v>107</v>
      </c>
      <c r="L304" s="74" t="n">
        <v>3409.15</v>
      </c>
      <c r="M304" s="75" t="n">
        <v>239.57</v>
      </c>
      <c r="N304" s="75" t="n">
        <v>250.34</v>
      </c>
      <c r="O304" s="75" t="n">
        <v>256.38</v>
      </c>
      <c r="P304" s="75" t="n">
        <v>263.06</v>
      </c>
      <c r="Q304" s="75" t="n">
        <v>271.67</v>
      </c>
      <c r="R304" s="75" t="n">
        <v>278.78</v>
      </c>
      <c r="S304" s="75" t="n">
        <v>289.56</v>
      </c>
      <c r="T304" s="75" t="n">
        <v>296.66</v>
      </c>
      <c r="U304" s="75" t="n">
        <v>303.34</v>
      </c>
      <c r="V304" s="75" t="n">
        <v>310.88</v>
      </c>
      <c r="W304" s="75" t="n">
        <v>319.07</v>
      </c>
      <c r="X304" s="76" t="n">
        <v>329.84</v>
      </c>
      <c r="Y304" s="77" t="s">
        <v>20</v>
      </c>
      <c r="Z304" s="78" t="n">
        <f aca="false">SUM(AA304:AL304)</f>
        <v>1370.93</v>
      </c>
      <c r="AA304" s="75"/>
      <c r="AB304" s="75"/>
      <c r="AC304" s="75"/>
      <c r="AD304" s="75"/>
      <c r="AE304" s="75"/>
      <c r="AF304" s="75"/>
      <c r="AG304" s="75"/>
      <c r="AH304" s="79" t="n">
        <v>689.46</v>
      </c>
      <c r="AI304" s="79" t="n">
        <v>681.47</v>
      </c>
      <c r="AJ304" s="75"/>
      <c r="AK304" s="75"/>
      <c r="AL304" s="76"/>
      <c r="AM304" s="56" t="s">
        <v>20</v>
      </c>
      <c r="AN304" s="80" t="n">
        <f aca="false">IF(L304=0,0,Z304/L304)</f>
        <v>0.402132496370063</v>
      </c>
      <c r="AO304" s="81" t="str">
        <f aca="false">IF(AN304="","",IF(AN304&gt;=0.9,"🟢",IF(AN304&gt;=0.7,"🟡",IF(AN304&gt;=0.5,"🟠","🔴"))))</f>
        <v>🔴</v>
      </c>
      <c r="AP304" s="82" t="n">
        <f aca="false">IF(L304=0,0,L304-Z304)</f>
        <v>2038.22</v>
      </c>
      <c r="AQ304" s="83" t="n">
        <f aca="false">IF(AP304=0,"",RANK(AP304,AP$4:AP$503,0))</f>
        <v>268</v>
      </c>
      <c r="AR304" s="84" t="s">
        <v>20</v>
      </c>
      <c r="AS304" s="141"/>
      <c r="AT304" s="141"/>
      <c r="AU304" s="141"/>
      <c r="AV304" s="141"/>
      <c r="AW304" s="141"/>
      <c r="AX304" s="141"/>
      <c r="AY304" s="142"/>
      <c r="AZ304" s="142"/>
      <c r="BA304" s="56" t="s">
        <v>20</v>
      </c>
      <c r="BB304" s="91" t="n">
        <f aca="false">SUM(L$4:L$503)/COUNTA(A$4:A$503)</f>
        <v>9494.39992</v>
      </c>
      <c r="BC304" s="92" t="n">
        <f aca="false">SUM(M$4:M$503)/COUNTA(A$4:A$503)</f>
        <v>667.20008</v>
      </c>
      <c r="BD304" s="92" t="n">
        <f aca="false">SUM(N$4:N$503)/COUNTA(A$4:A$503)</f>
        <v>697.19996</v>
      </c>
      <c r="BE304" s="92" t="n">
        <f aca="false">SUM(O$4:O$503)/COUNTA(A$4:A$503)</f>
        <v>713.9999</v>
      </c>
      <c r="BF304" s="92" t="n">
        <f aca="false">SUM(P$4:P$503)/COUNTA(A$4:A$503)</f>
        <v>732.59984</v>
      </c>
      <c r="BG304" s="92" t="n">
        <f aca="false">SUM(Q$4:Q$503)/COUNTA(A$4:A$503)</f>
        <v>756.59992</v>
      </c>
      <c r="BH304" s="92" t="n">
        <f aca="false">SUM(R$4:R$503)/COUNTA(A$4:A$503)</f>
        <v>776.40004</v>
      </c>
      <c r="BI304" s="92" t="n">
        <f aca="false">SUM(S$4:S$503)/COUNTA(A$4:A$503)</f>
        <v>806.40012</v>
      </c>
      <c r="BJ304" s="92" t="n">
        <f aca="false">SUM(T$4:T$503)/COUNTA(A$4:A$503)</f>
        <v>826.1999</v>
      </c>
      <c r="BK304" s="92" t="n">
        <f aca="false">SUM(U$4:U$503)/COUNTA(A$4:A$503)</f>
        <v>844.8002</v>
      </c>
      <c r="BL304" s="92" t="n">
        <f aca="false">SUM(V$4:V$503)/COUNTA(A$4:A$503)</f>
        <v>865.7998</v>
      </c>
      <c r="BM304" s="92" t="n">
        <f aca="false">SUM(W$4:W$503)/COUNTA(A$4:A$503)</f>
        <v>888.59982</v>
      </c>
      <c r="BN304" s="93" t="n">
        <f aca="false">SUM(X$4:X$503)/COUNTA(A$4:A$503)</f>
        <v>918.60034</v>
      </c>
      <c r="BO304" s="94" t="s">
        <v>20</v>
      </c>
      <c r="BP304" s="91" t="n">
        <f aca="false">IF(Z304&gt;=BB304,0,IFERROR(BB304+(SUMPRODUCT((Z$4:Z$503&gt;=BB$4:BB$503)*(Z$4:Z$503-BB$4:BB$503))/MAX(1,COUNTIF(Z$4:Z$503,"&lt;"&amp;BB304+0.01))),BB304))</f>
        <v>10695.5432177778</v>
      </c>
      <c r="BQ304" s="92" t="n">
        <f aca="false">IF(AA304&gt;=BC304,0,IFERROR(BC304+SUMPRODUCT((AA$4:AA$503&gt;=BC$4:BC$503)*(AA$4:AA$503-BC$4:BC$503))/MAX(1,COUNTIF(AA$4:AA$503,"&lt;"&amp;BC304+0.01)),BC304))</f>
        <v>2238.46589176471</v>
      </c>
      <c r="BR304" s="92" t="n">
        <f aca="false">IF(AB304&gt;=BD304,0,IFERROR(BD304+SUMPRODUCT((AB$4:AB$503&gt;=BD$4:BD$503)*(AB$4:AB$503-BD$4:BD$503))/MAX(1,COUNTIF(AB$4:AB$503,"&lt;"&amp;BD304+0.01)),BD304))</f>
        <v>3335.2938</v>
      </c>
      <c r="BS304" s="92" t="n">
        <f aca="false">IF(AC304&gt;=BE304,0,IFERROR(BE304+SUMPRODUCT((AC$4:AC$503&gt;=BE$4:BE$503)*(AC$4:AC$503-BE$4:BE$503))/MAX(1,COUNTIF(AC$4:AC$503,"&lt;"&amp;BE304+0.01)),BE304))</f>
        <v>6188.73352</v>
      </c>
      <c r="BT304" s="92" t="n">
        <f aca="false">IF(AD304&gt;=BF304,0,IFERROR(BF304+SUMPRODUCT((AD$4:AD$503&gt;=BF$4:BF$503)*(AD$4:AD$503-BF$4:BF$503))/MAX(1,COUNTIF(AD$4:AD$503,"&lt;"&amp;BF304+0.01)),BF304))</f>
        <v>11354.35411</v>
      </c>
      <c r="BU304" s="92" t="n">
        <f aca="false">IF(AE304&gt;=BG304,0,IFERROR(BG304+SUMPRODUCT((AE$4:AE$503&gt;=BG$4:BG$503)*(AE$4:AE$503-BG$4:BG$503))/MAX(1,COUNTIF(AE$4:AE$503,"&lt;"&amp;BG304+0.01)),BG304))</f>
        <v>7704.85920380952</v>
      </c>
      <c r="BV304" s="92" t="n">
        <f aca="false">IF(AF304&gt;=BH304,0,IFERROR(BH304+SUMPRODUCT((AF$4:AF$503&gt;=BH$4:BH$503)*(AF$4:AF$503-BH$4:BH$503))/MAX(1,COUNTIF(AF$4:AF$503,"&lt;"&amp;BH304+0.01)),BH304))</f>
        <v>9942.6503831579</v>
      </c>
      <c r="BW304" s="92" t="n">
        <f aca="false">IF(AG304&gt;=BI304,0,IFERROR(BI304+SUMPRODUCT((AG$4:AG$503&gt;=BI$4:BI$503)*(AG$4:AG$503-BI$4:BI$503))/MAX(1,COUNTIF(AG$4:AG$503,"&lt;"&amp;BI304+0.01)),BI304))</f>
        <v>9142.15870461538</v>
      </c>
      <c r="BX304" s="92" t="n">
        <f aca="false">IF(AH304&gt;=BJ304,0,IFERROR(BJ304+SUMPRODUCT((AH$4:AH$503&gt;=BJ$4:BJ$503)*(AH$4:AH$503-BJ$4:BJ$503))/MAX(1,COUNTIF(AH$4:AH$503,"&lt;"&amp;BJ304+0.01)),BJ304))</f>
        <v>5621.50263448276</v>
      </c>
      <c r="BY304" s="92" t="n">
        <f aca="false">IF(AI304&gt;=BK304,0,IFERROR(BK304+SUMPRODUCT((AI$4:AI$503&gt;=BK$4:BK$503)*(AI$4:AI$503-BK$4:BK$503))/MAX(1,COUNTIF(AI$4:AI$503,"&lt;"&amp;BK304+0.01)),BK304))</f>
        <v>7878.25652380952</v>
      </c>
      <c r="BZ304" s="92" t="n">
        <f aca="false">IF(AJ304&gt;=BL304,0,IFERROR(BL304+SUMPRODUCT((AJ$4:AJ$503&gt;=BL$4:BL$503)*(AJ$4:AJ$503-BL$4:BL$503))/MAX(1,COUNTIF(AJ$4:AJ$503,"&lt;"&amp;BL304+0.01)),BL304))</f>
        <v>6710.03292307692</v>
      </c>
      <c r="CA304" s="92" t="n">
        <f aca="false">IF(AK304&gt;=BM304,0,IFERROR(BM304+SUMPRODUCT((AK$4:AK$503&gt;=BM$4:BM$503)*(AK$4:AK$503-BM$4:BM$503))/MAX(1,COUNTIF(AK$4:AK$503,"&lt;"&amp;BM304+0.01)),BM304))</f>
        <v>7314.89836842105</v>
      </c>
      <c r="CB304" s="93" t="n">
        <f aca="false">IF(AL304&gt;=BN304,0,IFERROR(BN304+SUMPRODUCT((AL$4:AL$503&gt;=BN$4:BN$503)*(AL$4:AL$503-BN$4:BN$503))/MAX(1,COUNTIF(AL$4:AL$503,"&lt;"&amp;BN304+0.01)),BN304))</f>
        <v>3597.2614925</v>
      </c>
      <c r="CC304" s="95" t="str">
        <f aca="false">IF(AO304="🟢","VERDE",IF(AO304="🟡","AMARELO",IF(AO304="🟠","VERMELHO",IF(AO304="🔴","VERMELHO","ROXO"))))</f>
        <v>VERMELHO</v>
      </c>
      <c r="CD304" s="96" t="s">
        <v>103</v>
      </c>
      <c r="CE304" s="96" t="s">
        <v>104</v>
      </c>
    </row>
    <row r="305" customFormat="false" ht="14.25" hidden="false" customHeight="true" outlineLevel="0" collapsed="false">
      <c r="A305" s="65" t="s">
        <v>746</v>
      </c>
      <c r="B305" s="66" t="s">
        <v>747</v>
      </c>
      <c r="C305" s="66" t="s">
        <v>66</v>
      </c>
      <c r="D305" s="68" t="s">
        <v>175</v>
      </c>
      <c r="E305" s="69" t="s">
        <v>139</v>
      </c>
      <c r="F305" s="70" t="n">
        <f aca="false">IFERROR(VLOOKUP(C305,$AS$3:$AT$10,2,FALSE()),IFERROR(VLOOKUP(C305,$AS$15:$AT$22,2,FALSE()),""))</f>
        <v>44</v>
      </c>
      <c r="G305" s="71" t="n">
        <f aca="false">IFERROR(VLOOKUP(C305,$AS$3:$AX$10,6,FALSE()),IFERROR(VLOOKUP(C305,$AS$15:$AX$22,6,FALSE()),""))</f>
        <v>0.496839506257363</v>
      </c>
      <c r="H305" s="72" t="str">
        <f aca="false">IFERROR(VLOOKUP(C305,$AS$3:$AY$10,7,FALSE()),IFERROR(VLOOKUP(C305,$AS$15:$AY$22,7,FALSE()),""))</f>
        <v>🟡 AMARELO</v>
      </c>
      <c r="I305" s="72" t="str">
        <f aca="false">IFERROR(VLOOKUP(C305,$AS$3:$AZ$10,8,FALSE()),IFERROR(VLOOKUP(C305,$AS$15:$AZ$22,8,FALSE()),""))</f>
        <v>Sell Out</v>
      </c>
      <c r="J305" s="73"/>
      <c r="K305" s="69" t="s">
        <v>107</v>
      </c>
      <c r="L305" s="74" t="n">
        <v>3380.93</v>
      </c>
      <c r="M305" s="75" t="n">
        <v>237.59</v>
      </c>
      <c r="N305" s="75" t="n">
        <v>248.27</v>
      </c>
      <c r="O305" s="75" t="n">
        <v>254.25</v>
      </c>
      <c r="P305" s="75" t="n">
        <v>260.88</v>
      </c>
      <c r="Q305" s="75" t="n">
        <v>269.42</v>
      </c>
      <c r="R305" s="75" t="n">
        <v>276.47</v>
      </c>
      <c r="S305" s="75" t="n">
        <v>287.16</v>
      </c>
      <c r="T305" s="75" t="n">
        <v>294.21</v>
      </c>
      <c r="U305" s="75" t="n">
        <v>300.83</v>
      </c>
      <c r="V305" s="75" t="n">
        <v>308.31</v>
      </c>
      <c r="W305" s="75" t="n">
        <v>316.43</v>
      </c>
      <c r="X305" s="76" t="n">
        <v>327.11</v>
      </c>
      <c r="Y305" s="77" t="s">
        <v>20</v>
      </c>
      <c r="Z305" s="78" t="n">
        <f aca="false">SUM(AA305:AL305)</f>
        <v>2739.81</v>
      </c>
      <c r="AA305" s="75"/>
      <c r="AB305" s="75"/>
      <c r="AC305" s="75"/>
      <c r="AD305" s="75"/>
      <c r="AE305" s="75"/>
      <c r="AF305" s="75" t="n">
        <v>1380.17</v>
      </c>
      <c r="AG305" s="79" t="n">
        <v>1359.64</v>
      </c>
      <c r="AH305" s="75"/>
      <c r="AI305" s="75"/>
      <c r="AJ305" s="75"/>
      <c r="AK305" s="75"/>
      <c r="AL305" s="76"/>
      <c r="AM305" s="56" t="s">
        <v>20</v>
      </c>
      <c r="AN305" s="80" t="n">
        <f aca="false">IF(L305=0,0,Z305/L305)</f>
        <v>0.810371702460566</v>
      </c>
      <c r="AO305" s="81" t="str">
        <f aca="false">IF(AN305="","",IF(AN305&gt;=0.9,"🟢",IF(AN305&gt;=0.7,"🟡",IF(AN305&gt;=0.5,"🟠","🔴"))))</f>
        <v>🟡</v>
      </c>
      <c r="AP305" s="82" t="n">
        <f aca="false">IF(L305=0,0,L305-Z305)</f>
        <v>641.119999999999</v>
      </c>
      <c r="AQ305" s="83" t="n">
        <f aca="false">IF(AP305=0,"",RANK(AP305,AP$4:AP$503,0))</f>
        <v>438</v>
      </c>
      <c r="AR305" s="84" t="s">
        <v>20</v>
      </c>
      <c r="AS305" s="141"/>
      <c r="AT305" s="141"/>
      <c r="AU305" s="141"/>
      <c r="AV305" s="141"/>
      <c r="AW305" s="141"/>
      <c r="AX305" s="141"/>
      <c r="AY305" s="142"/>
      <c r="AZ305" s="142"/>
      <c r="BA305" s="56" t="s">
        <v>20</v>
      </c>
      <c r="BB305" s="91" t="n">
        <f aca="false">SUM(L$4:L$503)/COUNTA(A$4:A$503)</f>
        <v>9494.39992</v>
      </c>
      <c r="BC305" s="92" t="n">
        <f aca="false">SUM(M$4:M$503)/COUNTA(A$4:A$503)</f>
        <v>667.20008</v>
      </c>
      <c r="BD305" s="92" t="n">
        <f aca="false">SUM(N$4:N$503)/COUNTA(A$4:A$503)</f>
        <v>697.19996</v>
      </c>
      <c r="BE305" s="92" t="n">
        <f aca="false">SUM(O$4:O$503)/COUNTA(A$4:A$503)</f>
        <v>713.9999</v>
      </c>
      <c r="BF305" s="92" t="n">
        <f aca="false">SUM(P$4:P$503)/COUNTA(A$4:A$503)</f>
        <v>732.59984</v>
      </c>
      <c r="BG305" s="92" t="n">
        <f aca="false">SUM(Q$4:Q$503)/COUNTA(A$4:A$503)</f>
        <v>756.59992</v>
      </c>
      <c r="BH305" s="92" t="n">
        <f aca="false">SUM(R$4:R$503)/COUNTA(A$4:A$503)</f>
        <v>776.40004</v>
      </c>
      <c r="BI305" s="92" t="n">
        <f aca="false">SUM(S$4:S$503)/COUNTA(A$4:A$503)</f>
        <v>806.40012</v>
      </c>
      <c r="BJ305" s="92" t="n">
        <f aca="false">SUM(T$4:T$503)/COUNTA(A$4:A$503)</f>
        <v>826.1999</v>
      </c>
      <c r="BK305" s="92" t="n">
        <f aca="false">SUM(U$4:U$503)/COUNTA(A$4:A$503)</f>
        <v>844.8002</v>
      </c>
      <c r="BL305" s="92" t="n">
        <f aca="false">SUM(V$4:V$503)/COUNTA(A$4:A$503)</f>
        <v>865.7998</v>
      </c>
      <c r="BM305" s="92" t="n">
        <f aca="false">SUM(W$4:W$503)/COUNTA(A$4:A$503)</f>
        <v>888.59982</v>
      </c>
      <c r="BN305" s="93" t="n">
        <f aca="false">SUM(X$4:X$503)/COUNTA(A$4:A$503)</f>
        <v>918.60034</v>
      </c>
      <c r="BO305" s="94" t="s">
        <v>20</v>
      </c>
      <c r="BP305" s="91" t="n">
        <f aca="false">IF(Z305&gt;=BB305,0,IFERROR(BB305+(SUMPRODUCT((Z$4:Z$503&gt;=BB$4:BB$503)*(Z$4:Z$503-BB$4:BB$503))/MAX(1,COUNTIF(Z$4:Z$503,"&lt;"&amp;BB305+0.01))),BB305))</f>
        <v>10695.5432177778</v>
      </c>
      <c r="BQ305" s="92" t="n">
        <f aca="false">IF(AA305&gt;=BC305,0,IFERROR(BC305+SUMPRODUCT((AA$4:AA$503&gt;=BC$4:BC$503)*(AA$4:AA$503-BC$4:BC$503))/MAX(1,COUNTIF(AA$4:AA$503,"&lt;"&amp;BC305+0.01)),BC305))</f>
        <v>2238.46589176471</v>
      </c>
      <c r="BR305" s="92" t="n">
        <f aca="false">IF(AB305&gt;=BD305,0,IFERROR(BD305+SUMPRODUCT((AB$4:AB$503&gt;=BD$4:BD$503)*(AB$4:AB$503-BD$4:BD$503))/MAX(1,COUNTIF(AB$4:AB$503,"&lt;"&amp;BD305+0.01)),BD305))</f>
        <v>3335.2938</v>
      </c>
      <c r="BS305" s="92" t="n">
        <f aca="false">IF(AC305&gt;=BE305,0,IFERROR(BE305+SUMPRODUCT((AC$4:AC$503&gt;=BE$4:BE$503)*(AC$4:AC$503-BE$4:BE$503))/MAX(1,COUNTIF(AC$4:AC$503,"&lt;"&amp;BE305+0.01)),BE305))</f>
        <v>6188.73352</v>
      </c>
      <c r="BT305" s="92" t="n">
        <f aca="false">IF(AD305&gt;=BF305,0,IFERROR(BF305+SUMPRODUCT((AD$4:AD$503&gt;=BF$4:BF$503)*(AD$4:AD$503-BF$4:BF$503))/MAX(1,COUNTIF(AD$4:AD$503,"&lt;"&amp;BF305+0.01)),BF305))</f>
        <v>11354.35411</v>
      </c>
      <c r="BU305" s="92" t="n">
        <f aca="false">IF(AE305&gt;=BG305,0,IFERROR(BG305+SUMPRODUCT((AE$4:AE$503&gt;=BG$4:BG$503)*(AE$4:AE$503-BG$4:BG$503))/MAX(1,COUNTIF(AE$4:AE$503,"&lt;"&amp;BG305+0.01)),BG305))</f>
        <v>7704.85920380952</v>
      </c>
      <c r="BV305" s="92" t="n">
        <f aca="false">IF(AF305&gt;=BH305,0,IFERROR(BH305+SUMPRODUCT((AF$4:AF$503&gt;=BH$4:BH$503)*(AF$4:AF$503-BH$4:BH$503))/MAX(1,COUNTIF(AF$4:AF$503,"&lt;"&amp;BH305+0.01)),BH305))</f>
        <v>0</v>
      </c>
      <c r="BW305" s="92" t="n">
        <f aca="false">IF(AG305&gt;=BI305,0,IFERROR(BI305+SUMPRODUCT((AG$4:AG$503&gt;=BI$4:BI$503)*(AG$4:AG$503-BI$4:BI$503))/MAX(1,COUNTIF(AG$4:AG$503,"&lt;"&amp;BI305+0.01)),BI305))</f>
        <v>0</v>
      </c>
      <c r="BX305" s="92" t="n">
        <f aca="false">IF(AH305&gt;=BJ305,0,IFERROR(BJ305+SUMPRODUCT((AH$4:AH$503&gt;=BJ$4:BJ$503)*(AH$4:AH$503-BJ$4:BJ$503))/MAX(1,COUNTIF(AH$4:AH$503,"&lt;"&amp;BJ305+0.01)),BJ305))</f>
        <v>5621.50263448276</v>
      </c>
      <c r="BY305" s="92" t="n">
        <f aca="false">IF(AI305&gt;=BK305,0,IFERROR(BK305+SUMPRODUCT((AI$4:AI$503&gt;=BK$4:BK$503)*(AI$4:AI$503-BK$4:BK$503))/MAX(1,COUNTIF(AI$4:AI$503,"&lt;"&amp;BK305+0.01)),BK305))</f>
        <v>7878.25652380952</v>
      </c>
      <c r="BZ305" s="92" t="n">
        <f aca="false">IF(AJ305&gt;=BL305,0,IFERROR(BL305+SUMPRODUCT((AJ$4:AJ$503&gt;=BL$4:BL$503)*(AJ$4:AJ$503-BL$4:BL$503))/MAX(1,COUNTIF(AJ$4:AJ$503,"&lt;"&amp;BL305+0.01)),BL305))</f>
        <v>6710.03292307692</v>
      </c>
      <c r="CA305" s="92" t="n">
        <f aca="false">IF(AK305&gt;=BM305,0,IFERROR(BM305+SUMPRODUCT((AK$4:AK$503&gt;=BM$4:BM$503)*(AK$4:AK$503-BM$4:BM$503))/MAX(1,COUNTIF(AK$4:AK$503,"&lt;"&amp;BM305+0.01)),BM305))</f>
        <v>7314.89836842105</v>
      </c>
      <c r="CB305" s="93" t="n">
        <f aca="false">IF(AL305&gt;=BN305,0,IFERROR(BN305+SUMPRODUCT((AL$4:AL$503&gt;=BN$4:BN$503)*(AL$4:AL$503-BN$4:BN$503))/MAX(1,COUNTIF(AL$4:AL$503,"&lt;"&amp;BN305+0.01)),BN305))</f>
        <v>3597.2614925</v>
      </c>
      <c r="CC305" s="95" t="str">
        <f aca="false">IF(AO305="🟢","VERDE",IF(AO305="🟡","AMARELO",IF(AO305="🟠","VERMELHO",IF(AO305="🔴","VERMELHO","ROXO"))))</f>
        <v>AMARELO</v>
      </c>
      <c r="CD305" s="96" t="s">
        <v>176</v>
      </c>
      <c r="CE305" s="96" t="s">
        <v>66</v>
      </c>
    </row>
    <row r="306" customFormat="false" ht="14.25" hidden="false" customHeight="true" outlineLevel="0" collapsed="false">
      <c r="A306" s="65" t="s">
        <v>748</v>
      </c>
      <c r="B306" s="66" t="s">
        <v>749</v>
      </c>
      <c r="C306" s="66" t="s">
        <v>124</v>
      </c>
      <c r="D306" s="68" t="s">
        <v>184</v>
      </c>
      <c r="E306" s="69" t="s">
        <v>127</v>
      </c>
      <c r="F306" s="70" t="n">
        <f aca="false">IFERROR(VLOOKUP(C306,$AS$3:$AT$10,2,FALSE()),IFERROR(VLOOKUP(C306,$AS$15:$AT$22,2,FALSE()),""))</f>
        <v>7</v>
      </c>
      <c r="G306" s="71" t="n">
        <f aca="false">IFERROR(VLOOKUP(C306,$AS$3:$AX$10,6,FALSE()),IFERROR(VLOOKUP(C306,$AS$15:$AX$22,6,FALSE()),""))</f>
        <v>0.421338416191415</v>
      </c>
      <c r="H306" s="72" t="str">
        <f aca="false">IFERROR(VLOOKUP(C306,$AS$3:$AY$10,7,FALSE()),IFERROR(VLOOKUP(C306,$AS$15:$AY$22,7,FALSE()),""))</f>
        <v>🟡 AMARELO</v>
      </c>
      <c r="I306" s="72" t="str">
        <f aca="false">IFERROR(VLOOKUP(C306,$AS$3:$AZ$10,8,FALSE()),IFERROR(VLOOKUP(C306,$AS$15:$AZ$22,8,FALSE()),""))</f>
        <v>Sell Out</v>
      </c>
      <c r="J306" s="73"/>
      <c r="K306" s="69" t="s">
        <v>99</v>
      </c>
      <c r="L306" s="74" t="n">
        <v>3374.45</v>
      </c>
      <c r="M306" s="75" t="n">
        <v>237.13</v>
      </c>
      <c r="N306" s="75" t="n">
        <v>247.8</v>
      </c>
      <c r="O306" s="75" t="n">
        <v>253.77</v>
      </c>
      <c r="P306" s="75" t="n">
        <v>260.38</v>
      </c>
      <c r="Q306" s="75" t="n">
        <v>268.91</v>
      </c>
      <c r="R306" s="75" t="n">
        <v>275.94</v>
      </c>
      <c r="S306" s="75" t="n">
        <v>286.61</v>
      </c>
      <c r="T306" s="75" t="n">
        <v>293.64</v>
      </c>
      <c r="U306" s="75" t="n">
        <v>300.25</v>
      </c>
      <c r="V306" s="75" t="n">
        <v>307.72</v>
      </c>
      <c r="W306" s="75" t="n">
        <v>315.82</v>
      </c>
      <c r="X306" s="76" t="n">
        <v>326.48</v>
      </c>
      <c r="Y306" s="77" t="s">
        <v>20</v>
      </c>
      <c r="Z306" s="78" t="n">
        <f aca="false">SUM(AA306:AL306)</f>
        <v>1090.05</v>
      </c>
      <c r="AA306" s="75"/>
      <c r="AB306" s="75"/>
      <c r="AC306" s="75"/>
      <c r="AD306" s="79" t="n">
        <v>1090.05</v>
      </c>
      <c r="AE306" s="75"/>
      <c r="AF306" s="75"/>
      <c r="AG306" s="75"/>
      <c r="AH306" s="75"/>
      <c r="AI306" s="75"/>
      <c r="AJ306" s="75"/>
      <c r="AK306" s="75"/>
      <c r="AL306" s="76"/>
      <c r="AM306" s="56" t="s">
        <v>20</v>
      </c>
      <c r="AN306" s="80" t="n">
        <f aca="false">IF(L306=0,0,Z306/L306)</f>
        <v>0.323030419772111</v>
      </c>
      <c r="AO306" s="81" t="str">
        <f aca="false">IF(AN306="","",IF(AN306&gt;=0.9,"🟢",IF(AN306&gt;=0.7,"🟡",IF(AN306&gt;=0.5,"🟠","🔴"))))</f>
        <v>🔴</v>
      </c>
      <c r="AP306" s="82" t="n">
        <f aca="false">IF(L306=0,0,L306-Z306)</f>
        <v>2284.4</v>
      </c>
      <c r="AQ306" s="83" t="n">
        <f aca="false">IF(AP306=0,"",RANK(AP306,AP$4:AP$503,0))</f>
        <v>248</v>
      </c>
      <c r="AR306" s="84" t="s">
        <v>20</v>
      </c>
      <c r="AS306" s="141"/>
      <c r="AT306" s="141"/>
      <c r="AU306" s="141"/>
      <c r="AV306" s="141"/>
      <c r="AW306" s="141"/>
      <c r="AX306" s="141"/>
      <c r="AY306" s="142"/>
      <c r="AZ306" s="142"/>
      <c r="BA306" s="56" t="s">
        <v>20</v>
      </c>
      <c r="BB306" s="91" t="n">
        <f aca="false">SUM(L$4:L$503)/COUNTA(A$4:A$503)</f>
        <v>9494.39992</v>
      </c>
      <c r="BC306" s="92" t="n">
        <f aca="false">SUM(M$4:M$503)/COUNTA(A$4:A$503)</f>
        <v>667.20008</v>
      </c>
      <c r="BD306" s="92" t="n">
        <f aca="false">SUM(N$4:N$503)/COUNTA(A$4:A$503)</f>
        <v>697.19996</v>
      </c>
      <c r="BE306" s="92" t="n">
        <f aca="false">SUM(O$4:O$503)/COUNTA(A$4:A$503)</f>
        <v>713.9999</v>
      </c>
      <c r="BF306" s="92" t="n">
        <f aca="false">SUM(P$4:P$503)/COUNTA(A$4:A$503)</f>
        <v>732.59984</v>
      </c>
      <c r="BG306" s="92" t="n">
        <f aca="false">SUM(Q$4:Q$503)/COUNTA(A$4:A$503)</f>
        <v>756.59992</v>
      </c>
      <c r="BH306" s="92" t="n">
        <f aca="false">SUM(R$4:R$503)/COUNTA(A$4:A$503)</f>
        <v>776.40004</v>
      </c>
      <c r="BI306" s="92" t="n">
        <f aca="false">SUM(S$4:S$503)/COUNTA(A$4:A$503)</f>
        <v>806.40012</v>
      </c>
      <c r="BJ306" s="92" t="n">
        <f aca="false">SUM(T$4:T$503)/COUNTA(A$4:A$503)</f>
        <v>826.1999</v>
      </c>
      <c r="BK306" s="92" t="n">
        <f aca="false">SUM(U$4:U$503)/COUNTA(A$4:A$503)</f>
        <v>844.8002</v>
      </c>
      <c r="BL306" s="92" t="n">
        <f aca="false">SUM(V$4:V$503)/COUNTA(A$4:A$503)</f>
        <v>865.7998</v>
      </c>
      <c r="BM306" s="92" t="n">
        <f aca="false">SUM(W$4:W$503)/COUNTA(A$4:A$503)</f>
        <v>888.59982</v>
      </c>
      <c r="BN306" s="93" t="n">
        <f aca="false">SUM(X$4:X$503)/COUNTA(A$4:A$503)</f>
        <v>918.60034</v>
      </c>
      <c r="BO306" s="94" t="s">
        <v>20</v>
      </c>
      <c r="BP306" s="91" t="n">
        <f aca="false">IF(Z306&gt;=BB306,0,IFERROR(BB306+(SUMPRODUCT((Z$4:Z$503&gt;=BB$4:BB$503)*(Z$4:Z$503-BB$4:BB$503))/MAX(1,COUNTIF(Z$4:Z$503,"&lt;"&amp;BB306+0.01))),BB306))</f>
        <v>10695.5432177778</v>
      </c>
      <c r="BQ306" s="92" t="n">
        <f aca="false">IF(AA306&gt;=BC306,0,IFERROR(BC306+SUMPRODUCT((AA$4:AA$503&gt;=BC$4:BC$503)*(AA$4:AA$503-BC$4:BC$503))/MAX(1,COUNTIF(AA$4:AA$503,"&lt;"&amp;BC306+0.01)),BC306))</f>
        <v>2238.46589176471</v>
      </c>
      <c r="BR306" s="92" t="n">
        <f aca="false">IF(AB306&gt;=BD306,0,IFERROR(BD306+SUMPRODUCT((AB$4:AB$503&gt;=BD$4:BD$503)*(AB$4:AB$503-BD$4:BD$503))/MAX(1,COUNTIF(AB$4:AB$503,"&lt;"&amp;BD306+0.01)),BD306))</f>
        <v>3335.2938</v>
      </c>
      <c r="BS306" s="92" t="n">
        <f aca="false">IF(AC306&gt;=BE306,0,IFERROR(BE306+SUMPRODUCT((AC$4:AC$503&gt;=BE$4:BE$503)*(AC$4:AC$503-BE$4:BE$503))/MAX(1,COUNTIF(AC$4:AC$503,"&lt;"&amp;BE306+0.01)),BE306))</f>
        <v>6188.73352</v>
      </c>
      <c r="BT306" s="92" t="n">
        <f aca="false">IF(AD306&gt;=BF306,0,IFERROR(BF306+SUMPRODUCT((AD$4:AD$503&gt;=BF$4:BF$503)*(AD$4:AD$503-BF$4:BF$503))/MAX(1,COUNTIF(AD$4:AD$503,"&lt;"&amp;BF306+0.01)),BF306))</f>
        <v>0</v>
      </c>
      <c r="BU306" s="92" t="n">
        <f aca="false">IF(AE306&gt;=BG306,0,IFERROR(BG306+SUMPRODUCT((AE$4:AE$503&gt;=BG$4:BG$503)*(AE$4:AE$503-BG$4:BG$503))/MAX(1,COUNTIF(AE$4:AE$503,"&lt;"&amp;BG306+0.01)),BG306))</f>
        <v>7704.85920380952</v>
      </c>
      <c r="BV306" s="92" t="n">
        <f aca="false">IF(AF306&gt;=BH306,0,IFERROR(BH306+SUMPRODUCT((AF$4:AF$503&gt;=BH$4:BH$503)*(AF$4:AF$503-BH$4:BH$503))/MAX(1,COUNTIF(AF$4:AF$503,"&lt;"&amp;BH306+0.01)),BH306))</f>
        <v>9942.6503831579</v>
      </c>
      <c r="BW306" s="92" t="n">
        <f aca="false">IF(AG306&gt;=BI306,0,IFERROR(BI306+SUMPRODUCT((AG$4:AG$503&gt;=BI$4:BI$503)*(AG$4:AG$503-BI$4:BI$503))/MAX(1,COUNTIF(AG$4:AG$503,"&lt;"&amp;BI306+0.01)),BI306))</f>
        <v>9142.15870461538</v>
      </c>
      <c r="BX306" s="92" t="n">
        <f aca="false">IF(AH306&gt;=BJ306,0,IFERROR(BJ306+SUMPRODUCT((AH$4:AH$503&gt;=BJ$4:BJ$503)*(AH$4:AH$503-BJ$4:BJ$503))/MAX(1,COUNTIF(AH$4:AH$503,"&lt;"&amp;BJ306+0.01)),BJ306))</f>
        <v>5621.50263448276</v>
      </c>
      <c r="BY306" s="92" t="n">
        <f aca="false">IF(AI306&gt;=BK306,0,IFERROR(BK306+SUMPRODUCT((AI$4:AI$503&gt;=BK$4:BK$503)*(AI$4:AI$503-BK$4:BK$503))/MAX(1,COUNTIF(AI$4:AI$503,"&lt;"&amp;BK306+0.01)),BK306))</f>
        <v>7878.25652380952</v>
      </c>
      <c r="BZ306" s="92" t="n">
        <f aca="false">IF(AJ306&gt;=BL306,0,IFERROR(BL306+SUMPRODUCT((AJ$4:AJ$503&gt;=BL$4:BL$503)*(AJ$4:AJ$503-BL$4:BL$503))/MAX(1,COUNTIF(AJ$4:AJ$503,"&lt;"&amp;BL306+0.01)),BL306))</f>
        <v>6710.03292307692</v>
      </c>
      <c r="CA306" s="92" t="n">
        <f aca="false">IF(AK306&gt;=BM306,0,IFERROR(BM306+SUMPRODUCT((AK$4:AK$503&gt;=BM$4:BM$503)*(AK$4:AK$503-BM$4:BM$503))/MAX(1,COUNTIF(AK$4:AK$503,"&lt;"&amp;BM306+0.01)),BM306))</f>
        <v>7314.89836842105</v>
      </c>
      <c r="CB306" s="93" t="n">
        <f aca="false">IF(AL306&gt;=BN306,0,IFERROR(BN306+SUMPRODUCT((AL$4:AL$503&gt;=BN$4:BN$503)*(AL$4:AL$503-BN$4:BN$503))/MAX(1,COUNTIF(AL$4:AL$503,"&lt;"&amp;BN306+0.01)),BN306))</f>
        <v>3597.2614925</v>
      </c>
      <c r="CC306" s="95" t="str">
        <f aca="false">IF(AO306="🟢","VERDE",IF(AO306="🟡","AMARELO",IF(AO306="🟠","VERMELHO",IF(AO306="🔴","VERMELHO","ROXO"))))</f>
        <v>VERMELHO</v>
      </c>
      <c r="CD306" s="96" t="s">
        <v>176</v>
      </c>
      <c r="CE306" s="96" t="s">
        <v>124</v>
      </c>
    </row>
    <row r="307" customFormat="false" ht="14.25" hidden="false" customHeight="true" outlineLevel="0" collapsed="false">
      <c r="A307" s="65" t="s">
        <v>750</v>
      </c>
      <c r="B307" s="66" t="s">
        <v>751</v>
      </c>
      <c r="C307" s="66" t="s">
        <v>102</v>
      </c>
      <c r="D307" s="68" t="s">
        <v>175</v>
      </c>
      <c r="E307" s="69" t="s">
        <v>139</v>
      </c>
      <c r="F307" s="70" t="n">
        <f aca="false">IFERROR(VLOOKUP(C307,$AS$3:$AT$10,2,FALSE()),IFERROR(VLOOKUP(C307,$AS$15:$AT$22,2,FALSE()),""))</f>
        <v>21</v>
      </c>
      <c r="G307" s="71" t="n">
        <f aca="false">IFERROR(VLOOKUP(C307,$AS$3:$AX$10,6,FALSE()),IFERROR(VLOOKUP(C307,$AS$15:$AX$22,6,FALSE()),""))</f>
        <v>0.491514556258592</v>
      </c>
      <c r="H307" s="72" t="str">
        <f aca="false">IFERROR(VLOOKUP(C307,$AS$3:$AY$10,7,FALSE()),IFERROR(VLOOKUP(C307,$AS$15:$AY$22,7,FALSE()),""))</f>
        <v>🟡 AMARELO</v>
      </c>
      <c r="I307" s="72" t="str">
        <f aca="false">IFERROR(VLOOKUP(C307,$AS$3:$AZ$10,8,FALSE()),IFERROR(VLOOKUP(C307,$AS$15:$AZ$22,8,FALSE()),""))</f>
        <v>Sell Out</v>
      </c>
      <c r="J307" s="73"/>
      <c r="K307" s="69" t="s">
        <v>107</v>
      </c>
      <c r="L307" s="74" t="n">
        <v>3373.72</v>
      </c>
      <c r="M307" s="75" t="n">
        <v>237.08</v>
      </c>
      <c r="N307" s="75" t="n">
        <v>247.74</v>
      </c>
      <c r="O307" s="75" t="n">
        <v>253.71</v>
      </c>
      <c r="P307" s="75" t="n">
        <v>260.32</v>
      </c>
      <c r="Q307" s="75" t="n">
        <v>268.85</v>
      </c>
      <c r="R307" s="75" t="n">
        <v>275.89</v>
      </c>
      <c r="S307" s="75" t="n">
        <v>286.55</v>
      </c>
      <c r="T307" s="75" t="n">
        <v>293.58</v>
      </c>
      <c r="U307" s="75" t="n">
        <v>300.19</v>
      </c>
      <c r="V307" s="75" t="n">
        <v>307.65</v>
      </c>
      <c r="W307" s="75" t="n">
        <v>315.75</v>
      </c>
      <c r="X307" s="76" t="n">
        <v>326.41</v>
      </c>
      <c r="Y307" s="77" t="s">
        <v>20</v>
      </c>
      <c r="Z307" s="78" t="n">
        <f aca="false">SUM(AA307:AL307)</f>
        <v>2757.69</v>
      </c>
      <c r="AA307" s="75"/>
      <c r="AB307" s="75"/>
      <c r="AC307" s="75"/>
      <c r="AD307" s="75"/>
      <c r="AE307" s="75"/>
      <c r="AF307" s="75"/>
      <c r="AG307" s="75"/>
      <c r="AH307" s="75"/>
      <c r="AI307" s="75"/>
      <c r="AJ307" s="75" t="n">
        <v>1400.94</v>
      </c>
      <c r="AK307" s="79" t="n">
        <v>1356.75</v>
      </c>
      <c r="AL307" s="76"/>
      <c r="AM307" s="56" t="s">
        <v>20</v>
      </c>
      <c r="AN307" s="80" t="n">
        <f aca="false">IF(L307=0,0,Z307/L307)</f>
        <v>0.817403341119002</v>
      </c>
      <c r="AO307" s="81" t="str">
        <f aca="false">IF(AN307="","",IF(AN307&gt;=0.9,"🟢",IF(AN307&gt;=0.7,"🟡",IF(AN307&gt;=0.5,"🟠","🔴"))))</f>
        <v>🟡</v>
      </c>
      <c r="AP307" s="82" t="n">
        <f aca="false">IF(L307=0,0,L307-Z307)</f>
        <v>616.03</v>
      </c>
      <c r="AQ307" s="83" t="n">
        <f aca="false">IF(AP307=0,"",RANK(AP307,AP$4:AP$503,0))</f>
        <v>440</v>
      </c>
      <c r="AR307" s="84" t="s">
        <v>20</v>
      </c>
      <c r="AS307" s="141"/>
      <c r="AT307" s="141"/>
      <c r="AU307" s="141"/>
      <c r="AV307" s="141"/>
      <c r="AW307" s="141"/>
      <c r="AX307" s="141"/>
      <c r="AY307" s="142"/>
      <c r="AZ307" s="142"/>
      <c r="BA307" s="56" t="s">
        <v>20</v>
      </c>
      <c r="BB307" s="91" t="n">
        <f aca="false">SUM(L$4:L$503)/COUNTA(A$4:A$503)</f>
        <v>9494.39992</v>
      </c>
      <c r="BC307" s="92" t="n">
        <f aca="false">SUM(M$4:M$503)/COUNTA(A$4:A$503)</f>
        <v>667.20008</v>
      </c>
      <c r="BD307" s="92" t="n">
        <f aca="false">SUM(N$4:N$503)/COUNTA(A$4:A$503)</f>
        <v>697.19996</v>
      </c>
      <c r="BE307" s="92" t="n">
        <f aca="false">SUM(O$4:O$503)/COUNTA(A$4:A$503)</f>
        <v>713.9999</v>
      </c>
      <c r="BF307" s="92" t="n">
        <f aca="false">SUM(P$4:P$503)/COUNTA(A$4:A$503)</f>
        <v>732.59984</v>
      </c>
      <c r="BG307" s="92" t="n">
        <f aca="false">SUM(Q$4:Q$503)/COUNTA(A$4:A$503)</f>
        <v>756.59992</v>
      </c>
      <c r="BH307" s="92" t="n">
        <f aca="false">SUM(R$4:R$503)/COUNTA(A$4:A$503)</f>
        <v>776.40004</v>
      </c>
      <c r="BI307" s="92" t="n">
        <f aca="false">SUM(S$4:S$503)/COUNTA(A$4:A$503)</f>
        <v>806.40012</v>
      </c>
      <c r="BJ307" s="92" t="n">
        <f aca="false">SUM(T$4:T$503)/COUNTA(A$4:A$503)</f>
        <v>826.1999</v>
      </c>
      <c r="BK307" s="92" t="n">
        <f aca="false">SUM(U$4:U$503)/COUNTA(A$4:A$503)</f>
        <v>844.8002</v>
      </c>
      <c r="BL307" s="92" t="n">
        <f aca="false">SUM(V$4:V$503)/COUNTA(A$4:A$503)</f>
        <v>865.7998</v>
      </c>
      <c r="BM307" s="92" t="n">
        <f aca="false">SUM(W$4:W$503)/COUNTA(A$4:A$503)</f>
        <v>888.59982</v>
      </c>
      <c r="BN307" s="93" t="n">
        <f aca="false">SUM(X$4:X$503)/COUNTA(A$4:A$503)</f>
        <v>918.60034</v>
      </c>
      <c r="BO307" s="94" t="s">
        <v>20</v>
      </c>
      <c r="BP307" s="91" t="n">
        <f aca="false">IF(Z307&gt;=BB307,0,IFERROR(BB307+(SUMPRODUCT((Z$4:Z$503&gt;=BB$4:BB$503)*(Z$4:Z$503-BB$4:BB$503))/MAX(1,COUNTIF(Z$4:Z$503,"&lt;"&amp;BB307+0.01))),BB307))</f>
        <v>10695.5432177778</v>
      </c>
      <c r="BQ307" s="92" t="n">
        <f aca="false">IF(AA307&gt;=BC307,0,IFERROR(BC307+SUMPRODUCT((AA$4:AA$503&gt;=BC$4:BC$503)*(AA$4:AA$503-BC$4:BC$503))/MAX(1,COUNTIF(AA$4:AA$503,"&lt;"&amp;BC307+0.01)),BC307))</f>
        <v>2238.46589176471</v>
      </c>
      <c r="BR307" s="92" t="n">
        <f aca="false">IF(AB307&gt;=BD307,0,IFERROR(BD307+SUMPRODUCT((AB$4:AB$503&gt;=BD$4:BD$503)*(AB$4:AB$503-BD$4:BD$503))/MAX(1,COUNTIF(AB$4:AB$503,"&lt;"&amp;BD307+0.01)),BD307))</f>
        <v>3335.2938</v>
      </c>
      <c r="BS307" s="92" t="n">
        <f aca="false">IF(AC307&gt;=BE307,0,IFERROR(BE307+SUMPRODUCT((AC$4:AC$503&gt;=BE$4:BE$503)*(AC$4:AC$503-BE$4:BE$503))/MAX(1,COUNTIF(AC$4:AC$503,"&lt;"&amp;BE307+0.01)),BE307))</f>
        <v>6188.73352</v>
      </c>
      <c r="BT307" s="92" t="n">
        <f aca="false">IF(AD307&gt;=BF307,0,IFERROR(BF307+SUMPRODUCT((AD$4:AD$503&gt;=BF$4:BF$503)*(AD$4:AD$503-BF$4:BF$503))/MAX(1,COUNTIF(AD$4:AD$503,"&lt;"&amp;BF307+0.01)),BF307))</f>
        <v>11354.35411</v>
      </c>
      <c r="BU307" s="92" t="n">
        <f aca="false">IF(AE307&gt;=BG307,0,IFERROR(BG307+SUMPRODUCT((AE$4:AE$503&gt;=BG$4:BG$503)*(AE$4:AE$503-BG$4:BG$503))/MAX(1,COUNTIF(AE$4:AE$503,"&lt;"&amp;BG307+0.01)),BG307))</f>
        <v>7704.85920380952</v>
      </c>
      <c r="BV307" s="92" t="n">
        <f aca="false">IF(AF307&gt;=BH307,0,IFERROR(BH307+SUMPRODUCT((AF$4:AF$503&gt;=BH$4:BH$503)*(AF$4:AF$503-BH$4:BH$503))/MAX(1,COUNTIF(AF$4:AF$503,"&lt;"&amp;BH307+0.01)),BH307))</f>
        <v>9942.6503831579</v>
      </c>
      <c r="BW307" s="92" t="n">
        <f aca="false">IF(AG307&gt;=BI307,0,IFERROR(BI307+SUMPRODUCT((AG$4:AG$503&gt;=BI$4:BI$503)*(AG$4:AG$503-BI$4:BI$503))/MAX(1,COUNTIF(AG$4:AG$503,"&lt;"&amp;BI307+0.01)),BI307))</f>
        <v>9142.15870461538</v>
      </c>
      <c r="BX307" s="92" t="n">
        <f aca="false">IF(AH307&gt;=BJ307,0,IFERROR(BJ307+SUMPRODUCT((AH$4:AH$503&gt;=BJ$4:BJ$503)*(AH$4:AH$503-BJ$4:BJ$503))/MAX(1,COUNTIF(AH$4:AH$503,"&lt;"&amp;BJ307+0.01)),BJ307))</f>
        <v>5621.50263448276</v>
      </c>
      <c r="BY307" s="92" t="n">
        <f aca="false">IF(AI307&gt;=BK307,0,IFERROR(BK307+SUMPRODUCT((AI$4:AI$503&gt;=BK$4:BK$503)*(AI$4:AI$503-BK$4:BK$503))/MAX(1,COUNTIF(AI$4:AI$503,"&lt;"&amp;BK307+0.01)),BK307))</f>
        <v>7878.25652380952</v>
      </c>
      <c r="BZ307" s="92" t="n">
        <f aca="false">IF(AJ307&gt;=BL307,0,IFERROR(BL307+SUMPRODUCT((AJ$4:AJ$503&gt;=BL$4:BL$503)*(AJ$4:AJ$503-BL$4:BL$503))/MAX(1,COUNTIF(AJ$4:AJ$503,"&lt;"&amp;BL307+0.01)),BL307))</f>
        <v>0</v>
      </c>
      <c r="CA307" s="92" t="n">
        <f aca="false">IF(AK307&gt;=BM307,0,IFERROR(BM307+SUMPRODUCT((AK$4:AK$503&gt;=BM$4:BM$503)*(AK$4:AK$503-BM$4:BM$503))/MAX(1,COUNTIF(AK$4:AK$503,"&lt;"&amp;BM307+0.01)),BM307))</f>
        <v>0</v>
      </c>
      <c r="CB307" s="93" t="n">
        <f aca="false">IF(AL307&gt;=BN307,0,IFERROR(BN307+SUMPRODUCT((AL$4:AL$503&gt;=BN$4:BN$503)*(AL$4:AL$503-BN$4:BN$503))/MAX(1,COUNTIF(AL$4:AL$503,"&lt;"&amp;BN307+0.01)),BN307))</f>
        <v>3597.2614925</v>
      </c>
      <c r="CC307" s="95" t="str">
        <f aca="false">IF(AO307="🟢","VERDE",IF(AO307="🟡","AMARELO",IF(AO307="🟠","VERMELHO",IF(AO307="🔴","VERMELHO","ROXO"))))</f>
        <v>AMARELO</v>
      </c>
      <c r="CD307" s="96" t="s">
        <v>176</v>
      </c>
      <c r="CE307" s="96" t="s">
        <v>102</v>
      </c>
    </row>
    <row r="308" customFormat="false" ht="14.25" hidden="false" customHeight="true" outlineLevel="0" collapsed="false">
      <c r="A308" s="65" t="s">
        <v>752</v>
      </c>
      <c r="B308" s="66" t="s">
        <v>753</v>
      </c>
      <c r="C308" s="67" t="s">
        <v>107</v>
      </c>
      <c r="D308" s="68" t="s">
        <v>108</v>
      </c>
      <c r="E308" s="69" t="s">
        <v>196</v>
      </c>
      <c r="F308" s="70" t="n">
        <f aca="false">IFERROR(VLOOKUP(C308,$AS$3:$AT$10,2,FALSE()),IFERROR(VLOOKUP(C308,$AS$15:$AT$22,2,FALSE()),""))</f>
        <v>132</v>
      </c>
      <c r="G308" s="71" t="n">
        <f aca="false">IFERROR(VLOOKUP(C308,$AS$3:$AX$10,6,FALSE()),IFERROR(VLOOKUP(C308,$AS$15:$AX$22,6,FALSE()),""))</f>
        <v>0.468190175850689</v>
      </c>
      <c r="H308" s="72" t="str">
        <f aca="false">IFERROR(VLOOKUP(C308,$AS$3:$AY$10,7,FALSE()),IFERROR(VLOOKUP(C308,$AS$15:$AY$22,7,FALSE()),""))</f>
        <v>🟡 AMARELO</v>
      </c>
      <c r="I308" s="72" t="str">
        <f aca="false">IFERROR(VLOOKUP(C308,$AS$3:$AZ$10,8,FALSE()),IFERROR(VLOOKUP(C308,$AS$15:$AZ$22,8,FALSE()),""))</f>
        <v>Sell Out</v>
      </c>
      <c r="J308" s="73"/>
      <c r="K308" s="69" t="s">
        <v>107</v>
      </c>
      <c r="L308" s="74" t="n">
        <v>3365.2</v>
      </c>
      <c r="M308" s="75" t="n">
        <v>236.48</v>
      </c>
      <c r="N308" s="75" t="n">
        <v>247.12</v>
      </c>
      <c r="O308" s="75" t="n">
        <v>253.07</v>
      </c>
      <c r="P308" s="75" t="n">
        <v>259.66</v>
      </c>
      <c r="Q308" s="75" t="n">
        <v>268.17</v>
      </c>
      <c r="R308" s="75" t="n">
        <v>275.19</v>
      </c>
      <c r="S308" s="75" t="n">
        <v>285.82</v>
      </c>
      <c r="T308" s="75" t="n">
        <v>292.84</v>
      </c>
      <c r="U308" s="75" t="n">
        <v>299.43</v>
      </c>
      <c r="V308" s="75" t="n">
        <v>306.87</v>
      </c>
      <c r="W308" s="75" t="n">
        <v>314.96</v>
      </c>
      <c r="X308" s="76" t="n">
        <v>325.59</v>
      </c>
      <c r="Y308" s="77" t="s">
        <v>20</v>
      </c>
      <c r="Z308" s="78" t="n">
        <f aca="false">SUM(AA308:AL308)</f>
        <v>1387.75</v>
      </c>
      <c r="AA308" s="75"/>
      <c r="AB308" s="75"/>
      <c r="AC308" s="75"/>
      <c r="AD308" s="75"/>
      <c r="AE308" s="75"/>
      <c r="AF308" s="75"/>
      <c r="AG308" s="75"/>
      <c r="AH308" s="75"/>
      <c r="AI308" s="79" t="n">
        <v>1387.75</v>
      </c>
      <c r="AJ308" s="75"/>
      <c r="AK308" s="75"/>
      <c r="AL308" s="76"/>
      <c r="AM308" s="56" t="s">
        <v>20</v>
      </c>
      <c r="AN308" s="80" t="n">
        <f aca="false">IF(L308=0,0,Z308/L308)</f>
        <v>0.412382622132414</v>
      </c>
      <c r="AO308" s="81" t="str">
        <f aca="false">IF(AN308="","",IF(AN308&gt;=0.9,"🟢",IF(AN308&gt;=0.7,"🟡",IF(AN308&gt;=0.5,"🟠","🔴"))))</f>
        <v>🔴</v>
      </c>
      <c r="AP308" s="82" t="n">
        <f aca="false">IF(L308=0,0,L308-Z308)</f>
        <v>1977.45</v>
      </c>
      <c r="AQ308" s="83" t="n">
        <f aca="false">IF(AP308=0,"",RANK(AP308,AP$4:AP$503,0))</f>
        <v>273</v>
      </c>
      <c r="AR308" s="84" t="s">
        <v>20</v>
      </c>
      <c r="AS308" s="141"/>
      <c r="AT308" s="141"/>
      <c r="AU308" s="141"/>
      <c r="AV308" s="141"/>
      <c r="AW308" s="141"/>
      <c r="AX308" s="141"/>
      <c r="AY308" s="142"/>
      <c r="AZ308" s="142"/>
      <c r="BA308" s="56" t="s">
        <v>20</v>
      </c>
      <c r="BB308" s="91" t="n">
        <f aca="false">SUM(L$4:L$503)/COUNTA(A$4:A$503)</f>
        <v>9494.39992</v>
      </c>
      <c r="BC308" s="92" t="n">
        <f aca="false">SUM(M$4:M$503)/COUNTA(A$4:A$503)</f>
        <v>667.20008</v>
      </c>
      <c r="BD308" s="92" t="n">
        <f aca="false">SUM(N$4:N$503)/COUNTA(A$4:A$503)</f>
        <v>697.19996</v>
      </c>
      <c r="BE308" s="92" t="n">
        <f aca="false">SUM(O$4:O$503)/COUNTA(A$4:A$503)</f>
        <v>713.9999</v>
      </c>
      <c r="BF308" s="92" t="n">
        <f aca="false">SUM(P$4:P$503)/COUNTA(A$4:A$503)</f>
        <v>732.59984</v>
      </c>
      <c r="BG308" s="92" t="n">
        <f aca="false">SUM(Q$4:Q$503)/COUNTA(A$4:A$503)</f>
        <v>756.59992</v>
      </c>
      <c r="BH308" s="92" t="n">
        <f aca="false">SUM(R$4:R$503)/COUNTA(A$4:A$503)</f>
        <v>776.40004</v>
      </c>
      <c r="BI308" s="92" t="n">
        <f aca="false">SUM(S$4:S$503)/COUNTA(A$4:A$503)</f>
        <v>806.40012</v>
      </c>
      <c r="BJ308" s="92" t="n">
        <f aca="false">SUM(T$4:T$503)/COUNTA(A$4:A$503)</f>
        <v>826.1999</v>
      </c>
      <c r="BK308" s="92" t="n">
        <f aca="false">SUM(U$4:U$503)/COUNTA(A$4:A$503)</f>
        <v>844.8002</v>
      </c>
      <c r="BL308" s="92" t="n">
        <f aca="false">SUM(V$4:V$503)/COUNTA(A$4:A$503)</f>
        <v>865.7998</v>
      </c>
      <c r="BM308" s="92" t="n">
        <f aca="false">SUM(W$4:W$503)/COUNTA(A$4:A$503)</f>
        <v>888.59982</v>
      </c>
      <c r="BN308" s="93" t="n">
        <f aca="false">SUM(X$4:X$503)/COUNTA(A$4:A$503)</f>
        <v>918.60034</v>
      </c>
      <c r="BO308" s="94" t="s">
        <v>20</v>
      </c>
      <c r="BP308" s="91" t="n">
        <f aca="false">IF(Z308&gt;=BB308,0,IFERROR(BB308+(SUMPRODUCT((Z$4:Z$503&gt;=BB$4:BB$503)*(Z$4:Z$503-BB$4:BB$503))/MAX(1,COUNTIF(Z$4:Z$503,"&lt;"&amp;BB308+0.01))),BB308))</f>
        <v>10695.5432177778</v>
      </c>
      <c r="BQ308" s="92" t="n">
        <f aca="false">IF(AA308&gt;=BC308,0,IFERROR(BC308+SUMPRODUCT((AA$4:AA$503&gt;=BC$4:BC$503)*(AA$4:AA$503-BC$4:BC$503))/MAX(1,COUNTIF(AA$4:AA$503,"&lt;"&amp;BC308+0.01)),BC308))</f>
        <v>2238.46589176471</v>
      </c>
      <c r="BR308" s="92" t="n">
        <f aca="false">IF(AB308&gt;=BD308,0,IFERROR(BD308+SUMPRODUCT((AB$4:AB$503&gt;=BD$4:BD$503)*(AB$4:AB$503-BD$4:BD$503))/MAX(1,COUNTIF(AB$4:AB$503,"&lt;"&amp;BD308+0.01)),BD308))</f>
        <v>3335.2938</v>
      </c>
      <c r="BS308" s="92" t="n">
        <f aca="false">IF(AC308&gt;=BE308,0,IFERROR(BE308+SUMPRODUCT((AC$4:AC$503&gt;=BE$4:BE$503)*(AC$4:AC$503-BE$4:BE$503))/MAX(1,COUNTIF(AC$4:AC$503,"&lt;"&amp;BE308+0.01)),BE308))</f>
        <v>6188.73352</v>
      </c>
      <c r="BT308" s="92" t="n">
        <f aca="false">IF(AD308&gt;=BF308,0,IFERROR(BF308+SUMPRODUCT((AD$4:AD$503&gt;=BF$4:BF$503)*(AD$4:AD$503-BF$4:BF$503))/MAX(1,COUNTIF(AD$4:AD$503,"&lt;"&amp;BF308+0.01)),BF308))</f>
        <v>11354.35411</v>
      </c>
      <c r="BU308" s="92" t="n">
        <f aca="false">IF(AE308&gt;=BG308,0,IFERROR(BG308+SUMPRODUCT((AE$4:AE$503&gt;=BG$4:BG$503)*(AE$4:AE$503-BG$4:BG$503))/MAX(1,COUNTIF(AE$4:AE$503,"&lt;"&amp;BG308+0.01)),BG308))</f>
        <v>7704.85920380952</v>
      </c>
      <c r="BV308" s="92" t="n">
        <f aca="false">IF(AF308&gt;=BH308,0,IFERROR(BH308+SUMPRODUCT((AF$4:AF$503&gt;=BH$4:BH$503)*(AF$4:AF$503-BH$4:BH$503))/MAX(1,COUNTIF(AF$4:AF$503,"&lt;"&amp;BH308+0.01)),BH308))</f>
        <v>9942.6503831579</v>
      </c>
      <c r="BW308" s="92" t="n">
        <f aca="false">IF(AG308&gt;=BI308,0,IFERROR(BI308+SUMPRODUCT((AG$4:AG$503&gt;=BI$4:BI$503)*(AG$4:AG$503-BI$4:BI$503))/MAX(1,COUNTIF(AG$4:AG$503,"&lt;"&amp;BI308+0.01)),BI308))</f>
        <v>9142.15870461538</v>
      </c>
      <c r="BX308" s="92" t="n">
        <f aca="false">IF(AH308&gt;=BJ308,0,IFERROR(BJ308+SUMPRODUCT((AH$4:AH$503&gt;=BJ$4:BJ$503)*(AH$4:AH$503-BJ$4:BJ$503))/MAX(1,COUNTIF(AH$4:AH$503,"&lt;"&amp;BJ308+0.01)),BJ308))</f>
        <v>5621.50263448276</v>
      </c>
      <c r="BY308" s="92" t="n">
        <f aca="false">IF(AI308&gt;=BK308,0,IFERROR(BK308+SUMPRODUCT((AI$4:AI$503&gt;=BK$4:BK$503)*(AI$4:AI$503-BK$4:BK$503))/MAX(1,COUNTIF(AI$4:AI$503,"&lt;"&amp;BK308+0.01)),BK308))</f>
        <v>0</v>
      </c>
      <c r="BZ308" s="92" t="n">
        <f aca="false">IF(AJ308&gt;=BL308,0,IFERROR(BL308+SUMPRODUCT((AJ$4:AJ$503&gt;=BL$4:BL$503)*(AJ$4:AJ$503-BL$4:BL$503))/MAX(1,COUNTIF(AJ$4:AJ$503,"&lt;"&amp;BL308+0.01)),BL308))</f>
        <v>6710.03292307692</v>
      </c>
      <c r="CA308" s="92" t="n">
        <f aca="false">IF(AK308&gt;=BM308,0,IFERROR(BM308+SUMPRODUCT((AK$4:AK$503&gt;=BM$4:BM$503)*(AK$4:AK$503-BM$4:BM$503))/MAX(1,COUNTIF(AK$4:AK$503,"&lt;"&amp;BM308+0.01)),BM308))</f>
        <v>7314.89836842105</v>
      </c>
      <c r="CB308" s="93" t="n">
        <f aca="false">IF(AL308&gt;=BN308,0,IFERROR(BN308+SUMPRODUCT((AL$4:AL$503&gt;=BN$4:BN$503)*(AL$4:AL$503-BN$4:BN$503))/MAX(1,COUNTIF(AL$4:AL$503,"&lt;"&amp;BN308+0.01)),BN308))</f>
        <v>3597.2614925</v>
      </c>
      <c r="CC308" s="95" t="str">
        <f aca="false">IF(AO308="🟢","VERDE",IF(AO308="🟡","AMARELO",IF(AO308="🟠","VERMELHO",IF(AO308="🔴","VERMELHO","ROXO"))))</f>
        <v>VERMELHO</v>
      </c>
      <c r="CD308" s="96" t="s">
        <v>103</v>
      </c>
      <c r="CE308" s="96" t="s">
        <v>104</v>
      </c>
    </row>
    <row r="309" customFormat="false" ht="14.25" hidden="false" customHeight="true" outlineLevel="0" collapsed="false">
      <c r="A309" s="65" t="s">
        <v>754</v>
      </c>
      <c r="B309" s="66" t="s">
        <v>755</v>
      </c>
      <c r="C309" s="66" t="s">
        <v>115</v>
      </c>
      <c r="D309" s="68" t="s">
        <v>184</v>
      </c>
      <c r="E309" s="69" t="s">
        <v>347</v>
      </c>
      <c r="F309" s="70" t="n">
        <f aca="false">IFERROR(VLOOKUP(C309,$AS$3:$AT$10,2,FALSE()),IFERROR(VLOOKUP(C309,$AS$15:$AT$22,2,FALSE()),""))</f>
        <v>25</v>
      </c>
      <c r="G309" s="71" t="n">
        <f aca="false">IFERROR(VLOOKUP(C309,$AS$3:$AX$10,6,FALSE()),IFERROR(VLOOKUP(C309,$AS$15:$AX$22,6,FALSE()),""))</f>
        <v>0.536751750851081</v>
      </c>
      <c r="H309" s="72" t="str">
        <f aca="false">IFERROR(VLOOKUP(C309,$AS$3:$AY$10,7,FALSE()),IFERROR(VLOOKUP(C309,$AS$15:$AY$22,7,FALSE()),""))</f>
        <v>🟡 AMARELO</v>
      </c>
      <c r="I309" s="72" t="str">
        <f aca="false">IFERROR(VLOOKUP(C309,$AS$3:$AZ$10,8,FALSE()),IFERROR(VLOOKUP(C309,$AS$15:$AZ$22,8,FALSE()),""))</f>
        <v>Sell Out</v>
      </c>
      <c r="J309" s="73"/>
      <c r="K309" s="69" t="s">
        <v>158</v>
      </c>
      <c r="L309" s="74" t="n">
        <v>3356.92</v>
      </c>
      <c r="M309" s="75" t="n">
        <v>235.9</v>
      </c>
      <c r="N309" s="75" t="n">
        <v>246.51</v>
      </c>
      <c r="O309" s="75" t="n">
        <v>252.45</v>
      </c>
      <c r="P309" s="75" t="n">
        <v>259.02</v>
      </c>
      <c r="Q309" s="75" t="n">
        <v>267.51</v>
      </c>
      <c r="R309" s="75" t="n">
        <v>274.51</v>
      </c>
      <c r="S309" s="75" t="n">
        <v>285.12</v>
      </c>
      <c r="T309" s="75" t="n">
        <v>292.12</v>
      </c>
      <c r="U309" s="75" t="n">
        <v>298.69</v>
      </c>
      <c r="V309" s="75" t="n">
        <v>306.12</v>
      </c>
      <c r="W309" s="75" t="n">
        <v>314.18</v>
      </c>
      <c r="X309" s="76" t="n">
        <v>324.79</v>
      </c>
      <c r="Y309" s="77" t="s">
        <v>20</v>
      </c>
      <c r="Z309" s="78" t="n">
        <f aca="false">SUM(AA309:AL309)</f>
        <v>1387.56</v>
      </c>
      <c r="AA309" s="75"/>
      <c r="AB309" s="75"/>
      <c r="AC309" s="75"/>
      <c r="AD309" s="75"/>
      <c r="AE309" s="75"/>
      <c r="AF309" s="75"/>
      <c r="AG309" s="75"/>
      <c r="AH309" s="75"/>
      <c r="AI309" s="75"/>
      <c r="AJ309" s="79" t="n">
        <v>1387.56</v>
      </c>
      <c r="AK309" s="75"/>
      <c r="AL309" s="76"/>
      <c r="AM309" s="56" t="s">
        <v>20</v>
      </c>
      <c r="AN309" s="80" t="n">
        <f aca="false">IF(L309=0,0,Z309/L309)</f>
        <v>0.413343183632616</v>
      </c>
      <c r="AO309" s="81" t="str">
        <f aca="false">IF(AN309="","",IF(AN309&gt;=0.9,"🟢",IF(AN309&gt;=0.7,"🟡",IF(AN309&gt;=0.5,"🟠","🔴"))))</f>
        <v>🔴</v>
      </c>
      <c r="AP309" s="82" t="n">
        <f aca="false">IF(L309=0,0,L309-Z309)</f>
        <v>1969.36</v>
      </c>
      <c r="AQ309" s="83" t="n">
        <f aca="false">IF(AP309=0,"",RANK(AP309,AP$4:AP$503,0))</f>
        <v>275</v>
      </c>
      <c r="AR309" s="84" t="s">
        <v>20</v>
      </c>
      <c r="AS309" s="141"/>
      <c r="AT309" s="141"/>
      <c r="AU309" s="141"/>
      <c r="AV309" s="141"/>
      <c r="AW309" s="141"/>
      <c r="AX309" s="141"/>
      <c r="AY309" s="142"/>
      <c r="AZ309" s="142"/>
      <c r="BA309" s="56" t="s">
        <v>20</v>
      </c>
      <c r="BB309" s="91" t="n">
        <f aca="false">SUM(L$4:L$503)/COUNTA(A$4:A$503)</f>
        <v>9494.39992</v>
      </c>
      <c r="BC309" s="92" t="n">
        <f aca="false">SUM(M$4:M$503)/COUNTA(A$4:A$503)</f>
        <v>667.20008</v>
      </c>
      <c r="BD309" s="92" t="n">
        <f aca="false">SUM(N$4:N$503)/COUNTA(A$4:A$503)</f>
        <v>697.19996</v>
      </c>
      <c r="BE309" s="92" t="n">
        <f aca="false">SUM(O$4:O$503)/COUNTA(A$4:A$503)</f>
        <v>713.9999</v>
      </c>
      <c r="BF309" s="92" t="n">
        <f aca="false">SUM(P$4:P$503)/COUNTA(A$4:A$503)</f>
        <v>732.59984</v>
      </c>
      <c r="BG309" s="92" t="n">
        <f aca="false">SUM(Q$4:Q$503)/COUNTA(A$4:A$503)</f>
        <v>756.59992</v>
      </c>
      <c r="BH309" s="92" t="n">
        <f aca="false">SUM(R$4:R$503)/COUNTA(A$4:A$503)</f>
        <v>776.40004</v>
      </c>
      <c r="BI309" s="92" t="n">
        <f aca="false">SUM(S$4:S$503)/COUNTA(A$4:A$503)</f>
        <v>806.40012</v>
      </c>
      <c r="BJ309" s="92" t="n">
        <f aca="false">SUM(T$4:T$503)/COUNTA(A$4:A$503)</f>
        <v>826.1999</v>
      </c>
      <c r="BK309" s="92" t="n">
        <f aca="false">SUM(U$4:U$503)/COUNTA(A$4:A$503)</f>
        <v>844.8002</v>
      </c>
      <c r="BL309" s="92" t="n">
        <f aca="false">SUM(V$4:V$503)/COUNTA(A$4:A$503)</f>
        <v>865.7998</v>
      </c>
      <c r="BM309" s="92" t="n">
        <f aca="false">SUM(W$4:W$503)/COUNTA(A$4:A$503)</f>
        <v>888.59982</v>
      </c>
      <c r="BN309" s="93" t="n">
        <f aca="false">SUM(X$4:X$503)/COUNTA(A$4:A$503)</f>
        <v>918.60034</v>
      </c>
      <c r="BO309" s="94" t="s">
        <v>20</v>
      </c>
      <c r="BP309" s="91" t="n">
        <f aca="false">IF(Z309&gt;=BB309,0,IFERROR(BB309+(SUMPRODUCT((Z$4:Z$503&gt;=BB$4:BB$503)*(Z$4:Z$503-BB$4:BB$503))/MAX(1,COUNTIF(Z$4:Z$503,"&lt;"&amp;BB309+0.01))),BB309))</f>
        <v>10695.5432177778</v>
      </c>
      <c r="BQ309" s="92" t="n">
        <f aca="false">IF(AA309&gt;=BC309,0,IFERROR(BC309+SUMPRODUCT((AA$4:AA$503&gt;=BC$4:BC$503)*(AA$4:AA$503-BC$4:BC$503))/MAX(1,COUNTIF(AA$4:AA$503,"&lt;"&amp;BC309+0.01)),BC309))</f>
        <v>2238.46589176471</v>
      </c>
      <c r="BR309" s="92" t="n">
        <f aca="false">IF(AB309&gt;=BD309,0,IFERROR(BD309+SUMPRODUCT((AB$4:AB$503&gt;=BD$4:BD$503)*(AB$4:AB$503-BD$4:BD$503))/MAX(1,COUNTIF(AB$4:AB$503,"&lt;"&amp;BD309+0.01)),BD309))</f>
        <v>3335.2938</v>
      </c>
      <c r="BS309" s="92" t="n">
        <f aca="false">IF(AC309&gt;=BE309,0,IFERROR(BE309+SUMPRODUCT((AC$4:AC$503&gt;=BE$4:BE$503)*(AC$4:AC$503-BE$4:BE$503))/MAX(1,COUNTIF(AC$4:AC$503,"&lt;"&amp;BE309+0.01)),BE309))</f>
        <v>6188.73352</v>
      </c>
      <c r="BT309" s="92" t="n">
        <f aca="false">IF(AD309&gt;=BF309,0,IFERROR(BF309+SUMPRODUCT((AD$4:AD$503&gt;=BF$4:BF$503)*(AD$4:AD$503-BF$4:BF$503))/MAX(1,COUNTIF(AD$4:AD$503,"&lt;"&amp;BF309+0.01)),BF309))</f>
        <v>11354.35411</v>
      </c>
      <c r="BU309" s="92" t="n">
        <f aca="false">IF(AE309&gt;=BG309,0,IFERROR(BG309+SUMPRODUCT((AE$4:AE$503&gt;=BG$4:BG$503)*(AE$4:AE$503-BG$4:BG$503))/MAX(1,COUNTIF(AE$4:AE$503,"&lt;"&amp;BG309+0.01)),BG309))</f>
        <v>7704.85920380952</v>
      </c>
      <c r="BV309" s="92" t="n">
        <f aca="false">IF(AF309&gt;=BH309,0,IFERROR(BH309+SUMPRODUCT((AF$4:AF$503&gt;=BH$4:BH$503)*(AF$4:AF$503-BH$4:BH$503))/MAX(1,COUNTIF(AF$4:AF$503,"&lt;"&amp;BH309+0.01)),BH309))</f>
        <v>9942.6503831579</v>
      </c>
      <c r="BW309" s="92" t="n">
        <f aca="false">IF(AG309&gt;=BI309,0,IFERROR(BI309+SUMPRODUCT((AG$4:AG$503&gt;=BI$4:BI$503)*(AG$4:AG$503-BI$4:BI$503))/MAX(1,COUNTIF(AG$4:AG$503,"&lt;"&amp;BI309+0.01)),BI309))</f>
        <v>9142.15870461538</v>
      </c>
      <c r="BX309" s="92" t="n">
        <f aca="false">IF(AH309&gt;=BJ309,0,IFERROR(BJ309+SUMPRODUCT((AH$4:AH$503&gt;=BJ$4:BJ$503)*(AH$4:AH$503-BJ$4:BJ$503))/MAX(1,COUNTIF(AH$4:AH$503,"&lt;"&amp;BJ309+0.01)),BJ309))</f>
        <v>5621.50263448276</v>
      </c>
      <c r="BY309" s="92" t="n">
        <f aca="false">IF(AI309&gt;=BK309,0,IFERROR(BK309+SUMPRODUCT((AI$4:AI$503&gt;=BK$4:BK$503)*(AI$4:AI$503-BK$4:BK$503))/MAX(1,COUNTIF(AI$4:AI$503,"&lt;"&amp;BK309+0.01)),BK309))</f>
        <v>7878.25652380952</v>
      </c>
      <c r="BZ309" s="92" t="n">
        <f aca="false">IF(AJ309&gt;=BL309,0,IFERROR(BL309+SUMPRODUCT((AJ$4:AJ$503&gt;=BL$4:BL$503)*(AJ$4:AJ$503-BL$4:BL$503))/MAX(1,COUNTIF(AJ$4:AJ$503,"&lt;"&amp;BL309+0.01)),BL309))</f>
        <v>0</v>
      </c>
      <c r="CA309" s="92" t="n">
        <f aca="false">IF(AK309&gt;=BM309,0,IFERROR(BM309+SUMPRODUCT((AK$4:AK$503&gt;=BM$4:BM$503)*(AK$4:AK$503-BM$4:BM$503))/MAX(1,COUNTIF(AK$4:AK$503,"&lt;"&amp;BM309+0.01)),BM309))</f>
        <v>7314.89836842105</v>
      </c>
      <c r="CB309" s="93" t="n">
        <f aca="false">IF(AL309&gt;=BN309,0,IFERROR(BN309+SUMPRODUCT((AL$4:AL$503&gt;=BN$4:BN$503)*(AL$4:AL$503-BN$4:BN$503))/MAX(1,COUNTIF(AL$4:AL$503,"&lt;"&amp;BN309+0.01)),BN309))</f>
        <v>3597.2614925</v>
      </c>
      <c r="CC309" s="95" t="str">
        <f aca="false">IF(AO309="🟢","VERDE",IF(AO309="🟡","AMARELO",IF(AO309="🟠","VERMELHO",IF(AO309="🔴","VERMELHO","ROXO"))))</f>
        <v>VERMELHO</v>
      </c>
      <c r="CD309" s="96" t="s">
        <v>176</v>
      </c>
      <c r="CE309" s="96" t="s">
        <v>115</v>
      </c>
    </row>
    <row r="310" customFormat="false" ht="14.25" hidden="false" customHeight="true" outlineLevel="0" collapsed="false">
      <c r="A310" s="65" t="s">
        <v>756</v>
      </c>
      <c r="B310" s="66" t="s">
        <v>757</v>
      </c>
      <c r="C310" s="67" t="s">
        <v>107</v>
      </c>
      <c r="D310" s="68" t="s">
        <v>108</v>
      </c>
      <c r="E310" s="69" t="s">
        <v>196</v>
      </c>
      <c r="F310" s="70" t="n">
        <f aca="false">IFERROR(VLOOKUP(C310,$AS$3:$AT$10,2,FALSE()),IFERROR(VLOOKUP(C310,$AS$15:$AT$22,2,FALSE()),""))</f>
        <v>132</v>
      </c>
      <c r="G310" s="71" t="n">
        <f aca="false">IFERROR(VLOOKUP(C310,$AS$3:$AX$10,6,FALSE()),IFERROR(VLOOKUP(C310,$AS$15:$AX$22,6,FALSE()),""))</f>
        <v>0.468190175850689</v>
      </c>
      <c r="H310" s="72" t="str">
        <f aca="false">IFERROR(VLOOKUP(C310,$AS$3:$AY$10,7,FALSE()),IFERROR(VLOOKUP(C310,$AS$15:$AY$22,7,FALSE()),""))</f>
        <v>🟡 AMARELO</v>
      </c>
      <c r="I310" s="72" t="str">
        <f aca="false">IFERROR(VLOOKUP(C310,$AS$3:$AZ$10,8,FALSE()),IFERROR(VLOOKUP(C310,$AS$15:$AZ$22,8,FALSE()),""))</f>
        <v>Sell Out</v>
      </c>
      <c r="J310" s="73"/>
      <c r="K310" s="69" t="s">
        <v>107</v>
      </c>
      <c r="L310" s="74" t="n">
        <v>3351.05</v>
      </c>
      <c r="M310" s="75" t="n">
        <v>235.49</v>
      </c>
      <c r="N310" s="75" t="n">
        <v>246.08</v>
      </c>
      <c r="O310" s="75" t="n">
        <v>252.01</v>
      </c>
      <c r="P310" s="75" t="n">
        <v>258.57</v>
      </c>
      <c r="Q310" s="75" t="n">
        <v>267.04</v>
      </c>
      <c r="R310" s="75" t="n">
        <v>274.03</v>
      </c>
      <c r="S310" s="75" t="n">
        <v>284.62</v>
      </c>
      <c r="T310" s="75" t="n">
        <v>291.61</v>
      </c>
      <c r="U310" s="75" t="n">
        <v>298.17</v>
      </c>
      <c r="V310" s="75" t="n">
        <v>305.58</v>
      </c>
      <c r="W310" s="75" t="n">
        <v>313.63</v>
      </c>
      <c r="X310" s="76" t="n">
        <v>324.22</v>
      </c>
      <c r="Y310" s="77" t="s">
        <v>20</v>
      </c>
      <c r="Z310" s="78" t="n">
        <f aca="false">SUM(AA310:AL310)</f>
        <v>1347.63</v>
      </c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9" t="n">
        <v>1347.63</v>
      </c>
      <c r="AL310" s="76"/>
      <c r="AM310" s="56" t="s">
        <v>20</v>
      </c>
      <c r="AN310" s="80" t="n">
        <f aca="false">IF(L310=0,0,Z310/L310)</f>
        <v>0.402151564435028</v>
      </c>
      <c r="AO310" s="81" t="str">
        <f aca="false">IF(AN310="","",IF(AN310&gt;=0.9,"🟢",IF(AN310&gt;=0.7,"🟡",IF(AN310&gt;=0.5,"🟠","🔴"))))</f>
        <v>🔴</v>
      </c>
      <c r="AP310" s="82" t="n">
        <f aca="false">IF(L310=0,0,L310-Z310)</f>
        <v>2003.42</v>
      </c>
      <c r="AQ310" s="83" t="n">
        <f aca="false">IF(AP310=0,"",RANK(AP310,AP$4:AP$503,0))</f>
        <v>271</v>
      </c>
      <c r="AR310" s="84" t="s">
        <v>20</v>
      </c>
      <c r="AS310" s="141"/>
      <c r="AT310" s="141"/>
      <c r="AU310" s="141"/>
      <c r="AV310" s="141"/>
      <c r="AW310" s="141"/>
      <c r="AX310" s="141"/>
      <c r="AY310" s="142"/>
      <c r="AZ310" s="142"/>
      <c r="BA310" s="56" t="s">
        <v>20</v>
      </c>
      <c r="BB310" s="91" t="n">
        <f aca="false">SUM(L$4:L$503)/COUNTA(A$4:A$503)</f>
        <v>9494.39992</v>
      </c>
      <c r="BC310" s="92" t="n">
        <f aca="false">SUM(M$4:M$503)/COUNTA(A$4:A$503)</f>
        <v>667.20008</v>
      </c>
      <c r="BD310" s="92" t="n">
        <f aca="false">SUM(N$4:N$503)/COUNTA(A$4:A$503)</f>
        <v>697.19996</v>
      </c>
      <c r="BE310" s="92" t="n">
        <f aca="false">SUM(O$4:O$503)/COUNTA(A$4:A$503)</f>
        <v>713.9999</v>
      </c>
      <c r="BF310" s="92" t="n">
        <f aca="false">SUM(P$4:P$503)/COUNTA(A$4:A$503)</f>
        <v>732.59984</v>
      </c>
      <c r="BG310" s="92" t="n">
        <f aca="false">SUM(Q$4:Q$503)/COUNTA(A$4:A$503)</f>
        <v>756.59992</v>
      </c>
      <c r="BH310" s="92" t="n">
        <f aca="false">SUM(R$4:R$503)/COUNTA(A$4:A$503)</f>
        <v>776.40004</v>
      </c>
      <c r="BI310" s="92" t="n">
        <f aca="false">SUM(S$4:S$503)/COUNTA(A$4:A$503)</f>
        <v>806.40012</v>
      </c>
      <c r="BJ310" s="92" t="n">
        <f aca="false">SUM(T$4:T$503)/COUNTA(A$4:A$503)</f>
        <v>826.1999</v>
      </c>
      <c r="BK310" s="92" t="n">
        <f aca="false">SUM(U$4:U$503)/COUNTA(A$4:A$503)</f>
        <v>844.8002</v>
      </c>
      <c r="BL310" s="92" t="n">
        <f aca="false">SUM(V$4:V$503)/COUNTA(A$4:A$503)</f>
        <v>865.7998</v>
      </c>
      <c r="BM310" s="92" t="n">
        <f aca="false">SUM(W$4:W$503)/COUNTA(A$4:A$503)</f>
        <v>888.59982</v>
      </c>
      <c r="BN310" s="93" t="n">
        <f aca="false">SUM(X$4:X$503)/COUNTA(A$4:A$503)</f>
        <v>918.60034</v>
      </c>
      <c r="BO310" s="94" t="s">
        <v>20</v>
      </c>
      <c r="BP310" s="91" t="n">
        <f aca="false">IF(Z310&gt;=BB310,0,IFERROR(BB310+(SUMPRODUCT((Z$4:Z$503&gt;=BB$4:BB$503)*(Z$4:Z$503-BB$4:BB$503))/MAX(1,COUNTIF(Z$4:Z$503,"&lt;"&amp;BB310+0.01))),BB310))</f>
        <v>10695.5432177778</v>
      </c>
      <c r="BQ310" s="92" t="n">
        <f aca="false">IF(AA310&gt;=BC310,0,IFERROR(BC310+SUMPRODUCT((AA$4:AA$503&gt;=BC$4:BC$503)*(AA$4:AA$503-BC$4:BC$503))/MAX(1,COUNTIF(AA$4:AA$503,"&lt;"&amp;BC310+0.01)),BC310))</f>
        <v>2238.46589176471</v>
      </c>
      <c r="BR310" s="92" t="n">
        <f aca="false">IF(AB310&gt;=BD310,0,IFERROR(BD310+SUMPRODUCT((AB$4:AB$503&gt;=BD$4:BD$503)*(AB$4:AB$503-BD$4:BD$503))/MAX(1,COUNTIF(AB$4:AB$503,"&lt;"&amp;BD310+0.01)),BD310))</f>
        <v>3335.2938</v>
      </c>
      <c r="BS310" s="92" t="n">
        <f aca="false">IF(AC310&gt;=BE310,0,IFERROR(BE310+SUMPRODUCT((AC$4:AC$503&gt;=BE$4:BE$503)*(AC$4:AC$503-BE$4:BE$503))/MAX(1,COUNTIF(AC$4:AC$503,"&lt;"&amp;BE310+0.01)),BE310))</f>
        <v>6188.73352</v>
      </c>
      <c r="BT310" s="92" t="n">
        <f aca="false">IF(AD310&gt;=BF310,0,IFERROR(BF310+SUMPRODUCT((AD$4:AD$503&gt;=BF$4:BF$503)*(AD$4:AD$503-BF$4:BF$503))/MAX(1,COUNTIF(AD$4:AD$503,"&lt;"&amp;BF310+0.01)),BF310))</f>
        <v>11354.35411</v>
      </c>
      <c r="BU310" s="92" t="n">
        <f aca="false">IF(AE310&gt;=BG310,0,IFERROR(BG310+SUMPRODUCT((AE$4:AE$503&gt;=BG$4:BG$503)*(AE$4:AE$503-BG$4:BG$503))/MAX(1,COUNTIF(AE$4:AE$503,"&lt;"&amp;BG310+0.01)),BG310))</f>
        <v>7704.85920380952</v>
      </c>
      <c r="BV310" s="92" t="n">
        <f aca="false">IF(AF310&gt;=BH310,0,IFERROR(BH310+SUMPRODUCT((AF$4:AF$503&gt;=BH$4:BH$503)*(AF$4:AF$503-BH$4:BH$503))/MAX(1,COUNTIF(AF$4:AF$503,"&lt;"&amp;BH310+0.01)),BH310))</f>
        <v>9942.6503831579</v>
      </c>
      <c r="BW310" s="92" t="n">
        <f aca="false">IF(AG310&gt;=BI310,0,IFERROR(BI310+SUMPRODUCT((AG$4:AG$503&gt;=BI$4:BI$503)*(AG$4:AG$503-BI$4:BI$503))/MAX(1,COUNTIF(AG$4:AG$503,"&lt;"&amp;BI310+0.01)),BI310))</f>
        <v>9142.15870461538</v>
      </c>
      <c r="BX310" s="92" t="n">
        <f aca="false">IF(AH310&gt;=BJ310,0,IFERROR(BJ310+SUMPRODUCT((AH$4:AH$503&gt;=BJ$4:BJ$503)*(AH$4:AH$503-BJ$4:BJ$503))/MAX(1,COUNTIF(AH$4:AH$503,"&lt;"&amp;BJ310+0.01)),BJ310))</f>
        <v>5621.50263448276</v>
      </c>
      <c r="BY310" s="92" t="n">
        <f aca="false">IF(AI310&gt;=BK310,0,IFERROR(BK310+SUMPRODUCT((AI$4:AI$503&gt;=BK$4:BK$503)*(AI$4:AI$503-BK$4:BK$503))/MAX(1,COUNTIF(AI$4:AI$503,"&lt;"&amp;BK310+0.01)),BK310))</f>
        <v>7878.25652380952</v>
      </c>
      <c r="BZ310" s="92" t="n">
        <f aca="false">IF(AJ310&gt;=BL310,0,IFERROR(BL310+SUMPRODUCT((AJ$4:AJ$503&gt;=BL$4:BL$503)*(AJ$4:AJ$503-BL$4:BL$503))/MAX(1,COUNTIF(AJ$4:AJ$503,"&lt;"&amp;BL310+0.01)),BL310))</f>
        <v>6710.03292307692</v>
      </c>
      <c r="CA310" s="92" t="n">
        <f aca="false">IF(AK310&gt;=BM310,0,IFERROR(BM310+SUMPRODUCT((AK$4:AK$503&gt;=BM$4:BM$503)*(AK$4:AK$503-BM$4:BM$503))/MAX(1,COUNTIF(AK$4:AK$503,"&lt;"&amp;BM310+0.01)),BM310))</f>
        <v>0</v>
      </c>
      <c r="CB310" s="93" t="n">
        <f aca="false">IF(AL310&gt;=BN310,0,IFERROR(BN310+SUMPRODUCT((AL$4:AL$503&gt;=BN$4:BN$503)*(AL$4:AL$503-BN$4:BN$503))/MAX(1,COUNTIF(AL$4:AL$503,"&lt;"&amp;BN310+0.01)),BN310))</f>
        <v>3597.2614925</v>
      </c>
      <c r="CC310" s="95" t="str">
        <f aca="false">IF(AO310="🟢","VERDE",IF(AO310="🟡","AMARELO",IF(AO310="🟠","VERMELHO",IF(AO310="🔴","VERMELHO","ROXO"))))</f>
        <v>VERMELHO</v>
      </c>
      <c r="CD310" s="96" t="s">
        <v>103</v>
      </c>
      <c r="CE310" s="96" t="s">
        <v>104</v>
      </c>
    </row>
    <row r="311" customFormat="false" ht="14.25" hidden="false" customHeight="true" outlineLevel="0" collapsed="false">
      <c r="A311" s="65" t="s">
        <v>758</v>
      </c>
      <c r="B311" s="66" t="s">
        <v>759</v>
      </c>
      <c r="C311" s="67" t="s">
        <v>107</v>
      </c>
      <c r="D311" s="68" t="s">
        <v>108</v>
      </c>
      <c r="E311" s="69" t="s">
        <v>196</v>
      </c>
      <c r="F311" s="70" t="n">
        <f aca="false">IFERROR(VLOOKUP(C311,$AS$3:$AT$10,2,FALSE()),IFERROR(VLOOKUP(C311,$AS$15:$AT$22,2,FALSE()),""))</f>
        <v>132</v>
      </c>
      <c r="G311" s="71" t="n">
        <f aca="false">IFERROR(VLOOKUP(C311,$AS$3:$AX$10,6,FALSE()),IFERROR(VLOOKUP(C311,$AS$15:$AX$22,6,FALSE()),""))</f>
        <v>0.468190175850689</v>
      </c>
      <c r="H311" s="72" t="str">
        <f aca="false">IFERROR(VLOOKUP(C311,$AS$3:$AY$10,7,FALSE()),IFERROR(VLOOKUP(C311,$AS$15:$AY$22,7,FALSE()),""))</f>
        <v>🟡 AMARELO</v>
      </c>
      <c r="I311" s="72" t="str">
        <f aca="false">IFERROR(VLOOKUP(C311,$AS$3:$AZ$10,8,FALSE()),IFERROR(VLOOKUP(C311,$AS$15:$AZ$22,8,FALSE()),""))</f>
        <v>Sell Out</v>
      </c>
      <c r="J311" s="73"/>
      <c r="K311" s="69" t="s">
        <v>107</v>
      </c>
      <c r="L311" s="74" t="n">
        <v>3342.13</v>
      </c>
      <c r="M311" s="75" t="n">
        <v>234.86</v>
      </c>
      <c r="N311" s="75" t="n">
        <v>245.42</v>
      </c>
      <c r="O311" s="75" t="n">
        <v>251.34</v>
      </c>
      <c r="P311" s="75" t="n">
        <v>257.88</v>
      </c>
      <c r="Q311" s="75" t="n">
        <v>266.33</v>
      </c>
      <c r="R311" s="75" t="n">
        <v>273.3</v>
      </c>
      <c r="S311" s="75" t="n">
        <v>283.86</v>
      </c>
      <c r="T311" s="75" t="n">
        <v>290.83</v>
      </c>
      <c r="U311" s="75" t="n">
        <v>297.38</v>
      </c>
      <c r="V311" s="75" t="n">
        <v>304.77</v>
      </c>
      <c r="W311" s="75" t="n">
        <v>312.8</v>
      </c>
      <c r="X311" s="76" t="n">
        <v>323.36</v>
      </c>
      <c r="Y311" s="77" t="s">
        <v>20</v>
      </c>
      <c r="Z311" s="78" t="n">
        <f aca="false">SUM(AA311:AL311)</f>
        <v>1344.05</v>
      </c>
      <c r="AA311" s="75"/>
      <c r="AB311" s="75"/>
      <c r="AC311" s="75"/>
      <c r="AD311" s="75"/>
      <c r="AE311" s="75"/>
      <c r="AF311" s="79" t="n">
        <v>690.38</v>
      </c>
      <c r="AG311" s="75"/>
      <c r="AH311" s="75"/>
      <c r="AI311" s="79" t="n">
        <v>653.67</v>
      </c>
      <c r="AJ311" s="75"/>
      <c r="AK311" s="75"/>
      <c r="AL311" s="76"/>
      <c r="AM311" s="56" t="s">
        <v>20</v>
      </c>
      <c r="AN311" s="80" t="n">
        <f aca="false">IF(L311=0,0,Z311/L311)</f>
        <v>0.402153716342572</v>
      </c>
      <c r="AO311" s="81" t="str">
        <f aca="false">IF(AN311="","",IF(AN311&gt;=0.9,"🟢",IF(AN311&gt;=0.7,"🟡",IF(AN311&gt;=0.5,"🟠","🔴"))))</f>
        <v>🔴</v>
      </c>
      <c r="AP311" s="82" t="n">
        <f aca="false">IF(L311=0,0,L311-Z311)</f>
        <v>1998.08</v>
      </c>
      <c r="AQ311" s="83" t="n">
        <f aca="false">IF(AP311=0,"",RANK(AP311,AP$4:AP$503,0))</f>
        <v>272</v>
      </c>
      <c r="AR311" s="84" t="s">
        <v>20</v>
      </c>
      <c r="AS311" s="141"/>
      <c r="AT311" s="141"/>
      <c r="AU311" s="141"/>
      <c r="AV311" s="141"/>
      <c r="AW311" s="141"/>
      <c r="AX311" s="141"/>
      <c r="AY311" s="142"/>
      <c r="AZ311" s="142"/>
      <c r="BA311" s="56" t="s">
        <v>20</v>
      </c>
      <c r="BB311" s="91" t="n">
        <f aca="false">SUM(L$4:L$503)/COUNTA(A$4:A$503)</f>
        <v>9494.39992</v>
      </c>
      <c r="BC311" s="92" t="n">
        <f aca="false">SUM(M$4:M$503)/COUNTA(A$4:A$503)</f>
        <v>667.20008</v>
      </c>
      <c r="BD311" s="92" t="n">
        <f aca="false">SUM(N$4:N$503)/COUNTA(A$4:A$503)</f>
        <v>697.19996</v>
      </c>
      <c r="BE311" s="92" t="n">
        <f aca="false">SUM(O$4:O$503)/COUNTA(A$4:A$503)</f>
        <v>713.9999</v>
      </c>
      <c r="BF311" s="92" t="n">
        <f aca="false">SUM(P$4:P$503)/COUNTA(A$4:A$503)</f>
        <v>732.59984</v>
      </c>
      <c r="BG311" s="92" t="n">
        <f aca="false">SUM(Q$4:Q$503)/COUNTA(A$4:A$503)</f>
        <v>756.59992</v>
      </c>
      <c r="BH311" s="92" t="n">
        <f aca="false">SUM(R$4:R$503)/COUNTA(A$4:A$503)</f>
        <v>776.40004</v>
      </c>
      <c r="BI311" s="92" t="n">
        <f aca="false">SUM(S$4:S$503)/COUNTA(A$4:A$503)</f>
        <v>806.40012</v>
      </c>
      <c r="BJ311" s="92" t="n">
        <f aca="false">SUM(T$4:T$503)/COUNTA(A$4:A$503)</f>
        <v>826.1999</v>
      </c>
      <c r="BK311" s="92" t="n">
        <f aca="false">SUM(U$4:U$503)/COUNTA(A$4:A$503)</f>
        <v>844.8002</v>
      </c>
      <c r="BL311" s="92" t="n">
        <f aca="false">SUM(V$4:V$503)/COUNTA(A$4:A$503)</f>
        <v>865.7998</v>
      </c>
      <c r="BM311" s="92" t="n">
        <f aca="false">SUM(W$4:W$503)/COUNTA(A$4:A$503)</f>
        <v>888.59982</v>
      </c>
      <c r="BN311" s="93" t="n">
        <f aca="false">SUM(X$4:X$503)/COUNTA(A$4:A$503)</f>
        <v>918.60034</v>
      </c>
      <c r="BO311" s="94" t="s">
        <v>20</v>
      </c>
      <c r="BP311" s="91" t="n">
        <f aca="false">IF(Z311&gt;=BB311,0,IFERROR(BB311+(SUMPRODUCT((Z$4:Z$503&gt;=BB$4:BB$503)*(Z$4:Z$503-BB$4:BB$503))/MAX(1,COUNTIF(Z$4:Z$503,"&lt;"&amp;BB311+0.01))),BB311))</f>
        <v>10695.5432177778</v>
      </c>
      <c r="BQ311" s="92" t="n">
        <f aca="false">IF(AA311&gt;=BC311,0,IFERROR(BC311+SUMPRODUCT((AA$4:AA$503&gt;=BC$4:BC$503)*(AA$4:AA$503-BC$4:BC$503))/MAX(1,COUNTIF(AA$4:AA$503,"&lt;"&amp;BC311+0.01)),BC311))</f>
        <v>2238.46589176471</v>
      </c>
      <c r="BR311" s="92" t="n">
        <f aca="false">IF(AB311&gt;=BD311,0,IFERROR(BD311+SUMPRODUCT((AB$4:AB$503&gt;=BD$4:BD$503)*(AB$4:AB$503-BD$4:BD$503))/MAX(1,COUNTIF(AB$4:AB$503,"&lt;"&amp;BD311+0.01)),BD311))</f>
        <v>3335.2938</v>
      </c>
      <c r="BS311" s="92" t="n">
        <f aca="false">IF(AC311&gt;=BE311,0,IFERROR(BE311+SUMPRODUCT((AC$4:AC$503&gt;=BE$4:BE$503)*(AC$4:AC$503-BE$4:BE$503))/MAX(1,COUNTIF(AC$4:AC$503,"&lt;"&amp;BE311+0.01)),BE311))</f>
        <v>6188.73352</v>
      </c>
      <c r="BT311" s="92" t="n">
        <f aca="false">IF(AD311&gt;=BF311,0,IFERROR(BF311+SUMPRODUCT((AD$4:AD$503&gt;=BF$4:BF$503)*(AD$4:AD$503-BF$4:BF$503))/MAX(1,COUNTIF(AD$4:AD$503,"&lt;"&amp;BF311+0.01)),BF311))</f>
        <v>11354.35411</v>
      </c>
      <c r="BU311" s="92" t="n">
        <f aca="false">IF(AE311&gt;=BG311,0,IFERROR(BG311+SUMPRODUCT((AE$4:AE$503&gt;=BG$4:BG$503)*(AE$4:AE$503-BG$4:BG$503))/MAX(1,COUNTIF(AE$4:AE$503,"&lt;"&amp;BG311+0.01)),BG311))</f>
        <v>7704.85920380952</v>
      </c>
      <c r="BV311" s="92" t="n">
        <f aca="false">IF(AF311&gt;=BH311,0,IFERROR(BH311+SUMPRODUCT((AF$4:AF$503&gt;=BH$4:BH$503)*(AF$4:AF$503-BH$4:BH$503))/MAX(1,COUNTIF(AF$4:AF$503,"&lt;"&amp;BH311+0.01)),BH311))</f>
        <v>9942.6503831579</v>
      </c>
      <c r="BW311" s="92" t="n">
        <f aca="false">IF(AG311&gt;=BI311,0,IFERROR(BI311+SUMPRODUCT((AG$4:AG$503&gt;=BI$4:BI$503)*(AG$4:AG$503-BI$4:BI$503))/MAX(1,COUNTIF(AG$4:AG$503,"&lt;"&amp;BI311+0.01)),BI311))</f>
        <v>9142.15870461538</v>
      </c>
      <c r="BX311" s="92" t="n">
        <f aca="false">IF(AH311&gt;=BJ311,0,IFERROR(BJ311+SUMPRODUCT((AH$4:AH$503&gt;=BJ$4:BJ$503)*(AH$4:AH$503-BJ$4:BJ$503))/MAX(1,COUNTIF(AH$4:AH$503,"&lt;"&amp;BJ311+0.01)),BJ311))</f>
        <v>5621.50263448276</v>
      </c>
      <c r="BY311" s="92" t="n">
        <f aca="false">IF(AI311&gt;=BK311,0,IFERROR(BK311+SUMPRODUCT((AI$4:AI$503&gt;=BK$4:BK$503)*(AI$4:AI$503-BK$4:BK$503))/MAX(1,COUNTIF(AI$4:AI$503,"&lt;"&amp;BK311+0.01)),BK311))</f>
        <v>7878.25652380952</v>
      </c>
      <c r="BZ311" s="92" t="n">
        <f aca="false">IF(AJ311&gt;=BL311,0,IFERROR(BL311+SUMPRODUCT((AJ$4:AJ$503&gt;=BL$4:BL$503)*(AJ$4:AJ$503-BL$4:BL$503))/MAX(1,COUNTIF(AJ$4:AJ$503,"&lt;"&amp;BL311+0.01)),BL311))</f>
        <v>6710.03292307692</v>
      </c>
      <c r="CA311" s="92" t="n">
        <f aca="false">IF(AK311&gt;=BM311,0,IFERROR(BM311+SUMPRODUCT((AK$4:AK$503&gt;=BM$4:BM$503)*(AK$4:AK$503-BM$4:BM$503))/MAX(1,COUNTIF(AK$4:AK$503,"&lt;"&amp;BM311+0.01)),BM311))</f>
        <v>7314.89836842105</v>
      </c>
      <c r="CB311" s="93" t="n">
        <f aca="false">IF(AL311&gt;=BN311,0,IFERROR(BN311+SUMPRODUCT((AL$4:AL$503&gt;=BN$4:BN$503)*(AL$4:AL$503-BN$4:BN$503))/MAX(1,COUNTIF(AL$4:AL$503,"&lt;"&amp;BN311+0.01)),BN311))</f>
        <v>3597.2614925</v>
      </c>
      <c r="CC311" s="95" t="str">
        <f aca="false">IF(AO311="🟢","VERDE",IF(AO311="🟡","AMARELO",IF(AO311="🟠","VERMELHO",IF(AO311="🔴","VERMELHO","ROXO"))))</f>
        <v>VERMELHO</v>
      </c>
      <c r="CD311" s="96" t="s">
        <v>103</v>
      </c>
      <c r="CE311" s="96" t="s">
        <v>104</v>
      </c>
    </row>
    <row r="312" customFormat="false" ht="14.25" hidden="false" customHeight="true" outlineLevel="0" collapsed="false">
      <c r="A312" s="65" t="s">
        <v>760</v>
      </c>
      <c r="B312" s="66" t="s">
        <v>365</v>
      </c>
      <c r="C312" s="66" t="s">
        <v>66</v>
      </c>
      <c r="D312" s="68" t="s">
        <v>175</v>
      </c>
      <c r="E312" s="69" t="s">
        <v>196</v>
      </c>
      <c r="F312" s="70" t="n">
        <f aca="false">IFERROR(VLOOKUP(C312,$AS$3:$AT$10,2,FALSE()),IFERROR(VLOOKUP(C312,$AS$15:$AT$22,2,FALSE()),""))</f>
        <v>44</v>
      </c>
      <c r="G312" s="71" t="n">
        <f aca="false">IFERROR(VLOOKUP(C312,$AS$3:$AX$10,6,FALSE()),IFERROR(VLOOKUP(C312,$AS$15:$AX$22,6,FALSE()),""))</f>
        <v>0.496839506257363</v>
      </c>
      <c r="H312" s="72" t="str">
        <f aca="false">IFERROR(VLOOKUP(C312,$AS$3:$AY$10,7,FALSE()),IFERROR(VLOOKUP(C312,$AS$15:$AY$22,7,FALSE()),""))</f>
        <v>🟡 AMARELO</v>
      </c>
      <c r="I312" s="72" t="str">
        <f aca="false">IFERROR(VLOOKUP(C312,$AS$3:$AZ$10,8,FALSE()),IFERROR(VLOOKUP(C312,$AS$15:$AZ$22,8,FALSE()),""))</f>
        <v>Sell Out</v>
      </c>
      <c r="J312" s="73"/>
      <c r="K312" s="69" t="s">
        <v>107</v>
      </c>
      <c r="L312" s="74" t="n">
        <v>3333.16</v>
      </c>
      <c r="M312" s="75" t="n">
        <v>234.23</v>
      </c>
      <c r="N312" s="75" t="n">
        <v>244.76</v>
      </c>
      <c r="O312" s="75" t="n">
        <v>250.66</v>
      </c>
      <c r="P312" s="75" t="n">
        <v>257.19</v>
      </c>
      <c r="Q312" s="75" t="n">
        <v>265.62</v>
      </c>
      <c r="R312" s="75" t="n">
        <v>272.57</v>
      </c>
      <c r="S312" s="75" t="n">
        <v>283.1</v>
      </c>
      <c r="T312" s="75" t="n">
        <v>290.05</v>
      </c>
      <c r="U312" s="75" t="n">
        <v>296.58</v>
      </c>
      <c r="V312" s="75" t="n">
        <v>303.95</v>
      </c>
      <c r="W312" s="75" t="n">
        <v>311.96</v>
      </c>
      <c r="X312" s="76" t="n">
        <v>322.49</v>
      </c>
      <c r="Y312" s="77" t="s">
        <v>20</v>
      </c>
      <c r="Z312" s="78" t="n">
        <f aca="false">SUM(AA312:AL312)</f>
        <v>5867.41</v>
      </c>
      <c r="AA312" s="75"/>
      <c r="AB312" s="75"/>
      <c r="AC312" s="79" t="n">
        <v>269.43</v>
      </c>
      <c r="AD312" s="75"/>
      <c r="AE312" s="75"/>
      <c r="AF312" s="75" t="n">
        <v>1445.07</v>
      </c>
      <c r="AG312" s="75" t="n">
        <v>2126.66</v>
      </c>
      <c r="AH312" s="79" t="n">
        <v>615</v>
      </c>
      <c r="AI312" s="75"/>
      <c r="AJ312" s="79" t="n">
        <v>1411.25</v>
      </c>
      <c r="AK312" s="75"/>
      <c r="AL312" s="76"/>
      <c r="AM312" s="56" t="s">
        <v>20</v>
      </c>
      <c r="AN312" s="80" t="n">
        <f aca="false">IF(L312=0,0,Z312/L312)</f>
        <v>1.76031453635589</v>
      </c>
      <c r="AO312" s="81" t="str">
        <f aca="false">IF(AN312="","",IF(AN312&gt;=0.9,"🟢",IF(AN312&gt;=0.7,"🟡",IF(AN312&gt;=0.5,"🟠","🔴"))))</f>
        <v>🟢</v>
      </c>
      <c r="AP312" s="82" t="n">
        <f aca="false">IF(L312=0,0,L312-Z312)</f>
        <v>-2534.25</v>
      </c>
      <c r="AQ312" s="83" t="n">
        <f aca="false">IF(AP312=0,"",RANK(AP312,AP$4:AP$503,0))</f>
        <v>497</v>
      </c>
      <c r="AR312" s="84" t="s">
        <v>20</v>
      </c>
      <c r="AS312" s="141"/>
      <c r="AT312" s="141"/>
      <c r="AU312" s="141"/>
      <c r="AV312" s="141"/>
      <c r="AW312" s="141"/>
      <c r="AX312" s="141"/>
      <c r="AY312" s="142"/>
      <c r="AZ312" s="142"/>
      <c r="BA312" s="56" t="s">
        <v>20</v>
      </c>
      <c r="BB312" s="91" t="n">
        <f aca="false">SUM(L$4:L$503)/COUNTA(A$4:A$503)</f>
        <v>9494.39992</v>
      </c>
      <c r="BC312" s="92" t="n">
        <f aca="false">SUM(M$4:M$503)/COUNTA(A$4:A$503)</f>
        <v>667.20008</v>
      </c>
      <c r="BD312" s="92" t="n">
        <f aca="false">SUM(N$4:N$503)/COUNTA(A$4:A$503)</f>
        <v>697.19996</v>
      </c>
      <c r="BE312" s="92" t="n">
        <f aca="false">SUM(O$4:O$503)/COUNTA(A$4:A$503)</f>
        <v>713.9999</v>
      </c>
      <c r="BF312" s="92" t="n">
        <f aca="false">SUM(P$4:P$503)/COUNTA(A$4:A$503)</f>
        <v>732.59984</v>
      </c>
      <c r="BG312" s="92" t="n">
        <f aca="false">SUM(Q$4:Q$503)/COUNTA(A$4:A$503)</f>
        <v>756.59992</v>
      </c>
      <c r="BH312" s="92" t="n">
        <f aca="false">SUM(R$4:R$503)/COUNTA(A$4:A$503)</f>
        <v>776.40004</v>
      </c>
      <c r="BI312" s="92" t="n">
        <f aca="false">SUM(S$4:S$503)/COUNTA(A$4:A$503)</f>
        <v>806.40012</v>
      </c>
      <c r="BJ312" s="92" t="n">
        <f aca="false">SUM(T$4:T$503)/COUNTA(A$4:A$503)</f>
        <v>826.1999</v>
      </c>
      <c r="BK312" s="92" t="n">
        <f aca="false">SUM(U$4:U$503)/COUNTA(A$4:A$503)</f>
        <v>844.8002</v>
      </c>
      <c r="BL312" s="92" t="n">
        <f aca="false">SUM(V$4:V$503)/COUNTA(A$4:A$503)</f>
        <v>865.7998</v>
      </c>
      <c r="BM312" s="92" t="n">
        <f aca="false">SUM(W$4:W$503)/COUNTA(A$4:A$503)</f>
        <v>888.59982</v>
      </c>
      <c r="BN312" s="93" t="n">
        <f aca="false">SUM(X$4:X$503)/COUNTA(A$4:A$503)</f>
        <v>918.60034</v>
      </c>
      <c r="BO312" s="94" t="s">
        <v>20</v>
      </c>
      <c r="BP312" s="91" t="n">
        <f aca="false">IF(Z312&gt;=BB312,0,IFERROR(BB312+(SUMPRODUCT((Z$4:Z$503&gt;=BB$4:BB$503)*(Z$4:Z$503-BB$4:BB$503))/MAX(1,COUNTIF(Z$4:Z$503,"&lt;"&amp;BB312+0.01))),BB312))</f>
        <v>10695.5432177778</v>
      </c>
      <c r="BQ312" s="92" t="n">
        <f aca="false">IF(AA312&gt;=BC312,0,IFERROR(BC312+SUMPRODUCT((AA$4:AA$503&gt;=BC$4:BC$503)*(AA$4:AA$503-BC$4:BC$503))/MAX(1,COUNTIF(AA$4:AA$503,"&lt;"&amp;BC312+0.01)),BC312))</f>
        <v>2238.46589176471</v>
      </c>
      <c r="BR312" s="92" t="n">
        <f aca="false">IF(AB312&gt;=BD312,0,IFERROR(BD312+SUMPRODUCT((AB$4:AB$503&gt;=BD$4:BD$503)*(AB$4:AB$503-BD$4:BD$503))/MAX(1,COUNTIF(AB$4:AB$503,"&lt;"&amp;BD312+0.01)),BD312))</f>
        <v>3335.2938</v>
      </c>
      <c r="BS312" s="92" t="n">
        <f aca="false">IF(AC312&gt;=BE312,0,IFERROR(BE312+SUMPRODUCT((AC$4:AC$503&gt;=BE$4:BE$503)*(AC$4:AC$503-BE$4:BE$503))/MAX(1,COUNTIF(AC$4:AC$503,"&lt;"&amp;BE312+0.01)),BE312))</f>
        <v>6188.73352</v>
      </c>
      <c r="BT312" s="92" t="n">
        <f aca="false">IF(AD312&gt;=BF312,0,IFERROR(BF312+SUMPRODUCT((AD$4:AD$503&gt;=BF$4:BF$503)*(AD$4:AD$503-BF$4:BF$503))/MAX(1,COUNTIF(AD$4:AD$503,"&lt;"&amp;BF312+0.01)),BF312))</f>
        <v>11354.35411</v>
      </c>
      <c r="BU312" s="92" t="n">
        <f aca="false">IF(AE312&gt;=BG312,0,IFERROR(BG312+SUMPRODUCT((AE$4:AE$503&gt;=BG$4:BG$503)*(AE$4:AE$503-BG$4:BG$503))/MAX(1,COUNTIF(AE$4:AE$503,"&lt;"&amp;BG312+0.01)),BG312))</f>
        <v>7704.85920380952</v>
      </c>
      <c r="BV312" s="92" t="n">
        <f aca="false">IF(AF312&gt;=BH312,0,IFERROR(BH312+SUMPRODUCT((AF$4:AF$503&gt;=BH$4:BH$503)*(AF$4:AF$503-BH$4:BH$503))/MAX(1,COUNTIF(AF$4:AF$503,"&lt;"&amp;BH312+0.01)),BH312))</f>
        <v>0</v>
      </c>
      <c r="BW312" s="92" t="n">
        <f aca="false">IF(AG312&gt;=BI312,0,IFERROR(BI312+SUMPRODUCT((AG$4:AG$503&gt;=BI$4:BI$503)*(AG$4:AG$503-BI$4:BI$503))/MAX(1,COUNTIF(AG$4:AG$503,"&lt;"&amp;BI312+0.01)),BI312))</f>
        <v>0</v>
      </c>
      <c r="BX312" s="92" t="n">
        <f aca="false">IF(AH312&gt;=BJ312,0,IFERROR(BJ312+SUMPRODUCT((AH$4:AH$503&gt;=BJ$4:BJ$503)*(AH$4:AH$503-BJ$4:BJ$503))/MAX(1,COUNTIF(AH$4:AH$503,"&lt;"&amp;BJ312+0.01)),BJ312))</f>
        <v>5621.50263448276</v>
      </c>
      <c r="BY312" s="92" t="n">
        <f aca="false">IF(AI312&gt;=BK312,0,IFERROR(BK312+SUMPRODUCT((AI$4:AI$503&gt;=BK$4:BK$503)*(AI$4:AI$503-BK$4:BK$503))/MAX(1,COUNTIF(AI$4:AI$503,"&lt;"&amp;BK312+0.01)),BK312))</f>
        <v>7878.25652380952</v>
      </c>
      <c r="BZ312" s="92" t="n">
        <f aca="false">IF(AJ312&gt;=BL312,0,IFERROR(BL312+SUMPRODUCT((AJ$4:AJ$503&gt;=BL$4:BL$503)*(AJ$4:AJ$503-BL$4:BL$503))/MAX(1,COUNTIF(AJ$4:AJ$503,"&lt;"&amp;BL312+0.01)),BL312))</f>
        <v>0</v>
      </c>
      <c r="CA312" s="92" t="n">
        <f aca="false">IF(AK312&gt;=BM312,0,IFERROR(BM312+SUMPRODUCT((AK$4:AK$503&gt;=BM$4:BM$503)*(AK$4:AK$503-BM$4:BM$503))/MAX(1,COUNTIF(AK$4:AK$503,"&lt;"&amp;BM312+0.01)),BM312))</f>
        <v>7314.89836842105</v>
      </c>
      <c r="CB312" s="93" t="n">
        <f aca="false">IF(AL312&gt;=BN312,0,IFERROR(BN312+SUMPRODUCT((AL$4:AL$503&gt;=BN$4:BN$503)*(AL$4:AL$503-BN$4:BN$503))/MAX(1,COUNTIF(AL$4:AL$503,"&lt;"&amp;BN312+0.01)),BN312))</f>
        <v>3597.2614925</v>
      </c>
      <c r="CC312" s="95" t="str">
        <f aca="false">IF(AO312="🟢","VERDE",IF(AO312="🟡","AMARELO",IF(AO312="🟠","VERMELHO",IF(AO312="🔴","VERMELHO","ROXO"))))</f>
        <v>VERDE</v>
      </c>
      <c r="CD312" s="96" t="s">
        <v>176</v>
      </c>
      <c r="CE312" s="96" t="s">
        <v>66</v>
      </c>
    </row>
    <row r="313" customFormat="false" ht="14.25" hidden="false" customHeight="true" outlineLevel="0" collapsed="false">
      <c r="A313" s="65" t="s">
        <v>761</v>
      </c>
      <c r="B313" s="66" t="s">
        <v>762</v>
      </c>
      <c r="C313" s="67" t="s">
        <v>118</v>
      </c>
      <c r="D313" s="68" t="s">
        <v>100</v>
      </c>
      <c r="E313" s="69" t="s">
        <v>119</v>
      </c>
      <c r="F313" s="70" t="n">
        <f aca="false">IFERROR(VLOOKUP(C313,$AS$3:$AT$10,2,FALSE()),IFERROR(VLOOKUP(C313,$AS$15:$AT$22,2,FALSE()),""))</f>
        <v>42</v>
      </c>
      <c r="G313" s="71" t="n">
        <f aca="false">IFERROR(VLOOKUP(C313,$AS$3:$AX$10,6,FALSE()),IFERROR(VLOOKUP(C313,$AS$15:$AX$22,6,FALSE()),""))</f>
        <v>0.424872083346704</v>
      </c>
      <c r="H313" s="72" t="str">
        <f aca="false">IFERROR(VLOOKUP(C313,$AS$3:$AY$10,7,FALSE()),IFERROR(VLOOKUP(C313,$AS$15:$AY$22,7,FALSE()),""))</f>
        <v>🟡 AMARELO</v>
      </c>
      <c r="I313" s="72" t="str">
        <f aca="false">IFERROR(VLOOKUP(C313,$AS$3:$AZ$10,8,FALSE()),IFERROR(VLOOKUP(C313,$AS$15:$AZ$22,8,FALSE()),""))</f>
        <v>Sell Out</v>
      </c>
      <c r="J313" s="73"/>
      <c r="K313" s="69" t="s">
        <v>118</v>
      </c>
      <c r="L313" s="74" t="n">
        <v>3322.43</v>
      </c>
      <c r="M313" s="75" t="n">
        <v>233.48</v>
      </c>
      <c r="N313" s="75" t="n">
        <v>243.98</v>
      </c>
      <c r="O313" s="75" t="n">
        <v>249.85</v>
      </c>
      <c r="P313" s="75" t="n">
        <v>256.36</v>
      </c>
      <c r="Q313" s="75" t="n">
        <v>264.76</v>
      </c>
      <c r="R313" s="75" t="n">
        <v>271.69</v>
      </c>
      <c r="S313" s="75" t="n">
        <v>282.19</v>
      </c>
      <c r="T313" s="75" t="n">
        <v>289.12</v>
      </c>
      <c r="U313" s="75" t="n">
        <v>295.63</v>
      </c>
      <c r="V313" s="75" t="n">
        <v>302.97</v>
      </c>
      <c r="W313" s="75" t="n">
        <v>310.95</v>
      </c>
      <c r="X313" s="76" t="n">
        <v>321.45</v>
      </c>
      <c r="Y313" s="77" t="s">
        <v>20</v>
      </c>
      <c r="Z313" s="78" t="n">
        <f aca="false">SUM(AA313:AL313)</f>
        <v>1901.89</v>
      </c>
      <c r="AA313" s="75"/>
      <c r="AB313" s="75"/>
      <c r="AC313" s="75"/>
      <c r="AD313" s="75"/>
      <c r="AE313" s="79" t="n">
        <v>976.06</v>
      </c>
      <c r="AF313" s="79" t="n">
        <v>925.83</v>
      </c>
      <c r="AG313" s="75"/>
      <c r="AH313" s="75"/>
      <c r="AI313" s="75"/>
      <c r="AJ313" s="75"/>
      <c r="AK313" s="75"/>
      <c r="AL313" s="76"/>
      <c r="AM313" s="56" t="s">
        <v>20</v>
      </c>
      <c r="AN313" s="80" t="n">
        <f aca="false">IF(L313=0,0,Z313/L313)</f>
        <v>0.572439449439115</v>
      </c>
      <c r="AO313" s="81" t="str">
        <f aca="false">IF(AN313="","",IF(AN313&gt;=0.9,"🟢",IF(AN313&gt;=0.7,"🟡",IF(AN313&gt;=0.5,"🟠","🔴"))))</f>
        <v>🟠</v>
      </c>
      <c r="AP313" s="82" t="n">
        <f aca="false">IF(L313=0,0,L313-Z313)</f>
        <v>1420.54</v>
      </c>
      <c r="AQ313" s="83" t="n">
        <f aca="false">IF(AP313=0,"",RANK(AP313,AP$4:AP$503,0))</f>
        <v>335</v>
      </c>
      <c r="AR313" s="84" t="s">
        <v>20</v>
      </c>
      <c r="AS313" s="141"/>
      <c r="AT313" s="141"/>
      <c r="AU313" s="141"/>
      <c r="AV313" s="141"/>
      <c r="AW313" s="141"/>
      <c r="AX313" s="141"/>
      <c r="AY313" s="142"/>
      <c r="AZ313" s="142"/>
      <c r="BA313" s="56" t="s">
        <v>20</v>
      </c>
      <c r="BB313" s="91" t="n">
        <f aca="false">SUM(L$4:L$503)/COUNTA(A$4:A$503)</f>
        <v>9494.39992</v>
      </c>
      <c r="BC313" s="92" t="n">
        <f aca="false">SUM(M$4:M$503)/COUNTA(A$4:A$503)</f>
        <v>667.20008</v>
      </c>
      <c r="BD313" s="92" t="n">
        <f aca="false">SUM(N$4:N$503)/COUNTA(A$4:A$503)</f>
        <v>697.19996</v>
      </c>
      <c r="BE313" s="92" t="n">
        <f aca="false">SUM(O$4:O$503)/COUNTA(A$4:A$503)</f>
        <v>713.9999</v>
      </c>
      <c r="BF313" s="92" t="n">
        <f aca="false">SUM(P$4:P$503)/COUNTA(A$4:A$503)</f>
        <v>732.59984</v>
      </c>
      <c r="BG313" s="92" t="n">
        <f aca="false">SUM(Q$4:Q$503)/COUNTA(A$4:A$503)</f>
        <v>756.59992</v>
      </c>
      <c r="BH313" s="92" t="n">
        <f aca="false">SUM(R$4:R$503)/COUNTA(A$4:A$503)</f>
        <v>776.40004</v>
      </c>
      <c r="BI313" s="92" t="n">
        <f aca="false">SUM(S$4:S$503)/COUNTA(A$4:A$503)</f>
        <v>806.40012</v>
      </c>
      <c r="BJ313" s="92" t="n">
        <f aca="false">SUM(T$4:T$503)/COUNTA(A$4:A$503)</f>
        <v>826.1999</v>
      </c>
      <c r="BK313" s="92" t="n">
        <f aca="false">SUM(U$4:U$503)/COUNTA(A$4:A$503)</f>
        <v>844.8002</v>
      </c>
      <c r="BL313" s="92" t="n">
        <f aca="false">SUM(V$4:V$503)/COUNTA(A$4:A$503)</f>
        <v>865.7998</v>
      </c>
      <c r="BM313" s="92" t="n">
        <f aca="false">SUM(W$4:W$503)/COUNTA(A$4:A$503)</f>
        <v>888.59982</v>
      </c>
      <c r="BN313" s="93" t="n">
        <f aca="false">SUM(X$4:X$503)/COUNTA(A$4:A$503)</f>
        <v>918.60034</v>
      </c>
      <c r="BO313" s="94" t="s">
        <v>20</v>
      </c>
      <c r="BP313" s="91" t="n">
        <f aca="false">IF(Z313&gt;=BB313,0,IFERROR(BB313+(SUMPRODUCT((Z$4:Z$503&gt;=BB$4:BB$503)*(Z$4:Z$503-BB$4:BB$503))/MAX(1,COUNTIF(Z$4:Z$503,"&lt;"&amp;BB313+0.01))),BB313))</f>
        <v>10695.5432177778</v>
      </c>
      <c r="BQ313" s="92" t="n">
        <f aca="false">IF(AA313&gt;=BC313,0,IFERROR(BC313+SUMPRODUCT((AA$4:AA$503&gt;=BC$4:BC$503)*(AA$4:AA$503-BC$4:BC$503))/MAX(1,COUNTIF(AA$4:AA$503,"&lt;"&amp;BC313+0.01)),BC313))</f>
        <v>2238.46589176471</v>
      </c>
      <c r="BR313" s="92" t="n">
        <f aca="false">IF(AB313&gt;=BD313,0,IFERROR(BD313+SUMPRODUCT((AB$4:AB$503&gt;=BD$4:BD$503)*(AB$4:AB$503-BD$4:BD$503))/MAX(1,COUNTIF(AB$4:AB$503,"&lt;"&amp;BD313+0.01)),BD313))</f>
        <v>3335.2938</v>
      </c>
      <c r="BS313" s="92" t="n">
        <f aca="false">IF(AC313&gt;=BE313,0,IFERROR(BE313+SUMPRODUCT((AC$4:AC$503&gt;=BE$4:BE$503)*(AC$4:AC$503-BE$4:BE$503))/MAX(1,COUNTIF(AC$4:AC$503,"&lt;"&amp;BE313+0.01)),BE313))</f>
        <v>6188.73352</v>
      </c>
      <c r="BT313" s="92" t="n">
        <f aca="false">IF(AD313&gt;=BF313,0,IFERROR(BF313+SUMPRODUCT((AD$4:AD$503&gt;=BF$4:BF$503)*(AD$4:AD$503-BF$4:BF$503))/MAX(1,COUNTIF(AD$4:AD$503,"&lt;"&amp;BF313+0.01)),BF313))</f>
        <v>11354.35411</v>
      </c>
      <c r="BU313" s="92" t="n">
        <f aca="false">IF(AE313&gt;=BG313,0,IFERROR(BG313+SUMPRODUCT((AE$4:AE$503&gt;=BG$4:BG$503)*(AE$4:AE$503-BG$4:BG$503))/MAX(1,COUNTIF(AE$4:AE$503,"&lt;"&amp;BG313+0.01)),BG313))</f>
        <v>0</v>
      </c>
      <c r="BV313" s="92" t="n">
        <f aca="false">IF(AF313&gt;=BH313,0,IFERROR(BH313+SUMPRODUCT((AF$4:AF$503&gt;=BH$4:BH$503)*(AF$4:AF$503-BH$4:BH$503))/MAX(1,COUNTIF(AF$4:AF$503,"&lt;"&amp;BH313+0.01)),BH313))</f>
        <v>0</v>
      </c>
      <c r="BW313" s="92" t="n">
        <f aca="false">IF(AG313&gt;=BI313,0,IFERROR(BI313+SUMPRODUCT((AG$4:AG$503&gt;=BI$4:BI$503)*(AG$4:AG$503-BI$4:BI$503))/MAX(1,COUNTIF(AG$4:AG$503,"&lt;"&amp;BI313+0.01)),BI313))</f>
        <v>9142.15870461538</v>
      </c>
      <c r="BX313" s="92" t="n">
        <f aca="false">IF(AH313&gt;=BJ313,0,IFERROR(BJ313+SUMPRODUCT((AH$4:AH$503&gt;=BJ$4:BJ$503)*(AH$4:AH$503-BJ$4:BJ$503))/MAX(1,COUNTIF(AH$4:AH$503,"&lt;"&amp;BJ313+0.01)),BJ313))</f>
        <v>5621.50263448276</v>
      </c>
      <c r="BY313" s="92" t="n">
        <f aca="false">IF(AI313&gt;=BK313,0,IFERROR(BK313+SUMPRODUCT((AI$4:AI$503&gt;=BK$4:BK$503)*(AI$4:AI$503-BK$4:BK$503))/MAX(1,COUNTIF(AI$4:AI$503,"&lt;"&amp;BK313+0.01)),BK313))</f>
        <v>7878.25652380952</v>
      </c>
      <c r="BZ313" s="92" t="n">
        <f aca="false">IF(AJ313&gt;=BL313,0,IFERROR(BL313+SUMPRODUCT((AJ$4:AJ$503&gt;=BL$4:BL$503)*(AJ$4:AJ$503-BL$4:BL$503))/MAX(1,COUNTIF(AJ$4:AJ$503,"&lt;"&amp;BL313+0.01)),BL313))</f>
        <v>6710.03292307692</v>
      </c>
      <c r="CA313" s="92" t="n">
        <f aca="false">IF(AK313&gt;=BM313,0,IFERROR(BM313+SUMPRODUCT((AK$4:AK$503&gt;=BM$4:BM$503)*(AK$4:AK$503-BM$4:BM$503))/MAX(1,COUNTIF(AK$4:AK$503,"&lt;"&amp;BM313+0.01)),BM313))</f>
        <v>7314.89836842105</v>
      </c>
      <c r="CB313" s="93" t="n">
        <f aca="false">IF(AL313&gt;=BN313,0,IFERROR(BN313+SUMPRODUCT((AL$4:AL$503&gt;=BN$4:BN$503)*(AL$4:AL$503-BN$4:BN$503))/MAX(1,COUNTIF(AL$4:AL$503,"&lt;"&amp;BN313+0.01)),BN313))</f>
        <v>3597.2614925</v>
      </c>
      <c r="CC313" s="95" t="str">
        <f aca="false">IF(AO313="🟢","VERDE",IF(AO313="🟡","AMARELO",IF(AO313="🟠","VERMELHO",IF(AO313="🔴","VERMELHO","ROXO"))))</f>
        <v>VERMELHO</v>
      </c>
      <c r="CD313" s="96" t="s">
        <v>103</v>
      </c>
      <c r="CE313" s="96" t="s">
        <v>104</v>
      </c>
    </row>
    <row r="314" customFormat="false" ht="14.25" hidden="false" customHeight="true" outlineLevel="0" collapsed="false">
      <c r="A314" s="65" t="s">
        <v>763</v>
      </c>
      <c r="B314" s="66" t="s">
        <v>764</v>
      </c>
      <c r="C314" s="67" t="s">
        <v>107</v>
      </c>
      <c r="D314" s="68" t="s">
        <v>108</v>
      </c>
      <c r="E314" s="69" t="s">
        <v>196</v>
      </c>
      <c r="F314" s="70" t="n">
        <f aca="false">IFERROR(VLOOKUP(C314,$AS$3:$AT$10,2,FALSE()),IFERROR(VLOOKUP(C314,$AS$15:$AT$22,2,FALSE()),""))</f>
        <v>132</v>
      </c>
      <c r="G314" s="71" t="n">
        <f aca="false">IFERROR(VLOOKUP(C314,$AS$3:$AX$10,6,FALSE()),IFERROR(VLOOKUP(C314,$AS$15:$AX$22,6,FALSE()),""))</f>
        <v>0.468190175850689</v>
      </c>
      <c r="H314" s="72" t="str">
        <f aca="false">IFERROR(VLOOKUP(C314,$AS$3:$AY$10,7,FALSE()),IFERROR(VLOOKUP(C314,$AS$15:$AY$22,7,FALSE()),""))</f>
        <v>🟡 AMARELO</v>
      </c>
      <c r="I314" s="72" t="str">
        <f aca="false">IFERROR(VLOOKUP(C314,$AS$3:$AZ$10,8,FALSE()),IFERROR(VLOOKUP(C314,$AS$15:$AZ$22,8,FALSE()),""))</f>
        <v>Sell Out</v>
      </c>
      <c r="J314" s="73"/>
      <c r="K314" s="69" t="s">
        <v>107</v>
      </c>
      <c r="L314" s="74" t="n">
        <v>3321.07</v>
      </c>
      <c r="M314" s="75" t="n">
        <v>233.38</v>
      </c>
      <c r="N314" s="75" t="n">
        <v>243.88</v>
      </c>
      <c r="O314" s="75" t="n">
        <v>249.75</v>
      </c>
      <c r="P314" s="75" t="n">
        <v>256.26</v>
      </c>
      <c r="Q314" s="75" t="n">
        <v>264.65</v>
      </c>
      <c r="R314" s="75" t="n">
        <v>271.58</v>
      </c>
      <c r="S314" s="75" t="n">
        <v>282.07</v>
      </c>
      <c r="T314" s="75" t="n">
        <v>289</v>
      </c>
      <c r="U314" s="75" t="n">
        <v>295.5</v>
      </c>
      <c r="V314" s="75" t="n">
        <v>302.85</v>
      </c>
      <c r="W314" s="75" t="n">
        <v>310.83</v>
      </c>
      <c r="X314" s="76" t="n">
        <v>321.32</v>
      </c>
      <c r="Y314" s="77" t="s">
        <v>20</v>
      </c>
      <c r="Z314" s="78" t="n">
        <f aca="false">SUM(AA314:AL314)</f>
        <v>1390.73</v>
      </c>
      <c r="AA314" s="75"/>
      <c r="AB314" s="75"/>
      <c r="AC314" s="75"/>
      <c r="AD314" s="75"/>
      <c r="AE314" s="79" t="n">
        <v>715.15</v>
      </c>
      <c r="AF314" s="75"/>
      <c r="AG314" s="75"/>
      <c r="AH314" s="79" t="n">
        <v>675.58</v>
      </c>
      <c r="AI314" s="75"/>
      <c r="AJ314" s="75"/>
      <c r="AK314" s="75"/>
      <c r="AL314" s="76"/>
      <c r="AM314" s="56" t="s">
        <v>20</v>
      </c>
      <c r="AN314" s="80" t="n">
        <f aca="false">IF(L314=0,0,Z314/L314)</f>
        <v>0.41875961662958</v>
      </c>
      <c r="AO314" s="81" t="str">
        <f aca="false">IF(AN314="","",IF(AN314&gt;=0.9,"🟢",IF(AN314&gt;=0.7,"🟡",IF(AN314&gt;=0.5,"🟠","🔴"))))</f>
        <v>🔴</v>
      </c>
      <c r="AP314" s="82" t="n">
        <f aca="false">IF(L314=0,0,L314-Z314)</f>
        <v>1930.34</v>
      </c>
      <c r="AQ314" s="83" t="n">
        <f aca="false">IF(AP314=0,"",RANK(AP314,AP$4:AP$503,0))</f>
        <v>277</v>
      </c>
      <c r="AR314" s="84" t="s">
        <v>20</v>
      </c>
      <c r="AS314" s="141"/>
      <c r="AT314" s="141"/>
      <c r="AU314" s="141"/>
      <c r="AV314" s="141"/>
      <c r="AW314" s="141"/>
      <c r="AX314" s="141"/>
      <c r="AY314" s="142"/>
      <c r="AZ314" s="142"/>
      <c r="BA314" s="56" t="s">
        <v>20</v>
      </c>
      <c r="BB314" s="91" t="n">
        <f aca="false">SUM(L$4:L$503)/COUNTA(A$4:A$503)</f>
        <v>9494.39992</v>
      </c>
      <c r="BC314" s="92" t="n">
        <f aca="false">SUM(M$4:M$503)/COUNTA(A$4:A$503)</f>
        <v>667.20008</v>
      </c>
      <c r="BD314" s="92" t="n">
        <f aca="false">SUM(N$4:N$503)/COUNTA(A$4:A$503)</f>
        <v>697.19996</v>
      </c>
      <c r="BE314" s="92" t="n">
        <f aca="false">SUM(O$4:O$503)/COUNTA(A$4:A$503)</f>
        <v>713.9999</v>
      </c>
      <c r="BF314" s="92" t="n">
        <f aca="false">SUM(P$4:P$503)/COUNTA(A$4:A$503)</f>
        <v>732.59984</v>
      </c>
      <c r="BG314" s="92" t="n">
        <f aca="false">SUM(Q$4:Q$503)/COUNTA(A$4:A$503)</f>
        <v>756.59992</v>
      </c>
      <c r="BH314" s="92" t="n">
        <f aca="false">SUM(R$4:R$503)/COUNTA(A$4:A$503)</f>
        <v>776.40004</v>
      </c>
      <c r="BI314" s="92" t="n">
        <f aca="false">SUM(S$4:S$503)/COUNTA(A$4:A$503)</f>
        <v>806.40012</v>
      </c>
      <c r="BJ314" s="92" t="n">
        <f aca="false">SUM(T$4:T$503)/COUNTA(A$4:A$503)</f>
        <v>826.1999</v>
      </c>
      <c r="BK314" s="92" t="n">
        <f aca="false">SUM(U$4:U$503)/COUNTA(A$4:A$503)</f>
        <v>844.8002</v>
      </c>
      <c r="BL314" s="92" t="n">
        <f aca="false">SUM(V$4:V$503)/COUNTA(A$4:A$503)</f>
        <v>865.7998</v>
      </c>
      <c r="BM314" s="92" t="n">
        <f aca="false">SUM(W$4:W$503)/COUNTA(A$4:A$503)</f>
        <v>888.59982</v>
      </c>
      <c r="BN314" s="93" t="n">
        <f aca="false">SUM(X$4:X$503)/COUNTA(A$4:A$503)</f>
        <v>918.60034</v>
      </c>
      <c r="BO314" s="94" t="s">
        <v>20</v>
      </c>
      <c r="BP314" s="91" t="n">
        <f aca="false">IF(Z314&gt;=BB314,0,IFERROR(BB314+(SUMPRODUCT((Z$4:Z$503&gt;=BB$4:BB$503)*(Z$4:Z$503-BB$4:BB$503))/MAX(1,COUNTIF(Z$4:Z$503,"&lt;"&amp;BB314+0.01))),BB314))</f>
        <v>10695.5432177778</v>
      </c>
      <c r="BQ314" s="92" t="n">
        <f aca="false">IF(AA314&gt;=BC314,0,IFERROR(BC314+SUMPRODUCT((AA$4:AA$503&gt;=BC$4:BC$503)*(AA$4:AA$503-BC$4:BC$503))/MAX(1,COUNTIF(AA$4:AA$503,"&lt;"&amp;BC314+0.01)),BC314))</f>
        <v>2238.46589176471</v>
      </c>
      <c r="BR314" s="92" t="n">
        <f aca="false">IF(AB314&gt;=BD314,0,IFERROR(BD314+SUMPRODUCT((AB$4:AB$503&gt;=BD$4:BD$503)*(AB$4:AB$503-BD$4:BD$503))/MAX(1,COUNTIF(AB$4:AB$503,"&lt;"&amp;BD314+0.01)),BD314))</f>
        <v>3335.2938</v>
      </c>
      <c r="BS314" s="92" t="n">
        <f aca="false">IF(AC314&gt;=BE314,0,IFERROR(BE314+SUMPRODUCT((AC$4:AC$503&gt;=BE$4:BE$503)*(AC$4:AC$503-BE$4:BE$503))/MAX(1,COUNTIF(AC$4:AC$503,"&lt;"&amp;BE314+0.01)),BE314))</f>
        <v>6188.73352</v>
      </c>
      <c r="BT314" s="92" t="n">
        <f aca="false">IF(AD314&gt;=BF314,0,IFERROR(BF314+SUMPRODUCT((AD$4:AD$503&gt;=BF$4:BF$503)*(AD$4:AD$503-BF$4:BF$503))/MAX(1,COUNTIF(AD$4:AD$503,"&lt;"&amp;BF314+0.01)),BF314))</f>
        <v>11354.35411</v>
      </c>
      <c r="BU314" s="92" t="n">
        <f aca="false">IF(AE314&gt;=BG314,0,IFERROR(BG314+SUMPRODUCT((AE$4:AE$503&gt;=BG$4:BG$503)*(AE$4:AE$503-BG$4:BG$503))/MAX(1,COUNTIF(AE$4:AE$503,"&lt;"&amp;BG314+0.01)),BG314))</f>
        <v>7704.85920380952</v>
      </c>
      <c r="BV314" s="92" t="n">
        <f aca="false">IF(AF314&gt;=BH314,0,IFERROR(BH314+SUMPRODUCT((AF$4:AF$503&gt;=BH$4:BH$503)*(AF$4:AF$503-BH$4:BH$503))/MAX(1,COUNTIF(AF$4:AF$503,"&lt;"&amp;BH314+0.01)),BH314))</f>
        <v>9942.6503831579</v>
      </c>
      <c r="BW314" s="92" t="n">
        <f aca="false">IF(AG314&gt;=BI314,0,IFERROR(BI314+SUMPRODUCT((AG$4:AG$503&gt;=BI$4:BI$503)*(AG$4:AG$503-BI$4:BI$503))/MAX(1,COUNTIF(AG$4:AG$503,"&lt;"&amp;BI314+0.01)),BI314))</f>
        <v>9142.15870461538</v>
      </c>
      <c r="BX314" s="92" t="n">
        <f aca="false">IF(AH314&gt;=BJ314,0,IFERROR(BJ314+SUMPRODUCT((AH$4:AH$503&gt;=BJ$4:BJ$503)*(AH$4:AH$503-BJ$4:BJ$503))/MAX(1,COUNTIF(AH$4:AH$503,"&lt;"&amp;BJ314+0.01)),BJ314))</f>
        <v>5621.50263448276</v>
      </c>
      <c r="BY314" s="92" t="n">
        <f aca="false">IF(AI314&gt;=BK314,0,IFERROR(BK314+SUMPRODUCT((AI$4:AI$503&gt;=BK$4:BK$503)*(AI$4:AI$503-BK$4:BK$503))/MAX(1,COUNTIF(AI$4:AI$503,"&lt;"&amp;BK314+0.01)),BK314))</f>
        <v>7878.25652380952</v>
      </c>
      <c r="BZ314" s="92" t="n">
        <f aca="false">IF(AJ314&gt;=BL314,0,IFERROR(BL314+SUMPRODUCT((AJ$4:AJ$503&gt;=BL$4:BL$503)*(AJ$4:AJ$503-BL$4:BL$503))/MAX(1,COUNTIF(AJ$4:AJ$503,"&lt;"&amp;BL314+0.01)),BL314))</f>
        <v>6710.03292307692</v>
      </c>
      <c r="CA314" s="92" t="n">
        <f aca="false">IF(AK314&gt;=BM314,0,IFERROR(BM314+SUMPRODUCT((AK$4:AK$503&gt;=BM$4:BM$503)*(AK$4:AK$503-BM$4:BM$503))/MAX(1,COUNTIF(AK$4:AK$503,"&lt;"&amp;BM314+0.01)),BM314))</f>
        <v>7314.89836842105</v>
      </c>
      <c r="CB314" s="93" t="n">
        <f aca="false">IF(AL314&gt;=BN314,0,IFERROR(BN314+SUMPRODUCT((AL$4:AL$503&gt;=BN$4:BN$503)*(AL$4:AL$503-BN$4:BN$503))/MAX(1,COUNTIF(AL$4:AL$503,"&lt;"&amp;BN314+0.01)),BN314))</f>
        <v>3597.2614925</v>
      </c>
      <c r="CC314" s="95" t="str">
        <f aca="false">IF(AO314="🟢","VERDE",IF(AO314="🟡","AMARELO",IF(AO314="🟠","VERMELHO",IF(AO314="🔴","VERMELHO","ROXO"))))</f>
        <v>VERMELHO</v>
      </c>
      <c r="CD314" s="96" t="s">
        <v>103</v>
      </c>
      <c r="CE314" s="96" t="s">
        <v>104</v>
      </c>
    </row>
    <row r="315" customFormat="false" ht="14.25" hidden="false" customHeight="true" outlineLevel="0" collapsed="false">
      <c r="A315" s="65" t="s">
        <v>765</v>
      </c>
      <c r="B315" s="66" t="s">
        <v>766</v>
      </c>
      <c r="C315" s="67" t="s">
        <v>113</v>
      </c>
      <c r="D315" s="68" t="s">
        <v>100</v>
      </c>
      <c r="E315" s="69" t="s">
        <v>114</v>
      </c>
      <c r="F315" s="70" t="n">
        <f aca="false">IFERROR(VLOOKUP(C315,$AS$3:$AT$10,2,FALSE()),IFERROR(VLOOKUP(C315,$AS$15:$AT$22,2,FALSE()),""))</f>
        <v>49</v>
      </c>
      <c r="G315" s="71" t="n">
        <f aca="false">IFERROR(VLOOKUP(C315,$AS$3:$AX$10,6,FALSE()),IFERROR(VLOOKUP(C315,$AS$15:$AX$22,6,FALSE()),""))</f>
        <v>0.463965086137302</v>
      </c>
      <c r="H315" s="72" t="str">
        <f aca="false">IFERROR(VLOOKUP(C315,$AS$3:$AY$10,7,FALSE()),IFERROR(VLOOKUP(C315,$AS$15:$AY$22,7,FALSE()),""))</f>
        <v>🟡 AMARELO</v>
      </c>
      <c r="I315" s="72" t="str">
        <f aca="false">IFERROR(VLOOKUP(C315,$AS$3:$AZ$10,8,FALSE()),IFERROR(VLOOKUP(C315,$AS$15:$AZ$22,8,FALSE()),""))</f>
        <v>Sell Out</v>
      </c>
      <c r="J315" s="73"/>
      <c r="K315" s="69" t="s">
        <v>113</v>
      </c>
      <c r="L315" s="74" t="n">
        <v>3303.72</v>
      </c>
      <c r="M315" s="75" t="n">
        <v>232.16</v>
      </c>
      <c r="N315" s="75" t="n">
        <v>242.6</v>
      </c>
      <c r="O315" s="75" t="n">
        <v>248.45</v>
      </c>
      <c r="P315" s="75" t="n">
        <v>254.92</v>
      </c>
      <c r="Q315" s="75" t="n">
        <v>263.27</v>
      </c>
      <c r="R315" s="75" t="n">
        <v>270.16</v>
      </c>
      <c r="S315" s="75" t="n">
        <v>280.6</v>
      </c>
      <c r="T315" s="75" t="n">
        <v>287.49</v>
      </c>
      <c r="U315" s="75" t="n">
        <v>293.96</v>
      </c>
      <c r="V315" s="75" t="n">
        <v>301.27</v>
      </c>
      <c r="W315" s="75" t="n">
        <v>309.2</v>
      </c>
      <c r="X315" s="76" t="n">
        <v>319.64</v>
      </c>
      <c r="Y315" s="77" t="s">
        <v>20</v>
      </c>
      <c r="Z315" s="78" t="n">
        <f aca="false">SUM(AA315:AL315)</f>
        <v>1415.8</v>
      </c>
      <c r="AA315" s="75"/>
      <c r="AB315" s="75"/>
      <c r="AC315" s="75"/>
      <c r="AD315" s="75"/>
      <c r="AE315" s="79" t="n">
        <v>1415.8</v>
      </c>
      <c r="AF315" s="75"/>
      <c r="AG315" s="75"/>
      <c r="AH315" s="75"/>
      <c r="AI315" s="75"/>
      <c r="AJ315" s="75"/>
      <c r="AK315" s="75"/>
      <c r="AL315" s="76"/>
      <c r="AM315" s="56" t="s">
        <v>20</v>
      </c>
      <c r="AN315" s="80" t="n">
        <f aca="false">IF(L315=0,0,Z315/L315)</f>
        <v>0.428547213444239</v>
      </c>
      <c r="AO315" s="81" t="str">
        <f aca="false">IF(AN315="","",IF(AN315&gt;=0.9,"🟢",IF(AN315&gt;=0.7,"🟡",IF(AN315&gt;=0.5,"🟠","🔴"))))</f>
        <v>🔴</v>
      </c>
      <c r="AP315" s="82" t="n">
        <f aca="false">IF(L315=0,0,L315-Z315)</f>
        <v>1887.92</v>
      </c>
      <c r="AQ315" s="83" t="n">
        <f aca="false">IF(AP315=0,"",RANK(AP315,AP$4:AP$503,0))</f>
        <v>282</v>
      </c>
      <c r="AR315" s="84" t="s">
        <v>20</v>
      </c>
      <c r="AS315" s="141"/>
      <c r="AT315" s="141"/>
      <c r="AU315" s="141"/>
      <c r="AV315" s="141"/>
      <c r="AW315" s="141"/>
      <c r="AX315" s="141"/>
      <c r="AY315" s="142"/>
      <c r="AZ315" s="142"/>
      <c r="BA315" s="56" t="s">
        <v>20</v>
      </c>
      <c r="BB315" s="91" t="n">
        <f aca="false">SUM(L$4:L$503)/COUNTA(A$4:A$503)</f>
        <v>9494.39992</v>
      </c>
      <c r="BC315" s="92" t="n">
        <f aca="false">SUM(M$4:M$503)/COUNTA(A$4:A$503)</f>
        <v>667.20008</v>
      </c>
      <c r="BD315" s="92" t="n">
        <f aca="false">SUM(N$4:N$503)/COUNTA(A$4:A$503)</f>
        <v>697.19996</v>
      </c>
      <c r="BE315" s="92" t="n">
        <f aca="false">SUM(O$4:O$503)/COUNTA(A$4:A$503)</f>
        <v>713.9999</v>
      </c>
      <c r="BF315" s="92" t="n">
        <f aca="false">SUM(P$4:P$503)/COUNTA(A$4:A$503)</f>
        <v>732.59984</v>
      </c>
      <c r="BG315" s="92" t="n">
        <f aca="false">SUM(Q$4:Q$503)/COUNTA(A$4:A$503)</f>
        <v>756.59992</v>
      </c>
      <c r="BH315" s="92" t="n">
        <f aca="false">SUM(R$4:R$503)/COUNTA(A$4:A$503)</f>
        <v>776.40004</v>
      </c>
      <c r="BI315" s="92" t="n">
        <f aca="false">SUM(S$4:S$503)/COUNTA(A$4:A$503)</f>
        <v>806.40012</v>
      </c>
      <c r="BJ315" s="92" t="n">
        <f aca="false">SUM(T$4:T$503)/COUNTA(A$4:A$503)</f>
        <v>826.1999</v>
      </c>
      <c r="BK315" s="92" t="n">
        <f aca="false">SUM(U$4:U$503)/COUNTA(A$4:A$503)</f>
        <v>844.8002</v>
      </c>
      <c r="BL315" s="92" t="n">
        <f aca="false">SUM(V$4:V$503)/COUNTA(A$4:A$503)</f>
        <v>865.7998</v>
      </c>
      <c r="BM315" s="92" t="n">
        <f aca="false">SUM(W$4:W$503)/COUNTA(A$4:A$503)</f>
        <v>888.59982</v>
      </c>
      <c r="BN315" s="93" t="n">
        <f aca="false">SUM(X$4:X$503)/COUNTA(A$4:A$503)</f>
        <v>918.60034</v>
      </c>
      <c r="BO315" s="94" t="s">
        <v>20</v>
      </c>
      <c r="BP315" s="91" t="n">
        <f aca="false">IF(Z315&gt;=BB315,0,IFERROR(BB315+(SUMPRODUCT((Z$4:Z$503&gt;=BB$4:BB$503)*(Z$4:Z$503-BB$4:BB$503))/MAX(1,COUNTIF(Z$4:Z$503,"&lt;"&amp;BB315+0.01))),BB315))</f>
        <v>10695.5432177778</v>
      </c>
      <c r="BQ315" s="92" t="n">
        <f aca="false">IF(AA315&gt;=BC315,0,IFERROR(BC315+SUMPRODUCT((AA$4:AA$503&gt;=BC$4:BC$503)*(AA$4:AA$503-BC$4:BC$503))/MAX(1,COUNTIF(AA$4:AA$503,"&lt;"&amp;BC315+0.01)),BC315))</f>
        <v>2238.46589176471</v>
      </c>
      <c r="BR315" s="92" t="n">
        <f aca="false">IF(AB315&gt;=BD315,0,IFERROR(BD315+SUMPRODUCT((AB$4:AB$503&gt;=BD$4:BD$503)*(AB$4:AB$503-BD$4:BD$503))/MAX(1,COUNTIF(AB$4:AB$503,"&lt;"&amp;BD315+0.01)),BD315))</f>
        <v>3335.2938</v>
      </c>
      <c r="BS315" s="92" t="n">
        <f aca="false">IF(AC315&gt;=BE315,0,IFERROR(BE315+SUMPRODUCT((AC$4:AC$503&gt;=BE$4:BE$503)*(AC$4:AC$503-BE$4:BE$503))/MAX(1,COUNTIF(AC$4:AC$503,"&lt;"&amp;BE315+0.01)),BE315))</f>
        <v>6188.73352</v>
      </c>
      <c r="BT315" s="92" t="n">
        <f aca="false">IF(AD315&gt;=BF315,0,IFERROR(BF315+SUMPRODUCT((AD$4:AD$503&gt;=BF$4:BF$503)*(AD$4:AD$503-BF$4:BF$503))/MAX(1,COUNTIF(AD$4:AD$503,"&lt;"&amp;BF315+0.01)),BF315))</f>
        <v>11354.35411</v>
      </c>
      <c r="BU315" s="92" t="n">
        <f aca="false">IF(AE315&gt;=BG315,0,IFERROR(BG315+SUMPRODUCT((AE$4:AE$503&gt;=BG$4:BG$503)*(AE$4:AE$503-BG$4:BG$503))/MAX(1,COUNTIF(AE$4:AE$503,"&lt;"&amp;BG315+0.01)),BG315))</f>
        <v>0</v>
      </c>
      <c r="BV315" s="92" t="n">
        <f aca="false">IF(AF315&gt;=BH315,0,IFERROR(BH315+SUMPRODUCT((AF$4:AF$503&gt;=BH$4:BH$503)*(AF$4:AF$503-BH$4:BH$503))/MAX(1,COUNTIF(AF$4:AF$503,"&lt;"&amp;BH315+0.01)),BH315))</f>
        <v>9942.6503831579</v>
      </c>
      <c r="BW315" s="92" t="n">
        <f aca="false">IF(AG315&gt;=BI315,0,IFERROR(BI315+SUMPRODUCT((AG$4:AG$503&gt;=BI$4:BI$503)*(AG$4:AG$503-BI$4:BI$503))/MAX(1,COUNTIF(AG$4:AG$503,"&lt;"&amp;BI315+0.01)),BI315))</f>
        <v>9142.15870461538</v>
      </c>
      <c r="BX315" s="92" t="n">
        <f aca="false">IF(AH315&gt;=BJ315,0,IFERROR(BJ315+SUMPRODUCT((AH$4:AH$503&gt;=BJ$4:BJ$503)*(AH$4:AH$503-BJ$4:BJ$503))/MAX(1,COUNTIF(AH$4:AH$503,"&lt;"&amp;BJ315+0.01)),BJ315))</f>
        <v>5621.50263448276</v>
      </c>
      <c r="BY315" s="92" t="n">
        <f aca="false">IF(AI315&gt;=BK315,0,IFERROR(BK315+SUMPRODUCT((AI$4:AI$503&gt;=BK$4:BK$503)*(AI$4:AI$503-BK$4:BK$503))/MAX(1,COUNTIF(AI$4:AI$503,"&lt;"&amp;BK315+0.01)),BK315))</f>
        <v>7878.25652380952</v>
      </c>
      <c r="BZ315" s="92" t="n">
        <f aca="false">IF(AJ315&gt;=BL315,0,IFERROR(BL315+SUMPRODUCT((AJ$4:AJ$503&gt;=BL$4:BL$503)*(AJ$4:AJ$503-BL$4:BL$503))/MAX(1,COUNTIF(AJ$4:AJ$503,"&lt;"&amp;BL315+0.01)),BL315))</f>
        <v>6710.03292307692</v>
      </c>
      <c r="CA315" s="92" t="n">
        <f aca="false">IF(AK315&gt;=BM315,0,IFERROR(BM315+SUMPRODUCT((AK$4:AK$503&gt;=BM$4:BM$503)*(AK$4:AK$503-BM$4:BM$503))/MAX(1,COUNTIF(AK$4:AK$503,"&lt;"&amp;BM315+0.01)),BM315))</f>
        <v>7314.89836842105</v>
      </c>
      <c r="CB315" s="93" t="n">
        <f aca="false">IF(AL315&gt;=BN315,0,IFERROR(BN315+SUMPRODUCT((AL$4:AL$503&gt;=BN$4:BN$503)*(AL$4:AL$503-BN$4:BN$503))/MAX(1,COUNTIF(AL$4:AL$503,"&lt;"&amp;BN315+0.01)),BN315))</f>
        <v>3597.2614925</v>
      </c>
      <c r="CC315" s="95" t="str">
        <f aca="false">IF(AO315="🟢","VERDE",IF(AO315="🟡","AMARELO",IF(AO315="🟠","VERMELHO",IF(AO315="🔴","VERMELHO","ROXO"))))</f>
        <v>VERMELHO</v>
      </c>
      <c r="CD315" s="96" t="s">
        <v>103</v>
      </c>
      <c r="CE315" s="96" t="s">
        <v>104</v>
      </c>
    </row>
    <row r="316" customFormat="false" ht="14.25" hidden="false" customHeight="true" outlineLevel="0" collapsed="false">
      <c r="A316" s="65" t="s">
        <v>767</v>
      </c>
      <c r="B316" s="66" t="s">
        <v>768</v>
      </c>
      <c r="C316" s="66" t="s">
        <v>110</v>
      </c>
      <c r="D316" s="68" t="s">
        <v>184</v>
      </c>
      <c r="E316" s="69" t="s">
        <v>101</v>
      </c>
      <c r="F316" s="70" t="n">
        <f aca="false">IFERROR(VLOOKUP(C316,$AS$3:$AT$10,2,FALSE()),IFERROR(VLOOKUP(C316,$AS$15:$AT$22,2,FALSE()),""))</f>
        <v>15</v>
      </c>
      <c r="G316" s="71" t="n">
        <f aca="false">IFERROR(VLOOKUP(C316,$AS$3:$AX$10,6,FALSE()),IFERROR(VLOOKUP(C316,$AS$15:$AX$22,6,FALSE()),""))</f>
        <v>0.621111876107332</v>
      </c>
      <c r="H316" s="72" t="str">
        <f aca="false">IFERROR(VLOOKUP(C316,$AS$3:$AY$10,7,FALSE()),IFERROR(VLOOKUP(C316,$AS$15:$AY$22,7,FALSE()),""))</f>
        <v>🟢 VERDE</v>
      </c>
      <c r="I316" s="72" t="str">
        <f aca="false">IFERROR(VLOOKUP(C316,$AS$3:$AZ$10,8,FALSE()),IFERROR(VLOOKUP(C316,$AS$15:$AZ$22,8,FALSE()),""))</f>
        <v>JBP</v>
      </c>
      <c r="J316" s="73"/>
      <c r="K316" s="69" t="s">
        <v>99</v>
      </c>
      <c r="L316" s="74" t="n">
        <v>3192.82</v>
      </c>
      <c r="M316" s="75" t="n">
        <v>224.37</v>
      </c>
      <c r="N316" s="75" t="n">
        <v>234.46</v>
      </c>
      <c r="O316" s="75" t="n">
        <v>240.11</v>
      </c>
      <c r="P316" s="75" t="n">
        <v>246.36</v>
      </c>
      <c r="Q316" s="75" t="n">
        <v>254.43</v>
      </c>
      <c r="R316" s="75" t="n">
        <v>261.09</v>
      </c>
      <c r="S316" s="75" t="n">
        <v>271.18</v>
      </c>
      <c r="T316" s="75" t="n">
        <v>277.84</v>
      </c>
      <c r="U316" s="75" t="n">
        <v>284.09</v>
      </c>
      <c r="V316" s="75" t="n">
        <v>291.16</v>
      </c>
      <c r="W316" s="75" t="n">
        <v>298.82</v>
      </c>
      <c r="X316" s="76" t="n">
        <v>308.91</v>
      </c>
      <c r="Y316" s="77" t="s">
        <v>20</v>
      </c>
      <c r="Z316" s="78" t="n">
        <f aca="false">SUM(AA316:AL316)</f>
        <v>1322.32</v>
      </c>
      <c r="AA316" s="75"/>
      <c r="AB316" s="75"/>
      <c r="AC316" s="75"/>
      <c r="AD316" s="75"/>
      <c r="AE316" s="75"/>
      <c r="AF316" s="75"/>
      <c r="AG316" s="75"/>
      <c r="AH316" s="79" t="n">
        <v>1322.32</v>
      </c>
      <c r="AI316" s="75"/>
      <c r="AJ316" s="75"/>
      <c r="AK316" s="75"/>
      <c r="AL316" s="76"/>
      <c r="AM316" s="56" t="s">
        <v>20</v>
      </c>
      <c r="AN316" s="80" t="n">
        <f aca="false">IF(L316=0,0,Z316/L316)</f>
        <v>0.414154258617774</v>
      </c>
      <c r="AO316" s="81" t="str">
        <f aca="false">IF(AN316="","",IF(AN316&gt;=0.9,"🟢",IF(AN316&gt;=0.7,"🟡",IF(AN316&gt;=0.5,"🟠","🔴"))))</f>
        <v>🔴</v>
      </c>
      <c r="AP316" s="82" t="n">
        <f aca="false">IF(L316=0,0,L316-Z316)</f>
        <v>1870.5</v>
      </c>
      <c r="AQ316" s="83" t="n">
        <f aca="false">IF(AP316=0,"",RANK(AP316,AP$4:AP$503,0))</f>
        <v>284</v>
      </c>
      <c r="AR316" s="84" t="s">
        <v>20</v>
      </c>
      <c r="AS316" s="141"/>
      <c r="AT316" s="141"/>
      <c r="AU316" s="141"/>
      <c r="AV316" s="141"/>
      <c r="AW316" s="141"/>
      <c r="AX316" s="141"/>
      <c r="AY316" s="142"/>
      <c r="AZ316" s="142"/>
      <c r="BA316" s="56" t="s">
        <v>20</v>
      </c>
      <c r="BB316" s="91" t="n">
        <f aca="false">SUM(L$4:L$503)/COUNTA(A$4:A$503)</f>
        <v>9494.39992</v>
      </c>
      <c r="BC316" s="92" t="n">
        <f aca="false">SUM(M$4:M$503)/COUNTA(A$4:A$503)</f>
        <v>667.20008</v>
      </c>
      <c r="BD316" s="92" t="n">
        <f aca="false">SUM(N$4:N$503)/COUNTA(A$4:A$503)</f>
        <v>697.19996</v>
      </c>
      <c r="BE316" s="92" t="n">
        <f aca="false">SUM(O$4:O$503)/COUNTA(A$4:A$503)</f>
        <v>713.9999</v>
      </c>
      <c r="BF316" s="92" t="n">
        <f aca="false">SUM(P$4:P$503)/COUNTA(A$4:A$503)</f>
        <v>732.59984</v>
      </c>
      <c r="BG316" s="92" t="n">
        <f aca="false">SUM(Q$4:Q$503)/COUNTA(A$4:A$503)</f>
        <v>756.59992</v>
      </c>
      <c r="BH316" s="92" t="n">
        <f aca="false">SUM(R$4:R$503)/COUNTA(A$4:A$503)</f>
        <v>776.40004</v>
      </c>
      <c r="BI316" s="92" t="n">
        <f aca="false">SUM(S$4:S$503)/COUNTA(A$4:A$503)</f>
        <v>806.40012</v>
      </c>
      <c r="BJ316" s="92" t="n">
        <f aca="false">SUM(T$4:T$503)/COUNTA(A$4:A$503)</f>
        <v>826.1999</v>
      </c>
      <c r="BK316" s="92" t="n">
        <f aca="false">SUM(U$4:U$503)/COUNTA(A$4:A$503)</f>
        <v>844.8002</v>
      </c>
      <c r="BL316" s="92" t="n">
        <f aca="false">SUM(V$4:V$503)/COUNTA(A$4:A$503)</f>
        <v>865.7998</v>
      </c>
      <c r="BM316" s="92" t="n">
        <f aca="false">SUM(W$4:W$503)/COUNTA(A$4:A$503)</f>
        <v>888.59982</v>
      </c>
      <c r="BN316" s="93" t="n">
        <f aca="false">SUM(X$4:X$503)/COUNTA(A$4:A$503)</f>
        <v>918.60034</v>
      </c>
      <c r="BO316" s="94" t="s">
        <v>20</v>
      </c>
      <c r="BP316" s="91" t="n">
        <f aca="false">IF(Z316&gt;=BB316,0,IFERROR(BB316+(SUMPRODUCT((Z$4:Z$503&gt;=BB$4:BB$503)*(Z$4:Z$503-BB$4:BB$503))/MAX(1,COUNTIF(Z$4:Z$503,"&lt;"&amp;BB316+0.01))),BB316))</f>
        <v>10695.5432177778</v>
      </c>
      <c r="BQ316" s="92" t="n">
        <f aca="false">IF(AA316&gt;=BC316,0,IFERROR(BC316+SUMPRODUCT((AA$4:AA$503&gt;=BC$4:BC$503)*(AA$4:AA$503-BC$4:BC$503))/MAX(1,COUNTIF(AA$4:AA$503,"&lt;"&amp;BC316+0.01)),BC316))</f>
        <v>2238.46589176471</v>
      </c>
      <c r="BR316" s="92" t="n">
        <f aca="false">IF(AB316&gt;=BD316,0,IFERROR(BD316+SUMPRODUCT((AB$4:AB$503&gt;=BD$4:BD$503)*(AB$4:AB$503-BD$4:BD$503))/MAX(1,COUNTIF(AB$4:AB$503,"&lt;"&amp;BD316+0.01)),BD316))</f>
        <v>3335.2938</v>
      </c>
      <c r="BS316" s="92" t="n">
        <f aca="false">IF(AC316&gt;=BE316,0,IFERROR(BE316+SUMPRODUCT((AC$4:AC$503&gt;=BE$4:BE$503)*(AC$4:AC$503-BE$4:BE$503))/MAX(1,COUNTIF(AC$4:AC$503,"&lt;"&amp;BE316+0.01)),BE316))</f>
        <v>6188.73352</v>
      </c>
      <c r="BT316" s="92" t="n">
        <f aca="false">IF(AD316&gt;=BF316,0,IFERROR(BF316+SUMPRODUCT((AD$4:AD$503&gt;=BF$4:BF$503)*(AD$4:AD$503-BF$4:BF$503))/MAX(1,COUNTIF(AD$4:AD$503,"&lt;"&amp;BF316+0.01)),BF316))</f>
        <v>11354.35411</v>
      </c>
      <c r="BU316" s="92" t="n">
        <f aca="false">IF(AE316&gt;=BG316,0,IFERROR(BG316+SUMPRODUCT((AE$4:AE$503&gt;=BG$4:BG$503)*(AE$4:AE$503-BG$4:BG$503))/MAX(1,COUNTIF(AE$4:AE$503,"&lt;"&amp;BG316+0.01)),BG316))</f>
        <v>7704.85920380952</v>
      </c>
      <c r="BV316" s="92" t="n">
        <f aca="false">IF(AF316&gt;=BH316,0,IFERROR(BH316+SUMPRODUCT((AF$4:AF$503&gt;=BH$4:BH$503)*(AF$4:AF$503-BH$4:BH$503))/MAX(1,COUNTIF(AF$4:AF$503,"&lt;"&amp;BH316+0.01)),BH316))</f>
        <v>9942.6503831579</v>
      </c>
      <c r="BW316" s="92" t="n">
        <f aca="false">IF(AG316&gt;=BI316,0,IFERROR(BI316+SUMPRODUCT((AG$4:AG$503&gt;=BI$4:BI$503)*(AG$4:AG$503-BI$4:BI$503))/MAX(1,COUNTIF(AG$4:AG$503,"&lt;"&amp;BI316+0.01)),BI316))</f>
        <v>9142.15870461538</v>
      </c>
      <c r="BX316" s="92" t="n">
        <f aca="false">IF(AH316&gt;=BJ316,0,IFERROR(BJ316+SUMPRODUCT((AH$4:AH$503&gt;=BJ$4:BJ$503)*(AH$4:AH$503-BJ$4:BJ$503))/MAX(1,COUNTIF(AH$4:AH$503,"&lt;"&amp;BJ316+0.01)),BJ316))</f>
        <v>0</v>
      </c>
      <c r="BY316" s="92" t="n">
        <f aca="false">IF(AI316&gt;=BK316,0,IFERROR(BK316+SUMPRODUCT((AI$4:AI$503&gt;=BK$4:BK$503)*(AI$4:AI$503-BK$4:BK$503))/MAX(1,COUNTIF(AI$4:AI$503,"&lt;"&amp;BK316+0.01)),BK316))</f>
        <v>7878.25652380952</v>
      </c>
      <c r="BZ316" s="92" t="n">
        <f aca="false">IF(AJ316&gt;=BL316,0,IFERROR(BL316+SUMPRODUCT((AJ$4:AJ$503&gt;=BL$4:BL$503)*(AJ$4:AJ$503-BL$4:BL$503))/MAX(1,COUNTIF(AJ$4:AJ$503,"&lt;"&amp;BL316+0.01)),BL316))</f>
        <v>6710.03292307692</v>
      </c>
      <c r="CA316" s="92" t="n">
        <f aca="false">IF(AK316&gt;=BM316,0,IFERROR(BM316+SUMPRODUCT((AK$4:AK$503&gt;=BM$4:BM$503)*(AK$4:AK$503-BM$4:BM$503))/MAX(1,COUNTIF(AK$4:AK$503,"&lt;"&amp;BM316+0.01)),BM316))</f>
        <v>7314.89836842105</v>
      </c>
      <c r="CB316" s="93" t="n">
        <f aca="false">IF(AL316&gt;=BN316,0,IFERROR(BN316+SUMPRODUCT((AL$4:AL$503&gt;=BN$4:BN$503)*(AL$4:AL$503-BN$4:BN$503))/MAX(1,COUNTIF(AL$4:AL$503,"&lt;"&amp;BN316+0.01)),BN316))</f>
        <v>3597.2614925</v>
      </c>
      <c r="CC316" s="95" t="str">
        <f aca="false">IF(AO316="🟢","VERDE",IF(AO316="🟡","AMARELO",IF(AO316="🟠","VERMELHO",IF(AO316="🔴","VERMELHO","ROXO"))))</f>
        <v>VERMELHO</v>
      </c>
      <c r="CD316" s="96" t="s">
        <v>176</v>
      </c>
      <c r="CE316" s="96" t="s">
        <v>110</v>
      </c>
    </row>
    <row r="317" customFormat="false" ht="14.25" hidden="false" customHeight="true" outlineLevel="0" collapsed="false">
      <c r="A317" s="65" t="s">
        <v>769</v>
      </c>
      <c r="B317" s="66" t="s">
        <v>770</v>
      </c>
      <c r="C317" s="67" t="s">
        <v>107</v>
      </c>
      <c r="D317" s="68" t="s">
        <v>108</v>
      </c>
      <c r="E317" s="69" t="s">
        <v>139</v>
      </c>
      <c r="F317" s="70" t="n">
        <f aca="false">IFERROR(VLOOKUP(C317,$AS$3:$AT$10,2,FALSE()),IFERROR(VLOOKUP(C317,$AS$15:$AT$22,2,FALSE()),""))</f>
        <v>132</v>
      </c>
      <c r="G317" s="71" t="n">
        <f aca="false">IFERROR(VLOOKUP(C317,$AS$3:$AX$10,6,FALSE()),IFERROR(VLOOKUP(C317,$AS$15:$AX$22,6,FALSE()),""))</f>
        <v>0.468190175850689</v>
      </c>
      <c r="H317" s="72" t="str">
        <f aca="false">IFERROR(VLOOKUP(C317,$AS$3:$AY$10,7,FALSE()),IFERROR(VLOOKUP(C317,$AS$15:$AY$22,7,FALSE()),""))</f>
        <v>🟡 AMARELO</v>
      </c>
      <c r="I317" s="72" t="str">
        <f aca="false">IFERROR(VLOOKUP(C317,$AS$3:$AZ$10,8,FALSE()),IFERROR(VLOOKUP(C317,$AS$15:$AZ$22,8,FALSE()),""))</f>
        <v>Sell Out</v>
      </c>
      <c r="J317" s="73"/>
      <c r="K317" s="69" t="s">
        <v>107</v>
      </c>
      <c r="L317" s="74" t="n">
        <v>3165.18</v>
      </c>
      <c r="M317" s="75" t="n">
        <v>222.43</v>
      </c>
      <c r="N317" s="75" t="n">
        <v>232.43</v>
      </c>
      <c r="O317" s="75" t="n">
        <v>238.03</v>
      </c>
      <c r="P317" s="75" t="n">
        <v>244.23</v>
      </c>
      <c r="Q317" s="75" t="n">
        <v>252.23</v>
      </c>
      <c r="R317" s="75" t="n">
        <v>258.83</v>
      </c>
      <c r="S317" s="75" t="n">
        <v>268.83</v>
      </c>
      <c r="T317" s="75" t="n">
        <v>275.43</v>
      </c>
      <c r="U317" s="75" t="n">
        <v>281.63</v>
      </c>
      <c r="V317" s="75" t="n">
        <v>288.63</v>
      </c>
      <c r="W317" s="75" t="n">
        <v>296.24</v>
      </c>
      <c r="X317" s="76" t="n">
        <v>306.24</v>
      </c>
      <c r="Y317" s="77" t="s">
        <v>20</v>
      </c>
      <c r="Z317" s="78" t="n">
        <f aca="false">SUM(AA317:AL317)</f>
        <v>1272.88</v>
      </c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107" t="n">
        <v>1272.88</v>
      </c>
      <c r="AM317" s="56" t="s">
        <v>20</v>
      </c>
      <c r="AN317" s="80" t="n">
        <f aca="false">IF(L317=0,0,Z317/L317)</f>
        <v>0.402150904529916</v>
      </c>
      <c r="AO317" s="81" t="str">
        <f aca="false">IF(AN317="","",IF(AN317&gt;=0.9,"🟢",IF(AN317&gt;=0.7,"🟡",IF(AN317&gt;=0.5,"🟠","🔴"))))</f>
        <v>🔴</v>
      </c>
      <c r="AP317" s="82" t="n">
        <f aca="false">IF(L317=0,0,L317-Z317)</f>
        <v>1892.3</v>
      </c>
      <c r="AQ317" s="83" t="n">
        <f aca="false">IF(AP317=0,"",RANK(AP317,AP$4:AP$503,0))</f>
        <v>281</v>
      </c>
      <c r="AR317" s="84" t="s">
        <v>20</v>
      </c>
      <c r="AS317" s="141"/>
      <c r="AT317" s="141"/>
      <c r="AU317" s="141"/>
      <c r="AV317" s="141"/>
      <c r="AW317" s="141"/>
      <c r="AX317" s="141"/>
      <c r="AY317" s="142"/>
      <c r="AZ317" s="142"/>
      <c r="BA317" s="56" t="s">
        <v>20</v>
      </c>
      <c r="BB317" s="91" t="n">
        <f aca="false">SUM(L$4:L$503)/COUNTA(A$4:A$503)</f>
        <v>9494.39992</v>
      </c>
      <c r="BC317" s="92" t="n">
        <f aca="false">SUM(M$4:M$503)/COUNTA(A$4:A$503)</f>
        <v>667.20008</v>
      </c>
      <c r="BD317" s="92" t="n">
        <f aca="false">SUM(N$4:N$503)/COUNTA(A$4:A$503)</f>
        <v>697.19996</v>
      </c>
      <c r="BE317" s="92" t="n">
        <f aca="false">SUM(O$4:O$503)/COUNTA(A$4:A$503)</f>
        <v>713.9999</v>
      </c>
      <c r="BF317" s="92" t="n">
        <f aca="false">SUM(P$4:P$503)/COUNTA(A$4:A$503)</f>
        <v>732.59984</v>
      </c>
      <c r="BG317" s="92" t="n">
        <f aca="false">SUM(Q$4:Q$503)/COUNTA(A$4:A$503)</f>
        <v>756.59992</v>
      </c>
      <c r="BH317" s="92" t="n">
        <f aca="false">SUM(R$4:R$503)/COUNTA(A$4:A$503)</f>
        <v>776.40004</v>
      </c>
      <c r="BI317" s="92" t="n">
        <f aca="false">SUM(S$4:S$503)/COUNTA(A$4:A$503)</f>
        <v>806.40012</v>
      </c>
      <c r="BJ317" s="92" t="n">
        <f aca="false">SUM(T$4:T$503)/COUNTA(A$4:A$503)</f>
        <v>826.1999</v>
      </c>
      <c r="BK317" s="92" t="n">
        <f aca="false">SUM(U$4:U$503)/COUNTA(A$4:A$503)</f>
        <v>844.8002</v>
      </c>
      <c r="BL317" s="92" t="n">
        <f aca="false">SUM(V$4:V$503)/COUNTA(A$4:A$503)</f>
        <v>865.7998</v>
      </c>
      <c r="BM317" s="92" t="n">
        <f aca="false">SUM(W$4:W$503)/COUNTA(A$4:A$503)</f>
        <v>888.59982</v>
      </c>
      <c r="BN317" s="93" t="n">
        <f aca="false">SUM(X$4:X$503)/COUNTA(A$4:A$503)</f>
        <v>918.60034</v>
      </c>
      <c r="BO317" s="94" t="s">
        <v>20</v>
      </c>
      <c r="BP317" s="91" t="n">
        <f aca="false">IF(Z317&gt;=BB317,0,IFERROR(BB317+(SUMPRODUCT((Z$4:Z$503&gt;=BB$4:BB$503)*(Z$4:Z$503-BB$4:BB$503))/MAX(1,COUNTIF(Z$4:Z$503,"&lt;"&amp;BB317+0.01))),BB317))</f>
        <v>10695.5432177778</v>
      </c>
      <c r="BQ317" s="92" t="n">
        <f aca="false">IF(AA317&gt;=BC317,0,IFERROR(BC317+SUMPRODUCT((AA$4:AA$503&gt;=BC$4:BC$503)*(AA$4:AA$503-BC$4:BC$503))/MAX(1,COUNTIF(AA$4:AA$503,"&lt;"&amp;BC317+0.01)),BC317))</f>
        <v>2238.46589176471</v>
      </c>
      <c r="BR317" s="92" t="n">
        <f aca="false">IF(AB317&gt;=BD317,0,IFERROR(BD317+SUMPRODUCT((AB$4:AB$503&gt;=BD$4:BD$503)*(AB$4:AB$503-BD$4:BD$503))/MAX(1,COUNTIF(AB$4:AB$503,"&lt;"&amp;BD317+0.01)),BD317))</f>
        <v>3335.2938</v>
      </c>
      <c r="BS317" s="92" t="n">
        <f aca="false">IF(AC317&gt;=BE317,0,IFERROR(BE317+SUMPRODUCT((AC$4:AC$503&gt;=BE$4:BE$503)*(AC$4:AC$503-BE$4:BE$503))/MAX(1,COUNTIF(AC$4:AC$503,"&lt;"&amp;BE317+0.01)),BE317))</f>
        <v>6188.73352</v>
      </c>
      <c r="BT317" s="92" t="n">
        <f aca="false">IF(AD317&gt;=BF317,0,IFERROR(BF317+SUMPRODUCT((AD$4:AD$503&gt;=BF$4:BF$503)*(AD$4:AD$503-BF$4:BF$503))/MAX(1,COUNTIF(AD$4:AD$503,"&lt;"&amp;BF317+0.01)),BF317))</f>
        <v>11354.35411</v>
      </c>
      <c r="BU317" s="92" t="n">
        <f aca="false">IF(AE317&gt;=BG317,0,IFERROR(BG317+SUMPRODUCT((AE$4:AE$503&gt;=BG$4:BG$503)*(AE$4:AE$503-BG$4:BG$503))/MAX(1,COUNTIF(AE$4:AE$503,"&lt;"&amp;BG317+0.01)),BG317))</f>
        <v>7704.85920380952</v>
      </c>
      <c r="BV317" s="92" t="n">
        <f aca="false">IF(AF317&gt;=BH317,0,IFERROR(BH317+SUMPRODUCT((AF$4:AF$503&gt;=BH$4:BH$503)*(AF$4:AF$503-BH$4:BH$503))/MAX(1,COUNTIF(AF$4:AF$503,"&lt;"&amp;BH317+0.01)),BH317))</f>
        <v>9942.6503831579</v>
      </c>
      <c r="BW317" s="92" t="n">
        <f aca="false">IF(AG317&gt;=BI317,0,IFERROR(BI317+SUMPRODUCT((AG$4:AG$503&gt;=BI$4:BI$503)*(AG$4:AG$503-BI$4:BI$503))/MAX(1,COUNTIF(AG$4:AG$503,"&lt;"&amp;BI317+0.01)),BI317))</f>
        <v>9142.15870461538</v>
      </c>
      <c r="BX317" s="92" t="n">
        <f aca="false">IF(AH317&gt;=BJ317,0,IFERROR(BJ317+SUMPRODUCT((AH$4:AH$503&gt;=BJ$4:BJ$503)*(AH$4:AH$503-BJ$4:BJ$503))/MAX(1,COUNTIF(AH$4:AH$503,"&lt;"&amp;BJ317+0.01)),BJ317))</f>
        <v>5621.50263448276</v>
      </c>
      <c r="BY317" s="92" t="n">
        <f aca="false">IF(AI317&gt;=BK317,0,IFERROR(BK317+SUMPRODUCT((AI$4:AI$503&gt;=BK$4:BK$503)*(AI$4:AI$503-BK$4:BK$503))/MAX(1,COUNTIF(AI$4:AI$503,"&lt;"&amp;BK317+0.01)),BK317))</f>
        <v>7878.25652380952</v>
      </c>
      <c r="BZ317" s="92" t="n">
        <f aca="false">IF(AJ317&gt;=BL317,0,IFERROR(BL317+SUMPRODUCT((AJ$4:AJ$503&gt;=BL$4:BL$503)*(AJ$4:AJ$503-BL$4:BL$503))/MAX(1,COUNTIF(AJ$4:AJ$503,"&lt;"&amp;BL317+0.01)),BL317))</f>
        <v>6710.03292307692</v>
      </c>
      <c r="CA317" s="92" t="n">
        <f aca="false">IF(AK317&gt;=BM317,0,IFERROR(BM317+SUMPRODUCT((AK$4:AK$503&gt;=BM$4:BM$503)*(AK$4:AK$503-BM$4:BM$503))/MAX(1,COUNTIF(AK$4:AK$503,"&lt;"&amp;BM317+0.01)),BM317))</f>
        <v>7314.89836842105</v>
      </c>
      <c r="CB317" s="93" t="n">
        <f aca="false">IF(AL317&gt;=BN317,0,IFERROR(BN317+SUMPRODUCT((AL$4:AL$503&gt;=BN$4:BN$503)*(AL$4:AL$503-BN$4:BN$503))/MAX(1,COUNTIF(AL$4:AL$503,"&lt;"&amp;BN317+0.01)),BN317))</f>
        <v>0</v>
      </c>
      <c r="CC317" s="95" t="str">
        <f aca="false">IF(AO317="🟢","VERDE",IF(AO317="🟡","AMARELO",IF(AO317="🟠","VERMELHO",IF(AO317="🔴","VERMELHO","ROXO"))))</f>
        <v>VERMELHO</v>
      </c>
      <c r="CD317" s="96" t="s">
        <v>103</v>
      </c>
      <c r="CE317" s="96" t="s">
        <v>104</v>
      </c>
    </row>
    <row r="318" customFormat="false" ht="14.25" hidden="false" customHeight="true" outlineLevel="0" collapsed="false">
      <c r="A318" s="65" t="s">
        <v>771</v>
      </c>
      <c r="B318" s="66" t="s">
        <v>772</v>
      </c>
      <c r="C318" s="66" t="s">
        <v>66</v>
      </c>
      <c r="D318" s="68" t="s">
        <v>175</v>
      </c>
      <c r="E318" s="69" t="s">
        <v>139</v>
      </c>
      <c r="F318" s="70" t="n">
        <f aca="false">IFERROR(VLOOKUP(C318,$AS$3:$AT$10,2,FALSE()),IFERROR(VLOOKUP(C318,$AS$15:$AT$22,2,FALSE()),""))</f>
        <v>44</v>
      </c>
      <c r="G318" s="71" t="n">
        <f aca="false">IFERROR(VLOOKUP(C318,$AS$3:$AX$10,6,FALSE()),IFERROR(VLOOKUP(C318,$AS$15:$AX$22,6,FALSE()),""))</f>
        <v>0.496839506257363</v>
      </c>
      <c r="H318" s="72" t="str">
        <f aca="false">IFERROR(VLOOKUP(C318,$AS$3:$AY$10,7,FALSE()),IFERROR(VLOOKUP(C318,$AS$15:$AY$22,7,FALSE()),""))</f>
        <v>🟡 AMARELO</v>
      </c>
      <c r="I318" s="72" t="str">
        <f aca="false">IFERROR(VLOOKUP(C318,$AS$3:$AZ$10,8,FALSE()),IFERROR(VLOOKUP(C318,$AS$15:$AZ$22,8,FALSE()),""))</f>
        <v>Sell Out</v>
      </c>
      <c r="J318" s="73"/>
      <c r="K318" s="69" t="s">
        <v>107</v>
      </c>
      <c r="L318" s="74" t="n">
        <v>3160.77</v>
      </c>
      <c r="M318" s="75" t="n">
        <v>222.12</v>
      </c>
      <c r="N318" s="75" t="n">
        <v>232.1</v>
      </c>
      <c r="O318" s="75" t="n">
        <v>237.7</v>
      </c>
      <c r="P318" s="75" t="n">
        <v>243.89</v>
      </c>
      <c r="Q318" s="75" t="n">
        <v>251.88</v>
      </c>
      <c r="R318" s="75" t="n">
        <v>258.47</v>
      </c>
      <c r="S318" s="75" t="n">
        <v>268.46</v>
      </c>
      <c r="T318" s="75" t="n">
        <v>275.05</v>
      </c>
      <c r="U318" s="75" t="n">
        <v>281.24</v>
      </c>
      <c r="V318" s="75" t="n">
        <v>288.23</v>
      </c>
      <c r="W318" s="75" t="n">
        <v>295.82</v>
      </c>
      <c r="X318" s="76" t="n">
        <v>305.81</v>
      </c>
      <c r="Y318" s="77" t="s">
        <v>20</v>
      </c>
      <c r="Z318" s="78" t="n">
        <f aca="false">SUM(AA318:AL318)</f>
        <v>1407.76</v>
      </c>
      <c r="AA318" s="75"/>
      <c r="AB318" s="75"/>
      <c r="AC318" s="75"/>
      <c r="AD318" s="75"/>
      <c r="AE318" s="75"/>
      <c r="AF318" s="79" t="n">
        <v>737.8</v>
      </c>
      <c r="AG318" s="75"/>
      <c r="AH318" s="75"/>
      <c r="AI318" s="75"/>
      <c r="AJ318" s="79" t="n">
        <v>669.96</v>
      </c>
      <c r="AK318" s="75"/>
      <c r="AL318" s="76"/>
      <c r="AM318" s="56" t="s">
        <v>20</v>
      </c>
      <c r="AN318" s="80" t="n">
        <f aca="false">IF(L318=0,0,Z318/L318)</f>
        <v>0.445385143493516</v>
      </c>
      <c r="AO318" s="81" t="str">
        <f aca="false">IF(AN318="","",IF(AN318&gt;=0.9,"🟢",IF(AN318&gt;=0.7,"🟡",IF(AN318&gt;=0.5,"🟠","🔴"))))</f>
        <v>🔴</v>
      </c>
      <c r="AP318" s="82" t="n">
        <f aca="false">IF(L318=0,0,L318-Z318)</f>
        <v>1753.01</v>
      </c>
      <c r="AQ318" s="83" t="n">
        <f aca="false">IF(AP318=0,"",RANK(AP318,AP$4:AP$503,0))</f>
        <v>297</v>
      </c>
      <c r="AR318" s="84" t="s">
        <v>20</v>
      </c>
      <c r="AS318" s="141"/>
      <c r="AT318" s="141"/>
      <c r="AU318" s="141"/>
      <c r="AV318" s="141"/>
      <c r="AW318" s="141"/>
      <c r="AX318" s="141"/>
      <c r="AY318" s="142"/>
      <c r="AZ318" s="142"/>
      <c r="BA318" s="56" t="s">
        <v>20</v>
      </c>
      <c r="BB318" s="91" t="n">
        <f aca="false">SUM(L$4:L$503)/COUNTA(A$4:A$503)</f>
        <v>9494.39992</v>
      </c>
      <c r="BC318" s="92" t="n">
        <f aca="false">SUM(M$4:M$503)/COUNTA(A$4:A$503)</f>
        <v>667.20008</v>
      </c>
      <c r="BD318" s="92" t="n">
        <f aca="false">SUM(N$4:N$503)/COUNTA(A$4:A$503)</f>
        <v>697.19996</v>
      </c>
      <c r="BE318" s="92" t="n">
        <f aca="false">SUM(O$4:O$503)/COUNTA(A$4:A$503)</f>
        <v>713.9999</v>
      </c>
      <c r="BF318" s="92" t="n">
        <f aca="false">SUM(P$4:P$503)/COUNTA(A$4:A$503)</f>
        <v>732.59984</v>
      </c>
      <c r="BG318" s="92" t="n">
        <f aca="false">SUM(Q$4:Q$503)/COUNTA(A$4:A$503)</f>
        <v>756.59992</v>
      </c>
      <c r="BH318" s="92" t="n">
        <f aca="false">SUM(R$4:R$503)/COUNTA(A$4:A$503)</f>
        <v>776.40004</v>
      </c>
      <c r="BI318" s="92" t="n">
        <f aca="false">SUM(S$4:S$503)/COUNTA(A$4:A$503)</f>
        <v>806.40012</v>
      </c>
      <c r="BJ318" s="92" t="n">
        <f aca="false">SUM(T$4:T$503)/COUNTA(A$4:A$503)</f>
        <v>826.1999</v>
      </c>
      <c r="BK318" s="92" t="n">
        <f aca="false">SUM(U$4:U$503)/COUNTA(A$4:A$503)</f>
        <v>844.8002</v>
      </c>
      <c r="BL318" s="92" t="n">
        <f aca="false">SUM(V$4:V$503)/COUNTA(A$4:A$503)</f>
        <v>865.7998</v>
      </c>
      <c r="BM318" s="92" t="n">
        <f aca="false">SUM(W$4:W$503)/COUNTA(A$4:A$503)</f>
        <v>888.59982</v>
      </c>
      <c r="BN318" s="93" t="n">
        <f aca="false">SUM(X$4:X$503)/COUNTA(A$4:A$503)</f>
        <v>918.60034</v>
      </c>
      <c r="BO318" s="94" t="s">
        <v>20</v>
      </c>
      <c r="BP318" s="91" t="n">
        <f aca="false">IF(Z318&gt;=BB318,0,IFERROR(BB318+(SUMPRODUCT((Z$4:Z$503&gt;=BB$4:BB$503)*(Z$4:Z$503-BB$4:BB$503))/MAX(1,COUNTIF(Z$4:Z$503,"&lt;"&amp;BB318+0.01))),BB318))</f>
        <v>10695.5432177778</v>
      </c>
      <c r="BQ318" s="92" t="n">
        <f aca="false">IF(AA318&gt;=BC318,0,IFERROR(BC318+SUMPRODUCT((AA$4:AA$503&gt;=BC$4:BC$503)*(AA$4:AA$503-BC$4:BC$503))/MAX(1,COUNTIF(AA$4:AA$503,"&lt;"&amp;BC318+0.01)),BC318))</f>
        <v>2238.46589176471</v>
      </c>
      <c r="BR318" s="92" t="n">
        <f aca="false">IF(AB318&gt;=BD318,0,IFERROR(BD318+SUMPRODUCT((AB$4:AB$503&gt;=BD$4:BD$503)*(AB$4:AB$503-BD$4:BD$503))/MAX(1,COUNTIF(AB$4:AB$503,"&lt;"&amp;BD318+0.01)),BD318))</f>
        <v>3335.2938</v>
      </c>
      <c r="BS318" s="92" t="n">
        <f aca="false">IF(AC318&gt;=BE318,0,IFERROR(BE318+SUMPRODUCT((AC$4:AC$503&gt;=BE$4:BE$503)*(AC$4:AC$503-BE$4:BE$503))/MAX(1,COUNTIF(AC$4:AC$503,"&lt;"&amp;BE318+0.01)),BE318))</f>
        <v>6188.73352</v>
      </c>
      <c r="BT318" s="92" t="n">
        <f aca="false">IF(AD318&gt;=BF318,0,IFERROR(BF318+SUMPRODUCT((AD$4:AD$503&gt;=BF$4:BF$503)*(AD$4:AD$503-BF$4:BF$503))/MAX(1,COUNTIF(AD$4:AD$503,"&lt;"&amp;BF318+0.01)),BF318))</f>
        <v>11354.35411</v>
      </c>
      <c r="BU318" s="92" t="n">
        <f aca="false">IF(AE318&gt;=BG318,0,IFERROR(BG318+SUMPRODUCT((AE$4:AE$503&gt;=BG$4:BG$503)*(AE$4:AE$503-BG$4:BG$503))/MAX(1,COUNTIF(AE$4:AE$503,"&lt;"&amp;BG318+0.01)),BG318))</f>
        <v>7704.85920380952</v>
      </c>
      <c r="BV318" s="92" t="n">
        <f aca="false">IF(AF318&gt;=BH318,0,IFERROR(BH318+SUMPRODUCT((AF$4:AF$503&gt;=BH$4:BH$503)*(AF$4:AF$503-BH$4:BH$503))/MAX(1,COUNTIF(AF$4:AF$503,"&lt;"&amp;BH318+0.01)),BH318))</f>
        <v>9942.6503831579</v>
      </c>
      <c r="BW318" s="92" t="n">
        <f aca="false">IF(AG318&gt;=BI318,0,IFERROR(BI318+SUMPRODUCT((AG$4:AG$503&gt;=BI$4:BI$503)*(AG$4:AG$503-BI$4:BI$503))/MAX(1,COUNTIF(AG$4:AG$503,"&lt;"&amp;BI318+0.01)),BI318))</f>
        <v>9142.15870461538</v>
      </c>
      <c r="BX318" s="92" t="n">
        <f aca="false">IF(AH318&gt;=BJ318,0,IFERROR(BJ318+SUMPRODUCT((AH$4:AH$503&gt;=BJ$4:BJ$503)*(AH$4:AH$503-BJ$4:BJ$503))/MAX(1,COUNTIF(AH$4:AH$503,"&lt;"&amp;BJ318+0.01)),BJ318))</f>
        <v>5621.50263448276</v>
      </c>
      <c r="BY318" s="92" t="n">
        <f aca="false">IF(AI318&gt;=BK318,0,IFERROR(BK318+SUMPRODUCT((AI$4:AI$503&gt;=BK$4:BK$503)*(AI$4:AI$503-BK$4:BK$503))/MAX(1,COUNTIF(AI$4:AI$503,"&lt;"&amp;BK318+0.01)),BK318))</f>
        <v>7878.25652380952</v>
      </c>
      <c r="BZ318" s="92" t="n">
        <f aca="false">IF(AJ318&gt;=BL318,0,IFERROR(BL318+SUMPRODUCT((AJ$4:AJ$503&gt;=BL$4:BL$503)*(AJ$4:AJ$503-BL$4:BL$503))/MAX(1,COUNTIF(AJ$4:AJ$503,"&lt;"&amp;BL318+0.01)),BL318))</f>
        <v>6710.03292307692</v>
      </c>
      <c r="CA318" s="92" t="n">
        <f aca="false">IF(AK318&gt;=BM318,0,IFERROR(BM318+SUMPRODUCT((AK$4:AK$503&gt;=BM$4:BM$503)*(AK$4:AK$503-BM$4:BM$503))/MAX(1,COUNTIF(AK$4:AK$503,"&lt;"&amp;BM318+0.01)),BM318))</f>
        <v>7314.89836842105</v>
      </c>
      <c r="CB318" s="93" t="n">
        <f aca="false">IF(AL318&gt;=BN318,0,IFERROR(BN318+SUMPRODUCT((AL$4:AL$503&gt;=BN$4:BN$503)*(AL$4:AL$503-BN$4:BN$503))/MAX(1,COUNTIF(AL$4:AL$503,"&lt;"&amp;BN318+0.01)),BN318))</f>
        <v>3597.2614925</v>
      </c>
      <c r="CC318" s="95" t="str">
        <f aca="false">IF(AO318="🟢","VERDE",IF(AO318="🟡","AMARELO",IF(AO318="🟠","VERMELHO",IF(AO318="🔴","VERMELHO","ROXO"))))</f>
        <v>VERMELHO</v>
      </c>
      <c r="CD318" s="96" t="s">
        <v>176</v>
      </c>
      <c r="CE318" s="96" t="s">
        <v>66</v>
      </c>
    </row>
    <row r="319" customFormat="false" ht="14.25" hidden="false" customHeight="true" outlineLevel="0" collapsed="false">
      <c r="A319" s="65" t="s">
        <v>773</v>
      </c>
      <c r="B319" s="66" t="s">
        <v>774</v>
      </c>
      <c r="C319" s="67" t="s">
        <v>113</v>
      </c>
      <c r="D319" s="68" t="s">
        <v>100</v>
      </c>
      <c r="E319" s="69" t="s">
        <v>114</v>
      </c>
      <c r="F319" s="70" t="n">
        <f aca="false">IFERROR(VLOOKUP(C319,$AS$3:$AT$10,2,FALSE()),IFERROR(VLOOKUP(C319,$AS$15:$AT$22,2,FALSE()),""))</f>
        <v>49</v>
      </c>
      <c r="G319" s="71" t="n">
        <f aca="false">IFERROR(VLOOKUP(C319,$AS$3:$AX$10,6,FALSE()),IFERROR(VLOOKUP(C319,$AS$15:$AX$22,6,FALSE()),""))</f>
        <v>0.463965086137302</v>
      </c>
      <c r="H319" s="72" t="str">
        <f aca="false">IFERROR(VLOOKUP(C319,$AS$3:$AY$10,7,FALSE()),IFERROR(VLOOKUP(C319,$AS$15:$AY$22,7,FALSE()),""))</f>
        <v>🟡 AMARELO</v>
      </c>
      <c r="I319" s="72" t="str">
        <f aca="false">IFERROR(VLOOKUP(C319,$AS$3:$AZ$10,8,FALSE()),IFERROR(VLOOKUP(C319,$AS$15:$AZ$22,8,FALSE()),""))</f>
        <v>Sell Out</v>
      </c>
      <c r="J319" s="73"/>
      <c r="K319" s="69" t="s">
        <v>113</v>
      </c>
      <c r="L319" s="74" t="n">
        <v>3153.65</v>
      </c>
      <c r="M319" s="75" t="n">
        <v>221.62</v>
      </c>
      <c r="N319" s="75" t="n">
        <v>231.58</v>
      </c>
      <c r="O319" s="75" t="n">
        <v>237.16</v>
      </c>
      <c r="P319" s="75" t="n">
        <v>243.34</v>
      </c>
      <c r="Q319" s="75" t="n">
        <v>251.31</v>
      </c>
      <c r="R319" s="75" t="n">
        <v>257.89</v>
      </c>
      <c r="S319" s="75" t="n">
        <v>267.85</v>
      </c>
      <c r="T319" s="75" t="n">
        <v>274.43</v>
      </c>
      <c r="U319" s="75" t="n">
        <v>280.61</v>
      </c>
      <c r="V319" s="75" t="n">
        <v>287.58</v>
      </c>
      <c r="W319" s="75" t="n">
        <v>295.16</v>
      </c>
      <c r="X319" s="76" t="n">
        <v>305.12</v>
      </c>
      <c r="Y319" s="77" t="s">
        <v>20</v>
      </c>
      <c r="Z319" s="78" t="n">
        <f aca="false">SUM(AA319:AL319)</f>
        <v>2015.39</v>
      </c>
      <c r="AA319" s="75"/>
      <c r="AB319" s="75"/>
      <c r="AC319" s="75"/>
      <c r="AD319" s="75"/>
      <c r="AE319" s="75"/>
      <c r="AF319" s="75"/>
      <c r="AG319" s="75" t="n">
        <v>747.14</v>
      </c>
      <c r="AH319" s="79" t="n">
        <v>600.75</v>
      </c>
      <c r="AI319" s="79" t="n">
        <v>667.5</v>
      </c>
      <c r="AJ319" s="75"/>
      <c r="AK319" s="75"/>
      <c r="AL319" s="76"/>
      <c r="AM319" s="56" t="s">
        <v>20</v>
      </c>
      <c r="AN319" s="80" t="n">
        <f aca="false">IF(L319=0,0,Z319/L319)</f>
        <v>0.639065844339099</v>
      </c>
      <c r="AO319" s="81" t="str">
        <f aca="false">IF(AN319="","",IF(AN319&gt;=0.9,"🟢",IF(AN319&gt;=0.7,"🟡",IF(AN319&gt;=0.5,"🟠","🔴"))))</f>
        <v>🟠</v>
      </c>
      <c r="AP319" s="82" t="n">
        <f aca="false">IF(L319=0,0,L319-Z319)</f>
        <v>1138.26</v>
      </c>
      <c r="AQ319" s="83" t="n">
        <f aca="false">IF(AP319=0,"",RANK(AP319,AP$4:AP$503,0))</f>
        <v>367</v>
      </c>
      <c r="AR319" s="84" t="s">
        <v>20</v>
      </c>
      <c r="AS319" s="141"/>
      <c r="AT319" s="141"/>
      <c r="AU319" s="141"/>
      <c r="AV319" s="141"/>
      <c r="AW319" s="141"/>
      <c r="AX319" s="141"/>
      <c r="AY319" s="142"/>
      <c r="AZ319" s="142"/>
      <c r="BA319" s="56" t="s">
        <v>20</v>
      </c>
      <c r="BB319" s="91" t="n">
        <f aca="false">SUM(L$4:L$503)/COUNTA(A$4:A$503)</f>
        <v>9494.39992</v>
      </c>
      <c r="BC319" s="92" t="n">
        <f aca="false">SUM(M$4:M$503)/COUNTA(A$4:A$503)</f>
        <v>667.20008</v>
      </c>
      <c r="BD319" s="92" t="n">
        <f aca="false">SUM(N$4:N$503)/COUNTA(A$4:A$503)</f>
        <v>697.19996</v>
      </c>
      <c r="BE319" s="92" t="n">
        <f aca="false">SUM(O$4:O$503)/COUNTA(A$4:A$503)</f>
        <v>713.9999</v>
      </c>
      <c r="BF319" s="92" t="n">
        <f aca="false">SUM(P$4:P$503)/COUNTA(A$4:A$503)</f>
        <v>732.59984</v>
      </c>
      <c r="BG319" s="92" t="n">
        <f aca="false">SUM(Q$4:Q$503)/COUNTA(A$4:A$503)</f>
        <v>756.59992</v>
      </c>
      <c r="BH319" s="92" t="n">
        <f aca="false">SUM(R$4:R$503)/COUNTA(A$4:A$503)</f>
        <v>776.40004</v>
      </c>
      <c r="BI319" s="92" t="n">
        <f aca="false">SUM(S$4:S$503)/COUNTA(A$4:A$503)</f>
        <v>806.40012</v>
      </c>
      <c r="BJ319" s="92" t="n">
        <f aca="false">SUM(T$4:T$503)/COUNTA(A$4:A$503)</f>
        <v>826.1999</v>
      </c>
      <c r="BK319" s="92" t="n">
        <f aca="false">SUM(U$4:U$503)/COUNTA(A$4:A$503)</f>
        <v>844.8002</v>
      </c>
      <c r="BL319" s="92" t="n">
        <f aca="false">SUM(V$4:V$503)/COUNTA(A$4:A$503)</f>
        <v>865.7998</v>
      </c>
      <c r="BM319" s="92" t="n">
        <f aca="false">SUM(W$4:W$503)/COUNTA(A$4:A$503)</f>
        <v>888.59982</v>
      </c>
      <c r="BN319" s="93" t="n">
        <f aca="false">SUM(X$4:X$503)/COUNTA(A$4:A$503)</f>
        <v>918.60034</v>
      </c>
      <c r="BO319" s="94" t="s">
        <v>20</v>
      </c>
      <c r="BP319" s="91" t="n">
        <f aca="false">IF(Z319&gt;=BB319,0,IFERROR(BB319+(SUMPRODUCT((Z$4:Z$503&gt;=BB$4:BB$503)*(Z$4:Z$503-BB$4:BB$503))/MAX(1,COUNTIF(Z$4:Z$503,"&lt;"&amp;BB319+0.01))),BB319))</f>
        <v>10695.5432177778</v>
      </c>
      <c r="BQ319" s="92" t="n">
        <f aca="false">IF(AA319&gt;=BC319,0,IFERROR(BC319+SUMPRODUCT((AA$4:AA$503&gt;=BC$4:BC$503)*(AA$4:AA$503-BC$4:BC$503))/MAX(1,COUNTIF(AA$4:AA$503,"&lt;"&amp;BC319+0.01)),BC319))</f>
        <v>2238.46589176471</v>
      </c>
      <c r="BR319" s="92" t="n">
        <f aca="false">IF(AB319&gt;=BD319,0,IFERROR(BD319+SUMPRODUCT((AB$4:AB$503&gt;=BD$4:BD$503)*(AB$4:AB$503-BD$4:BD$503))/MAX(1,COUNTIF(AB$4:AB$503,"&lt;"&amp;BD319+0.01)),BD319))</f>
        <v>3335.2938</v>
      </c>
      <c r="BS319" s="92" t="n">
        <f aca="false">IF(AC319&gt;=BE319,0,IFERROR(BE319+SUMPRODUCT((AC$4:AC$503&gt;=BE$4:BE$503)*(AC$4:AC$503-BE$4:BE$503))/MAX(1,COUNTIF(AC$4:AC$503,"&lt;"&amp;BE319+0.01)),BE319))</f>
        <v>6188.73352</v>
      </c>
      <c r="BT319" s="92" t="n">
        <f aca="false">IF(AD319&gt;=BF319,0,IFERROR(BF319+SUMPRODUCT((AD$4:AD$503&gt;=BF$4:BF$503)*(AD$4:AD$503-BF$4:BF$503))/MAX(1,COUNTIF(AD$4:AD$503,"&lt;"&amp;BF319+0.01)),BF319))</f>
        <v>11354.35411</v>
      </c>
      <c r="BU319" s="92" t="n">
        <f aca="false">IF(AE319&gt;=BG319,0,IFERROR(BG319+SUMPRODUCT((AE$4:AE$503&gt;=BG$4:BG$503)*(AE$4:AE$503-BG$4:BG$503))/MAX(1,COUNTIF(AE$4:AE$503,"&lt;"&amp;BG319+0.01)),BG319))</f>
        <v>7704.85920380952</v>
      </c>
      <c r="BV319" s="92" t="n">
        <f aca="false">IF(AF319&gt;=BH319,0,IFERROR(BH319+SUMPRODUCT((AF$4:AF$503&gt;=BH$4:BH$503)*(AF$4:AF$503-BH$4:BH$503))/MAX(1,COUNTIF(AF$4:AF$503,"&lt;"&amp;BH319+0.01)),BH319))</f>
        <v>9942.6503831579</v>
      </c>
      <c r="BW319" s="92" t="n">
        <f aca="false">IF(AG319&gt;=BI319,0,IFERROR(BI319+SUMPRODUCT((AG$4:AG$503&gt;=BI$4:BI$503)*(AG$4:AG$503-BI$4:BI$503))/MAX(1,COUNTIF(AG$4:AG$503,"&lt;"&amp;BI319+0.01)),BI319))</f>
        <v>9142.15870461538</v>
      </c>
      <c r="BX319" s="92" t="n">
        <f aca="false">IF(AH319&gt;=BJ319,0,IFERROR(BJ319+SUMPRODUCT((AH$4:AH$503&gt;=BJ$4:BJ$503)*(AH$4:AH$503-BJ$4:BJ$503))/MAX(1,COUNTIF(AH$4:AH$503,"&lt;"&amp;BJ319+0.01)),BJ319))</f>
        <v>5621.50263448276</v>
      </c>
      <c r="BY319" s="92" t="n">
        <f aca="false">IF(AI319&gt;=BK319,0,IFERROR(BK319+SUMPRODUCT((AI$4:AI$503&gt;=BK$4:BK$503)*(AI$4:AI$503-BK$4:BK$503))/MAX(1,COUNTIF(AI$4:AI$503,"&lt;"&amp;BK319+0.01)),BK319))</f>
        <v>7878.25652380952</v>
      </c>
      <c r="BZ319" s="92" t="n">
        <f aca="false">IF(AJ319&gt;=BL319,0,IFERROR(BL319+SUMPRODUCT((AJ$4:AJ$503&gt;=BL$4:BL$503)*(AJ$4:AJ$503-BL$4:BL$503))/MAX(1,COUNTIF(AJ$4:AJ$503,"&lt;"&amp;BL319+0.01)),BL319))</f>
        <v>6710.03292307692</v>
      </c>
      <c r="CA319" s="92" t="n">
        <f aca="false">IF(AK319&gt;=BM319,0,IFERROR(BM319+SUMPRODUCT((AK$4:AK$503&gt;=BM$4:BM$503)*(AK$4:AK$503-BM$4:BM$503))/MAX(1,COUNTIF(AK$4:AK$503,"&lt;"&amp;BM319+0.01)),BM319))</f>
        <v>7314.89836842105</v>
      </c>
      <c r="CB319" s="93" t="n">
        <f aca="false">IF(AL319&gt;=BN319,0,IFERROR(BN319+SUMPRODUCT((AL$4:AL$503&gt;=BN$4:BN$503)*(AL$4:AL$503-BN$4:BN$503))/MAX(1,COUNTIF(AL$4:AL$503,"&lt;"&amp;BN319+0.01)),BN319))</f>
        <v>3597.2614925</v>
      </c>
      <c r="CC319" s="95" t="str">
        <f aca="false">IF(AO319="🟢","VERDE",IF(AO319="🟡","AMARELO",IF(AO319="🟠","VERMELHO",IF(AO319="🔴","VERMELHO","ROXO"))))</f>
        <v>VERMELHO</v>
      </c>
      <c r="CD319" s="96" t="s">
        <v>103</v>
      </c>
      <c r="CE319" s="96" t="s">
        <v>104</v>
      </c>
    </row>
    <row r="320" customFormat="false" ht="14.25" hidden="false" customHeight="true" outlineLevel="0" collapsed="false">
      <c r="A320" s="65" t="s">
        <v>775</v>
      </c>
      <c r="B320" s="66" t="s">
        <v>776</v>
      </c>
      <c r="C320" s="67" t="s">
        <v>107</v>
      </c>
      <c r="D320" s="68" t="s">
        <v>108</v>
      </c>
      <c r="E320" s="69" t="s">
        <v>109</v>
      </c>
      <c r="F320" s="70" t="n">
        <f aca="false">IFERROR(VLOOKUP(C320,$AS$3:$AT$10,2,FALSE()),IFERROR(VLOOKUP(C320,$AS$15:$AT$22,2,FALSE()),""))</f>
        <v>132</v>
      </c>
      <c r="G320" s="71" t="n">
        <f aca="false">IFERROR(VLOOKUP(C320,$AS$3:$AX$10,6,FALSE()),IFERROR(VLOOKUP(C320,$AS$15:$AX$22,6,FALSE()),""))</f>
        <v>0.468190175850689</v>
      </c>
      <c r="H320" s="72" t="str">
        <f aca="false">IFERROR(VLOOKUP(C320,$AS$3:$AY$10,7,FALSE()),IFERROR(VLOOKUP(C320,$AS$15:$AY$22,7,FALSE()),""))</f>
        <v>🟡 AMARELO</v>
      </c>
      <c r="I320" s="72" t="str">
        <f aca="false">IFERROR(VLOOKUP(C320,$AS$3:$AZ$10,8,FALSE()),IFERROR(VLOOKUP(C320,$AS$15:$AZ$22,8,FALSE()),""))</f>
        <v>Sell Out</v>
      </c>
      <c r="J320" s="73"/>
      <c r="K320" s="69" t="s">
        <v>107</v>
      </c>
      <c r="L320" s="74" t="n">
        <v>3145.09</v>
      </c>
      <c r="M320" s="75" t="n">
        <v>221.01</v>
      </c>
      <c r="N320" s="75" t="n">
        <v>230.95</v>
      </c>
      <c r="O320" s="75" t="n">
        <v>236.52</v>
      </c>
      <c r="P320" s="75" t="n">
        <v>242.68</v>
      </c>
      <c r="Q320" s="75" t="n">
        <v>250.63</v>
      </c>
      <c r="R320" s="75" t="n">
        <v>257.19</v>
      </c>
      <c r="S320" s="75" t="n">
        <v>267.13</v>
      </c>
      <c r="T320" s="75" t="n">
        <v>273.68</v>
      </c>
      <c r="U320" s="75" t="n">
        <v>279.85</v>
      </c>
      <c r="V320" s="75" t="n">
        <v>286.8</v>
      </c>
      <c r="W320" s="75" t="n">
        <v>294.36</v>
      </c>
      <c r="X320" s="76" t="n">
        <v>304.29</v>
      </c>
      <c r="Y320" s="77" t="s">
        <v>20</v>
      </c>
      <c r="Z320" s="78" t="n">
        <f aca="false">SUM(AA320:AL320)</f>
        <v>1264.8</v>
      </c>
      <c r="AA320" s="79" t="n">
        <v>595.2</v>
      </c>
      <c r="AB320" s="75"/>
      <c r="AC320" s="79" t="n">
        <v>669.6</v>
      </c>
      <c r="AD320" s="75"/>
      <c r="AE320" s="75"/>
      <c r="AF320" s="75"/>
      <c r="AG320" s="75"/>
      <c r="AH320" s="75"/>
      <c r="AI320" s="75"/>
      <c r="AJ320" s="75"/>
      <c r="AK320" s="75"/>
      <c r="AL320" s="76"/>
      <c r="AM320" s="56" t="s">
        <v>20</v>
      </c>
      <c r="AN320" s="80" t="n">
        <f aca="false">IF(L320=0,0,Z320/L320)</f>
        <v>0.40215065387636</v>
      </c>
      <c r="AO320" s="81" t="str">
        <f aca="false">IF(AN320="","",IF(AN320&gt;=0.9,"🟢",IF(AN320&gt;=0.7,"🟡",IF(AN320&gt;=0.5,"🟠","🔴"))))</f>
        <v>🔴</v>
      </c>
      <c r="AP320" s="82" t="n">
        <f aca="false">IF(L320=0,0,L320-Z320)</f>
        <v>1880.29</v>
      </c>
      <c r="AQ320" s="83" t="n">
        <f aca="false">IF(AP320=0,"",RANK(AP320,AP$4:AP$503,0))</f>
        <v>283</v>
      </c>
      <c r="AR320" s="84" t="s">
        <v>20</v>
      </c>
      <c r="AS320" s="141"/>
      <c r="AT320" s="141"/>
      <c r="AU320" s="141"/>
      <c r="AV320" s="141"/>
      <c r="AW320" s="141"/>
      <c r="AX320" s="141"/>
      <c r="AY320" s="142"/>
      <c r="AZ320" s="142"/>
      <c r="BA320" s="56" t="s">
        <v>20</v>
      </c>
      <c r="BB320" s="91" t="n">
        <f aca="false">SUM(L$4:L$503)/COUNTA(A$4:A$503)</f>
        <v>9494.39992</v>
      </c>
      <c r="BC320" s="92" t="n">
        <f aca="false">SUM(M$4:M$503)/COUNTA(A$4:A$503)</f>
        <v>667.20008</v>
      </c>
      <c r="BD320" s="92" t="n">
        <f aca="false">SUM(N$4:N$503)/COUNTA(A$4:A$503)</f>
        <v>697.19996</v>
      </c>
      <c r="BE320" s="92" t="n">
        <f aca="false">SUM(O$4:O$503)/COUNTA(A$4:A$503)</f>
        <v>713.9999</v>
      </c>
      <c r="BF320" s="92" t="n">
        <f aca="false">SUM(P$4:P$503)/COUNTA(A$4:A$503)</f>
        <v>732.59984</v>
      </c>
      <c r="BG320" s="92" t="n">
        <f aca="false">SUM(Q$4:Q$503)/COUNTA(A$4:A$503)</f>
        <v>756.59992</v>
      </c>
      <c r="BH320" s="92" t="n">
        <f aca="false">SUM(R$4:R$503)/COUNTA(A$4:A$503)</f>
        <v>776.40004</v>
      </c>
      <c r="BI320" s="92" t="n">
        <f aca="false">SUM(S$4:S$503)/COUNTA(A$4:A$503)</f>
        <v>806.40012</v>
      </c>
      <c r="BJ320" s="92" t="n">
        <f aca="false">SUM(T$4:T$503)/COUNTA(A$4:A$503)</f>
        <v>826.1999</v>
      </c>
      <c r="BK320" s="92" t="n">
        <f aca="false">SUM(U$4:U$503)/COUNTA(A$4:A$503)</f>
        <v>844.8002</v>
      </c>
      <c r="BL320" s="92" t="n">
        <f aca="false">SUM(V$4:V$503)/COUNTA(A$4:A$503)</f>
        <v>865.7998</v>
      </c>
      <c r="BM320" s="92" t="n">
        <f aca="false">SUM(W$4:W$503)/COUNTA(A$4:A$503)</f>
        <v>888.59982</v>
      </c>
      <c r="BN320" s="93" t="n">
        <f aca="false">SUM(X$4:X$503)/COUNTA(A$4:A$503)</f>
        <v>918.60034</v>
      </c>
      <c r="BO320" s="94" t="s">
        <v>20</v>
      </c>
      <c r="BP320" s="91" t="n">
        <f aca="false">IF(Z320&gt;=BB320,0,IFERROR(BB320+(SUMPRODUCT((Z$4:Z$503&gt;=BB$4:BB$503)*(Z$4:Z$503-BB$4:BB$503))/MAX(1,COUNTIF(Z$4:Z$503,"&lt;"&amp;BB320+0.01))),BB320))</f>
        <v>10695.5432177778</v>
      </c>
      <c r="BQ320" s="92" t="n">
        <f aca="false">IF(AA320&gt;=BC320,0,IFERROR(BC320+SUMPRODUCT((AA$4:AA$503&gt;=BC$4:BC$503)*(AA$4:AA$503-BC$4:BC$503))/MAX(1,COUNTIF(AA$4:AA$503,"&lt;"&amp;BC320+0.01)),BC320))</f>
        <v>2238.46589176471</v>
      </c>
      <c r="BR320" s="92" t="n">
        <f aca="false">IF(AB320&gt;=BD320,0,IFERROR(BD320+SUMPRODUCT((AB$4:AB$503&gt;=BD$4:BD$503)*(AB$4:AB$503-BD$4:BD$503))/MAX(1,COUNTIF(AB$4:AB$503,"&lt;"&amp;BD320+0.01)),BD320))</f>
        <v>3335.2938</v>
      </c>
      <c r="BS320" s="92" t="n">
        <f aca="false">IF(AC320&gt;=BE320,0,IFERROR(BE320+SUMPRODUCT((AC$4:AC$503&gt;=BE$4:BE$503)*(AC$4:AC$503-BE$4:BE$503))/MAX(1,COUNTIF(AC$4:AC$503,"&lt;"&amp;BE320+0.01)),BE320))</f>
        <v>6188.73352</v>
      </c>
      <c r="BT320" s="92" t="n">
        <f aca="false">IF(AD320&gt;=BF320,0,IFERROR(BF320+SUMPRODUCT((AD$4:AD$503&gt;=BF$4:BF$503)*(AD$4:AD$503-BF$4:BF$503))/MAX(1,COUNTIF(AD$4:AD$503,"&lt;"&amp;BF320+0.01)),BF320))</f>
        <v>11354.35411</v>
      </c>
      <c r="BU320" s="92" t="n">
        <f aca="false">IF(AE320&gt;=BG320,0,IFERROR(BG320+SUMPRODUCT((AE$4:AE$503&gt;=BG$4:BG$503)*(AE$4:AE$503-BG$4:BG$503))/MAX(1,COUNTIF(AE$4:AE$503,"&lt;"&amp;BG320+0.01)),BG320))</f>
        <v>7704.85920380952</v>
      </c>
      <c r="BV320" s="92" t="n">
        <f aca="false">IF(AF320&gt;=BH320,0,IFERROR(BH320+SUMPRODUCT((AF$4:AF$503&gt;=BH$4:BH$503)*(AF$4:AF$503-BH$4:BH$503))/MAX(1,COUNTIF(AF$4:AF$503,"&lt;"&amp;BH320+0.01)),BH320))</f>
        <v>9942.6503831579</v>
      </c>
      <c r="BW320" s="92" t="n">
        <f aca="false">IF(AG320&gt;=BI320,0,IFERROR(BI320+SUMPRODUCT((AG$4:AG$503&gt;=BI$4:BI$503)*(AG$4:AG$503-BI$4:BI$503))/MAX(1,COUNTIF(AG$4:AG$503,"&lt;"&amp;BI320+0.01)),BI320))</f>
        <v>9142.15870461538</v>
      </c>
      <c r="BX320" s="92" t="n">
        <f aca="false">IF(AH320&gt;=BJ320,0,IFERROR(BJ320+SUMPRODUCT((AH$4:AH$503&gt;=BJ$4:BJ$503)*(AH$4:AH$503-BJ$4:BJ$503))/MAX(1,COUNTIF(AH$4:AH$503,"&lt;"&amp;BJ320+0.01)),BJ320))</f>
        <v>5621.50263448276</v>
      </c>
      <c r="BY320" s="92" t="n">
        <f aca="false">IF(AI320&gt;=BK320,0,IFERROR(BK320+SUMPRODUCT((AI$4:AI$503&gt;=BK$4:BK$503)*(AI$4:AI$503-BK$4:BK$503))/MAX(1,COUNTIF(AI$4:AI$503,"&lt;"&amp;BK320+0.01)),BK320))</f>
        <v>7878.25652380952</v>
      </c>
      <c r="BZ320" s="92" t="n">
        <f aca="false">IF(AJ320&gt;=BL320,0,IFERROR(BL320+SUMPRODUCT((AJ$4:AJ$503&gt;=BL$4:BL$503)*(AJ$4:AJ$503-BL$4:BL$503))/MAX(1,COUNTIF(AJ$4:AJ$503,"&lt;"&amp;BL320+0.01)),BL320))</f>
        <v>6710.03292307692</v>
      </c>
      <c r="CA320" s="92" t="n">
        <f aca="false">IF(AK320&gt;=BM320,0,IFERROR(BM320+SUMPRODUCT((AK$4:AK$503&gt;=BM$4:BM$503)*(AK$4:AK$503-BM$4:BM$503))/MAX(1,COUNTIF(AK$4:AK$503,"&lt;"&amp;BM320+0.01)),BM320))</f>
        <v>7314.89836842105</v>
      </c>
      <c r="CB320" s="93" t="n">
        <f aca="false">IF(AL320&gt;=BN320,0,IFERROR(BN320+SUMPRODUCT((AL$4:AL$503&gt;=BN$4:BN$503)*(AL$4:AL$503-BN$4:BN$503))/MAX(1,COUNTIF(AL$4:AL$503,"&lt;"&amp;BN320+0.01)),BN320))</f>
        <v>3597.2614925</v>
      </c>
      <c r="CC320" s="95" t="str">
        <f aca="false">IF(AO320="🟢","VERDE",IF(AO320="🟡","AMARELO",IF(AO320="🟠","VERMELHO",IF(AO320="🔴","VERMELHO","ROXO"))))</f>
        <v>VERMELHO</v>
      </c>
      <c r="CD320" s="96" t="s">
        <v>103</v>
      </c>
      <c r="CE320" s="96" t="s">
        <v>104</v>
      </c>
    </row>
    <row r="321" customFormat="false" ht="14.25" hidden="false" customHeight="true" outlineLevel="0" collapsed="false">
      <c r="A321" s="65" t="s">
        <v>777</v>
      </c>
      <c r="B321" s="66" t="s">
        <v>778</v>
      </c>
      <c r="C321" s="66" t="s">
        <v>115</v>
      </c>
      <c r="D321" s="68" t="s">
        <v>184</v>
      </c>
      <c r="E321" s="69" t="s">
        <v>139</v>
      </c>
      <c r="F321" s="70" t="n">
        <f aca="false">IFERROR(VLOOKUP(C321,$AS$3:$AT$10,2,FALSE()),IFERROR(VLOOKUP(C321,$AS$15:$AT$22,2,FALSE()),""))</f>
        <v>25</v>
      </c>
      <c r="G321" s="71" t="n">
        <f aca="false">IFERROR(VLOOKUP(C321,$AS$3:$AX$10,6,FALSE()),IFERROR(VLOOKUP(C321,$AS$15:$AX$22,6,FALSE()),""))</f>
        <v>0.536751750851081</v>
      </c>
      <c r="H321" s="72" t="str">
        <f aca="false">IFERROR(VLOOKUP(C321,$AS$3:$AY$10,7,FALSE()),IFERROR(VLOOKUP(C321,$AS$15:$AY$22,7,FALSE()),""))</f>
        <v>🟡 AMARELO</v>
      </c>
      <c r="I321" s="72" t="str">
        <f aca="false">IFERROR(VLOOKUP(C321,$AS$3:$AZ$10,8,FALSE()),IFERROR(VLOOKUP(C321,$AS$15:$AZ$22,8,FALSE()),""))</f>
        <v>Sell Out</v>
      </c>
      <c r="J321" s="73"/>
      <c r="K321" s="69" t="s">
        <v>107</v>
      </c>
      <c r="L321" s="74" t="n">
        <v>3094.2</v>
      </c>
      <c r="M321" s="75" t="n">
        <v>217.44</v>
      </c>
      <c r="N321" s="75" t="n">
        <v>227.22</v>
      </c>
      <c r="O321" s="75" t="n">
        <v>232.69</v>
      </c>
      <c r="P321" s="75" t="n">
        <v>238.75</v>
      </c>
      <c r="Q321" s="75" t="n">
        <v>246.57</v>
      </c>
      <c r="R321" s="75" t="n">
        <v>253.03</v>
      </c>
      <c r="S321" s="75" t="n">
        <v>262.8</v>
      </c>
      <c r="T321" s="75" t="n">
        <v>269.26</v>
      </c>
      <c r="U321" s="75" t="n">
        <v>275.32</v>
      </c>
      <c r="V321" s="75" t="n">
        <v>282.16</v>
      </c>
      <c r="W321" s="75" t="n">
        <v>289.59</v>
      </c>
      <c r="X321" s="76" t="n">
        <v>299.37</v>
      </c>
      <c r="Y321" s="77" t="s">
        <v>20</v>
      </c>
      <c r="Z321" s="78" t="n">
        <f aca="false">SUM(AA321:AL321)</f>
        <v>1263.69</v>
      </c>
      <c r="AA321" s="75"/>
      <c r="AB321" s="75"/>
      <c r="AC321" s="75"/>
      <c r="AD321" s="75"/>
      <c r="AE321" s="75"/>
      <c r="AF321" s="75"/>
      <c r="AG321" s="75"/>
      <c r="AH321" s="79" t="n">
        <v>1263.69</v>
      </c>
      <c r="AI321" s="75"/>
      <c r="AJ321" s="75"/>
      <c r="AK321" s="75"/>
      <c r="AL321" s="76"/>
      <c r="AM321" s="56" t="s">
        <v>20</v>
      </c>
      <c r="AN321" s="80" t="n">
        <f aca="false">IF(L321=0,0,Z321/L321)</f>
        <v>0.408406050029087</v>
      </c>
      <c r="AO321" s="81" t="str">
        <f aca="false">IF(AN321="","",IF(AN321&gt;=0.9,"🟢",IF(AN321&gt;=0.7,"🟡",IF(AN321&gt;=0.5,"🟠","🔴"))))</f>
        <v>🔴</v>
      </c>
      <c r="AP321" s="82" t="n">
        <f aca="false">IF(L321=0,0,L321-Z321)</f>
        <v>1830.51</v>
      </c>
      <c r="AQ321" s="83" t="n">
        <f aca="false">IF(AP321=0,"",RANK(AP321,AP$4:AP$503,0))</f>
        <v>285</v>
      </c>
      <c r="AR321" s="84" t="s">
        <v>20</v>
      </c>
      <c r="AS321" s="141"/>
      <c r="AT321" s="141"/>
      <c r="AU321" s="141"/>
      <c r="AV321" s="141"/>
      <c r="AW321" s="141"/>
      <c r="AX321" s="141"/>
      <c r="AY321" s="142"/>
      <c r="AZ321" s="142"/>
      <c r="BA321" s="56" t="s">
        <v>20</v>
      </c>
      <c r="BB321" s="91" t="n">
        <f aca="false">SUM(L$4:L$503)/COUNTA(A$4:A$503)</f>
        <v>9494.39992</v>
      </c>
      <c r="BC321" s="92" t="n">
        <f aca="false">SUM(M$4:M$503)/COUNTA(A$4:A$503)</f>
        <v>667.20008</v>
      </c>
      <c r="BD321" s="92" t="n">
        <f aca="false">SUM(N$4:N$503)/COUNTA(A$4:A$503)</f>
        <v>697.19996</v>
      </c>
      <c r="BE321" s="92" t="n">
        <f aca="false">SUM(O$4:O$503)/COUNTA(A$4:A$503)</f>
        <v>713.9999</v>
      </c>
      <c r="BF321" s="92" t="n">
        <f aca="false">SUM(P$4:P$503)/COUNTA(A$4:A$503)</f>
        <v>732.59984</v>
      </c>
      <c r="BG321" s="92" t="n">
        <f aca="false">SUM(Q$4:Q$503)/COUNTA(A$4:A$503)</f>
        <v>756.59992</v>
      </c>
      <c r="BH321" s="92" t="n">
        <f aca="false">SUM(R$4:R$503)/COUNTA(A$4:A$503)</f>
        <v>776.40004</v>
      </c>
      <c r="BI321" s="92" t="n">
        <f aca="false">SUM(S$4:S$503)/COUNTA(A$4:A$503)</f>
        <v>806.40012</v>
      </c>
      <c r="BJ321" s="92" t="n">
        <f aca="false">SUM(T$4:T$503)/COUNTA(A$4:A$503)</f>
        <v>826.1999</v>
      </c>
      <c r="BK321" s="92" t="n">
        <f aca="false">SUM(U$4:U$503)/COUNTA(A$4:A$503)</f>
        <v>844.8002</v>
      </c>
      <c r="BL321" s="92" t="n">
        <f aca="false">SUM(V$4:V$503)/COUNTA(A$4:A$503)</f>
        <v>865.7998</v>
      </c>
      <c r="BM321" s="92" t="n">
        <f aca="false">SUM(W$4:W$503)/COUNTA(A$4:A$503)</f>
        <v>888.59982</v>
      </c>
      <c r="BN321" s="93" t="n">
        <f aca="false">SUM(X$4:X$503)/COUNTA(A$4:A$503)</f>
        <v>918.60034</v>
      </c>
      <c r="BO321" s="94" t="s">
        <v>20</v>
      </c>
      <c r="BP321" s="91" t="n">
        <f aca="false">IF(Z321&gt;=BB321,0,IFERROR(BB321+(SUMPRODUCT((Z$4:Z$503&gt;=BB$4:BB$503)*(Z$4:Z$503-BB$4:BB$503))/MAX(1,COUNTIF(Z$4:Z$503,"&lt;"&amp;BB321+0.01))),BB321))</f>
        <v>10695.5432177778</v>
      </c>
      <c r="BQ321" s="92" t="n">
        <f aca="false">IF(AA321&gt;=BC321,0,IFERROR(BC321+SUMPRODUCT((AA$4:AA$503&gt;=BC$4:BC$503)*(AA$4:AA$503-BC$4:BC$503))/MAX(1,COUNTIF(AA$4:AA$503,"&lt;"&amp;BC321+0.01)),BC321))</f>
        <v>2238.46589176471</v>
      </c>
      <c r="BR321" s="92" t="n">
        <f aca="false">IF(AB321&gt;=BD321,0,IFERROR(BD321+SUMPRODUCT((AB$4:AB$503&gt;=BD$4:BD$503)*(AB$4:AB$503-BD$4:BD$503))/MAX(1,COUNTIF(AB$4:AB$503,"&lt;"&amp;BD321+0.01)),BD321))</f>
        <v>3335.2938</v>
      </c>
      <c r="BS321" s="92" t="n">
        <f aca="false">IF(AC321&gt;=BE321,0,IFERROR(BE321+SUMPRODUCT((AC$4:AC$503&gt;=BE$4:BE$503)*(AC$4:AC$503-BE$4:BE$503))/MAX(1,COUNTIF(AC$4:AC$503,"&lt;"&amp;BE321+0.01)),BE321))</f>
        <v>6188.73352</v>
      </c>
      <c r="BT321" s="92" t="n">
        <f aca="false">IF(AD321&gt;=BF321,0,IFERROR(BF321+SUMPRODUCT((AD$4:AD$503&gt;=BF$4:BF$503)*(AD$4:AD$503-BF$4:BF$503))/MAX(1,COUNTIF(AD$4:AD$503,"&lt;"&amp;BF321+0.01)),BF321))</f>
        <v>11354.35411</v>
      </c>
      <c r="BU321" s="92" t="n">
        <f aca="false">IF(AE321&gt;=BG321,0,IFERROR(BG321+SUMPRODUCT((AE$4:AE$503&gt;=BG$4:BG$503)*(AE$4:AE$503-BG$4:BG$503))/MAX(1,COUNTIF(AE$4:AE$503,"&lt;"&amp;BG321+0.01)),BG321))</f>
        <v>7704.85920380952</v>
      </c>
      <c r="BV321" s="92" t="n">
        <f aca="false">IF(AF321&gt;=BH321,0,IFERROR(BH321+SUMPRODUCT((AF$4:AF$503&gt;=BH$4:BH$503)*(AF$4:AF$503-BH$4:BH$503))/MAX(1,COUNTIF(AF$4:AF$503,"&lt;"&amp;BH321+0.01)),BH321))</f>
        <v>9942.6503831579</v>
      </c>
      <c r="BW321" s="92" t="n">
        <f aca="false">IF(AG321&gt;=BI321,0,IFERROR(BI321+SUMPRODUCT((AG$4:AG$503&gt;=BI$4:BI$503)*(AG$4:AG$503-BI$4:BI$503))/MAX(1,COUNTIF(AG$4:AG$503,"&lt;"&amp;BI321+0.01)),BI321))</f>
        <v>9142.15870461538</v>
      </c>
      <c r="BX321" s="92" t="n">
        <f aca="false">IF(AH321&gt;=BJ321,0,IFERROR(BJ321+SUMPRODUCT((AH$4:AH$503&gt;=BJ$4:BJ$503)*(AH$4:AH$503-BJ$4:BJ$503))/MAX(1,COUNTIF(AH$4:AH$503,"&lt;"&amp;BJ321+0.01)),BJ321))</f>
        <v>0</v>
      </c>
      <c r="BY321" s="92" t="n">
        <f aca="false">IF(AI321&gt;=BK321,0,IFERROR(BK321+SUMPRODUCT((AI$4:AI$503&gt;=BK$4:BK$503)*(AI$4:AI$503-BK$4:BK$503))/MAX(1,COUNTIF(AI$4:AI$503,"&lt;"&amp;BK321+0.01)),BK321))</f>
        <v>7878.25652380952</v>
      </c>
      <c r="BZ321" s="92" t="n">
        <f aca="false">IF(AJ321&gt;=BL321,0,IFERROR(BL321+SUMPRODUCT((AJ$4:AJ$503&gt;=BL$4:BL$503)*(AJ$4:AJ$503-BL$4:BL$503))/MAX(1,COUNTIF(AJ$4:AJ$503,"&lt;"&amp;BL321+0.01)),BL321))</f>
        <v>6710.03292307692</v>
      </c>
      <c r="CA321" s="92" t="n">
        <f aca="false">IF(AK321&gt;=BM321,0,IFERROR(BM321+SUMPRODUCT((AK$4:AK$503&gt;=BM$4:BM$503)*(AK$4:AK$503-BM$4:BM$503))/MAX(1,COUNTIF(AK$4:AK$503,"&lt;"&amp;BM321+0.01)),BM321))</f>
        <v>7314.89836842105</v>
      </c>
      <c r="CB321" s="93" t="n">
        <f aca="false">IF(AL321&gt;=BN321,0,IFERROR(BN321+SUMPRODUCT((AL$4:AL$503&gt;=BN$4:BN$503)*(AL$4:AL$503-BN$4:BN$503))/MAX(1,COUNTIF(AL$4:AL$503,"&lt;"&amp;BN321+0.01)),BN321))</f>
        <v>3597.2614925</v>
      </c>
      <c r="CC321" s="95" t="str">
        <f aca="false">IF(AO321="🟢","VERDE",IF(AO321="🟡","AMARELO",IF(AO321="🟠","VERMELHO",IF(AO321="🔴","VERMELHO","ROXO"))))</f>
        <v>VERMELHO</v>
      </c>
      <c r="CD321" s="96" t="s">
        <v>176</v>
      </c>
      <c r="CE321" s="96" t="s">
        <v>115</v>
      </c>
    </row>
    <row r="322" customFormat="false" ht="14.25" hidden="false" customHeight="true" outlineLevel="0" collapsed="false">
      <c r="A322" s="65" t="s">
        <v>779</v>
      </c>
      <c r="B322" s="66" t="s">
        <v>780</v>
      </c>
      <c r="C322" s="67" t="s">
        <v>113</v>
      </c>
      <c r="D322" s="68" t="s">
        <v>100</v>
      </c>
      <c r="E322" s="69" t="s">
        <v>114</v>
      </c>
      <c r="F322" s="70" t="n">
        <f aca="false">IFERROR(VLOOKUP(C322,$AS$3:$AT$10,2,FALSE()),IFERROR(VLOOKUP(C322,$AS$15:$AT$22,2,FALSE()),""))</f>
        <v>49</v>
      </c>
      <c r="G322" s="71" t="n">
        <f aca="false">IFERROR(VLOOKUP(C322,$AS$3:$AX$10,6,FALSE()),IFERROR(VLOOKUP(C322,$AS$15:$AX$22,6,FALSE()),""))</f>
        <v>0.463965086137302</v>
      </c>
      <c r="H322" s="72" t="str">
        <f aca="false">IFERROR(VLOOKUP(C322,$AS$3:$AY$10,7,FALSE()),IFERROR(VLOOKUP(C322,$AS$15:$AY$22,7,FALSE()),""))</f>
        <v>🟡 AMARELO</v>
      </c>
      <c r="I322" s="72" t="str">
        <f aca="false">IFERROR(VLOOKUP(C322,$AS$3:$AZ$10,8,FALSE()),IFERROR(VLOOKUP(C322,$AS$15:$AZ$22,8,FALSE()),""))</f>
        <v>Sell Out</v>
      </c>
      <c r="J322" s="73"/>
      <c r="K322" s="69" t="s">
        <v>113</v>
      </c>
      <c r="L322" s="74" t="n">
        <v>3050.68</v>
      </c>
      <c r="M322" s="75" t="n">
        <v>214.38</v>
      </c>
      <c r="N322" s="75" t="n">
        <v>224.02</v>
      </c>
      <c r="O322" s="75" t="n">
        <v>229.42</v>
      </c>
      <c r="P322" s="75" t="n">
        <v>235.39</v>
      </c>
      <c r="Q322" s="75" t="n">
        <v>243.11</v>
      </c>
      <c r="R322" s="75" t="n">
        <v>249.47</v>
      </c>
      <c r="S322" s="75" t="n">
        <v>259.11</v>
      </c>
      <c r="T322" s="75" t="n">
        <v>265.47</v>
      </c>
      <c r="U322" s="75" t="n">
        <v>271.44</v>
      </c>
      <c r="V322" s="75" t="n">
        <v>278.19</v>
      </c>
      <c r="W322" s="75" t="n">
        <v>285.52</v>
      </c>
      <c r="X322" s="76" t="n">
        <v>295.16</v>
      </c>
      <c r="Y322" s="77" t="s">
        <v>20</v>
      </c>
      <c r="Z322" s="78" t="n">
        <f aca="false">SUM(AA322:AL322)</f>
        <v>1130.72</v>
      </c>
      <c r="AA322" s="75"/>
      <c r="AB322" s="75"/>
      <c r="AC322" s="75"/>
      <c r="AD322" s="75"/>
      <c r="AE322" s="75"/>
      <c r="AF322" s="79" t="n">
        <v>1130.72</v>
      </c>
      <c r="AG322" s="75"/>
      <c r="AH322" s="75"/>
      <c r="AI322" s="75"/>
      <c r="AJ322" s="75"/>
      <c r="AK322" s="75"/>
      <c r="AL322" s="76"/>
      <c r="AM322" s="56" t="s">
        <v>20</v>
      </c>
      <c r="AN322" s="80" t="n">
        <f aca="false">IF(L322=0,0,Z322/L322)</f>
        <v>0.370645233193911</v>
      </c>
      <c r="AO322" s="81" t="str">
        <f aca="false">IF(AN322="","",IF(AN322&gt;=0.9,"🟢",IF(AN322&gt;=0.7,"🟡",IF(AN322&gt;=0.5,"🟠","🔴"))))</f>
        <v>🔴</v>
      </c>
      <c r="AP322" s="82" t="n">
        <f aca="false">IF(L322=0,0,L322-Z322)</f>
        <v>1919.96</v>
      </c>
      <c r="AQ322" s="83" t="n">
        <f aca="false">IF(AP322=0,"",RANK(AP322,AP$4:AP$503,0))</f>
        <v>279</v>
      </c>
      <c r="AR322" s="84" t="s">
        <v>20</v>
      </c>
      <c r="AS322" s="141"/>
      <c r="AT322" s="141"/>
      <c r="AU322" s="141"/>
      <c r="AV322" s="141"/>
      <c r="AW322" s="141"/>
      <c r="AX322" s="141"/>
      <c r="AY322" s="142"/>
      <c r="AZ322" s="142"/>
      <c r="BA322" s="56" t="s">
        <v>20</v>
      </c>
      <c r="BB322" s="91" t="n">
        <f aca="false">SUM(L$4:L$503)/COUNTA(A$4:A$503)</f>
        <v>9494.39992</v>
      </c>
      <c r="BC322" s="92" t="n">
        <f aca="false">SUM(M$4:M$503)/COUNTA(A$4:A$503)</f>
        <v>667.20008</v>
      </c>
      <c r="BD322" s="92" t="n">
        <f aca="false">SUM(N$4:N$503)/COUNTA(A$4:A$503)</f>
        <v>697.19996</v>
      </c>
      <c r="BE322" s="92" t="n">
        <f aca="false">SUM(O$4:O$503)/COUNTA(A$4:A$503)</f>
        <v>713.9999</v>
      </c>
      <c r="BF322" s="92" t="n">
        <f aca="false">SUM(P$4:P$503)/COUNTA(A$4:A$503)</f>
        <v>732.59984</v>
      </c>
      <c r="BG322" s="92" t="n">
        <f aca="false">SUM(Q$4:Q$503)/COUNTA(A$4:A$503)</f>
        <v>756.59992</v>
      </c>
      <c r="BH322" s="92" t="n">
        <f aca="false">SUM(R$4:R$503)/COUNTA(A$4:A$503)</f>
        <v>776.40004</v>
      </c>
      <c r="BI322" s="92" t="n">
        <f aca="false">SUM(S$4:S$503)/COUNTA(A$4:A$503)</f>
        <v>806.40012</v>
      </c>
      <c r="BJ322" s="92" t="n">
        <f aca="false">SUM(T$4:T$503)/COUNTA(A$4:A$503)</f>
        <v>826.1999</v>
      </c>
      <c r="BK322" s="92" t="n">
        <f aca="false">SUM(U$4:U$503)/COUNTA(A$4:A$503)</f>
        <v>844.8002</v>
      </c>
      <c r="BL322" s="92" t="n">
        <f aca="false">SUM(V$4:V$503)/COUNTA(A$4:A$503)</f>
        <v>865.7998</v>
      </c>
      <c r="BM322" s="92" t="n">
        <f aca="false">SUM(W$4:W$503)/COUNTA(A$4:A$503)</f>
        <v>888.59982</v>
      </c>
      <c r="BN322" s="93" t="n">
        <f aca="false">SUM(X$4:X$503)/COUNTA(A$4:A$503)</f>
        <v>918.60034</v>
      </c>
      <c r="BO322" s="94" t="s">
        <v>20</v>
      </c>
      <c r="BP322" s="91" t="n">
        <f aca="false">IF(Z322&gt;=BB322,0,IFERROR(BB322+(SUMPRODUCT((Z$4:Z$503&gt;=BB$4:BB$503)*(Z$4:Z$503-BB$4:BB$503))/MAX(1,COUNTIF(Z$4:Z$503,"&lt;"&amp;BB322+0.01))),BB322))</f>
        <v>10695.5432177778</v>
      </c>
      <c r="BQ322" s="92" t="n">
        <f aca="false">IF(AA322&gt;=BC322,0,IFERROR(BC322+SUMPRODUCT((AA$4:AA$503&gt;=BC$4:BC$503)*(AA$4:AA$503-BC$4:BC$503))/MAX(1,COUNTIF(AA$4:AA$503,"&lt;"&amp;BC322+0.01)),BC322))</f>
        <v>2238.46589176471</v>
      </c>
      <c r="BR322" s="92" t="n">
        <f aca="false">IF(AB322&gt;=BD322,0,IFERROR(BD322+SUMPRODUCT((AB$4:AB$503&gt;=BD$4:BD$503)*(AB$4:AB$503-BD$4:BD$503))/MAX(1,COUNTIF(AB$4:AB$503,"&lt;"&amp;BD322+0.01)),BD322))</f>
        <v>3335.2938</v>
      </c>
      <c r="BS322" s="92" t="n">
        <f aca="false">IF(AC322&gt;=BE322,0,IFERROR(BE322+SUMPRODUCT((AC$4:AC$503&gt;=BE$4:BE$503)*(AC$4:AC$503-BE$4:BE$503))/MAX(1,COUNTIF(AC$4:AC$503,"&lt;"&amp;BE322+0.01)),BE322))</f>
        <v>6188.73352</v>
      </c>
      <c r="BT322" s="92" t="n">
        <f aca="false">IF(AD322&gt;=BF322,0,IFERROR(BF322+SUMPRODUCT((AD$4:AD$503&gt;=BF$4:BF$503)*(AD$4:AD$503-BF$4:BF$503))/MAX(1,COUNTIF(AD$4:AD$503,"&lt;"&amp;BF322+0.01)),BF322))</f>
        <v>11354.35411</v>
      </c>
      <c r="BU322" s="92" t="n">
        <f aca="false">IF(AE322&gt;=BG322,0,IFERROR(BG322+SUMPRODUCT((AE$4:AE$503&gt;=BG$4:BG$503)*(AE$4:AE$503-BG$4:BG$503))/MAX(1,COUNTIF(AE$4:AE$503,"&lt;"&amp;BG322+0.01)),BG322))</f>
        <v>7704.85920380952</v>
      </c>
      <c r="BV322" s="92" t="n">
        <f aca="false">IF(AF322&gt;=BH322,0,IFERROR(BH322+SUMPRODUCT((AF$4:AF$503&gt;=BH$4:BH$503)*(AF$4:AF$503-BH$4:BH$503))/MAX(1,COUNTIF(AF$4:AF$503,"&lt;"&amp;BH322+0.01)),BH322))</f>
        <v>0</v>
      </c>
      <c r="BW322" s="92" t="n">
        <f aca="false">IF(AG322&gt;=BI322,0,IFERROR(BI322+SUMPRODUCT((AG$4:AG$503&gt;=BI$4:BI$503)*(AG$4:AG$503-BI$4:BI$503))/MAX(1,COUNTIF(AG$4:AG$503,"&lt;"&amp;BI322+0.01)),BI322))</f>
        <v>9142.15870461538</v>
      </c>
      <c r="BX322" s="92" t="n">
        <f aca="false">IF(AH322&gt;=BJ322,0,IFERROR(BJ322+SUMPRODUCT((AH$4:AH$503&gt;=BJ$4:BJ$503)*(AH$4:AH$503-BJ$4:BJ$503))/MAX(1,COUNTIF(AH$4:AH$503,"&lt;"&amp;BJ322+0.01)),BJ322))</f>
        <v>5621.50263448276</v>
      </c>
      <c r="BY322" s="92" t="n">
        <f aca="false">IF(AI322&gt;=BK322,0,IFERROR(BK322+SUMPRODUCT((AI$4:AI$503&gt;=BK$4:BK$503)*(AI$4:AI$503-BK$4:BK$503))/MAX(1,COUNTIF(AI$4:AI$503,"&lt;"&amp;BK322+0.01)),BK322))</f>
        <v>7878.25652380952</v>
      </c>
      <c r="BZ322" s="92" t="n">
        <f aca="false">IF(AJ322&gt;=BL322,0,IFERROR(BL322+SUMPRODUCT((AJ$4:AJ$503&gt;=BL$4:BL$503)*(AJ$4:AJ$503-BL$4:BL$503))/MAX(1,COUNTIF(AJ$4:AJ$503,"&lt;"&amp;BL322+0.01)),BL322))</f>
        <v>6710.03292307692</v>
      </c>
      <c r="CA322" s="92" t="n">
        <f aca="false">IF(AK322&gt;=BM322,0,IFERROR(BM322+SUMPRODUCT((AK$4:AK$503&gt;=BM$4:BM$503)*(AK$4:AK$503-BM$4:BM$503))/MAX(1,COUNTIF(AK$4:AK$503,"&lt;"&amp;BM322+0.01)),BM322))</f>
        <v>7314.89836842105</v>
      </c>
      <c r="CB322" s="93" t="n">
        <f aca="false">IF(AL322&gt;=BN322,0,IFERROR(BN322+SUMPRODUCT((AL$4:AL$503&gt;=BN$4:BN$503)*(AL$4:AL$503-BN$4:BN$503))/MAX(1,COUNTIF(AL$4:AL$503,"&lt;"&amp;BN322+0.01)),BN322))</f>
        <v>3597.2614925</v>
      </c>
      <c r="CC322" s="95" t="str">
        <f aca="false">IF(AO322="🟢","VERDE",IF(AO322="🟡","AMARELO",IF(AO322="🟠","VERMELHO",IF(AO322="🔴","VERMELHO","ROXO"))))</f>
        <v>VERMELHO</v>
      </c>
      <c r="CD322" s="96" t="s">
        <v>103</v>
      </c>
      <c r="CE322" s="96" t="s">
        <v>104</v>
      </c>
    </row>
    <row r="323" customFormat="false" ht="14.25" hidden="false" customHeight="true" outlineLevel="0" collapsed="false">
      <c r="A323" s="65" t="s">
        <v>781</v>
      </c>
      <c r="B323" s="66" t="s">
        <v>782</v>
      </c>
      <c r="C323" s="67" t="s">
        <v>107</v>
      </c>
      <c r="D323" s="68" t="s">
        <v>108</v>
      </c>
      <c r="E323" s="69" t="s">
        <v>139</v>
      </c>
      <c r="F323" s="70" t="n">
        <f aca="false">IFERROR(VLOOKUP(C323,$AS$3:$AT$10,2,FALSE()),IFERROR(VLOOKUP(C323,$AS$15:$AT$22,2,FALSE()),""))</f>
        <v>132</v>
      </c>
      <c r="G323" s="71" t="n">
        <f aca="false">IFERROR(VLOOKUP(C323,$AS$3:$AX$10,6,FALSE()),IFERROR(VLOOKUP(C323,$AS$15:$AX$22,6,FALSE()),""))</f>
        <v>0.468190175850689</v>
      </c>
      <c r="H323" s="72" t="str">
        <f aca="false">IFERROR(VLOOKUP(C323,$AS$3:$AY$10,7,FALSE()),IFERROR(VLOOKUP(C323,$AS$15:$AY$22,7,FALSE()),""))</f>
        <v>🟡 AMARELO</v>
      </c>
      <c r="I323" s="72" t="str">
        <f aca="false">IFERROR(VLOOKUP(C323,$AS$3:$AZ$10,8,FALSE()),IFERROR(VLOOKUP(C323,$AS$15:$AZ$22,8,FALSE()),""))</f>
        <v>Sell Out</v>
      </c>
      <c r="J323" s="73"/>
      <c r="K323" s="69" t="s">
        <v>107</v>
      </c>
      <c r="L323" s="74" t="n">
        <v>3025.39</v>
      </c>
      <c r="M323" s="75" t="n">
        <v>212.6</v>
      </c>
      <c r="N323" s="75" t="n">
        <v>222.16</v>
      </c>
      <c r="O323" s="75" t="n">
        <v>227.52</v>
      </c>
      <c r="P323" s="75" t="n">
        <v>233.44</v>
      </c>
      <c r="Q323" s="75" t="n">
        <v>241.09</v>
      </c>
      <c r="R323" s="75" t="n">
        <v>247.4</v>
      </c>
      <c r="S323" s="75" t="n">
        <v>256.96</v>
      </c>
      <c r="T323" s="75" t="n">
        <v>263.27</v>
      </c>
      <c r="U323" s="75" t="n">
        <v>269.2</v>
      </c>
      <c r="V323" s="75" t="n">
        <v>275.89</v>
      </c>
      <c r="W323" s="75" t="n">
        <v>283.15</v>
      </c>
      <c r="X323" s="76" t="n">
        <v>292.71</v>
      </c>
      <c r="Y323" s="77" t="s">
        <v>20</v>
      </c>
      <c r="Z323" s="78" t="n">
        <f aca="false">SUM(AA323:AL323)</f>
        <v>1253.13</v>
      </c>
      <c r="AA323" s="75"/>
      <c r="AB323" s="75"/>
      <c r="AC323" s="75"/>
      <c r="AD323" s="75"/>
      <c r="AE323" s="75"/>
      <c r="AF323" s="75"/>
      <c r="AG323" s="79" t="n">
        <v>1253.13</v>
      </c>
      <c r="AH323" s="75"/>
      <c r="AI323" s="75"/>
      <c r="AJ323" s="75"/>
      <c r="AK323" s="75"/>
      <c r="AL323" s="76"/>
      <c r="AM323" s="56" t="s">
        <v>20</v>
      </c>
      <c r="AN323" s="80" t="n">
        <f aca="false">IF(L323=0,0,Z323/L323)</f>
        <v>0.414204449674257</v>
      </c>
      <c r="AO323" s="81" t="str">
        <f aca="false">IF(AN323="","",IF(AN323&gt;=0.9,"🟢",IF(AN323&gt;=0.7,"🟡",IF(AN323&gt;=0.5,"🟠","🔴"))))</f>
        <v>🔴</v>
      </c>
      <c r="AP323" s="82" t="n">
        <f aca="false">IF(L323=0,0,L323-Z323)</f>
        <v>1772.26</v>
      </c>
      <c r="AQ323" s="83" t="n">
        <f aca="false">IF(AP323=0,"",RANK(AP323,AP$4:AP$503,0))</f>
        <v>292</v>
      </c>
      <c r="AR323" s="84" t="s">
        <v>20</v>
      </c>
      <c r="AS323" s="141"/>
      <c r="AT323" s="141"/>
      <c r="AU323" s="141"/>
      <c r="AV323" s="141"/>
      <c r="AW323" s="141"/>
      <c r="AX323" s="141"/>
      <c r="AY323" s="142"/>
      <c r="AZ323" s="142"/>
      <c r="BA323" s="56" t="s">
        <v>20</v>
      </c>
      <c r="BB323" s="91" t="n">
        <f aca="false">SUM(L$4:L$503)/COUNTA(A$4:A$503)</f>
        <v>9494.39992</v>
      </c>
      <c r="BC323" s="92" t="n">
        <f aca="false">SUM(M$4:M$503)/COUNTA(A$4:A$503)</f>
        <v>667.20008</v>
      </c>
      <c r="BD323" s="92" t="n">
        <f aca="false">SUM(N$4:N$503)/COUNTA(A$4:A$503)</f>
        <v>697.19996</v>
      </c>
      <c r="BE323" s="92" t="n">
        <f aca="false">SUM(O$4:O$503)/COUNTA(A$4:A$503)</f>
        <v>713.9999</v>
      </c>
      <c r="BF323" s="92" t="n">
        <f aca="false">SUM(P$4:P$503)/COUNTA(A$4:A$503)</f>
        <v>732.59984</v>
      </c>
      <c r="BG323" s="92" t="n">
        <f aca="false">SUM(Q$4:Q$503)/COUNTA(A$4:A$503)</f>
        <v>756.59992</v>
      </c>
      <c r="BH323" s="92" t="n">
        <f aca="false">SUM(R$4:R$503)/COUNTA(A$4:A$503)</f>
        <v>776.40004</v>
      </c>
      <c r="BI323" s="92" t="n">
        <f aca="false">SUM(S$4:S$503)/COUNTA(A$4:A$503)</f>
        <v>806.40012</v>
      </c>
      <c r="BJ323" s="92" t="n">
        <f aca="false">SUM(T$4:T$503)/COUNTA(A$4:A$503)</f>
        <v>826.1999</v>
      </c>
      <c r="BK323" s="92" t="n">
        <f aca="false">SUM(U$4:U$503)/COUNTA(A$4:A$503)</f>
        <v>844.8002</v>
      </c>
      <c r="BL323" s="92" t="n">
        <f aca="false">SUM(V$4:V$503)/COUNTA(A$4:A$503)</f>
        <v>865.7998</v>
      </c>
      <c r="BM323" s="92" t="n">
        <f aca="false">SUM(W$4:W$503)/COUNTA(A$4:A$503)</f>
        <v>888.59982</v>
      </c>
      <c r="BN323" s="93" t="n">
        <f aca="false">SUM(X$4:X$503)/COUNTA(A$4:A$503)</f>
        <v>918.60034</v>
      </c>
      <c r="BO323" s="94" t="s">
        <v>20</v>
      </c>
      <c r="BP323" s="91" t="n">
        <f aca="false">IF(Z323&gt;=BB323,0,IFERROR(BB323+(SUMPRODUCT((Z$4:Z$503&gt;=BB$4:BB$503)*(Z$4:Z$503-BB$4:BB$503))/MAX(1,COUNTIF(Z$4:Z$503,"&lt;"&amp;BB323+0.01))),BB323))</f>
        <v>10695.5432177778</v>
      </c>
      <c r="BQ323" s="92" t="n">
        <f aca="false">IF(AA323&gt;=BC323,0,IFERROR(BC323+SUMPRODUCT((AA$4:AA$503&gt;=BC$4:BC$503)*(AA$4:AA$503-BC$4:BC$503))/MAX(1,COUNTIF(AA$4:AA$503,"&lt;"&amp;BC323+0.01)),BC323))</f>
        <v>2238.46589176471</v>
      </c>
      <c r="BR323" s="92" t="n">
        <f aca="false">IF(AB323&gt;=BD323,0,IFERROR(BD323+SUMPRODUCT((AB$4:AB$503&gt;=BD$4:BD$503)*(AB$4:AB$503-BD$4:BD$503))/MAX(1,COUNTIF(AB$4:AB$503,"&lt;"&amp;BD323+0.01)),BD323))</f>
        <v>3335.2938</v>
      </c>
      <c r="BS323" s="92" t="n">
        <f aca="false">IF(AC323&gt;=BE323,0,IFERROR(BE323+SUMPRODUCT((AC$4:AC$503&gt;=BE$4:BE$503)*(AC$4:AC$503-BE$4:BE$503))/MAX(1,COUNTIF(AC$4:AC$503,"&lt;"&amp;BE323+0.01)),BE323))</f>
        <v>6188.73352</v>
      </c>
      <c r="BT323" s="92" t="n">
        <f aca="false">IF(AD323&gt;=BF323,0,IFERROR(BF323+SUMPRODUCT((AD$4:AD$503&gt;=BF$4:BF$503)*(AD$4:AD$503-BF$4:BF$503))/MAX(1,COUNTIF(AD$4:AD$503,"&lt;"&amp;BF323+0.01)),BF323))</f>
        <v>11354.35411</v>
      </c>
      <c r="BU323" s="92" t="n">
        <f aca="false">IF(AE323&gt;=BG323,0,IFERROR(BG323+SUMPRODUCT((AE$4:AE$503&gt;=BG$4:BG$503)*(AE$4:AE$503-BG$4:BG$503))/MAX(1,COUNTIF(AE$4:AE$503,"&lt;"&amp;BG323+0.01)),BG323))</f>
        <v>7704.85920380952</v>
      </c>
      <c r="BV323" s="92" t="n">
        <f aca="false">IF(AF323&gt;=BH323,0,IFERROR(BH323+SUMPRODUCT((AF$4:AF$503&gt;=BH$4:BH$503)*(AF$4:AF$503-BH$4:BH$503))/MAX(1,COUNTIF(AF$4:AF$503,"&lt;"&amp;BH323+0.01)),BH323))</f>
        <v>9942.6503831579</v>
      </c>
      <c r="BW323" s="92" t="n">
        <f aca="false">IF(AG323&gt;=BI323,0,IFERROR(BI323+SUMPRODUCT((AG$4:AG$503&gt;=BI$4:BI$503)*(AG$4:AG$503-BI$4:BI$503))/MAX(1,COUNTIF(AG$4:AG$503,"&lt;"&amp;BI323+0.01)),BI323))</f>
        <v>0</v>
      </c>
      <c r="BX323" s="92" t="n">
        <f aca="false">IF(AH323&gt;=BJ323,0,IFERROR(BJ323+SUMPRODUCT((AH$4:AH$503&gt;=BJ$4:BJ$503)*(AH$4:AH$503-BJ$4:BJ$503))/MAX(1,COUNTIF(AH$4:AH$503,"&lt;"&amp;BJ323+0.01)),BJ323))</f>
        <v>5621.50263448276</v>
      </c>
      <c r="BY323" s="92" t="n">
        <f aca="false">IF(AI323&gt;=BK323,0,IFERROR(BK323+SUMPRODUCT((AI$4:AI$503&gt;=BK$4:BK$503)*(AI$4:AI$503-BK$4:BK$503))/MAX(1,COUNTIF(AI$4:AI$503,"&lt;"&amp;BK323+0.01)),BK323))</f>
        <v>7878.25652380952</v>
      </c>
      <c r="BZ323" s="92" t="n">
        <f aca="false">IF(AJ323&gt;=BL323,0,IFERROR(BL323+SUMPRODUCT((AJ$4:AJ$503&gt;=BL$4:BL$503)*(AJ$4:AJ$503-BL$4:BL$503))/MAX(1,COUNTIF(AJ$4:AJ$503,"&lt;"&amp;BL323+0.01)),BL323))</f>
        <v>6710.03292307692</v>
      </c>
      <c r="CA323" s="92" t="n">
        <f aca="false">IF(AK323&gt;=BM323,0,IFERROR(BM323+SUMPRODUCT((AK$4:AK$503&gt;=BM$4:BM$503)*(AK$4:AK$503-BM$4:BM$503))/MAX(1,COUNTIF(AK$4:AK$503,"&lt;"&amp;BM323+0.01)),BM323))</f>
        <v>7314.89836842105</v>
      </c>
      <c r="CB323" s="93" t="n">
        <f aca="false">IF(AL323&gt;=BN323,0,IFERROR(BN323+SUMPRODUCT((AL$4:AL$503&gt;=BN$4:BN$503)*(AL$4:AL$503-BN$4:BN$503))/MAX(1,COUNTIF(AL$4:AL$503,"&lt;"&amp;BN323+0.01)),BN323))</f>
        <v>3597.2614925</v>
      </c>
      <c r="CC323" s="95" t="str">
        <f aca="false">IF(AO323="🟢","VERDE",IF(AO323="🟡","AMARELO",IF(AO323="🟠","VERMELHO",IF(AO323="🔴","VERMELHO","ROXO"))))</f>
        <v>VERMELHO</v>
      </c>
      <c r="CD323" s="96" t="s">
        <v>103</v>
      </c>
      <c r="CE323" s="96" t="s">
        <v>104</v>
      </c>
    </row>
    <row r="324" customFormat="false" ht="14.25" hidden="false" customHeight="true" outlineLevel="0" collapsed="false">
      <c r="A324" s="65" t="s">
        <v>783</v>
      </c>
      <c r="B324" s="66" t="s">
        <v>784</v>
      </c>
      <c r="C324" s="67" t="s">
        <v>123</v>
      </c>
      <c r="D324" s="68" t="s">
        <v>100</v>
      </c>
      <c r="E324" s="56" t="s">
        <v>20</v>
      </c>
      <c r="F324" s="70" t="n">
        <f aca="false">IFERROR(VLOOKUP(C324,$AS$3:$AT$10,2,FALSE()),IFERROR(VLOOKUP(C324,$AS$15:$AT$22,2,FALSE()),""))</f>
        <v>49</v>
      </c>
      <c r="G324" s="71" t="n">
        <f aca="false">IFERROR(VLOOKUP(C324,$AS$3:$AX$10,6,FALSE()),IFERROR(VLOOKUP(C324,$AS$15:$AX$22,6,FALSE()),""))</f>
        <v>0.436391353881959</v>
      </c>
      <c r="H324" s="72" t="str">
        <f aca="false">IFERROR(VLOOKUP(C324,$AS$3:$AY$10,7,FALSE()),IFERROR(VLOOKUP(C324,$AS$15:$AY$22,7,FALSE()),""))</f>
        <v>🟡 AMARELO</v>
      </c>
      <c r="I324" s="72" t="str">
        <f aca="false">IFERROR(VLOOKUP(C324,$AS$3:$AZ$10,8,FALSE()),IFERROR(VLOOKUP(C324,$AS$15:$AZ$22,8,FALSE()),""))</f>
        <v>Sell Out</v>
      </c>
      <c r="J324" s="73"/>
      <c r="K324" s="56" t="s">
        <v>20</v>
      </c>
      <c r="L324" s="74" t="n">
        <v>3020.96</v>
      </c>
      <c r="M324" s="75" t="n">
        <v>212.29</v>
      </c>
      <c r="N324" s="75" t="n">
        <v>221.84</v>
      </c>
      <c r="O324" s="75" t="n">
        <v>227.18</v>
      </c>
      <c r="P324" s="75" t="n">
        <v>233.1</v>
      </c>
      <c r="Q324" s="75" t="n">
        <v>240.74</v>
      </c>
      <c r="R324" s="75" t="n">
        <v>247.04</v>
      </c>
      <c r="S324" s="75" t="n">
        <v>256.58</v>
      </c>
      <c r="T324" s="75" t="n">
        <v>262.88</v>
      </c>
      <c r="U324" s="75" t="n">
        <v>268.8</v>
      </c>
      <c r="V324" s="75" t="n">
        <v>275.48</v>
      </c>
      <c r="W324" s="75" t="n">
        <v>282.74</v>
      </c>
      <c r="X324" s="76" t="n">
        <v>292.29</v>
      </c>
      <c r="Y324" s="77" t="s">
        <v>20</v>
      </c>
      <c r="Z324" s="78" t="n">
        <f aca="false">SUM(AA324:AL324)</f>
        <v>1505.18</v>
      </c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6" t="n">
        <v>1505.18</v>
      </c>
      <c r="AM324" s="56" t="s">
        <v>20</v>
      </c>
      <c r="AN324" s="80" t="n">
        <f aca="false">IF(L324=0,0,Z324/L324)</f>
        <v>0.498245590805572</v>
      </c>
      <c r="AO324" s="81" t="str">
        <f aca="false">IF(AN324="","",IF(AN324&gt;=0.9,"🟢",IF(AN324&gt;=0.7,"🟡",IF(AN324&gt;=0.5,"🟠","🔴"))))</f>
        <v>🔴</v>
      </c>
      <c r="AP324" s="82" t="n">
        <f aca="false">IF(L324=0,0,L324-Z324)</f>
        <v>1515.78</v>
      </c>
      <c r="AQ324" s="83" t="n">
        <f aca="false">IF(AP324=0,"",RANK(AP324,AP$4:AP$503,0))</f>
        <v>324</v>
      </c>
      <c r="AR324" s="84" t="s">
        <v>20</v>
      </c>
      <c r="AS324" s="141"/>
      <c r="AT324" s="141"/>
      <c r="AU324" s="141"/>
      <c r="AV324" s="141"/>
      <c r="AW324" s="141"/>
      <c r="AX324" s="141"/>
      <c r="AY324" s="142"/>
      <c r="AZ324" s="142"/>
      <c r="BA324" s="56" t="s">
        <v>20</v>
      </c>
      <c r="BB324" s="91" t="n">
        <f aca="false">SUM(L$4:L$503)/COUNTA(A$4:A$503)</f>
        <v>9494.39992</v>
      </c>
      <c r="BC324" s="92" t="n">
        <f aca="false">SUM(M$4:M$503)/COUNTA(A$4:A$503)</f>
        <v>667.20008</v>
      </c>
      <c r="BD324" s="92" t="n">
        <f aca="false">SUM(N$4:N$503)/COUNTA(A$4:A$503)</f>
        <v>697.19996</v>
      </c>
      <c r="BE324" s="92" t="n">
        <f aca="false">SUM(O$4:O$503)/COUNTA(A$4:A$503)</f>
        <v>713.9999</v>
      </c>
      <c r="BF324" s="92" t="n">
        <f aca="false">SUM(P$4:P$503)/COUNTA(A$4:A$503)</f>
        <v>732.59984</v>
      </c>
      <c r="BG324" s="92" t="n">
        <f aca="false">SUM(Q$4:Q$503)/COUNTA(A$4:A$503)</f>
        <v>756.59992</v>
      </c>
      <c r="BH324" s="92" t="n">
        <f aca="false">SUM(R$4:R$503)/COUNTA(A$4:A$503)</f>
        <v>776.40004</v>
      </c>
      <c r="BI324" s="92" t="n">
        <f aca="false">SUM(S$4:S$503)/COUNTA(A$4:A$503)</f>
        <v>806.40012</v>
      </c>
      <c r="BJ324" s="92" t="n">
        <f aca="false">SUM(T$4:T$503)/COUNTA(A$4:A$503)</f>
        <v>826.1999</v>
      </c>
      <c r="BK324" s="92" t="n">
        <f aca="false">SUM(U$4:U$503)/COUNTA(A$4:A$503)</f>
        <v>844.8002</v>
      </c>
      <c r="BL324" s="92" t="n">
        <f aca="false">SUM(V$4:V$503)/COUNTA(A$4:A$503)</f>
        <v>865.7998</v>
      </c>
      <c r="BM324" s="92" t="n">
        <f aca="false">SUM(W$4:W$503)/COUNTA(A$4:A$503)</f>
        <v>888.59982</v>
      </c>
      <c r="BN324" s="93" t="n">
        <f aca="false">SUM(X$4:X$503)/COUNTA(A$4:A$503)</f>
        <v>918.60034</v>
      </c>
      <c r="BO324" s="94" t="s">
        <v>20</v>
      </c>
      <c r="BP324" s="91" t="n">
        <f aca="false">IF(Z324&gt;=BB324,0,IFERROR(BB324+(SUMPRODUCT((Z$4:Z$503&gt;=BB$4:BB$503)*(Z$4:Z$503-BB$4:BB$503))/MAX(1,COUNTIF(Z$4:Z$503,"&lt;"&amp;BB324+0.01))),BB324))</f>
        <v>10695.5432177778</v>
      </c>
      <c r="BQ324" s="92" t="n">
        <f aca="false">IF(AA324&gt;=BC324,0,IFERROR(BC324+SUMPRODUCT((AA$4:AA$503&gt;=BC$4:BC$503)*(AA$4:AA$503-BC$4:BC$503))/MAX(1,COUNTIF(AA$4:AA$503,"&lt;"&amp;BC324+0.01)),BC324))</f>
        <v>2238.46589176471</v>
      </c>
      <c r="BR324" s="92" t="n">
        <f aca="false">IF(AB324&gt;=BD324,0,IFERROR(BD324+SUMPRODUCT((AB$4:AB$503&gt;=BD$4:BD$503)*(AB$4:AB$503-BD$4:BD$503))/MAX(1,COUNTIF(AB$4:AB$503,"&lt;"&amp;BD324+0.01)),BD324))</f>
        <v>3335.2938</v>
      </c>
      <c r="BS324" s="92" t="n">
        <f aca="false">IF(AC324&gt;=BE324,0,IFERROR(BE324+SUMPRODUCT((AC$4:AC$503&gt;=BE$4:BE$503)*(AC$4:AC$503-BE$4:BE$503))/MAX(1,COUNTIF(AC$4:AC$503,"&lt;"&amp;BE324+0.01)),BE324))</f>
        <v>6188.73352</v>
      </c>
      <c r="BT324" s="92" t="n">
        <f aca="false">IF(AD324&gt;=BF324,0,IFERROR(BF324+SUMPRODUCT((AD$4:AD$503&gt;=BF$4:BF$503)*(AD$4:AD$503-BF$4:BF$503))/MAX(1,COUNTIF(AD$4:AD$503,"&lt;"&amp;BF324+0.01)),BF324))</f>
        <v>11354.35411</v>
      </c>
      <c r="BU324" s="92" t="n">
        <f aca="false">IF(AE324&gt;=BG324,0,IFERROR(BG324+SUMPRODUCT((AE$4:AE$503&gt;=BG$4:BG$503)*(AE$4:AE$503-BG$4:BG$503))/MAX(1,COUNTIF(AE$4:AE$503,"&lt;"&amp;BG324+0.01)),BG324))</f>
        <v>7704.85920380952</v>
      </c>
      <c r="BV324" s="92" t="n">
        <f aca="false">IF(AF324&gt;=BH324,0,IFERROR(BH324+SUMPRODUCT((AF$4:AF$503&gt;=BH$4:BH$503)*(AF$4:AF$503-BH$4:BH$503))/MAX(1,COUNTIF(AF$4:AF$503,"&lt;"&amp;BH324+0.01)),BH324))</f>
        <v>9942.6503831579</v>
      </c>
      <c r="BW324" s="92" t="n">
        <f aca="false">IF(AG324&gt;=BI324,0,IFERROR(BI324+SUMPRODUCT((AG$4:AG$503&gt;=BI$4:BI$503)*(AG$4:AG$503-BI$4:BI$503))/MAX(1,COUNTIF(AG$4:AG$503,"&lt;"&amp;BI324+0.01)),BI324))</f>
        <v>9142.15870461538</v>
      </c>
      <c r="BX324" s="92" t="n">
        <f aca="false">IF(AH324&gt;=BJ324,0,IFERROR(BJ324+SUMPRODUCT((AH$4:AH$503&gt;=BJ$4:BJ$503)*(AH$4:AH$503-BJ$4:BJ$503))/MAX(1,COUNTIF(AH$4:AH$503,"&lt;"&amp;BJ324+0.01)),BJ324))</f>
        <v>5621.50263448276</v>
      </c>
      <c r="BY324" s="92" t="n">
        <f aca="false">IF(AI324&gt;=BK324,0,IFERROR(BK324+SUMPRODUCT((AI$4:AI$503&gt;=BK$4:BK$503)*(AI$4:AI$503-BK$4:BK$503))/MAX(1,COUNTIF(AI$4:AI$503,"&lt;"&amp;BK324+0.01)),BK324))</f>
        <v>7878.25652380952</v>
      </c>
      <c r="BZ324" s="92" t="n">
        <f aca="false">IF(AJ324&gt;=BL324,0,IFERROR(BL324+SUMPRODUCT((AJ$4:AJ$503&gt;=BL$4:BL$503)*(AJ$4:AJ$503-BL$4:BL$503))/MAX(1,COUNTIF(AJ$4:AJ$503,"&lt;"&amp;BL324+0.01)),BL324))</f>
        <v>6710.03292307692</v>
      </c>
      <c r="CA324" s="92" t="n">
        <f aca="false">IF(AK324&gt;=BM324,0,IFERROR(BM324+SUMPRODUCT((AK$4:AK$503&gt;=BM$4:BM$503)*(AK$4:AK$503-BM$4:BM$503))/MAX(1,COUNTIF(AK$4:AK$503,"&lt;"&amp;BM324+0.01)),BM324))</f>
        <v>7314.89836842105</v>
      </c>
      <c r="CB324" s="93" t="n">
        <f aca="false">IF(AL324&gt;=BN324,0,IFERROR(BN324+SUMPRODUCT((AL$4:AL$503&gt;=BN$4:BN$503)*(AL$4:AL$503-BN$4:BN$503))/MAX(1,COUNTIF(AL$4:AL$503,"&lt;"&amp;BN324+0.01)),BN324))</f>
        <v>0</v>
      </c>
      <c r="CC324" s="95" t="str">
        <f aca="false">IF(AO324="🟢","VERDE",IF(AO324="🟡","AMARELO",IF(AO324="🟠","VERMELHO",IF(AO324="🔴","VERMELHO","ROXO"))))</f>
        <v>VERMELHO</v>
      </c>
      <c r="CD324" s="96" t="s">
        <v>103</v>
      </c>
      <c r="CE324" s="96" t="s">
        <v>104</v>
      </c>
    </row>
    <row r="325" customFormat="false" ht="14.25" hidden="false" customHeight="true" outlineLevel="0" collapsed="false">
      <c r="A325" s="65" t="s">
        <v>785</v>
      </c>
      <c r="B325" s="66" t="s">
        <v>786</v>
      </c>
      <c r="C325" s="66" t="s">
        <v>66</v>
      </c>
      <c r="D325" s="68" t="s">
        <v>175</v>
      </c>
      <c r="E325" s="69" t="s">
        <v>139</v>
      </c>
      <c r="F325" s="70" t="n">
        <f aca="false">IFERROR(VLOOKUP(C325,$AS$3:$AT$10,2,FALSE()),IFERROR(VLOOKUP(C325,$AS$15:$AT$22,2,FALSE()),""))</f>
        <v>44</v>
      </c>
      <c r="G325" s="71" t="n">
        <f aca="false">IFERROR(VLOOKUP(C325,$AS$3:$AX$10,6,FALSE()),IFERROR(VLOOKUP(C325,$AS$15:$AX$22,6,FALSE()),""))</f>
        <v>0.496839506257363</v>
      </c>
      <c r="H325" s="72" t="str">
        <f aca="false">IFERROR(VLOOKUP(C325,$AS$3:$AY$10,7,FALSE()),IFERROR(VLOOKUP(C325,$AS$15:$AY$22,7,FALSE()),""))</f>
        <v>🟡 AMARELO</v>
      </c>
      <c r="I325" s="72" t="str">
        <f aca="false">IFERROR(VLOOKUP(C325,$AS$3:$AZ$10,8,FALSE()),IFERROR(VLOOKUP(C325,$AS$15:$AZ$22,8,FALSE()),""))</f>
        <v>Sell Out</v>
      </c>
      <c r="J325" s="73"/>
      <c r="K325" s="69" t="s">
        <v>107</v>
      </c>
      <c r="L325" s="74" t="n">
        <v>3000.36</v>
      </c>
      <c r="M325" s="75" t="n">
        <v>210.84</v>
      </c>
      <c r="N325" s="75" t="n">
        <v>220.33</v>
      </c>
      <c r="O325" s="75" t="n">
        <v>225.63</v>
      </c>
      <c r="P325" s="75" t="n">
        <v>231.51</v>
      </c>
      <c r="Q325" s="75" t="n">
        <v>239.1</v>
      </c>
      <c r="R325" s="75" t="n">
        <v>245.35</v>
      </c>
      <c r="S325" s="75" t="n">
        <v>254.83</v>
      </c>
      <c r="T325" s="75" t="n">
        <v>261.09</v>
      </c>
      <c r="U325" s="75" t="n">
        <v>266.97</v>
      </c>
      <c r="V325" s="75" t="n">
        <v>273.61</v>
      </c>
      <c r="W325" s="75" t="n">
        <v>280.81</v>
      </c>
      <c r="X325" s="76" t="n">
        <v>290.29</v>
      </c>
      <c r="Y325" s="77" t="s">
        <v>20</v>
      </c>
      <c r="Z325" s="78" t="n">
        <f aca="false">SUM(AA325:AL325)</f>
        <v>1256.12</v>
      </c>
      <c r="AA325" s="75"/>
      <c r="AB325" s="75"/>
      <c r="AC325" s="75"/>
      <c r="AD325" s="75"/>
      <c r="AE325" s="75"/>
      <c r="AF325" s="75"/>
      <c r="AG325" s="75"/>
      <c r="AH325" s="79" t="n">
        <v>1256.12</v>
      </c>
      <c r="AI325" s="75"/>
      <c r="AJ325" s="75"/>
      <c r="AK325" s="75"/>
      <c r="AL325" s="76"/>
      <c r="AM325" s="56" t="s">
        <v>20</v>
      </c>
      <c r="AN325" s="80" t="n">
        <f aca="false">IF(L325=0,0,Z325/L325)</f>
        <v>0.418656427895319</v>
      </c>
      <c r="AO325" s="81" t="str">
        <f aca="false">IF(AN325="","",IF(AN325&gt;=0.9,"🟢",IF(AN325&gt;=0.7,"🟡",IF(AN325&gt;=0.5,"🟠","🔴"))))</f>
        <v>🔴</v>
      </c>
      <c r="AP325" s="82" t="n">
        <f aca="false">IF(L325=0,0,L325-Z325)</f>
        <v>1744.24</v>
      </c>
      <c r="AQ325" s="83" t="n">
        <f aca="false">IF(AP325=0,"",RANK(AP325,AP$4:AP$503,0))</f>
        <v>300</v>
      </c>
      <c r="AR325" s="84" t="s">
        <v>20</v>
      </c>
      <c r="AS325" s="141"/>
      <c r="AT325" s="141"/>
      <c r="AU325" s="141"/>
      <c r="AV325" s="141"/>
      <c r="AW325" s="141"/>
      <c r="AX325" s="141"/>
      <c r="AY325" s="142"/>
      <c r="AZ325" s="142"/>
      <c r="BA325" s="56" t="s">
        <v>20</v>
      </c>
      <c r="BB325" s="91" t="n">
        <f aca="false">SUM(L$4:L$503)/COUNTA(A$4:A$503)</f>
        <v>9494.39992</v>
      </c>
      <c r="BC325" s="92" t="n">
        <f aca="false">SUM(M$4:M$503)/COUNTA(A$4:A$503)</f>
        <v>667.20008</v>
      </c>
      <c r="BD325" s="92" t="n">
        <f aca="false">SUM(N$4:N$503)/COUNTA(A$4:A$503)</f>
        <v>697.19996</v>
      </c>
      <c r="BE325" s="92" t="n">
        <f aca="false">SUM(O$4:O$503)/COUNTA(A$4:A$503)</f>
        <v>713.9999</v>
      </c>
      <c r="BF325" s="92" t="n">
        <f aca="false">SUM(P$4:P$503)/COUNTA(A$4:A$503)</f>
        <v>732.59984</v>
      </c>
      <c r="BG325" s="92" t="n">
        <f aca="false">SUM(Q$4:Q$503)/COUNTA(A$4:A$503)</f>
        <v>756.59992</v>
      </c>
      <c r="BH325" s="92" t="n">
        <f aca="false">SUM(R$4:R$503)/COUNTA(A$4:A$503)</f>
        <v>776.40004</v>
      </c>
      <c r="BI325" s="92" t="n">
        <f aca="false">SUM(S$4:S$503)/COUNTA(A$4:A$503)</f>
        <v>806.40012</v>
      </c>
      <c r="BJ325" s="92" t="n">
        <f aca="false">SUM(T$4:T$503)/COUNTA(A$4:A$503)</f>
        <v>826.1999</v>
      </c>
      <c r="BK325" s="92" t="n">
        <f aca="false">SUM(U$4:U$503)/COUNTA(A$4:A$503)</f>
        <v>844.8002</v>
      </c>
      <c r="BL325" s="92" t="n">
        <f aca="false">SUM(V$4:V$503)/COUNTA(A$4:A$503)</f>
        <v>865.7998</v>
      </c>
      <c r="BM325" s="92" t="n">
        <f aca="false">SUM(W$4:W$503)/COUNTA(A$4:A$503)</f>
        <v>888.59982</v>
      </c>
      <c r="BN325" s="93" t="n">
        <f aca="false">SUM(X$4:X$503)/COUNTA(A$4:A$503)</f>
        <v>918.60034</v>
      </c>
      <c r="BO325" s="94" t="s">
        <v>20</v>
      </c>
      <c r="BP325" s="91" t="n">
        <f aca="false">IF(Z325&gt;=BB325,0,IFERROR(BB325+(SUMPRODUCT((Z$4:Z$503&gt;=BB$4:BB$503)*(Z$4:Z$503-BB$4:BB$503))/MAX(1,COUNTIF(Z$4:Z$503,"&lt;"&amp;BB325+0.01))),BB325))</f>
        <v>10695.5432177778</v>
      </c>
      <c r="BQ325" s="92" t="n">
        <f aca="false">IF(AA325&gt;=BC325,0,IFERROR(BC325+SUMPRODUCT((AA$4:AA$503&gt;=BC$4:BC$503)*(AA$4:AA$503-BC$4:BC$503))/MAX(1,COUNTIF(AA$4:AA$503,"&lt;"&amp;BC325+0.01)),BC325))</f>
        <v>2238.46589176471</v>
      </c>
      <c r="BR325" s="92" t="n">
        <f aca="false">IF(AB325&gt;=BD325,0,IFERROR(BD325+SUMPRODUCT((AB$4:AB$503&gt;=BD$4:BD$503)*(AB$4:AB$503-BD$4:BD$503))/MAX(1,COUNTIF(AB$4:AB$503,"&lt;"&amp;BD325+0.01)),BD325))</f>
        <v>3335.2938</v>
      </c>
      <c r="BS325" s="92" t="n">
        <f aca="false">IF(AC325&gt;=BE325,0,IFERROR(BE325+SUMPRODUCT((AC$4:AC$503&gt;=BE$4:BE$503)*(AC$4:AC$503-BE$4:BE$503))/MAX(1,COUNTIF(AC$4:AC$503,"&lt;"&amp;BE325+0.01)),BE325))</f>
        <v>6188.73352</v>
      </c>
      <c r="BT325" s="92" t="n">
        <f aca="false">IF(AD325&gt;=BF325,0,IFERROR(BF325+SUMPRODUCT((AD$4:AD$503&gt;=BF$4:BF$503)*(AD$4:AD$503-BF$4:BF$503))/MAX(1,COUNTIF(AD$4:AD$503,"&lt;"&amp;BF325+0.01)),BF325))</f>
        <v>11354.35411</v>
      </c>
      <c r="BU325" s="92" t="n">
        <f aca="false">IF(AE325&gt;=BG325,0,IFERROR(BG325+SUMPRODUCT((AE$4:AE$503&gt;=BG$4:BG$503)*(AE$4:AE$503-BG$4:BG$503))/MAX(1,COUNTIF(AE$4:AE$503,"&lt;"&amp;BG325+0.01)),BG325))</f>
        <v>7704.85920380952</v>
      </c>
      <c r="BV325" s="92" t="n">
        <f aca="false">IF(AF325&gt;=BH325,0,IFERROR(BH325+SUMPRODUCT((AF$4:AF$503&gt;=BH$4:BH$503)*(AF$4:AF$503-BH$4:BH$503))/MAX(1,COUNTIF(AF$4:AF$503,"&lt;"&amp;BH325+0.01)),BH325))</f>
        <v>9942.6503831579</v>
      </c>
      <c r="BW325" s="92" t="n">
        <f aca="false">IF(AG325&gt;=BI325,0,IFERROR(BI325+SUMPRODUCT((AG$4:AG$503&gt;=BI$4:BI$503)*(AG$4:AG$503-BI$4:BI$503))/MAX(1,COUNTIF(AG$4:AG$503,"&lt;"&amp;BI325+0.01)),BI325))</f>
        <v>9142.15870461538</v>
      </c>
      <c r="BX325" s="92" t="n">
        <f aca="false">IF(AH325&gt;=BJ325,0,IFERROR(BJ325+SUMPRODUCT((AH$4:AH$503&gt;=BJ$4:BJ$503)*(AH$4:AH$503-BJ$4:BJ$503))/MAX(1,COUNTIF(AH$4:AH$503,"&lt;"&amp;BJ325+0.01)),BJ325))</f>
        <v>0</v>
      </c>
      <c r="BY325" s="92" t="n">
        <f aca="false">IF(AI325&gt;=BK325,0,IFERROR(BK325+SUMPRODUCT((AI$4:AI$503&gt;=BK$4:BK$503)*(AI$4:AI$503-BK$4:BK$503))/MAX(1,COUNTIF(AI$4:AI$503,"&lt;"&amp;BK325+0.01)),BK325))</f>
        <v>7878.25652380952</v>
      </c>
      <c r="BZ325" s="92" t="n">
        <f aca="false">IF(AJ325&gt;=BL325,0,IFERROR(BL325+SUMPRODUCT((AJ$4:AJ$503&gt;=BL$4:BL$503)*(AJ$4:AJ$503-BL$4:BL$503))/MAX(1,COUNTIF(AJ$4:AJ$503,"&lt;"&amp;BL325+0.01)),BL325))</f>
        <v>6710.03292307692</v>
      </c>
      <c r="CA325" s="92" t="n">
        <f aca="false">IF(AK325&gt;=BM325,0,IFERROR(BM325+SUMPRODUCT((AK$4:AK$503&gt;=BM$4:BM$503)*(AK$4:AK$503-BM$4:BM$503))/MAX(1,COUNTIF(AK$4:AK$503,"&lt;"&amp;BM325+0.01)),BM325))</f>
        <v>7314.89836842105</v>
      </c>
      <c r="CB325" s="93" t="n">
        <f aca="false">IF(AL325&gt;=BN325,0,IFERROR(BN325+SUMPRODUCT((AL$4:AL$503&gt;=BN$4:BN$503)*(AL$4:AL$503-BN$4:BN$503))/MAX(1,COUNTIF(AL$4:AL$503,"&lt;"&amp;BN325+0.01)),BN325))</f>
        <v>3597.2614925</v>
      </c>
      <c r="CC325" s="95" t="str">
        <f aca="false">IF(AO325="🟢","VERDE",IF(AO325="🟡","AMARELO",IF(AO325="🟠","VERMELHO",IF(AO325="🔴","VERMELHO","ROXO"))))</f>
        <v>VERMELHO</v>
      </c>
      <c r="CD325" s="96" t="s">
        <v>176</v>
      </c>
      <c r="CE325" s="96" t="s">
        <v>66</v>
      </c>
    </row>
    <row r="326" customFormat="false" ht="14.25" hidden="false" customHeight="true" outlineLevel="0" collapsed="false">
      <c r="A326" s="65" t="s">
        <v>787</v>
      </c>
      <c r="B326" s="66" t="s">
        <v>788</v>
      </c>
      <c r="C326" s="66" t="s">
        <v>115</v>
      </c>
      <c r="D326" s="68" t="s">
        <v>184</v>
      </c>
      <c r="E326" s="69" t="s">
        <v>139</v>
      </c>
      <c r="F326" s="70" t="n">
        <f aca="false">IFERROR(VLOOKUP(C326,$AS$3:$AT$10,2,FALSE()),IFERROR(VLOOKUP(C326,$AS$15:$AT$22,2,FALSE()),""))</f>
        <v>25</v>
      </c>
      <c r="G326" s="71" t="n">
        <f aca="false">IFERROR(VLOOKUP(C326,$AS$3:$AX$10,6,FALSE()),IFERROR(VLOOKUP(C326,$AS$15:$AX$22,6,FALSE()),""))</f>
        <v>0.536751750851081</v>
      </c>
      <c r="H326" s="72" t="str">
        <f aca="false">IFERROR(VLOOKUP(C326,$AS$3:$AY$10,7,FALSE()),IFERROR(VLOOKUP(C326,$AS$15:$AY$22,7,FALSE()),""))</f>
        <v>🟡 AMARELO</v>
      </c>
      <c r="I326" s="72" t="str">
        <f aca="false">IFERROR(VLOOKUP(C326,$AS$3:$AZ$10,8,FALSE()),IFERROR(VLOOKUP(C326,$AS$15:$AZ$22,8,FALSE()),""))</f>
        <v>Sell Out</v>
      </c>
      <c r="J326" s="73"/>
      <c r="K326" s="69" t="s">
        <v>107</v>
      </c>
      <c r="L326" s="74" t="n">
        <v>2991.4</v>
      </c>
      <c r="M326" s="75" t="n">
        <v>210.22</v>
      </c>
      <c r="N326" s="75" t="n">
        <v>219.67</v>
      </c>
      <c r="O326" s="75" t="n">
        <v>224.96</v>
      </c>
      <c r="P326" s="75" t="n">
        <v>230.82</v>
      </c>
      <c r="Q326" s="75" t="n">
        <v>238.38</v>
      </c>
      <c r="R326" s="75" t="n">
        <v>244.62</v>
      </c>
      <c r="S326" s="75" t="n">
        <v>254.07</v>
      </c>
      <c r="T326" s="75" t="n">
        <v>260.31</v>
      </c>
      <c r="U326" s="75" t="n">
        <v>266.17</v>
      </c>
      <c r="V326" s="75" t="n">
        <v>272.79</v>
      </c>
      <c r="W326" s="75" t="n">
        <v>279.97</v>
      </c>
      <c r="X326" s="76" t="n">
        <v>289.42</v>
      </c>
      <c r="Y326" s="77" t="s">
        <v>20</v>
      </c>
      <c r="Z326" s="78" t="n">
        <f aca="false">SUM(AA326:AL326)</f>
        <v>1256.29</v>
      </c>
      <c r="AA326" s="75"/>
      <c r="AB326" s="75"/>
      <c r="AC326" s="75"/>
      <c r="AD326" s="75"/>
      <c r="AE326" s="75"/>
      <c r="AF326" s="75"/>
      <c r="AG326" s="75"/>
      <c r="AH326" s="75"/>
      <c r="AI326" s="75"/>
      <c r="AJ326" s="79" t="n">
        <v>1256.29</v>
      </c>
      <c r="AK326" s="75"/>
      <c r="AL326" s="76"/>
      <c r="AM326" s="56" t="s">
        <v>20</v>
      </c>
      <c r="AN326" s="80" t="n">
        <f aca="false">IF(L326=0,0,Z326/L326)</f>
        <v>0.41996723941967</v>
      </c>
      <c r="AO326" s="81" t="str">
        <f aca="false">IF(AN326="","",IF(AN326&gt;=0.9,"🟢",IF(AN326&gt;=0.7,"🟡",IF(AN326&gt;=0.5,"🟠","🔴"))))</f>
        <v>🔴</v>
      </c>
      <c r="AP326" s="82" t="n">
        <f aca="false">IF(L326=0,0,L326-Z326)</f>
        <v>1735.11</v>
      </c>
      <c r="AQ326" s="83" t="n">
        <f aca="false">IF(AP326=0,"",RANK(AP326,AP$4:AP$503,0))</f>
        <v>302</v>
      </c>
      <c r="AR326" s="84" t="s">
        <v>20</v>
      </c>
      <c r="AS326" s="141"/>
      <c r="AT326" s="141"/>
      <c r="AU326" s="141"/>
      <c r="AV326" s="141"/>
      <c r="AW326" s="141"/>
      <c r="AX326" s="141"/>
      <c r="AY326" s="142"/>
      <c r="AZ326" s="142"/>
      <c r="BA326" s="56" t="s">
        <v>20</v>
      </c>
      <c r="BB326" s="91" t="n">
        <f aca="false">SUM(L$4:L$503)/COUNTA(A$4:A$503)</f>
        <v>9494.39992</v>
      </c>
      <c r="BC326" s="92" t="n">
        <f aca="false">SUM(M$4:M$503)/COUNTA(A$4:A$503)</f>
        <v>667.20008</v>
      </c>
      <c r="BD326" s="92" t="n">
        <f aca="false">SUM(N$4:N$503)/COUNTA(A$4:A$503)</f>
        <v>697.19996</v>
      </c>
      <c r="BE326" s="92" t="n">
        <f aca="false">SUM(O$4:O$503)/COUNTA(A$4:A$503)</f>
        <v>713.9999</v>
      </c>
      <c r="BF326" s="92" t="n">
        <f aca="false">SUM(P$4:P$503)/COUNTA(A$4:A$503)</f>
        <v>732.59984</v>
      </c>
      <c r="BG326" s="92" t="n">
        <f aca="false">SUM(Q$4:Q$503)/COUNTA(A$4:A$503)</f>
        <v>756.59992</v>
      </c>
      <c r="BH326" s="92" t="n">
        <f aca="false">SUM(R$4:R$503)/COUNTA(A$4:A$503)</f>
        <v>776.40004</v>
      </c>
      <c r="BI326" s="92" t="n">
        <f aca="false">SUM(S$4:S$503)/COUNTA(A$4:A$503)</f>
        <v>806.40012</v>
      </c>
      <c r="BJ326" s="92" t="n">
        <f aca="false">SUM(T$4:T$503)/COUNTA(A$4:A$503)</f>
        <v>826.1999</v>
      </c>
      <c r="BK326" s="92" t="n">
        <f aca="false">SUM(U$4:U$503)/COUNTA(A$4:A$503)</f>
        <v>844.8002</v>
      </c>
      <c r="BL326" s="92" t="n">
        <f aca="false">SUM(V$4:V$503)/COUNTA(A$4:A$503)</f>
        <v>865.7998</v>
      </c>
      <c r="BM326" s="92" t="n">
        <f aca="false">SUM(W$4:W$503)/COUNTA(A$4:A$503)</f>
        <v>888.59982</v>
      </c>
      <c r="BN326" s="93" t="n">
        <f aca="false">SUM(X$4:X$503)/COUNTA(A$4:A$503)</f>
        <v>918.60034</v>
      </c>
      <c r="BO326" s="94" t="s">
        <v>20</v>
      </c>
      <c r="BP326" s="91" t="n">
        <f aca="false">IF(Z326&gt;=BB326,0,IFERROR(BB326+(SUMPRODUCT((Z$4:Z$503&gt;=BB$4:BB$503)*(Z$4:Z$503-BB$4:BB$503))/MAX(1,COUNTIF(Z$4:Z$503,"&lt;"&amp;BB326+0.01))),BB326))</f>
        <v>10695.5432177778</v>
      </c>
      <c r="BQ326" s="92" t="n">
        <f aca="false">IF(AA326&gt;=BC326,0,IFERROR(BC326+SUMPRODUCT((AA$4:AA$503&gt;=BC$4:BC$503)*(AA$4:AA$503-BC$4:BC$503))/MAX(1,COUNTIF(AA$4:AA$503,"&lt;"&amp;BC326+0.01)),BC326))</f>
        <v>2238.46589176471</v>
      </c>
      <c r="BR326" s="92" t="n">
        <f aca="false">IF(AB326&gt;=BD326,0,IFERROR(BD326+SUMPRODUCT((AB$4:AB$503&gt;=BD$4:BD$503)*(AB$4:AB$503-BD$4:BD$503))/MAX(1,COUNTIF(AB$4:AB$503,"&lt;"&amp;BD326+0.01)),BD326))</f>
        <v>3335.2938</v>
      </c>
      <c r="BS326" s="92" t="n">
        <f aca="false">IF(AC326&gt;=BE326,0,IFERROR(BE326+SUMPRODUCT((AC$4:AC$503&gt;=BE$4:BE$503)*(AC$4:AC$503-BE$4:BE$503))/MAX(1,COUNTIF(AC$4:AC$503,"&lt;"&amp;BE326+0.01)),BE326))</f>
        <v>6188.73352</v>
      </c>
      <c r="BT326" s="92" t="n">
        <f aca="false">IF(AD326&gt;=BF326,0,IFERROR(BF326+SUMPRODUCT((AD$4:AD$503&gt;=BF$4:BF$503)*(AD$4:AD$503-BF$4:BF$503))/MAX(1,COUNTIF(AD$4:AD$503,"&lt;"&amp;BF326+0.01)),BF326))</f>
        <v>11354.35411</v>
      </c>
      <c r="BU326" s="92" t="n">
        <f aca="false">IF(AE326&gt;=BG326,0,IFERROR(BG326+SUMPRODUCT((AE$4:AE$503&gt;=BG$4:BG$503)*(AE$4:AE$503-BG$4:BG$503))/MAX(1,COUNTIF(AE$4:AE$503,"&lt;"&amp;BG326+0.01)),BG326))</f>
        <v>7704.85920380952</v>
      </c>
      <c r="BV326" s="92" t="n">
        <f aca="false">IF(AF326&gt;=BH326,0,IFERROR(BH326+SUMPRODUCT((AF$4:AF$503&gt;=BH$4:BH$503)*(AF$4:AF$503-BH$4:BH$503))/MAX(1,COUNTIF(AF$4:AF$503,"&lt;"&amp;BH326+0.01)),BH326))</f>
        <v>9942.6503831579</v>
      </c>
      <c r="BW326" s="92" t="n">
        <f aca="false">IF(AG326&gt;=BI326,0,IFERROR(BI326+SUMPRODUCT((AG$4:AG$503&gt;=BI$4:BI$503)*(AG$4:AG$503-BI$4:BI$503))/MAX(1,COUNTIF(AG$4:AG$503,"&lt;"&amp;BI326+0.01)),BI326))</f>
        <v>9142.15870461538</v>
      </c>
      <c r="BX326" s="92" t="n">
        <f aca="false">IF(AH326&gt;=BJ326,0,IFERROR(BJ326+SUMPRODUCT((AH$4:AH$503&gt;=BJ$4:BJ$503)*(AH$4:AH$503-BJ$4:BJ$503))/MAX(1,COUNTIF(AH$4:AH$503,"&lt;"&amp;BJ326+0.01)),BJ326))</f>
        <v>5621.50263448276</v>
      </c>
      <c r="BY326" s="92" t="n">
        <f aca="false">IF(AI326&gt;=BK326,0,IFERROR(BK326+SUMPRODUCT((AI$4:AI$503&gt;=BK$4:BK$503)*(AI$4:AI$503-BK$4:BK$503))/MAX(1,COUNTIF(AI$4:AI$503,"&lt;"&amp;BK326+0.01)),BK326))</f>
        <v>7878.25652380952</v>
      </c>
      <c r="BZ326" s="92" t="n">
        <f aca="false">IF(AJ326&gt;=BL326,0,IFERROR(BL326+SUMPRODUCT((AJ$4:AJ$503&gt;=BL$4:BL$503)*(AJ$4:AJ$503-BL$4:BL$503))/MAX(1,COUNTIF(AJ$4:AJ$503,"&lt;"&amp;BL326+0.01)),BL326))</f>
        <v>0</v>
      </c>
      <c r="CA326" s="92" t="n">
        <f aca="false">IF(AK326&gt;=BM326,0,IFERROR(BM326+SUMPRODUCT((AK$4:AK$503&gt;=BM$4:BM$503)*(AK$4:AK$503-BM$4:BM$503))/MAX(1,COUNTIF(AK$4:AK$503,"&lt;"&amp;BM326+0.01)),BM326))</f>
        <v>7314.89836842105</v>
      </c>
      <c r="CB326" s="93" t="n">
        <f aca="false">IF(AL326&gt;=BN326,0,IFERROR(BN326+SUMPRODUCT((AL$4:AL$503&gt;=BN$4:BN$503)*(AL$4:AL$503-BN$4:BN$503))/MAX(1,COUNTIF(AL$4:AL$503,"&lt;"&amp;BN326+0.01)),BN326))</f>
        <v>3597.2614925</v>
      </c>
      <c r="CC326" s="95" t="str">
        <f aca="false">IF(AO326="🟢","VERDE",IF(AO326="🟡","AMARELO",IF(AO326="🟠","VERMELHO",IF(AO326="🔴","VERMELHO","ROXO"))))</f>
        <v>VERMELHO</v>
      </c>
      <c r="CD326" s="96" t="s">
        <v>176</v>
      </c>
      <c r="CE326" s="96" t="s">
        <v>115</v>
      </c>
    </row>
    <row r="327" customFormat="false" ht="14.25" hidden="false" customHeight="true" outlineLevel="0" collapsed="false">
      <c r="A327" s="65" t="s">
        <v>789</v>
      </c>
      <c r="B327" s="66" t="s">
        <v>790</v>
      </c>
      <c r="C327" s="66" t="s">
        <v>115</v>
      </c>
      <c r="D327" s="68" t="s">
        <v>184</v>
      </c>
      <c r="E327" s="69" t="s">
        <v>119</v>
      </c>
      <c r="F327" s="70" t="n">
        <f aca="false">IFERROR(VLOOKUP(C327,$AS$3:$AT$10,2,FALSE()),IFERROR(VLOOKUP(C327,$AS$15:$AT$22,2,FALSE()),""))</f>
        <v>25</v>
      </c>
      <c r="G327" s="71" t="n">
        <f aca="false">IFERROR(VLOOKUP(C327,$AS$3:$AX$10,6,FALSE()),IFERROR(VLOOKUP(C327,$AS$15:$AX$22,6,FALSE()),""))</f>
        <v>0.536751750851081</v>
      </c>
      <c r="H327" s="72" t="str">
        <f aca="false">IFERROR(VLOOKUP(C327,$AS$3:$AY$10,7,FALSE()),IFERROR(VLOOKUP(C327,$AS$15:$AY$22,7,FALSE()),""))</f>
        <v>🟡 AMARELO</v>
      </c>
      <c r="I327" s="72" t="str">
        <f aca="false">IFERROR(VLOOKUP(C327,$AS$3:$AZ$10,8,FALSE()),IFERROR(VLOOKUP(C327,$AS$15:$AZ$22,8,FALSE()),""))</f>
        <v>Sell Out</v>
      </c>
      <c r="J327" s="73"/>
      <c r="K327" s="69" t="s">
        <v>118</v>
      </c>
      <c r="L327" s="74" t="n">
        <v>2983.95</v>
      </c>
      <c r="M327" s="75" t="n">
        <v>209.69</v>
      </c>
      <c r="N327" s="75" t="n">
        <v>219.12</v>
      </c>
      <c r="O327" s="75" t="n">
        <v>224.4</v>
      </c>
      <c r="P327" s="75" t="n">
        <v>230.25</v>
      </c>
      <c r="Q327" s="75" t="n">
        <v>237.79</v>
      </c>
      <c r="R327" s="75" t="n">
        <v>244.01</v>
      </c>
      <c r="S327" s="75" t="n">
        <v>253.44</v>
      </c>
      <c r="T327" s="75" t="n">
        <v>259.66</v>
      </c>
      <c r="U327" s="75" t="n">
        <v>265.51</v>
      </c>
      <c r="V327" s="75" t="n">
        <v>272.11</v>
      </c>
      <c r="W327" s="75" t="n">
        <v>279.27</v>
      </c>
      <c r="X327" s="76" t="n">
        <v>288.7</v>
      </c>
      <c r="Y327" s="77" t="s">
        <v>20</v>
      </c>
      <c r="Z327" s="78" t="n">
        <f aca="false">SUM(AA327:AL327)</f>
        <v>1200</v>
      </c>
      <c r="AA327" s="75"/>
      <c r="AB327" s="75"/>
      <c r="AC327" s="75"/>
      <c r="AD327" s="75"/>
      <c r="AE327" s="75"/>
      <c r="AF327" s="75"/>
      <c r="AG327" s="75"/>
      <c r="AH327" s="75"/>
      <c r="AI327" s="79" t="n">
        <v>1200</v>
      </c>
      <c r="AJ327" s="75"/>
      <c r="AK327" s="75"/>
      <c r="AL327" s="76"/>
      <c r="AM327" s="56" t="s">
        <v>20</v>
      </c>
      <c r="AN327" s="80" t="n">
        <f aca="false">IF(L327=0,0,Z327/L327)</f>
        <v>0.402151510581612</v>
      </c>
      <c r="AO327" s="81" t="str">
        <f aca="false">IF(AN327="","",IF(AN327&gt;=0.9,"🟢",IF(AN327&gt;=0.7,"🟡",IF(AN327&gt;=0.5,"🟠","🔴"))))</f>
        <v>🔴</v>
      </c>
      <c r="AP327" s="82" t="n">
        <f aca="false">IF(L327=0,0,L327-Z327)</f>
        <v>1783.95</v>
      </c>
      <c r="AQ327" s="83" t="n">
        <f aca="false">IF(AP327=0,"",RANK(AP327,AP$4:AP$503,0))</f>
        <v>287</v>
      </c>
      <c r="AR327" s="84" t="s">
        <v>20</v>
      </c>
      <c r="AS327" s="141"/>
      <c r="AT327" s="141"/>
      <c r="AU327" s="141"/>
      <c r="AV327" s="141"/>
      <c r="AW327" s="141"/>
      <c r="AX327" s="141"/>
      <c r="AY327" s="142"/>
      <c r="AZ327" s="142"/>
      <c r="BA327" s="56" t="s">
        <v>20</v>
      </c>
      <c r="BB327" s="91" t="n">
        <f aca="false">SUM(L$4:L$503)/COUNTA(A$4:A$503)</f>
        <v>9494.39992</v>
      </c>
      <c r="BC327" s="92" t="n">
        <f aca="false">SUM(M$4:M$503)/COUNTA(A$4:A$503)</f>
        <v>667.20008</v>
      </c>
      <c r="BD327" s="92" t="n">
        <f aca="false">SUM(N$4:N$503)/COUNTA(A$4:A$503)</f>
        <v>697.19996</v>
      </c>
      <c r="BE327" s="92" t="n">
        <f aca="false">SUM(O$4:O$503)/COUNTA(A$4:A$503)</f>
        <v>713.9999</v>
      </c>
      <c r="BF327" s="92" t="n">
        <f aca="false">SUM(P$4:P$503)/COUNTA(A$4:A$503)</f>
        <v>732.59984</v>
      </c>
      <c r="BG327" s="92" t="n">
        <f aca="false">SUM(Q$4:Q$503)/COUNTA(A$4:A$503)</f>
        <v>756.59992</v>
      </c>
      <c r="BH327" s="92" t="n">
        <f aca="false">SUM(R$4:R$503)/COUNTA(A$4:A$503)</f>
        <v>776.40004</v>
      </c>
      <c r="BI327" s="92" t="n">
        <f aca="false">SUM(S$4:S$503)/COUNTA(A$4:A$503)</f>
        <v>806.40012</v>
      </c>
      <c r="BJ327" s="92" t="n">
        <f aca="false">SUM(T$4:T$503)/COUNTA(A$4:A$503)</f>
        <v>826.1999</v>
      </c>
      <c r="BK327" s="92" t="n">
        <f aca="false">SUM(U$4:U$503)/COUNTA(A$4:A$503)</f>
        <v>844.8002</v>
      </c>
      <c r="BL327" s="92" t="n">
        <f aca="false">SUM(V$4:V$503)/COUNTA(A$4:A$503)</f>
        <v>865.7998</v>
      </c>
      <c r="BM327" s="92" t="n">
        <f aca="false">SUM(W$4:W$503)/COUNTA(A$4:A$503)</f>
        <v>888.59982</v>
      </c>
      <c r="BN327" s="93" t="n">
        <f aca="false">SUM(X$4:X$503)/COUNTA(A$4:A$503)</f>
        <v>918.60034</v>
      </c>
      <c r="BO327" s="94" t="s">
        <v>20</v>
      </c>
      <c r="BP327" s="91" t="n">
        <f aca="false">IF(Z327&gt;=BB327,0,IFERROR(BB327+(SUMPRODUCT((Z$4:Z$503&gt;=BB$4:BB$503)*(Z$4:Z$503-BB$4:BB$503))/MAX(1,COUNTIF(Z$4:Z$503,"&lt;"&amp;BB327+0.01))),BB327))</f>
        <v>10695.5432177778</v>
      </c>
      <c r="BQ327" s="92" t="n">
        <f aca="false">IF(AA327&gt;=BC327,0,IFERROR(BC327+SUMPRODUCT((AA$4:AA$503&gt;=BC$4:BC$503)*(AA$4:AA$503-BC$4:BC$503))/MAX(1,COUNTIF(AA$4:AA$503,"&lt;"&amp;BC327+0.01)),BC327))</f>
        <v>2238.46589176471</v>
      </c>
      <c r="BR327" s="92" t="n">
        <f aca="false">IF(AB327&gt;=BD327,0,IFERROR(BD327+SUMPRODUCT((AB$4:AB$503&gt;=BD$4:BD$503)*(AB$4:AB$503-BD$4:BD$503))/MAX(1,COUNTIF(AB$4:AB$503,"&lt;"&amp;BD327+0.01)),BD327))</f>
        <v>3335.2938</v>
      </c>
      <c r="BS327" s="92" t="n">
        <f aca="false">IF(AC327&gt;=BE327,0,IFERROR(BE327+SUMPRODUCT((AC$4:AC$503&gt;=BE$4:BE$503)*(AC$4:AC$503-BE$4:BE$503))/MAX(1,COUNTIF(AC$4:AC$503,"&lt;"&amp;BE327+0.01)),BE327))</f>
        <v>6188.73352</v>
      </c>
      <c r="BT327" s="92" t="n">
        <f aca="false">IF(AD327&gt;=BF327,0,IFERROR(BF327+SUMPRODUCT((AD$4:AD$503&gt;=BF$4:BF$503)*(AD$4:AD$503-BF$4:BF$503))/MAX(1,COUNTIF(AD$4:AD$503,"&lt;"&amp;BF327+0.01)),BF327))</f>
        <v>11354.35411</v>
      </c>
      <c r="BU327" s="92" t="n">
        <f aca="false">IF(AE327&gt;=BG327,0,IFERROR(BG327+SUMPRODUCT((AE$4:AE$503&gt;=BG$4:BG$503)*(AE$4:AE$503-BG$4:BG$503))/MAX(1,COUNTIF(AE$4:AE$503,"&lt;"&amp;BG327+0.01)),BG327))</f>
        <v>7704.85920380952</v>
      </c>
      <c r="BV327" s="92" t="n">
        <f aca="false">IF(AF327&gt;=BH327,0,IFERROR(BH327+SUMPRODUCT((AF$4:AF$503&gt;=BH$4:BH$503)*(AF$4:AF$503-BH$4:BH$503))/MAX(1,COUNTIF(AF$4:AF$503,"&lt;"&amp;BH327+0.01)),BH327))</f>
        <v>9942.6503831579</v>
      </c>
      <c r="BW327" s="92" t="n">
        <f aca="false">IF(AG327&gt;=BI327,0,IFERROR(BI327+SUMPRODUCT((AG$4:AG$503&gt;=BI$4:BI$503)*(AG$4:AG$503-BI$4:BI$503))/MAX(1,COUNTIF(AG$4:AG$503,"&lt;"&amp;BI327+0.01)),BI327))</f>
        <v>9142.15870461538</v>
      </c>
      <c r="BX327" s="92" t="n">
        <f aca="false">IF(AH327&gt;=BJ327,0,IFERROR(BJ327+SUMPRODUCT((AH$4:AH$503&gt;=BJ$4:BJ$503)*(AH$4:AH$503-BJ$4:BJ$503))/MAX(1,COUNTIF(AH$4:AH$503,"&lt;"&amp;BJ327+0.01)),BJ327))</f>
        <v>5621.50263448276</v>
      </c>
      <c r="BY327" s="92" t="n">
        <f aca="false">IF(AI327&gt;=BK327,0,IFERROR(BK327+SUMPRODUCT((AI$4:AI$503&gt;=BK$4:BK$503)*(AI$4:AI$503-BK$4:BK$503))/MAX(1,COUNTIF(AI$4:AI$503,"&lt;"&amp;BK327+0.01)),BK327))</f>
        <v>0</v>
      </c>
      <c r="BZ327" s="92" t="n">
        <f aca="false">IF(AJ327&gt;=BL327,0,IFERROR(BL327+SUMPRODUCT((AJ$4:AJ$503&gt;=BL$4:BL$503)*(AJ$4:AJ$503-BL$4:BL$503))/MAX(1,COUNTIF(AJ$4:AJ$503,"&lt;"&amp;BL327+0.01)),BL327))</f>
        <v>6710.03292307692</v>
      </c>
      <c r="CA327" s="92" t="n">
        <f aca="false">IF(AK327&gt;=BM327,0,IFERROR(BM327+SUMPRODUCT((AK$4:AK$503&gt;=BM$4:BM$503)*(AK$4:AK$503-BM$4:BM$503))/MAX(1,COUNTIF(AK$4:AK$503,"&lt;"&amp;BM327+0.01)),BM327))</f>
        <v>7314.89836842105</v>
      </c>
      <c r="CB327" s="93" t="n">
        <f aca="false">IF(AL327&gt;=BN327,0,IFERROR(BN327+SUMPRODUCT((AL$4:AL$503&gt;=BN$4:BN$503)*(AL$4:AL$503-BN$4:BN$503))/MAX(1,COUNTIF(AL$4:AL$503,"&lt;"&amp;BN327+0.01)),BN327))</f>
        <v>3597.2614925</v>
      </c>
      <c r="CC327" s="95" t="str">
        <f aca="false">IF(AO327="🟢","VERDE",IF(AO327="🟡","AMARELO",IF(AO327="🟠","VERMELHO",IF(AO327="🔴","VERMELHO","ROXO"))))</f>
        <v>VERMELHO</v>
      </c>
      <c r="CD327" s="96" t="s">
        <v>176</v>
      </c>
      <c r="CE327" s="96" t="s">
        <v>115</v>
      </c>
    </row>
    <row r="328" customFormat="false" ht="14.25" hidden="false" customHeight="true" outlineLevel="0" collapsed="false">
      <c r="A328" s="65" t="s">
        <v>791</v>
      </c>
      <c r="B328" s="66" t="s">
        <v>792</v>
      </c>
      <c r="C328" s="66" t="s">
        <v>102</v>
      </c>
      <c r="D328" s="68" t="s">
        <v>175</v>
      </c>
      <c r="E328" s="69" t="s">
        <v>196</v>
      </c>
      <c r="F328" s="70" t="n">
        <f aca="false">IFERROR(VLOOKUP(C328,$AS$3:$AT$10,2,FALSE()),IFERROR(VLOOKUP(C328,$AS$15:$AT$22,2,FALSE()),""))</f>
        <v>21</v>
      </c>
      <c r="G328" s="71" t="n">
        <f aca="false">IFERROR(VLOOKUP(C328,$AS$3:$AX$10,6,FALSE()),IFERROR(VLOOKUP(C328,$AS$15:$AX$22,6,FALSE()),""))</f>
        <v>0.491514556258592</v>
      </c>
      <c r="H328" s="72" t="str">
        <f aca="false">IFERROR(VLOOKUP(C328,$AS$3:$AY$10,7,FALSE()),IFERROR(VLOOKUP(C328,$AS$15:$AY$22,7,FALSE()),""))</f>
        <v>🟡 AMARELO</v>
      </c>
      <c r="I328" s="72" t="str">
        <f aca="false">IFERROR(VLOOKUP(C328,$AS$3:$AZ$10,8,FALSE()),IFERROR(VLOOKUP(C328,$AS$15:$AZ$22,8,FALSE()),""))</f>
        <v>Sell Out</v>
      </c>
      <c r="J328" s="73"/>
      <c r="K328" s="69" t="s">
        <v>107</v>
      </c>
      <c r="L328" s="74" t="n">
        <v>2983.95</v>
      </c>
      <c r="M328" s="75" t="n">
        <v>209.69</v>
      </c>
      <c r="N328" s="75" t="n">
        <v>219.12</v>
      </c>
      <c r="O328" s="75" t="n">
        <v>224.4</v>
      </c>
      <c r="P328" s="75" t="n">
        <v>230.25</v>
      </c>
      <c r="Q328" s="75" t="n">
        <v>237.79</v>
      </c>
      <c r="R328" s="75" t="n">
        <v>244.01</v>
      </c>
      <c r="S328" s="75" t="n">
        <v>253.44</v>
      </c>
      <c r="T328" s="75" t="n">
        <v>259.66</v>
      </c>
      <c r="U328" s="75" t="n">
        <v>265.51</v>
      </c>
      <c r="V328" s="75" t="n">
        <v>272.11</v>
      </c>
      <c r="W328" s="75" t="n">
        <v>279.27</v>
      </c>
      <c r="X328" s="76" t="n">
        <v>288.7</v>
      </c>
      <c r="Y328" s="77" t="s">
        <v>20</v>
      </c>
      <c r="Z328" s="78" t="n">
        <f aca="false">SUM(AA328:AL328)</f>
        <v>1249.9</v>
      </c>
      <c r="AA328" s="75"/>
      <c r="AB328" s="75"/>
      <c r="AC328" s="75"/>
      <c r="AD328" s="75"/>
      <c r="AE328" s="75"/>
      <c r="AF328" s="75"/>
      <c r="AG328" s="75"/>
      <c r="AH328" s="75"/>
      <c r="AI328" s="75"/>
      <c r="AJ328" s="79" t="n">
        <v>1249.9</v>
      </c>
      <c r="AK328" s="75"/>
      <c r="AL328" s="76"/>
      <c r="AM328" s="56" t="s">
        <v>20</v>
      </c>
      <c r="AN328" s="80" t="n">
        <f aca="false">IF(L328=0,0,Z328/L328)</f>
        <v>0.41887431089663</v>
      </c>
      <c r="AO328" s="81" t="str">
        <f aca="false">IF(AN328="","",IF(AN328&gt;=0.9,"🟢",IF(AN328&gt;=0.7,"🟡",IF(AN328&gt;=0.5,"🟠","🔴"))))</f>
        <v>🔴</v>
      </c>
      <c r="AP328" s="82" t="n">
        <f aca="false">IF(L328=0,0,L328-Z328)</f>
        <v>1734.05</v>
      </c>
      <c r="AQ328" s="83" t="n">
        <f aca="false">IF(AP328=0,"",RANK(AP328,AP$4:AP$503,0))</f>
        <v>303</v>
      </c>
      <c r="AR328" s="84" t="s">
        <v>20</v>
      </c>
      <c r="AS328" s="141"/>
      <c r="AT328" s="141"/>
      <c r="AU328" s="141"/>
      <c r="AV328" s="141"/>
      <c r="AW328" s="141"/>
      <c r="AX328" s="141"/>
      <c r="AY328" s="142"/>
      <c r="AZ328" s="142"/>
      <c r="BA328" s="56" t="s">
        <v>20</v>
      </c>
      <c r="BB328" s="91" t="n">
        <f aca="false">SUM(L$4:L$503)/COUNTA(A$4:A$503)</f>
        <v>9494.39992</v>
      </c>
      <c r="BC328" s="92" t="n">
        <f aca="false">SUM(M$4:M$503)/COUNTA(A$4:A$503)</f>
        <v>667.20008</v>
      </c>
      <c r="BD328" s="92" t="n">
        <f aca="false">SUM(N$4:N$503)/COUNTA(A$4:A$503)</f>
        <v>697.19996</v>
      </c>
      <c r="BE328" s="92" t="n">
        <f aca="false">SUM(O$4:O$503)/COUNTA(A$4:A$503)</f>
        <v>713.9999</v>
      </c>
      <c r="BF328" s="92" t="n">
        <f aca="false">SUM(P$4:P$503)/COUNTA(A$4:A$503)</f>
        <v>732.59984</v>
      </c>
      <c r="BG328" s="92" t="n">
        <f aca="false">SUM(Q$4:Q$503)/COUNTA(A$4:A$503)</f>
        <v>756.59992</v>
      </c>
      <c r="BH328" s="92" t="n">
        <f aca="false">SUM(R$4:R$503)/COUNTA(A$4:A$503)</f>
        <v>776.40004</v>
      </c>
      <c r="BI328" s="92" t="n">
        <f aca="false">SUM(S$4:S$503)/COUNTA(A$4:A$503)</f>
        <v>806.40012</v>
      </c>
      <c r="BJ328" s="92" t="n">
        <f aca="false">SUM(T$4:T$503)/COUNTA(A$4:A$503)</f>
        <v>826.1999</v>
      </c>
      <c r="BK328" s="92" t="n">
        <f aca="false">SUM(U$4:U$503)/COUNTA(A$4:A$503)</f>
        <v>844.8002</v>
      </c>
      <c r="BL328" s="92" t="n">
        <f aca="false">SUM(V$4:V$503)/COUNTA(A$4:A$503)</f>
        <v>865.7998</v>
      </c>
      <c r="BM328" s="92" t="n">
        <f aca="false">SUM(W$4:W$503)/COUNTA(A$4:A$503)</f>
        <v>888.59982</v>
      </c>
      <c r="BN328" s="93" t="n">
        <f aca="false">SUM(X$4:X$503)/COUNTA(A$4:A$503)</f>
        <v>918.60034</v>
      </c>
      <c r="BO328" s="94" t="s">
        <v>20</v>
      </c>
      <c r="BP328" s="91" t="n">
        <f aca="false">IF(Z328&gt;=BB328,0,IFERROR(BB328+(SUMPRODUCT((Z$4:Z$503&gt;=BB$4:BB$503)*(Z$4:Z$503-BB$4:BB$503))/MAX(1,COUNTIF(Z$4:Z$503,"&lt;"&amp;BB328+0.01))),BB328))</f>
        <v>10695.5432177778</v>
      </c>
      <c r="BQ328" s="92" t="n">
        <f aca="false">IF(AA328&gt;=BC328,0,IFERROR(BC328+SUMPRODUCT((AA$4:AA$503&gt;=BC$4:BC$503)*(AA$4:AA$503-BC$4:BC$503))/MAX(1,COUNTIF(AA$4:AA$503,"&lt;"&amp;BC328+0.01)),BC328))</f>
        <v>2238.46589176471</v>
      </c>
      <c r="BR328" s="92" t="n">
        <f aca="false">IF(AB328&gt;=BD328,0,IFERROR(BD328+SUMPRODUCT((AB$4:AB$503&gt;=BD$4:BD$503)*(AB$4:AB$503-BD$4:BD$503))/MAX(1,COUNTIF(AB$4:AB$503,"&lt;"&amp;BD328+0.01)),BD328))</f>
        <v>3335.2938</v>
      </c>
      <c r="BS328" s="92" t="n">
        <f aca="false">IF(AC328&gt;=BE328,0,IFERROR(BE328+SUMPRODUCT((AC$4:AC$503&gt;=BE$4:BE$503)*(AC$4:AC$503-BE$4:BE$503))/MAX(1,COUNTIF(AC$4:AC$503,"&lt;"&amp;BE328+0.01)),BE328))</f>
        <v>6188.73352</v>
      </c>
      <c r="BT328" s="92" t="n">
        <f aca="false">IF(AD328&gt;=BF328,0,IFERROR(BF328+SUMPRODUCT((AD$4:AD$503&gt;=BF$4:BF$503)*(AD$4:AD$503-BF$4:BF$503))/MAX(1,COUNTIF(AD$4:AD$503,"&lt;"&amp;BF328+0.01)),BF328))</f>
        <v>11354.35411</v>
      </c>
      <c r="BU328" s="92" t="n">
        <f aca="false">IF(AE328&gt;=BG328,0,IFERROR(BG328+SUMPRODUCT((AE$4:AE$503&gt;=BG$4:BG$503)*(AE$4:AE$503-BG$4:BG$503))/MAX(1,COUNTIF(AE$4:AE$503,"&lt;"&amp;BG328+0.01)),BG328))</f>
        <v>7704.85920380952</v>
      </c>
      <c r="BV328" s="92" t="n">
        <f aca="false">IF(AF328&gt;=BH328,0,IFERROR(BH328+SUMPRODUCT((AF$4:AF$503&gt;=BH$4:BH$503)*(AF$4:AF$503-BH$4:BH$503))/MAX(1,COUNTIF(AF$4:AF$503,"&lt;"&amp;BH328+0.01)),BH328))</f>
        <v>9942.6503831579</v>
      </c>
      <c r="BW328" s="92" t="n">
        <f aca="false">IF(AG328&gt;=BI328,0,IFERROR(BI328+SUMPRODUCT((AG$4:AG$503&gt;=BI$4:BI$503)*(AG$4:AG$503-BI$4:BI$503))/MAX(1,COUNTIF(AG$4:AG$503,"&lt;"&amp;BI328+0.01)),BI328))</f>
        <v>9142.15870461538</v>
      </c>
      <c r="BX328" s="92" t="n">
        <f aca="false">IF(AH328&gt;=BJ328,0,IFERROR(BJ328+SUMPRODUCT((AH$4:AH$503&gt;=BJ$4:BJ$503)*(AH$4:AH$503-BJ$4:BJ$503))/MAX(1,COUNTIF(AH$4:AH$503,"&lt;"&amp;BJ328+0.01)),BJ328))</f>
        <v>5621.50263448276</v>
      </c>
      <c r="BY328" s="92" t="n">
        <f aca="false">IF(AI328&gt;=BK328,0,IFERROR(BK328+SUMPRODUCT((AI$4:AI$503&gt;=BK$4:BK$503)*(AI$4:AI$503-BK$4:BK$503))/MAX(1,COUNTIF(AI$4:AI$503,"&lt;"&amp;BK328+0.01)),BK328))</f>
        <v>7878.25652380952</v>
      </c>
      <c r="BZ328" s="92" t="n">
        <f aca="false">IF(AJ328&gt;=BL328,0,IFERROR(BL328+SUMPRODUCT((AJ$4:AJ$503&gt;=BL$4:BL$503)*(AJ$4:AJ$503-BL$4:BL$503))/MAX(1,COUNTIF(AJ$4:AJ$503,"&lt;"&amp;BL328+0.01)),BL328))</f>
        <v>0</v>
      </c>
      <c r="CA328" s="92" t="n">
        <f aca="false">IF(AK328&gt;=BM328,0,IFERROR(BM328+SUMPRODUCT((AK$4:AK$503&gt;=BM$4:BM$503)*(AK$4:AK$503-BM$4:BM$503))/MAX(1,COUNTIF(AK$4:AK$503,"&lt;"&amp;BM328+0.01)),BM328))</f>
        <v>7314.89836842105</v>
      </c>
      <c r="CB328" s="93" t="n">
        <f aca="false">IF(AL328&gt;=BN328,0,IFERROR(BN328+SUMPRODUCT((AL$4:AL$503&gt;=BN$4:BN$503)*(AL$4:AL$503-BN$4:BN$503))/MAX(1,COUNTIF(AL$4:AL$503,"&lt;"&amp;BN328+0.01)),BN328))</f>
        <v>3597.2614925</v>
      </c>
      <c r="CC328" s="95" t="str">
        <f aca="false">IF(AO328="🟢","VERDE",IF(AO328="🟡","AMARELO",IF(AO328="🟠","VERMELHO",IF(AO328="🔴","VERMELHO","ROXO"))))</f>
        <v>VERMELHO</v>
      </c>
      <c r="CD328" s="96" t="s">
        <v>176</v>
      </c>
      <c r="CE328" s="96" t="s">
        <v>102</v>
      </c>
    </row>
    <row r="329" customFormat="false" ht="14.25" hidden="false" customHeight="true" outlineLevel="0" collapsed="false">
      <c r="A329" s="65" t="s">
        <v>793</v>
      </c>
      <c r="B329" s="66" t="s">
        <v>794</v>
      </c>
      <c r="C329" s="67" t="s">
        <v>107</v>
      </c>
      <c r="D329" s="68" t="s">
        <v>108</v>
      </c>
      <c r="E329" s="69" t="s">
        <v>139</v>
      </c>
      <c r="F329" s="70" t="n">
        <f aca="false">IFERROR(VLOOKUP(C329,$AS$3:$AT$10,2,FALSE()),IFERROR(VLOOKUP(C329,$AS$15:$AT$22,2,FALSE()),""))</f>
        <v>132</v>
      </c>
      <c r="G329" s="71" t="n">
        <f aca="false">IFERROR(VLOOKUP(C329,$AS$3:$AX$10,6,FALSE()),IFERROR(VLOOKUP(C329,$AS$15:$AX$22,6,FALSE()),""))</f>
        <v>0.468190175850689</v>
      </c>
      <c r="H329" s="72" t="str">
        <f aca="false">IFERROR(VLOOKUP(C329,$AS$3:$AY$10,7,FALSE()),IFERROR(VLOOKUP(C329,$AS$15:$AY$22,7,FALSE()),""))</f>
        <v>🟡 AMARELO</v>
      </c>
      <c r="I329" s="72" t="str">
        <f aca="false">IFERROR(VLOOKUP(C329,$AS$3:$AZ$10,8,FALSE()),IFERROR(VLOOKUP(C329,$AS$15:$AZ$22,8,FALSE()),""))</f>
        <v>Sell Out</v>
      </c>
      <c r="J329" s="73"/>
      <c r="K329" s="69" t="s">
        <v>107</v>
      </c>
      <c r="L329" s="74" t="n">
        <v>2983.95</v>
      </c>
      <c r="M329" s="75" t="n">
        <v>209.69</v>
      </c>
      <c r="N329" s="75" t="n">
        <v>219.12</v>
      </c>
      <c r="O329" s="75" t="n">
        <v>224.4</v>
      </c>
      <c r="P329" s="75" t="n">
        <v>230.25</v>
      </c>
      <c r="Q329" s="75" t="n">
        <v>237.79</v>
      </c>
      <c r="R329" s="75" t="n">
        <v>244.01</v>
      </c>
      <c r="S329" s="75" t="n">
        <v>253.44</v>
      </c>
      <c r="T329" s="75" t="n">
        <v>259.66</v>
      </c>
      <c r="U329" s="75" t="n">
        <v>265.51</v>
      </c>
      <c r="V329" s="75" t="n">
        <v>272.11</v>
      </c>
      <c r="W329" s="75" t="n">
        <v>279.27</v>
      </c>
      <c r="X329" s="76" t="n">
        <v>288.7</v>
      </c>
      <c r="Y329" s="77" t="s">
        <v>20</v>
      </c>
      <c r="Z329" s="78" t="n">
        <f aca="false">SUM(AA329:AL329)</f>
        <v>1253.8</v>
      </c>
      <c r="AA329" s="75"/>
      <c r="AB329" s="75"/>
      <c r="AC329" s="75"/>
      <c r="AD329" s="75"/>
      <c r="AE329" s="75"/>
      <c r="AF329" s="75"/>
      <c r="AG329" s="75"/>
      <c r="AH329" s="75"/>
      <c r="AI329" s="75"/>
      <c r="AJ329" s="79" t="n">
        <v>1253.8</v>
      </c>
      <c r="AK329" s="75"/>
      <c r="AL329" s="76"/>
      <c r="AM329" s="56" t="s">
        <v>20</v>
      </c>
      <c r="AN329" s="80" t="n">
        <f aca="false">IF(L329=0,0,Z329/L329)</f>
        <v>0.420181303306021</v>
      </c>
      <c r="AO329" s="81" t="str">
        <f aca="false">IF(AN329="","",IF(AN329&gt;=0.9,"🟢",IF(AN329&gt;=0.7,"🟡",IF(AN329&gt;=0.5,"🟠","🔴"))))</f>
        <v>🔴</v>
      </c>
      <c r="AP329" s="82" t="n">
        <f aca="false">IF(L329=0,0,L329-Z329)</f>
        <v>1730.15</v>
      </c>
      <c r="AQ329" s="83" t="n">
        <f aca="false">IF(AP329=0,"",RANK(AP329,AP$4:AP$503,0))</f>
        <v>304</v>
      </c>
      <c r="AR329" s="84" t="s">
        <v>20</v>
      </c>
      <c r="AS329" s="141"/>
      <c r="AT329" s="141"/>
      <c r="AU329" s="141"/>
      <c r="AV329" s="141"/>
      <c r="AW329" s="141"/>
      <c r="AX329" s="141"/>
      <c r="AY329" s="142"/>
      <c r="AZ329" s="142"/>
      <c r="BA329" s="56" t="s">
        <v>20</v>
      </c>
      <c r="BB329" s="91" t="n">
        <f aca="false">SUM(L$4:L$503)/COUNTA(A$4:A$503)</f>
        <v>9494.39992</v>
      </c>
      <c r="BC329" s="92" t="n">
        <f aca="false">SUM(M$4:M$503)/COUNTA(A$4:A$503)</f>
        <v>667.20008</v>
      </c>
      <c r="BD329" s="92" t="n">
        <f aca="false">SUM(N$4:N$503)/COUNTA(A$4:A$503)</f>
        <v>697.19996</v>
      </c>
      <c r="BE329" s="92" t="n">
        <f aca="false">SUM(O$4:O$503)/COUNTA(A$4:A$503)</f>
        <v>713.9999</v>
      </c>
      <c r="BF329" s="92" t="n">
        <f aca="false">SUM(P$4:P$503)/COUNTA(A$4:A$503)</f>
        <v>732.59984</v>
      </c>
      <c r="BG329" s="92" t="n">
        <f aca="false">SUM(Q$4:Q$503)/COUNTA(A$4:A$503)</f>
        <v>756.59992</v>
      </c>
      <c r="BH329" s="92" t="n">
        <f aca="false">SUM(R$4:R$503)/COUNTA(A$4:A$503)</f>
        <v>776.40004</v>
      </c>
      <c r="BI329" s="92" t="n">
        <f aca="false">SUM(S$4:S$503)/COUNTA(A$4:A$503)</f>
        <v>806.40012</v>
      </c>
      <c r="BJ329" s="92" t="n">
        <f aca="false">SUM(T$4:T$503)/COUNTA(A$4:A$503)</f>
        <v>826.1999</v>
      </c>
      <c r="BK329" s="92" t="n">
        <f aca="false">SUM(U$4:U$503)/COUNTA(A$4:A$503)</f>
        <v>844.8002</v>
      </c>
      <c r="BL329" s="92" t="n">
        <f aca="false">SUM(V$4:V$503)/COUNTA(A$4:A$503)</f>
        <v>865.7998</v>
      </c>
      <c r="BM329" s="92" t="n">
        <f aca="false">SUM(W$4:W$503)/COUNTA(A$4:A$503)</f>
        <v>888.59982</v>
      </c>
      <c r="BN329" s="93" t="n">
        <f aca="false">SUM(X$4:X$503)/COUNTA(A$4:A$503)</f>
        <v>918.60034</v>
      </c>
      <c r="BO329" s="94" t="s">
        <v>20</v>
      </c>
      <c r="BP329" s="91" t="n">
        <f aca="false">IF(Z329&gt;=BB329,0,IFERROR(BB329+(SUMPRODUCT((Z$4:Z$503&gt;=BB$4:BB$503)*(Z$4:Z$503-BB$4:BB$503))/MAX(1,COUNTIF(Z$4:Z$503,"&lt;"&amp;BB329+0.01))),BB329))</f>
        <v>10695.5432177778</v>
      </c>
      <c r="BQ329" s="92" t="n">
        <f aca="false">IF(AA329&gt;=BC329,0,IFERROR(BC329+SUMPRODUCT((AA$4:AA$503&gt;=BC$4:BC$503)*(AA$4:AA$503-BC$4:BC$503))/MAX(1,COUNTIF(AA$4:AA$503,"&lt;"&amp;BC329+0.01)),BC329))</f>
        <v>2238.46589176471</v>
      </c>
      <c r="BR329" s="92" t="n">
        <f aca="false">IF(AB329&gt;=BD329,0,IFERROR(BD329+SUMPRODUCT((AB$4:AB$503&gt;=BD$4:BD$503)*(AB$4:AB$503-BD$4:BD$503))/MAX(1,COUNTIF(AB$4:AB$503,"&lt;"&amp;BD329+0.01)),BD329))</f>
        <v>3335.2938</v>
      </c>
      <c r="BS329" s="92" t="n">
        <f aca="false">IF(AC329&gt;=BE329,0,IFERROR(BE329+SUMPRODUCT((AC$4:AC$503&gt;=BE$4:BE$503)*(AC$4:AC$503-BE$4:BE$503))/MAX(1,COUNTIF(AC$4:AC$503,"&lt;"&amp;BE329+0.01)),BE329))</f>
        <v>6188.73352</v>
      </c>
      <c r="BT329" s="92" t="n">
        <f aca="false">IF(AD329&gt;=BF329,0,IFERROR(BF329+SUMPRODUCT((AD$4:AD$503&gt;=BF$4:BF$503)*(AD$4:AD$503-BF$4:BF$503))/MAX(1,COUNTIF(AD$4:AD$503,"&lt;"&amp;BF329+0.01)),BF329))</f>
        <v>11354.35411</v>
      </c>
      <c r="BU329" s="92" t="n">
        <f aca="false">IF(AE329&gt;=BG329,0,IFERROR(BG329+SUMPRODUCT((AE$4:AE$503&gt;=BG$4:BG$503)*(AE$4:AE$503-BG$4:BG$503))/MAX(1,COUNTIF(AE$4:AE$503,"&lt;"&amp;BG329+0.01)),BG329))</f>
        <v>7704.85920380952</v>
      </c>
      <c r="BV329" s="92" t="n">
        <f aca="false">IF(AF329&gt;=BH329,0,IFERROR(BH329+SUMPRODUCT((AF$4:AF$503&gt;=BH$4:BH$503)*(AF$4:AF$503-BH$4:BH$503))/MAX(1,COUNTIF(AF$4:AF$503,"&lt;"&amp;BH329+0.01)),BH329))</f>
        <v>9942.6503831579</v>
      </c>
      <c r="BW329" s="92" t="n">
        <f aca="false">IF(AG329&gt;=BI329,0,IFERROR(BI329+SUMPRODUCT((AG$4:AG$503&gt;=BI$4:BI$503)*(AG$4:AG$503-BI$4:BI$503))/MAX(1,COUNTIF(AG$4:AG$503,"&lt;"&amp;BI329+0.01)),BI329))</f>
        <v>9142.15870461538</v>
      </c>
      <c r="BX329" s="92" t="n">
        <f aca="false">IF(AH329&gt;=BJ329,0,IFERROR(BJ329+SUMPRODUCT((AH$4:AH$503&gt;=BJ$4:BJ$503)*(AH$4:AH$503-BJ$4:BJ$503))/MAX(1,COUNTIF(AH$4:AH$503,"&lt;"&amp;BJ329+0.01)),BJ329))</f>
        <v>5621.50263448276</v>
      </c>
      <c r="BY329" s="92" t="n">
        <f aca="false">IF(AI329&gt;=BK329,0,IFERROR(BK329+SUMPRODUCT((AI$4:AI$503&gt;=BK$4:BK$503)*(AI$4:AI$503-BK$4:BK$503))/MAX(1,COUNTIF(AI$4:AI$503,"&lt;"&amp;BK329+0.01)),BK329))</f>
        <v>7878.25652380952</v>
      </c>
      <c r="BZ329" s="92" t="n">
        <f aca="false">IF(AJ329&gt;=BL329,0,IFERROR(BL329+SUMPRODUCT((AJ$4:AJ$503&gt;=BL$4:BL$503)*(AJ$4:AJ$503-BL$4:BL$503))/MAX(1,COUNTIF(AJ$4:AJ$503,"&lt;"&amp;BL329+0.01)),BL329))</f>
        <v>0</v>
      </c>
      <c r="CA329" s="92" t="n">
        <f aca="false">IF(AK329&gt;=BM329,0,IFERROR(BM329+SUMPRODUCT((AK$4:AK$503&gt;=BM$4:BM$503)*(AK$4:AK$503-BM$4:BM$503))/MAX(1,COUNTIF(AK$4:AK$503,"&lt;"&amp;BM329+0.01)),BM329))</f>
        <v>7314.89836842105</v>
      </c>
      <c r="CB329" s="93" t="n">
        <f aca="false">IF(AL329&gt;=BN329,0,IFERROR(BN329+SUMPRODUCT((AL$4:AL$503&gt;=BN$4:BN$503)*(AL$4:AL$503-BN$4:BN$503))/MAX(1,COUNTIF(AL$4:AL$503,"&lt;"&amp;BN329+0.01)),BN329))</f>
        <v>3597.2614925</v>
      </c>
      <c r="CC329" s="95" t="str">
        <f aca="false">IF(AO329="🟢","VERDE",IF(AO329="🟡","AMARELO",IF(AO329="🟠","VERMELHO",IF(AO329="🔴","VERMELHO","ROXO"))))</f>
        <v>VERMELHO</v>
      </c>
      <c r="CD329" s="96" t="s">
        <v>103</v>
      </c>
      <c r="CE329" s="96" t="s">
        <v>104</v>
      </c>
    </row>
    <row r="330" customFormat="false" ht="14.25" hidden="false" customHeight="true" outlineLevel="0" collapsed="false">
      <c r="A330" s="65" t="s">
        <v>795</v>
      </c>
      <c r="B330" s="66" t="s">
        <v>796</v>
      </c>
      <c r="C330" s="66" t="s">
        <v>120</v>
      </c>
      <c r="D330" s="68" t="s">
        <v>184</v>
      </c>
      <c r="E330" s="69" t="s">
        <v>260</v>
      </c>
      <c r="F330" s="70" t="n">
        <f aca="false">IFERROR(VLOOKUP(C330,$AS$3:$AT$10,2,FALSE()),IFERROR(VLOOKUP(C330,$AS$15:$AT$22,2,FALSE()),""))</f>
        <v>4</v>
      </c>
      <c r="G330" s="71" t="n">
        <f aca="false">IFERROR(VLOOKUP(C330,$AS$3:$AX$10,6,FALSE()),IFERROR(VLOOKUP(C330,$AS$15:$AX$22,6,FALSE()),""))</f>
        <v>0.520132792961821</v>
      </c>
      <c r="H330" s="72" t="str">
        <f aca="false">IFERROR(VLOOKUP(C330,$AS$3:$AY$10,7,FALSE()),IFERROR(VLOOKUP(C330,$AS$15:$AY$22,7,FALSE()),""))</f>
        <v>🟡 AMARELO</v>
      </c>
      <c r="I330" s="72" t="str">
        <f aca="false">IFERROR(VLOOKUP(C330,$AS$3:$AZ$10,8,FALSE()),IFERROR(VLOOKUP(C330,$AS$15:$AZ$22,8,FALSE()),""))</f>
        <v>Sell Out</v>
      </c>
      <c r="J330" s="73"/>
      <c r="K330" s="69" t="s">
        <v>113</v>
      </c>
      <c r="L330" s="74" t="n">
        <v>2982.98</v>
      </c>
      <c r="M330" s="75" t="n">
        <v>209.62</v>
      </c>
      <c r="N330" s="75" t="n">
        <v>219.05</v>
      </c>
      <c r="O330" s="75" t="n">
        <v>224.33</v>
      </c>
      <c r="P330" s="75" t="n">
        <v>230.17</v>
      </c>
      <c r="Q330" s="75" t="n">
        <v>237.71</v>
      </c>
      <c r="R330" s="75" t="n">
        <v>243.93</v>
      </c>
      <c r="S330" s="75" t="n">
        <v>253.36</v>
      </c>
      <c r="T330" s="75" t="n">
        <v>259.58</v>
      </c>
      <c r="U330" s="75" t="n">
        <v>265.42</v>
      </c>
      <c r="V330" s="75" t="n">
        <v>272.02</v>
      </c>
      <c r="W330" s="75" t="n">
        <v>279.18</v>
      </c>
      <c r="X330" s="76" t="n">
        <v>288.61</v>
      </c>
      <c r="Y330" s="77" t="s">
        <v>20</v>
      </c>
      <c r="Z330" s="78" t="n">
        <f aca="false">SUM(AA330:AL330)</f>
        <v>1385.71</v>
      </c>
      <c r="AA330" s="75"/>
      <c r="AB330" s="75"/>
      <c r="AC330" s="75"/>
      <c r="AD330" s="75"/>
      <c r="AE330" s="75"/>
      <c r="AF330" s="75"/>
      <c r="AG330" s="75"/>
      <c r="AH330" s="79" t="n">
        <v>1385.71</v>
      </c>
      <c r="AI330" s="75"/>
      <c r="AJ330" s="75"/>
      <c r="AK330" s="75"/>
      <c r="AL330" s="76"/>
      <c r="AM330" s="56" t="s">
        <v>20</v>
      </c>
      <c r="AN330" s="80" t="n">
        <f aca="false">IF(L330=0,0,Z330/L330)</f>
        <v>0.46453881688781</v>
      </c>
      <c r="AO330" s="81" t="str">
        <f aca="false">IF(AN330="","",IF(AN330&gt;=0.9,"🟢",IF(AN330&gt;=0.7,"🟡",IF(AN330&gt;=0.5,"🟠","🔴"))))</f>
        <v>🔴</v>
      </c>
      <c r="AP330" s="82" t="n">
        <f aca="false">IF(L330=0,0,L330-Z330)</f>
        <v>1597.27</v>
      </c>
      <c r="AQ330" s="83" t="n">
        <f aca="false">IF(AP330=0,"",RANK(AP330,AP$4:AP$503,0))</f>
        <v>317</v>
      </c>
      <c r="AR330" s="84" t="s">
        <v>20</v>
      </c>
      <c r="AS330" s="141"/>
      <c r="AT330" s="141"/>
      <c r="AU330" s="141"/>
      <c r="AV330" s="141"/>
      <c r="AW330" s="141"/>
      <c r="AX330" s="141"/>
      <c r="AY330" s="142"/>
      <c r="AZ330" s="142"/>
      <c r="BA330" s="56" t="s">
        <v>20</v>
      </c>
      <c r="BB330" s="91" t="n">
        <f aca="false">SUM(L$4:L$503)/COUNTA(A$4:A$503)</f>
        <v>9494.39992</v>
      </c>
      <c r="BC330" s="92" t="n">
        <f aca="false">SUM(M$4:M$503)/COUNTA(A$4:A$503)</f>
        <v>667.20008</v>
      </c>
      <c r="BD330" s="92" t="n">
        <f aca="false">SUM(N$4:N$503)/COUNTA(A$4:A$503)</f>
        <v>697.19996</v>
      </c>
      <c r="BE330" s="92" t="n">
        <f aca="false">SUM(O$4:O$503)/COUNTA(A$4:A$503)</f>
        <v>713.9999</v>
      </c>
      <c r="BF330" s="92" t="n">
        <f aca="false">SUM(P$4:P$503)/COUNTA(A$4:A$503)</f>
        <v>732.59984</v>
      </c>
      <c r="BG330" s="92" t="n">
        <f aca="false">SUM(Q$4:Q$503)/COUNTA(A$4:A$503)</f>
        <v>756.59992</v>
      </c>
      <c r="BH330" s="92" t="n">
        <f aca="false">SUM(R$4:R$503)/COUNTA(A$4:A$503)</f>
        <v>776.40004</v>
      </c>
      <c r="BI330" s="92" t="n">
        <f aca="false">SUM(S$4:S$503)/COUNTA(A$4:A$503)</f>
        <v>806.40012</v>
      </c>
      <c r="BJ330" s="92" t="n">
        <f aca="false">SUM(T$4:T$503)/COUNTA(A$4:A$503)</f>
        <v>826.1999</v>
      </c>
      <c r="BK330" s="92" t="n">
        <f aca="false">SUM(U$4:U$503)/COUNTA(A$4:A$503)</f>
        <v>844.8002</v>
      </c>
      <c r="BL330" s="92" t="n">
        <f aca="false">SUM(V$4:V$503)/COUNTA(A$4:A$503)</f>
        <v>865.7998</v>
      </c>
      <c r="BM330" s="92" t="n">
        <f aca="false">SUM(W$4:W$503)/COUNTA(A$4:A$503)</f>
        <v>888.59982</v>
      </c>
      <c r="BN330" s="93" t="n">
        <f aca="false">SUM(X$4:X$503)/COUNTA(A$4:A$503)</f>
        <v>918.60034</v>
      </c>
      <c r="BO330" s="94" t="s">
        <v>20</v>
      </c>
      <c r="BP330" s="91" t="n">
        <f aca="false">IF(Z330&gt;=BB330,0,IFERROR(BB330+(SUMPRODUCT((Z$4:Z$503&gt;=BB$4:BB$503)*(Z$4:Z$503-BB$4:BB$503))/MAX(1,COUNTIF(Z$4:Z$503,"&lt;"&amp;BB330+0.01))),BB330))</f>
        <v>10695.5432177778</v>
      </c>
      <c r="BQ330" s="92" t="n">
        <f aca="false">IF(AA330&gt;=BC330,0,IFERROR(BC330+SUMPRODUCT((AA$4:AA$503&gt;=BC$4:BC$503)*(AA$4:AA$503-BC$4:BC$503))/MAX(1,COUNTIF(AA$4:AA$503,"&lt;"&amp;BC330+0.01)),BC330))</f>
        <v>2238.46589176471</v>
      </c>
      <c r="BR330" s="92" t="n">
        <f aca="false">IF(AB330&gt;=BD330,0,IFERROR(BD330+SUMPRODUCT((AB$4:AB$503&gt;=BD$4:BD$503)*(AB$4:AB$503-BD$4:BD$503))/MAX(1,COUNTIF(AB$4:AB$503,"&lt;"&amp;BD330+0.01)),BD330))</f>
        <v>3335.2938</v>
      </c>
      <c r="BS330" s="92" t="n">
        <f aca="false">IF(AC330&gt;=BE330,0,IFERROR(BE330+SUMPRODUCT((AC$4:AC$503&gt;=BE$4:BE$503)*(AC$4:AC$503-BE$4:BE$503))/MAX(1,COUNTIF(AC$4:AC$503,"&lt;"&amp;BE330+0.01)),BE330))</f>
        <v>6188.73352</v>
      </c>
      <c r="BT330" s="92" t="n">
        <f aca="false">IF(AD330&gt;=BF330,0,IFERROR(BF330+SUMPRODUCT((AD$4:AD$503&gt;=BF$4:BF$503)*(AD$4:AD$503-BF$4:BF$503))/MAX(1,COUNTIF(AD$4:AD$503,"&lt;"&amp;BF330+0.01)),BF330))</f>
        <v>11354.35411</v>
      </c>
      <c r="BU330" s="92" t="n">
        <f aca="false">IF(AE330&gt;=BG330,0,IFERROR(BG330+SUMPRODUCT((AE$4:AE$503&gt;=BG$4:BG$503)*(AE$4:AE$503-BG$4:BG$503))/MAX(1,COUNTIF(AE$4:AE$503,"&lt;"&amp;BG330+0.01)),BG330))</f>
        <v>7704.85920380952</v>
      </c>
      <c r="BV330" s="92" t="n">
        <f aca="false">IF(AF330&gt;=BH330,0,IFERROR(BH330+SUMPRODUCT((AF$4:AF$503&gt;=BH$4:BH$503)*(AF$4:AF$503-BH$4:BH$503))/MAX(1,COUNTIF(AF$4:AF$503,"&lt;"&amp;BH330+0.01)),BH330))</f>
        <v>9942.6503831579</v>
      </c>
      <c r="BW330" s="92" t="n">
        <f aca="false">IF(AG330&gt;=BI330,0,IFERROR(BI330+SUMPRODUCT((AG$4:AG$503&gt;=BI$4:BI$503)*(AG$4:AG$503-BI$4:BI$503))/MAX(1,COUNTIF(AG$4:AG$503,"&lt;"&amp;BI330+0.01)),BI330))</f>
        <v>9142.15870461538</v>
      </c>
      <c r="BX330" s="92" t="n">
        <f aca="false">IF(AH330&gt;=BJ330,0,IFERROR(BJ330+SUMPRODUCT((AH$4:AH$503&gt;=BJ$4:BJ$503)*(AH$4:AH$503-BJ$4:BJ$503))/MAX(1,COUNTIF(AH$4:AH$503,"&lt;"&amp;BJ330+0.01)),BJ330))</f>
        <v>0</v>
      </c>
      <c r="BY330" s="92" t="n">
        <f aca="false">IF(AI330&gt;=BK330,0,IFERROR(BK330+SUMPRODUCT((AI$4:AI$503&gt;=BK$4:BK$503)*(AI$4:AI$503-BK$4:BK$503))/MAX(1,COUNTIF(AI$4:AI$503,"&lt;"&amp;BK330+0.01)),BK330))</f>
        <v>7878.25652380952</v>
      </c>
      <c r="BZ330" s="92" t="n">
        <f aca="false">IF(AJ330&gt;=BL330,0,IFERROR(BL330+SUMPRODUCT((AJ$4:AJ$503&gt;=BL$4:BL$503)*(AJ$4:AJ$503-BL$4:BL$503))/MAX(1,COUNTIF(AJ$4:AJ$503,"&lt;"&amp;BL330+0.01)),BL330))</f>
        <v>6710.03292307692</v>
      </c>
      <c r="CA330" s="92" t="n">
        <f aca="false">IF(AK330&gt;=BM330,0,IFERROR(BM330+SUMPRODUCT((AK$4:AK$503&gt;=BM$4:BM$503)*(AK$4:AK$503-BM$4:BM$503))/MAX(1,COUNTIF(AK$4:AK$503,"&lt;"&amp;BM330+0.01)),BM330))</f>
        <v>7314.89836842105</v>
      </c>
      <c r="CB330" s="93" t="n">
        <f aca="false">IF(AL330&gt;=BN330,0,IFERROR(BN330+SUMPRODUCT((AL$4:AL$503&gt;=BN$4:BN$503)*(AL$4:AL$503-BN$4:BN$503))/MAX(1,COUNTIF(AL$4:AL$503,"&lt;"&amp;BN330+0.01)),BN330))</f>
        <v>3597.2614925</v>
      </c>
      <c r="CC330" s="95" t="str">
        <f aca="false">IF(AO330="🟢","VERDE",IF(AO330="🟡","AMARELO",IF(AO330="🟠","VERMELHO",IF(AO330="🔴","VERMELHO","ROXO"))))</f>
        <v>VERMELHO</v>
      </c>
      <c r="CD330" s="96" t="s">
        <v>176</v>
      </c>
      <c r="CE330" s="96" t="s">
        <v>120</v>
      </c>
    </row>
    <row r="331" customFormat="false" ht="14.25" hidden="false" customHeight="true" outlineLevel="0" collapsed="false">
      <c r="A331" s="65" t="s">
        <v>797</v>
      </c>
      <c r="B331" s="66" t="s">
        <v>798</v>
      </c>
      <c r="C331" s="67" t="s">
        <v>113</v>
      </c>
      <c r="D331" s="68" t="s">
        <v>100</v>
      </c>
      <c r="E331" s="69" t="s">
        <v>114</v>
      </c>
      <c r="F331" s="70" t="n">
        <f aca="false">IFERROR(VLOOKUP(C331,$AS$3:$AT$10,2,FALSE()),IFERROR(VLOOKUP(C331,$AS$15:$AT$22,2,FALSE()),""))</f>
        <v>49</v>
      </c>
      <c r="G331" s="71" t="n">
        <f aca="false">IFERROR(VLOOKUP(C331,$AS$3:$AX$10,6,FALSE()),IFERROR(VLOOKUP(C331,$AS$15:$AX$22,6,FALSE()),""))</f>
        <v>0.463965086137302</v>
      </c>
      <c r="H331" s="72" t="str">
        <f aca="false">IFERROR(VLOOKUP(C331,$AS$3:$AY$10,7,FALSE()),IFERROR(VLOOKUP(C331,$AS$15:$AY$22,7,FALSE()),""))</f>
        <v>🟡 AMARELO</v>
      </c>
      <c r="I331" s="72" t="str">
        <f aca="false">IFERROR(VLOOKUP(C331,$AS$3:$AZ$10,8,FALSE()),IFERROR(VLOOKUP(C331,$AS$15:$AZ$22,8,FALSE()),""))</f>
        <v>Sell Out</v>
      </c>
      <c r="J331" s="73"/>
      <c r="K331" s="69" t="s">
        <v>113</v>
      </c>
      <c r="L331" s="74" t="n">
        <v>2978.58</v>
      </c>
      <c r="M331" s="75" t="n">
        <v>209.31</v>
      </c>
      <c r="N331" s="75" t="n">
        <v>218.73</v>
      </c>
      <c r="O331" s="75" t="n">
        <v>224</v>
      </c>
      <c r="P331" s="75" t="n">
        <v>229.83</v>
      </c>
      <c r="Q331" s="75" t="n">
        <v>237.36</v>
      </c>
      <c r="R331" s="75" t="n">
        <v>243.57</v>
      </c>
      <c r="S331" s="75" t="n">
        <v>252.98</v>
      </c>
      <c r="T331" s="75" t="n">
        <v>259.2</v>
      </c>
      <c r="U331" s="75" t="n">
        <v>265.03</v>
      </c>
      <c r="V331" s="75" t="n">
        <v>271.62</v>
      </c>
      <c r="W331" s="75" t="n">
        <v>278.77</v>
      </c>
      <c r="X331" s="76" t="n">
        <v>288.18</v>
      </c>
      <c r="Y331" s="77" t="s">
        <v>20</v>
      </c>
      <c r="Z331" s="78" t="n">
        <f aca="false">SUM(AA331:AL331)</f>
        <v>1197.84</v>
      </c>
      <c r="AA331" s="79" t="n">
        <v>1197.84</v>
      </c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6"/>
      <c r="AM331" s="56" t="s">
        <v>20</v>
      </c>
      <c r="AN331" s="80" t="n">
        <f aca="false">IF(L331=0,0,Z331/L331)</f>
        <v>0.402151360715509</v>
      </c>
      <c r="AO331" s="81" t="str">
        <f aca="false">IF(AN331="","",IF(AN331&gt;=0.9,"🟢",IF(AN331&gt;=0.7,"🟡",IF(AN331&gt;=0.5,"🟠","🔴"))))</f>
        <v>🔴</v>
      </c>
      <c r="AP331" s="82" t="n">
        <f aca="false">IF(L331=0,0,L331-Z331)</f>
        <v>1780.74</v>
      </c>
      <c r="AQ331" s="83" t="n">
        <f aca="false">IF(AP331=0,"",RANK(AP331,AP$4:AP$503,0))</f>
        <v>288</v>
      </c>
      <c r="AR331" s="84" t="s">
        <v>20</v>
      </c>
      <c r="AS331" s="141"/>
      <c r="AT331" s="141"/>
      <c r="AU331" s="141"/>
      <c r="AV331" s="141"/>
      <c r="AW331" s="141"/>
      <c r="AX331" s="141"/>
      <c r="AY331" s="142"/>
      <c r="AZ331" s="142"/>
      <c r="BA331" s="56" t="s">
        <v>20</v>
      </c>
      <c r="BB331" s="91" t="n">
        <f aca="false">SUM(L$4:L$503)/COUNTA(A$4:A$503)</f>
        <v>9494.39992</v>
      </c>
      <c r="BC331" s="92" t="n">
        <f aca="false">SUM(M$4:M$503)/COUNTA(A$4:A$503)</f>
        <v>667.20008</v>
      </c>
      <c r="BD331" s="92" t="n">
        <f aca="false">SUM(N$4:N$503)/COUNTA(A$4:A$503)</f>
        <v>697.19996</v>
      </c>
      <c r="BE331" s="92" t="n">
        <f aca="false">SUM(O$4:O$503)/COUNTA(A$4:A$503)</f>
        <v>713.9999</v>
      </c>
      <c r="BF331" s="92" t="n">
        <f aca="false">SUM(P$4:P$503)/COUNTA(A$4:A$503)</f>
        <v>732.59984</v>
      </c>
      <c r="BG331" s="92" t="n">
        <f aca="false">SUM(Q$4:Q$503)/COUNTA(A$4:A$503)</f>
        <v>756.59992</v>
      </c>
      <c r="BH331" s="92" t="n">
        <f aca="false">SUM(R$4:R$503)/COUNTA(A$4:A$503)</f>
        <v>776.40004</v>
      </c>
      <c r="BI331" s="92" t="n">
        <f aca="false">SUM(S$4:S$503)/COUNTA(A$4:A$503)</f>
        <v>806.40012</v>
      </c>
      <c r="BJ331" s="92" t="n">
        <f aca="false">SUM(T$4:T$503)/COUNTA(A$4:A$503)</f>
        <v>826.1999</v>
      </c>
      <c r="BK331" s="92" t="n">
        <f aca="false">SUM(U$4:U$503)/COUNTA(A$4:A$503)</f>
        <v>844.8002</v>
      </c>
      <c r="BL331" s="92" t="n">
        <f aca="false">SUM(V$4:V$503)/COUNTA(A$4:A$503)</f>
        <v>865.7998</v>
      </c>
      <c r="BM331" s="92" t="n">
        <f aca="false">SUM(W$4:W$503)/COUNTA(A$4:A$503)</f>
        <v>888.59982</v>
      </c>
      <c r="BN331" s="93" t="n">
        <f aca="false">SUM(X$4:X$503)/COUNTA(A$4:A$503)</f>
        <v>918.60034</v>
      </c>
      <c r="BO331" s="94" t="s">
        <v>20</v>
      </c>
      <c r="BP331" s="91" t="n">
        <f aca="false">IF(Z331&gt;=BB331,0,IFERROR(BB331+(SUMPRODUCT((Z$4:Z$503&gt;=BB$4:BB$503)*(Z$4:Z$503-BB$4:BB$503))/MAX(1,COUNTIF(Z$4:Z$503,"&lt;"&amp;BB331+0.01))),BB331))</f>
        <v>10695.5432177778</v>
      </c>
      <c r="BQ331" s="92" t="n">
        <f aca="false">IF(AA331&gt;=BC331,0,IFERROR(BC331+SUMPRODUCT((AA$4:AA$503&gt;=BC$4:BC$503)*(AA$4:AA$503-BC$4:BC$503))/MAX(1,COUNTIF(AA$4:AA$503,"&lt;"&amp;BC331+0.01)),BC331))</f>
        <v>0</v>
      </c>
      <c r="BR331" s="92" t="n">
        <f aca="false">IF(AB331&gt;=BD331,0,IFERROR(BD331+SUMPRODUCT((AB$4:AB$503&gt;=BD$4:BD$503)*(AB$4:AB$503-BD$4:BD$503))/MAX(1,COUNTIF(AB$4:AB$503,"&lt;"&amp;BD331+0.01)),BD331))</f>
        <v>3335.2938</v>
      </c>
      <c r="BS331" s="92" t="n">
        <f aca="false">IF(AC331&gt;=BE331,0,IFERROR(BE331+SUMPRODUCT((AC$4:AC$503&gt;=BE$4:BE$503)*(AC$4:AC$503-BE$4:BE$503))/MAX(1,COUNTIF(AC$4:AC$503,"&lt;"&amp;BE331+0.01)),BE331))</f>
        <v>6188.73352</v>
      </c>
      <c r="BT331" s="92" t="n">
        <f aca="false">IF(AD331&gt;=BF331,0,IFERROR(BF331+SUMPRODUCT((AD$4:AD$503&gt;=BF$4:BF$503)*(AD$4:AD$503-BF$4:BF$503))/MAX(1,COUNTIF(AD$4:AD$503,"&lt;"&amp;BF331+0.01)),BF331))</f>
        <v>11354.35411</v>
      </c>
      <c r="BU331" s="92" t="n">
        <f aca="false">IF(AE331&gt;=BG331,0,IFERROR(BG331+SUMPRODUCT((AE$4:AE$503&gt;=BG$4:BG$503)*(AE$4:AE$503-BG$4:BG$503))/MAX(1,COUNTIF(AE$4:AE$503,"&lt;"&amp;BG331+0.01)),BG331))</f>
        <v>7704.85920380952</v>
      </c>
      <c r="BV331" s="92" t="n">
        <f aca="false">IF(AF331&gt;=BH331,0,IFERROR(BH331+SUMPRODUCT((AF$4:AF$503&gt;=BH$4:BH$503)*(AF$4:AF$503-BH$4:BH$503))/MAX(1,COUNTIF(AF$4:AF$503,"&lt;"&amp;BH331+0.01)),BH331))</f>
        <v>9942.6503831579</v>
      </c>
      <c r="BW331" s="92" t="n">
        <f aca="false">IF(AG331&gt;=BI331,0,IFERROR(BI331+SUMPRODUCT((AG$4:AG$503&gt;=BI$4:BI$503)*(AG$4:AG$503-BI$4:BI$503))/MAX(1,COUNTIF(AG$4:AG$503,"&lt;"&amp;BI331+0.01)),BI331))</f>
        <v>9142.15870461538</v>
      </c>
      <c r="BX331" s="92" t="n">
        <f aca="false">IF(AH331&gt;=BJ331,0,IFERROR(BJ331+SUMPRODUCT((AH$4:AH$503&gt;=BJ$4:BJ$503)*(AH$4:AH$503-BJ$4:BJ$503))/MAX(1,COUNTIF(AH$4:AH$503,"&lt;"&amp;BJ331+0.01)),BJ331))</f>
        <v>5621.50263448276</v>
      </c>
      <c r="BY331" s="92" t="n">
        <f aca="false">IF(AI331&gt;=BK331,0,IFERROR(BK331+SUMPRODUCT((AI$4:AI$503&gt;=BK$4:BK$503)*(AI$4:AI$503-BK$4:BK$503))/MAX(1,COUNTIF(AI$4:AI$503,"&lt;"&amp;BK331+0.01)),BK331))</f>
        <v>7878.25652380952</v>
      </c>
      <c r="BZ331" s="92" t="n">
        <f aca="false">IF(AJ331&gt;=BL331,0,IFERROR(BL331+SUMPRODUCT((AJ$4:AJ$503&gt;=BL$4:BL$503)*(AJ$4:AJ$503-BL$4:BL$503))/MAX(1,COUNTIF(AJ$4:AJ$503,"&lt;"&amp;BL331+0.01)),BL331))</f>
        <v>6710.03292307692</v>
      </c>
      <c r="CA331" s="92" t="n">
        <f aca="false">IF(AK331&gt;=BM331,0,IFERROR(BM331+SUMPRODUCT((AK$4:AK$503&gt;=BM$4:BM$503)*(AK$4:AK$503-BM$4:BM$503))/MAX(1,COUNTIF(AK$4:AK$503,"&lt;"&amp;BM331+0.01)),BM331))</f>
        <v>7314.89836842105</v>
      </c>
      <c r="CB331" s="93" t="n">
        <f aca="false">IF(AL331&gt;=BN331,0,IFERROR(BN331+SUMPRODUCT((AL$4:AL$503&gt;=BN$4:BN$503)*(AL$4:AL$503-BN$4:BN$503))/MAX(1,COUNTIF(AL$4:AL$503,"&lt;"&amp;BN331+0.01)),BN331))</f>
        <v>3597.2614925</v>
      </c>
      <c r="CC331" s="95" t="str">
        <f aca="false">IF(AO331="🟢","VERDE",IF(AO331="🟡","AMARELO",IF(AO331="🟠","VERMELHO",IF(AO331="🔴","VERMELHO","ROXO"))))</f>
        <v>VERMELHO</v>
      </c>
      <c r="CD331" s="96" t="s">
        <v>103</v>
      </c>
      <c r="CE331" s="96" t="s">
        <v>104</v>
      </c>
    </row>
    <row r="332" customFormat="false" ht="14.25" hidden="false" customHeight="true" outlineLevel="0" collapsed="false">
      <c r="A332" s="65" t="s">
        <v>799</v>
      </c>
      <c r="B332" s="66" t="s">
        <v>800</v>
      </c>
      <c r="C332" s="66" t="s">
        <v>66</v>
      </c>
      <c r="D332" s="68" t="s">
        <v>175</v>
      </c>
      <c r="E332" s="69" t="s">
        <v>139</v>
      </c>
      <c r="F332" s="70" t="n">
        <f aca="false">IFERROR(VLOOKUP(C332,$AS$3:$AT$10,2,FALSE()),IFERROR(VLOOKUP(C332,$AS$15:$AT$22,2,FALSE()),""))</f>
        <v>44</v>
      </c>
      <c r="G332" s="71" t="n">
        <f aca="false">IFERROR(VLOOKUP(C332,$AS$3:$AX$10,6,FALSE()),IFERROR(VLOOKUP(C332,$AS$15:$AX$22,6,FALSE()),""))</f>
        <v>0.496839506257363</v>
      </c>
      <c r="H332" s="72" t="str">
        <f aca="false">IFERROR(VLOOKUP(C332,$AS$3:$AY$10,7,FALSE()),IFERROR(VLOOKUP(C332,$AS$15:$AY$22,7,FALSE()),""))</f>
        <v>🟡 AMARELO</v>
      </c>
      <c r="I332" s="72" t="str">
        <f aca="false">IFERROR(VLOOKUP(C332,$AS$3:$AZ$10,8,FALSE()),IFERROR(VLOOKUP(C332,$AS$15:$AZ$22,8,FALSE()),""))</f>
        <v>Sell Out</v>
      </c>
      <c r="J332" s="73"/>
      <c r="K332" s="69" t="s">
        <v>107</v>
      </c>
      <c r="L332" s="74" t="n">
        <v>2975.1</v>
      </c>
      <c r="M332" s="75" t="n">
        <v>209.07</v>
      </c>
      <c r="N332" s="75" t="n">
        <v>218.47</v>
      </c>
      <c r="O332" s="75" t="n">
        <v>223.73</v>
      </c>
      <c r="P332" s="75" t="n">
        <v>229.56</v>
      </c>
      <c r="Q332" s="75" t="n">
        <v>237.08</v>
      </c>
      <c r="R332" s="75" t="n">
        <v>243.29</v>
      </c>
      <c r="S332" s="75" t="n">
        <v>252.69</v>
      </c>
      <c r="T332" s="75" t="n">
        <v>258.89</v>
      </c>
      <c r="U332" s="75" t="n">
        <v>264.72</v>
      </c>
      <c r="V332" s="75" t="n">
        <v>271.3</v>
      </c>
      <c r="W332" s="75" t="n">
        <v>278.45</v>
      </c>
      <c r="X332" s="76" t="n">
        <v>287.85</v>
      </c>
      <c r="Y332" s="77" t="s">
        <v>20</v>
      </c>
      <c r="Z332" s="78" t="n">
        <f aca="false">SUM(AA332:AL332)</f>
        <v>1196.44</v>
      </c>
      <c r="AA332" s="75"/>
      <c r="AB332" s="75"/>
      <c r="AC332" s="75"/>
      <c r="AD332" s="75"/>
      <c r="AE332" s="75"/>
      <c r="AF332" s="79" t="n">
        <v>1196.44</v>
      </c>
      <c r="AG332" s="75"/>
      <c r="AH332" s="75"/>
      <c r="AI332" s="75"/>
      <c r="AJ332" s="75"/>
      <c r="AK332" s="75"/>
      <c r="AL332" s="76"/>
      <c r="AM332" s="56" t="s">
        <v>20</v>
      </c>
      <c r="AN332" s="80" t="n">
        <f aca="false">IF(L332=0,0,Z332/L332)</f>
        <v>0.402151188195355</v>
      </c>
      <c r="AO332" s="81" t="str">
        <f aca="false">IF(AN332="","",IF(AN332&gt;=0.9,"🟢",IF(AN332&gt;=0.7,"🟡",IF(AN332&gt;=0.5,"🟠","🔴"))))</f>
        <v>🔴</v>
      </c>
      <c r="AP332" s="82" t="n">
        <f aca="false">IF(L332=0,0,L332-Z332)</f>
        <v>1778.66</v>
      </c>
      <c r="AQ332" s="83" t="n">
        <f aca="false">IF(AP332=0,"",RANK(AP332,AP$4:AP$503,0))</f>
        <v>289</v>
      </c>
      <c r="AR332" s="84" t="s">
        <v>20</v>
      </c>
      <c r="AS332" s="141"/>
      <c r="AT332" s="141"/>
      <c r="AU332" s="141"/>
      <c r="AV332" s="141"/>
      <c r="AW332" s="141"/>
      <c r="AX332" s="141"/>
      <c r="AY332" s="142"/>
      <c r="AZ332" s="142"/>
      <c r="BA332" s="56" t="s">
        <v>20</v>
      </c>
      <c r="BB332" s="91" t="n">
        <f aca="false">SUM(L$4:L$503)/COUNTA(A$4:A$503)</f>
        <v>9494.39992</v>
      </c>
      <c r="BC332" s="92" t="n">
        <f aca="false">SUM(M$4:M$503)/COUNTA(A$4:A$503)</f>
        <v>667.20008</v>
      </c>
      <c r="BD332" s="92" t="n">
        <f aca="false">SUM(N$4:N$503)/COUNTA(A$4:A$503)</f>
        <v>697.19996</v>
      </c>
      <c r="BE332" s="92" t="n">
        <f aca="false">SUM(O$4:O$503)/COUNTA(A$4:A$503)</f>
        <v>713.9999</v>
      </c>
      <c r="BF332" s="92" t="n">
        <f aca="false">SUM(P$4:P$503)/COUNTA(A$4:A$503)</f>
        <v>732.59984</v>
      </c>
      <c r="BG332" s="92" t="n">
        <f aca="false">SUM(Q$4:Q$503)/COUNTA(A$4:A$503)</f>
        <v>756.59992</v>
      </c>
      <c r="BH332" s="92" t="n">
        <f aca="false">SUM(R$4:R$503)/COUNTA(A$4:A$503)</f>
        <v>776.40004</v>
      </c>
      <c r="BI332" s="92" t="n">
        <f aca="false">SUM(S$4:S$503)/COUNTA(A$4:A$503)</f>
        <v>806.40012</v>
      </c>
      <c r="BJ332" s="92" t="n">
        <f aca="false">SUM(T$4:T$503)/COUNTA(A$4:A$503)</f>
        <v>826.1999</v>
      </c>
      <c r="BK332" s="92" t="n">
        <f aca="false">SUM(U$4:U$503)/COUNTA(A$4:A$503)</f>
        <v>844.8002</v>
      </c>
      <c r="BL332" s="92" t="n">
        <f aca="false">SUM(V$4:V$503)/COUNTA(A$4:A$503)</f>
        <v>865.7998</v>
      </c>
      <c r="BM332" s="92" t="n">
        <f aca="false">SUM(W$4:W$503)/COUNTA(A$4:A$503)</f>
        <v>888.59982</v>
      </c>
      <c r="BN332" s="93" t="n">
        <f aca="false">SUM(X$4:X$503)/COUNTA(A$4:A$503)</f>
        <v>918.60034</v>
      </c>
      <c r="BO332" s="94" t="s">
        <v>20</v>
      </c>
      <c r="BP332" s="91" t="n">
        <f aca="false">IF(Z332&gt;=BB332,0,IFERROR(BB332+(SUMPRODUCT((Z$4:Z$503&gt;=BB$4:BB$503)*(Z$4:Z$503-BB$4:BB$503))/MAX(1,COUNTIF(Z$4:Z$503,"&lt;"&amp;BB332+0.01))),BB332))</f>
        <v>10695.5432177778</v>
      </c>
      <c r="BQ332" s="92" t="n">
        <f aca="false">IF(AA332&gt;=BC332,0,IFERROR(BC332+SUMPRODUCT((AA$4:AA$503&gt;=BC$4:BC$503)*(AA$4:AA$503-BC$4:BC$503))/MAX(1,COUNTIF(AA$4:AA$503,"&lt;"&amp;BC332+0.01)),BC332))</f>
        <v>2238.46589176471</v>
      </c>
      <c r="BR332" s="92" t="n">
        <f aca="false">IF(AB332&gt;=BD332,0,IFERROR(BD332+SUMPRODUCT((AB$4:AB$503&gt;=BD$4:BD$503)*(AB$4:AB$503-BD$4:BD$503))/MAX(1,COUNTIF(AB$4:AB$503,"&lt;"&amp;BD332+0.01)),BD332))</f>
        <v>3335.2938</v>
      </c>
      <c r="BS332" s="92" t="n">
        <f aca="false">IF(AC332&gt;=BE332,0,IFERROR(BE332+SUMPRODUCT((AC$4:AC$503&gt;=BE$4:BE$503)*(AC$4:AC$503-BE$4:BE$503))/MAX(1,COUNTIF(AC$4:AC$503,"&lt;"&amp;BE332+0.01)),BE332))</f>
        <v>6188.73352</v>
      </c>
      <c r="BT332" s="92" t="n">
        <f aca="false">IF(AD332&gt;=BF332,0,IFERROR(BF332+SUMPRODUCT((AD$4:AD$503&gt;=BF$4:BF$503)*(AD$4:AD$503-BF$4:BF$503))/MAX(1,COUNTIF(AD$4:AD$503,"&lt;"&amp;BF332+0.01)),BF332))</f>
        <v>11354.35411</v>
      </c>
      <c r="BU332" s="92" t="n">
        <f aca="false">IF(AE332&gt;=BG332,0,IFERROR(BG332+SUMPRODUCT((AE$4:AE$503&gt;=BG$4:BG$503)*(AE$4:AE$503-BG$4:BG$503))/MAX(1,COUNTIF(AE$4:AE$503,"&lt;"&amp;BG332+0.01)),BG332))</f>
        <v>7704.85920380952</v>
      </c>
      <c r="BV332" s="92" t="n">
        <f aca="false">IF(AF332&gt;=BH332,0,IFERROR(BH332+SUMPRODUCT((AF$4:AF$503&gt;=BH$4:BH$503)*(AF$4:AF$503-BH$4:BH$503))/MAX(1,COUNTIF(AF$4:AF$503,"&lt;"&amp;BH332+0.01)),BH332))</f>
        <v>0</v>
      </c>
      <c r="BW332" s="92" t="n">
        <f aca="false">IF(AG332&gt;=BI332,0,IFERROR(BI332+SUMPRODUCT((AG$4:AG$503&gt;=BI$4:BI$503)*(AG$4:AG$503-BI$4:BI$503))/MAX(1,COUNTIF(AG$4:AG$503,"&lt;"&amp;BI332+0.01)),BI332))</f>
        <v>9142.15870461538</v>
      </c>
      <c r="BX332" s="92" t="n">
        <f aca="false">IF(AH332&gt;=BJ332,0,IFERROR(BJ332+SUMPRODUCT((AH$4:AH$503&gt;=BJ$4:BJ$503)*(AH$4:AH$503-BJ$4:BJ$503))/MAX(1,COUNTIF(AH$4:AH$503,"&lt;"&amp;BJ332+0.01)),BJ332))</f>
        <v>5621.50263448276</v>
      </c>
      <c r="BY332" s="92" t="n">
        <f aca="false">IF(AI332&gt;=BK332,0,IFERROR(BK332+SUMPRODUCT((AI$4:AI$503&gt;=BK$4:BK$503)*(AI$4:AI$503-BK$4:BK$503))/MAX(1,COUNTIF(AI$4:AI$503,"&lt;"&amp;BK332+0.01)),BK332))</f>
        <v>7878.25652380952</v>
      </c>
      <c r="BZ332" s="92" t="n">
        <f aca="false">IF(AJ332&gt;=BL332,0,IFERROR(BL332+SUMPRODUCT((AJ$4:AJ$503&gt;=BL$4:BL$503)*(AJ$4:AJ$503-BL$4:BL$503))/MAX(1,COUNTIF(AJ$4:AJ$503,"&lt;"&amp;BL332+0.01)),BL332))</f>
        <v>6710.03292307692</v>
      </c>
      <c r="CA332" s="92" t="n">
        <f aca="false">IF(AK332&gt;=BM332,0,IFERROR(BM332+SUMPRODUCT((AK$4:AK$503&gt;=BM$4:BM$503)*(AK$4:AK$503-BM$4:BM$503))/MAX(1,COUNTIF(AK$4:AK$503,"&lt;"&amp;BM332+0.01)),BM332))</f>
        <v>7314.89836842105</v>
      </c>
      <c r="CB332" s="93" t="n">
        <f aca="false">IF(AL332&gt;=BN332,0,IFERROR(BN332+SUMPRODUCT((AL$4:AL$503&gt;=BN$4:BN$503)*(AL$4:AL$503-BN$4:BN$503))/MAX(1,COUNTIF(AL$4:AL$503,"&lt;"&amp;BN332+0.01)),BN332))</f>
        <v>3597.2614925</v>
      </c>
      <c r="CC332" s="95" t="str">
        <f aca="false">IF(AO332="🟢","VERDE",IF(AO332="🟡","AMARELO",IF(AO332="🟠","VERMELHO",IF(AO332="🔴","VERMELHO","ROXO"))))</f>
        <v>VERMELHO</v>
      </c>
      <c r="CD332" s="96" t="s">
        <v>176</v>
      </c>
      <c r="CE332" s="96" t="s">
        <v>66</v>
      </c>
    </row>
    <row r="333" customFormat="false" ht="14.25" hidden="false" customHeight="true" outlineLevel="0" collapsed="false">
      <c r="A333" s="65" t="s">
        <v>801</v>
      </c>
      <c r="B333" s="66" t="s">
        <v>645</v>
      </c>
      <c r="C333" s="66" t="s">
        <v>66</v>
      </c>
      <c r="D333" s="68" t="s">
        <v>175</v>
      </c>
      <c r="E333" s="69" t="s">
        <v>139</v>
      </c>
      <c r="F333" s="70" t="n">
        <f aca="false">IFERROR(VLOOKUP(C333,$AS$3:$AT$10,2,FALSE()),IFERROR(VLOOKUP(C333,$AS$15:$AT$22,2,FALSE()),""))</f>
        <v>44</v>
      </c>
      <c r="G333" s="71" t="n">
        <f aca="false">IFERROR(VLOOKUP(C333,$AS$3:$AX$10,6,FALSE()),IFERROR(VLOOKUP(C333,$AS$15:$AX$22,6,FALSE()),""))</f>
        <v>0.496839506257363</v>
      </c>
      <c r="H333" s="72" t="str">
        <f aca="false">IFERROR(VLOOKUP(C333,$AS$3:$AY$10,7,FALSE()),IFERROR(VLOOKUP(C333,$AS$15:$AY$22,7,FALSE()),""))</f>
        <v>🟡 AMARELO</v>
      </c>
      <c r="I333" s="72" t="str">
        <f aca="false">IFERROR(VLOOKUP(C333,$AS$3:$AZ$10,8,FALSE()),IFERROR(VLOOKUP(C333,$AS$15:$AZ$22,8,FALSE()),""))</f>
        <v>Sell Out</v>
      </c>
      <c r="J333" s="73"/>
      <c r="K333" s="69" t="s">
        <v>107</v>
      </c>
      <c r="L333" s="74" t="n">
        <v>2975.1</v>
      </c>
      <c r="M333" s="75" t="n">
        <v>209.07</v>
      </c>
      <c r="N333" s="75" t="n">
        <v>218.47</v>
      </c>
      <c r="O333" s="75" t="n">
        <v>223.73</v>
      </c>
      <c r="P333" s="75" t="n">
        <v>229.56</v>
      </c>
      <c r="Q333" s="75" t="n">
        <v>237.08</v>
      </c>
      <c r="R333" s="75" t="n">
        <v>243.29</v>
      </c>
      <c r="S333" s="75" t="n">
        <v>252.69</v>
      </c>
      <c r="T333" s="75" t="n">
        <v>258.89</v>
      </c>
      <c r="U333" s="75" t="n">
        <v>264.72</v>
      </c>
      <c r="V333" s="75" t="n">
        <v>271.3</v>
      </c>
      <c r="W333" s="75" t="n">
        <v>278.45</v>
      </c>
      <c r="X333" s="76" t="n">
        <v>287.85</v>
      </c>
      <c r="Y333" s="77" t="s">
        <v>20</v>
      </c>
      <c r="Z333" s="78" t="n">
        <f aca="false">SUM(AA333:AL333)</f>
        <v>1196.44</v>
      </c>
      <c r="AA333" s="75"/>
      <c r="AB333" s="75"/>
      <c r="AC333" s="75"/>
      <c r="AD333" s="75"/>
      <c r="AE333" s="75"/>
      <c r="AF333" s="79" t="n">
        <v>1196.44</v>
      </c>
      <c r="AG333" s="75"/>
      <c r="AH333" s="75"/>
      <c r="AI333" s="75"/>
      <c r="AJ333" s="75"/>
      <c r="AK333" s="75"/>
      <c r="AL333" s="76"/>
      <c r="AM333" s="56" t="s">
        <v>20</v>
      </c>
      <c r="AN333" s="80" t="n">
        <f aca="false">IF(L333=0,0,Z333/L333)</f>
        <v>0.402151188195355</v>
      </c>
      <c r="AO333" s="81" t="str">
        <f aca="false">IF(AN333="","",IF(AN333&gt;=0.9,"🟢",IF(AN333&gt;=0.7,"🟡",IF(AN333&gt;=0.5,"🟠","🔴"))))</f>
        <v>🔴</v>
      </c>
      <c r="AP333" s="82" t="n">
        <f aca="false">IF(L333=0,0,L333-Z333)</f>
        <v>1778.66</v>
      </c>
      <c r="AQ333" s="83" t="n">
        <f aca="false">IF(AP333=0,"",RANK(AP333,AP$4:AP$503,0))</f>
        <v>289</v>
      </c>
      <c r="AR333" s="84" t="s">
        <v>20</v>
      </c>
      <c r="AS333" s="141"/>
      <c r="AT333" s="141"/>
      <c r="AU333" s="141"/>
      <c r="AV333" s="141"/>
      <c r="AW333" s="141"/>
      <c r="AX333" s="141"/>
      <c r="AY333" s="142"/>
      <c r="AZ333" s="142"/>
      <c r="BA333" s="56" t="s">
        <v>20</v>
      </c>
      <c r="BB333" s="91" t="n">
        <f aca="false">SUM(L$4:L$503)/COUNTA(A$4:A$503)</f>
        <v>9494.39992</v>
      </c>
      <c r="BC333" s="92" t="n">
        <f aca="false">SUM(M$4:M$503)/COUNTA(A$4:A$503)</f>
        <v>667.20008</v>
      </c>
      <c r="BD333" s="92" t="n">
        <f aca="false">SUM(N$4:N$503)/COUNTA(A$4:A$503)</f>
        <v>697.19996</v>
      </c>
      <c r="BE333" s="92" t="n">
        <f aca="false">SUM(O$4:O$503)/COUNTA(A$4:A$503)</f>
        <v>713.9999</v>
      </c>
      <c r="BF333" s="92" t="n">
        <f aca="false">SUM(P$4:P$503)/COUNTA(A$4:A$503)</f>
        <v>732.59984</v>
      </c>
      <c r="BG333" s="92" t="n">
        <f aca="false">SUM(Q$4:Q$503)/COUNTA(A$4:A$503)</f>
        <v>756.59992</v>
      </c>
      <c r="BH333" s="92" t="n">
        <f aca="false">SUM(R$4:R$503)/COUNTA(A$4:A$503)</f>
        <v>776.40004</v>
      </c>
      <c r="BI333" s="92" t="n">
        <f aca="false">SUM(S$4:S$503)/COUNTA(A$4:A$503)</f>
        <v>806.40012</v>
      </c>
      <c r="BJ333" s="92" t="n">
        <f aca="false">SUM(T$4:T$503)/COUNTA(A$4:A$503)</f>
        <v>826.1999</v>
      </c>
      <c r="BK333" s="92" t="n">
        <f aca="false">SUM(U$4:U$503)/COUNTA(A$4:A$503)</f>
        <v>844.8002</v>
      </c>
      <c r="BL333" s="92" t="n">
        <f aca="false">SUM(V$4:V$503)/COUNTA(A$4:A$503)</f>
        <v>865.7998</v>
      </c>
      <c r="BM333" s="92" t="n">
        <f aca="false">SUM(W$4:W$503)/COUNTA(A$4:A$503)</f>
        <v>888.59982</v>
      </c>
      <c r="BN333" s="93" t="n">
        <f aca="false">SUM(X$4:X$503)/COUNTA(A$4:A$503)</f>
        <v>918.60034</v>
      </c>
      <c r="BO333" s="94" t="s">
        <v>20</v>
      </c>
      <c r="BP333" s="91" t="n">
        <f aca="false">IF(Z333&gt;=BB333,0,IFERROR(BB333+(SUMPRODUCT((Z$4:Z$503&gt;=BB$4:BB$503)*(Z$4:Z$503-BB$4:BB$503))/MAX(1,COUNTIF(Z$4:Z$503,"&lt;"&amp;BB333+0.01))),BB333))</f>
        <v>10695.5432177778</v>
      </c>
      <c r="BQ333" s="92" t="n">
        <f aca="false">IF(AA333&gt;=BC333,0,IFERROR(BC333+SUMPRODUCT((AA$4:AA$503&gt;=BC$4:BC$503)*(AA$4:AA$503-BC$4:BC$503))/MAX(1,COUNTIF(AA$4:AA$503,"&lt;"&amp;BC333+0.01)),BC333))</f>
        <v>2238.46589176471</v>
      </c>
      <c r="BR333" s="92" t="n">
        <f aca="false">IF(AB333&gt;=BD333,0,IFERROR(BD333+SUMPRODUCT((AB$4:AB$503&gt;=BD$4:BD$503)*(AB$4:AB$503-BD$4:BD$503))/MAX(1,COUNTIF(AB$4:AB$503,"&lt;"&amp;BD333+0.01)),BD333))</f>
        <v>3335.2938</v>
      </c>
      <c r="BS333" s="92" t="n">
        <f aca="false">IF(AC333&gt;=BE333,0,IFERROR(BE333+SUMPRODUCT((AC$4:AC$503&gt;=BE$4:BE$503)*(AC$4:AC$503-BE$4:BE$503))/MAX(1,COUNTIF(AC$4:AC$503,"&lt;"&amp;BE333+0.01)),BE333))</f>
        <v>6188.73352</v>
      </c>
      <c r="BT333" s="92" t="n">
        <f aca="false">IF(AD333&gt;=BF333,0,IFERROR(BF333+SUMPRODUCT((AD$4:AD$503&gt;=BF$4:BF$503)*(AD$4:AD$503-BF$4:BF$503))/MAX(1,COUNTIF(AD$4:AD$503,"&lt;"&amp;BF333+0.01)),BF333))</f>
        <v>11354.35411</v>
      </c>
      <c r="BU333" s="92" t="n">
        <f aca="false">IF(AE333&gt;=BG333,0,IFERROR(BG333+SUMPRODUCT((AE$4:AE$503&gt;=BG$4:BG$503)*(AE$4:AE$503-BG$4:BG$503))/MAX(1,COUNTIF(AE$4:AE$503,"&lt;"&amp;BG333+0.01)),BG333))</f>
        <v>7704.85920380952</v>
      </c>
      <c r="BV333" s="92" t="n">
        <f aca="false">IF(AF333&gt;=BH333,0,IFERROR(BH333+SUMPRODUCT((AF$4:AF$503&gt;=BH$4:BH$503)*(AF$4:AF$503-BH$4:BH$503))/MAX(1,COUNTIF(AF$4:AF$503,"&lt;"&amp;BH333+0.01)),BH333))</f>
        <v>0</v>
      </c>
      <c r="BW333" s="92" t="n">
        <f aca="false">IF(AG333&gt;=BI333,0,IFERROR(BI333+SUMPRODUCT((AG$4:AG$503&gt;=BI$4:BI$503)*(AG$4:AG$503-BI$4:BI$503))/MAX(1,COUNTIF(AG$4:AG$503,"&lt;"&amp;BI333+0.01)),BI333))</f>
        <v>9142.15870461538</v>
      </c>
      <c r="BX333" s="92" t="n">
        <f aca="false">IF(AH333&gt;=BJ333,0,IFERROR(BJ333+SUMPRODUCT((AH$4:AH$503&gt;=BJ$4:BJ$503)*(AH$4:AH$503-BJ$4:BJ$503))/MAX(1,COUNTIF(AH$4:AH$503,"&lt;"&amp;BJ333+0.01)),BJ333))</f>
        <v>5621.50263448276</v>
      </c>
      <c r="BY333" s="92" t="n">
        <f aca="false">IF(AI333&gt;=BK333,0,IFERROR(BK333+SUMPRODUCT((AI$4:AI$503&gt;=BK$4:BK$503)*(AI$4:AI$503-BK$4:BK$503))/MAX(1,COUNTIF(AI$4:AI$503,"&lt;"&amp;BK333+0.01)),BK333))</f>
        <v>7878.25652380952</v>
      </c>
      <c r="BZ333" s="92" t="n">
        <f aca="false">IF(AJ333&gt;=BL333,0,IFERROR(BL333+SUMPRODUCT((AJ$4:AJ$503&gt;=BL$4:BL$503)*(AJ$4:AJ$503-BL$4:BL$503))/MAX(1,COUNTIF(AJ$4:AJ$503,"&lt;"&amp;BL333+0.01)),BL333))</f>
        <v>6710.03292307692</v>
      </c>
      <c r="CA333" s="92" t="n">
        <f aca="false">IF(AK333&gt;=BM333,0,IFERROR(BM333+SUMPRODUCT((AK$4:AK$503&gt;=BM$4:BM$503)*(AK$4:AK$503-BM$4:BM$503))/MAX(1,COUNTIF(AK$4:AK$503,"&lt;"&amp;BM333+0.01)),BM333))</f>
        <v>7314.89836842105</v>
      </c>
      <c r="CB333" s="93" t="n">
        <f aca="false">IF(AL333&gt;=BN333,0,IFERROR(BN333+SUMPRODUCT((AL$4:AL$503&gt;=BN$4:BN$503)*(AL$4:AL$503-BN$4:BN$503))/MAX(1,COUNTIF(AL$4:AL$503,"&lt;"&amp;BN333+0.01)),BN333))</f>
        <v>3597.2614925</v>
      </c>
      <c r="CC333" s="95" t="str">
        <f aca="false">IF(AO333="🟢","VERDE",IF(AO333="🟡","AMARELO",IF(AO333="🟠","VERMELHO",IF(AO333="🔴","VERMELHO","ROXO"))))</f>
        <v>VERMELHO</v>
      </c>
      <c r="CD333" s="96" t="s">
        <v>176</v>
      </c>
      <c r="CE333" s="96" t="s">
        <v>66</v>
      </c>
    </row>
    <row r="334" customFormat="false" ht="14.25" hidden="false" customHeight="true" outlineLevel="0" collapsed="false">
      <c r="A334" s="65" t="s">
        <v>802</v>
      </c>
      <c r="B334" s="66" t="s">
        <v>803</v>
      </c>
      <c r="C334" s="67" t="s">
        <v>107</v>
      </c>
      <c r="D334" s="68" t="s">
        <v>108</v>
      </c>
      <c r="E334" s="69" t="s">
        <v>139</v>
      </c>
      <c r="F334" s="70" t="n">
        <f aca="false">IFERROR(VLOOKUP(C334,$AS$3:$AT$10,2,FALSE()),IFERROR(VLOOKUP(C334,$AS$15:$AT$22,2,FALSE()),""))</f>
        <v>132</v>
      </c>
      <c r="G334" s="71" t="n">
        <f aca="false">IFERROR(VLOOKUP(C334,$AS$3:$AX$10,6,FALSE()),IFERROR(VLOOKUP(C334,$AS$15:$AX$22,6,FALSE()),""))</f>
        <v>0.468190175850689</v>
      </c>
      <c r="H334" s="72" t="str">
        <f aca="false">IFERROR(VLOOKUP(C334,$AS$3:$AY$10,7,FALSE()),IFERROR(VLOOKUP(C334,$AS$15:$AY$22,7,FALSE()),""))</f>
        <v>🟡 AMARELO</v>
      </c>
      <c r="I334" s="72" t="str">
        <f aca="false">IFERROR(VLOOKUP(C334,$AS$3:$AZ$10,8,FALSE()),IFERROR(VLOOKUP(C334,$AS$15:$AZ$22,8,FALSE()),""))</f>
        <v>Sell Out</v>
      </c>
      <c r="J334" s="73"/>
      <c r="K334" s="69" t="s">
        <v>107</v>
      </c>
      <c r="L334" s="74" t="n">
        <v>2975.1</v>
      </c>
      <c r="M334" s="75" t="n">
        <v>209.07</v>
      </c>
      <c r="N334" s="75" t="n">
        <v>218.47</v>
      </c>
      <c r="O334" s="75" t="n">
        <v>223.73</v>
      </c>
      <c r="P334" s="75" t="n">
        <v>229.56</v>
      </c>
      <c r="Q334" s="75" t="n">
        <v>237.08</v>
      </c>
      <c r="R334" s="75" t="n">
        <v>243.29</v>
      </c>
      <c r="S334" s="75" t="n">
        <v>252.69</v>
      </c>
      <c r="T334" s="75" t="n">
        <v>258.89</v>
      </c>
      <c r="U334" s="75" t="n">
        <v>264.72</v>
      </c>
      <c r="V334" s="75" t="n">
        <v>271.3</v>
      </c>
      <c r="W334" s="75" t="n">
        <v>278.45</v>
      </c>
      <c r="X334" s="76" t="n">
        <v>287.85</v>
      </c>
      <c r="Y334" s="77" t="s">
        <v>20</v>
      </c>
      <c r="Z334" s="78" t="n">
        <f aca="false">SUM(AA334:AL334)</f>
        <v>1213.9</v>
      </c>
      <c r="AA334" s="75"/>
      <c r="AB334" s="75"/>
      <c r="AC334" s="75"/>
      <c r="AD334" s="75"/>
      <c r="AE334" s="75"/>
      <c r="AF334" s="79" t="n">
        <v>1213.9</v>
      </c>
      <c r="AG334" s="75"/>
      <c r="AH334" s="75"/>
      <c r="AI334" s="75"/>
      <c r="AJ334" s="75"/>
      <c r="AK334" s="75"/>
      <c r="AL334" s="76"/>
      <c r="AM334" s="56" t="s">
        <v>20</v>
      </c>
      <c r="AN334" s="80" t="n">
        <f aca="false">IF(L334=0,0,Z334/L334)</f>
        <v>0.408019898490807</v>
      </c>
      <c r="AO334" s="81" t="str">
        <f aca="false">IF(AN334="","",IF(AN334&gt;=0.9,"🟢",IF(AN334&gt;=0.7,"🟡",IF(AN334&gt;=0.5,"🟠","🔴"))))</f>
        <v>🔴</v>
      </c>
      <c r="AP334" s="82" t="n">
        <f aca="false">IF(L334=0,0,L334-Z334)</f>
        <v>1761.2</v>
      </c>
      <c r="AQ334" s="83" t="n">
        <f aca="false">IF(AP334=0,"",RANK(AP334,AP$4:AP$503,0))</f>
        <v>294</v>
      </c>
      <c r="AR334" s="84" t="s">
        <v>20</v>
      </c>
      <c r="AS334" s="141"/>
      <c r="AT334" s="141"/>
      <c r="AU334" s="141"/>
      <c r="AV334" s="141"/>
      <c r="AW334" s="141"/>
      <c r="AX334" s="141"/>
      <c r="AY334" s="142"/>
      <c r="AZ334" s="142"/>
      <c r="BA334" s="56" t="s">
        <v>20</v>
      </c>
      <c r="BB334" s="91" t="n">
        <f aca="false">SUM(L$4:L$503)/COUNTA(A$4:A$503)</f>
        <v>9494.39992</v>
      </c>
      <c r="BC334" s="92" t="n">
        <f aca="false">SUM(M$4:M$503)/COUNTA(A$4:A$503)</f>
        <v>667.20008</v>
      </c>
      <c r="BD334" s="92" t="n">
        <f aca="false">SUM(N$4:N$503)/COUNTA(A$4:A$503)</f>
        <v>697.19996</v>
      </c>
      <c r="BE334" s="92" t="n">
        <f aca="false">SUM(O$4:O$503)/COUNTA(A$4:A$503)</f>
        <v>713.9999</v>
      </c>
      <c r="BF334" s="92" t="n">
        <f aca="false">SUM(P$4:P$503)/COUNTA(A$4:A$503)</f>
        <v>732.59984</v>
      </c>
      <c r="BG334" s="92" t="n">
        <f aca="false">SUM(Q$4:Q$503)/COUNTA(A$4:A$503)</f>
        <v>756.59992</v>
      </c>
      <c r="BH334" s="92" t="n">
        <f aca="false">SUM(R$4:R$503)/COUNTA(A$4:A$503)</f>
        <v>776.40004</v>
      </c>
      <c r="BI334" s="92" t="n">
        <f aca="false">SUM(S$4:S$503)/COUNTA(A$4:A$503)</f>
        <v>806.40012</v>
      </c>
      <c r="BJ334" s="92" t="n">
        <f aca="false">SUM(T$4:T$503)/COUNTA(A$4:A$503)</f>
        <v>826.1999</v>
      </c>
      <c r="BK334" s="92" t="n">
        <f aca="false">SUM(U$4:U$503)/COUNTA(A$4:A$503)</f>
        <v>844.8002</v>
      </c>
      <c r="BL334" s="92" t="n">
        <f aca="false">SUM(V$4:V$503)/COUNTA(A$4:A$503)</f>
        <v>865.7998</v>
      </c>
      <c r="BM334" s="92" t="n">
        <f aca="false">SUM(W$4:W$503)/COUNTA(A$4:A$503)</f>
        <v>888.59982</v>
      </c>
      <c r="BN334" s="93" t="n">
        <f aca="false">SUM(X$4:X$503)/COUNTA(A$4:A$503)</f>
        <v>918.60034</v>
      </c>
      <c r="BO334" s="94" t="s">
        <v>20</v>
      </c>
      <c r="BP334" s="91" t="n">
        <f aca="false">IF(Z334&gt;=BB334,0,IFERROR(BB334+(SUMPRODUCT((Z$4:Z$503&gt;=BB$4:BB$503)*(Z$4:Z$503-BB$4:BB$503))/MAX(1,COUNTIF(Z$4:Z$503,"&lt;"&amp;BB334+0.01))),BB334))</f>
        <v>10695.5432177778</v>
      </c>
      <c r="BQ334" s="92" t="n">
        <f aca="false">IF(AA334&gt;=BC334,0,IFERROR(BC334+SUMPRODUCT((AA$4:AA$503&gt;=BC$4:BC$503)*(AA$4:AA$503-BC$4:BC$503))/MAX(1,COUNTIF(AA$4:AA$503,"&lt;"&amp;BC334+0.01)),BC334))</f>
        <v>2238.46589176471</v>
      </c>
      <c r="BR334" s="92" t="n">
        <f aca="false">IF(AB334&gt;=BD334,0,IFERROR(BD334+SUMPRODUCT((AB$4:AB$503&gt;=BD$4:BD$503)*(AB$4:AB$503-BD$4:BD$503))/MAX(1,COUNTIF(AB$4:AB$503,"&lt;"&amp;BD334+0.01)),BD334))</f>
        <v>3335.2938</v>
      </c>
      <c r="BS334" s="92" t="n">
        <f aca="false">IF(AC334&gt;=BE334,0,IFERROR(BE334+SUMPRODUCT((AC$4:AC$503&gt;=BE$4:BE$503)*(AC$4:AC$503-BE$4:BE$503))/MAX(1,COUNTIF(AC$4:AC$503,"&lt;"&amp;BE334+0.01)),BE334))</f>
        <v>6188.73352</v>
      </c>
      <c r="BT334" s="92" t="n">
        <f aca="false">IF(AD334&gt;=BF334,0,IFERROR(BF334+SUMPRODUCT((AD$4:AD$503&gt;=BF$4:BF$503)*(AD$4:AD$503-BF$4:BF$503))/MAX(1,COUNTIF(AD$4:AD$503,"&lt;"&amp;BF334+0.01)),BF334))</f>
        <v>11354.35411</v>
      </c>
      <c r="BU334" s="92" t="n">
        <f aca="false">IF(AE334&gt;=BG334,0,IFERROR(BG334+SUMPRODUCT((AE$4:AE$503&gt;=BG$4:BG$503)*(AE$4:AE$503-BG$4:BG$503))/MAX(1,COUNTIF(AE$4:AE$503,"&lt;"&amp;BG334+0.01)),BG334))</f>
        <v>7704.85920380952</v>
      </c>
      <c r="BV334" s="92" t="n">
        <f aca="false">IF(AF334&gt;=BH334,0,IFERROR(BH334+SUMPRODUCT((AF$4:AF$503&gt;=BH$4:BH$503)*(AF$4:AF$503-BH$4:BH$503))/MAX(1,COUNTIF(AF$4:AF$503,"&lt;"&amp;BH334+0.01)),BH334))</f>
        <v>0</v>
      </c>
      <c r="BW334" s="92" t="n">
        <f aca="false">IF(AG334&gt;=BI334,0,IFERROR(BI334+SUMPRODUCT((AG$4:AG$503&gt;=BI$4:BI$503)*(AG$4:AG$503-BI$4:BI$503))/MAX(1,COUNTIF(AG$4:AG$503,"&lt;"&amp;BI334+0.01)),BI334))</f>
        <v>9142.15870461538</v>
      </c>
      <c r="BX334" s="92" t="n">
        <f aca="false">IF(AH334&gt;=BJ334,0,IFERROR(BJ334+SUMPRODUCT((AH$4:AH$503&gt;=BJ$4:BJ$503)*(AH$4:AH$503-BJ$4:BJ$503))/MAX(1,COUNTIF(AH$4:AH$503,"&lt;"&amp;BJ334+0.01)),BJ334))</f>
        <v>5621.50263448276</v>
      </c>
      <c r="BY334" s="92" t="n">
        <f aca="false">IF(AI334&gt;=BK334,0,IFERROR(BK334+SUMPRODUCT((AI$4:AI$503&gt;=BK$4:BK$503)*(AI$4:AI$503-BK$4:BK$503))/MAX(1,COUNTIF(AI$4:AI$503,"&lt;"&amp;BK334+0.01)),BK334))</f>
        <v>7878.25652380952</v>
      </c>
      <c r="BZ334" s="92" t="n">
        <f aca="false">IF(AJ334&gt;=BL334,0,IFERROR(BL334+SUMPRODUCT((AJ$4:AJ$503&gt;=BL$4:BL$503)*(AJ$4:AJ$503-BL$4:BL$503))/MAX(1,COUNTIF(AJ$4:AJ$503,"&lt;"&amp;BL334+0.01)),BL334))</f>
        <v>6710.03292307692</v>
      </c>
      <c r="CA334" s="92" t="n">
        <f aca="false">IF(AK334&gt;=BM334,0,IFERROR(BM334+SUMPRODUCT((AK$4:AK$503&gt;=BM$4:BM$503)*(AK$4:AK$503-BM$4:BM$503))/MAX(1,COUNTIF(AK$4:AK$503,"&lt;"&amp;BM334+0.01)),BM334))</f>
        <v>7314.89836842105</v>
      </c>
      <c r="CB334" s="93" t="n">
        <f aca="false">IF(AL334&gt;=BN334,0,IFERROR(BN334+SUMPRODUCT((AL$4:AL$503&gt;=BN$4:BN$503)*(AL$4:AL$503-BN$4:BN$503))/MAX(1,COUNTIF(AL$4:AL$503,"&lt;"&amp;BN334+0.01)),BN334))</f>
        <v>3597.2614925</v>
      </c>
      <c r="CC334" s="95" t="str">
        <f aca="false">IF(AO334="🟢","VERDE",IF(AO334="🟡","AMARELO",IF(AO334="🟠","VERMELHO",IF(AO334="🔴","VERMELHO","ROXO"))))</f>
        <v>VERMELHO</v>
      </c>
      <c r="CD334" s="96" t="s">
        <v>103</v>
      </c>
      <c r="CE334" s="96" t="s">
        <v>104</v>
      </c>
    </row>
    <row r="335" customFormat="false" ht="14.25" hidden="false" customHeight="true" outlineLevel="0" collapsed="false">
      <c r="A335" s="65" t="s">
        <v>804</v>
      </c>
      <c r="B335" s="66" t="s">
        <v>805</v>
      </c>
      <c r="C335" s="67" t="s">
        <v>107</v>
      </c>
      <c r="D335" s="68" t="s">
        <v>108</v>
      </c>
      <c r="E335" s="69" t="s">
        <v>139</v>
      </c>
      <c r="F335" s="70" t="n">
        <f aca="false">IFERROR(VLOOKUP(C335,$AS$3:$AT$10,2,FALSE()),IFERROR(VLOOKUP(C335,$AS$15:$AT$22,2,FALSE()),""))</f>
        <v>132</v>
      </c>
      <c r="G335" s="71" t="n">
        <f aca="false">IFERROR(VLOOKUP(C335,$AS$3:$AX$10,6,FALSE()),IFERROR(VLOOKUP(C335,$AS$15:$AX$22,6,FALSE()),""))</f>
        <v>0.468190175850689</v>
      </c>
      <c r="H335" s="72" t="str">
        <f aca="false">IFERROR(VLOOKUP(C335,$AS$3:$AY$10,7,FALSE()),IFERROR(VLOOKUP(C335,$AS$15:$AY$22,7,FALSE()),""))</f>
        <v>🟡 AMARELO</v>
      </c>
      <c r="I335" s="72" t="str">
        <f aca="false">IFERROR(VLOOKUP(C335,$AS$3:$AZ$10,8,FALSE()),IFERROR(VLOOKUP(C335,$AS$15:$AZ$22,8,FALSE()),""))</f>
        <v>Sell Out</v>
      </c>
      <c r="J335" s="73"/>
      <c r="K335" s="69" t="s">
        <v>107</v>
      </c>
      <c r="L335" s="74" t="n">
        <v>2975.1</v>
      </c>
      <c r="M335" s="75" t="n">
        <v>209.07</v>
      </c>
      <c r="N335" s="75" t="n">
        <v>218.47</v>
      </c>
      <c r="O335" s="75" t="n">
        <v>223.73</v>
      </c>
      <c r="P335" s="75" t="n">
        <v>229.56</v>
      </c>
      <c r="Q335" s="75" t="n">
        <v>237.08</v>
      </c>
      <c r="R335" s="75" t="n">
        <v>243.29</v>
      </c>
      <c r="S335" s="75" t="n">
        <v>252.69</v>
      </c>
      <c r="T335" s="75" t="n">
        <v>258.89</v>
      </c>
      <c r="U335" s="75" t="n">
        <v>264.72</v>
      </c>
      <c r="V335" s="75" t="n">
        <v>271.3</v>
      </c>
      <c r="W335" s="75" t="n">
        <v>278.45</v>
      </c>
      <c r="X335" s="76" t="n">
        <v>287.85</v>
      </c>
      <c r="Y335" s="77" t="s">
        <v>20</v>
      </c>
      <c r="Z335" s="78" t="n">
        <f aca="false">SUM(AA335:AL335)</f>
        <v>1213.9</v>
      </c>
      <c r="AA335" s="75"/>
      <c r="AB335" s="75"/>
      <c r="AC335" s="75"/>
      <c r="AD335" s="75"/>
      <c r="AE335" s="75"/>
      <c r="AF335" s="79" t="n">
        <v>1213.9</v>
      </c>
      <c r="AG335" s="75"/>
      <c r="AH335" s="75"/>
      <c r="AI335" s="75"/>
      <c r="AJ335" s="75"/>
      <c r="AK335" s="75"/>
      <c r="AL335" s="76"/>
      <c r="AM335" s="56" t="s">
        <v>20</v>
      </c>
      <c r="AN335" s="80" t="n">
        <f aca="false">IF(L335=0,0,Z335/L335)</f>
        <v>0.408019898490807</v>
      </c>
      <c r="AO335" s="81" t="str">
        <f aca="false">IF(AN335="","",IF(AN335&gt;=0.9,"🟢",IF(AN335&gt;=0.7,"🟡",IF(AN335&gt;=0.5,"🟠","🔴"))))</f>
        <v>🔴</v>
      </c>
      <c r="AP335" s="82" t="n">
        <f aca="false">IF(L335=0,0,L335-Z335)</f>
        <v>1761.2</v>
      </c>
      <c r="AQ335" s="83" t="n">
        <f aca="false">IF(AP335=0,"",RANK(AP335,AP$4:AP$503,0))</f>
        <v>294</v>
      </c>
      <c r="AR335" s="84" t="s">
        <v>20</v>
      </c>
      <c r="AS335" s="141"/>
      <c r="AT335" s="141"/>
      <c r="AU335" s="141"/>
      <c r="AV335" s="141"/>
      <c r="AW335" s="141"/>
      <c r="AX335" s="141"/>
      <c r="AY335" s="142"/>
      <c r="AZ335" s="142"/>
      <c r="BA335" s="56" t="s">
        <v>20</v>
      </c>
      <c r="BB335" s="91" t="n">
        <f aca="false">SUM(L$4:L$503)/COUNTA(A$4:A$503)</f>
        <v>9494.39992</v>
      </c>
      <c r="BC335" s="92" t="n">
        <f aca="false">SUM(M$4:M$503)/COUNTA(A$4:A$503)</f>
        <v>667.20008</v>
      </c>
      <c r="BD335" s="92" t="n">
        <f aca="false">SUM(N$4:N$503)/COUNTA(A$4:A$503)</f>
        <v>697.19996</v>
      </c>
      <c r="BE335" s="92" t="n">
        <f aca="false">SUM(O$4:O$503)/COUNTA(A$4:A$503)</f>
        <v>713.9999</v>
      </c>
      <c r="BF335" s="92" t="n">
        <f aca="false">SUM(P$4:P$503)/COUNTA(A$4:A$503)</f>
        <v>732.59984</v>
      </c>
      <c r="BG335" s="92" t="n">
        <f aca="false">SUM(Q$4:Q$503)/COUNTA(A$4:A$503)</f>
        <v>756.59992</v>
      </c>
      <c r="BH335" s="92" t="n">
        <f aca="false">SUM(R$4:R$503)/COUNTA(A$4:A$503)</f>
        <v>776.40004</v>
      </c>
      <c r="BI335" s="92" t="n">
        <f aca="false">SUM(S$4:S$503)/COUNTA(A$4:A$503)</f>
        <v>806.40012</v>
      </c>
      <c r="BJ335" s="92" t="n">
        <f aca="false">SUM(T$4:T$503)/COUNTA(A$4:A$503)</f>
        <v>826.1999</v>
      </c>
      <c r="BK335" s="92" t="n">
        <f aca="false">SUM(U$4:U$503)/COUNTA(A$4:A$503)</f>
        <v>844.8002</v>
      </c>
      <c r="BL335" s="92" t="n">
        <f aca="false">SUM(V$4:V$503)/COUNTA(A$4:A$503)</f>
        <v>865.7998</v>
      </c>
      <c r="BM335" s="92" t="n">
        <f aca="false">SUM(W$4:W$503)/COUNTA(A$4:A$503)</f>
        <v>888.59982</v>
      </c>
      <c r="BN335" s="93" t="n">
        <f aca="false">SUM(X$4:X$503)/COUNTA(A$4:A$503)</f>
        <v>918.60034</v>
      </c>
      <c r="BO335" s="94" t="s">
        <v>20</v>
      </c>
      <c r="BP335" s="91" t="n">
        <f aca="false">IF(Z335&gt;=BB335,0,IFERROR(BB335+(SUMPRODUCT((Z$4:Z$503&gt;=BB$4:BB$503)*(Z$4:Z$503-BB$4:BB$503))/MAX(1,COUNTIF(Z$4:Z$503,"&lt;"&amp;BB335+0.01))),BB335))</f>
        <v>10695.5432177778</v>
      </c>
      <c r="BQ335" s="92" t="n">
        <f aca="false">IF(AA335&gt;=BC335,0,IFERROR(BC335+SUMPRODUCT((AA$4:AA$503&gt;=BC$4:BC$503)*(AA$4:AA$503-BC$4:BC$503))/MAX(1,COUNTIF(AA$4:AA$503,"&lt;"&amp;BC335+0.01)),BC335))</f>
        <v>2238.46589176471</v>
      </c>
      <c r="BR335" s="92" t="n">
        <f aca="false">IF(AB335&gt;=BD335,0,IFERROR(BD335+SUMPRODUCT((AB$4:AB$503&gt;=BD$4:BD$503)*(AB$4:AB$503-BD$4:BD$503))/MAX(1,COUNTIF(AB$4:AB$503,"&lt;"&amp;BD335+0.01)),BD335))</f>
        <v>3335.2938</v>
      </c>
      <c r="BS335" s="92" t="n">
        <f aca="false">IF(AC335&gt;=BE335,0,IFERROR(BE335+SUMPRODUCT((AC$4:AC$503&gt;=BE$4:BE$503)*(AC$4:AC$503-BE$4:BE$503))/MAX(1,COUNTIF(AC$4:AC$503,"&lt;"&amp;BE335+0.01)),BE335))</f>
        <v>6188.73352</v>
      </c>
      <c r="BT335" s="92" t="n">
        <f aca="false">IF(AD335&gt;=BF335,0,IFERROR(BF335+SUMPRODUCT((AD$4:AD$503&gt;=BF$4:BF$503)*(AD$4:AD$503-BF$4:BF$503))/MAX(1,COUNTIF(AD$4:AD$503,"&lt;"&amp;BF335+0.01)),BF335))</f>
        <v>11354.35411</v>
      </c>
      <c r="BU335" s="92" t="n">
        <f aca="false">IF(AE335&gt;=BG335,0,IFERROR(BG335+SUMPRODUCT((AE$4:AE$503&gt;=BG$4:BG$503)*(AE$4:AE$503-BG$4:BG$503))/MAX(1,COUNTIF(AE$4:AE$503,"&lt;"&amp;BG335+0.01)),BG335))</f>
        <v>7704.85920380952</v>
      </c>
      <c r="BV335" s="92" t="n">
        <f aca="false">IF(AF335&gt;=BH335,0,IFERROR(BH335+SUMPRODUCT((AF$4:AF$503&gt;=BH$4:BH$503)*(AF$4:AF$503-BH$4:BH$503))/MAX(1,COUNTIF(AF$4:AF$503,"&lt;"&amp;BH335+0.01)),BH335))</f>
        <v>0</v>
      </c>
      <c r="BW335" s="92" t="n">
        <f aca="false">IF(AG335&gt;=BI335,0,IFERROR(BI335+SUMPRODUCT((AG$4:AG$503&gt;=BI$4:BI$503)*(AG$4:AG$503-BI$4:BI$503))/MAX(1,COUNTIF(AG$4:AG$503,"&lt;"&amp;BI335+0.01)),BI335))</f>
        <v>9142.15870461538</v>
      </c>
      <c r="BX335" s="92" t="n">
        <f aca="false">IF(AH335&gt;=BJ335,0,IFERROR(BJ335+SUMPRODUCT((AH$4:AH$503&gt;=BJ$4:BJ$503)*(AH$4:AH$503-BJ$4:BJ$503))/MAX(1,COUNTIF(AH$4:AH$503,"&lt;"&amp;BJ335+0.01)),BJ335))</f>
        <v>5621.50263448276</v>
      </c>
      <c r="BY335" s="92" t="n">
        <f aca="false">IF(AI335&gt;=BK335,0,IFERROR(BK335+SUMPRODUCT((AI$4:AI$503&gt;=BK$4:BK$503)*(AI$4:AI$503-BK$4:BK$503))/MAX(1,COUNTIF(AI$4:AI$503,"&lt;"&amp;BK335+0.01)),BK335))</f>
        <v>7878.25652380952</v>
      </c>
      <c r="BZ335" s="92" t="n">
        <f aca="false">IF(AJ335&gt;=BL335,0,IFERROR(BL335+SUMPRODUCT((AJ$4:AJ$503&gt;=BL$4:BL$503)*(AJ$4:AJ$503-BL$4:BL$503))/MAX(1,COUNTIF(AJ$4:AJ$503,"&lt;"&amp;BL335+0.01)),BL335))</f>
        <v>6710.03292307692</v>
      </c>
      <c r="CA335" s="92" t="n">
        <f aca="false">IF(AK335&gt;=BM335,0,IFERROR(BM335+SUMPRODUCT((AK$4:AK$503&gt;=BM$4:BM$503)*(AK$4:AK$503-BM$4:BM$503))/MAX(1,COUNTIF(AK$4:AK$503,"&lt;"&amp;BM335+0.01)),BM335))</f>
        <v>7314.89836842105</v>
      </c>
      <c r="CB335" s="93" t="n">
        <f aca="false">IF(AL335&gt;=BN335,0,IFERROR(BN335+SUMPRODUCT((AL$4:AL$503&gt;=BN$4:BN$503)*(AL$4:AL$503-BN$4:BN$503))/MAX(1,COUNTIF(AL$4:AL$503,"&lt;"&amp;BN335+0.01)),BN335))</f>
        <v>3597.2614925</v>
      </c>
      <c r="CC335" s="95" t="str">
        <f aca="false">IF(AO335="🟢","VERDE",IF(AO335="🟡","AMARELO",IF(AO335="🟠","VERMELHO",IF(AO335="🔴","VERMELHO","ROXO"))))</f>
        <v>VERMELHO</v>
      </c>
      <c r="CD335" s="96" t="s">
        <v>103</v>
      </c>
      <c r="CE335" s="96" t="s">
        <v>104</v>
      </c>
    </row>
    <row r="336" customFormat="false" ht="14.25" hidden="false" customHeight="true" outlineLevel="0" collapsed="false">
      <c r="A336" s="65" t="s">
        <v>806</v>
      </c>
      <c r="B336" s="66" t="s">
        <v>631</v>
      </c>
      <c r="C336" s="66" t="s">
        <v>66</v>
      </c>
      <c r="D336" s="68" t="s">
        <v>175</v>
      </c>
      <c r="E336" s="69" t="s">
        <v>139</v>
      </c>
      <c r="F336" s="70" t="n">
        <f aca="false">IFERROR(VLOOKUP(C336,$AS$3:$AT$10,2,FALSE()),IFERROR(VLOOKUP(C336,$AS$15:$AT$22,2,FALSE()),""))</f>
        <v>44</v>
      </c>
      <c r="G336" s="71" t="n">
        <f aca="false">IFERROR(VLOOKUP(C336,$AS$3:$AX$10,6,FALSE()),IFERROR(VLOOKUP(C336,$AS$15:$AX$22,6,FALSE()),""))</f>
        <v>0.496839506257363</v>
      </c>
      <c r="H336" s="72" t="str">
        <f aca="false">IFERROR(VLOOKUP(C336,$AS$3:$AY$10,7,FALSE()),IFERROR(VLOOKUP(C336,$AS$15:$AY$22,7,FALSE()),""))</f>
        <v>🟡 AMARELO</v>
      </c>
      <c r="I336" s="72" t="str">
        <f aca="false">IFERROR(VLOOKUP(C336,$AS$3:$AZ$10,8,FALSE()),IFERROR(VLOOKUP(C336,$AS$15:$AZ$22,8,FALSE()),""))</f>
        <v>Sell Out</v>
      </c>
      <c r="J336" s="73"/>
      <c r="K336" s="69" t="s">
        <v>107</v>
      </c>
      <c r="L336" s="74" t="n">
        <v>2975.1</v>
      </c>
      <c r="M336" s="75" t="n">
        <v>209.07</v>
      </c>
      <c r="N336" s="75" t="n">
        <v>218.47</v>
      </c>
      <c r="O336" s="75" t="n">
        <v>223.73</v>
      </c>
      <c r="P336" s="75" t="n">
        <v>229.56</v>
      </c>
      <c r="Q336" s="75" t="n">
        <v>237.08</v>
      </c>
      <c r="R336" s="75" t="n">
        <v>243.29</v>
      </c>
      <c r="S336" s="75" t="n">
        <v>252.69</v>
      </c>
      <c r="T336" s="75" t="n">
        <v>258.89</v>
      </c>
      <c r="U336" s="75" t="n">
        <v>264.72</v>
      </c>
      <c r="V336" s="75" t="n">
        <v>271.3</v>
      </c>
      <c r="W336" s="75" t="n">
        <v>278.45</v>
      </c>
      <c r="X336" s="76" t="n">
        <v>287.85</v>
      </c>
      <c r="Y336" s="77" t="s">
        <v>20</v>
      </c>
      <c r="Z336" s="78" t="n">
        <f aca="false">SUM(AA336:AL336)</f>
        <v>3153.28</v>
      </c>
      <c r="AA336" s="75"/>
      <c r="AB336" s="75"/>
      <c r="AC336" s="75"/>
      <c r="AD336" s="75"/>
      <c r="AE336" s="75"/>
      <c r="AF336" s="79" t="n">
        <v>3153.28</v>
      </c>
      <c r="AG336" s="75"/>
      <c r="AH336" s="75"/>
      <c r="AI336" s="75"/>
      <c r="AJ336" s="75"/>
      <c r="AK336" s="75"/>
      <c r="AL336" s="76"/>
      <c r="AM336" s="56" t="s">
        <v>20</v>
      </c>
      <c r="AN336" s="80" t="n">
        <f aca="false">IF(L336=0,0,Z336/L336)</f>
        <v>1.0598904238513</v>
      </c>
      <c r="AO336" s="81" t="str">
        <f aca="false">IF(AN336="","",IF(AN336&gt;=0.9,"🟢",IF(AN336&gt;=0.7,"🟡",IF(AN336&gt;=0.5,"🟠","🔴"))))</f>
        <v>🟢</v>
      </c>
      <c r="AP336" s="82" t="n">
        <f aca="false">IF(L336=0,0,L336-Z336)</f>
        <v>-178.18</v>
      </c>
      <c r="AQ336" s="83" t="n">
        <f aca="false">IF(AP336=0,"",RANK(AP336,AP$4:AP$503,0))</f>
        <v>490</v>
      </c>
      <c r="AR336" s="84" t="s">
        <v>20</v>
      </c>
      <c r="AS336" s="141"/>
      <c r="AT336" s="141"/>
      <c r="AU336" s="141"/>
      <c r="AV336" s="141"/>
      <c r="AW336" s="141"/>
      <c r="AX336" s="141"/>
      <c r="AY336" s="142"/>
      <c r="AZ336" s="142"/>
      <c r="BA336" s="56" t="s">
        <v>20</v>
      </c>
      <c r="BB336" s="91" t="n">
        <f aca="false">SUM(L$4:L$503)/COUNTA(A$4:A$503)</f>
        <v>9494.39992</v>
      </c>
      <c r="BC336" s="92" t="n">
        <f aca="false">SUM(M$4:M$503)/COUNTA(A$4:A$503)</f>
        <v>667.20008</v>
      </c>
      <c r="BD336" s="92" t="n">
        <f aca="false">SUM(N$4:N$503)/COUNTA(A$4:A$503)</f>
        <v>697.19996</v>
      </c>
      <c r="BE336" s="92" t="n">
        <f aca="false">SUM(O$4:O$503)/COUNTA(A$4:A$503)</f>
        <v>713.9999</v>
      </c>
      <c r="BF336" s="92" t="n">
        <f aca="false">SUM(P$4:P$503)/COUNTA(A$4:A$503)</f>
        <v>732.59984</v>
      </c>
      <c r="BG336" s="92" t="n">
        <f aca="false">SUM(Q$4:Q$503)/COUNTA(A$4:A$503)</f>
        <v>756.59992</v>
      </c>
      <c r="BH336" s="92" t="n">
        <f aca="false">SUM(R$4:R$503)/COUNTA(A$4:A$503)</f>
        <v>776.40004</v>
      </c>
      <c r="BI336" s="92" t="n">
        <f aca="false">SUM(S$4:S$503)/COUNTA(A$4:A$503)</f>
        <v>806.40012</v>
      </c>
      <c r="BJ336" s="92" t="n">
        <f aca="false">SUM(T$4:T$503)/COUNTA(A$4:A$503)</f>
        <v>826.1999</v>
      </c>
      <c r="BK336" s="92" t="n">
        <f aca="false">SUM(U$4:U$503)/COUNTA(A$4:A$503)</f>
        <v>844.8002</v>
      </c>
      <c r="BL336" s="92" t="n">
        <f aca="false">SUM(V$4:V$503)/COUNTA(A$4:A$503)</f>
        <v>865.7998</v>
      </c>
      <c r="BM336" s="92" t="n">
        <f aca="false">SUM(W$4:W$503)/COUNTA(A$4:A$503)</f>
        <v>888.59982</v>
      </c>
      <c r="BN336" s="93" t="n">
        <f aca="false">SUM(X$4:X$503)/COUNTA(A$4:A$503)</f>
        <v>918.60034</v>
      </c>
      <c r="BO336" s="94" t="s">
        <v>20</v>
      </c>
      <c r="BP336" s="91" t="n">
        <f aca="false">IF(Z336&gt;=BB336,0,IFERROR(BB336+(SUMPRODUCT((Z$4:Z$503&gt;=BB$4:BB$503)*(Z$4:Z$503-BB$4:BB$503))/MAX(1,COUNTIF(Z$4:Z$503,"&lt;"&amp;BB336+0.01))),BB336))</f>
        <v>10695.5432177778</v>
      </c>
      <c r="BQ336" s="92" t="n">
        <f aca="false">IF(AA336&gt;=BC336,0,IFERROR(BC336+SUMPRODUCT((AA$4:AA$503&gt;=BC$4:BC$503)*(AA$4:AA$503-BC$4:BC$503))/MAX(1,COUNTIF(AA$4:AA$503,"&lt;"&amp;BC336+0.01)),BC336))</f>
        <v>2238.46589176471</v>
      </c>
      <c r="BR336" s="92" t="n">
        <f aca="false">IF(AB336&gt;=BD336,0,IFERROR(BD336+SUMPRODUCT((AB$4:AB$503&gt;=BD$4:BD$503)*(AB$4:AB$503-BD$4:BD$503))/MAX(1,COUNTIF(AB$4:AB$503,"&lt;"&amp;BD336+0.01)),BD336))</f>
        <v>3335.2938</v>
      </c>
      <c r="BS336" s="92" t="n">
        <f aca="false">IF(AC336&gt;=BE336,0,IFERROR(BE336+SUMPRODUCT((AC$4:AC$503&gt;=BE$4:BE$503)*(AC$4:AC$503-BE$4:BE$503))/MAX(1,COUNTIF(AC$4:AC$503,"&lt;"&amp;BE336+0.01)),BE336))</f>
        <v>6188.73352</v>
      </c>
      <c r="BT336" s="92" t="n">
        <f aca="false">IF(AD336&gt;=BF336,0,IFERROR(BF336+SUMPRODUCT((AD$4:AD$503&gt;=BF$4:BF$503)*(AD$4:AD$503-BF$4:BF$503))/MAX(1,COUNTIF(AD$4:AD$503,"&lt;"&amp;BF336+0.01)),BF336))</f>
        <v>11354.35411</v>
      </c>
      <c r="BU336" s="92" t="n">
        <f aca="false">IF(AE336&gt;=BG336,0,IFERROR(BG336+SUMPRODUCT((AE$4:AE$503&gt;=BG$4:BG$503)*(AE$4:AE$503-BG$4:BG$503))/MAX(1,COUNTIF(AE$4:AE$503,"&lt;"&amp;BG336+0.01)),BG336))</f>
        <v>7704.85920380952</v>
      </c>
      <c r="BV336" s="92" t="n">
        <f aca="false">IF(AF336&gt;=BH336,0,IFERROR(BH336+SUMPRODUCT((AF$4:AF$503&gt;=BH$4:BH$503)*(AF$4:AF$503-BH$4:BH$503))/MAX(1,COUNTIF(AF$4:AF$503,"&lt;"&amp;BH336+0.01)),BH336))</f>
        <v>0</v>
      </c>
      <c r="BW336" s="92" t="n">
        <f aca="false">IF(AG336&gt;=BI336,0,IFERROR(BI336+SUMPRODUCT((AG$4:AG$503&gt;=BI$4:BI$503)*(AG$4:AG$503-BI$4:BI$503))/MAX(1,COUNTIF(AG$4:AG$503,"&lt;"&amp;BI336+0.01)),BI336))</f>
        <v>9142.15870461538</v>
      </c>
      <c r="BX336" s="92" t="n">
        <f aca="false">IF(AH336&gt;=BJ336,0,IFERROR(BJ336+SUMPRODUCT((AH$4:AH$503&gt;=BJ$4:BJ$503)*(AH$4:AH$503-BJ$4:BJ$503))/MAX(1,COUNTIF(AH$4:AH$503,"&lt;"&amp;BJ336+0.01)),BJ336))</f>
        <v>5621.50263448276</v>
      </c>
      <c r="BY336" s="92" t="n">
        <f aca="false">IF(AI336&gt;=BK336,0,IFERROR(BK336+SUMPRODUCT((AI$4:AI$503&gt;=BK$4:BK$503)*(AI$4:AI$503-BK$4:BK$503))/MAX(1,COUNTIF(AI$4:AI$503,"&lt;"&amp;BK336+0.01)),BK336))</f>
        <v>7878.25652380952</v>
      </c>
      <c r="BZ336" s="92" t="n">
        <f aca="false">IF(AJ336&gt;=BL336,0,IFERROR(BL336+SUMPRODUCT((AJ$4:AJ$503&gt;=BL$4:BL$503)*(AJ$4:AJ$503-BL$4:BL$503))/MAX(1,COUNTIF(AJ$4:AJ$503,"&lt;"&amp;BL336+0.01)),BL336))</f>
        <v>6710.03292307692</v>
      </c>
      <c r="CA336" s="92" t="n">
        <f aca="false">IF(AK336&gt;=BM336,0,IFERROR(BM336+SUMPRODUCT((AK$4:AK$503&gt;=BM$4:BM$503)*(AK$4:AK$503-BM$4:BM$503))/MAX(1,COUNTIF(AK$4:AK$503,"&lt;"&amp;BM336+0.01)),BM336))</f>
        <v>7314.89836842105</v>
      </c>
      <c r="CB336" s="93" t="n">
        <f aca="false">IF(AL336&gt;=BN336,0,IFERROR(BN336+SUMPRODUCT((AL$4:AL$503&gt;=BN$4:BN$503)*(AL$4:AL$503-BN$4:BN$503))/MAX(1,COUNTIF(AL$4:AL$503,"&lt;"&amp;BN336+0.01)),BN336))</f>
        <v>3597.2614925</v>
      </c>
      <c r="CC336" s="95" t="str">
        <f aca="false">IF(AO336="🟢","VERDE",IF(AO336="🟡","AMARELO",IF(AO336="🟠","VERMELHO",IF(AO336="🔴","VERMELHO","ROXO"))))</f>
        <v>VERDE</v>
      </c>
      <c r="CD336" s="96" t="s">
        <v>176</v>
      </c>
      <c r="CE336" s="96" t="s">
        <v>66</v>
      </c>
    </row>
    <row r="337" customFormat="false" ht="14.25" hidden="false" customHeight="true" outlineLevel="0" collapsed="false">
      <c r="A337" s="65" t="s">
        <v>807</v>
      </c>
      <c r="B337" s="66" t="s">
        <v>483</v>
      </c>
      <c r="C337" s="66" t="s">
        <v>66</v>
      </c>
      <c r="D337" s="68" t="s">
        <v>175</v>
      </c>
      <c r="E337" s="69" t="s">
        <v>139</v>
      </c>
      <c r="F337" s="70" t="n">
        <f aca="false">IFERROR(VLOOKUP(C337,$AS$3:$AT$10,2,FALSE()),IFERROR(VLOOKUP(C337,$AS$15:$AT$22,2,FALSE()),""))</f>
        <v>44</v>
      </c>
      <c r="G337" s="71" t="n">
        <f aca="false">IFERROR(VLOOKUP(C337,$AS$3:$AX$10,6,FALSE()),IFERROR(VLOOKUP(C337,$AS$15:$AX$22,6,FALSE()),""))</f>
        <v>0.496839506257363</v>
      </c>
      <c r="H337" s="72" t="str">
        <f aca="false">IFERROR(VLOOKUP(C337,$AS$3:$AY$10,7,FALSE()),IFERROR(VLOOKUP(C337,$AS$15:$AY$22,7,FALSE()),""))</f>
        <v>🟡 AMARELO</v>
      </c>
      <c r="I337" s="72" t="str">
        <f aca="false">IFERROR(VLOOKUP(C337,$AS$3:$AZ$10,8,FALSE()),IFERROR(VLOOKUP(C337,$AS$15:$AZ$22,8,FALSE()),""))</f>
        <v>Sell Out</v>
      </c>
      <c r="J337" s="73"/>
      <c r="K337" s="69" t="s">
        <v>107</v>
      </c>
      <c r="L337" s="74" t="n">
        <v>2975.1</v>
      </c>
      <c r="M337" s="75" t="n">
        <v>209.07</v>
      </c>
      <c r="N337" s="75" t="n">
        <v>218.47</v>
      </c>
      <c r="O337" s="75" t="n">
        <v>223.73</v>
      </c>
      <c r="P337" s="75" t="n">
        <v>229.56</v>
      </c>
      <c r="Q337" s="75" t="n">
        <v>237.08</v>
      </c>
      <c r="R337" s="75" t="n">
        <v>243.29</v>
      </c>
      <c r="S337" s="75" t="n">
        <v>252.69</v>
      </c>
      <c r="T337" s="75" t="n">
        <v>258.89</v>
      </c>
      <c r="U337" s="75" t="n">
        <v>264.72</v>
      </c>
      <c r="V337" s="75" t="n">
        <v>271.3</v>
      </c>
      <c r="W337" s="75" t="n">
        <v>278.45</v>
      </c>
      <c r="X337" s="76" t="n">
        <v>287.85</v>
      </c>
      <c r="Y337" s="77" t="s">
        <v>20</v>
      </c>
      <c r="Z337" s="78" t="n">
        <f aca="false">SUM(AA337:AL337)</f>
        <v>4082.28</v>
      </c>
      <c r="AA337" s="75"/>
      <c r="AB337" s="75"/>
      <c r="AC337" s="75"/>
      <c r="AD337" s="75"/>
      <c r="AE337" s="75"/>
      <c r="AF337" s="79" t="n">
        <v>2432.34</v>
      </c>
      <c r="AG337" s="75" t="n">
        <v>1649.94</v>
      </c>
      <c r="AH337" s="75"/>
      <c r="AI337" s="75"/>
      <c r="AJ337" s="75"/>
      <c r="AK337" s="75"/>
      <c r="AL337" s="76"/>
      <c r="AM337" s="56" t="s">
        <v>20</v>
      </c>
      <c r="AN337" s="80" t="n">
        <f aca="false">IF(L337=0,0,Z337/L337)</f>
        <v>1.37214883533327</v>
      </c>
      <c r="AO337" s="81" t="str">
        <f aca="false">IF(AN337="","",IF(AN337&gt;=0.9,"🟢",IF(AN337&gt;=0.7,"🟡",IF(AN337&gt;=0.5,"🟠","🔴"))))</f>
        <v>🟢</v>
      </c>
      <c r="AP337" s="82" t="n">
        <f aca="false">IF(L337=0,0,L337-Z337)</f>
        <v>-1107.18</v>
      </c>
      <c r="AQ337" s="83" t="n">
        <f aca="false">IF(AP337=0,"",RANK(AP337,AP$4:AP$503,0))</f>
        <v>496</v>
      </c>
      <c r="AR337" s="84" t="s">
        <v>20</v>
      </c>
      <c r="AS337" s="141"/>
      <c r="AT337" s="141"/>
      <c r="AU337" s="141"/>
      <c r="AV337" s="141"/>
      <c r="AW337" s="141"/>
      <c r="AX337" s="141"/>
      <c r="AY337" s="142"/>
      <c r="AZ337" s="142"/>
      <c r="BA337" s="56" t="s">
        <v>20</v>
      </c>
      <c r="BB337" s="91" t="n">
        <f aca="false">SUM(L$4:L$503)/COUNTA(A$4:A$503)</f>
        <v>9494.39992</v>
      </c>
      <c r="BC337" s="92" t="n">
        <f aca="false">SUM(M$4:M$503)/COUNTA(A$4:A$503)</f>
        <v>667.20008</v>
      </c>
      <c r="BD337" s="92" t="n">
        <f aca="false">SUM(N$4:N$503)/COUNTA(A$4:A$503)</f>
        <v>697.19996</v>
      </c>
      <c r="BE337" s="92" t="n">
        <f aca="false">SUM(O$4:O$503)/COUNTA(A$4:A$503)</f>
        <v>713.9999</v>
      </c>
      <c r="BF337" s="92" t="n">
        <f aca="false">SUM(P$4:P$503)/COUNTA(A$4:A$503)</f>
        <v>732.59984</v>
      </c>
      <c r="BG337" s="92" t="n">
        <f aca="false">SUM(Q$4:Q$503)/COUNTA(A$4:A$503)</f>
        <v>756.59992</v>
      </c>
      <c r="BH337" s="92" t="n">
        <f aca="false">SUM(R$4:R$503)/COUNTA(A$4:A$503)</f>
        <v>776.40004</v>
      </c>
      <c r="BI337" s="92" t="n">
        <f aca="false">SUM(S$4:S$503)/COUNTA(A$4:A$503)</f>
        <v>806.40012</v>
      </c>
      <c r="BJ337" s="92" t="n">
        <f aca="false">SUM(T$4:T$503)/COUNTA(A$4:A$503)</f>
        <v>826.1999</v>
      </c>
      <c r="BK337" s="92" t="n">
        <f aca="false">SUM(U$4:U$503)/COUNTA(A$4:A$503)</f>
        <v>844.8002</v>
      </c>
      <c r="BL337" s="92" t="n">
        <f aca="false">SUM(V$4:V$503)/COUNTA(A$4:A$503)</f>
        <v>865.7998</v>
      </c>
      <c r="BM337" s="92" t="n">
        <f aca="false">SUM(W$4:W$503)/COUNTA(A$4:A$503)</f>
        <v>888.59982</v>
      </c>
      <c r="BN337" s="93" t="n">
        <f aca="false">SUM(X$4:X$503)/COUNTA(A$4:A$503)</f>
        <v>918.60034</v>
      </c>
      <c r="BO337" s="94" t="s">
        <v>20</v>
      </c>
      <c r="BP337" s="91" t="n">
        <f aca="false">IF(Z337&gt;=BB337,0,IFERROR(BB337+(SUMPRODUCT((Z$4:Z$503&gt;=BB$4:BB$503)*(Z$4:Z$503-BB$4:BB$503))/MAX(1,COUNTIF(Z$4:Z$503,"&lt;"&amp;BB337+0.01))),BB337))</f>
        <v>10695.5432177778</v>
      </c>
      <c r="BQ337" s="92" t="n">
        <f aca="false">IF(AA337&gt;=BC337,0,IFERROR(BC337+SUMPRODUCT((AA$4:AA$503&gt;=BC$4:BC$503)*(AA$4:AA$503-BC$4:BC$503))/MAX(1,COUNTIF(AA$4:AA$503,"&lt;"&amp;BC337+0.01)),BC337))</f>
        <v>2238.46589176471</v>
      </c>
      <c r="BR337" s="92" t="n">
        <f aca="false">IF(AB337&gt;=BD337,0,IFERROR(BD337+SUMPRODUCT((AB$4:AB$503&gt;=BD$4:BD$503)*(AB$4:AB$503-BD$4:BD$503))/MAX(1,COUNTIF(AB$4:AB$503,"&lt;"&amp;BD337+0.01)),BD337))</f>
        <v>3335.2938</v>
      </c>
      <c r="BS337" s="92" t="n">
        <f aca="false">IF(AC337&gt;=BE337,0,IFERROR(BE337+SUMPRODUCT((AC$4:AC$503&gt;=BE$4:BE$503)*(AC$4:AC$503-BE$4:BE$503))/MAX(1,COUNTIF(AC$4:AC$503,"&lt;"&amp;BE337+0.01)),BE337))</f>
        <v>6188.73352</v>
      </c>
      <c r="BT337" s="92" t="n">
        <f aca="false">IF(AD337&gt;=BF337,0,IFERROR(BF337+SUMPRODUCT((AD$4:AD$503&gt;=BF$4:BF$503)*(AD$4:AD$503-BF$4:BF$503))/MAX(1,COUNTIF(AD$4:AD$503,"&lt;"&amp;BF337+0.01)),BF337))</f>
        <v>11354.35411</v>
      </c>
      <c r="BU337" s="92" t="n">
        <f aca="false">IF(AE337&gt;=BG337,0,IFERROR(BG337+SUMPRODUCT((AE$4:AE$503&gt;=BG$4:BG$503)*(AE$4:AE$503-BG$4:BG$503))/MAX(1,COUNTIF(AE$4:AE$503,"&lt;"&amp;BG337+0.01)),BG337))</f>
        <v>7704.85920380952</v>
      </c>
      <c r="BV337" s="92" t="n">
        <f aca="false">IF(AF337&gt;=BH337,0,IFERROR(BH337+SUMPRODUCT((AF$4:AF$503&gt;=BH$4:BH$503)*(AF$4:AF$503-BH$4:BH$503))/MAX(1,COUNTIF(AF$4:AF$503,"&lt;"&amp;BH337+0.01)),BH337))</f>
        <v>0</v>
      </c>
      <c r="BW337" s="92" t="n">
        <f aca="false">IF(AG337&gt;=BI337,0,IFERROR(BI337+SUMPRODUCT((AG$4:AG$503&gt;=BI$4:BI$503)*(AG$4:AG$503-BI$4:BI$503))/MAX(1,COUNTIF(AG$4:AG$503,"&lt;"&amp;BI337+0.01)),BI337))</f>
        <v>0</v>
      </c>
      <c r="BX337" s="92" t="n">
        <f aca="false">IF(AH337&gt;=BJ337,0,IFERROR(BJ337+SUMPRODUCT((AH$4:AH$503&gt;=BJ$4:BJ$503)*(AH$4:AH$503-BJ$4:BJ$503))/MAX(1,COUNTIF(AH$4:AH$503,"&lt;"&amp;BJ337+0.01)),BJ337))</f>
        <v>5621.50263448276</v>
      </c>
      <c r="BY337" s="92" t="n">
        <f aca="false">IF(AI337&gt;=BK337,0,IFERROR(BK337+SUMPRODUCT((AI$4:AI$503&gt;=BK$4:BK$503)*(AI$4:AI$503-BK$4:BK$503))/MAX(1,COUNTIF(AI$4:AI$503,"&lt;"&amp;BK337+0.01)),BK337))</f>
        <v>7878.25652380952</v>
      </c>
      <c r="BZ337" s="92" t="n">
        <f aca="false">IF(AJ337&gt;=BL337,0,IFERROR(BL337+SUMPRODUCT((AJ$4:AJ$503&gt;=BL$4:BL$503)*(AJ$4:AJ$503-BL$4:BL$503))/MAX(1,COUNTIF(AJ$4:AJ$503,"&lt;"&amp;BL337+0.01)),BL337))</f>
        <v>6710.03292307692</v>
      </c>
      <c r="CA337" s="92" t="n">
        <f aca="false">IF(AK337&gt;=BM337,0,IFERROR(BM337+SUMPRODUCT((AK$4:AK$503&gt;=BM$4:BM$503)*(AK$4:AK$503-BM$4:BM$503))/MAX(1,COUNTIF(AK$4:AK$503,"&lt;"&amp;BM337+0.01)),BM337))</f>
        <v>7314.89836842105</v>
      </c>
      <c r="CB337" s="93" t="n">
        <f aca="false">IF(AL337&gt;=BN337,0,IFERROR(BN337+SUMPRODUCT((AL$4:AL$503&gt;=BN$4:BN$503)*(AL$4:AL$503-BN$4:BN$503))/MAX(1,COUNTIF(AL$4:AL$503,"&lt;"&amp;BN337+0.01)),BN337))</f>
        <v>3597.2614925</v>
      </c>
      <c r="CC337" s="95" t="str">
        <f aca="false">IF(AO337="🟢","VERDE",IF(AO337="🟡","AMARELO",IF(AO337="🟠","VERMELHO",IF(AO337="🔴","VERMELHO","ROXO"))))</f>
        <v>VERDE</v>
      </c>
      <c r="CD337" s="96" t="s">
        <v>176</v>
      </c>
      <c r="CE337" s="96" t="s">
        <v>66</v>
      </c>
    </row>
    <row r="338" customFormat="false" ht="14.25" hidden="false" customHeight="true" outlineLevel="0" collapsed="false">
      <c r="A338" s="65" t="s">
        <v>808</v>
      </c>
      <c r="B338" s="66" t="s">
        <v>809</v>
      </c>
      <c r="C338" s="67" t="s">
        <v>107</v>
      </c>
      <c r="D338" s="68" t="s">
        <v>108</v>
      </c>
      <c r="E338" s="69" t="s">
        <v>196</v>
      </c>
      <c r="F338" s="70" t="n">
        <f aca="false">IFERROR(VLOOKUP(C338,$AS$3:$AT$10,2,FALSE()),IFERROR(VLOOKUP(C338,$AS$15:$AT$22,2,FALSE()),""))</f>
        <v>132</v>
      </c>
      <c r="G338" s="71" t="n">
        <f aca="false">IFERROR(VLOOKUP(C338,$AS$3:$AX$10,6,FALSE()),IFERROR(VLOOKUP(C338,$AS$15:$AX$22,6,FALSE()),""))</f>
        <v>0.468190175850689</v>
      </c>
      <c r="H338" s="72" t="str">
        <f aca="false">IFERROR(VLOOKUP(C338,$AS$3:$AY$10,7,FALSE()),IFERROR(VLOOKUP(C338,$AS$15:$AY$22,7,FALSE()),""))</f>
        <v>🟡 AMARELO</v>
      </c>
      <c r="I338" s="72" t="str">
        <f aca="false">IFERROR(VLOOKUP(C338,$AS$3:$AZ$10,8,FALSE()),IFERROR(VLOOKUP(C338,$AS$15:$AZ$22,8,FALSE()),""))</f>
        <v>Sell Out</v>
      </c>
      <c r="J338" s="73"/>
      <c r="K338" s="69" t="s">
        <v>107</v>
      </c>
      <c r="L338" s="74" t="n">
        <v>2960.84</v>
      </c>
      <c r="M338" s="75" t="n">
        <v>208.07</v>
      </c>
      <c r="N338" s="75" t="n">
        <v>217.42</v>
      </c>
      <c r="O338" s="75" t="n">
        <v>222.66</v>
      </c>
      <c r="P338" s="75" t="n">
        <v>228.46</v>
      </c>
      <c r="Q338" s="75" t="n">
        <v>235.95</v>
      </c>
      <c r="R338" s="75" t="n">
        <v>242.12</v>
      </c>
      <c r="S338" s="75" t="n">
        <v>251.48</v>
      </c>
      <c r="T338" s="75" t="n">
        <v>257.65</v>
      </c>
      <c r="U338" s="75" t="n">
        <v>263.45</v>
      </c>
      <c r="V338" s="75" t="n">
        <v>270</v>
      </c>
      <c r="W338" s="75" t="n">
        <v>277.11</v>
      </c>
      <c r="X338" s="76" t="n">
        <v>286.47</v>
      </c>
      <c r="Y338" s="77" t="s">
        <v>20</v>
      </c>
      <c r="Z338" s="78" t="n">
        <f aca="false">SUM(AA338:AL338)</f>
        <v>1190.7</v>
      </c>
      <c r="AA338" s="75"/>
      <c r="AB338" s="75"/>
      <c r="AC338" s="75"/>
      <c r="AD338" s="75"/>
      <c r="AE338" s="75"/>
      <c r="AF338" s="75"/>
      <c r="AG338" s="75"/>
      <c r="AH338" s="79" t="n">
        <v>1190.7</v>
      </c>
      <c r="AI338" s="75"/>
      <c r="AJ338" s="75"/>
      <c r="AK338" s="75"/>
      <c r="AL338" s="76"/>
      <c r="AM338" s="56" t="s">
        <v>20</v>
      </c>
      <c r="AN338" s="80" t="n">
        <f aca="false">IF(L338=0,0,Z338/L338)</f>
        <v>0.402149390037962</v>
      </c>
      <c r="AO338" s="81" t="str">
        <f aca="false">IF(AN338="","",IF(AN338&gt;=0.9,"🟢",IF(AN338&gt;=0.7,"🟡",IF(AN338&gt;=0.5,"🟠","🔴"))))</f>
        <v>🔴</v>
      </c>
      <c r="AP338" s="82" t="n">
        <f aca="false">IF(L338=0,0,L338-Z338)</f>
        <v>1770.14</v>
      </c>
      <c r="AQ338" s="83" t="n">
        <f aca="false">IF(AP338=0,"",RANK(AP338,AP$4:AP$503,0))</f>
        <v>293</v>
      </c>
      <c r="AR338" s="84" t="s">
        <v>20</v>
      </c>
      <c r="AS338" s="141"/>
      <c r="AT338" s="141"/>
      <c r="AU338" s="141"/>
      <c r="AV338" s="141"/>
      <c r="AW338" s="141"/>
      <c r="AX338" s="141"/>
      <c r="AY338" s="142"/>
      <c r="AZ338" s="142"/>
      <c r="BA338" s="56" t="s">
        <v>20</v>
      </c>
      <c r="BB338" s="91" t="n">
        <f aca="false">SUM(L$4:L$503)/COUNTA(A$4:A$503)</f>
        <v>9494.39992</v>
      </c>
      <c r="BC338" s="92" t="n">
        <f aca="false">SUM(M$4:M$503)/COUNTA(A$4:A$503)</f>
        <v>667.20008</v>
      </c>
      <c r="BD338" s="92" t="n">
        <f aca="false">SUM(N$4:N$503)/COUNTA(A$4:A$503)</f>
        <v>697.19996</v>
      </c>
      <c r="BE338" s="92" t="n">
        <f aca="false">SUM(O$4:O$503)/COUNTA(A$4:A$503)</f>
        <v>713.9999</v>
      </c>
      <c r="BF338" s="92" t="n">
        <f aca="false">SUM(P$4:P$503)/COUNTA(A$4:A$503)</f>
        <v>732.59984</v>
      </c>
      <c r="BG338" s="92" t="n">
        <f aca="false">SUM(Q$4:Q$503)/COUNTA(A$4:A$503)</f>
        <v>756.59992</v>
      </c>
      <c r="BH338" s="92" t="n">
        <f aca="false">SUM(R$4:R$503)/COUNTA(A$4:A$503)</f>
        <v>776.40004</v>
      </c>
      <c r="BI338" s="92" t="n">
        <f aca="false">SUM(S$4:S$503)/COUNTA(A$4:A$503)</f>
        <v>806.40012</v>
      </c>
      <c r="BJ338" s="92" t="n">
        <f aca="false">SUM(T$4:T$503)/COUNTA(A$4:A$503)</f>
        <v>826.1999</v>
      </c>
      <c r="BK338" s="92" t="n">
        <f aca="false">SUM(U$4:U$503)/COUNTA(A$4:A$503)</f>
        <v>844.8002</v>
      </c>
      <c r="BL338" s="92" t="n">
        <f aca="false">SUM(V$4:V$503)/COUNTA(A$4:A$503)</f>
        <v>865.7998</v>
      </c>
      <c r="BM338" s="92" t="n">
        <f aca="false">SUM(W$4:W$503)/COUNTA(A$4:A$503)</f>
        <v>888.59982</v>
      </c>
      <c r="BN338" s="93" t="n">
        <f aca="false">SUM(X$4:X$503)/COUNTA(A$4:A$503)</f>
        <v>918.60034</v>
      </c>
      <c r="BO338" s="94" t="s">
        <v>20</v>
      </c>
      <c r="BP338" s="91" t="n">
        <f aca="false">IF(Z338&gt;=BB338,0,IFERROR(BB338+(SUMPRODUCT((Z$4:Z$503&gt;=BB$4:BB$503)*(Z$4:Z$503-BB$4:BB$503))/MAX(1,COUNTIF(Z$4:Z$503,"&lt;"&amp;BB338+0.01))),BB338))</f>
        <v>10695.5432177778</v>
      </c>
      <c r="BQ338" s="92" t="n">
        <f aca="false">IF(AA338&gt;=BC338,0,IFERROR(BC338+SUMPRODUCT((AA$4:AA$503&gt;=BC$4:BC$503)*(AA$4:AA$503-BC$4:BC$503))/MAX(1,COUNTIF(AA$4:AA$503,"&lt;"&amp;BC338+0.01)),BC338))</f>
        <v>2238.46589176471</v>
      </c>
      <c r="BR338" s="92" t="n">
        <f aca="false">IF(AB338&gt;=BD338,0,IFERROR(BD338+SUMPRODUCT((AB$4:AB$503&gt;=BD$4:BD$503)*(AB$4:AB$503-BD$4:BD$503))/MAX(1,COUNTIF(AB$4:AB$503,"&lt;"&amp;BD338+0.01)),BD338))</f>
        <v>3335.2938</v>
      </c>
      <c r="BS338" s="92" t="n">
        <f aca="false">IF(AC338&gt;=BE338,0,IFERROR(BE338+SUMPRODUCT((AC$4:AC$503&gt;=BE$4:BE$503)*(AC$4:AC$503-BE$4:BE$503))/MAX(1,COUNTIF(AC$4:AC$503,"&lt;"&amp;BE338+0.01)),BE338))</f>
        <v>6188.73352</v>
      </c>
      <c r="BT338" s="92" t="n">
        <f aca="false">IF(AD338&gt;=BF338,0,IFERROR(BF338+SUMPRODUCT((AD$4:AD$503&gt;=BF$4:BF$503)*(AD$4:AD$503-BF$4:BF$503))/MAX(1,COUNTIF(AD$4:AD$503,"&lt;"&amp;BF338+0.01)),BF338))</f>
        <v>11354.35411</v>
      </c>
      <c r="BU338" s="92" t="n">
        <f aca="false">IF(AE338&gt;=BG338,0,IFERROR(BG338+SUMPRODUCT((AE$4:AE$503&gt;=BG$4:BG$503)*(AE$4:AE$503-BG$4:BG$503))/MAX(1,COUNTIF(AE$4:AE$503,"&lt;"&amp;BG338+0.01)),BG338))</f>
        <v>7704.85920380952</v>
      </c>
      <c r="BV338" s="92" t="n">
        <f aca="false">IF(AF338&gt;=BH338,0,IFERROR(BH338+SUMPRODUCT((AF$4:AF$503&gt;=BH$4:BH$503)*(AF$4:AF$503-BH$4:BH$503))/MAX(1,COUNTIF(AF$4:AF$503,"&lt;"&amp;BH338+0.01)),BH338))</f>
        <v>9942.6503831579</v>
      </c>
      <c r="BW338" s="92" t="n">
        <f aca="false">IF(AG338&gt;=BI338,0,IFERROR(BI338+SUMPRODUCT((AG$4:AG$503&gt;=BI$4:BI$503)*(AG$4:AG$503-BI$4:BI$503))/MAX(1,COUNTIF(AG$4:AG$503,"&lt;"&amp;BI338+0.01)),BI338))</f>
        <v>9142.15870461538</v>
      </c>
      <c r="BX338" s="92" t="n">
        <f aca="false">IF(AH338&gt;=BJ338,0,IFERROR(BJ338+SUMPRODUCT((AH$4:AH$503&gt;=BJ$4:BJ$503)*(AH$4:AH$503-BJ$4:BJ$503))/MAX(1,COUNTIF(AH$4:AH$503,"&lt;"&amp;BJ338+0.01)),BJ338))</f>
        <v>0</v>
      </c>
      <c r="BY338" s="92" t="n">
        <f aca="false">IF(AI338&gt;=BK338,0,IFERROR(BK338+SUMPRODUCT((AI$4:AI$503&gt;=BK$4:BK$503)*(AI$4:AI$503-BK$4:BK$503))/MAX(1,COUNTIF(AI$4:AI$503,"&lt;"&amp;BK338+0.01)),BK338))</f>
        <v>7878.25652380952</v>
      </c>
      <c r="BZ338" s="92" t="n">
        <f aca="false">IF(AJ338&gt;=BL338,0,IFERROR(BL338+SUMPRODUCT((AJ$4:AJ$503&gt;=BL$4:BL$503)*(AJ$4:AJ$503-BL$4:BL$503))/MAX(1,COUNTIF(AJ$4:AJ$503,"&lt;"&amp;BL338+0.01)),BL338))</f>
        <v>6710.03292307692</v>
      </c>
      <c r="CA338" s="92" t="n">
        <f aca="false">IF(AK338&gt;=BM338,0,IFERROR(BM338+SUMPRODUCT((AK$4:AK$503&gt;=BM$4:BM$503)*(AK$4:AK$503-BM$4:BM$503))/MAX(1,COUNTIF(AK$4:AK$503,"&lt;"&amp;BM338+0.01)),BM338))</f>
        <v>7314.89836842105</v>
      </c>
      <c r="CB338" s="93" t="n">
        <f aca="false">IF(AL338&gt;=BN338,0,IFERROR(BN338+SUMPRODUCT((AL$4:AL$503&gt;=BN$4:BN$503)*(AL$4:AL$503-BN$4:BN$503))/MAX(1,COUNTIF(AL$4:AL$503,"&lt;"&amp;BN338+0.01)),BN338))</f>
        <v>3597.2614925</v>
      </c>
      <c r="CC338" s="95" t="str">
        <f aca="false">IF(AO338="🟢","VERDE",IF(AO338="🟡","AMARELO",IF(AO338="🟠","VERMELHO",IF(AO338="🔴","VERMELHO","ROXO"))))</f>
        <v>VERMELHO</v>
      </c>
      <c r="CD338" s="96" t="s">
        <v>103</v>
      </c>
      <c r="CE338" s="96" t="s">
        <v>104</v>
      </c>
    </row>
    <row r="339" customFormat="false" ht="14.25" hidden="false" customHeight="true" outlineLevel="0" collapsed="false">
      <c r="A339" s="65" t="s">
        <v>810</v>
      </c>
      <c r="B339" s="66" t="s">
        <v>811</v>
      </c>
      <c r="C339" s="67" t="s">
        <v>113</v>
      </c>
      <c r="D339" s="68" t="s">
        <v>100</v>
      </c>
      <c r="E339" s="69" t="s">
        <v>114</v>
      </c>
      <c r="F339" s="70" t="n">
        <f aca="false">IFERROR(VLOOKUP(C339,$AS$3:$AT$10,2,FALSE()),IFERROR(VLOOKUP(C339,$AS$15:$AT$22,2,FALSE()),""))</f>
        <v>49</v>
      </c>
      <c r="G339" s="71" t="n">
        <f aca="false">IFERROR(VLOOKUP(C339,$AS$3:$AX$10,6,FALSE()),IFERROR(VLOOKUP(C339,$AS$15:$AX$22,6,FALSE()),""))</f>
        <v>0.463965086137302</v>
      </c>
      <c r="H339" s="72" t="str">
        <f aca="false">IFERROR(VLOOKUP(C339,$AS$3:$AY$10,7,FALSE()),IFERROR(VLOOKUP(C339,$AS$15:$AY$22,7,FALSE()),""))</f>
        <v>🟡 AMARELO</v>
      </c>
      <c r="I339" s="72" t="str">
        <f aca="false">IFERROR(VLOOKUP(C339,$AS$3:$AZ$10,8,FALSE()),IFERROR(VLOOKUP(C339,$AS$15:$AZ$22,8,FALSE()),""))</f>
        <v>Sell Out</v>
      </c>
      <c r="J339" s="73"/>
      <c r="K339" s="69" t="s">
        <v>113</v>
      </c>
      <c r="L339" s="74" t="n">
        <v>2957.23</v>
      </c>
      <c r="M339" s="75" t="n">
        <v>207.81</v>
      </c>
      <c r="N339" s="75" t="n">
        <v>217.16</v>
      </c>
      <c r="O339" s="75" t="n">
        <v>222.39</v>
      </c>
      <c r="P339" s="75" t="n">
        <v>228.18</v>
      </c>
      <c r="Q339" s="75" t="n">
        <v>235.66</v>
      </c>
      <c r="R339" s="75" t="n">
        <v>241.83</v>
      </c>
      <c r="S339" s="75" t="n">
        <v>251.17</v>
      </c>
      <c r="T339" s="75" t="n">
        <v>257.34</v>
      </c>
      <c r="U339" s="75" t="n">
        <v>263.13</v>
      </c>
      <c r="V339" s="75" t="n">
        <v>269.67</v>
      </c>
      <c r="W339" s="75" t="n">
        <v>276.77</v>
      </c>
      <c r="X339" s="76" t="n">
        <v>286.12</v>
      </c>
      <c r="Y339" s="77" t="s">
        <v>20</v>
      </c>
      <c r="Z339" s="78" t="n">
        <f aca="false">SUM(AA339:AL339)</f>
        <v>3110.82</v>
      </c>
      <c r="AA339" s="75"/>
      <c r="AB339" s="75"/>
      <c r="AC339" s="75"/>
      <c r="AD339" s="75"/>
      <c r="AE339" s="75"/>
      <c r="AF339" s="75"/>
      <c r="AG339" s="79" t="n">
        <v>1365.3</v>
      </c>
      <c r="AH339" s="79" t="n">
        <v>1745.52</v>
      </c>
      <c r="AI339" s="75"/>
      <c r="AJ339" s="75"/>
      <c r="AK339" s="75"/>
      <c r="AL339" s="76"/>
      <c r="AM339" s="56" t="s">
        <v>20</v>
      </c>
      <c r="AN339" s="80" t="n">
        <f aca="false">IF(L339=0,0,Z339/L339)</f>
        <v>1.05193711682892</v>
      </c>
      <c r="AO339" s="81" t="str">
        <f aca="false">IF(AN339="","",IF(AN339&gt;=0.9,"🟢",IF(AN339&gt;=0.7,"🟡",IF(AN339&gt;=0.5,"🟠","🔴"))))</f>
        <v>🟢</v>
      </c>
      <c r="AP339" s="82" t="n">
        <f aca="false">IF(L339=0,0,L339-Z339)</f>
        <v>-153.59</v>
      </c>
      <c r="AQ339" s="83" t="n">
        <f aca="false">IF(AP339=0,"",RANK(AP339,AP$4:AP$503,0))</f>
        <v>489</v>
      </c>
      <c r="AR339" s="84" t="s">
        <v>20</v>
      </c>
      <c r="AS339" s="141"/>
      <c r="AT339" s="141"/>
      <c r="AU339" s="141"/>
      <c r="AV339" s="141"/>
      <c r="AW339" s="141"/>
      <c r="AX339" s="141"/>
      <c r="AY339" s="142"/>
      <c r="AZ339" s="142"/>
      <c r="BA339" s="56" t="s">
        <v>20</v>
      </c>
      <c r="BB339" s="91" t="n">
        <f aca="false">SUM(L$4:L$503)/COUNTA(A$4:A$503)</f>
        <v>9494.39992</v>
      </c>
      <c r="BC339" s="92" t="n">
        <f aca="false">SUM(M$4:M$503)/COUNTA(A$4:A$503)</f>
        <v>667.20008</v>
      </c>
      <c r="BD339" s="92" t="n">
        <f aca="false">SUM(N$4:N$503)/COUNTA(A$4:A$503)</f>
        <v>697.19996</v>
      </c>
      <c r="BE339" s="92" t="n">
        <f aca="false">SUM(O$4:O$503)/COUNTA(A$4:A$503)</f>
        <v>713.9999</v>
      </c>
      <c r="BF339" s="92" t="n">
        <f aca="false">SUM(P$4:P$503)/COUNTA(A$4:A$503)</f>
        <v>732.59984</v>
      </c>
      <c r="BG339" s="92" t="n">
        <f aca="false">SUM(Q$4:Q$503)/COUNTA(A$4:A$503)</f>
        <v>756.59992</v>
      </c>
      <c r="BH339" s="92" t="n">
        <f aca="false">SUM(R$4:R$503)/COUNTA(A$4:A$503)</f>
        <v>776.40004</v>
      </c>
      <c r="BI339" s="92" t="n">
        <f aca="false">SUM(S$4:S$503)/COUNTA(A$4:A$503)</f>
        <v>806.40012</v>
      </c>
      <c r="BJ339" s="92" t="n">
        <f aca="false">SUM(T$4:T$503)/COUNTA(A$4:A$503)</f>
        <v>826.1999</v>
      </c>
      <c r="BK339" s="92" t="n">
        <f aca="false">SUM(U$4:U$503)/COUNTA(A$4:A$503)</f>
        <v>844.8002</v>
      </c>
      <c r="BL339" s="92" t="n">
        <f aca="false">SUM(V$4:V$503)/COUNTA(A$4:A$503)</f>
        <v>865.7998</v>
      </c>
      <c r="BM339" s="92" t="n">
        <f aca="false">SUM(W$4:W$503)/COUNTA(A$4:A$503)</f>
        <v>888.59982</v>
      </c>
      <c r="BN339" s="93" t="n">
        <f aca="false">SUM(X$4:X$503)/COUNTA(A$4:A$503)</f>
        <v>918.60034</v>
      </c>
      <c r="BO339" s="94" t="s">
        <v>20</v>
      </c>
      <c r="BP339" s="91" t="n">
        <f aca="false">IF(Z339&gt;=BB339,0,IFERROR(BB339+(SUMPRODUCT((Z$4:Z$503&gt;=BB$4:BB$503)*(Z$4:Z$503-BB$4:BB$503))/MAX(1,COUNTIF(Z$4:Z$503,"&lt;"&amp;BB339+0.01))),BB339))</f>
        <v>10695.5432177778</v>
      </c>
      <c r="BQ339" s="92" t="n">
        <f aca="false">IF(AA339&gt;=BC339,0,IFERROR(BC339+SUMPRODUCT((AA$4:AA$503&gt;=BC$4:BC$503)*(AA$4:AA$503-BC$4:BC$503))/MAX(1,COUNTIF(AA$4:AA$503,"&lt;"&amp;BC339+0.01)),BC339))</f>
        <v>2238.46589176471</v>
      </c>
      <c r="BR339" s="92" t="n">
        <f aca="false">IF(AB339&gt;=BD339,0,IFERROR(BD339+SUMPRODUCT((AB$4:AB$503&gt;=BD$4:BD$503)*(AB$4:AB$503-BD$4:BD$503))/MAX(1,COUNTIF(AB$4:AB$503,"&lt;"&amp;BD339+0.01)),BD339))</f>
        <v>3335.2938</v>
      </c>
      <c r="BS339" s="92" t="n">
        <f aca="false">IF(AC339&gt;=BE339,0,IFERROR(BE339+SUMPRODUCT((AC$4:AC$503&gt;=BE$4:BE$503)*(AC$4:AC$503-BE$4:BE$503))/MAX(1,COUNTIF(AC$4:AC$503,"&lt;"&amp;BE339+0.01)),BE339))</f>
        <v>6188.73352</v>
      </c>
      <c r="BT339" s="92" t="n">
        <f aca="false">IF(AD339&gt;=BF339,0,IFERROR(BF339+SUMPRODUCT((AD$4:AD$503&gt;=BF$4:BF$503)*(AD$4:AD$503-BF$4:BF$503))/MAX(1,COUNTIF(AD$4:AD$503,"&lt;"&amp;BF339+0.01)),BF339))</f>
        <v>11354.35411</v>
      </c>
      <c r="BU339" s="92" t="n">
        <f aca="false">IF(AE339&gt;=BG339,0,IFERROR(BG339+SUMPRODUCT((AE$4:AE$503&gt;=BG$4:BG$503)*(AE$4:AE$503-BG$4:BG$503))/MAX(1,COUNTIF(AE$4:AE$503,"&lt;"&amp;BG339+0.01)),BG339))</f>
        <v>7704.85920380952</v>
      </c>
      <c r="BV339" s="92" t="n">
        <f aca="false">IF(AF339&gt;=BH339,0,IFERROR(BH339+SUMPRODUCT((AF$4:AF$503&gt;=BH$4:BH$503)*(AF$4:AF$503-BH$4:BH$503))/MAX(1,COUNTIF(AF$4:AF$503,"&lt;"&amp;BH339+0.01)),BH339))</f>
        <v>9942.6503831579</v>
      </c>
      <c r="BW339" s="92" t="n">
        <f aca="false">IF(AG339&gt;=BI339,0,IFERROR(BI339+SUMPRODUCT((AG$4:AG$503&gt;=BI$4:BI$503)*(AG$4:AG$503-BI$4:BI$503))/MAX(1,COUNTIF(AG$4:AG$503,"&lt;"&amp;BI339+0.01)),BI339))</f>
        <v>0</v>
      </c>
      <c r="BX339" s="92" t="n">
        <f aca="false">IF(AH339&gt;=BJ339,0,IFERROR(BJ339+SUMPRODUCT((AH$4:AH$503&gt;=BJ$4:BJ$503)*(AH$4:AH$503-BJ$4:BJ$503))/MAX(1,COUNTIF(AH$4:AH$503,"&lt;"&amp;BJ339+0.01)),BJ339))</f>
        <v>0</v>
      </c>
      <c r="BY339" s="92" t="n">
        <f aca="false">IF(AI339&gt;=BK339,0,IFERROR(BK339+SUMPRODUCT((AI$4:AI$503&gt;=BK$4:BK$503)*(AI$4:AI$503-BK$4:BK$503))/MAX(1,COUNTIF(AI$4:AI$503,"&lt;"&amp;BK339+0.01)),BK339))</f>
        <v>7878.25652380952</v>
      </c>
      <c r="BZ339" s="92" t="n">
        <f aca="false">IF(AJ339&gt;=BL339,0,IFERROR(BL339+SUMPRODUCT((AJ$4:AJ$503&gt;=BL$4:BL$503)*(AJ$4:AJ$503-BL$4:BL$503))/MAX(1,COUNTIF(AJ$4:AJ$503,"&lt;"&amp;BL339+0.01)),BL339))</f>
        <v>6710.03292307692</v>
      </c>
      <c r="CA339" s="92" t="n">
        <f aca="false">IF(AK339&gt;=BM339,0,IFERROR(BM339+SUMPRODUCT((AK$4:AK$503&gt;=BM$4:BM$503)*(AK$4:AK$503-BM$4:BM$503))/MAX(1,COUNTIF(AK$4:AK$503,"&lt;"&amp;BM339+0.01)),BM339))</f>
        <v>7314.89836842105</v>
      </c>
      <c r="CB339" s="93" t="n">
        <f aca="false">IF(AL339&gt;=BN339,0,IFERROR(BN339+SUMPRODUCT((AL$4:AL$503&gt;=BN$4:BN$503)*(AL$4:AL$503-BN$4:BN$503))/MAX(1,COUNTIF(AL$4:AL$503,"&lt;"&amp;BN339+0.01)),BN339))</f>
        <v>3597.2614925</v>
      </c>
      <c r="CC339" s="95" t="str">
        <f aca="false">IF(AO339="🟢","VERDE",IF(AO339="🟡","AMARELO",IF(AO339="🟠","VERMELHO",IF(AO339="🔴","VERMELHO","ROXO"))))</f>
        <v>VERDE</v>
      </c>
      <c r="CD339" s="96" t="s">
        <v>103</v>
      </c>
      <c r="CE339" s="96" t="s">
        <v>104</v>
      </c>
    </row>
    <row r="340" customFormat="false" ht="14.25" hidden="false" customHeight="true" outlineLevel="0" collapsed="false">
      <c r="A340" s="65" t="s">
        <v>812</v>
      </c>
      <c r="B340" s="66" t="s">
        <v>813</v>
      </c>
      <c r="C340" s="67" t="s">
        <v>113</v>
      </c>
      <c r="D340" s="68" t="s">
        <v>100</v>
      </c>
      <c r="E340" s="69" t="s">
        <v>260</v>
      </c>
      <c r="F340" s="70" t="n">
        <f aca="false">IFERROR(VLOOKUP(C340,$AS$3:$AT$10,2,FALSE()),IFERROR(VLOOKUP(C340,$AS$15:$AT$22,2,FALSE()),""))</f>
        <v>49</v>
      </c>
      <c r="G340" s="71" t="n">
        <f aca="false">IFERROR(VLOOKUP(C340,$AS$3:$AX$10,6,FALSE()),IFERROR(VLOOKUP(C340,$AS$15:$AX$22,6,FALSE()),""))</f>
        <v>0.463965086137302</v>
      </c>
      <c r="H340" s="72" t="str">
        <f aca="false">IFERROR(VLOOKUP(C340,$AS$3:$AY$10,7,FALSE()),IFERROR(VLOOKUP(C340,$AS$15:$AY$22,7,FALSE()),""))</f>
        <v>🟡 AMARELO</v>
      </c>
      <c r="I340" s="72" t="str">
        <f aca="false">IFERROR(VLOOKUP(C340,$AS$3:$AZ$10,8,FALSE()),IFERROR(VLOOKUP(C340,$AS$15:$AZ$22,8,FALSE()),""))</f>
        <v>Sell Out</v>
      </c>
      <c r="J340" s="73"/>
      <c r="K340" s="69" t="s">
        <v>113</v>
      </c>
      <c r="L340" s="74" t="n">
        <v>2949.36</v>
      </c>
      <c r="M340" s="75" t="n">
        <v>207.26</v>
      </c>
      <c r="N340" s="75" t="n">
        <v>216.58</v>
      </c>
      <c r="O340" s="75" t="n">
        <v>221.8</v>
      </c>
      <c r="P340" s="75" t="n">
        <v>227.58</v>
      </c>
      <c r="Q340" s="75" t="n">
        <v>235.03</v>
      </c>
      <c r="R340" s="75" t="n">
        <v>241.18</v>
      </c>
      <c r="S340" s="75" t="n">
        <v>250.5</v>
      </c>
      <c r="T340" s="75" t="n">
        <v>256.65</v>
      </c>
      <c r="U340" s="75" t="n">
        <v>262.43</v>
      </c>
      <c r="V340" s="75" t="n">
        <v>268.95</v>
      </c>
      <c r="W340" s="75" t="n">
        <v>276.04</v>
      </c>
      <c r="X340" s="76" t="n">
        <v>285.36</v>
      </c>
      <c r="Y340" s="77" t="s">
        <v>20</v>
      </c>
      <c r="Z340" s="78" t="n">
        <f aca="false">SUM(AA340:AL340)</f>
        <v>1220.58</v>
      </c>
      <c r="AA340" s="75"/>
      <c r="AB340" s="75"/>
      <c r="AC340" s="75"/>
      <c r="AD340" s="75"/>
      <c r="AE340" s="75"/>
      <c r="AF340" s="75"/>
      <c r="AG340" s="75"/>
      <c r="AH340" s="75"/>
      <c r="AI340" s="79" t="n">
        <v>655.21</v>
      </c>
      <c r="AJ340" s="79" t="n">
        <v>565.37</v>
      </c>
      <c r="AK340" s="75"/>
      <c r="AL340" s="76"/>
      <c r="AM340" s="56" t="s">
        <v>20</v>
      </c>
      <c r="AN340" s="80" t="n">
        <f aca="false">IF(L340=0,0,Z340/L340)</f>
        <v>0.41384571568069</v>
      </c>
      <c r="AO340" s="81" t="str">
        <f aca="false">IF(AN340="","",IF(AN340&gt;=0.9,"🟢",IF(AN340&gt;=0.7,"🟡",IF(AN340&gt;=0.5,"🟠","🔴"))))</f>
        <v>🔴</v>
      </c>
      <c r="AP340" s="82" t="n">
        <f aca="false">IF(L340=0,0,L340-Z340)</f>
        <v>1728.78</v>
      </c>
      <c r="AQ340" s="83" t="n">
        <f aca="false">IF(AP340=0,"",RANK(AP340,AP$4:AP$503,0))</f>
        <v>305</v>
      </c>
      <c r="AR340" s="84" t="s">
        <v>20</v>
      </c>
      <c r="AS340" s="141"/>
      <c r="AT340" s="141"/>
      <c r="AU340" s="141"/>
      <c r="AV340" s="141"/>
      <c r="AW340" s="141"/>
      <c r="AX340" s="141"/>
      <c r="AY340" s="142"/>
      <c r="AZ340" s="142"/>
      <c r="BA340" s="56" t="s">
        <v>20</v>
      </c>
      <c r="BB340" s="91" t="n">
        <f aca="false">SUM(L$4:L$503)/COUNTA(A$4:A$503)</f>
        <v>9494.39992</v>
      </c>
      <c r="BC340" s="92" t="n">
        <f aca="false">SUM(M$4:M$503)/COUNTA(A$4:A$503)</f>
        <v>667.20008</v>
      </c>
      <c r="BD340" s="92" t="n">
        <f aca="false">SUM(N$4:N$503)/COUNTA(A$4:A$503)</f>
        <v>697.19996</v>
      </c>
      <c r="BE340" s="92" t="n">
        <f aca="false">SUM(O$4:O$503)/COUNTA(A$4:A$503)</f>
        <v>713.9999</v>
      </c>
      <c r="BF340" s="92" t="n">
        <f aca="false">SUM(P$4:P$503)/COUNTA(A$4:A$503)</f>
        <v>732.59984</v>
      </c>
      <c r="BG340" s="92" t="n">
        <f aca="false">SUM(Q$4:Q$503)/COUNTA(A$4:A$503)</f>
        <v>756.59992</v>
      </c>
      <c r="BH340" s="92" t="n">
        <f aca="false">SUM(R$4:R$503)/COUNTA(A$4:A$503)</f>
        <v>776.40004</v>
      </c>
      <c r="BI340" s="92" t="n">
        <f aca="false">SUM(S$4:S$503)/COUNTA(A$4:A$503)</f>
        <v>806.40012</v>
      </c>
      <c r="BJ340" s="92" t="n">
        <f aca="false">SUM(T$4:T$503)/COUNTA(A$4:A$503)</f>
        <v>826.1999</v>
      </c>
      <c r="BK340" s="92" t="n">
        <f aca="false">SUM(U$4:U$503)/COUNTA(A$4:A$503)</f>
        <v>844.8002</v>
      </c>
      <c r="BL340" s="92" t="n">
        <f aca="false">SUM(V$4:V$503)/COUNTA(A$4:A$503)</f>
        <v>865.7998</v>
      </c>
      <c r="BM340" s="92" t="n">
        <f aca="false">SUM(W$4:W$503)/COUNTA(A$4:A$503)</f>
        <v>888.59982</v>
      </c>
      <c r="BN340" s="93" t="n">
        <f aca="false">SUM(X$4:X$503)/COUNTA(A$4:A$503)</f>
        <v>918.60034</v>
      </c>
      <c r="BO340" s="94" t="s">
        <v>20</v>
      </c>
      <c r="BP340" s="91" t="n">
        <f aca="false">IF(Z340&gt;=BB340,0,IFERROR(BB340+(SUMPRODUCT((Z$4:Z$503&gt;=BB$4:BB$503)*(Z$4:Z$503-BB$4:BB$503))/MAX(1,COUNTIF(Z$4:Z$503,"&lt;"&amp;BB340+0.01))),BB340))</f>
        <v>10695.5432177778</v>
      </c>
      <c r="BQ340" s="92" t="n">
        <f aca="false">IF(AA340&gt;=BC340,0,IFERROR(BC340+SUMPRODUCT((AA$4:AA$503&gt;=BC$4:BC$503)*(AA$4:AA$503-BC$4:BC$503))/MAX(1,COUNTIF(AA$4:AA$503,"&lt;"&amp;BC340+0.01)),BC340))</f>
        <v>2238.46589176471</v>
      </c>
      <c r="BR340" s="92" t="n">
        <f aca="false">IF(AB340&gt;=BD340,0,IFERROR(BD340+SUMPRODUCT((AB$4:AB$503&gt;=BD$4:BD$503)*(AB$4:AB$503-BD$4:BD$503))/MAX(1,COUNTIF(AB$4:AB$503,"&lt;"&amp;BD340+0.01)),BD340))</f>
        <v>3335.2938</v>
      </c>
      <c r="BS340" s="92" t="n">
        <f aca="false">IF(AC340&gt;=BE340,0,IFERROR(BE340+SUMPRODUCT((AC$4:AC$503&gt;=BE$4:BE$503)*(AC$4:AC$503-BE$4:BE$503))/MAX(1,COUNTIF(AC$4:AC$503,"&lt;"&amp;BE340+0.01)),BE340))</f>
        <v>6188.73352</v>
      </c>
      <c r="BT340" s="92" t="n">
        <f aca="false">IF(AD340&gt;=BF340,0,IFERROR(BF340+SUMPRODUCT((AD$4:AD$503&gt;=BF$4:BF$503)*(AD$4:AD$503-BF$4:BF$503))/MAX(1,COUNTIF(AD$4:AD$503,"&lt;"&amp;BF340+0.01)),BF340))</f>
        <v>11354.35411</v>
      </c>
      <c r="BU340" s="92" t="n">
        <f aca="false">IF(AE340&gt;=BG340,0,IFERROR(BG340+SUMPRODUCT((AE$4:AE$503&gt;=BG$4:BG$503)*(AE$4:AE$503-BG$4:BG$503))/MAX(1,COUNTIF(AE$4:AE$503,"&lt;"&amp;BG340+0.01)),BG340))</f>
        <v>7704.85920380952</v>
      </c>
      <c r="BV340" s="92" t="n">
        <f aca="false">IF(AF340&gt;=BH340,0,IFERROR(BH340+SUMPRODUCT((AF$4:AF$503&gt;=BH$4:BH$503)*(AF$4:AF$503-BH$4:BH$503))/MAX(1,COUNTIF(AF$4:AF$503,"&lt;"&amp;BH340+0.01)),BH340))</f>
        <v>9942.6503831579</v>
      </c>
      <c r="BW340" s="92" t="n">
        <f aca="false">IF(AG340&gt;=BI340,0,IFERROR(BI340+SUMPRODUCT((AG$4:AG$503&gt;=BI$4:BI$503)*(AG$4:AG$503-BI$4:BI$503))/MAX(1,COUNTIF(AG$4:AG$503,"&lt;"&amp;BI340+0.01)),BI340))</f>
        <v>9142.15870461538</v>
      </c>
      <c r="BX340" s="92" t="n">
        <f aca="false">IF(AH340&gt;=BJ340,0,IFERROR(BJ340+SUMPRODUCT((AH$4:AH$503&gt;=BJ$4:BJ$503)*(AH$4:AH$503-BJ$4:BJ$503))/MAX(1,COUNTIF(AH$4:AH$503,"&lt;"&amp;BJ340+0.01)),BJ340))</f>
        <v>5621.50263448276</v>
      </c>
      <c r="BY340" s="92" t="n">
        <f aca="false">IF(AI340&gt;=BK340,0,IFERROR(BK340+SUMPRODUCT((AI$4:AI$503&gt;=BK$4:BK$503)*(AI$4:AI$503-BK$4:BK$503))/MAX(1,COUNTIF(AI$4:AI$503,"&lt;"&amp;BK340+0.01)),BK340))</f>
        <v>7878.25652380952</v>
      </c>
      <c r="BZ340" s="92" t="n">
        <f aca="false">IF(AJ340&gt;=BL340,0,IFERROR(BL340+SUMPRODUCT((AJ$4:AJ$503&gt;=BL$4:BL$503)*(AJ$4:AJ$503-BL$4:BL$503))/MAX(1,COUNTIF(AJ$4:AJ$503,"&lt;"&amp;BL340+0.01)),BL340))</f>
        <v>6710.03292307692</v>
      </c>
      <c r="CA340" s="92" t="n">
        <f aca="false">IF(AK340&gt;=BM340,0,IFERROR(BM340+SUMPRODUCT((AK$4:AK$503&gt;=BM$4:BM$503)*(AK$4:AK$503-BM$4:BM$503))/MAX(1,COUNTIF(AK$4:AK$503,"&lt;"&amp;BM340+0.01)),BM340))</f>
        <v>7314.89836842105</v>
      </c>
      <c r="CB340" s="93" t="n">
        <f aca="false">IF(AL340&gt;=BN340,0,IFERROR(BN340+SUMPRODUCT((AL$4:AL$503&gt;=BN$4:BN$503)*(AL$4:AL$503-BN$4:BN$503))/MAX(1,COUNTIF(AL$4:AL$503,"&lt;"&amp;BN340+0.01)),BN340))</f>
        <v>3597.2614925</v>
      </c>
      <c r="CC340" s="95" t="str">
        <f aca="false">IF(AO340="🟢","VERDE",IF(AO340="🟡","AMARELO",IF(AO340="🟠","VERMELHO",IF(AO340="🔴","VERMELHO","ROXO"))))</f>
        <v>VERMELHO</v>
      </c>
      <c r="CD340" s="96" t="s">
        <v>103</v>
      </c>
      <c r="CE340" s="96" t="s">
        <v>104</v>
      </c>
    </row>
    <row r="341" customFormat="false" ht="14.25" hidden="false" customHeight="true" outlineLevel="0" collapsed="false">
      <c r="A341" s="65" t="s">
        <v>814</v>
      </c>
      <c r="B341" s="66" t="s">
        <v>815</v>
      </c>
      <c r="C341" s="66" t="s">
        <v>110</v>
      </c>
      <c r="D341" s="68" t="s">
        <v>184</v>
      </c>
      <c r="E341" s="69" t="s">
        <v>139</v>
      </c>
      <c r="F341" s="70" t="n">
        <f aca="false">IFERROR(VLOOKUP(C341,$AS$3:$AT$10,2,FALSE()),IFERROR(VLOOKUP(C341,$AS$15:$AT$22,2,FALSE()),""))</f>
        <v>15</v>
      </c>
      <c r="G341" s="71" t="n">
        <f aca="false">IFERROR(VLOOKUP(C341,$AS$3:$AX$10,6,FALSE()),IFERROR(VLOOKUP(C341,$AS$15:$AX$22,6,FALSE()),""))</f>
        <v>0.621111876107332</v>
      </c>
      <c r="H341" s="72" t="str">
        <f aca="false">IFERROR(VLOOKUP(C341,$AS$3:$AY$10,7,FALSE()),IFERROR(VLOOKUP(C341,$AS$15:$AY$22,7,FALSE()),""))</f>
        <v>🟢 VERDE</v>
      </c>
      <c r="I341" s="72" t="str">
        <f aca="false">IFERROR(VLOOKUP(C341,$AS$3:$AZ$10,8,FALSE()),IFERROR(VLOOKUP(C341,$AS$15:$AZ$22,8,FALSE()),""))</f>
        <v>JBP</v>
      </c>
      <c r="J341" s="73"/>
      <c r="K341" s="69" t="s">
        <v>107</v>
      </c>
      <c r="L341" s="74" t="n">
        <v>2944.51</v>
      </c>
      <c r="M341" s="75" t="n">
        <v>206.92</v>
      </c>
      <c r="N341" s="75" t="n">
        <v>216.22</v>
      </c>
      <c r="O341" s="75" t="n">
        <v>221.43</v>
      </c>
      <c r="P341" s="75" t="n">
        <v>227.2</v>
      </c>
      <c r="Q341" s="75" t="n">
        <v>234.65</v>
      </c>
      <c r="R341" s="75" t="n">
        <v>240.79</v>
      </c>
      <c r="S341" s="75" t="n">
        <v>250.09</v>
      </c>
      <c r="T341" s="75" t="n">
        <v>256.23</v>
      </c>
      <c r="U341" s="75" t="n">
        <v>262</v>
      </c>
      <c r="V341" s="75" t="n">
        <v>268.51</v>
      </c>
      <c r="W341" s="75" t="n">
        <v>275.58</v>
      </c>
      <c r="X341" s="76" t="n">
        <v>284.89</v>
      </c>
      <c r="Y341" s="77" t="s">
        <v>20</v>
      </c>
      <c r="Z341" s="78" t="n">
        <f aca="false">SUM(AA341:AL341)</f>
        <v>1204.22</v>
      </c>
      <c r="AA341" s="75"/>
      <c r="AB341" s="75"/>
      <c r="AC341" s="75"/>
      <c r="AD341" s="75"/>
      <c r="AE341" s="75"/>
      <c r="AF341" s="75"/>
      <c r="AG341" s="75"/>
      <c r="AH341" s="75"/>
      <c r="AI341" s="79" t="n">
        <v>1204.22</v>
      </c>
      <c r="AJ341" s="75"/>
      <c r="AK341" s="75"/>
      <c r="AL341" s="76"/>
      <c r="AM341" s="56" t="s">
        <v>20</v>
      </c>
      <c r="AN341" s="80" t="n">
        <f aca="false">IF(L341=0,0,Z341/L341)</f>
        <v>0.40897127196036</v>
      </c>
      <c r="AO341" s="81" t="str">
        <f aca="false">IF(AN341="","",IF(AN341&gt;=0.9,"🟢",IF(AN341&gt;=0.7,"🟡",IF(AN341&gt;=0.5,"🟠","🔴"))))</f>
        <v>🔴</v>
      </c>
      <c r="AP341" s="82" t="n">
        <f aca="false">IF(L341=0,0,L341-Z341)</f>
        <v>1740.29</v>
      </c>
      <c r="AQ341" s="83" t="n">
        <f aca="false">IF(AP341=0,"",RANK(AP341,AP$4:AP$503,0))</f>
        <v>301</v>
      </c>
      <c r="AR341" s="84" t="s">
        <v>20</v>
      </c>
      <c r="AS341" s="141"/>
      <c r="AT341" s="141"/>
      <c r="AU341" s="141"/>
      <c r="AV341" s="141"/>
      <c r="AW341" s="141"/>
      <c r="AX341" s="141"/>
      <c r="AY341" s="142"/>
      <c r="AZ341" s="142"/>
      <c r="BA341" s="56" t="s">
        <v>20</v>
      </c>
      <c r="BB341" s="91" t="n">
        <f aca="false">SUM(L$4:L$503)/COUNTA(A$4:A$503)</f>
        <v>9494.39992</v>
      </c>
      <c r="BC341" s="92" t="n">
        <f aca="false">SUM(M$4:M$503)/COUNTA(A$4:A$503)</f>
        <v>667.20008</v>
      </c>
      <c r="BD341" s="92" t="n">
        <f aca="false">SUM(N$4:N$503)/COUNTA(A$4:A$503)</f>
        <v>697.19996</v>
      </c>
      <c r="BE341" s="92" t="n">
        <f aca="false">SUM(O$4:O$503)/COUNTA(A$4:A$503)</f>
        <v>713.9999</v>
      </c>
      <c r="BF341" s="92" t="n">
        <f aca="false">SUM(P$4:P$503)/COUNTA(A$4:A$503)</f>
        <v>732.59984</v>
      </c>
      <c r="BG341" s="92" t="n">
        <f aca="false">SUM(Q$4:Q$503)/COUNTA(A$4:A$503)</f>
        <v>756.59992</v>
      </c>
      <c r="BH341" s="92" t="n">
        <f aca="false">SUM(R$4:R$503)/COUNTA(A$4:A$503)</f>
        <v>776.40004</v>
      </c>
      <c r="BI341" s="92" t="n">
        <f aca="false">SUM(S$4:S$503)/COUNTA(A$4:A$503)</f>
        <v>806.40012</v>
      </c>
      <c r="BJ341" s="92" t="n">
        <f aca="false">SUM(T$4:T$503)/COUNTA(A$4:A$503)</f>
        <v>826.1999</v>
      </c>
      <c r="BK341" s="92" t="n">
        <f aca="false">SUM(U$4:U$503)/COUNTA(A$4:A$503)</f>
        <v>844.8002</v>
      </c>
      <c r="BL341" s="92" t="n">
        <f aca="false">SUM(V$4:V$503)/COUNTA(A$4:A$503)</f>
        <v>865.7998</v>
      </c>
      <c r="BM341" s="92" t="n">
        <f aca="false">SUM(W$4:W$503)/COUNTA(A$4:A$503)</f>
        <v>888.59982</v>
      </c>
      <c r="BN341" s="93" t="n">
        <f aca="false">SUM(X$4:X$503)/COUNTA(A$4:A$503)</f>
        <v>918.60034</v>
      </c>
      <c r="BO341" s="94" t="s">
        <v>20</v>
      </c>
      <c r="BP341" s="91" t="n">
        <f aca="false">IF(Z341&gt;=BB341,0,IFERROR(BB341+(SUMPRODUCT((Z$4:Z$503&gt;=BB$4:BB$503)*(Z$4:Z$503-BB$4:BB$503))/MAX(1,COUNTIF(Z$4:Z$503,"&lt;"&amp;BB341+0.01))),BB341))</f>
        <v>10695.5432177778</v>
      </c>
      <c r="BQ341" s="92" t="n">
        <f aca="false">IF(AA341&gt;=BC341,0,IFERROR(BC341+SUMPRODUCT((AA$4:AA$503&gt;=BC$4:BC$503)*(AA$4:AA$503-BC$4:BC$503))/MAX(1,COUNTIF(AA$4:AA$503,"&lt;"&amp;BC341+0.01)),BC341))</f>
        <v>2238.46589176471</v>
      </c>
      <c r="BR341" s="92" t="n">
        <f aca="false">IF(AB341&gt;=BD341,0,IFERROR(BD341+SUMPRODUCT((AB$4:AB$503&gt;=BD$4:BD$503)*(AB$4:AB$503-BD$4:BD$503))/MAX(1,COUNTIF(AB$4:AB$503,"&lt;"&amp;BD341+0.01)),BD341))</f>
        <v>3335.2938</v>
      </c>
      <c r="BS341" s="92" t="n">
        <f aca="false">IF(AC341&gt;=BE341,0,IFERROR(BE341+SUMPRODUCT((AC$4:AC$503&gt;=BE$4:BE$503)*(AC$4:AC$503-BE$4:BE$503))/MAX(1,COUNTIF(AC$4:AC$503,"&lt;"&amp;BE341+0.01)),BE341))</f>
        <v>6188.73352</v>
      </c>
      <c r="BT341" s="92" t="n">
        <f aca="false">IF(AD341&gt;=BF341,0,IFERROR(BF341+SUMPRODUCT((AD$4:AD$503&gt;=BF$4:BF$503)*(AD$4:AD$503-BF$4:BF$503))/MAX(1,COUNTIF(AD$4:AD$503,"&lt;"&amp;BF341+0.01)),BF341))</f>
        <v>11354.35411</v>
      </c>
      <c r="BU341" s="92" t="n">
        <f aca="false">IF(AE341&gt;=BG341,0,IFERROR(BG341+SUMPRODUCT((AE$4:AE$503&gt;=BG$4:BG$503)*(AE$4:AE$503-BG$4:BG$503))/MAX(1,COUNTIF(AE$4:AE$503,"&lt;"&amp;BG341+0.01)),BG341))</f>
        <v>7704.85920380952</v>
      </c>
      <c r="BV341" s="92" t="n">
        <f aca="false">IF(AF341&gt;=BH341,0,IFERROR(BH341+SUMPRODUCT((AF$4:AF$503&gt;=BH$4:BH$503)*(AF$4:AF$503-BH$4:BH$503))/MAX(1,COUNTIF(AF$4:AF$503,"&lt;"&amp;BH341+0.01)),BH341))</f>
        <v>9942.6503831579</v>
      </c>
      <c r="BW341" s="92" t="n">
        <f aca="false">IF(AG341&gt;=BI341,0,IFERROR(BI341+SUMPRODUCT((AG$4:AG$503&gt;=BI$4:BI$503)*(AG$4:AG$503-BI$4:BI$503))/MAX(1,COUNTIF(AG$4:AG$503,"&lt;"&amp;BI341+0.01)),BI341))</f>
        <v>9142.15870461538</v>
      </c>
      <c r="BX341" s="92" t="n">
        <f aca="false">IF(AH341&gt;=BJ341,0,IFERROR(BJ341+SUMPRODUCT((AH$4:AH$503&gt;=BJ$4:BJ$503)*(AH$4:AH$503-BJ$4:BJ$503))/MAX(1,COUNTIF(AH$4:AH$503,"&lt;"&amp;BJ341+0.01)),BJ341))</f>
        <v>5621.50263448276</v>
      </c>
      <c r="BY341" s="92" t="n">
        <f aca="false">IF(AI341&gt;=BK341,0,IFERROR(BK341+SUMPRODUCT((AI$4:AI$503&gt;=BK$4:BK$503)*(AI$4:AI$503-BK$4:BK$503))/MAX(1,COUNTIF(AI$4:AI$503,"&lt;"&amp;BK341+0.01)),BK341))</f>
        <v>0</v>
      </c>
      <c r="BZ341" s="92" t="n">
        <f aca="false">IF(AJ341&gt;=BL341,0,IFERROR(BL341+SUMPRODUCT((AJ$4:AJ$503&gt;=BL$4:BL$503)*(AJ$4:AJ$503-BL$4:BL$503))/MAX(1,COUNTIF(AJ$4:AJ$503,"&lt;"&amp;BL341+0.01)),BL341))</f>
        <v>6710.03292307692</v>
      </c>
      <c r="CA341" s="92" t="n">
        <f aca="false">IF(AK341&gt;=BM341,0,IFERROR(BM341+SUMPRODUCT((AK$4:AK$503&gt;=BM$4:BM$503)*(AK$4:AK$503-BM$4:BM$503))/MAX(1,COUNTIF(AK$4:AK$503,"&lt;"&amp;BM341+0.01)),BM341))</f>
        <v>7314.89836842105</v>
      </c>
      <c r="CB341" s="93" t="n">
        <f aca="false">IF(AL341&gt;=BN341,0,IFERROR(BN341+SUMPRODUCT((AL$4:AL$503&gt;=BN$4:BN$503)*(AL$4:AL$503-BN$4:BN$503))/MAX(1,COUNTIF(AL$4:AL$503,"&lt;"&amp;BN341+0.01)),BN341))</f>
        <v>3597.2614925</v>
      </c>
      <c r="CC341" s="95" t="str">
        <f aca="false">IF(AO341="🟢","VERDE",IF(AO341="🟡","AMARELO",IF(AO341="🟠","VERMELHO",IF(AO341="🔴","VERMELHO","ROXO"))))</f>
        <v>VERMELHO</v>
      </c>
      <c r="CD341" s="96" t="s">
        <v>176</v>
      </c>
      <c r="CE341" s="96" t="s">
        <v>110</v>
      </c>
    </row>
    <row r="342" customFormat="false" ht="14.25" hidden="false" customHeight="true" outlineLevel="0" collapsed="false">
      <c r="A342" s="65" t="s">
        <v>816</v>
      </c>
      <c r="B342" s="66" t="s">
        <v>817</v>
      </c>
      <c r="C342" s="67" t="s">
        <v>107</v>
      </c>
      <c r="D342" s="68" t="s">
        <v>108</v>
      </c>
      <c r="E342" s="69" t="s">
        <v>196</v>
      </c>
      <c r="F342" s="70" t="n">
        <f aca="false">IFERROR(VLOOKUP(C342,$AS$3:$AT$10,2,FALSE()),IFERROR(VLOOKUP(C342,$AS$15:$AT$22,2,FALSE()),""))</f>
        <v>132</v>
      </c>
      <c r="G342" s="71" t="n">
        <f aca="false">IFERROR(VLOOKUP(C342,$AS$3:$AX$10,6,FALSE()),IFERROR(VLOOKUP(C342,$AS$15:$AX$22,6,FALSE()),""))</f>
        <v>0.468190175850689</v>
      </c>
      <c r="H342" s="72" t="str">
        <f aca="false">IFERROR(VLOOKUP(C342,$AS$3:$AY$10,7,FALSE()),IFERROR(VLOOKUP(C342,$AS$15:$AY$22,7,FALSE()),""))</f>
        <v>🟡 AMARELO</v>
      </c>
      <c r="I342" s="72" t="str">
        <f aca="false">IFERROR(VLOOKUP(C342,$AS$3:$AZ$10,8,FALSE()),IFERROR(VLOOKUP(C342,$AS$15:$AZ$22,8,FALSE()),""))</f>
        <v>Sell Out</v>
      </c>
      <c r="J342" s="73"/>
      <c r="K342" s="69" t="s">
        <v>107</v>
      </c>
      <c r="L342" s="74" t="n">
        <v>2943.91</v>
      </c>
      <c r="M342" s="75" t="n">
        <v>206.88</v>
      </c>
      <c r="N342" s="75" t="n">
        <v>216.18</v>
      </c>
      <c r="O342" s="75" t="n">
        <v>221.39</v>
      </c>
      <c r="P342" s="75" t="n">
        <v>227.15</v>
      </c>
      <c r="Q342" s="75" t="n">
        <v>234.6</v>
      </c>
      <c r="R342" s="75" t="n">
        <v>240.74</v>
      </c>
      <c r="S342" s="75" t="n">
        <v>250.04</v>
      </c>
      <c r="T342" s="75" t="n">
        <v>256.18</v>
      </c>
      <c r="U342" s="75" t="n">
        <v>261.94</v>
      </c>
      <c r="V342" s="75" t="n">
        <v>268.46</v>
      </c>
      <c r="W342" s="75" t="n">
        <v>275.52</v>
      </c>
      <c r="X342" s="76" t="n">
        <v>284.83</v>
      </c>
      <c r="Y342" s="77" t="s">
        <v>20</v>
      </c>
      <c r="Z342" s="78" t="n">
        <f aca="false">SUM(AA342:AL342)</f>
        <v>1199</v>
      </c>
      <c r="AA342" s="75"/>
      <c r="AB342" s="75"/>
      <c r="AC342" s="75"/>
      <c r="AD342" s="75"/>
      <c r="AE342" s="75"/>
      <c r="AF342" s="75"/>
      <c r="AG342" s="75"/>
      <c r="AH342" s="79" t="n">
        <v>1199</v>
      </c>
      <c r="AI342" s="75"/>
      <c r="AJ342" s="75"/>
      <c r="AK342" s="75"/>
      <c r="AL342" s="76"/>
      <c r="AM342" s="56" t="s">
        <v>20</v>
      </c>
      <c r="AN342" s="80" t="n">
        <f aca="false">IF(L342=0,0,Z342/L342)</f>
        <v>0.407281472599366</v>
      </c>
      <c r="AO342" s="81" t="str">
        <f aca="false">IF(AN342="","",IF(AN342&gt;=0.9,"🟢",IF(AN342&gt;=0.7,"🟡",IF(AN342&gt;=0.5,"🟠","🔴"))))</f>
        <v>🔴</v>
      </c>
      <c r="AP342" s="82" t="n">
        <f aca="false">IF(L342=0,0,L342-Z342)</f>
        <v>1744.91</v>
      </c>
      <c r="AQ342" s="83" t="n">
        <f aca="false">IF(AP342=0,"",RANK(AP342,AP$4:AP$503,0))</f>
        <v>299</v>
      </c>
      <c r="AR342" s="84" t="s">
        <v>20</v>
      </c>
      <c r="AS342" s="141"/>
      <c r="AT342" s="141"/>
      <c r="AU342" s="141"/>
      <c r="AV342" s="141"/>
      <c r="AW342" s="141"/>
      <c r="AX342" s="141"/>
      <c r="AY342" s="142"/>
      <c r="AZ342" s="142"/>
      <c r="BA342" s="56" t="s">
        <v>20</v>
      </c>
      <c r="BB342" s="91" t="n">
        <f aca="false">SUM(L$4:L$503)/COUNTA(A$4:A$503)</f>
        <v>9494.39992</v>
      </c>
      <c r="BC342" s="92" t="n">
        <f aca="false">SUM(M$4:M$503)/COUNTA(A$4:A$503)</f>
        <v>667.20008</v>
      </c>
      <c r="BD342" s="92" t="n">
        <f aca="false">SUM(N$4:N$503)/COUNTA(A$4:A$503)</f>
        <v>697.19996</v>
      </c>
      <c r="BE342" s="92" t="n">
        <f aca="false">SUM(O$4:O$503)/COUNTA(A$4:A$503)</f>
        <v>713.9999</v>
      </c>
      <c r="BF342" s="92" t="n">
        <f aca="false">SUM(P$4:P$503)/COUNTA(A$4:A$503)</f>
        <v>732.59984</v>
      </c>
      <c r="BG342" s="92" t="n">
        <f aca="false">SUM(Q$4:Q$503)/COUNTA(A$4:A$503)</f>
        <v>756.59992</v>
      </c>
      <c r="BH342" s="92" t="n">
        <f aca="false">SUM(R$4:R$503)/COUNTA(A$4:A$503)</f>
        <v>776.40004</v>
      </c>
      <c r="BI342" s="92" t="n">
        <f aca="false">SUM(S$4:S$503)/COUNTA(A$4:A$503)</f>
        <v>806.40012</v>
      </c>
      <c r="BJ342" s="92" t="n">
        <f aca="false">SUM(T$4:T$503)/COUNTA(A$4:A$503)</f>
        <v>826.1999</v>
      </c>
      <c r="BK342" s="92" t="n">
        <f aca="false">SUM(U$4:U$503)/COUNTA(A$4:A$503)</f>
        <v>844.8002</v>
      </c>
      <c r="BL342" s="92" t="n">
        <f aca="false">SUM(V$4:V$503)/COUNTA(A$4:A$503)</f>
        <v>865.7998</v>
      </c>
      <c r="BM342" s="92" t="n">
        <f aca="false">SUM(W$4:W$503)/COUNTA(A$4:A$503)</f>
        <v>888.59982</v>
      </c>
      <c r="BN342" s="93" t="n">
        <f aca="false">SUM(X$4:X$503)/COUNTA(A$4:A$503)</f>
        <v>918.60034</v>
      </c>
      <c r="BO342" s="94" t="s">
        <v>20</v>
      </c>
      <c r="BP342" s="91" t="n">
        <f aca="false">IF(Z342&gt;=BB342,0,IFERROR(BB342+(SUMPRODUCT((Z$4:Z$503&gt;=BB$4:BB$503)*(Z$4:Z$503-BB$4:BB$503))/MAX(1,COUNTIF(Z$4:Z$503,"&lt;"&amp;BB342+0.01))),BB342))</f>
        <v>10695.5432177778</v>
      </c>
      <c r="BQ342" s="92" t="n">
        <f aca="false">IF(AA342&gt;=BC342,0,IFERROR(BC342+SUMPRODUCT((AA$4:AA$503&gt;=BC$4:BC$503)*(AA$4:AA$503-BC$4:BC$503))/MAX(1,COUNTIF(AA$4:AA$503,"&lt;"&amp;BC342+0.01)),BC342))</f>
        <v>2238.46589176471</v>
      </c>
      <c r="BR342" s="92" t="n">
        <f aca="false">IF(AB342&gt;=BD342,0,IFERROR(BD342+SUMPRODUCT((AB$4:AB$503&gt;=BD$4:BD$503)*(AB$4:AB$503-BD$4:BD$503))/MAX(1,COUNTIF(AB$4:AB$503,"&lt;"&amp;BD342+0.01)),BD342))</f>
        <v>3335.2938</v>
      </c>
      <c r="BS342" s="92" t="n">
        <f aca="false">IF(AC342&gt;=BE342,0,IFERROR(BE342+SUMPRODUCT((AC$4:AC$503&gt;=BE$4:BE$503)*(AC$4:AC$503-BE$4:BE$503))/MAX(1,COUNTIF(AC$4:AC$503,"&lt;"&amp;BE342+0.01)),BE342))</f>
        <v>6188.73352</v>
      </c>
      <c r="BT342" s="92" t="n">
        <f aca="false">IF(AD342&gt;=BF342,0,IFERROR(BF342+SUMPRODUCT((AD$4:AD$503&gt;=BF$4:BF$503)*(AD$4:AD$503-BF$4:BF$503))/MAX(1,COUNTIF(AD$4:AD$503,"&lt;"&amp;BF342+0.01)),BF342))</f>
        <v>11354.35411</v>
      </c>
      <c r="BU342" s="92" t="n">
        <f aca="false">IF(AE342&gt;=BG342,0,IFERROR(BG342+SUMPRODUCT((AE$4:AE$503&gt;=BG$4:BG$503)*(AE$4:AE$503-BG$4:BG$503))/MAX(1,COUNTIF(AE$4:AE$503,"&lt;"&amp;BG342+0.01)),BG342))</f>
        <v>7704.85920380952</v>
      </c>
      <c r="BV342" s="92" t="n">
        <f aca="false">IF(AF342&gt;=BH342,0,IFERROR(BH342+SUMPRODUCT((AF$4:AF$503&gt;=BH$4:BH$503)*(AF$4:AF$503-BH$4:BH$503))/MAX(1,COUNTIF(AF$4:AF$503,"&lt;"&amp;BH342+0.01)),BH342))</f>
        <v>9942.6503831579</v>
      </c>
      <c r="BW342" s="92" t="n">
        <f aca="false">IF(AG342&gt;=BI342,0,IFERROR(BI342+SUMPRODUCT((AG$4:AG$503&gt;=BI$4:BI$503)*(AG$4:AG$503-BI$4:BI$503))/MAX(1,COUNTIF(AG$4:AG$503,"&lt;"&amp;BI342+0.01)),BI342))</f>
        <v>9142.15870461538</v>
      </c>
      <c r="BX342" s="92" t="n">
        <f aca="false">IF(AH342&gt;=BJ342,0,IFERROR(BJ342+SUMPRODUCT((AH$4:AH$503&gt;=BJ$4:BJ$503)*(AH$4:AH$503-BJ$4:BJ$503))/MAX(1,COUNTIF(AH$4:AH$503,"&lt;"&amp;BJ342+0.01)),BJ342))</f>
        <v>0</v>
      </c>
      <c r="BY342" s="92" t="n">
        <f aca="false">IF(AI342&gt;=BK342,0,IFERROR(BK342+SUMPRODUCT((AI$4:AI$503&gt;=BK$4:BK$503)*(AI$4:AI$503-BK$4:BK$503))/MAX(1,COUNTIF(AI$4:AI$503,"&lt;"&amp;BK342+0.01)),BK342))</f>
        <v>7878.25652380952</v>
      </c>
      <c r="BZ342" s="92" t="n">
        <f aca="false">IF(AJ342&gt;=BL342,0,IFERROR(BL342+SUMPRODUCT((AJ$4:AJ$503&gt;=BL$4:BL$503)*(AJ$4:AJ$503-BL$4:BL$503))/MAX(1,COUNTIF(AJ$4:AJ$503,"&lt;"&amp;BL342+0.01)),BL342))</f>
        <v>6710.03292307692</v>
      </c>
      <c r="CA342" s="92" t="n">
        <f aca="false">IF(AK342&gt;=BM342,0,IFERROR(BM342+SUMPRODUCT((AK$4:AK$503&gt;=BM$4:BM$503)*(AK$4:AK$503-BM$4:BM$503))/MAX(1,COUNTIF(AK$4:AK$503,"&lt;"&amp;BM342+0.01)),BM342))</f>
        <v>7314.89836842105</v>
      </c>
      <c r="CB342" s="93" t="n">
        <f aca="false">IF(AL342&gt;=BN342,0,IFERROR(BN342+SUMPRODUCT((AL$4:AL$503&gt;=BN$4:BN$503)*(AL$4:AL$503-BN$4:BN$503))/MAX(1,COUNTIF(AL$4:AL$503,"&lt;"&amp;BN342+0.01)),BN342))</f>
        <v>3597.2614925</v>
      </c>
      <c r="CC342" s="95" t="str">
        <f aca="false">IF(AO342="🟢","VERDE",IF(AO342="🟡","AMARELO",IF(AO342="🟠","VERMELHO",IF(AO342="🔴","VERMELHO","ROXO"))))</f>
        <v>VERMELHO</v>
      </c>
      <c r="CD342" s="96" t="s">
        <v>103</v>
      </c>
      <c r="CE342" s="96" t="s">
        <v>104</v>
      </c>
    </row>
    <row r="343" customFormat="false" ht="14.25" hidden="false" customHeight="true" outlineLevel="0" collapsed="false">
      <c r="A343" s="65" t="s">
        <v>818</v>
      </c>
      <c r="B343" s="66" t="s">
        <v>819</v>
      </c>
      <c r="C343" s="67" t="s">
        <v>149</v>
      </c>
      <c r="D343" s="68" t="s">
        <v>100</v>
      </c>
      <c r="E343" s="69" t="s">
        <v>119</v>
      </c>
      <c r="F343" s="70" t="n">
        <f aca="false">IFERROR(VLOOKUP(C343,$AS$3:$AT$10,2,FALSE()),IFERROR(VLOOKUP(C343,$AS$15:$AT$22,2,FALSE()),""))</f>
        <v>29</v>
      </c>
      <c r="G343" s="71" t="n">
        <f aca="false">IFERROR(VLOOKUP(C343,$AS$3:$AX$10,6,FALSE()),IFERROR(VLOOKUP(C343,$AS$15:$AX$22,6,FALSE()),""))</f>
        <v>0.425845065256079</v>
      </c>
      <c r="H343" s="72" t="str">
        <f aca="false">IFERROR(VLOOKUP(C343,$AS$3:$AY$10,7,FALSE()),IFERROR(VLOOKUP(C343,$AS$15:$AY$22,7,FALSE()),""))</f>
        <v>🟡 AMARELO</v>
      </c>
      <c r="I343" s="72" t="str">
        <f aca="false">IFERROR(VLOOKUP(C343,$AS$3:$AZ$10,8,FALSE()),IFERROR(VLOOKUP(C343,$AS$15:$AZ$22,8,FALSE()),""))</f>
        <v>Sell Out</v>
      </c>
      <c r="J343" s="73"/>
      <c r="K343" s="69" t="s">
        <v>149</v>
      </c>
      <c r="L343" s="74" t="n">
        <v>2941.09</v>
      </c>
      <c r="M343" s="75" t="n">
        <v>206.68</v>
      </c>
      <c r="N343" s="75" t="n">
        <v>215.97</v>
      </c>
      <c r="O343" s="75" t="n">
        <v>221.18</v>
      </c>
      <c r="P343" s="75" t="n">
        <v>226.94</v>
      </c>
      <c r="Q343" s="75" t="n">
        <v>234.37</v>
      </c>
      <c r="R343" s="75" t="n">
        <v>240.51</v>
      </c>
      <c r="S343" s="75" t="n">
        <v>249.8</v>
      </c>
      <c r="T343" s="75" t="n">
        <v>255.93</v>
      </c>
      <c r="U343" s="75" t="n">
        <v>261.69</v>
      </c>
      <c r="V343" s="75" t="n">
        <v>268.2</v>
      </c>
      <c r="W343" s="75" t="n">
        <v>275.26</v>
      </c>
      <c r="X343" s="76" t="n">
        <v>284.56</v>
      </c>
      <c r="Y343" s="77" t="s">
        <v>20</v>
      </c>
      <c r="Z343" s="78" t="n">
        <f aca="false">SUM(AA343:AL343)</f>
        <v>1182.76</v>
      </c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107" t="n">
        <v>1182.76</v>
      </c>
      <c r="AM343" s="56" t="s">
        <v>20</v>
      </c>
      <c r="AN343" s="80" t="n">
        <f aca="false">IF(L343=0,0,Z343/L343)</f>
        <v>0.402150223216563</v>
      </c>
      <c r="AO343" s="81" t="str">
        <f aca="false">IF(AN343="","",IF(AN343&gt;=0.9,"🟢",IF(AN343&gt;=0.7,"🟡",IF(AN343&gt;=0.5,"🟠","🔴"))))</f>
        <v>🔴</v>
      </c>
      <c r="AP343" s="82" t="n">
        <f aca="false">IF(L343=0,0,L343-Z343)</f>
        <v>1758.33</v>
      </c>
      <c r="AQ343" s="83" t="n">
        <f aca="false">IF(AP343=0,"",RANK(AP343,AP$4:AP$503,0))</f>
        <v>296</v>
      </c>
      <c r="AR343" s="84" t="s">
        <v>20</v>
      </c>
      <c r="AS343" s="141"/>
      <c r="AT343" s="141"/>
      <c r="AU343" s="141"/>
      <c r="AV343" s="141"/>
      <c r="AW343" s="141"/>
      <c r="AX343" s="141"/>
      <c r="AY343" s="142"/>
      <c r="AZ343" s="142"/>
      <c r="BA343" s="56" t="s">
        <v>20</v>
      </c>
      <c r="BB343" s="91" t="n">
        <f aca="false">SUM(L$4:L$503)/COUNTA(A$4:A$503)</f>
        <v>9494.39992</v>
      </c>
      <c r="BC343" s="92" t="n">
        <f aca="false">SUM(M$4:M$503)/COUNTA(A$4:A$503)</f>
        <v>667.20008</v>
      </c>
      <c r="BD343" s="92" t="n">
        <f aca="false">SUM(N$4:N$503)/COUNTA(A$4:A$503)</f>
        <v>697.19996</v>
      </c>
      <c r="BE343" s="92" t="n">
        <f aca="false">SUM(O$4:O$503)/COUNTA(A$4:A$503)</f>
        <v>713.9999</v>
      </c>
      <c r="BF343" s="92" t="n">
        <f aca="false">SUM(P$4:P$503)/COUNTA(A$4:A$503)</f>
        <v>732.59984</v>
      </c>
      <c r="BG343" s="92" t="n">
        <f aca="false">SUM(Q$4:Q$503)/COUNTA(A$4:A$503)</f>
        <v>756.59992</v>
      </c>
      <c r="BH343" s="92" t="n">
        <f aca="false">SUM(R$4:R$503)/COUNTA(A$4:A$503)</f>
        <v>776.40004</v>
      </c>
      <c r="BI343" s="92" t="n">
        <f aca="false">SUM(S$4:S$503)/COUNTA(A$4:A$503)</f>
        <v>806.40012</v>
      </c>
      <c r="BJ343" s="92" t="n">
        <f aca="false">SUM(T$4:T$503)/COUNTA(A$4:A$503)</f>
        <v>826.1999</v>
      </c>
      <c r="BK343" s="92" t="n">
        <f aca="false">SUM(U$4:U$503)/COUNTA(A$4:A$503)</f>
        <v>844.8002</v>
      </c>
      <c r="BL343" s="92" t="n">
        <f aca="false">SUM(V$4:V$503)/COUNTA(A$4:A$503)</f>
        <v>865.7998</v>
      </c>
      <c r="BM343" s="92" t="n">
        <f aca="false">SUM(W$4:W$503)/COUNTA(A$4:A$503)</f>
        <v>888.59982</v>
      </c>
      <c r="BN343" s="93" t="n">
        <f aca="false">SUM(X$4:X$503)/COUNTA(A$4:A$503)</f>
        <v>918.60034</v>
      </c>
      <c r="BO343" s="94" t="s">
        <v>20</v>
      </c>
      <c r="BP343" s="91" t="n">
        <f aca="false">IF(Z343&gt;=BB343,0,IFERROR(BB343+(SUMPRODUCT((Z$4:Z$503&gt;=BB$4:BB$503)*(Z$4:Z$503-BB$4:BB$503))/MAX(1,COUNTIF(Z$4:Z$503,"&lt;"&amp;BB343+0.01))),BB343))</f>
        <v>10695.5432177778</v>
      </c>
      <c r="BQ343" s="92" t="n">
        <f aca="false">IF(AA343&gt;=BC343,0,IFERROR(BC343+SUMPRODUCT((AA$4:AA$503&gt;=BC$4:BC$503)*(AA$4:AA$503-BC$4:BC$503))/MAX(1,COUNTIF(AA$4:AA$503,"&lt;"&amp;BC343+0.01)),BC343))</f>
        <v>2238.46589176471</v>
      </c>
      <c r="BR343" s="92" t="n">
        <f aca="false">IF(AB343&gt;=BD343,0,IFERROR(BD343+SUMPRODUCT((AB$4:AB$503&gt;=BD$4:BD$503)*(AB$4:AB$503-BD$4:BD$503))/MAX(1,COUNTIF(AB$4:AB$503,"&lt;"&amp;BD343+0.01)),BD343))</f>
        <v>3335.2938</v>
      </c>
      <c r="BS343" s="92" t="n">
        <f aca="false">IF(AC343&gt;=BE343,0,IFERROR(BE343+SUMPRODUCT((AC$4:AC$503&gt;=BE$4:BE$503)*(AC$4:AC$503-BE$4:BE$503))/MAX(1,COUNTIF(AC$4:AC$503,"&lt;"&amp;BE343+0.01)),BE343))</f>
        <v>6188.73352</v>
      </c>
      <c r="BT343" s="92" t="n">
        <f aca="false">IF(AD343&gt;=BF343,0,IFERROR(BF343+SUMPRODUCT((AD$4:AD$503&gt;=BF$4:BF$503)*(AD$4:AD$503-BF$4:BF$503))/MAX(1,COUNTIF(AD$4:AD$503,"&lt;"&amp;BF343+0.01)),BF343))</f>
        <v>11354.35411</v>
      </c>
      <c r="BU343" s="92" t="n">
        <f aca="false">IF(AE343&gt;=BG343,0,IFERROR(BG343+SUMPRODUCT((AE$4:AE$503&gt;=BG$4:BG$503)*(AE$4:AE$503-BG$4:BG$503))/MAX(1,COUNTIF(AE$4:AE$503,"&lt;"&amp;BG343+0.01)),BG343))</f>
        <v>7704.85920380952</v>
      </c>
      <c r="BV343" s="92" t="n">
        <f aca="false">IF(AF343&gt;=BH343,0,IFERROR(BH343+SUMPRODUCT((AF$4:AF$503&gt;=BH$4:BH$503)*(AF$4:AF$503-BH$4:BH$503))/MAX(1,COUNTIF(AF$4:AF$503,"&lt;"&amp;BH343+0.01)),BH343))</f>
        <v>9942.6503831579</v>
      </c>
      <c r="BW343" s="92" t="n">
        <f aca="false">IF(AG343&gt;=BI343,0,IFERROR(BI343+SUMPRODUCT((AG$4:AG$503&gt;=BI$4:BI$503)*(AG$4:AG$503-BI$4:BI$503))/MAX(1,COUNTIF(AG$4:AG$503,"&lt;"&amp;BI343+0.01)),BI343))</f>
        <v>9142.15870461538</v>
      </c>
      <c r="BX343" s="92" t="n">
        <f aca="false">IF(AH343&gt;=BJ343,0,IFERROR(BJ343+SUMPRODUCT((AH$4:AH$503&gt;=BJ$4:BJ$503)*(AH$4:AH$503-BJ$4:BJ$503))/MAX(1,COUNTIF(AH$4:AH$503,"&lt;"&amp;BJ343+0.01)),BJ343))</f>
        <v>5621.50263448276</v>
      </c>
      <c r="BY343" s="92" t="n">
        <f aca="false">IF(AI343&gt;=BK343,0,IFERROR(BK343+SUMPRODUCT((AI$4:AI$503&gt;=BK$4:BK$503)*(AI$4:AI$503-BK$4:BK$503))/MAX(1,COUNTIF(AI$4:AI$503,"&lt;"&amp;BK343+0.01)),BK343))</f>
        <v>7878.25652380952</v>
      </c>
      <c r="BZ343" s="92" t="n">
        <f aca="false">IF(AJ343&gt;=BL343,0,IFERROR(BL343+SUMPRODUCT((AJ$4:AJ$503&gt;=BL$4:BL$503)*(AJ$4:AJ$503-BL$4:BL$503))/MAX(1,COUNTIF(AJ$4:AJ$503,"&lt;"&amp;BL343+0.01)),BL343))</f>
        <v>6710.03292307692</v>
      </c>
      <c r="CA343" s="92" t="n">
        <f aca="false">IF(AK343&gt;=BM343,0,IFERROR(BM343+SUMPRODUCT((AK$4:AK$503&gt;=BM$4:BM$503)*(AK$4:AK$503-BM$4:BM$503))/MAX(1,COUNTIF(AK$4:AK$503,"&lt;"&amp;BM343+0.01)),BM343))</f>
        <v>7314.89836842105</v>
      </c>
      <c r="CB343" s="93" t="n">
        <f aca="false">IF(AL343&gt;=BN343,0,IFERROR(BN343+SUMPRODUCT((AL$4:AL$503&gt;=BN$4:BN$503)*(AL$4:AL$503-BN$4:BN$503))/MAX(1,COUNTIF(AL$4:AL$503,"&lt;"&amp;BN343+0.01)),BN343))</f>
        <v>0</v>
      </c>
      <c r="CC343" s="95" t="str">
        <f aca="false">IF(AO343="🟢","VERDE",IF(AO343="🟡","AMARELO",IF(AO343="🟠","VERMELHO",IF(AO343="🔴","VERMELHO","ROXO"))))</f>
        <v>VERMELHO</v>
      </c>
      <c r="CD343" s="96" t="s">
        <v>103</v>
      </c>
      <c r="CE343" s="96" t="s">
        <v>104</v>
      </c>
    </row>
    <row r="344" customFormat="false" ht="14.25" hidden="false" customHeight="true" outlineLevel="0" collapsed="false">
      <c r="A344" s="65" t="s">
        <v>820</v>
      </c>
      <c r="B344" s="66" t="s">
        <v>821</v>
      </c>
      <c r="C344" s="67" t="s">
        <v>123</v>
      </c>
      <c r="D344" s="68" t="s">
        <v>100</v>
      </c>
      <c r="E344" s="56" t="s">
        <v>20</v>
      </c>
      <c r="F344" s="70" t="n">
        <f aca="false">IFERROR(VLOOKUP(C344,$AS$3:$AT$10,2,FALSE()),IFERROR(VLOOKUP(C344,$AS$15:$AT$22,2,FALSE()),""))</f>
        <v>49</v>
      </c>
      <c r="G344" s="71" t="n">
        <f aca="false">IFERROR(VLOOKUP(C344,$AS$3:$AX$10,6,FALSE()),IFERROR(VLOOKUP(C344,$AS$15:$AX$22,6,FALSE()),""))</f>
        <v>0.436391353881959</v>
      </c>
      <c r="H344" s="72" t="str">
        <f aca="false">IFERROR(VLOOKUP(C344,$AS$3:$AY$10,7,FALSE()),IFERROR(VLOOKUP(C344,$AS$15:$AY$22,7,FALSE()),""))</f>
        <v>🟡 AMARELO</v>
      </c>
      <c r="I344" s="72" t="str">
        <f aca="false">IFERROR(VLOOKUP(C344,$AS$3:$AZ$10,8,FALSE()),IFERROR(VLOOKUP(C344,$AS$15:$AZ$22,8,FALSE()),""))</f>
        <v>Sell Out</v>
      </c>
      <c r="J344" s="73"/>
      <c r="K344" s="56" t="s">
        <v>20</v>
      </c>
      <c r="L344" s="74" t="n">
        <v>2930.26</v>
      </c>
      <c r="M344" s="75" t="n">
        <v>205.92</v>
      </c>
      <c r="N344" s="75" t="n">
        <v>215.18</v>
      </c>
      <c r="O344" s="75" t="n">
        <v>220.36</v>
      </c>
      <c r="P344" s="75" t="n">
        <v>226.1</v>
      </c>
      <c r="Q344" s="75" t="n">
        <v>233.51</v>
      </c>
      <c r="R344" s="75" t="n">
        <v>239.62</v>
      </c>
      <c r="S344" s="75" t="n">
        <v>248.88</v>
      </c>
      <c r="T344" s="75" t="n">
        <v>254.99</v>
      </c>
      <c r="U344" s="75" t="n">
        <v>260.73</v>
      </c>
      <c r="V344" s="75" t="n">
        <v>267.21</v>
      </c>
      <c r="W344" s="75" t="n">
        <v>274.25</v>
      </c>
      <c r="X344" s="76" t="n">
        <v>283.51</v>
      </c>
      <c r="Y344" s="77" t="s">
        <v>20</v>
      </c>
      <c r="Z344" s="78" t="n">
        <f aca="false">SUM(AA344:AL344)</f>
        <v>1178.4</v>
      </c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 t="n">
        <v>1178.4</v>
      </c>
      <c r="AL344" s="76"/>
      <c r="AM344" s="56" t="s">
        <v>20</v>
      </c>
      <c r="AN344" s="80" t="n">
        <f aca="false">IF(L344=0,0,Z344/L344)</f>
        <v>0.402148614798687</v>
      </c>
      <c r="AO344" s="81" t="str">
        <f aca="false">IF(AN344="","",IF(AN344&gt;=0.9,"🟢",IF(AN344&gt;=0.7,"🟡",IF(AN344&gt;=0.5,"🟠","🔴"))))</f>
        <v>🔴</v>
      </c>
      <c r="AP344" s="82" t="n">
        <f aca="false">IF(L344=0,0,L344-Z344)</f>
        <v>1751.86</v>
      </c>
      <c r="AQ344" s="83" t="n">
        <f aca="false">IF(AP344=0,"",RANK(AP344,AP$4:AP$503,0))</f>
        <v>298</v>
      </c>
      <c r="AR344" s="84" t="s">
        <v>20</v>
      </c>
      <c r="AS344" s="141"/>
      <c r="AT344" s="141"/>
      <c r="AU344" s="141"/>
      <c r="AV344" s="141"/>
      <c r="AW344" s="141"/>
      <c r="AX344" s="141"/>
      <c r="AY344" s="142"/>
      <c r="AZ344" s="142"/>
      <c r="BA344" s="56" t="s">
        <v>20</v>
      </c>
      <c r="BB344" s="91" t="n">
        <f aca="false">SUM(L$4:L$503)/COUNTA(A$4:A$503)</f>
        <v>9494.39992</v>
      </c>
      <c r="BC344" s="92" t="n">
        <f aca="false">SUM(M$4:M$503)/COUNTA(A$4:A$503)</f>
        <v>667.20008</v>
      </c>
      <c r="BD344" s="92" t="n">
        <f aca="false">SUM(N$4:N$503)/COUNTA(A$4:A$503)</f>
        <v>697.19996</v>
      </c>
      <c r="BE344" s="92" t="n">
        <f aca="false">SUM(O$4:O$503)/COUNTA(A$4:A$503)</f>
        <v>713.9999</v>
      </c>
      <c r="BF344" s="92" t="n">
        <f aca="false">SUM(P$4:P$503)/COUNTA(A$4:A$503)</f>
        <v>732.59984</v>
      </c>
      <c r="BG344" s="92" t="n">
        <f aca="false">SUM(Q$4:Q$503)/COUNTA(A$4:A$503)</f>
        <v>756.59992</v>
      </c>
      <c r="BH344" s="92" t="n">
        <f aca="false">SUM(R$4:R$503)/COUNTA(A$4:A$503)</f>
        <v>776.40004</v>
      </c>
      <c r="BI344" s="92" t="n">
        <f aca="false">SUM(S$4:S$503)/COUNTA(A$4:A$503)</f>
        <v>806.40012</v>
      </c>
      <c r="BJ344" s="92" t="n">
        <f aca="false">SUM(T$4:T$503)/COUNTA(A$4:A$503)</f>
        <v>826.1999</v>
      </c>
      <c r="BK344" s="92" t="n">
        <f aca="false">SUM(U$4:U$503)/COUNTA(A$4:A$503)</f>
        <v>844.8002</v>
      </c>
      <c r="BL344" s="92" t="n">
        <f aca="false">SUM(V$4:V$503)/COUNTA(A$4:A$503)</f>
        <v>865.7998</v>
      </c>
      <c r="BM344" s="92" t="n">
        <f aca="false">SUM(W$4:W$503)/COUNTA(A$4:A$503)</f>
        <v>888.59982</v>
      </c>
      <c r="BN344" s="93" t="n">
        <f aca="false">SUM(X$4:X$503)/COUNTA(A$4:A$503)</f>
        <v>918.60034</v>
      </c>
      <c r="BO344" s="94" t="s">
        <v>20</v>
      </c>
      <c r="BP344" s="91" t="n">
        <f aca="false">IF(Z344&gt;=BB344,0,IFERROR(BB344+(SUMPRODUCT((Z$4:Z$503&gt;=BB$4:BB$503)*(Z$4:Z$503-BB$4:BB$503))/MAX(1,COUNTIF(Z$4:Z$503,"&lt;"&amp;BB344+0.01))),BB344))</f>
        <v>10695.5432177778</v>
      </c>
      <c r="BQ344" s="92" t="n">
        <f aca="false">IF(AA344&gt;=BC344,0,IFERROR(BC344+SUMPRODUCT((AA$4:AA$503&gt;=BC$4:BC$503)*(AA$4:AA$503-BC$4:BC$503))/MAX(1,COUNTIF(AA$4:AA$503,"&lt;"&amp;BC344+0.01)),BC344))</f>
        <v>2238.46589176471</v>
      </c>
      <c r="BR344" s="92" t="n">
        <f aca="false">IF(AB344&gt;=BD344,0,IFERROR(BD344+SUMPRODUCT((AB$4:AB$503&gt;=BD$4:BD$503)*(AB$4:AB$503-BD$4:BD$503))/MAX(1,COUNTIF(AB$4:AB$503,"&lt;"&amp;BD344+0.01)),BD344))</f>
        <v>3335.2938</v>
      </c>
      <c r="BS344" s="92" t="n">
        <f aca="false">IF(AC344&gt;=BE344,0,IFERROR(BE344+SUMPRODUCT((AC$4:AC$503&gt;=BE$4:BE$503)*(AC$4:AC$503-BE$4:BE$503))/MAX(1,COUNTIF(AC$4:AC$503,"&lt;"&amp;BE344+0.01)),BE344))</f>
        <v>6188.73352</v>
      </c>
      <c r="BT344" s="92" t="n">
        <f aca="false">IF(AD344&gt;=BF344,0,IFERROR(BF344+SUMPRODUCT((AD$4:AD$503&gt;=BF$4:BF$503)*(AD$4:AD$503-BF$4:BF$503))/MAX(1,COUNTIF(AD$4:AD$503,"&lt;"&amp;BF344+0.01)),BF344))</f>
        <v>11354.35411</v>
      </c>
      <c r="BU344" s="92" t="n">
        <f aca="false">IF(AE344&gt;=BG344,0,IFERROR(BG344+SUMPRODUCT((AE$4:AE$503&gt;=BG$4:BG$503)*(AE$4:AE$503-BG$4:BG$503))/MAX(1,COUNTIF(AE$4:AE$503,"&lt;"&amp;BG344+0.01)),BG344))</f>
        <v>7704.85920380952</v>
      </c>
      <c r="BV344" s="92" t="n">
        <f aca="false">IF(AF344&gt;=BH344,0,IFERROR(BH344+SUMPRODUCT((AF$4:AF$503&gt;=BH$4:BH$503)*(AF$4:AF$503-BH$4:BH$503))/MAX(1,COUNTIF(AF$4:AF$503,"&lt;"&amp;BH344+0.01)),BH344))</f>
        <v>9942.6503831579</v>
      </c>
      <c r="BW344" s="92" t="n">
        <f aca="false">IF(AG344&gt;=BI344,0,IFERROR(BI344+SUMPRODUCT((AG$4:AG$503&gt;=BI$4:BI$503)*(AG$4:AG$503-BI$4:BI$503))/MAX(1,COUNTIF(AG$4:AG$503,"&lt;"&amp;BI344+0.01)),BI344))</f>
        <v>9142.15870461538</v>
      </c>
      <c r="BX344" s="92" t="n">
        <f aca="false">IF(AH344&gt;=BJ344,0,IFERROR(BJ344+SUMPRODUCT((AH$4:AH$503&gt;=BJ$4:BJ$503)*(AH$4:AH$503-BJ$4:BJ$503))/MAX(1,COUNTIF(AH$4:AH$503,"&lt;"&amp;BJ344+0.01)),BJ344))</f>
        <v>5621.50263448276</v>
      </c>
      <c r="BY344" s="92" t="n">
        <f aca="false">IF(AI344&gt;=BK344,0,IFERROR(BK344+SUMPRODUCT((AI$4:AI$503&gt;=BK$4:BK$503)*(AI$4:AI$503-BK$4:BK$503))/MAX(1,COUNTIF(AI$4:AI$503,"&lt;"&amp;BK344+0.01)),BK344))</f>
        <v>7878.25652380952</v>
      </c>
      <c r="BZ344" s="92" t="n">
        <f aca="false">IF(AJ344&gt;=BL344,0,IFERROR(BL344+SUMPRODUCT((AJ$4:AJ$503&gt;=BL$4:BL$503)*(AJ$4:AJ$503-BL$4:BL$503))/MAX(1,COUNTIF(AJ$4:AJ$503,"&lt;"&amp;BL344+0.01)),BL344))</f>
        <v>6710.03292307692</v>
      </c>
      <c r="CA344" s="92" t="n">
        <f aca="false">IF(AK344&gt;=BM344,0,IFERROR(BM344+SUMPRODUCT((AK$4:AK$503&gt;=BM$4:BM$503)*(AK$4:AK$503-BM$4:BM$503))/MAX(1,COUNTIF(AK$4:AK$503,"&lt;"&amp;BM344+0.01)),BM344))</f>
        <v>0</v>
      </c>
      <c r="CB344" s="93" t="n">
        <f aca="false">IF(AL344&gt;=BN344,0,IFERROR(BN344+SUMPRODUCT((AL$4:AL$503&gt;=BN$4:BN$503)*(AL$4:AL$503-BN$4:BN$503))/MAX(1,COUNTIF(AL$4:AL$503,"&lt;"&amp;BN344+0.01)),BN344))</f>
        <v>3597.2614925</v>
      </c>
      <c r="CC344" s="95" t="str">
        <f aca="false">IF(AO344="🟢","VERDE",IF(AO344="🟡","AMARELO",IF(AO344="🟠","VERMELHO",IF(AO344="🔴","VERMELHO","ROXO"))))</f>
        <v>VERMELHO</v>
      </c>
      <c r="CD344" s="96" t="s">
        <v>103</v>
      </c>
      <c r="CE344" s="96" t="s">
        <v>104</v>
      </c>
    </row>
    <row r="345" customFormat="false" ht="14.25" hidden="false" customHeight="true" outlineLevel="0" collapsed="false">
      <c r="A345" s="65" t="s">
        <v>822</v>
      </c>
      <c r="B345" s="66" t="s">
        <v>823</v>
      </c>
      <c r="C345" s="66" t="s">
        <v>110</v>
      </c>
      <c r="D345" s="68" t="s">
        <v>184</v>
      </c>
      <c r="E345" s="69" t="s">
        <v>109</v>
      </c>
      <c r="F345" s="70" t="n">
        <f aca="false">IFERROR(VLOOKUP(C345,$AS$3:$AT$10,2,FALSE()),IFERROR(VLOOKUP(C345,$AS$15:$AT$22,2,FALSE()),""))</f>
        <v>15</v>
      </c>
      <c r="G345" s="71" t="n">
        <f aca="false">IFERROR(VLOOKUP(C345,$AS$3:$AX$10,6,FALSE()),IFERROR(VLOOKUP(C345,$AS$15:$AX$22,6,FALSE()),""))</f>
        <v>0.621111876107332</v>
      </c>
      <c r="H345" s="72" t="str">
        <f aca="false">IFERROR(VLOOKUP(C345,$AS$3:$AY$10,7,FALSE()),IFERROR(VLOOKUP(C345,$AS$15:$AY$22,7,FALSE()),""))</f>
        <v>🟢 VERDE</v>
      </c>
      <c r="I345" s="72" t="str">
        <f aca="false">IFERROR(VLOOKUP(C345,$AS$3:$AZ$10,8,FALSE()),IFERROR(VLOOKUP(C345,$AS$15:$AZ$22,8,FALSE()),""))</f>
        <v>JBP</v>
      </c>
      <c r="J345" s="73"/>
      <c r="K345" s="69" t="s">
        <v>107</v>
      </c>
      <c r="L345" s="74" t="n">
        <v>2926.35</v>
      </c>
      <c r="M345" s="75" t="n">
        <v>205.64</v>
      </c>
      <c r="N345" s="75" t="n">
        <v>214.89</v>
      </c>
      <c r="O345" s="75" t="n">
        <v>220.07</v>
      </c>
      <c r="P345" s="75" t="n">
        <v>225.8</v>
      </c>
      <c r="Q345" s="75" t="n">
        <v>233.2</v>
      </c>
      <c r="R345" s="75" t="n">
        <v>239.3</v>
      </c>
      <c r="S345" s="75" t="n">
        <v>248.55</v>
      </c>
      <c r="T345" s="75" t="n">
        <v>254.65</v>
      </c>
      <c r="U345" s="75" t="n">
        <v>260.38</v>
      </c>
      <c r="V345" s="75" t="n">
        <v>266.86</v>
      </c>
      <c r="W345" s="75" t="n">
        <v>273.88</v>
      </c>
      <c r="X345" s="76" t="n">
        <v>283.13</v>
      </c>
      <c r="Y345" s="77" t="s">
        <v>20</v>
      </c>
      <c r="Z345" s="78" t="n">
        <f aca="false">SUM(AA345:AL345)</f>
        <v>1138.05</v>
      </c>
      <c r="AA345" s="75"/>
      <c r="AB345" s="75"/>
      <c r="AC345" s="75"/>
      <c r="AD345" s="75"/>
      <c r="AE345" s="75"/>
      <c r="AF345" s="75"/>
      <c r="AG345" s="75"/>
      <c r="AH345" s="75"/>
      <c r="AI345" s="75"/>
      <c r="AJ345" s="79" t="n">
        <v>1138.05</v>
      </c>
      <c r="AK345" s="75"/>
      <c r="AL345" s="76"/>
      <c r="AM345" s="56" t="s">
        <v>20</v>
      </c>
      <c r="AN345" s="80" t="n">
        <f aca="false">IF(L345=0,0,Z345/L345)</f>
        <v>0.388897431954483</v>
      </c>
      <c r="AO345" s="81" t="str">
        <f aca="false">IF(AN345="","",IF(AN345&gt;=0.9,"🟢",IF(AN345&gt;=0.7,"🟡",IF(AN345&gt;=0.5,"🟠","🔴"))))</f>
        <v>🔴</v>
      </c>
      <c r="AP345" s="82" t="n">
        <f aca="false">IF(L345=0,0,L345-Z345)</f>
        <v>1788.3</v>
      </c>
      <c r="AQ345" s="83" t="n">
        <f aca="false">IF(AP345=0,"",RANK(AP345,AP$4:AP$503,0))</f>
        <v>286</v>
      </c>
      <c r="AR345" s="84" t="s">
        <v>20</v>
      </c>
      <c r="AS345" s="141"/>
      <c r="AT345" s="141"/>
      <c r="AU345" s="141"/>
      <c r="AV345" s="141"/>
      <c r="AW345" s="141"/>
      <c r="AX345" s="141"/>
      <c r="AY345" s="142"/>
      <c r="AZ345" s="142"/>
      <c r="BA345" s="56" t="s">
        <v>20</v>
      </c>
      <c r="BB345" s="91" t="n">
        <f aca="false">SUM(L$4:L$503)/COUNTA(A$4:A$503)</f>
        <v>9494.39992</v>
      </c>
      <c r="BC345" s="92" t="n">
        <f aca="false">SUM(M$4:M$503)/COUNTA(A$4:A$503)</f>
        <v>667.20008</v>
      </c>
      <c r="BD345" s="92" t="n">
        <f aca="false">SUM(N$4:N$503)/COUNTA(A$4:A$503)</f>
        <v>697.19996</v>
      </c>
      <c r="BE345" s="92" t="n">
        <f aca="false">SUM(O$4:O$503)/COUNTA(A$4:A$503)</f>
        <v>713.9999</v>
      </c>
      <c r="BF345" s="92" t="n">
        <f aca="false">SUM(P$4:P$503)/COUNTA(A$4:A$503)</f>
        <v>732.59984</v>
      </c>
      <c r="BG345" s="92" t="n">
        <f aca="false">SUM(Q$4:Q$503)/COUNTA(A$4:A$503)</f>
        <v>756.59992</v>
      </c>
      <c r="BH345" s="92" t="n">
        <f aca="false">SUM(R$4:R$503)/COUNTA(A$4:A$503)</f>
        <v>776.40004</v>
      </c>
      <c r="BI345" s="92" t="n">
        <f aca="false">SUM(S$4:S$503)/COUNTA(A$4:A$503)</f>
        <v>806.40012</v>
      </c>
      <c r="BJ345" s="92" t="n">
        <f aca="false">SUM(T$4:T$503)/COUNTA(A$4:A$503)</f>
        <v>826.1999</v>
      </c>
      <c r="BK345" s="92" t="n">
        <f aca="false">SUM(U$4:U$503)/COUNTA(A$4:A$503)</f>
        <v>844.8002</v>
      </c>
      <c r="BL345" s="92" t="n">
        <f aca="false">SUM(V$4:V$503)/COUNTA(A$4:A$503)</f>
        <v>865.7998</v>
      </c>
      <c r="BM345" s="92" t="n">
        <f aca="false">SUM(W$4:W$503)/COUNTA(A$4:A$503)</f>
        <v>888.59982</v>
      </c>
      <c r="BN345" s="93" t="n">
        <f aca="false">SUM(X$4:X$503)/COUNTA(A$4:A$503)</f>
        <v>918.60034</v>
      </c>
      <c r="BO345" s="94" t="s">
        <v>20</v>
      </c>
      <c r="BP345" s="91" t="n">
        <f aca="false">IF(Z345&gt;=BB345,0,IFERROR(BB345+(SUMPRODUCT((Z$4:Z$503&gt;=BB$4:BB$503)*(Z$4:Z$503-BB$4:BB$503))/MAX(1,COUNTIF(Z$4:Z$503,"&lt;"&amp;BB345+0.01))),BB345))</f>
        <v>10695.5432177778</v>
      </c>
      <c r="BQ345" s="92" t="n">
        <f aca="false">IF(AA345&gt;=BC345,0,IFERROR(BC345+SUMPRODUCT((AA$4:AA$503&gt;=BC$4:BC$503)*(AA$4:AA$503-BC$4:BC$503))/MAX(1,COUNTIF(AA$4:AA$503,"&lt;"&amp;BC345+0.01)),BC345))</f>
        <v>2238.46589176471</v>
      </c>
      <c r="BR345" s="92" t="n">
        <f aca="false">IF(AB345&gt;=BD345,0,IFERROR(BD345+SUMPRODUCT((AB$4:AB$503&gt;=BD$4:BD$503)*(AB$4:AB$503-BD$4:BD$503))/MAX(1,COUNTIF(AB$4:AB$503,"&lt;"&amp;BD345+0.01)),BD345))</f>
        <v>3335.2938</v>
      </c>
      <c r="BS345" s="92" t="n">
        <f aca="false">IF(AC345&gt;=BE345,0,IFERROR(BE345+SUMPRODUCT((AC$4:AC$503&gt;=BE$4:BE$503)*(AC$4:AC$503-BE$4:BE$503))/MAX(1,COUNTIF(AC$4:AC$503,"&lt;"&amp;BE345+0.01)),BE345))</f>
        <v>6188.73352</v>
      </c>
      <c r="BT345" s="92" t="n">
        <f aca="false">IF(AD345&gt;=BF345,0,IFERROR(BF345+SUMPRODUCT((AD$4:AD$503&gt;=BF$4:BF$503)*(AD$4:AD$503-BF$4:BF$503))/MAX(1,COUNTIF(AD$4:AD$503,"&lt;"&amp;BF345+0.01)),BF345))</f>
        <v>11354.35411</v>
      </c>
      <c r="BU345" s="92" t="n">
        <f aca="false">IF(AE345&gt;=BG345,0,IFERROR(BG345+SUMPRODUCT((AE$4:AE$503&gt;=BG$4:BG$503)*(AE$4:AE$503-BG$4:BG$503))/MAX(1,COUNTIF(AE$4:AE$503,"&lt;"&amp;BG345+0.01)),BG345))</f>
        <v>7704.85920380952</v>
      </c>
      <c r="BV345" s="92" t="n">
        <f aca="false">IF(AF345&gt;=BH345,0,IFERROR(BH345+SUMPRODUCT((AF$4:AF$503&gt;=BH$4:BH$503)*(AF$4:AF$503-BH$4:BH$503))/MAX(1,COUNTIF(AF$4:AF$503,"&lt;"&amp;BH345+0.01)),BH345))</f>
        <v>9942.6503831579</v>
      </c>
      <c r="BW345" s="92" t="n">
        <f aca="false">IF(AG345&gt;=BI345,0,IFERROR(BI345+SUMPRODUCT((AG$4:AG$503&gt;=BI$4:BI$503)*(AG$4:AG$503-BI$4:BI$503))/MAX(1,COUNTIF(AG$4:AG$503,"&lt;"&amp;BI345+0.01)),BI345))</f>
        <v>9142.15870461538</v>
      </c>
      <c r="BX345" s="92" t="n">
        <f aca="false">IF(AH345&gt;=BJ345,0,IFERROR(BJ345+SUMPRODUCT((AH$4:AH$503&gt;=BJ$4:BJ$503)*(AH$4:AH$503-BJ$4:BJ$503))/MAX(1,COUNTIF(AH$4:AH$503,"&lt;"&amp;BJ345+0.01)),BJ345))</f>
        <v>5621.50263448276</v>
      </c>
      <c r="BY345" s="92" t="n">
        <f aca="false">IF(AI345&gt;=BK345,0,IFERROR(BK345+SUMPRODUCT((AI$4:AI$503&gt;=BK$4:BK$503)*(AI$4:AI$503-BK$4:BK$503))/MAX(1,COUNTIF(AI$4:AI$503,"&lt;"&amp;BK345+0.01)),BK345))</f>
        <v>7878.25652380952</v>
      </c>
      <c r="BZ345" s="92" t="n">
        <f aca="false">IF(AJ345&gt;=BL345,0,IFERROR(BL345+SUMPRODUCT((AJ$4:AJ$503&gt;=BL$4:BL$503)*(AJ$4:AJ$503-BL$4:BL$503))/MAX(1,COUNTIF(AJ$4:AJ$503,"&lt;"&amp;BL345+0.01)),BL345))</f>
        <v>0</v>
      </c>
      <c r="CA345" s="92" t="n">
        <f aca="false">IF(AK345&gt;=BM345,0,IFERROR(BM345+SUMPRODUCT((AK$4:AK$503&gt;=BM$4:BM$503)*(AK$4:AK$503-BM$4:BM$503))/MAX(1,COUNTIF(AK$4:AK$503,"&lt;"&amp;BM345+0.01)),BM345))</f>
        <v>7314.89836842105</v>
      </c>
      <c r="CB345" s="93" t="n">
        <f aca="false">IF(AL345&gt;=BN345,0,IFERROR(BN345+SUMPRODUCT((AL$4:AL$503&gt;=BN$4:BN$503)*(AL$4:AL$503-BN$4:BN$503))/MAX(1,COUNTIF(AL$4:AL$503,"&lt;"&amp;BN345+0.01)),BN345))</f>
        <v>3597.2614925</v>
      </c>
      <c r="CC345" s="95" t="str">
        <f aca="false">IF(AO345="🟢","VERDE",IF(AO345="🟡","AMARELO",IF(AO345="🟠","VERMELHO",IF(AO345="🔴","VERMELHO","ROXO"))))</f>
        <v>VERMELHO</v>
      </c>
      <c r="CD345" s="96" t="s">
        <v>176</v>
      </c>
      <c r="CE345" s="96" t="s">
        <v>110</v>
      </c>
    </row>
    <row r="346" customFormat="false" ht="14.25" hidden="false" customHeight="true" outlineLevel="0" collapsed="false">
      <c r="A346" s="65" t="s">
        <v>824</v>
      </c>
      <c r="B346" s="66" t="s">
        <v>825</v>
      </c>
      <c r="C346" s="67" t="s">
        <v>158</v>
      </c>
      <c r="D346" s="68" t="s">
        <v>100</v>
      </c>
      <c r="E346" s="69" t="s">
        <v>347</v>
      </c>
      <c r="F346" s="70" t="n">
        <f aca="false">IFERROR(VLOOKUP(C346,$AS$3:$AT$10,2,FALSE()),IFERROR(VLOOKUP(C346,$AS$15:$AT$22,2,FALSE()),""))</f>
        <v>29</v>
      </c>
      <c r="G346" s="71" t="n">
        <f aca="false">IFERROR(VLOOKUP(C346,$AS$3:$AX$10,6,FALSE()),IFERROR(VLOOKUP(C346,$AS$15:$AX$22,6,FALSE()),""))</f>
        <v>0.458564072601712</v>
      </c>
      <c r="H346" s="72" t="str">
        <f aca="false">IFERROR(VLOOKUP(C346,$AS$3:$AY$10,7,FALSE()),IFERROR(VLOOKUP(C346,$AS$15:$AY$22,7,FALSE()),""))</f>
        <v>🟡 AMARELO</v>
      </c>
      <c r="I346" s="72" t="str">
        <f aca="false">IFERROR(VLOOKUP(C346,$AS$3:$AZ$10,8,FALSE()),IFERROR(VLOOKUP(C346,$AS$15:$AZ$22,8,FALSE()),""))</f>
        <v>Sell Out</v>
      </c>
      <c r="J346" s="73"/>
      <c r="K346" s="69" t="s">
        <v>158</v>
      </c>
      <c r="L346" s="74" t="n">
        <v>2920.8</v>
      </c>
      <c r="M346" s="75" t="n">
        <v>205.25</v>
      </c>
      <c r="N346" s="75" t="n">
        <v>214.48</v>
      </c>
      <c r="O346" s="75" t="n">
        <v>219.65</v>
      </c>
      <c r="P346" s="75" t="n">
        <v>225.37</v>
      </c>
      <c r="Q346" s="75" t="n">
        <v>232.76</v>
      </c>
      <c r="R346" s="75" t="n">
        <v>238.85</v>
      </c>
      <c r="S346" s="75" t="n">
        <v>248.08</v>
      </c>
      <c r="T346" s="75" t="n">
        <v>254.17</v>
      </c>
      <c r="U346" s="75" t="n">
        <v>259.89</v>
      </c>
      <c r="V346" s="75" t="n">
        <v>266.35</v>
      </c>
      <c r="W346" s="75" t="n">
        <v>273.36</v>
      </c>
      <c r="X346" s="76" t="n">
        <v>282.59</v>
      </c>
      <c r="Y346" s="77" t="s">
        <v>20</v>
      </c>
      <c r="Z346" s="78" t="n">
        <f aca="false">SUM(AA346:AL346)</f>
        <v>2682.5</v>
      </c>
      <c r="AA346" s="75"/>
      <c r="AB346" s="75"/>
      <c r="AC346" s="75"/>
      <c r="AD346" s="75"/>
      <c r="AE346" s="75"/>
      <c r="AF346" s="75"/>
      <c r="AG346" s="75"/>
      <c r="AH346" s="75"/>
      <c r="AI346" s="79" t="n">
        <v>2682.5</v>
      </c>
      <c r="AJ346" s="75"/>
      <c r="AK346" s="75"/>
      <c r="AL346" s="76"/>
      <c r="AM346" s="56" t="s">
        <v>20</v>
      </c>
      <c r="AN346" s="80" t="n">
        <f aca="false">IF(L346=0,0,Z346/L346)</f>
        <v>0.918412763626404</v>
      </c>
      <c r="AO346" s="81" t="str">
        <f aca="false">IF(AN346="","",IF(AN346&gt;=0.9,"🟢",IF(AN346&gt;=0.7,"🟡",IF(AN346&gt;=0.5,"🟠","🔴"))))</f>
        <v>🟢</v>
      </c>
      <c r="AP346" s="82" t="n">
        <f aca="false">IF(L346=0,0,L346-Z346)</f>
        <v>238.3</v>
      </c>
      <c r="AQ346" s="83" t="n">
        <f aca="false">IF(AP346=0,"",RANK(AP346,AP$4:AP$503,0))</f>
        <v>473</v>
      </c>
      <c r="AR346" s="84" t="s">
        <v>20</v>
      </c>
      <c r="AS346" s="141"/>
      <c r="AT346" s="141"/>
      <c r="AU346" s="141"/>
      <c r="AV346" s="141"/>
      <c r="AW346" s="141"/>
      <c r="AX346" s="141"/>
      <c r="AY346" s="142"/>
      <c r="AZ346" s="142"/>
      <c r="BA346" s="56" t="s">
        <v>20</v>
      </c>
      <c r="BB346" s="91" t="n">
        <f aca="false">SUM(L$4:L$503)/COUNTA(A$4:A$503)</f>
        <v>9494.39992</v>
      </c>
      <c r="BC346" s="92" t="n">
        <f aca="false">SUM(M$4:M$503)/COUNTA(A$4:A$503)</f>
        <v>667.20008</v>
      </c>
      <c r="BD346" s="92" t="n">
        <f aca="false">SUM(N$4:N$503)/COUNTA(A$4:A$503)</f>
        <v>697.19996</v>
      </c>
      <c r="BE346" s="92" t="n">
        <f aca="false">SUM(O$4:O$503)/COUNTA(A$4:A$503)</f>
        <v>713.9999</v>
      </c>
      <c r="BF346" s="92" t="n">
        <f aca="false">SUM(P$4:P$503)/COUNTA(A$4:A$503)</f>
        <v>732.59984</v>
      </c>
      <c r="BG346" s="92" t="n">
        <f aca="false">SUM(Q$4:Q$503)/COUNTA(A$4:A$503)</f>
        <v>756.59992</v>
      </c>
      <c r="BH346" s="92" t="n">
        <f aca="false">SUM(R$4:R$503)/COUNTA(A$4:A$503)</f>
        <v>776.40004</v>
      </c>
      <c r="BI346" s="92" t="n">
        <f aca="false">SUM(S$4:S$503)/COUNTA(A$4:A$503)</f>
        <v>806.40012</v>
      </c>
      <c r="BJ346" s="92" t="n">
        <f aca="false">SUM(T$4:T$503)/COUNTA(A$4:A$503)</f>
        <v>826.1999</v>
      </c>
      <c r="BK346" s="92" t="n">
        <f aca="false">SUM(U$4:U$503)/COUNTA(A$4:A$503)</f>
        <v>844.8002</v>
      </c>
      <c r="BL346" s="92" t="n">
        <f aca="false">SUM(V$4:V$503)/COUNTA(A$4:A$503)</f>
        <v>865.7998</v>
      </c>
      <c r="BM346" s="92" t="n">
        <f aca="false">SUM(W$4:W$503)/COUNTA(A$4:A$503)</f>
        <v>888.59982</v>
      </c>
      <c r="BN346" s="93" t="n">
        <f aca="false">SUM(X$4:X$503)/COUNTA(A$4:A$503)</f>
        <v>918.60034</v>
      </c>
      <c r="BO346" s="94" t="s">
        <v>20</v>
      </c>
      <c r="BP346" s="91" t="n">
        <f aca="false">IF(Z346&gt;=BB346,0,IFERROR(BB346+(SUMPRODUCT((Z$4:Z$503&gt;=BB$4:BB$503)*(Z$4:Z$503-BB$4:BB$503))/MAX(1,COUNTIF(Z$4:Z$503,"&lt;"&amp;BB346+0.01))),BB346))</f>
        <v>10695.5432177778</v>
      </c>
      <c r="BQ346" s="92" t="n">
        <f aca="false">IF(AA346&gt;=BC346,0,IFERROR(BC346+SUMPRODUCT((AA$4:AA$503&gt;=BC$4:BC$503)*(AA$4:AA$503-BC$4:BC$503))/MAX(1,COUNTIF(AA$4:AA$503,"&lt;"&amp;BC346+0.01)),BC346))</f>
        <v>2238.46589176471</v>
      </c>
      <c r="BR346" s="92" t="n">
        <f aca="false">IF(AB346&gt;=BD346,0,IFERROR(BD346+SUMPRODUCT((AB$4:AB$503&gt;=BD$4:BD$503)*(AB$4:AB$503-BD$4:BD$503))/MAX(1,COUNTIF(AB$4:AB$503,"&lt;"&amp;BD346+0.01)),BD346))</f>
        <v>3335.2938</v>
      </c>
      <c r="BS346" s="92" t="n">
        <f aca="false">IF(AC346&gt;=BE346,0,IFERROR(BE346+SUMPRODUCT((AC$4:AC$503&gt;=BE$4:BE$503)*(AC$4:AC$503-BE$4:BE$503))/MAX(1,COUNTIF(AC$4:AC$503,"&lt;"&amp;BE346+0.01)),BE346))</f>
        <v>6188.73352</v>
      </c>
      <c r="BT346" s="92" t="n">
        <f aca="false">IF(AD346&gt;=BF346,0,IFERROR(BF346+SUMPRODUCT((AD$4:AD$503&gt;=BF$4:BF$503)*(AD$4:AD$503-BF$4:BF$503))/MAX(1,COUNTIF(AD$4:AD$503,"&lt;"&amp;BF346+0.01)),BF346))</f>
        <v>11354.35411</v>
      </c>
      <c r="BU346" s="92" t="n">
        <f aca="false">IF(AE346&gt;=BG346,0,IFERROR(BG346+SUMPRODUCT((AE$4:AE$503&gt;=BG$4:BG$503)*(AE$4:AE$503-BG$4:BG$503))/MAX(1,COUNTIF(AE$4:AE$503,"&lt;"&amp;BG346+0.01)),BG346))</f>
        <v>7704.85920380952</v>
      </c>
      <c r="BV346" s="92" t="n">
        <f aca="false">IF(AF346&gt;=BH346,0,IFERROR(BH346+SUMPRODUCT((AF$4:AF$503&gt;=BH$4:BH$503)*(AF$4:AF$503-BH$4:BH$503))/MAX(1,COUNTIF(AF$4:AF$503,"&lt;"&amp;BH346+0.01)),BH346))</f>
        <v>9942.6503831579</v>
      </c>
      <c r="BW346" s="92" t="n">
        <f aca="false">IF(AG346&gt;=BI346,0,IFERROR(BI346+SUMPRODUCT((AG$4:AG$503&gt;=BI$4:BI$503)*(AG$4:AG$503-BI$4:BI$503))/MAX(1,COUNTIF(AG$4:AG$503,"&lt;"&amp;BI346+0.01)),BI346))</f>
        <v>9142.15870461538</v>
      </c>
      <c r="BX346" s="92" t="n">
        <f aca="false">IF(AH346&gt;=BJ346,0,IFERROR(BJ346+SUMPRODUCT((AH$4:AH$503&gt;=BJ$4:BJ$503)*(AH$4:AH$503-BJ$4:BJ$503))/MAX(1,COUNTIF(AH$4:AH$503,"&lt;"&amp;BJ346+0.01)),BJ346))</f>
        <v>5621.50263448276</v>
      </c>
      <c r="BY346" s="92" t="n">
        <f aca="false">IF(AI346&gt;=BK346,0,IFERROR(BK346+SUMPRODUCT((AI$4:AI$503&gt;=BK$4:BK$503)*(AI$4:AI$503-BK$4:BK$503))/MAX(1,COUNTIF(AI$4:AI$503,"&lt;"&amp;BK346+0.01)),BK346))</f>
        <v>0</v>
      </c>
      <c r="BZ346" s="92" t="n">
        <f aca="false">IF(AJ346&gt;=BL346,0,IFERROR(BL346+SUMPRODUCT((AJ$4:AJ$503&gt;=BL$4:BL$503)*(AJ$4:AJ$503-BL$4:BL$503))/MAX(1,COUNTIF(AJ$4:AJ$503,"&lt;"&amp;BL346+0.01)),BL346))</f>
        <v>6710.03292307692</v>
      </c>
      <c r="CA346" s="92" t="n">
        <f aca="false">IF(AK346&gt;=BM346,0,IFERROR(BM346+SUMPRODUCT((AK$4:AK$503&gt;=BM$4:BM$503)*(AK$4:AK$503-BM$4:BM$503))/MAX(1,COUNTIF(AK$4:AK$503,"&lt;"&amp;BM346+0.01)),BM346))</f>
        <v>7314.89836842105</v>
      </c>
      <c r="CB346" s="93" t="n">
        <f aca="false">IF(AL346&gt;=BN346,0,IFERROR(BN346+SUMPRODUCT((AL$4:AL$503&gt;=BN$4:BN$503)*(AL$4:AL$503-BN$4:BN$503))/MAX(1,COUNTIF(AL$4:AL$503,"&lt;"&amp;BN346+0.01)),BN346))</f>
        <v>3597.2614925</v>
      </c>
      <c r="CC346" s="95" t="str">
        <f aca="false">IF(AO346="🟢","VERDE",IF(AO346="🟡","AMARELO",IF(AO346="🟠","VERMELHO",IF(AO346="🔴","VERMELHO","ROXO"))))</f>
        <v>VERDE</v>
      </c>
      <c r="CD346" s="96" t="s">
        <v>103</v>
      </c>
      <c r="CE346" s="96" t="s">
        <v>104</v>
      </c>
    </row>
    <row r="347" customFormat="false" ht="14.25" hidden="false" customHeight="true" outlineLevel="0" collapsed="false">
      <c r="A347" s="65" t="s">
        <v>826</v>
      </c>
      <c r="B347" s="66" t="s">
        <v>827</v>
      </c>
      <c r="C347" s="66" t="s">
        <v>115</v>
      </c>
      <c r="D347" s="68" t="s">
        <v>184</v>
      </c>
      <c r="E347" s="69" t="s">
        <v>101</v>
      </c>
      <c r="F347" s="70" t="n">
        <f aca="false">IFERROR(VLOOKUP(C347,$AS$3:$AT$10,2,FALSE()),IFERROR(VLOOKUP(C347,$AS$15:$AT$22,2,FALSE()),""))</f>
        <v>25</v>
      </c>
      <c r="G347" s="71" t="n">
        <f aca="false">IFERROR(VLOOKUP(C347,$AS$3:$AX$10,6,FALSE()),IFERROR(VLOOKUP(C347,$AS$15:$AX$22,6,FALSE()),""))</f>
        <v>0.536751750851081</v>
      </c>
      <c r="H347" s="72" t="str">
        <f aca="false">IFERROR(VLOOKUP(C347,$AS$3:$AY$10,7,FALSE()),IFERROR(VLOOKUP(C347,$AS$15:$AY$22,7,FALSE()),""))</f>
        <v>🟡 AMARELO</v>
      </c>
      <c r="I347" s="72" t="str">
        <f aca="false">IFERROR(VLOOKUP(C347,$AS$3:$AZ$10,8,FALSE()),IFERROR(VLOOKUP(C347,$AS$15:$AZ$22,8,FALSE()),""))</f>
        <v>Sell Out</v>
      </c>
      <c r="J347" s="73"/>
      <c r="K347" s="69" t="s">
        <v>99</v>
      </c>
      <c r="L347" s="74" t="n">
        <v>2907.21</v>
      </c>
      <c r="M347" s="75" t="n">
        <v>204.3</v>
      </c>
      <c r="N347" s="75" t="n">
        <v>213.48</v>
      </c>
      <c r="O347" s="75" t="n">
        <v>218.63</v>
      </c>
      <c r="P347" s="75" t="n">
        <v>224.32</v>
      </c>
      <c r="Q347" s="75" t="n">
        <v>231.67</v>
      </c>
      <c r="R347" s="75" t="n">
        <v>237.74</v>
      </c>
      <c r="S347" s="75" t="n">
        <v>246.92</v>
      </c>
      <c r="T347" s="75" t="n">
        <v>252.99</v>
      </c>
      <c r="U347" s="75" t="n">
        <v>258.68</v>
      </c>
      <c r="V347" s="75" t="n">
        <v>265.11</v>
      </c>
      <c r="W347" s="75" t="n">
        <v>272.09</v>
      </c>
      <c r="X347" s="76" t="n">
        <v>281.28</v>
      </c>
      <c r="Y347" s="77" t="s">
        <v>20</v>
      </c>
      <c r="Z347" s="78" t="n">
        <f aca="false">SUM(AA347:AL347)</f>
        <v>1511</v>
      </c>
      <c r="AA347" s="75"/>
      <c r="AB347" s="75"/>
      <c r="AC347" s="75"/>
      <c r="AD347" s="75"/>
      <c r="AE347" s="75"/>
      <c r="AF347" s="75"/>
      <c r="AG347" s="75"/>
      <c r="AH347" s="75"/>
      <c r="AI347" s="75"/>
      <c r="AJ347" s="79" t="n">
        <v>1511</v>
      </c>
      <c r="AK347" s="75"/>
      <c r="AL347" s="76"/>
      <c r="AM347" s="56" t="s">
        <v>20</v>
      </c>
      <c r="AN347" s="80" t="n">
        <f aca="false">IF(L347=0,0,Z347/L347)</f>
        <v>0.519742295878179</v>
      </c>
      <c r="AO347" s="81" t="str">
        <f aca="false">IF(AN347="","",IF(AN347&gt;=0.9,"🟢",IF(AN347&gt;=0.7,"🟡",IF(AN347&gt;=0.5,"🟠","🔴"))))</f>
        <v>🟠</v>
      </c>
      <c r="AP347" s="82" t="n">
        <f aca="false">IF(L347=0,0,L347-Z347)</f>
        <v>1396.21</v>
      </c>
      <c r="AQ347" s="83" t="n">
        <f aca="false">IF(AP347=0,"",RANK(AP347,AP$4:AP$503,0))</f>
        <v>341</v>
      </c>
      <c r="AR347" s="84" t="s">
        <v>20</v>
      </c>
      <c r="AS347" s="141"/>
      <c r="AT347" s="141"/>
      <c r="AU347" s="141"/>
      <c r="AV347" s="141"/>
      <c r="AW347" s="141"/>
      <c r="AX347" s="141"/>
      <c r="AY347" s="142"/>
      <c r="AZ347" s="142"/>
      <c r="BA347" s="56" t="s">
        <v>20</v>
      </c>
      <c r="BB347" s="91" t="n">
        <f aca="false">SUM(L$4:L$503)/COUNTA(A$4:A$503)</f>
        <v>9494.39992</v>
      </c>
      <c r="BC347" s="92" t="n">
        <f aca="false">SUM(M$4:M$503)/COUNTA(A$4:A$503)</f>
        <v>667.20008</v>
      </c>
      <c r="BD347" s="92" t="n">
        <f aca="false">SUM(N$4:N$503)/COUNTA(A$4:A$503)</f>
        <v>697.19996</v>
      </c>
      <c r="BE347" s="92" t="n">
        <f aca="false">SUM(O$4:O$503)/COUNTA(A$4:A$503)</f>
        <v>713.9999</v>
      </c>
      <c r="BF347" s="92" t="n">
        <f aca="false">SUM(P$4:P$503)/COUNTA(A$4:A$503)</f>
        <v>732.59984</v>
      </c>
      <c r="BG347" s="92" t="n">
        <f aca="false">SUM(Q$4:Q$503)/COUNTA(A$4:A$503)</f>
        <v>756.59992</v>
      </c>
      <c r="BH347" s="92" t="n">
        <f aca="false">SUM(R$4:R$503)/COUNTA(A$4:A$503)</f>
        <v>776.40004</v>
      </c>
      <c r="BI347" s="92" t="n">
        <f aca="false">SUM(S$4:S$503)/COUNTA(A$4:A$503)</f>
        <v>806.40012</v>
      </c>
      <c r="BJ347" s="92" t="n">
        <f aca="false">SUM(T$4:T$503)/COUNTA(A$4:A$503)</f>
        <v>826.1999</v>
      </c>
      <c r="BK347" s="92" t="n">
        <f aca="false">SUM(U$4:U$503)/COUNTA(A$4:A$503)</f>
        <v>844.8002</v>
      </c>
      <c r="BL347" s="92" t="n">
        <f aca="false">SUM(V$4:V$503)/COUNTA(A$4:A$503)</f>
        <v>865.7998</v>
      </c>
      <c r="BM347" s="92" t="n">
        <f aca="false">SUM(W$4:W$503)/COUNTA(A$4:A$503)</f>
        <v>888.59982</v>
      </c>
      <c r="BN347" s="93" t="n">
        <f aca="false">SUM(X$4:X$503)/COUNTA(A$4:A$503)</f>
        <v>918.60034</v>
      </c>
      <c r="BO347" s="94" t="s">
        <v>20</v>
      </c>
      <c r="BP347" s="91" t="n">
        <f aca="false">IF(Z347&gt;=BB347,0,IFERROR(BB347+(SUMPRODUCT((Z$4:Z$503&gt;=BB$4:BB$503)*(Z$4:Z$503-BB$4:BB$503))/MAX(1,COUNTIF(Z$4:Z$503,"&lt;"&amp;BB347+0.01))),BB347))</f>
        <v>10695.5432177778</v>
      </c>
      <c r="BQ347" s="92" t="n">
        <f aca="false">IF(AA347&gt;=BC347,0,IFERROR(BC347+SUMPRODUCT((AA$4:AA$503&gt;=BC$4:BC$503)*(AA$4:AA$503-BC$4:BC$503))/MAX(1,COUNTIF(AA$4:AA$503,"&lt;"&amp;BC347+0.01)),BC347))</f>
        <v>2238.46589176471</v>
      </c>
      <c r="BR347" s="92" t="n">
        <f aca="false">IF(AB347&gt;=BD347,0,IFERROR(BD347+SUMPRODUCT((AB$4:AB$503&gt;=BD$4:BD$503)*(AB$4:AB$503-BD$4:BD$503))/MAX(1,COUNTIF(AB$4:AB$503,"&lt;"&amp;BD347+0.01)),BD347))</f>
        <v>3335.2938</v>
      </c>
      <c r="BS347" s="92" t="n">
        <f aca="false">IF(AC347&gt;=BE347,0,IFERROR(BE347+SUMPRODUCT((AC$4:AC$503&gt;=BE$4:BE$503)*(AC$4:AC$503-BE$4:BE$503))/MAX(1,COUNTIF(AC$4:AC$503,"&lt;"&amp;BE347+0.01)),BE347))</f>
        <v>6188.73352</v>
      </c>
      <c r="BT347" s="92" t="n">
        <f aca="false">IF(AD347&gt;=BF347,0,IFERROR(BF347+SUMPRODUCT((AD$4:AD$503&gt;=BF$4:BF$503)*(AD$4:AD$503-BF$4:BF$503))/MAX(1,COUNTIF(AD$4:AD$503,"&lt;"&amp;BF347+0.01)),BF347))</f>
        <v>11354.35411</v>
      </c>
      <c r="BU347" s="92" t="n">
        <f aca="false">IF(AE347&gt;=BG347,0,IFERROR(BG347+SUMPRODUCT((AE$4:AE$503&gt;=BG$4:BG$503)*(AE$4:AE$503-BG$4:BG$503))/MAX(1,COUNTIF(AE$4:AE$503,"&lt;"&amp;BG347+0.01)),BG347))</f>
        <v>7704.85920380952</v>
      </c>
      <c r="BV347" s="92" t="n">
        <f aca="false">IF(AF347&gt;=BH347,0,IFERROR(BH347+SUMPRODUCT((AF$4:AF$503&gt;=BH$4:BH$503)*(AF$4:AF$503-BH$4:BH$503))/MAX(1,COUNTIF(AF$4:AF$503,"&lt;"&amp;BH347+0.01)),BH347))</f>
        <v>9942.6503831579</v>
      </c>
      <c r="BW347" s="92" t="n">
        <f aca="false">IF(AG347&gt;=BI347,0,IFERROR(BI347+SUMPRODUCT((AG$4:AG$503&gt;=BI$4:BI$503)*(AG$4:AG$503-BI$4:BI$503))/MAX(1,COUNTIF(AG$4:AG$503,"&lt;"&amp;BI347+0.01)),BI347))</f>
        <v>9142.15870461538</v>
      </c>
      <c r="BX347" s="92" t="n">
        <f aca="false">IF(AH347&gt;=BJ347,0,IFERROR(BJ347+SUMPRODUCT((AH$4:AH$503&gt;=BJ$4:BJ$503)*(AH$4:AH$503-BJ$4:BJ$503))/MAX(1,COUNTIF(AH$4:AH$503,"&lt;"&amp;BJ347+0.01)),BJ347))</f>
        <v>5621.50263448276</v>
      </c>
      <c r="BY347" s="92" t="n">
        <f aca="false">IF(AI347&gt;=BK347,0,IFERROR(BK347+SUMPRODUCT((AI$4:AI$503&gt;=BK$4:BK$503)*(AI$4:AI$503-BK$4:BK$503))/MAX(1,COUNTIF(AI$4:AI$503,"&lt;"&amp;BK347+0.01)),BK347))</f>
        <v>7878.25652380952</v>
      </c>
      <c r="BZ347" s="92" t="n">
        <f aca="false">IF(AJ347&gt;=BL347,0,IFERROR(BL347+SUMPRODUCT((AJ$4:AJ$503&gt;=BL$4:BL$503)*(AJ$4:AJ$503-BL$4:BL$503))/MAX(1,COUNTIF(AJ$4:AJ$503,"&lt;"&amp;BL347+0.01)),BL347))</f>
        <v>0</v>
      </c>
      <c r="CA347" s="92" t="n">
        <f aca="false">IF(AK347&gt;=BM347,0,IFERROR(BM347+SUMPRODUCT((AK$4:AK$503&gt;=BM$4:BM$503)*(AK$4:AK$503-BM$4:BM$503))/MAX(1,COUNTIF(AK$4:AK$503,"&lt;"&amp;BM347+0.01)),BM347))</f>
        <v>7314.89836842105</v>
      </c>
      <c r="CB347" s="93" t="n">
        <f aca="false">IF(AL347&gt;=BN347,0,IFERROR(BN347+SUMPRODUCT((AL$4:AL$503&gt;=BN$4:BN$503)*(AL$4:AL$503-BN$4:BN$503))/MAX(1,COUNTIF(AL$4:AL$503,"&lt;"&amp;BN347+0.01)),BN347))</f>
        <v>3597.2614925</v>
      </c>
      <c r="CC347" s="95" t="str">
        <f aca="false">IF(AO347="🟢","VERDE",IF(AO347="🟡","AMARELO",IF(AO347="🟠","VERMELHO",IF(AO347="🔴","VERMELHO","ROXO"))))</f>
        <v>VERMELHO</v>
      </c>
      <c r="CD347" s="96" t="s">
        <v>176</v>
      </c>
      <c r="CE347" s="96" t="s">
        <v>115</v>
      </c>
    </row>
    <row r="348" customFormat="false" ht="14.25" hidden="false" customHeight="true" outlineLevel="0" collapsed="false">
      <c r="A348" s="65" t="s">
        <v>828</v>
      </c>
      <c r="B348" s="66" t="s">
        <v>829</v>
      </c>
      <c r="C348" s="67" t="s">
        <v>99</v>
      </c>
      <c r="D348" s="68" t="s">
        <v>100</v>
      </c>
      <c r="E348" s="69" t="s">
        <v>311</v>
      </c>
      <c r="F348" s="70" t="n">
        <f aca="false">IFERROR(VLOOKUP(C348,$AS$3:$AT$10,2,FALSE()),IFERROR(VLOOKUP(C348,$AS$15:$AT$22,2,FALSE()),""))</f>
        <v>33</v>
      </c>
      <c r="G348" s="71" t="n">
        <f aca="false">IFERROR(VLOOKUP(C348,$AS$3:$AX$10,6,FALSE()),IFERROR(VLOOKUP(C348,$AS$15:$AX$22,6,FALSE()),""))</f>
        <v>0.341494038351172</v>
      </c>
      <c r="H348" s="72" t="str">
        <f aca="false">IFERROR(VLOOKUP(C348,$AS$3:$AY$10,7,FALSE()),IFERROR(VLOOKUP(C348,$AS$15:$AY$22,7,FALSE()),""))</f>
        <v>🔴 VERMELHO</v>
      </c>
      <c r="I348" s="72" t="str">
        <f aca="false">IFERROR(VLOOKUP(C348,$AS$3:$AZ$10,8,FALSE()),IFERROR(VLOOKUP(C348,$AS$15:$AZ$22,8,FALSE()),""))</f>
        <v>Positivação + Expandir</v>
      </c>
      <c r="J348" s="73"/>
      <c r="K348" s="69" t="s">
        <v>99</v>
      </c>
      <c r="L348" s="74" t="n">
        <v>2902.64</v>
      </c>
      <c r="M348" s="75" t="n">
        <v>203.98</v>
      </c>
      <c r="N348" s="75" t="n">
        <v>213.15</v>
      </c>
      <c r="O348" s="75" t="n">
        <v>218.29</v>
      </c>
      <c r="P348" s="75" t="n">
        <v>223.97</v>
      </c>
      <c r="Q348" s="75" t="n">
        <v>231.31</v>
      </c>
      <c r="R348" s="75" t="n">
        <v>237.36</v>
      </c>
      <c r="S348" s="75" t="n">
        <v>246.53</v>
      </c>
      <c r="T348" s="75" t="n">
        <v>252.59</v>
      </c>
      <c r="U348" s="75" t="n">
        <v>258.27</v>
      </c>
      <c r="V348" s="75" t="n">
        <v>264.69</v>
      </c>
      <c r="W348" s="75" t="n">
        <v>271.66</v>
      </c>
      <c r="X348" s="76" t="n">
        <v>280.84</v>
      </c>
      <c r="Y348" s="77" t="s">
        <v>20</v>
      </c>
      <c r="Z348" s="78" t="n">
        <f aca="false">SUM(AA348:AL348)</f>
        <v>1215.54</v>
      </c>
      <c r="AA348" s="75"/>
      <c r="AB348" s="75"/>
      <c r="AC348" s="75"/>
      <c r="AD348" s="75"/>
      <c r="AE348" s="75"/>
      <c r="AF348" s="75"/>
      <c r="AG348" s="75"/>
      <c r="AH348" s="79" t="n">
        <v>1215.54</v>
      </c>
      <c r="AI348" s="75"/>
      <c r="AJ348" s="75"/>
      <c r="AK348" s="75"/>
      <c r="AL348" s="76"/>
      <c r="AM348" s="56" t="s">
        <v>20</v>
      </c>
      <c r="AN348" s="80" t="n">
        <f aca="false">IF(L348=0,0,Z348/L348)</f>
        <v>0.418770498580603</v>
      </c>
      <c r="AO348" s="81" t="str">
        <f aca="false">IF(AN348="","",IF(AN348&gt;=0.9,"🟢",IF(AN348&gt;=0.7,"🟡",IF(AN348&gt;=0.5,"🟠","🔴"))))</f>
        <v>🔴</v>
      </c>
      <c r="AP348" s="82" t="n">
        <f aca="false">IF(L348=0,0,L348-Z348)</f>
        <v>1687.1</v>
      </c>
      <c r="AQ348" s="83" t="n">
        <f aca="false">IF(AP348=0,"",RANK(AP348,AP$4:AP$503,0))</f>
        <v>306</v>
      </c>
      <c r="AR348" s="84" t="s">
        <v>20</v>
      </c>
      <c r="AS348" s="141"/>
      <c r="AT348" s="141"/>
      <c r="AU348" s="141"/>
      <c r="AV348" s="141"/>
      <c r="AW348" s="141"/>
      <c r="AX348" s="141"/>
      <c r="AY348" s="142"/>
      <c r="AZ348" s="142"/>
      <c r="BA348" s="56" t="s">
        <v>20</v>
      </c>
      <c r="BB348" s="91" t="n">
        <f aca="false">SUM(L$4:L$503)/COUNTA(A$4:A$503)</f>
        <v>9494.39992</v>
      </c>
      <c r="BC348" s="92" t="n">
        <f aca="false">SUM(M$4:M$503)/COUNTA(A$4:A$503)</f>
        <v>667.20008</v>
      </c>
      <c r="BD348" s="92" t="n">
        <f aca="false">SUM(N$4:N$503)/COUNTA(A$4:A$503)</f>
        <v>697.19996</v>
      </c>
      <c r="BE348" s="92" t="n">
        <f aca="false">SUM(O$4:O$503)/COUNTA(A$4:A$503)</f>
        <v>713.9999</v>
      </c>
      <c r="BF348" s="92" t="n">
        <f aca="false">SUM(P$4:P$503)/COUNTA(A$4:A$503)</f>
        <v>732.59984</v>
      </c>
      <c r="BG348" s="92" t="n">
        <f aca="false">SUM(Q$4:Q$503)/COUNTA(A$4:A$503)</f>
        <v>756.59992</v>
      </c>
      <c r="BH348" s="92" t="n">
        <f aca="false">SUM(R$4:R$503)/COUNTA(A$4:A$503)</f>
        <v>776.40004</v>
      </c>
      <c r="BI348" s="92" t="n">
        <f aca="false">SUM(S$4:S$503)/COUNTA(A$4:A$503)</f>
        <v>806.40012</v>
      </c>
      <c r="BJ348" s="92" t="n">
        <f aca="false">SUM(T$4:T$503)/COUNTA(A$4:A$503)</f>
        <v>826.1999</v>
      </c>
      <c r="BK348" s="92" t="n">
        <f aca="false">SUM(U$4:U$503)/COUNTA(A$4:A$503)</f>
        <v>844.8002</v>
      </c>
      <c r="BL348" s="92" t="n">
        <f aca="false">SUM(V$4:V$503)/COUNTA(A$4:A$503)</f>
        <v>865.7998</v>
      </c>
      <c r="BM348" s="92" t="n">
        <f aca="false">SUM(W$4:W$503)/COUNTA(A$4:A$503)</f>
        <v>888.59982</v>
      </c>
      <c r="BN348" s="93" t="n">
        <f aca="false">SUM(X$4:X$503)/COUNTA(A$4:A$503)</f>
        <v>918.60034</v>
      </c>
      <c r="BO348" s="94" t="s">
        <v>20</v>
      </c>
      <c r="BP348" s="91" t="n">
        <f aca="false">IF(Z348&gt;=BB348,0,IFERROR(BB348+(SUMPRODUCT((Z$4:Z$503&gt;=BB$4:BB$503)*(Z$4:Z$503-BB$4:BB$503))/MAX(1,COUNTIF(Z$4:Z$503,"&lt;"&amp;BB348+0.01))),BB348))</f>
        <v>10695.5432177778</v>
      </c>
      <c r="BQ348" s="92" t="n">
        <f aca="false">IF(AA348&gt;=BC348,0,IFERROR(BC348+SUMPRODUCT((AA$4:AA$503&gt;=BC$4:BC$503)*(AA$4:AA$503-BC$4:BC$503))/MAX(1,COUNTIF(AA$4:AA$503,"&lt;"&amp;BC348+0.01)),BC348))</f>
        <v>2238.46589176471</v>
      </c>
      <c r="BR348" s="92" t="n">
        <f aca="false">IF(AB348&gt;=BD348,0,IFERROR(BD348+SUMPRODUCT((AB$4:AB$503&gt;=BD$4:BD$503)*(AB$4:AB$503-BD$4:BD$503))/MAX(1,COUNTIF(AB$4:AB$503,"&lt;"&amp;BD348+0.01)),BD348))</f>
        <v>3335.2938</v>
      </c>
      <c r="BS348" s="92" t="n">
        <f aca="false">IF(AC348&gt;=BE348,0,IFERROR(BE348+SUMPRODUCT((AC$4:AC$503&gt;=BE$4:BE$503)*(AC$4:AC$503-BE$4:BE$503))/MAX(1,COUNTIF(AC$4:AC$503,"&lt;"&amp;BE348+0.01)),BE348))</f>
        <v>6188.73352</v>
      </c>
      <c r="BT348" s="92" t="n">
        <f aca="false">IF(AD348&gt;=BF348,0,IFERROR(BF348+SUMPRODUCT((AD$4:AD$503&gt;=BF$4:BF$503)*(AD$4:AD$503-BF$4:BF$503))/MAX(1,COUNTIF(AD$4:AD$503,"&lt;"&amp;BF348+0.01)),BF348))</f>
        <v>11354.35411</v>
      </c>
      <c r="BU348" s="92" t="n">
        <f aca="false">IF(AE348&gt;=BG348,0,IFERROR(BG348+SUMPRODUCT((AE$4:AE$503&gt;=BG$4:BG$503)*(AE$4:AE$503-BG$4:BG$503))/MAX(1,COUNTIF(AE$4:AE$503,"&lt;"&amp;BG348+0.01)),BG348))</f>
        <v>7704.85920380952</v>
      </c>
      <c r="BV348" s="92" t="n">
        <f aca="false">IF(AF348&gt;=BH348,0,IFERROR(BH348+SUMPRODUCT((AF$4:AF$503&gt;=BH$4:BH$503)*(AF$4:AF$503-BH$4:BH$503))/MAX(1,COUNTIF(AF$4:AF$503,"&lt;"&amp;BH348+0.01)),BH348))</f>
        <v>9942.6503831579</v>
      </c>
      <c r="BW348" s="92" t="n">
        <f aca="false">IF(AG348&gt;=BI348,0,IFERROR(BI348+SUMPRODUCT((AG$4:AG$503&gt;=BI$4:BI$503)*(AG$4:AG$503-BI$4:BI$503))/MAX(1,COUNTIF(AG$4:AG$503,"&lt;"&amp;BI348+0.01)),BI348))</f>
        <v>9142.15870461538</v>
      </c>
      <c r="BX348" s="92" t="n">
        <f aca="false">IF(AH348&gt;=BJ348,0,IFERROR(BJ348+SUMPRODUCT((AH$4:AH$503&gt;=BJ$4:BJ$503)*(AH$4:AH$503-BJ$4:BJ$503))/MAX(1,COUNTIF(AH$4:AH$503,"&lt;"&amp;BJ348+0.01)),BJ348))</f>
        <v>0</v>
      </c>
      <c r="BY348" s="92" t="n">
        <f aca="false">IF(AI348&gt;=BK348,0,IFERROR(BK348+SUMPRODUCT((AI$4:AI$503&gt;=BK$4:BK$503)*(AI$4:AI$503-BK$4:BK$503))/MAX(1,COUNTIF(AI$4:AI$503,"&lt;"&amp;BK348+0.01)),BK348))</f>
        <v>7878.25652380952</v>
      </c>
      <c r="BZ348" s="92" t="n">
        <f aca="false">IF(AJ348&gt;=BL348,0,IFERROR(BL348+SUMPRODUCT((AJ$4:AJ$503&gt;=BL$4:BL$503)*(AJ$4:AJ$503-BL$4:BL$503))/MAX(1,COUNTIF(AJ$4:AJ$503,"&lt;"&amp;BL348+0.01)),BL348))</f>
        <v>6710.03292307692</v>
      </c>
      <c r="CA348" s="92" t="n">
        <f aca="false">IF(AK348&gt;=BM348,0,IFERROR(BM348+SUMPRODUCT((AK$4:AK$503&gt;=BM$4:BM$503)*(AK$4:AK$503-BM$4:BM$503))/MAX(1,COUNTIF(AK$4:AK$503,"&lt;"&amp;BM348+0.01)),BM348))</f>
        <v>7314.89836842105</v>
      </c>
      <c r="CB348" s="93" t="n">
        <f aca="false">IF(AL348&gt;=BN348,0,IFERROR(BN348+SUMPRODUCT((AL$4:AL$503&gt;=BN$4:BN$503)*(AL$4:AL$503-BN$4:BN$503))/MAX(1,COUNTIF(AL$4:AL$503,"&lt;"&amp;BN348+0.01)),BN348))</f>
        <v>3597.2614925</v>
      </c>
      <c r="CC348" s="95" t="str">
        <f aca="false">IF(AO348="🟢","VERDE",IF(AO348="🟡","AMARELO",IF(AO348="🟠","VERMELHO",IF(AO348="🔴","VERMELHO","ROXO"))))</f>
        <v>VERMELHO</v>
      </c>
      <c r="CD348" s="96" t="s">
        <v>103</v>
      </c>
      <c r="CE348" s="96" t="s">
        <v>104</v>
      </c>
    </row>
    <row r="349" customFormat="false" ht="14.25" hidden="false" customHeight="true" outlineLevel="0" collapsed="false">
      <c r="A349" s="65" t="s">
        <v>830</v>
      </c>
      <c r="B349" s="66" t="s">
        <v>831</v>
      </c>
      <c r="C349" s="67" t="s">
        <v>158</v>
      </c>
      <c r="D349" s="68" t="s">
        <v>100</v>
      </c>
      <c r="E349" s="69" t="s">
        <v>187</v>
      </c>
      <c r="F349" s="70" t="n">
        <f aca="false">IFERROR(VLOOKUP(C349,$AS$3:$AT$10,2,FALSE()),IFERROR(VLOOKUP(C349,$AS$15:$AT$22,2,FALSE()),""))</f>
        <v>29</v>
      </c>
      <c r="G349" s="71" t="n">
        <f aca="false">IFERROR(VLOOKUP(C349,$AS$3:$AX$10,6,FALSE()),IFERROR(VLOOKUP(C349,$AS$15:$AX$22,6,FALSE()),""))</f>
        <v>0.458564072601712</v>
      </c>
      <c r="H349" s="72" t="str">
        <f aca="false">IFERROR(VLOOKUP(C349,$AS$3:$AY$10,7,FALSE()),IFERROR(VLOOKUP(C349,$AS$15:$AY$22,7,FALSE()),""))</f>
        <v>🟡 AMARELO</v>
      </c>
      <c r="I349" s="72" t="str">
        <f aca="false">IFERROR(VLOOKUP(C349,$AS$3:$AZ$10,8,FALSE()),IFERROR(VLOOKUP(C349,$AS$15:$AZ$22,8,FALSE()),""))</f>
        <v>Sell Out</v>
      </c>
      <c r="J349" s="73"/>
      <c r="K349" s="69" t="s">
        <v>158</v>
      </c>
      <c r="L349" s="74" t="n">
        <v>2889.14</v>
      </c>
      <c r="M349" s="75" t="n">
        <v>203.03</v>
      </c>
      <c r="N349" s="75" t="n">
        <v>212.16</v>
      </c>
      <c r="O349" s="75" t="n">
        <v>217.27</v>
      </c>
      <c r="P349" s="75" t="n">
        <v>222.93</v>
      </c>
      <c r="Q349" s="75" t="n">
        <v>230.23</v>
      </c>
      <c r="R349" s="75" t="n">
        <v>236.26</v>
      </c>
      <c r="S349" s="75" t="n">
        <v>245.39</v>
      </c>
      <c r="T349" s="75" t="n">
        <v>251.41</v>
      </c>
      <c r="U349" s="75" t="n">
        <v>257.07</v>
      </c>
      <c r="V349" s="75" t="n">
        <v>263.46</v>
      </c>
      <c r="W349" s="75" t="n">
        <v>270.4</v>
      </c>
      <c r="X349" s="76" t="n">
        <v>279.53</v>
      </c>
      <c r="Y349" s="77" t="s">
        <v>20</v>
      </c>
      <c r="Z349" s="78" t="n">
        <f aca="false">SUM(AA349:AL349)</f>
        <v>1453.07</v>
      </c>
      <c r="AA349" s="75"/>
      <c r="AB349" s="75"/>
      <c r="AC349" s="75"/>
      <c r="AD349" s="75"/>
      <c r="AE349" s="75"/>
      <c r="AF349" s="75"/>
      <c r="AG349" s="75"/>
      <c r="AH349" s="75"/>
      <c r="AI349" s="75"/>
      <c r="AJ349" s="79" t="n">
        <v>1453.07</v>
      </c>
      <c r="AK349" s="75"/>
      <c r="AL349" s="76"/>
      <c r="AM349" s="56" t="s">
        <v>20</v>
      </c>
      <c r="AN349" s="80" t="n">
        <f aca="false">IF(L349=0,0,Z349/L349)</f>
        <v>0.502942051960099</v>
      </c>
      <c r="AO349" s="81" t="str">
        <f aca="false">IF(AN349="","",IF(AN349&gt;=0.9,"🟢",IF(AN349&gt;=0.7,"🟡",IF(AN349&gt;=0.5,"🟠","🔴"))))</f>
        <v>🟠</v>
      </c>
      <c r="AP349" s="82" t="n">
        <f aca="false">IF(L349=0,0,L349-Z349)</f>
        <v>1436.07</v>
      </c>
      <c r="AQ349" s="83" t="n">
        <f aca="false">IF(AP349=0,"",RANK(AP349,AP$4:AP$503,0))</f>
        <v>332</v>
      </c>
      <c r="AR349" s="84" t="s">
        <v>20</v>
      </c>
      <c r="AS349" s="141"/>
      <c r="AT349" s="141"/>
      <c r="AU349" s="141"/>
      <c r="AV349" s="141"/>
      <c r="AW349" s="141"/>
      <c r="AX349" s="141"/>
      <c r="AY349" s="142"/>
      <c r="AZ349" s="142"/>
      <c r="BA349" s="56" t="s">
        <v>20</v>
      </c>
      <c r="BB349" s="91" t="n">
        <f aca="false">SUM(L$4:L$503)/COUNTA(A$4:A$503)</f>
        <v>9494.39992</v>
      </c>
      <c r="BC349" s="92" t="n">
        <f aca="false">SUM(M$4:M$503)/COUNTA(A$4:A$503)</f>
        <v>667.20008</v>
      </c>
      <c r="BD349" s="92" t="n">
        <f aca="false">SUM(N$4:N$503)/COUNTA(A$4:A$503)</f>
        <v>697.19996</v>
      </c>
      <c r="BE349" s="92" t="n">
        <f aca="false">SUM(O$4:O$503)/COUNTA(A$4:A$503)</f>
        <v>713.9999</v>
      </c>
      <c r="BF349" s="92" t="n">
        <f aca="false">SUM(P$4:P$503)/COUNTA(A$4:A$503)</f>
        <v>732.59984</v>
      </c>
      <c r="BG349" s="92" t="n">
        <f aca="false">SUM(Q$4:Q$503)/COUNTA(A$4:A$503)</f>
        <v>756.59992</v>
      </c>
      <c r="BH349" s="92" t="n">
        <f aca="false">SUM(R$4:R$503)/COUNTA(A$4:A$503)</f>
        <v>776.40004</v>
      </c>
      <c r="BI349" s="92" t="n">
        <f aca="false">SUM(S$4:S$503)/COUNTA(A$4:A$503)</f>
        <v>806.40012</v>
      </c>
      <c r="BJ349" s="92" t="n">
        <f aca="false">SUM(T$4:T$503)/COUNTA(A$4:A$503)</f>
        <v>826.1999</v>
      </c>
      <c r="BK349" s="92" t="n">
        <f aca="false">SUM(U$4:U$503)/COUNTA(A$4:A$503)</f>
        <v>844.8002</v>
      </c>
      <c r="BL349" s="92" t="n">
        <f aca="false">SUM(V$4:V$503)/COUNTA(A$4:A$503)</f>
        <v>865.7998</v>
      </c>
      <c r="BM349" s="92" t="n">
        <f aca="false">SUM(W$4:W$503)/COUNTA(A$4:A$503)</f>
        <v>888.59982</v>
      </c>
      <c r="BN349" s="93" t="n">
        <f aca="false">SUM(X$4:X$503)/COUNTA(A$4:A$503)</f>
        <v>918.60034</v>
      </c>
      <c r="BO349" s="94" t="s">
        <v>20</v>
      </c>
      <c r="BP349" s="91" t="n">
        <f aca="false">IF(Z349&gt;=BB349,0,IFERROR(BB349+(SUMPRODUCT((Z$4:Z$503&gt;=BB$4:BB$503)*(Z$4:Z$503-BB$4:BB$503))/MAX(1,COUNTIF(Z$4:Z$503,"&lt;"&amp;BB349+0.01))),BB349))</f>
        <v>10695.5432177778</v>
      </c>
      <c r="BQ349" s="92" t="n">
        <f aca="false">IF(AA349&gt;=BC349,0,IFERROR(BC349+SUMPRODUCT((AA$4:AA$503&gt;=BC$4:BC$503)*(AA$4:AA$503-BC$4:BC$503))/MAX(1,COUNTIF(AA$4:AA$503,"&lt;"&amp;BC349+0.01)),BC349))</f>
        <v>2238.46589176471</v>
      </c>
      <c r="BR349" s="92" t="n">
        <f aca="false">IF(AB349&gt;=BD349,0,IFERROR(BD349+SUMPRODUCT((AB$4:AB$503&gt;=BD$4:BD$503)*(AB$4:AB$503-BD$4:BD$503))/MAX(1,COUNTIF(AB$4:AB$503,"&lt;"&amp;BD349+0.01)),BD349))</f>
        <v>3335.2938</v>
      </c>
      <c r="BS349" s="92" t="n">
        <f aca="false">IF(AC349&gt;=BE349,0,IFERROR(BE349+SUMPRODUCT((AC$4:AC$503&gt;=BE$4:BE$503)*(AC$4:AC$503-BE$4:BE$503))/MAX(1,COUNTIF(AC$4:AC$503,"&lt;"&amp;BE349+0.01)),BE349))</f>
        <v>6188.73352</v>
      </c>
      <c r="BT349" s="92" t="n">
        <f aca="false">IF(AD349&gt;=BF349,0,IFERROR(BF349+SUMPRODUCT((AD$4:AD$503&gt;=BF$4:BF$503)*(AD$4:AD$503-BF$4:BF$503))/MAX(1,COUNTIF(AD$4:AD$503,"&lt;"&amp;BF349+0.01)),BF349))</f>
        <v>11354.35411</v>
      </c>
      <c r="BU349" s="92" t="n">
        <f aca="false">IF(AE349&gt;=BG349,0,IFERROR(BG349+SUMPRODUCT((AE$4:AE$503&gt;=BG$4:BG$503)*(AE$4:AE$503-BG$4:BG$503))/MAX(1,COUNTIF(AE$4:AE$503,"&lt;"&amp;BG349+0.01)),BG349))</f>
        <v>7704.85920380952</v>
      </c>
      <c r="BV349" s="92" t="n">
        <f aca="false">IF(AF349&gt;=BH349,0,IFERROR(BH349+SUMPRODUCT((AF$4:AF$503&gt;=BH$4:BH$503)*(AF$4:AF$503-BH$4:BH$503))/MAX(1,COUNTIF(AF$4:AF$503,"&lt;"&amp;BH349+0.01)),BH349))</f>
        <v>9942.6503831579</v>
      </c>
      <c r="BW349" s="92" t="n">
        <f aca="false">IF(AG349&gt;=BI349,0,IFERROR(BI349+SUMPRODUCT((AG$4:AG$503&gt;=BI$4:BI$503)*(AG$4:AG$503-BI$4:BI$503))/MAX(1,COUNTIF(AG$4:AG$503,"&lt;"&amp;BI349+0.01)),BI349))</f>
        <v>9142.15870461538</v>
      </c>
      <c r="BX349" s="92" t="n">
        <f aca="false">IF(AH349&gt;=BJ349,0,IFERROR(BJ349+SUMPRODUCT((AH$4:AH$503&gt;=BJ$4:BJ$503)*(AH$4:AH$503-BJ$4:BJ$503))/MAX(1,COUNTIF(AH$4:AH$503,"&lt;"&amp;BJ349+0.01)),BJ349))</f>
        <v>5621.50263448276</v>
      </c>
      <c r="BY349" s="92" t="n">
        <f aca="false">IF(AI349&gt;=BK349,0,IFERROR(BK349+SUMPRODUCT((AI$4:AI$503&gt;=BK$4:BK$503)*(AI$4:AI$503-BK$4:BK$503))/MAX(1,COUNTIF(AI$4:AI$503,"&lt;"&amp;BK349+0.01)),BK349))</f>
        <v>7878.25652380952</v>
      </c>
      <c r="BZ349" s="92" t="n">
        <f aca="false">IF(AJ349&gt;=BL349,0,IFERROR(BL349+SUMPRODUCT((AJ$4:AJ$503&gt;=BL$4:BL$503)*(AJ$4:AJ$503-BL$4:BL$503))/MAX(1,COUNTIF(AJ$4:AJ$503,"&lt;"&amp;BL349+0.01)),BL349))</f>
        <v>0</v>
      </c>
      <c r="CA349" s="92" t="n">
        <f aca="false">IF(AK349&gt;=BM349,0,IFERROR(BM349+SUMPRODUCT((AK$4:AK$503&gt;=BM$4:BM$503)*(AK$4:AK$503-BM$4:BM$503))/MAX(1,COUNTIF(AK$4:AK$503,"&lt;"&amp;BM349+0.01)),BM349))</f>
        <v>7314.89836842105</v>
      </c>
      <c r="CB349" s="93" t="n">
        <f aca="false">IF(AL349&gt;=BN349,0,IFERROR(BN349+SUMPRODUCT((AL$4:AL$503&gt;=BN$4:BN$503)*(AL$4:AL$503-BN$4:BN$503))/MAX(1,COUNTIF(AL$4:AL$503,"&lt;"&amp;BN349+0.01)),BN349))</f>
        <v>3597.2614925</v>
      </c>
      <c r="CC349" s="95" t="str">
        <f aca="false">IF(AO349="🟢","VERDE",IF(AO349="🟡","AMARELO",IF(AO349="🟠","VERMELHO",IF(AO349="🔴","VERMELHO","ROXO"))))</f>
        <v>VERMELHO</v>
      </c>
      <c r="CD349" s="96" t="s">
        <v>103</v>
      </c>
      <c r="CE349" s="96" t="s">
        <v>104</v>
      </c>
    </row>
    <row r="350" customFormat="false" ht="14.25" hidden="false" customHeight="true" outlineLevel="0" collapsed="false">
      <c r="A350" s="65" t="s">
        <v>832</v>
      </c>
      <c r="B350" s="66" t="s">
        <v>833</v>
      </c>
      <c r="C350" s="67" t="s">
        <v>107</v>
      </c>
      <c r="D350" s="68" t="s">
        <v>108</v>
      </c>
      <c r="E350" s="69" t="s">
        <v>196</v>
      </c>
      <c r="F350" s="70" t="n">
        <f aca="false">IFERROR(VLOOKUP(C350,$AS$3:$AT$10,2,FALSE()),IFERROR(VLOOKUP(C350,$AS$15:$AT$22,2,FALSE()),""))</f>
        <v>132</v>
      </c>
      <c r="G350" s="71" t="n">
        <f aca="false">IFERROR(VLOOKUP(C350,$AS$3:$AX$10,6,FALSE()),IFERROR(VLOOKUP(C350,$AS$15:$AX$22,6,FALSE()),""))</f>
        <v>0.468190175850689</v>
      </c>
      <c r="H350" s="72" t="str">
        <f aca="false">IFERROR(VLOOKUP(C350,$AS$3:$AY$10,7,FALSE()),IFERROR(VLOOKUP(C350,$AS$15:$AY$22,7,FALSE()),""))</f>
        <v>🟡 AMARELO</v>
      </c>
      <c r="I350" s="72" t="str">
        <f aca="false">IFERROR(VLOOKUP(C350,$AS$3:$AZ$10,8,FALSE()),IFERROR(VLOOKUP(C350,$AS$15:$AZ$22,8,FALSE()),""))</f>
        <v>Sell Out</v>
      </c>
      <c r="J350" s="73"/>
      <c r="K350" s="69" t="s">
        <v>107</v>
      </c>
      <c r="L350" s="74" t="n">
        <v>2875.76</v>
      </c>
      <c r="M350" s="75" t="n">
        <v>202.09</v>
      </c>
      <c r="N350" s="75" t="n">
        <v>211.18</v>
      </c>
      <c r="O350" s="75" t="n">
        <v>216.26</v>
      </c>
      <c r="P350" s="75" t="n">
        <v>221.9</v>
      </c>
      <c r="Q350" s="75" t="n">
        <v>229.17</v>
      </c>
      <c r="R350" s="75" t="n">
        <v>235.16</v>
      </c>
      <c r="S350" s="75" t="n">
        <v>244.25</v>
      </c>
      <c r="T350" s="75" t="n">
        <v>250.25</v>
      </c>
      <c r="U350" s="75" t="n">
        <v>255.88</v>
      </c>
      <c r="V350" s="75" t="n">
        <v>262.24</v>
      </c>
      <c r="W350" s="75" t="n">
        <v>269.15</v>
      </c>
      <c r="X350" s="76" t="n">
        <v>278.23</v>
      </c>
      <c r="Y350" s="77" t="s">
        <v>20</v>
      </c>
      <c r="Z350" s="78" t="n">
        <f aca="false">SUM(AA350:AL350)</f>
        <v>1194.58</v>
      </c>
      <c r="AA350" s="75"/>
      <c r="AB350" s="75"/>
      <c r="AC350" s="75"/>
      <c r="AD350" s="75"/>
      <c r="AE350" s="75"/>
      <c r="AF350" s="75"/>
      <c r="AG350" s="75"/>
      <c r="AH350" s="75"/>
      <c r="AI350" s="75"/>
      <c r="AJ350" s="79" t="n">
        <v>1194.58</v>
      </c>
      <c r="AK350" s="75"/>
      <c r="AL350" s="76"/>
      <c r="AM350" s="56" t="s">
        <v>20</v>
      </c>
      <c r="AN350" s="80" t="n">
        <f aca="false">IF(L350=0,0,Z350/L350)</f>
        <v>0.415396277853506</v>
      </c>
      <c r="AO350" s="81" t="str">
        <f aca="false">IF(AN350="","",IF(AN350&gt;=0.9,"🟢",IF(AN350&gt;=0.7,"🟡",IF(AN350&gt;=0.5,"🟠","🔴"))))</f>
        <v>🔴</v>
      </c>
      <c r="AP350" s="82" t="n">
        <f aca="false">IF(L350=0,0,L350-Z350)</f>
        <v>1681.18</v>
      </c>
      <c r="AQ350" s="83" t="n">
        <f aca="false">IF(AP350=0,"",RANK(AP350,AP$4:AP$503,0))</f>
        <v>307</v>
      </c>
      <c r="AR350" s="84" t="s">
        <v>20</v>
      </c>
      <c r="AS350" s="141"/>
      <c r="AT350" s="141"/>
      <c r="AU350" s="141"/>
      <c r="AV350" s="141"/>
      <c r="AW350" s="141"/>
      <c r="AX350" s="141"/>
      <c r="AY350" s="142"/>
      <c r="AZ350" s="142"/>
      <c r="BA350" s="56" t="s">
        <v>20</v>
      </c>
      <c r="BB350" s="91" t="n">
        <f aca="false">SUM(L$4:L$503)/COUNTA(A$4:A$503)</f>
        <v>9494.39992</v>
      </c>
      <c r="BC350" s="92" t="n">
        <f aca="false">SUM(M$4:M$503)/COUNTA(A$4:A$503)</f>
        <v>667.20008</v>
      </c>
      <c r="BD350" s="92" t="n">
        <f aca="false">SUM(N$4:N$503)/COUNTA(A$4:A$503)</f>
        <v>697.19996</v>
      </c>
      <c r="BE350" s="92" t="n">
        <f aca="false">SUM(O$4:O$503)/COUNTA(A$4:A$503)</f>
        <v>713.9999</v>
      </c>
      <c r="BF350" s="92" t="n">
        <f aca="false">SUM(P$4:P$503)/COUNTA(A$4:A$503)</f>
        <v>732.59984</v>
      </c>
      <c r="BG350" s="92" t="n">
        <f aca="false">SUM(Q$4:Q$503)/COUNTA(A$4:A$503)</f>
        <v>756.59992</v>
      </c>
      <c r="BH350" s="92" t="n">
        <f aca="false">SUM(R$4:R$503)/COUNTA(A$4:A$503)</f>
        <v>776.40004</v>
      </c>
      <c r="BI350" s="92" t="n">
        <f aca="false">SUM(S$4:S$503)/COUNTA(A$4:A$503)</f>
        <v>806.40012</v>
      </c>
      <c r="BJ350" s="92" t="n">
        <f aca="false">SUM(T$4:T$503)/COUNTA(A$4:A$503)</f>
        <v>826.1999</v>
      </c>
      <c r="BK350" s="92" t="n">
        <f aca="false">SUM(U$4:U$503)/COUNTA(A$4:A$503)</f>
        <v>844.8002</v>
      </c>
      <c r="BL350" s="92" t="n">
        <f aca="false">SUM(V$4:V$503)/COUNTA(A$4:A$503)</f>
        <v>865.7998</v>
      </c>
      <c r="BM350" s="92" t="n">
        <f aca="false">SUM(W$4:W$503)/COUNTA(A$4:A$503)</f>
        <v>888.59982</v>
      </c>
      <c r="BN350" s="93" t="n">
        <f aca="false">SUM(X$4:X$503)/COUNTA(A$4:A$503)</f>
        <v>918.60034</v>
      </c>
      <c r="BO350" s="94" t="s">
        <v>20</v>
      </c>
      <c r="BP350" s="91" t="n">
        <f aca="false">IF(Z350&gt;=BB350,0,IFERROR(BB350+(SUMPRODUCT((Z$4:Z$503&gt;=BB$4:BB$503)*(Z$4:Z$503-BB$4:BB$503))/MAX(1,COUNTIF(Z$4:Z$503,"&lt;"&amp;BB350+0.01))),BB350))</f>
        <v>10695.5432177778</v>
      </c>
      <c r="BQ350" s="92" t="n">
        <f aca="false">IF(AA350&gt;=BC350,0,IFERROR(BC350+SUMPRODUCT((AA$4:AA$503&gt;=BC$4:BC$503)*(AA$4:AA$503-BC$4:BC$503))/MAX(1,COUNTIF(AA$4:AA$503,"&lt;"&amp;BC350+0.01)),BC350))</f>
        <v>2238.46589176471</v>
      </c>
      <c r="BR350" s="92" t="n">
        <f aca="false">IF(AB350&gt;=BD350,0,IFERROR(BD350+SUMPRODUCT((AB$4:AB$503&gt;=BD$4:BD$503)*(AB$4:AB$503-BD$4:BD$503))/MAX(1,COUNTIF(AB$4:AB$503,"&lt;"&amp;BD350+0.01)),BD350))</f>
        <v>3335.2938</v>
      </c>
      <c r="BS350" s="92" t="n">
        <f aca="false">IF(AC350&gt;=BE350,0,IFERROR(BE350+SUMPRODUCT((AC$4:AC$503&gt;=BE$4:BE$503)*(AC$4:AC$503-BE$4:BE$503))/MAX(1,COUNTIF(AC$4:AC$503,"&lt;"&amp;BE350+0.01)),BE350))</f>
        <v>6188.73352</v>
      </c>
      <c r="BT350" s="92" t="n">
        <f aca="false">IF(AD350&gt;=BF350,0,IFERROR(BF350+SUMPRODUCT((AD$4:AD$503&gt;=BF$4:BF$503)*(AD$4:AD$503-BF$4:BF$503))/MAX(1,COUNTIF(AD$4:AD$503,"&lt;"&amp;BF350+0.01)),BF350))</f>
        <v>11354.35411</v>
      </c>
      <c r="BU350" s="92" t="n">
        <f aca="false">IF(AE350&gt;=BG350,0,IFERROR(BG350+SUMPRODUCT((AE$4:AE$503&gt;=BG$4:BG$503)*(AE$4:AE$503-BG$4:BG$503))/MAX(1,COUNTIF(AE$4:AE$503,"&lt;"&amp;BG350+0.01)),BG350))</f>
        <v>7704.85920380952</v>
      </c>
      <c r="BV350" s="92" t="n">
        <f aca="false">IF(AF350&gt;=BH350,0,IFERROR(BH350+SUMPRODUCT((AF$4:AF$503&gt;=BH$4:BH$503)*(AF$4:AF$503-BH$4:BH$503))/MAX(1,COUNTIF(AF$4:AF$503,"&lt;"&amp;BH350+0.01)),BH350))</f>
        <v>9942.6503831579</v>
      </c>
      <c r="BW350" s="92" t="n">
        <f aca="false">IF(AG350&gt;=BI350,0,IFERROR(BI350+SUMPRODUCT((AG$4:AG$503&gt;=BI$4:BI$503)*(AG$4:AG$503-BI$4:BI$503))/MAX(1,COUNTIF(AG$4:AG$503,"&lt;"&amp;BI350+0.01)),BI350))</f>
        <v>9142.15870461538</v>
      </c>
      <c r="BX350" s="92" t="n">
        <f aca="false">IF(AH350&gt;=BJ350,0,IFERROR(BJ350+SUMPRODUCT((AH$4:AH$503&gt;=BJ$4:BJ$503)*(AH$4:AH$503-BJ$4:BJ$503))/MAX(1,COUNTIF(AH$4:AH$503,"&lt;"&amp;BJ350+0.01)),BJ350))</f>
        <v>5621.50263448276</v>
      </c>
      <c r="BY350" s="92" t="n">
        <f aca="false">IF(AI350&gt;=BK350,0,IFERROR(BK350+SUMPRODUCT((AI$4:AI$503&gt;=BK$4:BK$503)*(AI$4:AI$503-BK$4:BK$503))/MAX(1,COUNTIF(AI$4:AI$503,"&lt;"&amp;BK350+0.01)),BK350))</f>
        <v>7878.25652380952</v>
      </c>
      <c r="BZ350" s="92" t="n">
        <f aca="false">IF(AJ350&gt;=BL350,0,IFERROR(BL350+SUMPRODUCT((AJ$4:AJ$503&gt;=BL$4:BL$503)*(AJ$4:AJ$503-BL$4:BL$503))/MAX(1,COUNTIF(AJ$4:AJ$503,"&lt;"&amp;BL350+0.01)),BL350))</f>
        <v>0</v>
      </c>
      <c r="CA350" s="92" t="n">
        <f aca="false">IF(AK350&gt;=BM350,0,IFERROR(BM350+SUMPRODUCT((AK$4:AK$503&gt;=BM$4:BM$503)*(AK$4:AK$503-BM$4:BM$503))/MAX(1,COUNTIF(AK$4:AK$503,"&lt;"&amp;BM350+0.01)),BM350))</f>
        <v>7314.89836842105</v>
      </c>
      <c r="CB350" s="93" t="n">
        <f aca="false">IF(AL350&gt;=BN350,0,IFERROR(BN350+SUMPRODUCT((AL$4:AL$503&gt;=BN$4:BN$503)*(AL$4:AL$503-BN$4:BN$503))/MAX(1,COUNTIF(AL$4:AL$503,"&lt;"&amp;BN350+0.01)),BN350))</f>
        <v>3597.2614925</v>
      </c>
      <c r="CC350" s="95" t="str">
        <f aca="false">IF(AO350="🟢","VERDE",IF(AO350="🟡","AMARELO",IF(AO350="🟠","VERMELHO",IF(AO350="🔴","VERMELHO","ROXO"))))</f>
        <v>VERMELHO</v>
      </c>
      <c r="CD350" s="96" t="s">
        <v>103</v>
      </c>
      <c r="CE350" s="96" t="s">
        <v>104</v>
      </c>
    </row>
    <row r="351" customFormat="false" ht="14.25" hidden="false" customHeight="true" outlineLevel="0" collapsed="false">
      <c r="A351" s="65" t="s">
        <v>834</v>
      </c>
      <c r="B351" s="66" t="s">
        <v>835</v>
      </c>
      <c r="C351" s="67" t="s">
        <v>107</v>
      </c>
      <c r="D351" s="68" t="s">
        <v>108</v>
      </c>
      <c r="E351" s="69" t="s">
        <v>109</v>
      </c>
      <c r="F351" s="70" t="n">
        <f aca="false">IFERROR(VLOOKUP(C351,$AS$3:$AT$10,2,FALSE()),IFERROR(VLOOKUP(C351,$AS$15:$AT$22,2,FALSE()),""))</f>
        <v>132</v>
      </c>
      <c r="G351" s="71" t="n">
        <f aca="false">IFERROR(VLOOKUP(C351,$AS$3:$AX$10,6,FALSE()),IFERROR(VLOOKUP(C351,$AS$15:$AX$22,6,FALSE()),""))</f>
        <v>0.468190175850689</v>
      </c>
      <c r="H351" s="72" t="str">
        <f aca="false">IFERROR(VLOOKUP(C351,$AS$3:$AY$10,7,FALSE()),IFERROR(VLOOKUP(C351,$AS$15:$AY$22,7,FALSE()),""))</f>
        <v>🟡 AMARELO</v>
      </c>
      <c r="I351" s="72" t="str">
        <f aca="false">IFERROR(VLOOKUP(C351,$AS$3:$AZ$10,8,FALSE()),IFERROR(VLOOKUP(C351,$AS$15:$AZ$22,8,FALSE()),""))</f>
        <v>Sell Out</v>
      </c>
      <c r="J351" s="73"/>
      <c r="K351" s="69" t="s">
        <v>107</v>
      </c>
      <c r="L351" s="74" t="n">
        <v>2835.97</v>
      </c>
      <c r="M351" s="75" t="n">
        <v>199.29</v>
      </c>
      <c r="N351" s="75" t="n">
        <v>208.25</v>
      </c>
      <c r="O351" s="75" t="n">
        <v>213.27</v>
      </c>
      <c r="P351" s="75" t="n">
        <v>218.83</v>
      </c>
      <c r="Q351" s="75" t="n">
        <v>226</v>
      </c>
      <c r="R351" s="75" t="n">
        <v>231.91</v>
      </c>
      <c r="S351" s="75" t="n">
        <v>240.87</v>
      </c>
      <c r="T351" s="75" t="n">
        <v>246.79</v>
      </c>
      <c r="U351" s="75" t="n">
        <v>252.34</v>
      </c>
      <c r="V351" s="75" t="n">
        <v>258.61</v>
      </c>
      <c r="W351" s="75" t="n">
        <v>265.42</v>
      </c>
      <c r="X351" s="76" t="n">
        <v>274.39</v>
      </c>
      <c r="Y351" s="77" t="s">
        <v>20</v>
      </c>
      <c r="Z351" s="78" t="n">
        <f aca="false">SUM(AA351:AL351)</f>
        <v>1216.97</v>
      </c>
      <c r="AA351" s="75"/>
      <c r="AB351" s="75"/>
      <c r="AC351" s="75"/>
      <c r="AD351" s="75"/>
      <c r="AE351" s="75"/>
      <c r="AF351" s="79" t="n">
        <v>1216.97</v>
      </c>
      <c r="AG351" s="75"/>
      <c r="AH351" s="75"/>
      <c r="AI351" s="75"/>
      <c r="AJ351" s="75"/>
      <c r="AK351" s="75"/>
      <c r="AL351" s="76"/>
      <c r="AM351" s="56" t="s">
        <v>20</v>
      </c>
      <c r="AN351" s="80" t="n">
        <f aca="false">IF(L351=0,0,Z351/L351)</f>
        <v>0.429119489980501</v>
      </c>
      <c r="AO351" s="81" t="str">
        <f aca="false">IF(AN351="","",IF(AN351&gt;=0.9,"🟢",IF(AN351&gt;=0.7,"🟡",IF(AN351&gt;=0.5,"🟠","🔴"))))</f>
        <v>🔴</v>
      </c>
      <c r="AP351" s="82" t="n">
        <f aca="false">IF(L351=0,0,L351-Z351)</f>
        <v>1619</v>
      </c>
      <c r="AQ351" s="83" t="n">
        <f aca="false">IF(AP351=0,"",RANK(AP351,AP$4:AP$503,0))</f>
        <v>313</v>
      </c>
      <c r="AR351" s="84" t="s">
        <v>20</v>
      </c>
      <c r="AS351" s="141"/>
      <c r="AT351" s="141"/>
      <c r="AU351" s="141"/>
      <c r="AV351" s="141"/>
      <c r="AW351" s="141"/>
      <c r="AX351" s="141"/>
      <c r="AY351" s="142"/>
      <c r="AZ351" s="142"/>
      <c r="BA351" s="56" t="s">
        <v>20</v>
      </c>
      <c r="BB351" s="91" t="n">
        <f aca="false">SUM(L$4:L$503)/COUNTA(A$4:A$503)</f>
        <v>9494.39992</v>
      </c>
      <c r="BC351" s="92" t="n">
        <f aca="false">SUM(M$4:M$503)/COUNTA(A$4:A$503)</f>
        <v>667.20008</v>
      </c>
      <c r="BD351" s="92" t="n">
        <f aca="false">SUM(N$4:N$503)/COUNTA(A$4:A$503)</f>
        <v>697.19996</v>
      </c>
      <c r="BE351" s="92" t="n">
        <f aca="false">SUM(O$4:O$503)/COUNTA(A$4:A$503)</f>
        <v>713.9999</v>
      </c>
      <c r="BF351" s="92" t="n">
        <f aca="false">SUM(P$4:P$503)/COUNTA(A$4:A$503)</f>
        <v>732.59984</v>
      </c>
      <c r="BG351" s="92" t="n">
        <f aca="false">SUM(Q$4:Q$503)/COUNTA(A$4:A$503)</f>
        <v>756.59992</v>
      </c>
      <c r="BH351" s="92" t="n">
        <f aca="false">SUM(R$4:R$503)/COUNTA(A$4:A$503)</f>
        <v>776.40004</v>
      </c>
      <c r="BI351" s="92" t="n">
        <f aca="false">SUM(S$4:S$503)/COUNTA(A$4:A$503)</f>
        <v>806.40012</v>
      </c>
      <c r="BJ351" s="92" t="n">
        <f aca="false">SUM(T$4:T$503)/COUNTA(A$4:A$503)</f>
        <v>826.1999</v>
      </c>
      <c r="BK351" s="92" t="n">
        <f aca="false">SUM(U$4:U$503)/COUNTA(A$4:A$503)</f>
        <v>844.8002</v>
      </c>
      <c r="BL351" s="92" t="n">
        <f aca="false">SUM(V$4:V$503)/COUNTA(A$4:A$503)</f>
        <v>865.7998</v>
      </c>
      <c r="BM351" s="92" t="n">
        <f aca="false">SUM(W$4:W$503)/COUNTA(A$4:A$503)</f>
        <v>888.59982</v>
      </c>
      <c r="BN351" s="93" t="n">
        <f aca="false">SUM(X$4:X$503)/COUNTA(A$4:A$503)</f>
        <v>918.60034</v>
      </c>
      <c r="BO351" s="94" t="s">
        <v>20</v>
      </c>
      <c r="BP351" s="91" t="n">
        <f aca="false">IF(Z351&gt;=BB351,0,IFERROR(BB351+(SUMPRODUCT((Z$4:Z$503&gt;=BB$4:BB$503)*(Z$4:Z$503-BB$4:BB$503))/MAX(1,COUNTIF(Z$4:Z$503,"&lt;"&amp;BB351+0.01))),BB351))</f>
        <v>10695.5432177778</v>
      </c>
      <c r="BQ351" s="92" t="n">
        <f aca="false">IF(AA351&gt;=BC351,0,IFERROR(BC351+SUMPRODUCT((AA$4:AA$503&gt;=BC$4:BC$503)*(AA$4:AA$503-BC$4:BC$503))/MAX(1,COUNTIF(AA$4:AA$503,"&lt;"&amp;BC351+0.01)),BC351))</f>
        <v>2238.46589176471</v>
      </c>
      <c r="BR351" s="92" t="n">
        <f aca="false">IF(AB351&gt;=BD351,0,IFERROR(BD351+SUMPRODUCT((AB$4:AB$503&gt;=BD$4:BD$503)*(AB$4:AB$503-BD$4:BD$503))/MAX(1,COUNTIF(AB$4:AB$503,"&lt;"&amp;BD351+0.01)),BD351))</f>
        <v>3335.2938</v>
      </c>
      <c r="BS351" s="92" t="n">
        <f aca="false">IF(AC351&gt;=BE351,0,IFERROR(BE351+SUMPRODUCT((AC$4:AC$503&gt;=BE$4:BE$503)*(AC$4:AC$503-BE$4:BE$503))/MAX(1,COUNTIF(AC$4:AC$503,"&lt;"&amp;BE351+0.01)),BE351))</f>
        <v>6188.73352</v>
      </c>
      <c r="BT351" s="92" t="n">
        <f aca="false">IF(AD351&gt;=BF351,0,IFERROR(BF351+SUMPRODUCT((AD$4:AD$503&gt;=BF$4:BF$503)*(AD$4:AD$503-BF$4:BF$503))/MAX(1,COUNTIF(AD$4:AD$503,"&lt;"&amp;BF351+0.01)),BF351))</f>
        <v>11354.35411</v>
      </c>
      <c r="BU351" s="92" t="n">
        <f aca="false">IF(AE351&gt;=BG351,0,IFERROR(BG351+SUMPRODUCT((AE$4:AE$503&gt;=BG$4:BG$503)*(AE$4:AE$503-BG$4:BG$503))/MAX(1,COUNTIF(AE$4:AE$503,"&lt;"&amp;BG351+0.01)),BG351))</f>
        <v>7704.85920380952</v>
      </c>
      <c r="BV351" s="92" t="n">
        <f aca="false">IF(AF351&gt;=BH351,0,IFERROR(BH351+SUMPRODUCT((AF$4:AF$503&gt;=BH$4:BH$503)*(AF$4:AF$503-BH$4:BH$503))/MAX(1,COUNTIF(AF$4:AF$503,"&lt;"&amp;BH351+0.01)),BH351))</f>
        <v>0</v>
      </c>
      <c r="BW351" s="92" t="n">
        <f aca="false">IF(AG351&gt;=BI351,0,IFERROR(BI351+SUMPRODUCT((AG$4:AG$503&gt;=BI$4:BI$503)*(AG$4:AG$503-BI$4:BI$503))/MAX(1,COUNTIF(AG$4:AG$503,"&lt;"&amp;BI351+0.01)),BI351))</f>
        <v>9142.15870461538</v>
      </c>
      <c r="BX351" s="92" t="n">
        <f aca="false">IF(AH351&gt;=BJ351,0,IFERROR(BJ351+SUMPRODUCT((AH$4:AH$503&gt;=BJ$4:BJ$503)*(AH$4:AH$503-BJ$4:BJ$503))/MAX(1,COUNTIF(AH$4:AH$503,"&lt;"&amp;BJ351+0.01)),BJ351))</f>
        <v>5621.50263448276</v>
      </c>
      <c r="BY351" s="92" t="n">
        <f aca="false">IF(AI351&gt;=BK351,0,IFERROR(BK351+SUMPRODUCT((AI$4:AI$503&gt;=BK$4:BK$503)*(AI$4:AI$503-BK$4:BK$503))/MAX(1,COUNTIF(AI$4:AI$503,"&lt;"&amp;BK351+0.01)),BK351))</f>
        <v>7878.25652380952</v>
      </c>
      <c r="BZ351" s="92" t="n">
        <f aca="false">IF(AJ351&gt;=BL351,0,IFERROR(BL351+SUMPRODUCT((AJ$4:AJ$503&gt;=BL$4:BL$503)*(AJ$4:AJ$503-BL$4:BL$503))/MAX(1,COUNTIF(AJ$4:AJ$503,"&lt;"&amp;BL351+0.01)),BL351))</f>
        <v>6710.03292307692</v>
      </c>
      <c r="CA351" s="92" t="n">
        <f aca="false">IF(AK351&gt;=BM351,0,IFERROR(BM351+SUMPRODUCT((AK$4:AK$503&gt;=BM$4:BM$503)*(AK$4:AK$503-BM$4:BM$503))/MAX(1,COUNTIF(AK$4:AK$503,"&lt;"&amp;BM351+0.01)),BM351))</f>
        <v>7314.89836842105</v>
      </c>
      <c r="CB351" s="93" t="n">
        <f aca="false">IF(AL351&gt;=BN351,0,IFERROR(BN351+SUMPRODUCT((AL$4:AL$503&gt;=BN$4:BN$503)*(AL$4:AL$503-BN$4:BN$503))/MAX(1,COUNTIF(AL$4:AL$503,"&lt;"&amp;BN351+0.01)),BN351))</f>
        <v>3597.2614925</v>
      </c>
      <c r="CC351" s="95" t="str">
        <f aca="false">IF(AO351="🟢","VERDE",IF(AO351="🟡","AMARELO",IF(AO351="🟠","VERMELHO",IF(AO351="🔴","VERMELHO","ROXO"))))</f>
        <v>VERMELHO</v>
      </c>
      <c r="CD351" s="96" t="s">
        <v>103</v>
      </c>
      <c r="CE351" s="96" t="s">
        <v>104</v>
      </c>
    </row>
    <row r="352" customFormat="false" ht="14.25" hidden="false" customHeight="true" outlineLevel="0" collapsed="false">
      <c r="A352" s="65" t="s">
        <v>836</v>
      </c>
      <c r="B352" s="66" t="s">
        <v>837</v>
      </c>
      <c r="C352" s="66" t="s">
        <v>102</v>
      </c>
      <c r="D352" s="68" t="s">
        <v>175</v>
      </c>
      <c r="E352" s="69" t="s">
        <v>139</v>
      </c>
      <c r="F352" s="70" t="n">
        <f aca="false">IFERROR(VLOOKUP(C352,$AS$3:$AT$10,2,FALSE()),IFERROR(VLOOKUP(C352,$AS$15:$AT$22,2,FALSE()),""))</f>
        <v>21</v>
      </c>
      <c r="G352" s="71" t="n">
        <f aca="false">IFERROR(VLOOKUP(C352,$AS$3:$AX$10,6,FALSE()),IFERROR(VLOOKUP(C352,$AS$15:$AX$22,6,FALSE()),""))</f>
        <v>0.491514556258592</v>
      </c>
      <c r="H352" s="72" t="str">
        <f aca="false">IFERROR(VLOOKUP(C352,$AS$3:$AY$10,7,FALSE()),IFERROR(VLOOKUP(C352,$AS$15:$AY$22,7,FALSE()),""))</f>
        <v>🟡 AMARELO</v>
      </c>
      <c r="I352" s="72" t="str">
        <f aca="false">IFERROR(VLOOKUP(C352,$AS$3:$AZ$10,8,FALSE()),IFERROR(VLOOKUP(C352,$AS$15:$AZ$22,8,FALSE()),""))</f>
        <v>Sell Out</v>
      </c>
      <c r="J352" s="73"/>
      <c r="K352" s="69" t="s">
        <v>107</v>
      </c>
      <c r="L352" s="74" t="n">
        <v>2815.45</v>
      </c>
      <c r="M352" s="75" t="n">
        <v>197.85</v>
      </c>
      <c r="N352" s="75" t="n">
        <v>206.75</v>
      </c>
      <c r="O352" s="75" t="n">
        <v>211.73</v>
      </c>
      <c r="P352" s="75" t="n">
        <v>217.24</v>
      </c>
      <c r="Q352" s="75" t="n">
        <v>224.36</v>
      </c>
      <c r="R352" s="75" t="n">
        <v>230.23</v>
      </c>
      <c r="S352" s="75" t="n">
        <v>239.13</v>
      </c>
      <c r="T352" s="75" t="n">
        <v>245</v>
      </c>
      <c r="U352" s="75" t="n">
        <v>250.52</v>
      </c>
      <c r="V352" s="75" t="n">
        <v>256.74</v>
      </c>
      <c r="W352" s="75" t="n">
        <v>263.5</v>
      </c>
      <c r="X352" s="76" t="n">
        <v>272.4</v>
      </c>
      <c r="Y352" s="77" t="s">
        <v>20</v>
      </c>
      <c r="Z352" s="78" t="n">
        <f aca="false">SUM(AA352:AL352)</f>
        <v>2292.49</v>
      </c>
      <c r="AA352" s="75"/>
      <c r="AB352" s="75"/>
      <c r="AC352" s="75"/>
      <c r="AD352" s="75"/>
      <c r="AE352" s="75"/>
      <c r="AF352" s="75"/>
      <c r="AG352" s="75"/>
      <c r="AH352" s="75"/>
      <c r="AI352" s="75"/>
      <c r="AJ352" s="75" t="n">
        <v>1160.25</v>
      </c>
      <c r="AK352" s="79" t="n">
        <v>1132.24</v>
      </c>
      <c r="AL352" s="76"/>
      <c r="AM352" s="56" t="s">
        <v>20</v>
      </c>
      <c r="AN352" s="80" t="n">
        <f aca="false">IF(L352=0,0,Z352/L352)</f>
        <v>0.814253494112842</v>
      </c>
      <c r="AO352" s="81" t="str">
        <f aca="false">IF(AN352="","",IF(AN352&gt;=0.9,"🟢",IF(AN352&gt;=0.7,"🟡",IF(AN352&gt;=0.5,"🟠","🔴"))))</f>
        <v>🟡</v>
      </c>
      <c r="AP352" s="82" t="n">
        <f aca="false">IF(L352=0,0,L352-Z352)</f>
        <v>522.96</v>
      </c>
      <c r="AQ352" s="83" t="n">
        <f aca="false">IF(AP352=0,"",RANK(AP352,AP$4:AP$503,0))</f>
        <v>452</v>
      </c>
      <c r="AR352" s="84" t="s">
        <v>20</v>
      </c>
      <c r="AS352" s="141"/>
      <c r="AT352" s="141"/>
      <c r="AU352" s="141"/>
      <c r="AV352" s="141"/>
      <c r="AW352" s="141"/>
      <c r="AX352" s="141"/>
      <c r="AY352" s="142"/>
      <c r="AZ352" s="142"/>
      <c r="BA352" s="56" t="s">
        <v>20</v>
      </c>
      <c r="BB352" s="91" t="n">
        <f aca="false">SUM(L$4:L$503)/COUNTA(A$4:A$503)</f>
        <v>9494.39992</v>
      </c>
      <c r="BC352" s="92" t="n">
        <f aca="false">SUM(M$4:M$503)/COUNTA(A$4:A$503)</f>
        <v>667.20008</v>
      </c>
      <c r="BD352" s="92" t="n">
        <f aca="false">SUM(N$4:N$503)/COUNTA(A$4:A$503)</f>
        <v>697.19996</v>
      </c>
      <c r="BE352" s="92" t="n">
        <f aca="false">SUM(O$4:O$503)/COUNTA(A$4:A$503)</f>
        <v>713.9999</v>
      </c>
      <c r="BF352" s="92" t="n">
        <f aca="false">SUM(P$4:P$503)/COUNTA(A$4:A$503)</f>
        <v>732.59984</v>
      </c>
      <c r="BG352" s="92" t="n">
        <f aca="false">SUM(Q$4:Q$503)/COUNTA(A$4:A$503)</f>
        <v>756.59992</v>
      </c>
      <c r="BH352" s="92" t="n">
        <f aca="false">SUM(R$4:R$503)/COUNTA(A$4:A$503)</f>
        <v>776.40004</v>
      </c>
      <c r="BI352" s="92" t="n">
        <f aca="false">SUM(S$4:S$503)/COUNTA(A$4:A$503)</f>
        <v>806.40012</v>
      </c>
      <c r="BJ352" s="92" t="n">
        <f aca="false">SUM(T$4:T$503)/COUNTA(A$4:A$503)</f>
        <v>826.1999</v>
      </c>
      <c r="BK352" s="92" t="n">
        <f aca="false">SUM(U$4:U$503)/COUNTA(A$4:A$503)</f>
        <v>844.8002</v>
      </c>
      <c r="BL352" s="92" t="n">
        <f aca="false">SUM(V$4:V$503)/COUNTA(A$4:A$503)</f>
        <v>865.7998</v>
      </c>
      <c r="BM352" s="92" t="n">
        <f aca="false">SUM(W$4:W$503)/COUNTA(A$4:A$503)</f>
        <v>888.59982</v>
      </c>
      <c r="BN352" s="93" t="n">
        <f aca="false">SUM(X$4:X$503)/COUNTA(A$4:A$503)</f>
        <v>918.60034</v>
      </c>
      <c r="BO352" s="94" t="s">
        <v>20</v>
      </c>
      <c r="BP352" s="91" t="n">
        <f aca="false">IF(Z352&gt;=BB352,0,IFERROR(BB352+(SUMPRODUCT((Z$4:Z$503&gt;=BB$4:BB$503)*(Z$4:Z$503-BB$4:BB$503))/MAX(1,COUNTIF(Z$4:Z$503,"&lt;"&amp;BB352+0.01))),BB352))</f>
        <v>10695.5432177778</v>
      </c>
      <c r="BQ352" s="92" t="n">
        <f aca="false">IF(AA352&gt;=BC352,0,IFERROR(BC352+SUMPRODUCT((AA$4:AA$503&gt;=BC$4:BC$503)*(AA$4:AA$503-BC$4:BC$503))/MAX(1,COUNTIF(AA$4:AA$503,"&lt;"&amp;BC352+0.01)),BC352))</f>
        <v>2238.46589176471</v>
      </c>
      <c r="BR352" s="92" t="n">
        <f aca="false">IF(AB352&gt;=BD352,0,IFERROR(BD352+SUMPRODUCT((AB$4:AB$503&gt;=BD$4:BD$503)*(AB$4:AB$503-BD$4:BD$503))/MAX(1,COUNTIF(AB$4:AB$503,"&lt;"&amp;BD352+0.01)),BD352))</f>
        <v>3335.2938</v>
      </c>
      <c r="BS352" s="92" t="n">
        <f aca="false">IF(AC352&gt;=BE352,0,IFERROR(BE352+SUMPRODUCT((AC$4:AC$503&gt;=BE$4:BE$503)*(AC$4:AC$503-BE$4:BE$503))/MAX(1,COUNTIF(AC$4:AC$503,"&lt;"&amp;BE352+0.01)),BE352))</f>
        <v>6188.73352</v>
      </c>
      <c r="BT352" s="92" t="n">
        <f aca="false">IF(AD352&gt;=BF352,0,IFERROR(BF352+SUMPRODUCT((AD$4:AD$503&gt;=BF$4:BF$503)*(AD$4:AD$503-BF$4:BF$503))/MAX(1,COUNTIF(AD$4:AD$503,"&lt;"&amp;BF352+0.01)),BF352))</f>
        <v>11354.35411</v>
      </c>
      <c r="BU352" s="92" t="n">
        <f aca="false">IF(AE352&gt;=BG352,0,IFERROR(BG352+SUMPRODUCT((AE$4:AE$503&gt;=BG$4:BG$503)*(AE$4:AE$503-BG$4:BG$503))/MAX(1,COUNTIF(AE$4:AE$503,"&lt;"&amp;BG352+0.01)),BG352))</f>
        <v>7704.85920380952</v>
      </c>
      <c r="BV352" s="92" t="n">
        <f aca="false">IF(AF352&gt;=BH352,0,IFERROR(BH352+SUMPRODUCT((AF$4:AF$503&gt;=BH$4:BH$503)*(AF$4:AF$503-BH$4:BH$503))/MAX(1,COUNTIF(AF$4:AF$503,"&lt;"&amp;BH352+0.01)),BH352))</f>
        <v>9942.6503831579</v>
      </c>
      <c r="BW352" s="92" t="n">
        <f aca="false">IF(AG352&gt;=BI352,0,IFERROR(BI352+SUMPRODUCT((AG$4:AG$503&gt;=BI$4:BI$503)*(AG$4:AG$503-BI$4:BI$503))/MAX(1,COUNTIF(AG$4:AG$503,"&lt;"&amp;BI352+0.01)),BI352))</f>
        <v>9142.15870461538</v>
      </c>
      <c r="BX352" s="92" t="n">
        <f aca="false">IF(AH352&gt;=BJ352,0,IFERROR(BJ352+SUMPRODUCT((AH$4:AH$503&gt;=BJ$4:BJ$503)*(AH$4:AH$503-BJ$4:BJ$503))/MAX(1,COUNTIF(AH$4:AH$503,"&lt;"&amp;BJ352+0.01)),BJ352))</f>
        <v>5621.50263448276</v>
      </c>
      <c r="BY352" s="92" t="n">
        <f aca="false">IF(AI352&gt;=BK352,0,IFERROR(BK352+SUMPRODUCT((AI$4:AI$503&gt;=BK$4:BK$503)*(AI$4:AI$503-BK$4:BK$503))/MAX(1,COUNTIF(AI$4:AI$503,"&lt;"&amp;BK352+0.01)),BK352))</f>
        <v>7878.25652380952</v>
      </c>
      <c r="BZ352" s="92" t="n">
        <f aca="false">IF(AJ352&gt;=BL352,0,IFERROR(BL352+SUMPRODUCT((AJ$4:AJ$503&gt;=BL$4:BL$503)*(AJ$4:AJ$503-BL$4:BL$503))/MAX(1,COUNTIF(AJ$4:AJ$503,"&lt;"&amp;BL352+0.01)),BL352))</f>
        <v>0</v>
      </c>
      <c r="CA352" s="92" t="n">
        <f aca="false">IF(AK352&gt;=BM352,0,IFERROR(BM352+SUMPRODUCT((AK$4:AK$503&gt;=BM$4:BM$503)*(AK$4:AK$503-BM$4:BM$503))/MAX(1,COUNTIF(AK$4:AK$503,"&lt;"&amp;BM352+0.01)),BM352))</f>
        <v>0</v>
      </c>
      <c r="CB352" s="93" t="n">
        <f aca="false">IF(AL352&gt;=BN352,0,IFERROR(BN352+SUMPRODUCT((AL$4:AL$503&gt;=BN$4:BN$503)*(AL$4:AL$503-BN$4:BN$503))/MAX(1,COUNTIF(AL$4:AL$503,"&lt;"&amp;BN352+0.01)),BN352))</f>
        <v>3597.2614925</v>
      </c>
      <c r="CC352" s="95" t="str">
        <f aca="false">IF(AO352="🟢","VERDE",IF(AO352="🟡","AMARELO",IF(AO352="🟠","VERMELHO",IF(AO352="🔴","VERMELHO","ROXO"))))</f>
        <v>AMARELO</v>
      </c>
      <c r="CD352" s="96" t="s">
        <v>176</v>
      </c>
      <c r="CE352" s="96" t="s">
        <v>102</v>
      </c>
    </row>
    <row r="353" customFormat="false" ht="14.25" hidden="false" customHeight="true" outlineLevel="0" collapsed="false">
      <c r="A353" s="65" t="s">
        <v>838</v>
      </c>
      <c r="B353" s="66" t="s">
        <v>839</v>
      </c>
      <c r="C353" s="67" t="s">
        <v>113</v>
      </c>
      <c r="D353" s="68" t="s">
        <v>100</v>
      </c>
      <c r="E353" s="69" t="s">
        <v>114</v>
      </c>
      <c r="F353" s="70" t="n">
        <f aca="false">IFERROR(VLOOKUP(C353,$AS$3:$AT$10,2,FALSE()),IFERROR(VLOOKUP(C353,$AS$15:$AT$22,2,FALSE()),""))</f>
        <v>49</v>
      </c>
      <c r="G353" s="71" t="n">
        <f aca="false">IFERROR(VLOOKUP(C353,$AS$3:$AX$10,6,FALSE()),IFERROR(VLOOKUP(C353,$AS$15:$AX$22,6,FALSE()),""))</f>
        <v>0.463965086137302</v>
      </c>
      <c r="H353" s="72" t="str">
        <f aca="false">IFERROR(VLOOKUP(C353,$AS$3:$AY$10,7,FALSE()),IFERROR(VLOOKUP(C353,$AS$15:$AY$22,7,FALSE()),""))</f>
        <v>🟡 AMARELO</v>
      </c>
      <c r="I353" s="72" t="str">
        <f aca="false">IFERROR(VLOOKUP(C353,$AS$3:$AZ$10,8,FALSE()),IFERROR(VLOOKUP(C353,$AS$15:$AZ$22,8,FALSE()),""))</f>
        <v>Sell Out</v>
      </c>
      <c r="J353" s="73"/>
      <c r="K353" s="69" t="s">
        <v>113</v>
      </c>
      <c r="L353" s="74" t="n">
        <v>2796.84</v>
      </c>
      <c r="M353" s="75" t="n">
        <v>196.54</v>
      </c>
      <c r="N353" s="75" t="n">
        <v>205.38</v>
      </c>
      <c r="O353" s="75" t="n">
        <v>210.33</v>
      </c>
      <c r="P353" s="75" t="n">
        <v>215.81</v>
      </c>
      <c r="Q353" s="75" t="n">
        <v>222.88</v>
      </c>
      <c r="R353" s="75" t="n">
        <v>228.71</v>
      </c>
      <c r="S353" s="75" t="n">
        <v>237.55</v>
      </c>
      <c r="T353" s="75" t="n">
        <v>243.38</v>
      </c>
      <c r="U353" s="75" t="n">
        <v>248.86</v>
      </c>
      <c r="V353" s="75" t="n">
        <v>255.04</v>
      </c>
      <c r="W353" s="75" t="n">
        <v>261.76</v>
      </c>
      <c r="X353" s="76" t="n">
        <v>270.6</v>
      </c>
      <c r="Y353" s="77" t="s">
        <v>20</v>
      </c>
      <c r="Z353" s="78" t="n">
        <f aca="false">SUM(AA353:AL353)</f>
        <v>1124.74</v>
      </c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107" t="n">
        <v>1124.74</v>
      </c>
      <c r="AM353" s="56" t="s">
        <v>20</v>
      </c>
      <c r="AN353" s="80" t="n">
        <f aca="false">IF(L353=0,0,Z353/L353)</f>
        <v>0.402146708428083</v>
      </c>
      <c r="AO353" s="81" t="str">
        <f aca="false">IF(AN353="","",IF(AN353&gt;=0.9,"🟢",IF(AN353&gt;=0.7,"🟡",IF(AN353&gt;=0.5,"🟠","🔴"))))</f>
        <v>🔴</v>
      </c>
      <c r="AP353" s="82" t="n">
        <f aca="false">IF(L353=0,0,L353-Z353)</f>
        <v>1672.1</v>
      </c>
      <c r="AQ353" s="83" t="n">
        <f aca="false">IF(AP353=0,"",RANK(AP353,AP$4:AP$503,0))</f>
        <v>308</v>
      </c>
      <c r="AR353" s="84" t="s">
        <v>20</v>
      </c>
      <c r="AS353" s="141"/>
      <c r="AT353" s="141"/>
      <c r="AU353" s="141"/>
      <c r="AV353" s="141"/>
      <c r="AW353" s="141"/>
      <c r="AX353" s="141"/>
      <c r="AY353" s="142"/>
      <c r="AZ353" s="142"/>
      <c r="BA353" s="56" t="s">
        <v>20</v>
      </c>
      <c r="BB353" s="91" t="n">
        <f aca="false">SUM(L$4:L$503)/COUNTA(A$4:A$503)</f>
        <v>9494.39992</v>
      </c>
      <c r="BC353" s="92" t="n">
        <f aca="false">SUM(M$4:M$503)/COUNTA(A$4:A$503)</f>
        <v>667.20008</v>
      </c>
      <c r="BD353" s="92" t="n">
        <f aca="false">SUM(N$4:N$503)/COUNTA(A$4:A$503)</f>
        <v>697.19996</v>
      </c>
      <c r="BE353" s="92" t="n">
        <f aca="false">SUM(O$4:O$503)/COUNTA(A$4:A$503)</f>
        <v>713.9999</v>
      </c>
      <c r="BF353" s="92" t="n">
        <f aca="false">SUM(P$4:P$503)/COUNTA(A$4:A$503)</f>
        <v>732.59984</v>
      </c>
      <c r="BG353" s="92" t="n">
        <f aca="false">SUM(Q$4:Q$503)/COUNTA(A$4:A$503)</f>
        <v>756.59992</v>
      </c>
      <c r="BH353" s="92" t="n">
        <f aca="false">SUM(R$4:R$503)/COUNTA(A$4:A$503)</f>
        <v>776.40004</v>
      </c>
      <c r="BI353" s="92" t="n">
        <f aca="false">SUM(S$4:S$503)/COUNTA(A$4:A$503)</f>
        <v>806.40012</v>
      </c>
      <c r="BJ353" s="92" t="n">
        <f aca="false">SUM(T$4:T$503)/COUNTA(A$4:A$503)</f>
        <v>826.1999</v>
      </c>
      <c r="BK353" s="92" t="n">
        <f aca="false">SUM(U$4:U$503)/COUNTA(A$4:A$503)</f>
        <v>844.8002</v>
      </c>
      <c r="BL353" s="92" t="n">
        <f aca="false">SUM(V$4:V$503)/COUNTA(A$4:A$503)</f>
        <v>865.7998</v>
      </c>
      <c r="BM353" s="92" t="n">
        <f aca="false">SUM(W$4:W$503)/COUNTA(A$4:A$503)</f>
        <v>888.59982</v>
      </c>
      <c r="BN353" s="93" t="n">
        <f aca="false">SUM(X$4:X$503)/COUNTA(A$4:A$503)</f>
        <v>918.60034</v>
      </c>
      <c r="BO353" s="94" t="s">
        <v>20</v>
      </c>
      <c r="BP353" s="91" t="n">
        <f aca="false">IF(Z353&gt;=BB353,0,IFERROR(BB353+(SUMPRODUCT((Z$4:Z$503&gt;=BB$4:BB$503)*(Z$4:Z$503-BB$4:BB$503))/MAX(1,COUNTIF(Z$4:Z$503,"&lt;"&amp;BB353+0.01))),BB353))</f>
        <v>10695.5432177778</v>
      </c>
      <c r="BQ353" s="92" t="n">
        <f aca="false">IF(AA353&gt;=BC353,0,IFERROR(BC353+SUMPRODUCT((AA$4:AA$503&gt;=BC$4:BC$503)*(AA$4:AA$503-BC$4:BC$503))/MAX(1,COUNTIF(AA$4:AA$503,"&lt;"&amp;BC353+0.01)),BC353))</f>
        <v>2238.46589176471</v>
      </c>
      <c r="BR353" s="92" t="n">
        <f aca="false">IF(AB353&gt;=BD353,0,IFERROR(BD353+SUMPRODUCT((AB$4:AB$503&gt;=BD$4:BD$503)*(AB$4:AB$503-BD$4:BD$503))/MAX(1,COUNTIF(AB$4:AB$503,"&lt;"&amp;BD353+0.01)),BD353))</f>
        <v>3335.2938</v>
      </c>
      <c r="BS353" s="92" t="n">
        <f aca="false">IF(AC353&gt;=BE353,0,IFERROR(BE353+SUMPRODUCT((AC$4:AC$503&gt;=BE$4:BE$503)*(AC$4:AC$503-BE$4:BE$503))/MAX(1,COUNTIF(AC$4:AC$503,"&lt;"&amp;BE353+0.01)),BE353))</f>
        <v>6188.73352</v>
      </c>
      <c r="BT353" s="92" t="n">
        <f aca="false">IF(AD353&gt;=BF353,0,IFERROR(BF353+SUMPRODUCT((AD$4:AD$503&gt;=BF$4:BF$503)*(AD$4:AD$503-BF$4:BF$503))/MAX(1,COUNTIF(AD$4:AD$503,"&lt;"&amp;BF353+0.01)),BF353))</f>
        <v>11354.35411</v>
      </c>
      <c r="BU353" s="92" t="n">
        <f aca="false">IF(AE353&gt;=BG353,0,IFERROR(BG353+SUMPRODUCT((AE$4:AE$503&gt;=BG$4:BG$503)*(AE$4:AE$503-BG$4:BG$503))/MAX(1,COUNTIF(AE$4:AE$503,"&lt;"&amp;BG353+0.01)),BG353))</f>
        <v>7704.85920380952</v>
      </c>
      <c r="BV353" s="92" t="n">
        <f aca="false">IF(AF353&gt;=BH353,0,IFERROR(BH353+SUMPRODUCT((AF$4:AF$503&gt;=BH$4:BH$503)*(AF$4:AF$503-BH$4:BH$503))/MAX(1,COUNTIF(AF$4:AF$503,"&lt;"&amp;BH353+0.01)),BH353))</f>
        <v>9942.6503831579</v>
      </c>
      <c r="BW353" s="92" t="n">
        <f aca="false">IF(AG353&gt;=BI353,0,IFERROR(BI353+SUMPRODUCT((AG$4:AG$503&gt;=BI$4:BI$503)*(AG$4:AG$503-BI$4:BI$503))/MAX(1,COUNTIF(AG$4:AG$503,"&lt;"&amp;BI353+0.01)),BI353))</f>
        <v>9142.15870461538</v>
      </c>
      <c r="BX353" s="92" t="n">
        <f aca="false">IF(AH353&gt;=BJ353,0,IFERROR(BJ353+SUMPRODUCT((AH$4:AH$503&gt;=BJ$4:BJ$503)*(AH$4:AH$503-BJ$4:BJ$503))/MAX(1,COUNTIF(AH$4:AH$503,"&lt;"&amp;BJ353+0.01)),BJ353))</f>
        <v>5621.50263448276</v>
      </c>
      <c r="BY353" s="92" t="n">
        <f aca="false">IF(AI353&gt;=BK353,0,IFERROR(BK353+SUMPRODUCT((AI$4:AI$503&gt;=BK$4:BK$503)*(AI$4:AI$503-BK$4:BK$503))/MAX(1,COUNTIF(AI$4:AI$503,"&lt;"&amp;BK353+0.01)),BK353))</f>
        <v>7878.25652380952</v>
      </c>
      <c r="BZ353" s="92" t="n">
        <f aca="false">IF(AJ353&gt;=BL353,0,IFERROR(BL353+SUMPRODUCT((AJ$4:AJ$503&gt;=BL$4:BL$503)*(AJ$4:AJ$503-BL$4:BL$503))/MAX(1,COUNTIF(AJ$4:AJ$503,"&lt;"&amp;BL353+0.01)),BL353))</f>
        <v>6710.03292307692</v>
      </c>
      <c r="CA353" s="92" t="n">
        <f aca="false">IF(AK353&gt;=BM353,0,IFERROR(BM353+SUMPRODUCT((AK$4:AK$503&gt;=BM$4:BM$503)*(AK$4:AK$503-BM$4:BM$503))/MAX(1,COUNTIF(AK$4:AK$503,"&lt;"&amp;BM353+0.01)),BM353))</f>
        <v>7314.89836842105</v>
      </c>
      <c r="CB353" s="93" t="n">
        <f aca="false">IF(AL353&gt;=BN353,0,IFERROR(BN353+SUMPRODUCT((AL$4:AL$503&gt;=BN$4:BN$503)*(AL$4:AL$503-BN$4:BN$503))/MAX(1,COUNTIF(AL$4:AL$503,"&lt;"&amp;BN353+0.01)),BN353))</f>
        <v>0</v>
      </c>
      <c r="CC353" s="95" t="str">
        <f aca="false">IF(AO353="🟢","VERDE",IF(AO353="🟡","AMARELO",IF(AO353="🟠","VERMELHO",IF(AO353="🔴","VERMELHO","ROXO"))))</f>
        <v>VERMELHO</v>
      </c>
      <c r="CD353" s="96" t="s">
        <v>103</v>
      </c>
      <c r="CE353" s="96" t="s">
        <v>104</v>
      </c>
    </row>
    <row r="354" customFormat="false" ht="14.25" hidden="false" customHeight="true" outlineLevel="0" collapsed="false">
      <c r="A354" s="65" t="s">
        <v>840</v>
      </c>
      <c r="B354" s="66" t="s">
        <v>841</v>
      </c>
      <c r="C354" s="67" t="s">
        <v>107</v>
      </c>
      <c r="D354" s="68" t="s">
        <v>108</v>
      </c>
      <c r="E354" s="69" t="s">
        <v>139</v>
      </c>
      <c r="F354" s="70" t="n">
        <f aca="false">IFERROR(VLOOKUP(C354,$AS$3:$AT$10,2,FALSE()),IFERROR(VLOOKUP(C354,$AS$15:$AT$22,2,FALSE()),""))</f>
        <v>132</v>
      </c>
      <c r="G354" s="71" t="n">
        <f aca="false">IFERROR(VLOOKUP(C354,$AS$3:$AX$10,6,FALSE()),IFERROR(VLOOKUP(C354,$AS$15:$AX$22,6,FALSE()),""))</f>
        <v>0.468190175850689</v>
      </c>
      <c r="H354" s="72" t="str">
        <f aca="false">IFERROR(VLOOKUP(C354,$AS$3:$AY$10,7,FALSE()),IFERROR(VLOOKUP(C354,$AS$15:$AY$22,7,FALSE()),""))</f>
        <v>🟡 AMARELO</v>
      </c>
      <c r="I354" s="72" t="str">
        <f aca="false">IFERROR(VLOOKUP(C354,$AS$3:$AZ$10,8,FALSE()),IFERROR(VLOOKUP(C354,$AS$15:$AZ$22,8,FALSE()),""))</f>
        <v>Sell Out</v>
      </c>
      <c r="J354" s="73"/>
      <c r="K354" s="69" t="s">
        <v>107</v>
      </c>
      <c r="L354" s="74" t="n">
        <v>2753.21</v>
      </c>
      <c r="M354" s="75" t="n">
        <v>193.48</v>
      </c>
      <c r="N354" s="75" t="n">
        <v>202.17</v>
      </c>
      <c r="O354" s="75" t="n">
        <v>207.05</v>
      </c>
      <c r="P354" s="75" t="n">
        <v>212.44</v>
      </c>
      <c r="Q354" s="75" t="n">
        <v>219.4</v>
      </c>
      <c r="R354" s="75" t="n">
        <v>225.14</v>
      </c>
      <c r="S354" s="75" t="n">
        <v>233.84</v>
      </c>
      <c r="T354" s="75" t="n">
        <v>239.58</v>
      </c>
      <c r="U354" s="75" t="n">
        <v>244.98</v>
      </c>
      <c r="V354" s="75" t="n">
        <v>251.07</v>
      </c>
      <c r="W354" s="75" t="n">
        <v>257.68</v>
      </c>
      <c r="X354" s="76" t="n">
        <v>266.38</v>
      </c>
      <c r="Y354" s="77" t="s">
        <v>20</v>
      </c>
      <c r="Z354" s="78" t="n">
        <f aca="false">SUM(AA354:AL354)</f>
        <v>1107.2</v>
      </c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107" t="n">
        <v>1107.2</v>
      </c>
      <c r="AM354" s="56" t="s">
        <v>20</v>
      </c>
      <c r="AN354" s="80" t="n">
        <f aca="false">IF(L354=0,0,Z354/L354)</f>
        <v>0.402148764533036</v>
      </c>
      <c r="AO354" s="81" t="str">
        <f aca="false">IF(AN354="","",IF(AN354&gt;=0.9,"🟢",IF(AN354&gt;=0.7,"🟡",IF(AN354&gt;=0.5,"🟠","🔴"))))</f>
        <v>🔴</v>
      </c>
      <c r="AP354" s="82" t="n">
        <f aca="false">IF(L354=0,0,L354-Z354)</f>
        <v>1646.01</v>
      </c>
      <c r="AQ354" s="83" t="n">
        <f aca="false">IF(AP354=0,"",RANK(AP354,AP$4:AP$503,0))</f>
        <v>309</v>
      </c>
      <c r="AR354" s="84" t="s">
        <v>20</v>
      </c>
      <c r="AS354" s="141"/>
      <c r="AT354" s="141"/>
      <c r="AU354" s="141"/>
      <c r="AV354" s="141"/>
      <c r="AW354" s="141"/>
      <c r="AX354" s="141"/>
      <c r="AY354" s="142"/>
      <c r="AZ354" s="142"/>
      <c r="BA354" s="56" t="s">
        <v>20</v>
      </c>
      <c r="BB354" s="91" t="n">
        <f aca="false">SUM(L$4:L$503)/COUNTA(A$4:A$503)</f>
        <v>9494.39992</v>
      </c>
      <c r="BC354" s="92" t="n">
        <f aca="false">SUM(M$4:M$503)/COUNTA(A$4:A$503)</f>
        <v>667.20008</v>
      </c>
      <c r="BD354" s="92" t="n">
        <f aca="false">SUM(N$4:N$503)/COUNTA(A$4:A$503)</f>
        <v>697.19996</v>
      </c>
      <c r="BE354" s="92" t="n">
        <f aca="false">SUM(O$4:O$503)/COUNTA(A$4:A$503)</f>
        <v>713.9999</v>
      </c>
      <c r="BF354" s="92" t="n">
        <f aca="false">SUM(P$4:P$503)/COUNTA(A$4:A$503)</f>
        <v>732.59984</v>
      </c>
      <c r="BG354" s="92" t="n">
        <f aca="false">SUM(Q$4:Q$503)/COUNTA(A$4:A$503)</f>
        <v>756.59992</v>
      </c>
      <c r="BH354" s="92" t="n">
        <f aca="false">SUM(R$4:R$503)/COUNTA(A$4:A$503)</f>
        <v>776.40004</v>
      </c>
      <c r="BI354" s="92" t="n">
        <f aca="false">SUM(S$4:S$503)/COUNTA(A$4:A$503)</f>
        <v>806.40012</v>
      </c>
      <c r="BJ354" s="92" t="n">
        <f aca="false">SUM(T$4:T$503)/COUNTA(A$4:A$503)</f>
        <v>826.1999</v>
      </c>
      <c r="BK354" s="92" t="n">
        <f aca="false">SUM(U$4:U$503)/COUNTA(A$4:A$503)</f>
        <v>844.8002</v>
      </c>
      <c r="BL354" s="92" t="n">
        <f aca="false">SUM(V$4:V$503)/COUNTA(A$4:A$503)</f>
        <v>865.7998</v>
      </c>
      <c r="BM354" s="92" t="n">
        <f aca="false">SUM(W$4:W$503)/COUNTA(A$4:A$503)</f>
        <v>888.59982</v>
      </c>
      <c r="BN354" s="93" t="n">
        <f aca="false">SUM(X$4:X$503)/COUNTA(A$4:A$503)</f>
        <v>918.60034</v>
      </c>
      <c r="BO354" s="94" t="s">
        <v>20</v>
      </c>
      <c r="BP354" s="91" t="n">
        <f aca="false">IF(Z354&gt;=BB354,0,IFERROR(BB354+(SUMPRODUCT((Z$4:Z$503&gt;=BB$4:BB$503)*(Z$4:Z$503-BB$4:BB$503))/MAX(1,COUNTIF(Z$4:Z$503,"&lt;"&amp;BB354+0.01))),BB354))</f>
        <v>10695.5432177778</v>
      </c>
      <c r="BQ354" s="92" t="n">
        <f aca="false">IF(AA354&gt;=BC354,0,IFERROR(BC354+SUMPRODUCT((AA$4:AA$503&gt;=BC$4:BC$503)*(AA$4:AA$503-BC$4:BC$503))/MAX(1,COUNTIF(AA$4:AA$503,"&lt;"&amp;BC354+0.01)),BC354))</f>
        <v>2238.46589176471</v>
      </c>
      <c r="BR354" s="92" t="n">
        <f aca="false">IF(AB354&gt;=BD354,0,IFERROR(BD354+SUMPRODUCT((AB$4:AB$503&gt;=BD$4:BD$503)*(AB$4:AB$503-BD$4:BD$503))/MAX(1,COUNTIF(AB$4:AB$503,"&lt;"&amp;BD354+0.01)),BD354))</f>
        <v>3335.2938</v>
      </c>
      <c r="BS354" s="92" t="n">
        <f aca="false">IF(AC354&gt;=BE354,0,IFERROR(BE354+SUMPRODUCT((AC$4:AC$503&gt;=BE$4:BE$503)*(AC$4:AC$503-BE$4:BE$503))/MAX(1,COUNTIF(AC$4:AC$503,"&lt;"&amp;BE354+0.01)),BE354))</f>
        <v>6188.73352</v>
      </c>
      <c r="BT354" s="92" t="n">
        <f aca="false">IF(AD354&gt;=BF354,0,IFERROR(BF354+SUMPRODUCT((AD$4:AD$503&gt;=BF$4:BF$503)*(AD$4:AD$503-BF$4:BF$503))/MAX(1,COUNTIF(AD$4:AD$503,"&lt;"&amp;BF354+0.01)),BF354))</f>
        <v>11354.35411</v>
      </c>
      <c r="BU354" s="92" t="n">
        <f aca="false">IF(AE354&gt;=BG354,0,IFERROR(BG354+SUMPRODUCT((AE$4:AE$503&gt;=BG$4:BG$503)*(AE$4:AE$503-BG$4:BG$503))/MAX(1,COUNTIF(AE$4:AE$503,"&lt;"&amp;BG354+0.01)),BG354))</f>
        <v>7704.85920380952</v>
      </c>
      <c r="BV354" s="92" t="n">
        <f aca="false">IF(AF354&gt;=BH354,0,IFERROR(BH354+SUMPRODUCT((AF$4:AF$503&gt;=BH$4:BH$503)*(AF$4:AF$503-BH$4:BH$503))/MAX(1,COUNTIF(AF$4:AF$503,"&lt;"&amp;BH354+0.01)),BH354))</f>
        <v>9942.6503831579</v>
      </c>
      <c r="BW354" s="92" t="n">
        <f aca="false">IF(AG354&gt;=BI354,0,IFERROR(BI354+SUMPRODUCT((AG$4:AG$503&gt;=BI$4:BI$503)*(AG$4:AG$503-BI$4:BI$503))/MAX(1,COUNTIF(AG$4:AG$503,"&lt;"&amp;BI354+0.01)),BI354))</f>
        <v>9142.15870461538</v>
      </c>
      <c r="BX354" s="92" t="n">
        <f aca="false">IF(AH354&gt;=BJ354,0,IFERROR(BJ354+SUMPRODUCT((AH$4:AH$503&gt;=BJ$4:BJ$503)*(AH$4:AH$503-BJ$4:BJ$503))/MAX(1,COUNTIF(AH$4:AH$503,"&lt;"&amp;BJ354+0.01)),BJ354))</f>
        <v>5621.50263448276</v>
      </c>
      <c r="BY354" s="92" t="n">
        <f aca="false">IF(AI354&gt;=BK354,0,IFERROR(BK354+SUMPRODUCT((AI$4:AI$503&gt;=BK$4:BK$503)*(AI$4:AI$503-BK$4:BK$503))/MAX(1,COUNTIF(AI$4:AI$503,"&lt;"&amp;BK354+0.01)),BK354))</f>
        <v>7878.25652380952</v>
      </c>
      <c r="BZ354" s="92" t="n">
        <f aca="false">IF(AJ354&gt;=BL354,0,IFERROR(BL354+SUMPRODUCT((AJ$4:AJ$503&gt;=BL$4:BL$503)*(AJ$4:AJ$503-BL$4:BL$503))/MAX(1,COUNTIF(AJ$4:AJ$503,"&lt;"&amp;BL354+0.01)),BL354))</f>
        <v>6710.03292307692</v>
      </c>
      <c r="CA354" s="92" t="n">
        <f aca="false">IF(AK354&gt;=BM354,0,IFERROR(BM354+SUMPRODUCT((AK$4:AK$503&gt;=BM$4:BM$503)*(AK$4:AK$503-BM$4:BM$503))/MAX(1,COUNTIF(AK$4:AK$503,"&lt;"&amp;BM354+0.01)),BM354))</f>
        <v>7314.89836842105</v>
      </c>
      <c r="CB354" s="93" t="n">
        <f aca="false">IF(AL354&gt;=BN354,0,IFERROR(BN354+SUMPRODUCT((AL$4:AL$503&gt;=BN$4:BN$503)*(AL$4:AL$503-BN$4:BN$503))/MAX(1,COUNTIF(AL$4:AL$503,"&lt;"&amp;BN354+0.01)),BN354))</f>
        <v>0</v>
      </c>
      <c r="CC354" s="95" t="str">
        <f aca="false">IF(AO354="🟢","VERDE",IF(AO354="🟡","AMARELO",IF(AO354="🟠","VERMELHO",IF(AO354="🔴","VERMELHO","ROXO"))))</f>
        <v>VERMELHO</v>
      </c>
      <c r="CD354" s="96" t="s">
        <v>103</v>
      </c>
      <c r="CE354" s="96" t="s">
        <v>104</v>
      </c>
    </row>
    <row r="355" customFormat="false" ht="14.25" hidden="false" customHeight="true" outlineLevel="0" collapsed="false">
      <c r="A355" s="65" t="s">
        <v>842</v>
      </c>
      <c r="B355" s="66" t="s">
        <v>843</v>
      </c>
      <c r="C355" s="67" t="s">
        <v>149</v>
      </c>
      <c r="D355" s="68" t="s">
        <v>100</v>
      </c>
      <c r="E355" s="69" t="s">
        <v>119</v>
      </c>
      <c r="F355" s="70" t="n">
        <f aca="false">IFERROR(VLOOKUP(C355,$AS$3:$AT$10,2,FALSE()),IFERROR(VLOOKUP(C355,$AS$15:$AT$22,2,FALSE()),""))</f>
        <v>29</v>
      </c>
      <c r="G355" s="71" t="n">
        <f aca="false">IFERROR(VLOOKUP(C355,$AS$3:$AX$10,6,FALSE()),IFERROR(VLOOKUP(C355,$AS$15:$AX$22,6,FALSE()),""))</f>
        <v>0.425845065256079</v>
      </c>
      <c r="H355" s="72" t="str">
        <f aca="false">IFERROR(VLOOKUP(C355,$AS$3:$AY$10,7,FALSE()),IFERROR(VLOOKUP(C355,$AS$15:$AY$22,7,FALSE()),""))</f>
        <v>🟡 AMARELO</v>
      </c>
      <c r="I355" s="72" t="str">
        <f aca="false">IFERROR(VLOOKUP(C355,$AS$3:$AZ$10,8,FALSE()),IFERROR(VLOOKUP(C355,$AS$15:$AZ$22,8,FALSE()),""))</f>
        <v>Sell Out</v>
      </c>
      <c r="J355" s="73"/>
      <c r="K355" s="69" t="s">
        <v>149</v>
      </c>
      <c r="L355" s="74" t="n">
        <v>2737.76</v>
      </c>
      <c r="M355" s="75" t="n">
        <v>192.39</v>
      </c>
      <c r="N355" s="75" t="n">
        <v>201.04</v>
      </c>
      <c r="O355" s="75" t="n">
        <v>205.89</v>
      </c>
      <c r="P355" s="75" t="n">
        <v>211.25</v>
      </c>
      <c r="Q355" s="75" t="n">
        <v>218.17</v>
      </c>
      <c r="R355" s="75" t="n">
        <v>223.88</v>
      </c>
      <c r="S355" s="75" t="n">
        <v>232.53</v>
      </c>
      <c r="T355" s="75" t="n">
        <v>238.24</v>
      </c>
      <c r="U355" s="75" t="n">
        <v>243.6</v>
      </c>
      <c r="V355" s="75" t="n">
        <v>249.66</v>
      </c>
      <c r="W355" s="75" t="n">
        <v>256.23</v>
      </c>
      <c r="X355" s="76" t="n">
        <v>264.88</v>
      </c>
      <c r="Y355" s="77" t="s">
        <v>20</v>
      </c>
      <c r="Z355" s="78" t="n">
        <f aca="false">SUM(AA355:AL355)</f>
        <v>1568.19</v>
      </c>
      <c r="AA355" s="75"/>
      <c r="AB355" s="75"/>
      <c r="AC355" s="75"/>
      <c r="AD355" s="75"/>
      <c r="AE355" s="75"/>
      <c r="AF355" s="75"/>
      <c r="AG355" s="79" t="n">
        <v>1568.19</v>
      </c>
      <c r="AH355" s="75"/>
      <c r="AI355" s="75"/>
      <c r="AJ355" s="75"/>
      <c r="AK355" s="75"/>
      <c r="AL355" s="76"/>
      <c r="AM355" s="56" t="s">
        <v>20</v>
      </c>
      <c r="AN355" s="80" t="n">
        <f aca="false">IF(L355=0,0,Z355/L355)</f>
        <v>0.572800391560984</v>
      </c>
      <c r="AO355" s="81" t="str">
        <f aca="false">IF(AN355="","",IF(AN355&gt;=0.9,"🟢",IF(AN355&gt;=0.7,"🟡",IF(AN355&gt;=0.5,"🟠","🔴"))))</f>
        <v>🟠</v>
      </c>
      <c r="AP355" s="82" t="n">
        <f aca="false">IF(L355=0,0,L355-Z355)</f>
        <v>1169.57</v>
      </c>
      <c r="AQ355" s="83" t="n">
        <f aca="false">IF(AP355=0,"",RANK(AP355,AP$4:AP$503,0))</f>
        <v>364</v>
      </c>
      <c r="AR355" s="84" t="s">
        <v>20</v>
      </c>
      <c r="AS355" s="141"/>
      <c r="AT355" s="141"/>
      <c r="AU355" s="141"/>
      <c r="AV355" s="141"/>
      <c r="AW355" s="141"/>
      <c r="AX355" s="141"/>
      <c r="AY355" s="142"/>
      <c r="AZ355" s="142"/>
      <c r="BA355" s="56" t="s">
        <v>20</v>
      </c>
      <c r="BB355" s="91" t="n">
        <f aca="false">SUM(L$4:L$503)/COUNTA(A$4:A$503)</f>
        <v>9494.39992</v>
      </c>
      <c r="BC355" s="92" t="n">
        <f aca="false">SUM(M$4:M$503)/COUNTA(A$4:A$503)</f>
        <v>667.20008</v>
      </c>
      <c r="BD355" s="92" t="n">
        <f aca="false">SUM(N$4:N$503)/COUNTA(A$4:A$503)</f>
        <v>697.19996</v>
      </c>
      <c r="BE355" s="92" t="n">
        <f aca="false">SUM(O$4:O$503)/COUNTA(A$4:A$503)</f>
        <v>713.9999</v>
      </c>
      <c r="BF355" s="92" t="n">
        <f aca="false">SUM(P$4:P$503)/COUNTA(A$4:A$503)</f>
        <v>732.59984</v>
      </c>
      <c r="BG355" s="92" t="n">
        <f aca="false">SUM(Q$4:Q$503)/COUNTA(A$4:A$503)</f>
        <v>756.59992</v>
      </c>
      <c r="BH355" s="92" t="n">
        <f aca="false">SUM(R$4:R$503)/COUNTA(A$4:A$503)</f>
        <v>776.40004</v>
      </c>
      <c r="BI355" s="92" t="n">
        <f aca="false">SUM(S$4:S$503)/COUNTA(A$4:A$503)</f>
        <v>806.40012</v>
      </c>
      <c r="BJ355" s="92" t="n">
        <f aca="false">SUM(T$4:T$503)/COUNTA(A$4:A$503)</f>
        <v>826.1999</v>
      </c>
      <c r="BK355" s="92" t="n">
        <f aca="false">SUM(U$4:U$503)/COUNTA(A$4:A$503)</f>
        <v>844.8002</v>
      </c>
      <c r="BL355" s="92" t="n">
        <f aca="false">SUM(V$4:V$503)/COUNTA(A$4:A$503)</f>
        <v>865.7998</v>
      </c>
      <c r="BM355" s="92" t="n">
        <f aca="false">SUM(W$4:W$503)/COUNTA(A$4:A$503)</f>
        <v>888.59982</v>
      </c>
      <c r="BN355" s="93" t="n">
        <f aca="false">SUM(X$4:X$503)/COUNTA(A$4:A$503)</f>
        <v>918.60034</v>
      </c>
      <c r="BO355" s="94" t="s">
        <v>20</v>
      </c>
      <c r="BP355" s="91" t="n">
        <f aca="false">IF(Z355&gt;=BB355,0,IFERROR(BB355+(SUMPRODUCT((Z$4:Z$503&gt;=BB$4:BB$503)*(Z$4:Z$503-BB$4:BB$503))/MAX(1,COUNTIF(Z$4:Z$503,"&lt;"&amp;BB355+0.01))),BB355))</f>
        <v>10695.5432177778</v>
      </c>
      <c r="BQ355" s="92" t="n">
        <f aca="false">IF(AA355&gt;=BC355,0,IFERROR(BC355+SUMPRODUCT((AA$4:AA$503&gt;=BC$4:BC$503)*(AA$4:AA$503-BC$4:BC$503))/MAX(1,COUNTIF(AA$4:AA$503,"&lt;"&amp;BC355+0.01)),BC355))</f>
        <v>2238.46589176471</v>
      </c>
      <c r="BR355" s="92" t="n">
        <f aca="false">IF(AB355&gt;=BD355,0,IFERROR(BD355+SUMPRODUCT((AB$4:AB$503&gt;=BD$4:BD$503)*(AB$4:AB$503-BD$4:BD$503))/MAX(1,COUNTIF(AB$4:AB$503,"&lt;"&amp;BD355+0.01)),BD355))</f>
        <v>3335.2938</v>
      </c>
      <c r="BS355" s="92" t="n">
        <f aca="false">IF(AC355&gt;=BE355,0,IFERROR(BE355+SUMPRODUCT((AC$4:AC$503&gt;=BE$4:BE$503)*(AC$4:AC$503-BE$4:BE$503))/MAX(1,COUNTIF(AC$4:AC$503,"&lt;"&amp;BE355+0.01)),BE355))</f>
        <v>6188.73352</v>
      </c>
      <c r="BT355" s="92" t="n">
        <f aca="false">IF(AD355&gt;=BF355,0,IFERROR(BF355+SUMPRODUCT((AD$4:AD$503&gt;=BF$4:BF$503)*(AD$4:AD$503-BF$4:BF$503))/MAX(1,COUNTIF(AD$4:AD$503,"&lt;"&amp;BF355+0.01)),BF355))</f>
        <v>11354.35411</v>
      </c>
      <c r="BU355" s="92" t="n">
        <f aca="false">IF(AE355&gt;=BG355,0,IFERROR(BG355+SUMPRODUCT((AE$4:AE$503&gt;=BG$4:BG$503)*(AE$4:AE$503-BG$4:BG$503))/MAX(1,COUNTIF(AE$4:AE$503,"&lt;"&amp;BG355+0.01)),BG355))</f>
        <v>7704.85920380952</v>
      </c>
      <c r="BV355" s="92" t="n">
        <f aca="false">IF(AF355&gt;=BH355,0,IFERROR(BH355+SUMPRODUCT((AF$4:AF$503&gt;=BH$4:BH$503)*(AF$4:AF$503-BH$4:BH$503))/MAX(1,COUNTIF(AF$4:AF$503,"&lt;"&amp;BH355+0.01)),BH355))</f>
        <v>9942.6503831579</v>
      </c>
      <c r="BW355" s="92" t="n">
        <f aca="false">IF(AG355&gt;=BI355,0,IFERROR(BI355+SUMPRODUCT((AG$4:AG$503&gt;=BI$4:BI$503)*(AG$4:AG$503-BI$4:BI$503))/MAX(1,COUNTIF(AG$4:AG$503,"&lt;"&amp;BI355+0.01)),BI355))</f>
        <v>0</v>
      </c>
      <c r="BX355" s="92" t="n">
        <f aca="false">IF(AH355&gt;=BJ355,0,IFERROR(BJ355+SUMPRODUCT((AH$4:AH$503&gt;=BJ$4:BJ$503)*(AH$4:AH$503-BJ$4:BJ$503))/MAX(1,COUNTIF(AH$4:AH$503,"&lt;"&amp;BJ355+0.01)),BJ355))</f>
        <v>5621.50263448276</v>
      </c>
      <c r="BY355" s="92" t="n">
        <f aca="false">IF(AI355&gt;=BK355,0,IFERROR(BK355+SUMPRODUCT((AI$4:AI$503&gt;=BK$4:BK$503)*(AI$4:AI$503-BK$4:BK$503))/MAX(1,COUNTIF(AI$4:AI$503,"&lt;"&amp;BK355+0.01)),BK355))</f>
        <v>7878.25652380952</v>
      </c>
      <c r="BZ355" s="92" t="n">
        <f aca="false">IF(AJ355&gt;=BL355,0,IFERROR(BL355+SUMPRODUCT((AJ$4:AJ$503&gt;=BL$4:BL$503)*(AJ$4:AJ$503-BL$4:BL$503))/MAX(1,COUNTIF(AJ$4:AJ$503,"&lt;"&amp;BL355+0.01)),BL355))</f>
        <v>6710.03292307692</v>
      </c>
      <c r="CA355" s="92" t="n">
        <f aca="false">IF(AK355&gt;=BM355,0,IFERROR(BM355+SUMPRODUCT((AK$4:AK$503&gt;=BM$4:BM$503)*(AK$4:AK$503-BM$4:BM$503))/MAX(1,COUNTIF(AK$4:AK$503,"&lt;"&amp;BM355+0.01)),BM355))</f>
        <v>7314.89836842105</v>
      </c>
      <c r="CB355" s="93" t="n">
        <f aca="false">IF(AL355&gt;=BN355,0,IFERROR(BN355+SUMPRODUCT((AL$4:AL$503&gt;=BN$4:BN$503)*(AL$4:AL$503-BN$4:BN$503))/MAX(1,COUNTIF(AL$4:AL$503,"&lt;"&amp;BN355+0.01)),BN355))</f>
        <v>3597.2614925</v>
      </c>
      <c r="CC355" s="95" t="str">
        <f aca="false">IF(AO355="🟢","VERDE",IF(AO355="🟡","AMARELO",IF(AO355="🟠","VERMELHO",IF(AO355="🔴","VERMELHO","ROXO"))))</f>
        <v>VERMELHO</v>
      </c>
      <c r="CD355" s="96" t="s">
        <v>103</v>
      </c>
      <c r="CE355" s="96" t="s">
        <v>104</v>
      </c>
    </row>
    <row r="356" customFormat="false" ht="14.25" hidden="false" customHeight="true" outlineLevel="0" collapsed="false">
      <c r="A356" s="65" t="s">
        <v>844</v>
      </c>
      <c r="B356" s="66" t="s">
        <v>845</v>
      </c>
      <c r="C356" s="67" t="s">
        <v>107</v>
      </c>
      <c r="D356" s="68" t="s">
        <v>108</v>
      </c>
      <c r="E356" s="69" t="s">
        <v>109</v>
      </c>
      <c r="F356" s="70" t="n">
        <f aca="false">IFERROR(VLOOKUP(C356,$AS$3:$AT$10,2,FALSE()),IFERROR(VLOOKUP(C356,$AS$15:$AT$22,2,FALSE()),""))</f>
        <v>132</v>
      </c>
      <c r="G356" s="71" t="n">
        <f aca="false">IFERROR(VLOOKUP(C356,$AS$3:$AX$10,6,FALSE()),IFERROR(VLOOKUP(C356,$AS$15:$AX$22,6,FALSE()),""))</f>
        <v>0.468190175850689</v>
      </c>
      <c r="H356" s="72" t="str">
        <f aca="false">IFERROR(VLOOKUP(C356,$AS$3:$AY$10,7,FALSE()),IFERROR(VLOOKUP(C356,$AS$15:$AY$22,7,FALSE()),""))</f>
        <v>🟡 AMARELO</v>
      </c>
      <c r="I356" s="72" t="str">
        <f aca="false">IFERROR(VLOOKUP(C356,$AS$3:$AZ$10,8,FALSE()),IFERROR(VLOOKUP(C356,$AS$15:$AZ$22,8,FALSE()),""))</f>
        <v>Sell Out</v>
      </c>
      <c r="J356" s="73"/>
      <c r="K356" s="69" t="s">
        <v>107</v>
      </c>
      <c r="L356" s="74" t="n">
        <v>2720.15</v>
      </c>
      <c r="M356" s="75" t="n">
        <v>191.15</v>
      </c>
      <c r="N356" s="75" t="n">
        <v>199.75</v>
      </c>
      <c r="O356" s="75" t="n">
        <v>204.56</v>
      </c>
      <c r="P356" s="75" t="n">
        <v>209.89</v>
      </c>
      <c r="Q356" s="75" t="n">
        <v>216.77</v>
      </c>
      <c r="R356" s="75" t="n">
        <v>222.44</v>
      </c>
      <c r="S356" s="75" t="n">
        <v>231.03</v>
      </c>
      <c r="T356" s="75" t="n">
        <v>236.71</v>
      </c>
      <c r="U356" s="75" t="n">
        <v>242.04</v>
      </c>
      <c r="V356" s="75" t="n">
        <v>248.05</v>
      </c>
      <c r="W356" s="75" t="n">
        <v>254.58</v>
      </c>
      <c r="X356" s="76" t="n">
        <v>263.18</v>
      </c>
      <c r="Y356" s="77" t="s">
        <v>20</v>
      </c>
      <c r="Z356" s="78" t="n">
        <f aca="false">SUM(AA356:AL356)</f>
        <v>1093.91</v>
      </c>
      <c r="AA356" s="75"/>
      <c r="AB356" s="75"/>
      <c r="AC356" s="75"/>
      <c r="AD356" s="75"/>
      <c r="AE356" s="79" t="n">
        <v>417.97</v>
      </c>
      <c r="AF356" s="75"/>
      <c r="AG356" s="75"/>
      <c r="AH356" s="75"/>
      <c r="AI356" s="75"/>
      <c r="AJ356" s="75"/>
      <c r="AK356" s="79" t="n">
        <v>675.94</v>
      </c>
      <c r="AL356" s="76"/>
      <c r="AM356" s="56" t="s">
        <v>20</v>
      </c>
      <c r="AN356" s="80" t="n">
        <f aca="false">IF(L356=0,0,Z356/L356)</f>
        <v>0.402150616693932</v>
      </c>
      <c r="AO356" s="81" t="str">
        <f aca="false">IF(AN356="","",IF(AN356&gt;=0.9,"🟢",IF(AN356&gt;=0.7,"🟡",IF(AN356&gt;=0.5,"🟠","🔴"))))</f>
        <v>🔴</v>
      </c>
      <c r="AP356" s="82" t="n">
        <f aca="false">IF(L356=0,0,L356-Z356)</f>
        <v>1626.24</v>
      </c>
      <c r="AQ356" s="83" t="n">
        <f aca="false">IF(AP356=0,"",RANK(AP356,AP$4:AP$503,0))</f>
        <v>311</v>
      </c>
      <c r="AR356" s="84" t="s">
        <v>20</v>
      </c>
      <c r="AS356" s="141"/>
      <c r="AT356" s="141"/>
      <c r="AU356" s="141"/>
      <c r="AV356" s="141"/>
      <c r="AW356" s="141"/>
      <c r="AX356" s="141"/>
      <c r="AY356" s="142"/>
      <c r="AZ356" s="142"/>
      <c r="BA356" s="56" t="s">
        <v>20</v>
      </c>
      <c r="BB356" s="91" t="n">
        <f aca="false">SUM(L$4:L$503)/COUNTA(A$4:A$503)</f>
        <v>9494.39992</v>
      </c>
      <c r="BC356" s="92" t="n">
        <f aca="false">SUM(M$4:M$503)/COUNTA(A$4:A$503)</f>
        <v>667.20008</v>
      </c>
      <c r="BD356" s="92" t="n">
        <f aca="false">SUM(N$4:N$503)/COUNTA(A$4:A$503)</f>
        <v>697.19996</v>
      </c>
      <c r="BE356" s="92" t="n">
        <f aca="false">SUM(O$4:O$503)/COUNTA(A$4:A$503)</f>
        <v>713.9999</v>
      </c>
      <c r="BF356" s="92" t="n">
        <f aca="false">SUM(P$4:P$503)/COUNTA(A$4:A$503)</f>
        <v>732.59984</v>
      </c>
      <c r="BG356" s="92" t="n">
        <f aca="false">SUM(Q$4:Q$503)/COUNTA(A$4:A$503)</f>
        <v>756.59992</v>
      </c>
      <c r="BH356" s="92" t="n">
        <f aca="false">SUM(R$4:R$503)/COUNTA(A$4:A$503)</f>
        <v>776.40004</v>
      </c>
      <c r="BI356" s="92" t="n">
        <f aca="false">SUM(S$4:S$503)/COUNTA(A$4:A$503)</f>
        <v>806.40012</v>
      </c>
      <c r="BJ356" s="92" t="n">
        <f aca="false">SUM(T$4:T$503)/COUNTA(A$4:A$503)</f>
        <v>826.1999</v>
      </c>
      <c r="BK356" s="92" t="n">
        <f aca="false">SUM(U$4:U$503)/COUNTA(A$4:A$503)</f>
        <v>844.8002</v>
      </c>
      <c r="BL356" s="92" t="n">
        <f aca="false">SUM(V$4:V$503)/COUNTA(A$4:A$503)</f>
        <v>865.7998</v>
      </c>
      <c r="BM356" s="92" t="n">
        <f aca="false">SUM(W$4:W$503)/COUNTA(A$4:A$503)</f>
        <v>888.59982</v>
      </c>
      <c r="BN356" s="93" t="n">
        <f aca="false">SUM(X$4:X$503)/COUNTA(A$4:A$503)</f>
        <v>918.60034</v>
      </c>
      <c r="BO356" s="94" t="s">
        <v>20</v>
      </c>
      <c r="BP356" s="91" t="n">
        <f aca="false">IF(Z356&gt;=BB356,0,IFERROR(BB356+(SUMPRODUCT((Z$4:Z$503&gt;=BB$4:BB$503)*(Z$4:Z$503-BB$4:BB$503))/MAX(1,COUNTIF(Z$4:Z$503,"&lt;"&amp;BB356+0.01))),BB356))</f>
        <v>10695.5432177778</v>
      </c>
      <c r="BQ356" s="92" t="n">
        <f aca="false">IF(AA356&gt;=BC356,0,IFERROR(BC356+SUMPRODUCT((AA$4:AA$503&gt;=BC$4:BC$503)*(AA$4:AA$503-BC$4:BC$503))/MAX(1,COUNTIF(AA$4:AA$503,"&lt;"&amp;BC356+0.01)),BC356))</f>
        <v>2238.46589176471</v>
      </c>
      <c r="BR356" s="92" t="n">
        <f aca="false">IF(AB356&gt;=BD356,0,IFERROR(BD356+SUMPRODUCT((AB$4:AB$503&gt;=BD$4:BD$503)*(AB$4:AB$503-BD$4:BD$503))/MAX(1,COUNTIF(AB$4:AB$503,"&lt;"&amp;BD356+0.01)),BD356))</f>
        <v>3335.2938</v>
      </c>
      <c r="BS356" s="92" t="n">
        <f aca="false">IF(AC356&gt;=BE356,0,IFERROR(BE356+SUMPRODUCT((AC$4:AC$503&gt;=BE$4:BE$503)*(AC$4:AC$503-BE$4:BE$503))/MAX(1,COUNTIF(AC$4:AC$503,"&lt;"&amp;BE356+0.01)),BE356))</f>
        <v>6188.73352</v>
      </c>
      <c r="BT356" s="92" t="n">
        <f aca="false">IF(AD356&gt;=BF356,0,IFERROR(BF356+SUMPRODUCT((AD$4:AD$503&gt;=BF$4:BF$503)*(AD$4:AD$503-BF$4:BF$503))/MAX(1,COUNTIF(AD$4:AD$503,"&lt;"&amp;BF356+0.01)),BF356))</f>
        <v>11354.35411</v>
      </c>
      <c r="BU356" s="92" t="n">
        <f aca="false">IF(AE356&gt;=BG356,0,IFERROR(BG356+SUMPRODUCT((AE$4:AE$503&gt;=BG$4:BG$503)*(AE$4:AE$503-BG$4:BG$503))/MAX(1,COUNTIF(AE$4:AE$503,"&lt;"&amp;BG356+0.01)),BG356))</f>
        <v>7704.85920380952</v>
      </c>
      <c r="BV356" s="92" t="n">
        <f aca="false">IF(AF356&gt;=BH356,0,IFERROR(BH356+SUMPRODUCT((AF$4:AF$503&gt;=BH$4:BH$503)*(AF$4:AF$503-BH$4:BH$503))/MAX(1,COUNTIF(AF$4:AF$503,"&lt;"&amp;BH356+0.01)),BH356))</f>
        <v>9942.6503831579</v>
      </c>
      <c r="BW356" s="92" t="n">
        <f aca="false">IF(AG356&gt;=BI356,0,IFERROR(BI356+SUMPRODUCT((AG$4:AG$503&gt;=BI$4:BI$503)*(AG$4:AG$503-BI$4:BI$503))/MAX(1,COUNTIF(AG$4:AG$503,"&lt;"&amp;BI356+0.01)),BI356))</f>
        <v>9142.15870461538</v>
      </c>
      <c r="BX356" s="92" t="n">
        <f aca="false">IF(AH356&gt;=BJ356,0,IFERROR(BJ356+SUMPRODUCT((AH$4:AH$503&gt;=BJ$4:BJ$503)*(AH$4:AH$503-BJ$4:BJ$503))/MAX(1,COUNTIF(AH$4:AH$503,"&lt;"&amp;BJ356+0.01)),BJ356))</f>
        <v>5621.50263448276</v>
      </c>
      <c r="BY356" s="92" t="n">
        <f aca="false">IF(AI356&gt;=BK356,0,IFERROR(BK356+SUMPRODUCT((AI$4:AI$503&gt;=BK$4:BK$503)*(AI$4:AI$503-BK$4:BK$503))/MAX(1,COUNTIF(AI$4:AI$503,"&lt;"&amp;BK356+0.01)),BK356))</f>
        <v>7878.25652380952</v>
      </c>
      <c r="BZ356" s="92" t="n">
        <f aca="false">IF(AJ356&gt;=BL356,0,IFERROR(BL356+SUMPRODUCT((AJ$4:AJ$503&gt;=BL$4:BL$503)*(AJ$4:AJ$503-BL$4:BL$503))/MAX(1,COUNTIF(AJ$4:AJ$503,"&lt;"&amp;BL356+0.01)),BL356))</f>
        <v>6710.03292307692</v>
      </c>
      <c r="CA356" s="92" t="n">
        <f aca="false">IF(AK356&gt;=BM356,0,IFERROR(BM356+SUMPRODUCT((AK$4:AK$503&gt;=BM$4:BM$503)*(AK$4:AK$503-BM$4:BM$503))/MAX(1,COUNTIF(AK$4:AK$503,"&lt;"&amp;BM356+0.01)),BM356))</f>
        <v>7314.89836842105</v>
      </c>
      <c r="CB356" s="93" t="n">
        <f aca="false">IF(AL356&gt;=BN356,0,IFERROR(BN356+SUMPRODUCT((AL$4:AL$503&gt;=BN$4:BN$503)*(AL$4:AL$503-BN$4:BN$503))/MAX(1,COUNTIF(AL$4:AL$503,"&lt;"&amp;BN356+0.01)),BN356))</f>
        <v>3597.2614925</v>
      </c>
      <c r="CC356" s="95" t="str">
        <f aca="false">IF(AO356="🟢","VERDE",IF(AO356="🟡","AMARELO",IF(AO356="🟠","VERMELHO",IF(AO356="🔴","VERMELHO","ROXO"))))</f>
        <v>VERMELHO</v>
      </c>
      <c r="CD356" s="96" t="s">
        <v>103</v>
      </c>
      <c r="CE356" s="96" t="s">
        <v>104</v>
      </c>
    </row>
    <row r="357" customFormat="false" ht="14.25" hidden="false" customHeight="true" outlineLevel="0" collapsed="false">
      <c r="A357" s="65" t="s">
        <v>846</v>
      </c>
      <c r="B357" s="66" t="s">
        <v>847</v>
      </c>
      <c r="C357" s="67" t="s">
        <v>107</v>
      </c>
      <c r="D357" s="68" t="s">
        <v>108</v>
      </c>
      <c r="E357" s="69" t="s">
        <v>139</v>
      </c>
      <c r="F357" s="70" t="n">
        <f aca="false">IFERROR(VLOOKUP(C357,$AS$3:$AT$10,2,FALSE()),IFERROR(VLOOKUP(C357,$AS$15:$AT$22,2,FALSE()),""))</f>
        <v>132</v>
      </c>
      <c r="G357" s="71" t="n">
        <f aca="false">IFERROR(VLOOKUP(C357,$AS$3:$AX$10,6,FALSE()),IFERROR(VLOOKUP(C357,$AS$15:$AX$22,6,FALSE()),""))</f>
        <v>0.468190175850689</v>
      </c>
      <c r="H357" s="72" t="str">
        <f aca="false">IFERROR(VLOOKUP(C357,$AS$3:$AY$10,7,FALSE()),IFERROR(VLOOKUP(C357,$AS$15:$AY$22,7,FALSE()),""))</f>
        <v>🟡 AMARELO</v>
      </c>
      <c r="I357" s="72" t="str">
        <f aca="false">IFERROR(VLOOKUP(C357,$AS$3:$AZ$10,8,FALSE()),IFERROR(VLOOKUP(C357,$AS$15:$AZ$22,8,FALSE()),""))</f>
        <v>Sell Out</v>
      </c>
      <c r="J357" s="73"/>
      <c r="K357" s="69" t="s">
        <v>107</v>
      </c>
      <c r="L357" s="74" t="n">
        <v>2719.07</v>
      </c>
      <c r="M357" s="75" t="n">
        <v>191.08</v>
      </c>
      <c r="N357" s="75" t="n">
        <v>199.67</v>
      </c>
      <c r="O357" s="75" t="n">
        <v>204.48</v>
      </c>
      <c r="P357" s="75" t="n">
        <v>209.81</v>
      </c>
      <c r="Q357" s="75" t="n">
        <v>216.68</v>
      </c>
      <c r="R357" s="75" t="n">
        <v>222.35</v>
      </c>
      <c r="S357" s="75" t="n">
        <v>230.94</v>
      </c>
      <c r="T357" s="75" t="n">
        <v>236.61</v>
      </c>
      <c r="U357" s="75" t="n">
        <v>241.94</v>
      </c>
      <c r="V357" s="75" t="n">
        <v>247.95</v>
      </c>
      <c r="W357" s="75" t="n">
        <v>254.48</v>
      </c>
      <c r="X357" s="76" t="n">
        <v>263.08</v>
      </c>
      <c r="Y357" s="77" t="s">
        <v>20</v>
      </c>
      <c r="Z357" s="78" t="n">
        <f aca="false">SUM(AA357:AL357)</f>
        <v>1099.98</v>
      </c>
      <c r="AA357" s="75"/>
      <c r="AB357" s="75"/>
      <c r="AC357" s="75"/>
      <c r="AD357" s="75"/>
      <c r="AE357" s="75"/>
      <c r="AF357" s="75"/>
      <c r="AG357" s="79" t="n">
        <v>1099.98</v>
      </c>
      <c r="AH357" s="75"/>
      <c r="AI357" s="75"/>
      <c r="AJ357" s="75"/>
      <c r="AK357" s="75"/>
      <c r="AL357" s="76"/>
      <c r="AM357" s="56" t="s">
        <v>20</v>
      </c>
      <c r="AN357" s="80" t="n">
        <f aca="false">IF(L357=0,0,Z357/L357)</f>
        <v>0.404542729683311</v>
      </c>
      <c r="AO357" s="81" t="str">
        <f aca="false">IF(AN357="","",IF(AN357&gt;=0.9,"🟢",IF(AN357&gt;=0.7,"🟡",IF(AN357&gt;=0.5,"🟠","🔴"))))</f>
        <v>🔴</v>
      </c>
      <c r="AP357" s="82" t="n">
        <f aca="false">IF(L357=0,0,L357-Z357)</f>
        <v>1619.09</v>
      </c>
      <c r="AQ357" s="83" t="n">
        <f aca="false">IF(AP357=0,"",RANK(AP357,AP$4:AP$503,0))</f>
        <v>312</v>
      </c>
      <c r="AR357" s="84" t="s">
        <v>20</v>
      </c>
      <c r="AS357" s="141"/>
      <c r="AT357" s="141"/>
      <c r="AU357" s="141"/>
      <c r="AV357" s="141"/>
      <c r="AW357" s="141"/>
      <c r="AX357" s="141"/>
      <c r="AY357" s="142"/>
      <c r="AZ357" s="142"/>
      <c r="BA357" s="56" t="s">
        <v>20</v>
      </c>
      <c r="BB357" s="91" t="n">
        <f aca="false">SUM(L$4:L$503)/COUNTA(A$4:A$503)</f>
        <v>9494.39992</v>
      </c>
      <c r="BC357" s="92" t="n">
        <f aca="false">SUM(M$4:M$503)/COUNTA(A$4:A$503)</f>
        <v>667.20008</v>
      </c>
      <c r="BD357" s="92" t="n">
        <f aca="false">SUM(N$4:N$503)/COUNTA(A$4:A$503)</f>
        <v>697.19996</v>
      </c>
      <c r="BE357" s="92" t="n">
        <f aca="false">SUM(O$4:O$503)/COUNTA(A$4:A$503)</f>
        <v>713.9999</v>
      </c>
      <c r="BF357" s="92" t="n">
        <f aca="false">SUM(P$4:P$503)/COUNTA(A$4:A$503)</f>
        <v>732.59984</v>
      </c>
      <c r="BG357" s="92" t="n">
        <f aca="false">SUM(Q$4:Q$503)/COUNTA(A$4:A$503)</f>
        <v>756.59992</v>
      </c>
      <c r="BH357" s="92" t="n">
        <f aca="false">SUM(R$4:R$503)/COUNTA(A$4:A$503)</f>
        <v>776.40004</v>
      </c>
      <c r="BI357" s="92" t="n">
        <f aca="false">SUM(S$4:S$503)/COUNTA(A$4:A$503)</f>
        <v>806.40012</v>
      </c>
      <c r="BJ357" s="92" t="n">
        <f aca="false">SUM(T$4:T$503)/COUNTA(A$4:A$503)</f>
        <v>826.1999</v>
      </c>
      <c r="BK357" s="92" t="n">
        <f aca="false">SUM(U$4:U$503)/COUNTA(A$4:A$503)</f>
        <v>844.8002</v>
      </c>
      <c r="BL357" s="92" t="n">
        <f aca="false">SUM(V$4:V$503)/COUNTA(A$4:A$503)</f>
        <v>865.7998</v>
      </c>
      <c r="BM357" s="92" t="n">
        <f aca="false">SUM(W$4:W$503)/COUNTA(A$4:A$503)</f>
        <v>888.59982</v>
      </c>
      <c r="BN357" s="93" t="n">
        <f aca="false">SUM(X$4:X$503)/COUNTA(A$4:A$503)</f>
        <v>918.60034</v>
      </c>
      <c r="BO357" s="94" t="s">
        <v>20</v>
      </c>
      <c r="BP357" s="91" t="n">
        <f aca="false">IF(Z357&gt;=BB357,0,IFERROR(BB357+(SUMPRODUCT((Z$4:Z$503&gt;=BB$4:BB$503)*(Z$4:Z$503-BB$4:BB$503))/MAX(1,COUNTIF(Z$4:Z$503,"&lt;"&amp;BB357+0.01))),BB357))</f>
        <v>10695.5432177778</v>
      </c>
      <c r="BQ357" s="92" t="n">
        <f aca="false">IF(AA357&gt;=BC357,0,IFERROR(BC357+SUMPRODUCT((AA$4:AA$503&gt;=BC$4:BC$503)*(AA$4:AA$503-BC$4:BC$503))/MAX(1,COUNTIF(AA$4:AA$503,"&lt;"&amp;BC357+0.01)),BC357))</f>
        <v>2238.46589176471</v>
      </c>
      <c r="BR357" s="92" t="n">
        <f aca="false">IF(AB357&gt;=BD357,0,IFERROR(BD357+SUMPRODUCT((AB$4:AB$503&gt;=BD$4:BD$503)*(AB$4:AB$503-BD$4:BD$503))/MAX(1,COUNTIF(AB$4:AB$503,"&lt;"&amp;BD357+0.01)),BD357))</f>
        <v>3335.2938</v>
      </c>
      <c r="BS357" s="92" t="n">
        <f aca="false">IF(AC357&gt;=BE357,0,IFERROR(BE357+SUMPRODUCT((AC$4:AC$503&gt;=BE$4:BE$503)*(AC$4:AC$503-BE$4:BE$503))/MAX(1,COUNTIF(AC$4:AC$503,"&lt;"&amp;BE357+0.01)),BE357))</f>
        <v>6188.73352</v>
      </c>
      <c r="BT357" s="92" t="n">
        <f aca="false">IF(AD357&gt;=BF357,0,IFERROR(BF357+SUMPRODUCT((AD$4:AD$503&gt;=BF$4:BF$503)*(AD$4:AD$503-BF$4:BF$503))/MAX(1,COUNTIF(AD$4:AD$503,"&lt;"&amp;BF357+0.01)),BF357))</f>
        <v>11354.35411</v>
      </c>
      <c r="BU357" s="92" t="n">
        <f aca="false">IF(AE357&gt;=BG357,0,IFERROR(BG357+SUMPRODUCT((AE$4:AE$503&gt;=BG$4:BG$503)*(AE$4:AE$503-BG$4:BG$503))/MAX(1,COUNTIF(AE$4:AE$503,"&lt;"&amp;BG357+0.01)),BG357))</f>
        <v>7704.85920380952</v>
      </c>
      <c r="BV357" s="92" t="n">
        <f aca="false">IF(AF357&gt;=BH357,0,IFERROR(BH357+SUMPRODUCT((AF$4:AF$503&gt;=BH$4:BH$503)*(AF$4:AF$503-BH$4:BH$503))/MAX(1,COUNTIF(AF$4:AF$503,"&lt;"&amp;BH357+0.01)),BH357))</f>
        <v>9942.6503831579</v>
      </c>
      <c r="BW357" s="92" t="n">
        <f aca="false">IF(AG357&gt;=BI357,0,IFERROR(BI357+SUMPRODUCT((AG$4:AG$503&gt;=BI$4:BI$503)*(AG$4:AG$503-BI$4:BI$503))/MAX(1,COUNTIF(AG$4:AG$503,"&lt;"&amp;BI357+0.01)),BI357))</f>
        <v>0</v>
      </c>
      <c r="BX357" s="92" t="n">
        <f aca="false">IF(AH357&gt;=BJ357,0,IFERROR(BJ357+SUMPRODUCT((AH$4:AH$503&gt;=BJ$4:BJ$503)*(AH$4:AH$503-BJ$4:BJ$503))/MAX(1,COUNTIF(AH$4:AH$503,"&lt;"&amp;BJ357+0.01)),BJ357))</f>
        <v>5621.50263448276</v>
      </c>
      <c r="BY357" s="92" t="n">
        <f aca="false">IF(AI357&gt;=BK357,0,IFERROR(BK357+SUMPRODUCT((AI$4:AI$503&gt;=BK$4:BK$503)*(AI$4:AI$503-BK$4:BK$503))/MAX(1,COUNTIF(AI$4:AI$503,"&lt;"&amp;BK357+0.01)),BK357))</f>
        <v>7878.25652380952</v>
      </c>
      <c r="BZ357" s="92" t="n">
        <f aca="false">IF(AJ357&gt;=BL357,0,IFERROR(BL357+SUMPRODUCT((AJ$4:AJ$503&gt;=BL$4:BL$503)*(AJ$4:AJ$503-BL$4:BL$503))/MAX(1,COUNTIF(AJ$4:AJ$503,"&lt;"&amp;BL357+0.01)),BL357))</f>
        <v>6710.03292307692</v>
      </c>
      <c r="CA357" s="92" t="n">
        <f aca="false">IF(AK357&gt;=BM357,0,IFERROR(BM357+SUMPRODUCT((AK$4:AK$503&gt;=BM$4:BM$503)*(AK$4:AK$503-BM$4:BM$503))/MAX(1,COUNTIF(AK$4:AK$503,"&lt;"&amp;BM357+0.01)),BM357))</f>
        <v>7314.89836842105</v>
      </c>
      <c r="CB357" s="93" t="n">
        <f aca="false">IF(AL357&gt;=BN357,0,IFERROR(BN357+SUMPRODUCT((AL$4:AL$503&gt;=BN$4:BN$503)*(AL$4:AL$503-BN$4:BN$503))/MAX(1,COUNTIF(AL$4:AL$503,"&lt;"&amp;BN357+0.01)),BN357))</f>
        <v>3597.2614925</v>
      </c>
      <c r="CC357" s="95" t="str">
        <f aca="false">IF(AO357="🟢","VERDE",IF(AO357="🟡","AMARELO",IF(AO357="🟠","VERMELHO",IF(AO357="🔴","VERMELHO","ROXO"))))</f>
        <v>VERMELHO</v>
      </c>
      <c r="CD357" s="96" t="s">
        <v>103</v>
      </c>
      <c r="CE357" s="96" t="s">
        <v>104</v>
      </c>
    </row>
    <row r="358" customFormat="false" ht="14.25" hidden="false" customHeight="true" outlineLevel="0" collapsed="false">
      <c r="A358" s="65" t="s">
        <v>848</v>
      </c>
      <c r="B358" s="66" t="s">
        <v>849</v>
      </c>
      <c r="C358" s="67" t="s">
        <v>145</v>
      </c>
      <c r="D358" s="68" t="s">
        <v>100</v>
      </c>
      <c r="E358" s="69" t="s">
        <v>146</v>
      </c>
      <c r="F358" s="70" t="n">
        <f aca="false">IFERROR(VLOOKUP(C358,$AS$3:$AT$10,2,FALSE()),IFERROR(VLOOKUP(C358,$AS$15:$AT$22,2,FALSE()),""))</f>
        <v>10</v>
      </c>
      <c r="G358" s="71" t="n">
        <f aca="false">IFERROR(VLOOKUP(C358,$AS$3:$AX$10,6,FALSE()),IFERROR(VLOOKUP(C358,$AS$15:$AX$22,6,FALSE()),""))</f>
        <v>0.45643525037644</v>
      </c>
      <c r="H358" s="72" t="str">
        <f aca="false">IFERROR(VLOOKUP(C358,$AS$3:$AY$10,7,FALSE()),IFERROR(VLOOKUP(C358,$AS$15:$AY$22,7,FALSE()),""))</f>
        <v>🟡 AMARELO</v>
      </c>
      <c r="I358" s="72" t="str">
        <f aca="false">IFERROR(VLOOKUP(C358,$AS$3:$AZ$10,8,FALSE()),IFERROR(VLOOKUP(C358,$AS$15:$AZ$22,8,FALSE()),""))</f>
        <v>Sell Out</v>
      </c>
      <c r="J358" s="73"/>
      <c r="K358" s="69" t="s">
        <v>145</v>
      </c>
      <c r="L358" s="74" t="n">
        <v>2693.03</v>
      </c>
      <c r="M358" s="75" t="n">
        <v>189.25</v>
      </c>
      <c r="N358" s="75" t="n">
        <v>197.76</v>
      </c>
      <c r="O358" s="75" t="n">
        <v>202.52</v>
      </c>
      <c r="P358" s="75" t="n">
        <v>207.8</v>
      </c>
      <c r="Q358" s="75" t="n">
        <v>214.6</v>
      </c>
      <c r="R358" s="75" t="n">
        <v>220.22</v>
      </c>
      <c r="S358" s="75" t="n">
        <v>228.73</v>
      </c>
      <c r="T358" s="75" t="n">
        <v>234.35</v>
      </c>
      <c r="U358" s="75" t="n">
        <v>239.62</v>
      </c>
      <c r="V358" s="75" t="n">
        <v>245.58</v>
      </c>
      <c r="W358" s="75" t="n">
        <v>252.05</v>
      </c>
      <c r="X358" s="76" t="n">
        <v>260.55</v>
      </c>
      <c r="Y358" s="77" t="s">
        <v>20</v>
      </c>
      <c r="Z358" s="78" t="n">
        <f aca="false">SUM(AA358:AL358)</f>
        <v>1160.85</v>
      </c>
      <c r="AA358" s="75"/>
      <c r="AB358" s="75"/>
      <c r="AC358" s="75"/>
      <c r="AD358" s="75"/>
      <c r="AE358" s="75"/>
      <c r="AF358" s="75"/>
      <c r="AG358" s="75"/>
      <c r="AH358" s="79" t="n">
        <v>1160.85</v>
      </c>
      <c r="AI358" s="75"/>
      <c r="AJ358" s="75"/>
      <c r="AK358" s="75"/>
      <c r="AL358" s="76"/>
      <c r="AM358" s="56" t="s">
        <v>20</v>
      </c>
      <c r="AN358" s="80" t="n">
        <f aca="false">IF(L358=0,0,Z358/L358)</f>
        <v>0.4310572106512</v>
      </c>
      <c r="AO358" s="81" t="str">
        <f aca="false">IF(AN358="","",IF(AN358&gt;=0.9,"🟢",IF(AN358&gt;=0.7,"🟡",IF(AN358&gt;=0.5,"🟠","🔴"))))</f>
        <v>🔴</v>
      </c>
      <c r="AP358" s="82" t="n">
        <f aca="false">IF(L358=0,0,L358-Z358)</f>
        <v>1532.18</v>
      </c>
      <c r="AQ358" s="83" t="n">
        <f aca="false">IF(AP358=0,"",RANK(AP358,AP$4:AP$503,0))</f>
        <v>322</v>
      </c>
      <c r="AR358" s="84" t="s">
        <v>20</v>
      </c>
      <c r="AS358" s="141"/>
      <c r="AT358" s="141"/>
      <c r="AU358" s="141"/>
      <c r="AV358" s="141"/>
      <c r="AW358" s="141"/>
      <c r="AX358" s="141"/>
      <c r="AY358" s="142"/>
      <c r="AZ358" s="142"/>
      <c r="BA358" s="56" t="s">
        <v>20</v>
      </c>
      <c r="BB358" s="91" t="n">
        <f aca="false">SUM(L$4:L$503)/COUNTA(A$4:A$503)</f>
        <v>9494.39992</v>
      </c>
      <c r="BC358" s="92" t="n">
        <f aca="false">SUM(M$4:M$503)/COUNTA(A$4:A$503)</f>
        <v>667.20008</v>
      </c>
      <c r="BD358" s="92" t="n">
        <f aca="false">SUM(N$4:N$503)/COUNTA(A$4:A$503)</f>
        <v>697.19996</v>
      </c>
      <c r="BE358" s="92" t="n">
        <f aca="false">SUM(O$4:O$503)/COUNTA(A$4:A$503)</f>
        <v>713.9999</v>
      </c>
      <c r="BF358" s="92" t="n">
        <f aca="false">SUM(P$4:P$503)/COUNTA(A$4:A$503)</f>
        <v>732.59984</v>
      </c>
      <c r="BG358" s="92" t="n">
        <f aca="false">SUM(Q$4:Q$503)/COUNTA(A$4:A$503)</f>
        <v>756.59992</v>
      </c>
      <c r="BH358" s="92" t="n">
        <f aca="false">SUM(R$4:R$503)/COUNTA(A$4:A$503)</f>
        <v>776.40004</v>
      </c>
      <c r="BI358" s="92" t="n">
        <f aca="false">SUM(S$4:S$503)/COUNTA(A$4:A$503)</f>
        <v>806.40012</v>
      </c>
      <c r="BJ358" s="92" t="n">
        <f aca="false">SUM(T$4:T$503)/COUNTA(A$4:A$503)</f>
        <v>826.1999</v>
      </c>
      <c r="BK358" s="92" t="n">
        <f aca="false">SUM(U$4:U$503)/COUNTA(A$4:A$503)</f>
        <v>844.8002</v>
      </c>
      <c r="BL358" s="92" t="n">
        <f aca="false">SUM(V$4:V$503)/COUNTA(A$4:A$503)</f>
        <v>865.7998</v>
      </c>
      <c r="BM358" s="92" t="n">
        <f aca="false">SUM(W$4:W$503)/COUNTA(A$4:A$503)</f>
        <v>888.59982</v>
      </c>
      <c r="BN358" s="93" t="n">
        <f aca="false">SUM(X$4:X$503)/COUNTA(A$4:A$503)</f>
        <v>918.60034</v>
      </c>
      <c r="BO358" s="94" t="s">
        <v>20</v>
      </c>
      <c r="BP358" s="91" t="n">
        <f aca="false">IF(Z358&gt;=BB358,0,IFERROR(BB358+(SUMPRODUCT((Z$4:Z$503&gt;=BB$4:BB$503)*(Z$4:Z$503-BB$4:BB$503))/MAX(1,COUNTIF(Z$4:Z$503,"&lt;"&amp;BB358+0.01))),BB358))</f>
        <v>10695.5432177778</v>
      </c>
      <c r="BQ358" s="92" t="n">
        <f aca="false">IF(AA358&gt;=BC358,0,IFERROR(BC358+SUMPRODUCT((AA$4:AA$503&gt;=BC$4:BC$503)*(AA$4:AA$503-BC$4:BC$503))/MAX(1,COUNTIF(AA$4:AA$503,"&lt;"&amp;BC358+0.01)),BC358))</f>
        <v>2238.46589176471</v>
      </c>
      <c r="BR358" s="92" t="n">
        <f aca="false">IF(AB358&gt;=BD358,0,IFERROR(BD358+SUMPRODUCT((AB$4:AB$503&gt;=BD$4:BD$503)*(AB$4:AB$503-BD$4:BD$503))/MAX(1,COUNTIF(AB$4:AB$503,"&lt;"&amp;BD358+0.01)),BD358))</f>
        <v>3335.2938</v>
      </c>
      <c r="BS358" s="92" t="n">
        <f aca="false">IF(AC358&gt;=BE358,0,IFERROR(BE358+SUMPRODUCT((AC$4:AC$503&gt;=BE$4:BE$503)*(AC$4:AC$503-BE$4:BE$503))/MAX(1,COUNTIF(AC$4:AC$503,"&lt;"&amp;BE358+0.01)),BE358))</f>
        <v>6188.73352</v>
      </c>
      <c r="BT358" s="92" t="n">
        <f aca="false">IF(AD358&gt;=BF358,0,IFERROR(BF358+SUMPRODUCT((AD$4:AD$503&gt;=BF$4:BF$503)*(AD$4:AD$503-BF$4:BF$503))/MAX(1,COUNTIF(AD$4:AD$503,"&lt;"&amp;BF358+0.01)),BF358))</f>
        <v>11354.35411</v>
      </c>
      <c r="BU358" s="92" t="n">
        <f aca="false">IF(AE358&gt;=BG358,0,IFERROR(BG358+SUMPRODUCT((AE$4:AE$503&gt;=BG$4:BG$503)*(AE$4:AE$503-BG$4:BG$503))/MAX(1,COUNTIF(AE$4:AE$503,"&lt;"&amp;BG358+0.01)),BG358))</f>
        <v>7704.85920380952</v>
      </c>
      <c r="BV358" s="92" t="n">
        <f aca="false">IF(AF358&gt;=BH358,0,IFERROR(BH358+SUMPRODUCT((AF$4:AF$503&gt;=BH$4:BH$503)*(AF$4:AF$503-BH$4:BH$503))/MAX(1,COUNTIF(AF$4:AF$503,"&lt;"&amp;BH358+0.01)),BH358))</f>
        <v>9942.6503831579</v>
      </c>
      <c r="BW358" s="92" t="n">
        <f aca="false">IF(AG358&gt;=BI358,0,IFERROR(BI358+SUMPRODUCT((AG$4:AG$503&gt;=BI$4:BI$503)*(AG$4:AG$503-BI$4:BI$503))/MAX(1,COUNTIF(AG$4:AG$503,"&lt;"&amp;BI358+0.01)),BI358))</f>
        <v>9142.15870461538</v>
      </c>
      <c r="BX358" s="92" t="n">
        <f aca="false">IF(AH358&gt;=BJ358,0,IFERROR(BJ358+SUMPRODUCT((AH$4:AH$503&gt;=BJ$4:BJ$503)*(AH$4:AH$503-BJ$4:BJ$503))/MAX(1,COUNTIF(AH$4:AH$503,"&lt;"&amp;BJ358+0.01)),BJ358))</f>
        <v>0</v>
      </c>
      <c r="BY358" s="92" t="n">
        <f aca="false">IF(AI358&gt;=BK358,0,IFERROR(BK358+SUMPRODUCT((AI$4:AI$503&gt;=BK$4:BK$503)*(AI$4:AI$503-BK$4:BK$503))/MAX(1,COUNTIF(AI$4:AI$503,"&lt;"&amp;BK358+0.01)),BK358))</f>
        <v>7878.25652380952</v>
      </c>
      <c r="BZ358" s="92" t="n">
        <f aca="false">IF(AJ358&gt;=BL358,0,IFERROR(BL358+SUMPRODUCT((AJ$4:AJ$503&gt;=BL$4:BL$503)*(AJ$4:AJ$503-BL$4:BL$503))/MAX(1,COUNTIF(AJ$4:AJ$503,"&lt;"&amp;BL358+0.01)),BL358))</f>
        <v>6710.03292307692</v>
      </c>
      <c r="CA358" s="92" t="n">
        <f aca="false">IF(AK358&gt;=BM358,0,IFERROR(BM358+SUMPRODUCT((AK$4:AK$503&gt;=BM$4:BM$503)*(AK$4:AK$503-BM$4:BM$503))/MAX(1,COUNTIF(AK$4:AK$503,"&lt;"&amp;BM358+0.01)),BM358))</f>
        <v>7314.89836842105</v>
      </c>
      <c r="CB358" s="93" t="n">
        <f aca="false">IF(AL358&gt;=BN358,0,IFERROR(BN358+SUMPRODUCT((AL$4:AL$503&gt;=BN$4:BN$503)*(AL$4:AL$503-BN$4:BN$503))/MAX(1,COUNTIF(AL$4:AL$503,"&lt;"&amp;BN358+0.01)),BN358))</f>
        <v>3597.2614925</v>
      </c>
      <c r="CC358" s="95" t="str">
        <f aca="false">IF(AO358="🟢","VERDE",IF(AO358="🟡","AMARELO",IF(AO358="🟠","VERMELHO",IF(AO358="🔴","VERMELHO","ROXO"))))</f>
        <v>VERMELHO</v>
      </c>
      <c r="CD358" s="96" t="s">
        <v>103</v>
      </c>
      <c r="CE358" s="96" t="s">
        <v>104</v>
      </c>
    </row>
    <row r="359" customFormat="false" ht="14.25" hidden="false" customHeight="true" outlineLevel="0" collapsed="false">
      <c r="A359" s="65" t="s">
        <v>850</v>
      </c>
      <c r="B359" s="66" t="s">
        <v>851</v>
      </c>
      <c r="C359" s="66" t="s">
        <v>66</v>
      </c>
      <c r="D359" s="68" t="s">
        <v>175</v>
      </c>
      <c r="E359" s="69" t="s">
        <v>119</v>
      </c>
      <c r="F359" s="70" t="n">
        <f aca="false">IFERROR(VLOOKUP(C359,$AS$3:$AT$10,2,FALSE()),IFERROR(VLOOKUP(C359,$AS$15:$AT$22,2,FALSE()),""))</f>
        <v>44</v>
      </c>
      <c r="G359" s="71" t="n">
        <f aca="false">IFERROR(VLOOKUP(C359,$AS$3:$AX$10,6,FALSE()),IFERROR(VLOOKUP(C359,$AS$15:$AX$22,6,FALSE()),""))</f>
        <v>0.496839506257363</v>
      </c>
      <c r="H359" s="72" t="str">
        <f aca="false">IFERROR(VLOOKUP(C359,$AS$3:$AY$10,7,FALSE()),IFERROR(VLOOKUP(C359,$AS$15:$AY$22,7,FALSE()),""))</f>
        <v>🟡 AMARELO</v>
      </c>
      <c r="I359" s="72" t="str">
        <f aca="false">IFERROR(VLOOKUP(C359,$AS$3:$AZ$10,8,FALSE()),IFERROR(VLOOKUP(C359,$AS$15:$AZ$22,8,FALSE()),""))</f>
        <v>Sell Out</v>
      </c>
      <c r="J359" s="73"/>
      <c r="K359" s="69" t="s">
        <v>118</v>
      </c>
      <c r="L359" s="74" t="n">
        <v>2687.58</v>
      </c>
      <c r="M359" s="75" t="n">
        <v>188.86</v>
      </c>
      <c r="N359" s="75" t="n">
        <v>197.36</v>
      </c>
      <c r="O359" s="75" t="n">
        <v>202.11</v>
      </c>
      <c r="P359" s="75" t="n">
        <v>207.38</v>
      </c>
      <c r="Q359" s="75" t="n">
        <v>214.17</v>
      </c>
      <c r="R359" s="75" t="n">
        <v>219.77</v>
      </c>
      <c r="S359" s="75" t="n">
        <v>228.27</v>
      </c>
      <c r="T359" s="75" t="n">
        <v>233.87</v>
      </c>
      <c r="U359" s="75" t="n">
        <v>239.14</v>
      </c>
      <c r="V359" s="75" t="n">
        <v>245.08</v>
      </c>
      <c r="W359" s="75" t="n">
        <v>251.54</v>
      </c>
      <c r="X359" s="76" t="n">
        <v>260.03</v>
      </c>
      <c r="Y359" s="77" t="s">
        <v>20</v>
      </c>
      <c r="Z359" s="78" t="n">
        <f aca="false">SUM(AA359:AL359)</f>
        <v>1080.81</v>
      </c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9" t="n">
        <v>1080.81</v>
      </c>
      <c r="AL359" s="76"/>
      <c r="AM359" s="56" t="s">
        <v>20</v>
      </c>
      <c r="AN359" s="80" t="n">
        <f aca="false">IF(L359=0,0,Z359/L359)</f>
        <v>0.402149889491662</v>
      </c>
      <c r="AO359" s="81" t="str">
        <f aca="false">IF(AN359="","",IF(AN359&gt;=0.9,"🟢",IF(AN359&gt;=0.7,"🟡",IF(AN359&gt;=0.5,"🟠","🔴"))))</f>
        <v>🔴</v>
      </c>
      <c r="AP359" s="82" t="n">
        <f aca="false">IF(L359=0,0,L359-Z359)</f>
        <v>1606.77</v>
      </c>
      <c r="AQ359" s="83" t="n">
        <f aca="false">IF(AP359=0,"",RANK(AP359,AP$4:AP$503,0))</f>
        <v>314</v>
      </c>
      <c r="AR359" s="84" t="s">
        <v>20</v>
      </c>
      <c r="AS359" s="141"/>
      <c r="AT359" s="141"/>
      <c r="AU359" s="141"/>
      <c r="AV359" s="141"/>
      <c r="AW359" s="141"/>
      <c r="AX359" s="141"/>
      <c r="AY359" s="142"/>
      <c r="AZ359" s="142"/>
      <c r="BA359" s="56" t="s">
        <v>20</v>
      </c>
      <c r="BB359" s="91" t="n">
        <f aca="false">SUM(L$4:L$503)/COUNTA(A$4:A$503)</f>
        <v>9494.39992</v>
      </c>
      <c r="BC359" s="92" t="n">
        <f aca="false">SUM(M$4:M$503)/COUNTA(A$4:A$503)</f>
        <v>667.20008</v>
      </c>
      <c r="BD359" s="92" t="n">
        <f aca="false">SUM(N$4:N$503)/COUNTA(A$4:A$503)</f>
        <v>697.19996</v>
      </c>
      <c r="BE359" s="92" t="n">
        <f aca="false">SUM(O$4:O$503)/COUNTA(A$4:A$503)</f>
        <v>713.9999</v>
      </c>
      <c r="BF359" s="92" t="n">
        <f aca="false">SUM(P$4:P$503)/COUNTA(A$4:A$503)</f>
        <v>732.59984</v>
      </c>
      <c r="BG359" s="92" t="n">
        <f aca="false">SUM(Q$4:Q$503)/COUNTA(A$4:A$503)</f>
        <v>756.59992</v>
      </c>
      <c r="BH359" s="92" t="n">
        <f aca="false">SUM(R$4:R$503)/COUNTA(A$4:A$503)</f>
        <v>776.40004</v>
      </c>
      <c r="BI359" s="92" t="n">
        <f aca="false">SUM(S$4:S$503)/COUNTA(A$4:A$503)</f>
        <v>806.40012</v>
      </c>
      <c r="BJ359" s="92" t="n">
        <f aca="false">SUM(T$4:T$503)/COUNTA(A$4:A$503)</f>
        <v>826.1999</v>
      </c>
      <c r="BK359" s="92" t="n">
        <f aca="false">SUM(U$4:U$503)/COUNTA(A$4:A$503)</f>
        <v>844.8002</v>
      </c>
      <c r="BL359" s="92" t="n">
        <f aca="false">SUM(V$4:V$503)/COUNTA(A$4:A$503)</f>
        <v>865.7998</v>
      </c>
      <c r="BM359" s="92" t="n">
        <f aca="false">SUM(W$4:W$503)/COUNTA(A$4:A$503)</f>
        <v>888.59982</v>
      </c>
      <c r="BN359" s="93" t="n">
        <f aca="false">SUM(X$4:X$503)/COUNTA(A$4:A$503)</f>
        <v>918.60034</v>
      </c>
      <c r="BO359" s="94" t="s">
        <v>20</v>
      </c>
      <c r="BP359" s="91" t="n">
        <f aca="false">IF(Z359&gt;=BB359,0,IFERROR(BB359+(SUMPRODUCT((Z$4:Z$503&gt;=BB$4:BB$503)*(Z$4:Z$503-BB$4:BB$503))/MAX(1,COUNTIF(Z$4:Z$503,"&lt;"&amp;BB359+0.01))),BB359))</f>
        <v>10695.5432177778</v>
      </c>
      <c r="BQ359" s="92" t="n">
        <f aca="false">IF(AA359&gt;=BC359,0,IFERROR(BC359+SUMPRODUCT((AA$4:AA$503&gt;=BC$4:BC$503)*(AA$4:AA$503-BC$4:BC$503))/MAX(1,COUNTIF(AA$4:AA$503,"&lt;"&amp;BC359+0.01)),BC359))</f>
        <v>2238.46589176471</v>
      </c>
      <c r="BR359" s="92" t="n">
        <f aca="false">IF(AB359&gt;=BD359,0,IFERROR(BD359+SUMPRODUCT((AB$4:AB$503&gt;=BD$4:BD$503)*(AB$4:AB$503-BD$4:BD$503))/MAX(1,COUNTIF(AB$4:AB$503,"&lt;"&amp;BD359+0.01)),BD359))</f>
        <v>3335.2938</v>
      </c>
      <c r="BS359" s="92" t="n">
        <f aca="false">IF(AC359&gt;=BE359,0,IFERROR(BE359+SUMPRODUCT((AC$4:AC$503&gt;=BE$4:BE$503)*(AC$4:AC$503-BE$4:BE$503))/MAX(1,COUNTIF(AC$4:AC$503,"&lt;"&amp;BE359+0.01)),BE359))</f>
        <v>6188.73352</v>
      </c>
      <c r="BT359" s="92" t="n">
        <f aca="false">IF(AD359&gt;=BF359,0,IFERROR(BF359+SUMPRODUCT((AD$4:AD$503&gt;=BF$4:BF$503)*(AD$4:AD$503-BF$4:BF$503))/MAX(1,COUNTIF(AD$4:AD$503,"&lt;"&amp;BF359+0.01)),BF359))</f>
        <v>11354.35411</v>
      </c>
      <c r="BU359" s="92" t="n">
        <f aca="false">IF(AE359&gt;=BG359,0,IFERROR(BG359+SUMPRODUCT((AE$4:AE$503&gt;=BG$4:BG$503)*(AE$4:AE$503-BG$4:BG$503))/MAX(1,COUNTIF(AE$4:AE$503,"&lt;"&amp;BG359+0.01)),BG359))</f>
        <v>7704.85920380952</v>
      </c>
      <c r="BV359" s="92" t="n">
        <f aca="false">IF(AF359&gt;=BH359,0,IFERROR(BH359+SUMPRODUCT((AF$4:AF$503&gt;=BH$4:BH$503)*(AF$4:AF$503-BH$4:BH$503))/MAX(1,COUNTIF(AF$4:AF$503,"&lt;"&amp;BH359+0.01)),BH359))</f>
        <v>9942.6503831579</v>
      </c>
      <c r="BW359" s="92" t="n">
        <f aca="false">IF(AG359&gt;=BI359,0,IFERROR(BI359+SUMPRODUCT((AG$4:AG$503&gt;=BI$4:BI$503)*(AG$4:AG$503-BI$4:BI$503))/MAX(1,COUNTIF(AG$4:AG$503,"&lt;"&amp;BI359+0.01)),BI359))</f>
        <v>9142.15870461538</v>
      </c>
      <c r="BX359" s="92" t="n">
        <f aca="false">IF(AH359&gt;=BJ359,0,IFERROR(BJ359+SUMPRODUCT((AH$4:AH$503&gt;=BJ$4:BJ$503)*(AH$4:AH$503-BJ$4:BJ$503))/MAX(1,COUNTIF(AH$4:AH$503,"&lt;"&amp;BJ359+0.01)),BJ359))</f>
        <v>5621.50263448276</v>
      </c>
      <c r="BY359" s="92" t="n">
        <f aca="false">IF(AI359&gt;=BK359,0,IFERROR(BK359+SUMPRODUCT((AI$4:AI$503&gt;=BK$4:BK$503)*(AI$4:AI$503-BK$4:BK$503))/MAX(1,COUNTIF(AI$4:AI$503,"&lt;"&amp;BK359+0.01)),BK359))</f>
        <v>7878.25652380952</v>
      </c>
      <c r="BZ359" s="92" t="n">
        <f aca="false">IF(AJ359&gt;=BL359,0,IFERROR(BL359+SUMPRODUCT((AJ$4:AJ$503&gt;=BL$4:BL$503)*(AJ$4:AJ$503-BL$4:BL$503))/MAX(1,COUNTIF(AJ$4:AJ$503,"&lt;"&amp;BL359+0.01)),BL359))</f>
        <v>6710.03292307692</v>
      </c>
      <c r="CA359" s="92" t="n">
        <f aca="false">IF(AK359&gt;=BM359,0,IFERROR(BM359+SUMPRODUCT((AK$4:AK$503&gt;=BM$4:BM$503)*(AK$4:AK$503-BM$4:BM$503))/MAX(1,COUNTIF(AK$4:AK$503,"&lt;"&amp;BM359+0.01)),BM359))</f>
        <v>0</v>
      </c>
      <c r="CB359" s="93" t="n">
        <f aca="false">IF(AL359&gt;=BN359,0,IFERROR(BN359+SUMPRODUCT((AL$4:AL$503&gt;=BN$4:BN$503)*(AL$4:AL$503-BN$4:BN$503))/MAX(1,COUNTIF(AL$4:AL$503,"&lt;"&amp;BN359+0.01)),BN359))</f>
        <v>3597.2614925</v>
      </c>
      <c r="CC359" s="95" t="str">
        <f aca="false">IF(AO359="🟢","VERDE",IF(AO359="🟡","AMARELO",IF(AO359="🟠","VERMELHO",IF(AO359="🔴","VERMELHO","ROXO"))))</f>
        <v>VERMELHO</v>
      </c>
      <c r="CD359" s="96" t="s">
        <v>176</v>
      </c>
      <c r="CE359" s="96" t="s">
        <v>66</v>
      </c>
    </row>
    <row r="360" customFormat="false" ht="14.25" hidden="false" customHeight="true" outlineLevel="0" collapsed="false">
      <c r="A360" s="65" t="s">
        <v>852</v>
      </c>
      <c r="B360" s="66" t="s">
        <v>853</v>
      </c>
      <c r="C360" s="66" t="s">
        <v>66</v>
      </c>
      <c r="D360" s="68" t="s">
        <v>175</v>
      </c>
      <c r="E360" s="69" t="s">
        <v>139</v>
      </c>
      <c r="F360" s="70" t="n">
        <f aca="false">IFERROR(VLOOKUP(C360,$AS$3:$AT$10,2,FALSE()),IFERROR(VLOOKUP(C360,$AS$15:$AT$22,2,FALSE()),""))</f>
        <v>44</v>
      </c>
      <c r="G360" s="71" t="n">
        <f aca="false">IFERROR(VLOOKUP(C360,$AS$3:$AX$10,6,FALSE()),IFERROR(VLOOKUP(C360,$AS$15:$AX$22,6,FALSE()),""))</f>
        <v>0.496839506257363</v>
      </c>
      <c r="H360" s="72" t="str">
        <f aca="false">IFERROR(VLOOKUP(C360,$AS$3:$AY$10,7,FALSE()),IFERROR(VLOOKUP(C360,$AS$15:$AY$22,7,FALSE()),""))</f>
        <v>🟡 AMARELO</v>
      </c>
      <c r="I360" s="72" t="str">
        <f aca="false">IFERROR(VLOOKUP(C360,$AS$3:$AZ$10,8,FALSE()),IFERROR(VLOOKUP(C360,$AS$15:$AZ$22,8,FALSE()),""))</f>
        <v>Sell Out</v>
      </c>
      <c r="J360" s="73"/>
      <c r="K360" s="69" t="s">
        <v>107</v>
      </c>
      <c r="L360" s="74" t="n">
        <v>2684.34</v>
      </c>
      <c r="M360" s="75" t="n">
        <v>188.64</v>
      </c>
      <c r="N360" s="75" t="n">
        <v>197.12</v>
      </c>
      <c r="O360" s="75" t="n">
        <v>201.87</v>
      </c>
      <c r="P360" s="75" t="n">
        <v>207.13</v>
      </c>
      <c r="Q360" s="75" t="n">
        <v>213.91</v>
      </c>
      <c r="R360" s="75" t="n">
        <v>219.51</v>
      </c>
      <c r="S360" s="75" t="n">
        <v>227.99</v>
      </c>
      <c r="T360" s="75" t="n">
        <v>233.59</v>
      </c>
      <c r="U360" s="75" t="n">
        <v>238.85</v>
      </c>
      <c r="V360" s="75" t="n">
        <v>244.79</v>
      </c>
      <c r="W360" s="75" t="n">
        <v>251.23</v>
      </c>
      <c r="X360" s="76" t="n">
        <v>259.71</v>
      </c>
      <c r="Y360" s="77" t="s">
        <v>20</v>
      </c>
      <c r="Z360" s="78" t="n">
        <f aca="false">SUM(AA360:AL360)</f>
        <v>1080.81</v>
      </c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9" t="n">
        <v>1080.81</v>
      </c>
      <c r="AL360" s="76"/>
      <c r="AM360" s="56" t="s">
        <v>20</v>
      </c>
      <c r="AN360" s="80" t="n">
        <f aca="false">IF(L360=0,0,Z360/L360)</f>
        <v>0.402635284650976</v>
      </c>
      <c r="AO360" s="81" t="str">
        <f aca="false">IF(AN360="","",IF(AN360&gt;=0.9,"🟢",IF(AN360&gt;=0.7,"🟡",IF(AN360&gt;=0.5,"🟠","🔴"))))</f>
        <v>🔴</v>
      </c>
      <c r="AP360" s="82" t="n">
        <f aca="false">IF(L360=0,0,L360-Z360)</f>
        <v>1603.53</v>
      </c>
      <c r="AQ360" s="83" t="n">
        <f aca="false">IF(AP360=0,"",RANK(AP360,AP$4:AP$503,0))</f>
        <v>315</v>
      </c>
      <c r="AR360" s="84" t="s">
        <v>20</v>
      </c>
      <c r="AS360" s="141"/>
      <c r="AT360" s="141"/>
      <c r="AU360" s="141"/>
      <c r="AV360" s="141"/>
      <c r="AW360" s="141"/>
      <c r="AX360" s="141"/>
      <c r="AY360" s="142"/>
      <c r="AZ360" s="142"/>
      <c r="BA360" s="56" t="s">
        <v>20</v>
      </c>
      <c r="BB360" s="91" t="n">
        <f aca="false">SUM(L$4:L$503)/COUNTA(A$4:A$503)</f>
        <v>9494.39992</v>
      </c>
      <c r="BC360" s="92" t="n">
        <f aca="false">SUM(M$4:M$503)/COUNTA(A$4:A$503)</f>
        <v>667.20008</v>
      </c>
      <c r="BD360" s="92" t="n">
        <f aca="false">SUM(N$4:N$503)/COUNTA(A$4:A$503)</f>
        <v>697.19996</v>
      </c>
      <c r="BE360" s="92" t="n">
        <f aca="false">SUM(O$4:O$503)/COUNTA(A$4:A$503)</f>
        <v>713.9999</v>
      </c>
      <c r="BF360" s="92" t="n">
        <f aca="false">SUM(P$4:P$503)/COUNTA(A$4:A$503)</f>
        <v>732.59984</v>
      </c>
      <c r="BG360" s="92" t="n">
        <f aca="false">SUM(Q$4:Q$503)/COUNTA(A$4:A$503)</f>
        <v>756.59992</v>
      </c>
      <c r="BH360" s="92" t="n">
        <f aca="false">SUM(R$4:R$503)/COUNTA(A$4:A$503)</f>
        <v>776.40004</v>
      </c>
      <c r="BI360" s="92" t="n">
        <f aca="false">SUM(S$4:S$503)/COUNTA(A$4:A$503)</f>
        <v>806.40012</v>
      </c>
      <c r="BJ360" s="92" t="n">
        <f aca="false">SUM(T$4:T$503)/COUNTA(A$4:A$503)</f>
        <v>826.1999</v>
      </c>
      <c r="BK360" s="92" t="n">
        <f aca="false">SUM(U$4:U$503)/COUNTA(A$4:A$503)</f>
        <v>844.8002</v>
      </c>
      <c r="BL360" s="92" t="n">
        <f aca="false">SUM(V$4:V$503)/COUNTA(A$4:A$503)</f>
        <v>865.7998</v>
      </c>
      <c r="BM360" s="92" t="n">
        <f aca="false">SUM(W$4:W$503)/COUNTA(A$4:A$503)</f>
        <v>888.59982</v>
      </c>
      <c r="BN360" s="93" t="n">
        <f aca="false">SUM(X$4:X$503)/COUNTA(A$4:A$503)</f>
        <v>918.60034</v>
      </c>
      <c r="BO360" s="94" t="s">
        <v>20</v>
      </c>
      <c r="BP360" s="91" t="n">
        <f aca="false">IF(Z360&gt;=BB360,0,IFERROR(BB360+(SUMPRODUCT((Z$4:Z$503&gt;=BB$4:BB$503)*(Z$4:Z$503-BB$4:BB$503))/MAX(1,COUNTIF(Z$4:Z$503,"&lt;"&amp;BB360+0.01))),BB360))</f>
        <v>10695.5432177778</v>
      </c>
      <c r="BQ360" s="92" t="n">
        <f aca="false">IF(AA360&gt;=BC360,0,IFERROR(BC360+SUMPRODUCT((AA$4:AA$503&gt;=BC$4:BC$503)*(AA$4:AA$503-BC$4:BC$503))/MAX(1,COUNTIF(AA$4:AA$503,"&lt;"&amp;BC360+0.01)),BC360))</f>
        <v>2238.46589176471</v>
      </c>
      <c r="BR360" s="92" t="n">
        <f aca="false">IF(AB360&gt;=BD360,0,IFERROR(BD360+SUMPRODUCT((AB$4:AB$503&gt;=BD$4:BD$503)*(AB$4:AB$503-BD$4:BD$503))/MAX(1,COUNTIF(AB$4:AB$503,"&lt;"&amp;BD360+0.01)),BD360))</f>
        <v>3335.2938</v>
      </c>
      <c r="BS360" s="92" t="n">
        <f aca="false">IF(AC360&gt;=BE360,0,IFERROR(BE360+SUMPRODUCT((AC$4:AC$503&gt;=BE$4:BE$503)*(AC$4:AC$503-BE$4:BE$503))/MAX(1,COUNTIF(AC$4:AC$503,"&lt;"&amp;BE360+0.01)),BE360))</f>
        <v>6188.73352</v>
      </c>
      <c r="BT360" s="92" t="n">
        <f aca="false">IF(AD360&gt;=BF360,0,IFERROR(BF360+SUMPRODUCT((AD$4:AD$503&gt;=BF$4:BF$503)*(AD$4:AD$503-BF$4:BF$503))/MAX(1,COUNTIF(AD$4:AD$503,"&lt;"&amp;BF360+0.01)),BF360))</f>
        <v>11354.35411</v>
      </c>
      <c r="BU360" s="92" t="n">
        <f aca="false">IF(AE360&gt;=BG360,0,IFERROR(BG360+SUMPRODUCT((AE$4:AE$503&gt;=BG$4:BG$503)*(AE$4:AE$503-BG$4:BG$503))/MAX(1,COUNTIF(AE$4:AE$503,"&lt;"&amp;BG360+0.01)),BG360))</f>
        <v>7704.85920380952</v>
      </c>
      <c r="BV360" s="92" t="n">
        <f aca="false">IF(AF360&gt;=BH360,0,IFERROR(BH360+SUMPRODUCT((AF$4:AF$503&gt;=BH$4:BH$503)*(AF$4:AF$503-BH$4:BH$503))/MAX(1,COUNTIF(AF$4:AF$503,"&lt;"&amp;BH360+0.01)),BH360))</f>
        <v>9942.6503831579</v>
      </c>
      <c r="BW360" s="92" t="n">
        <f aca="false">IF(AG360&gt;=BI360,0,IFERROR(BI360+SUMPRODUCT((AG$4:AG$503&gt;=BI$4:BI$503)*(AG$4:AG$503-BI$4:BI$503))/MAX(1,COUNTIF(AG$4:AG$503,"&lt;"&amp;BI360+0.01)),BI360))</f>
        <v>9142.15870461538</v>
      </c>
      <c r="BX360" s="92" t="n">
        <f aca="false">IF(AH360&gt;=BJ360,0,IFERROR(BJ360+SUMPRODUCT((AH$4:AH$503&gt;=BJ$4:BJ$503)*(AH$4:AH$503-BJ$4:BJ$503))/MAX(1,COUNTIF(AH$4:AH$503,"&lt;"&amp;BJ360+0.01)),BJ360))</f>
        <v>5621.50263448276</v>
      </c>
      <c r="BY360" s="92" t="n">
        <f aca="false">IF(AI360&gt;=BK360,0,IFERROR(BK360+SUMPRODUCT((AI$4:AI$503&gt;=BK$4:BK$503)*(AI$4:AI$503-BK$4:BK$503))/MAX(1,COUNTIF(AI$4:AI$503,"&lt;"&amp;BK360+0.01)),BK360))</f>
        <v>7878.25652380952</v>
      </c>
      <c r="BZ360" s="92" t="n">
        <f aca="false">IF(AJ360&gt;=BL360,0,IFERROR(BL360+SUMPRODUCT((AJ$4:AJ$503&gt;=BL$4:BL$503)*(AJ$4:AJ$503-BL$4:BL$503))/MAX(1,COUNTIF(AJ$4:AJ$503,"&lt;"&amp;BL360+0.01)),BL360))</f>
        <v>6710.03292307692</v>
      </c>
      <c r="CA360" s="92" t="n">
        <f aca="false">IF(AK360&gt;=BM360,0,IFERROR(BM360+SUMPRODUCT((AK$4:AK$503&gt;=BM$4:BM$503)*(AK$4:AK$503-BM$4:BM$503))/MAX(1,COUNTIF(AK$4:AK$503,"&lt;"&amp;BM360+0.01)),BM360))</f>
        <v>0</v>
      </c>
      <c r="CB360" s="93" t="n">
        <f aca="false">IF(AL360&gt;=BN360,0,IFERROR(BN360+SUMPRODUCT((AL$4:AL$503&gt;=BN$4:BN$503)*(AL$4:AL$503-BN$4:BN$503))/MAX(1,COUNTIF(AL$4:AL$503,"&lt;"&amp;BN360+0.01)),BN360))</f>
        <v>3597.2614925</v>
      </c>
      <c r="CC360" s="95" t="str">
        <f aca="false">IF(AO360="🟢","VERDE",IF(AO360="🟡","AMARELO",IF(AO360="🟠","VERMELHO",IF(AO360="🔴","VERMELHO","ROXO"))))</f>
        <v>VERMELHO</v>
      </c>
      <c r="CD360" s="96" t="s">
        <v>176</v>
      </c>
      <c r="CE360" s="96" t="s">
        <v>66</v>
      </c>
    </row>
    <row r="361" customFormat="false" ht="14.25" hidden="false" customHeight="true" outlineLevel="0" collapsed="false">
      <c r="A361" s="65" t="s">
        <v>854</v>
      </c>
      <c r="B361" s="66" t="s">
        <v>855</v>
      </c>
      <c r="C361" s="67" t="s">
        <v>107</v>
      </c>
      <c r="D361" s="68" t="s">
        <v>108</v>
      </c>
      <c r="E361" s="69" t="s">
        <v>109</v>
      </c>
      <c r="F361" s="70" t="n">
        <f aca="false">IFERROR(VLOOKUP(C361,$AS$3:$AT$10,2,FALSE()),IFERROR(VLOOKUP(C361,$AS$15:$AT$22,2,FALSE()),""))</f>
        <v>132</v>
      </c>
      <c r="G361" s="71" t="n">
        <f aca="false">IFERROR(VLOOKUP(C361,$AS$3:$AX$10,6,FALSE()),IFERROR(VLOOKUP(C361,$AS$15:$AX$22,6,FALSE()),""))</f>
        <v>0.468190175850689</v>
      </c>
      <c r="H361" s="72" t="str">
        <f aca="false">IFERROR(VLOOKUP(C361,$AS$3:$AY$10,7,FALSE()),IFERROR(VLOOKUP(C361,$AS$15:$AY$22,7,FALSE()),""))</f>
        <v>🟡 AMARELO</v>
      </c>
      <c r="I361" s="72" t="str">
        <f aca="false">IFERROR(VLOOKUP(C361,$AS$3:$AZ$10,8,FALSE()),IFERROR(VLOOKUP(C361,$AS$15:$AZ$22,8,FALSE()),""))</f>
        <v>Sell Out</v>
      </c>
      <c r="J361" s="73"/>
      <c r="K361" s="69" t="s">
        <v>107</v>
      </c>
      <c r="L361" s="74" t="n">
        <v>2683.57</v>
      </c>
      <c r="M361" s="75" t="n">
        <v>188.58</v>
      </c>
      <c r="N361" s="75" t="n">
        <v>197.06</v>
      </c>
      <c r="O361" s="75" t="n">
        <v>201.81</v>
      </c>
      <c r="P361" s="75" t="n">
        <v>207.07</v>
      </c>
      <c r="Q361" s="75" t="n">
        <v>213.85</v>
      </c>
      <c r="R361" s="75" t="n">
        <v>219.45</v>
      </c>
      <c r="S361" s="75" t="n">
        <v>227.93</v>
      </c>
      <c r="T361" s="75" t="n">
        <v>233.52</v>
      </c>
      <c r="U361" s="75" t="n">
        <v>238.78</v>
      </c>
      <c r="V361" s="75" t="n">
        <v>244.72</v>
      </c>
      <c r="W361" s="75" t="n">
        <v>251.16</v>
      </c>
      <c r="X361" s="76" t="n">
        <v>259.64</v>
      </c>
      <c r="Y361" s="77" t="s">
        <v>20</v>
      </c>
      <c r="Z361" s="78" t="n">
        <f aca="false">SUM(AA361:AL361)</f>
        <v>1084.64</v>
      </c>
      <c r="AA361" s="75"/>
      <c r="AB361" s="75"/>
      <c r="AC361" s="75"/>
      <c r="AD361" s="75"/>
      <c r="AE361" s="75"/>
      <c r="AF361" s="75"/>
      <c r="AG361" s="75"/>
      <c r="AH361" s="79" t="n">
        <v>653</v>
      </c>
      <c r="AI361" s="75"/>
      <c r="AJ361" s="75"/>
      <c r="AK361" s="79" t="n">
        <v>431.64</v>
      </c>
      <c r="AL361" s="76"/>
      <c r="AM361" s="56" t="s">
        <v>20</v>
      </c>
      <c r="AN361" s="80" t="n">
        <f aca="false">IF(L361=0,0,Z361/L361)</f>
        <v>0.404178016597294</v>
      </c>
      <c r="AO361" s="81" t="str">
        <f aca="false">IF(AN361="","",IF(AN361&gt;=0.9,"🟢",IF(AN361&gt;=0.7,"🟡",IF(AN361&gt;=0.5,"🟠","🔴"))))</f>
        <v>🔴</v>
      </c>
      <c r="AP361" s="82" t="n">
        <f aca="false">IF(L361=0,0,L361-Z361)</f>
        <v>1598.93</v>
      </c>
      <c r="AQ361" s="83" t="n">
        <f aca="false">IF(AP361=0,"",RANK(AP361,AP$4:AP$503,0))</f>
        <v>316</v>
      </c>
      <c r="AR361" s="84" t="s">
        <v>20</v>
      </c>
      <c r="AS361" s="141"/>
      <c r="AT361" s="141"/>
      <c r="AU361" s="141"/>
      <c r="AV361" s="141"/>
      <c r="AW361" s="141"/>
      <c r="AX361" s="141"/>
      <c r="AY361" s="142"/>
      <c r="AZ361" s="142"/>
      <c r="BA361" s="56" t="s">
        <v>20</v>
      </c>
      <c r="BB361" s="91" t="n">
        <f aca="false">SUM(L$4:L$503)/COUNTA(A$4:A$503)</f>
        <v>9494.39992</v>
      </c>
      <c r="BC361" s="92" t="n">
        <f aca="false">SUM(M$4:M$503)/COUNTA(A$4:A$503)</f>
        <v>667.20008</v>
      </c>
      <c r="BD361" s="92" t="n">
        <f aca="false">SUM(N$4:N$503)/COUNTA(A$4:A$503)</f>
        <v>697.19996</v>
      </c>
      <c r="BE361" s="92" t="n">
        <f aca="false">SUM(O$4:O$503)/COUNTA(A$4:A$503)</f>
        <v>713.9999</v>
      </c>
      <c r="BF361" s="92" t="n">
        <f aca="false">SUM(P$4:P$503)/COUNTA(A$4:A$503)</f>
        <v>732.59984</v>
      </c>
      <c r="BG361" s="92" t="n">
        <f aca="false">SUM(Q$4:Q$503)/COUNTA(A$4:A$503)</f>
        <v>756.59992</v>
      </c>
      <c r="BH361" s="92" t="n">
        <f aca="false">SUM(R$4:R$503)/COUNTA(A$4:A$503)</f>
        <v>776.40004</v>
      </c>
      <c r="BI361" s="92" t="n">
        <f aca="false">SUM(S$4:S$503)/COUNTA(A$4:A$503)</f>
        <v>806.40012</v>
      </c>
      <c r="BJ361" s="92" t="n">
        <f aca="false">SUM(T$4:T$503)/COUNTA(A$4:A$503)</f>
        <v>826.1999</v>
      </c>
      <c r="BK361" s="92" t="n">
        <f aca="false">SUM(U$4:U$503)/COUNTA(A$4:A$503)</f>
        <v>844.8002</v>
      </c>
      <c r="BL361" s="92" t="n">
        <f aca="false">SUM(V$4:V$503)/COUNTA(A$4:A$503)</f>
        <v>865.7998</v>
      </c>
      <c r="BM361" s="92" t="n">
        <f aca="false">SUM(W$4:W$503)/COUNTA(A$4:A$503)</f>
        <v>888.59982</v>
      </c>
      <c r="BN361" s="93" t="n">
        <f aca="false">SUM(X$4:X$503)/COUNTA(A$4:A$503)</f>
        <v>918.60034</v>
      </c>
      <c r="BO361" s="94" t="s">
        <v>20</v>
      </c>
      <c r="BP361" s="91" t="n">
        <f aca="false">IF(Z361&gt;=BB361,0,IFERROR(BB361+(SUMPRODUCT((Z$4:Z$503&gt;=BB$4:BB$503)*(Z$4:Z$503-BB$4:BB$503))/MAX(1,COUNTIF(Z$4:Z$503,"&lt;"&amp;BB361+0.01))),BB361))</f>
        <v>10695.5432177778</v>
      </c>
      <c r="BQ361" s="92" t="n">
        <f aca="false">IF(AA361&gt;=BC361,0,IFERROR(BC361+SUMPRODUCT((AA$4:AA$503&gt;=BC$4:BC$503)*(AA$4:AA$503-BC$4:BC$503))/MAX(1,COUNTIF(AA$4:AA$503,"&lt;"&amp;BC361+0.01)),BC361))</f>
        <v>2238.46589176471</v>
      </c>
      <c r="BR361" s="92" t="n">
        <f aca="false">IF(AB361&gt;=BD361,0,IFERROR(BD361+SUMPRODUCT((AB$4:AB$503&gt;=BD$4:BD$503)*(AB$4:AB$503-BD$4:BD$503))/MAX(1,COUNTIF(AB$4:AB$503,"&lt;"&amp;BD361+0.01)),BD361))</f>
        <v>3335.2938</v>
      </c>
      <c r="BS361" s="92" t="n">
        <f aca="false">IF(AC361&gt;=BE361,0,IFERROR(BE361+SUMPRODUCT((AC$4:AC$503&gt;=BE$4:BE$503)*(AC$4:AC$503-BE$4:BE$503))/MAX(1,COUNTIF(AC$4:AC$503,"&lt;"&amp;BE361+0.01)),BE361))</f>
        <v>6188.73352</v>
      </c>
      <c r="BT361" s="92" t="n">
        <f aca="false">IF(AD361&gt;=BF361,0,IFERROR(BF361+SUMPRODUCT((AD$4:AD$503&gt;=BF$4:BF$503)*(AD$4:AD$503-BF$4:BF$503))/MAX(1,COUNTIF(AD$4:AD$503,"&lt;"&amp;BF361+0.01)),BF361))</f>
        <v>11354.35411</v>
      </c>
      <c r="BU361" s="92" t="n">
        <f aca="false">IF(AE361&gt;=BG361,0,IFERROR(BG361+SUMPRODUCT((AE$4:AE$503&gt;=BG$4:BG$503)*(AE$4:AE$503-BG$4:BG$503))/MAX(1,COUNTIF(AE$4:AE$503,"&lt;"&amp;BG361+0.01)),BG361))</f>
        <v>7704.85920380952</v>
      </c>
      <c r="BV361" s="92" t="n">
        <f aca="false">IF(AF361&gt;=BH361,0,IFERROR(BH361+SUMPRODUCT((AF$4:AF$503&gt;=BH$4:BH$503)*(AF$4:AF$503-BH$4:BH$503))/MAX(1,COUNTIF(AF$4:AF$503,"&lt;"&amp;BH361+0.01)),BH361))</f>
        <v>9942.6503831579</v>
      </c>
      <c r="BW361" s="92" t="n">
        <f aca="false">IF(AG361&gt;=BI361,0,IFERROR(BI361+SUMPRODUCT((AG$4:AG$503&gt;=BI$4:BI$503)*(AG$4:AG$503-BI$4:BI$503))/MAX(1,COUNTIF(AG$4:AG$503,"&lt;"&amp;BI361+0.01)),BI361))</f>
        <v>9142.15870461538</v>
      </c>
      <c r="BX361" s="92" t="n">
        <f aca="false">IF(AH361&gt;=BJ361,0,IFERROR(BJ361+SUMPRODUCT((AH$4:AH$503&gt;=BJ$4:BJ$503)*(AH$4:AH$503-BJ$4:BJ$503))/MAX(1,COUNTIF(AH$4:AH$503,"&lt;"&amp;BJ361+0.01)),BJ361))</f>
        <v>5621.50263448276</v>
      </c>
      <c r="BY361" s="92" t="n">
        <f aca="false">IF(AI361&gt;=BK361,0,IFERROR(BK361+SUMPRODUCT((AI$4:AI$503&gt;=BK$4:BK$503)*(AI$4:AI$503-BK$4:BK$503))/MAX(1,COUNTIF(AI$4:AI$503,"&lt;"&amp;BK361+0.01)),BK361))</f>
        <v>7878.25652380952</v>
      </c>
      <c r="BZ361" s="92" t="n">
        <f aca="false">IF(AJ361&gt;=BL361,0,IFERROR(BL361+SUMPRODUCT((AJ$4:AJ$503&gt;=BL$4:BL$503)*(AJ$4:AJ$503-BL$4:BL$503))/MAX(1,COUNTIF(AJ$4:AJ$503,"&lt;"&amp;BL361+0.01)),BL361))</f>
        <v>6710.03292307692</v>
      </c>
      <c r="CA361" s="92" t="n">
        <f aca="false">IF(AK361&gt;=BM361,0,IFERROR(BM361+SUMPRODUCT((AK$4:AK$503&gt;=BM$4:BM$503)*(AK$4:AK$503-BM$4:BM$503))/MAX(1,COUNTIF(AK$4:AK$503,"&lt;"&amp;BM361+0.01)),BM361))</f>
        <v>7314.89836842105</v>
      </c>
      <c r="CB361" s="93" t="n">
        <f aca="false">IF(AL361&gt;=BN361,0,IFERROR(BN361+SUMPRODUCT((AL$4:AL$503&gt;=BN$4:BN$503)*(AL$4:AL$503-BN$4:BN$503))/MAX(1,COUNTIF(AL$4:AL$503,"&lt;"&amp;BN361+0.01)),BN361))</f>
        <v>3597.2614925</v>
      </c>
      <c r="CC361" s="95" t="str">
        <f aca="false">IF(AO361="🟢","VERDE",IF(AO361="🟡","AMARELO",IF(AO361="🟠","VERMELHO",IF(AO361="🔴","VERMELHO","ROXO"))))</f>
        <v>VERMELHO</v>
      </c>
      <c r="CD361" s="96" t="s">
        <v>103</v>
      </c>
      <c r="CE361" s="96" t="s">
        <v>104</v>
      </c>
    </row>
    <row r="362" customFormat="false" ht="14.25" hidden="false" customHeight="true" outlineLevel="0" collapsed="false">
      <c r="A362" s="65" t="s">
        <v>856</v>
      </c>
      <c r="B362" s="66" t="s">
        <v>857</v>
      </c>
      <c r="C362" s="67" t="s">
        <v>123</v>
      </c>
      <c r="D362" s="68" t="s">
        <v>108</v>
      </c>
      <c r="E362" s="56" t="s">
        <v>20</v>
      </c>
      <c r="F362" s="70" t="n">
        <f aca="false">IFERROR(VLOOKUP(C362,$AS$3:$AT$10,2,FALSE()),IFERROR(VLOOKUP(C362,$AS$15:$AT$22,2,FALSE()),""))</f>
        <v>49</v>
      </c>
      <c r="G362" s="71" t="n">
        <f aca="false">IFERROR(VLOOKUP(C362,$AS$3:$AX$10,6,FALSE()),IFERROR(VLOOKUP(C362,$AS$15:$AX$22,6,FALSE()),""))</f>
        <v>0.436391353881959</v>
      </c>
      <c r="H362" s="72" t="str">
        <f aca="false">IFERROR(VLOOKUP(C362,$AS$3:$AY$10,7,FALSE()),IFERROR(VLOOKUP(C362,$AS$15:$AY$22,7,FALSE()),""))</f>
        <v>🟡 AMARELO</v>
      </c>
      <c r="I362" s="72" t="str">
        <f aca="false">IFERROR(VLOOKUP(C362,$AS$3:$AZ$10,8,FALSE()),IFERROR(VLOOKUP(C362,$AS$15:$AZ$22,8,FALSE()),""))</f>
        <v>Sell Out</v>
      </c>
      <c r="J362" s="73"/>
      <c r="K362" s="56" t="s">
        <v>20</v>
      </c>
      <c r="L362" s="74" t="n">
        <v>2655.73</v>
      </c>
      <c r="M362" s="75" t="n">
        <v>186.63</v>
      </c>
      <c r="N362" s="75" t="n">
        <v>195.02</v>
      </c>
      <c r="O362" s="75" t="n">
        <v>199.72</v>
      </c>
      <c r="P362" s="75" t="n">
        <v>204.92</v>
      </c>
      <c r="Q362" s="75" t="n">
        <v>211.63</v>
      </c>
      <c r="R362" s="75" t="n">
        <v>217.17</v>
      </c>
      <c r="S362" s="75" t="n">
        <v>225.56</v>
      </c>
      <c r="T362" s="75" t="n">
        <v>231.1</v>
      </c>
      <c r="U362" s="75" t="n">
        <v>236.3</v>
      </c>
      <c r="V362" s="75" t="n">
        <v>242.18</v>
      </c>
      <c r="W362" s="75" t="n">
        <v>248.55</v>
      </c>
      <c r="X362" s="76" t="n">
        <v>256.95</v>
      </c>
      <c r="Y362" s="77" t="s">
        <v>20</v>
      </c>
      <c r="Z362" s="78" t="n">
        <f aca="false">SUM(AA362:AL362)</f>
        <v>1068</v>
      </c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6" t="n">
        <v>1068</v>
      </c>
      <c r="AM362" s="56" t="s">
        <v>20</v>
      </c>
      <c r="AN362" s="80" t="n">
        <f aca="false">IF(L362=0,0,Z362/L362)</f>
        <v>0.402149314877642</v>
      </c>
      <c r="AO362" s="81" t="str">
        <f aca="false">IF(AN362="","",IF(AN362&gt;=0.9,"🟢",IF(AN362&gt;=0.7,"🟡",IF(AN362&gt;=0.5,"🟠","🔴"))))</f>
        <v>🔴</v>
      </c>
      <c r="AP362" s="82" t="n">
        <f aca="false">IF(L362=0,0,L362-Z362)</f>
        <v>1587.73</v>
      </c>
      <c r="AQ362" s="83" t="n">
        <f aca="false">IF(AP362=0,"",RANK(AP362,AP$4:AP$503,0))</f>
        <v>319</v>
      </c>
      <c r="AR362" s="84" t="s">
        <v>20</v>
      </c>
      <c r="AS362" s="141"/>
      <c r="AT362" s="141"/>
      <c r="AU362" s="141"/>
      <c r="AV362" s="141"/>
      <c r="AW362" s="141"/>
      <c r="AX362" s="141"/>
      <c r="AY362" s="142"/>
      <c r="AZ362" s="142"/>
      <c r="BA362" s="56" t="s">
        <v>20</v>
      </c>
      <c r="BB362" s="91" t="n">
        <f aca="false">SUM(L$4:L$503)/COUNTA(A$4:A$503)</f>
        <v>9494.39992</v>
      </c>
      <c r="BC362" s="92" t="n">
        <f aca="false">SUM(M$4:M$503)/COUNTA(A$4:A$503)</f>
        <v>667.20008</v>
      </c>
      <c r="BD362" s="92" t="n">
        <f aca="false">SUM(N$4:N$503)/COUNTA(A$4:A$503)</f>
        <v>697.19996</v>
      </c>
      <c r="BE362" s="92" t="n">
        <f aca="false">SUM(O$4:O$503)/COUNTA(A$4:A$503)</f>
        <v>713.9999</v>
      </c>
      <c r="BF362" s="92" t="n">
        <f aca="false">SUM(P$4:P$503)/COUNTA(A$4:A$503)</f>
        <v>732.59984</v>
      </c>
      <c r="BG362" s="92" t="n">
        <f aca="false">SUM(Q$4:Q$503)/COUNTA(A$4:A$503)</f>
        <v>756.59992</v>
      </c>
      <c r="BH362" s="92" t="n">
        <f aca="false">SUM(R$4:R$503)/COUNTA(A$4:A$503)</f>
        <v>776.40004</v>
      </c>
      <c r="BI362" s="92" t="n">
        <f aca="false">SUM(S$4:S$503)/COUNTA(A$4:A$503)</f>
        <v>806.40012</v>
      </c>
      <c r="BJ362" s="92" t="n">
        <f aca="false">SUM(T$4:T$503)/COUNTA(A$4:A$503)</f>
        <v>826.1999</v>
      </c>
      <c r="BK362" s="92" t="n">
        <f aca="false">SUM(U$4:U$503)/COUNTA(A$4:A$503)</f>
        <v>844.8002</v>
      </c>
      <c r="BL362" s="92" t="n">
        <f aca="false">SUM(V$4:V$503)/COUNTA(A$4:A$503)</f>
        <v>865.7998</v>
      </c>
      <c r="BM362" s="92" t="n">
        <f aca="false">SUM(W$4:W$503)/COUNTA(A$4:A$503)</f>
        <v>888.59982</v>
      </c>
      <c r="BN362" s="93" t="n">
        <f aca="false">SUM(X$4:X$503)/COUNTA(A$4:A$503)</f>
        <v>918.60034</v>
      </c>
      <c r="BO362" s="94" t="s">
        <v>20</v>
      </c>
      <c r="BP362" s="91" t="n">
        <f aca="false">IF(Z362&gt;=BB362,0,IFERROR(BB362+(SUMPRODUCT((Z$4:Z$503&gt;=BB$4:BB$503)*(Z$4:Z$503-BB$4:BB$503))/MAX(1,COUNTIF(Z$4:Z$503,"&lt;"&amp;BB362+0.01))),BB362))</f>
        <v>10695.5432177778</v>
      </c>
      <c r="BQ362" s="92" t="n">
        <f aca="false">IF(AA362&gt;=BC362,0,IFERROR(BC362+SUMPRODUCT((AA$4:AA$503&gt;=BC$4:BC$503)*(AA$4:AA$503-BC$4:BC$503))/MAX(1,COUNTIF(AA$4:AA$503,"&lt;"&amp;BC362+0.01)),BC362))</f>
        <v>2238.46589176471</v>
      </c>
      <c r="BR362" s="92" t="n">
        <f aca="false">IF(AB362&gt;=BD362,0,IFERROR(BD362+SUMPRODUCT((AB$4:AB$503&gt;=BD$4:BD$503)*(AB$4:AB$503-BD$4:BD$503))/MAX(1,COUNTIF(AB$4:AB$503,"&lt;"&amp;BD362+0.01)),BD362))</f>
        <v>3335.2938</v>
      </c>
      <c r="BS362" s="92" t="n">
        <f aca="false">IF(AC362&gt;=BE362,0,IFERROR(BE362+SUMPRODUCT((AC$4:AC$503&gt;=BE$4:BE$503)*(AC$4:AC$503-BE$4:BE$503))/MAX(1,COUNTIF(AC$4:AC$503,"&lt;"&amp;BE362+0.01)),BE362))</f>
        <v>6188.73352</v>
      </c>
      <c r="BT362" s="92" t="n">
        <f aca="false">IF(AD362&gt;=BF362,0,IFERROR(BF362+SUMPRODUCT((AD$4:AD$503&gt;=BF$4:BF$503)*(AD$4:AD$503-BF$4:BF$503))/MAX(1,COUNTIF(AD$4:AD$503,"&lt;"&amp;BF362+0.01)),BF362))</f>
        <v>11354.35411</v>
      </c>
      <c r="BU362" s="92" t="n">
        <f aca="false">IF(AE362&gt;=BG362,0,IFERROR(BG362+SUMPRODUCT((AE$4:AE$503&gt;=BG$4:BG$503)*(AE$4:AE$503-BG$4:BG$503))/MAX(1,COUNTIF(AE$4:AE$503,"&lt;"&amp;BG362+0.01)),BG362))</f>
        <v>7704.85920380952</v>
      </c>
      <c r="BV362" s="92" t="n">
        <f aca="false">IF(AF362&gt;=BH362,0,IFERROR(BH362+SUMPRODUCT((AF$4:AF$503&gt;=BH$4:BH$503)*(AF$4:AF$503-BH$4:BH$503))/MAX(1,COUNTIF(AF$4:AF$503,"&lt;"&amp;BH362+0.01)),BH362))</f>
        <v>9942.6503831579</v>
      </c>
      <c r="BW362" s="92" t="n">
        <f aca="false">IF(AG362&gt;=BI362,0,IFERROR(BI362+SUMPRODUCT((AG$4:AG$503&gt;=BI$4:BI$503)*(AG$4:AG$503-BI$4:BI$503))/MAX(1,COUNTIF(AG$4:AG$503,"&lt;"&amp;BI362+0.01)),BI362))</f>
        <v>9142.15870461538</v>
      </c>
      <c r="BX362" s="92" t="n">
        <f aca="false">IF(AH362&gt;=BJ362,0,IFERROR(BJ362+SUMPRODUCT((AH$4:AH$503&gt;=BJ$4:BJ$503)*(AH$4:AH$503-BJ$4:BJ$503))/MAX(1,COUNTIF(AH$4:AH$503,"&lt;"&amp;BJ362+0.01)),BJ362))</f>
        <v>5621.50263448276</v>
      </c>
      <c r="BY362" s="92" t="n">
        <f aca="false">IF(AI362&gt;=BK362,0,IFERROR(BK362+SUMPRODUCT((AI$4:AI$503&gt;=BK$4:BK$503)*(AI$4:AI$503-BK$4:BK$503))/MAX(1,COUNTIF(AI$4:AI$503,"&lt;"&amp;BK362+0.01)),BK362))</f>
        <v>7878.25652380952</v>
      </c>
      <c r="BZ362" s="92" t="n">
        <f aca="false">IF(AJ362&gt;=BL362,0,IFERROR(BL362+SUMPRODUCT((AJ$4:AJ$503&gt;=BL$4:BL$503)*(AJ$4:AJ$503-BL$4:BL$503))/MAX(1,COUNTIF(AJ$4:AJ$503,"&lt;"&amp;BL362+0.01)),BL362))</f>
        <v>6710.03292307692</v>
      </c>
      <c r="CA362" s="92" t="n">
        <f aca="false">IF(AK362&gt;=BM362,0,IFERROR(BM362+SUMPRODUCT((AK$4:AK$503&gt;=BM$4:BM$503)*(AK$4:AK$503-BM$4:BM$503))/MAX(1,COUNTIF(AK$4:AK$503,"&lt;"&amp;BM362+0.01)),BM362))</f>
        <v>7314.89836842105</v>
      </c>
      <c r="CB362" s="93" t="n">
        <f aca="false">IF(AL362&gt;=BN362,0,IFERROR(BN362+SUMPRODUCT((AL$4:AL$503&gt;=BN$4:BN$503)*(AL$4:AL$503-BN$4:BN$503))/MAX(1,COUNTIF(AL$4:AL$503,"&lt;"&amp;BN362+0.01)),BN362))</f>
        <v>0</v>
      </c>
      <c r="CC362" s="95" t="str">
        <f aca="false">IF(AO362="🟢","VERDE",IF(AO362="🟡","AMARELO",IF(AO362="🟠","VERMELHO",IF(AO362="🔴","VERMELHO","ROXO"))))</f>
        <v>VERMELHO</v>
      </c>
      <c r="CD362" s="96" t="s">
        <v>103</v>
      </c>
      <c r="CE362" s="96" t="s">
        <v>104</v>
      </c>
    </row>
    <row r="363" customFormat="false" ht="14.25" hidden="false" customHeight="true" outlineLevel="0" collapsed="false">
      <c r="A363" s="65" t="s">
        <v>858</v>
      </c>
      <c r="B363" s="66" t="s">
        <v>859</v>
      </c>
      <c r="C363" s="67" t="s">
        <v>107</v>
      </c>
      <c r="D363" s="68" t="s">
        <v>108</v>
      </c>
      <c r="E363" s="69" t="s">
        <v>109</v>
      </c>
      <c r="F363" s="70" t="n">
        <f aca="false">IFERROR(VLOOKUP(C363,$AS$3:$AT$10,2,FALSE()),IFERROR(VLOOKUP(C363,$AS$15:$AT$22,2,FALSE()),""))</f>
        <v>132</v>
      </c>
      <c r="G363" s="71" t="n">
        <f aca="false">IFERROR(VLOOKUP(C363,$AS$3:$AX$10,6,FALSE()),IFERROR(VLOOKUP(C363,$AS$15:$AX$22,6,FALSE()),""))</f>
        <v>0.468190175850689</v>
      </c>
      <c r="H363" s="72" t="str">
        <f aca="false">IFERROR(VLOOKUP(C363,$AS$3:$AY$10,7,FALSE()),IFERROR(VLOOKUP(C363,$AS$15:$AY$22,7,FALSE()),""))</f>
        <v>🟡 AMARELO</v>
      </c>
      <c r="I363" s="72" t="str">
        <f aca="false">IFERROR(VLOOKUP(C363,$AS$3:$AZ$10,8,FALSE()),IFERROR(VLOOKUP(C363,$AS$15:$AZ$22,8,FALSE()),""))</f>
        <v>Sell Out</v>
      </c>
      <c r="J363" s="73"/>
      <c r="K363" s="69" t="s">
        <v>107</v>
      </c>
      <c r="L363" s="74" t="n">
        <v>2646.35</v>
      </c>
      <c r="M363" s="75" t="n">
        <v>185.97</v>
      </c>
      <c r="N363" s="75" t="n">
        <v>194.33</v>
      </c>
      <c r="O363" s="75" t="n">
        <v>199.01</v>
      </c>
      <c r="P363" s="75" t="n">
        <v>204.2</v>
      </c>
      <c r="Q363" s="75" t="n">
        <v>210.88</v>
      </c>
      <c r="R363" s="75" t="n">
        <v>216.4</v>
      </c>
      <c r="S363" s="75" t="n">
        <v>224.77</v>
      </c>
      <c r="T363" s="75" t="n">
        <v>230.28</v>
      </c>
      <c r="U363" s="75" t="n">
        <v>235.47</v>
      </c>
      <c r="V363" s="75" t="n">
        <v>241.32</v>
      </c>
      <c r="W363" s="75" t="n">
        <v>247.68</v>
      </c>
      <c r="X363" s="76" t="n">
        <v>256.04</v>
      </c>
      <c r="Y363" s="77" t="s">
        <v>20</v>
      </c>
      <c r="Z363" s="78" t="n">
        <f aca="false">SUM(AA363:AL363)</f>
        <v>1443.35</v>
      </c>
      <c r="AA363" s="75"/>
      <c r="AB363" s="75"/>
      <c r="AC363" s="75"/>
      <c r="AD363" s="75"/>
      <c r="AE363" s="75"/>
      <c r="AF363" s="75"/>
      <c r="AG363" s="75"/>
      <c r="AH363" s="79" t="n">
        <v>1443.35</v>
      </c>
      <c r="AI363" s="75"/>
      <c r="AJ363" s="75"/>
      <c r="AK363" s="75"/>
      <c r="AL363" s="76"/>
      <c r="AM363" s="56" t="s">
        <v>20</v>
      </c>
      <c r="AN363" s="80" t="n">
        <f aca="false">IF(L363=0,0,Z363/L363)</f>
        <v>0.545411604663026</v>
      </c>
      <c r="AO363" s="81" t="str">
        <f aca="false">IF(AN363="","",IF(AN363&gt;=0.9,"🟢",IF(AN363&gt;=0.7,"🟡",IF(AN363&gt;=0.5,"🟠","🔴"))))</f>
        <v>🟠</v>
      </c>
      <c r="AP363" s="82" t="n">
        <f aca="false">IF(L363=0,0,L363-Z363)</f>
        <v>1203</v>
      </c>
      <c r="AQ363" s="83" t="n">
        <f aca="false">IF(AP363=0,"",RANK(AP363,AP$4:AP$503,0))</f>
        <v>360</v>
      </c>
      <c r="AR363" s="84" t="s">
        <v>20</v>
      </c>
      <c r="AS363" s="141"/>
      <c r="AT363" s="141"/>
      <c r="AU363" s="141"/>
      <c r="AV363" s="141"/>
      <c r="AW363" s="141"/>
      <c r="AX363" s="141"/>
      <c r="AY363" s="142"/>
      <c r="AZ363" s="142"/>
      <c r="BA363" s="56" t="s">
        <v>20</v>
      </c>
      <c r="BB363" s="91" t="n">
        <f aca="false">SUM(L$4:L$503)/COUNTA(A$4:A$503)</f>
        <v>9494.39992</v>
      </c>
      <c r="BC363" s="92" t="n">
        <f aca="false">SUM(M$4:M$503)/COUNTA(A$4:A$503)</f>
        <v>667.20008</v>
      </c>
      <c r="BD363" s="92" t="n">
        <f aca="false">SUM(N$4:N$503)/COUNTA(A$4:A$503)</f>
        <v>697.19996</v>
      </c>
      <c r="BE363" s="92" t="n">
        <f aca="false">SUM(O$4:O$503)/COUNTA(A$4:A$503)</f>
        <v>713.9999</v>
      </c>
      <c r="BF363" s="92" t="n">
        <f aca="false">SUM(P$4:P$503)/COUNTA(A$4:A$503)</f>
        <v>732.59984</v>
      </c>
      <c r="BG363" s="92" t="n">
        <f aca="false">SUM(Q$4:Q$503)/COUNTA(A$4:A$503)</f>
        <v>756.59992</v>
      </c>
      <c r="BH363" s="92" t="n">
        <f aca="false">SUM(R$4:R$503)/COUNTA(A$4:A$503)</f>
        <v>776.40004</v>
      </c>
      <c r="BI363" s="92" t="n">
        <f aca="false">SUM(S$4:S$503)/COUNTA(A$4:A$503)</f>
        <v>806.40012</v>
      </c>
      <c r="BJ363" s="92" t="n">
        <f aca="false">SUM(T$4:T$503)/COUNTA(A$4:A$503)</f>
        <v>826.1999</v>
      </c>
      <c r="BK363" s="92" t="n">
        <f aca="false">SUM(U$4:U$503)/COUNTA(A$4:A$503)</f>
        <v>844.8002</v>
      </c>
      <c r="BL363" s="92" t="n">
        <f aca="false">SUM(V$4:V$503)/COUNTA(A$4:A$503)</f>
        <v>865.7998</v>
      </c>
      <c r="BM363" s="92" t="n">
        <f aca="false">SUM(W$4:W$503)/COUNTA(A$4:A$503)</f>
        <v>888.59982</v>
      </c>
      <c r="BN363" s="93" t="n">
        <f aca="false">SUM(X$4:X$503)/COUNTA(A$4:A$503)</f>
        <v>918.60034</v>
      </c>
      <c r="BO363" s="94" t="s">
        <v>20</v>
      </c>
      <c r="BP363" s="91" t="n">
        <f aca="false">IF(Z363&gt;=BB363,0,IFERROR(BB363+(SUMPRODUCT((Z$4:Z$503&gt;=BB$4:BB$503)*(Z$4:Z$503-BB$4:BB$503))/MAX(1,COUNTIF(Z$4:Z$503,"&lt;"&amp;BB363+0.01))),BB363))</f>
        <v>10695.5432177778</v>
      </c>
      <c r="BQ363" s="92" t="n">
        <f aca="false">IF(AA363&gt;=BC363,0,IFERROR(BC363+SUMPRODUCT((AA$4:AA$503&gt;=BC$4:BC$503)*(AA$4:AA$503-BC$4:BC$503))/MAX(1,COUNTIF(AA$4:AA$503,"&lt;"&amp;BC363+0.01)),BC363))</f>
        <v>2238.46589176471</v>
      </c>
      <c r="BR363" s="92" t="n">
        <f aca="false">IF(AB363&gt;=BD363,0,IFERROR(BD363+SUMPRODUCT((AB$4:AB$503&gt;=BD$4:BD$503)*(AB$4:AB$503-BD$4:BD$503))/MAX(1,COUNTIF(AB$4:AB$503,"&lt;"&amp;BD363+0.01)),BD363))</f>
        <v>3335.2938</v>
      </c>
      <c r="BS363" s="92" t="n">
        <f aca="false">IF(AC363&gt;=BE363,0,IFERROR(BE363+SUMPRODUCT((AC$4:AC$503&gt;=BE$4:BE$503)*(AC$4:AC$503-BE$4:BE$503))/MAX(1,COUNTIF(AC$4:AC$503,"&lt;"&amp;BE363+0.01)),BE363))</f>
        <v>6188.73352</v>
      </c>
      <c r="BT363" s="92" t="n">
        <f aca="false">IF(AD363&gt;=BF363,0,IFERROR(BF363+SUMPRODUCT((AD$4:AD$503&gt;=BF$4:BF$503)*(AD$4:AD$503-BF$4:BF$503))/MAX(1,COUNTIF(AD$4:AD$503,"&lt;"&amp;BF363+0.01)),BF363))</f>
        <v>11354.35411</v>
      </c>
      <c r="BU363" s="92" t="n">
        <f aca="false">IF(AE363&gt;=BG363,0,IFERROR(BG363+SUMPRODUCT((AE$4:AE$503&gt;=BG$4:BG$503)*(AE$4:AE$503-BG$4:BG$503))/MAX(1,COUNTIF(AE$4:AE$503,"&lt;"&amp;BG363+0.01)),BG363))</f>
        <v>7704.85920380952</v>
      </c>
      <c r="BV363" s="92" t="n">
        <f aca="false">IF(AF363&gt;=BH363,0,IFERROR(BH363+SUMPRODUCT((AF$4:AF$503&gt;=BH$4:BH$503)*(AF$4:AF$503-BH$4:BH$503))/MAX(1,COUNTIF(AF$4:AF$503,"&lt;"&amp;BH363+0.01)),BH363))</f>
        <v>9942.6503831579</v>
      </c>
      <c r="BW363" s="92" t="n">
        <f aca="false">IF(AG363&gt;=BI363,0,IFERROR(BI363+SUMPRODUCT((AG$4:AG$503&gt;=BI$4:BI$503)*(AG$4:AG$503-BI$4:BI$503))/MAX(1,COUNTIF(AG$4:AG$503,"&lt;"&amp;BI363+0.01)),BI363))</f>
        <v>9142.15870461538</v>
      </c>
      <c r="BX363" s="92" t="n">
        <f aca="false">IF(AH363&gt;=BJ363,0,IFERROR(BJ363+SUMPRODUCT((AH$4:AH$503&gt;=BJ$4:BJ$503)*(AH$4:AH$503-BJ$4:BJ$503))/MAX(1,COUNTIF(AH$4:AH$503,"&lt;"&amp;BJ363+0.01)),BJ363))</f>
        <v>0</v>
      </c>
      <c r="BY363" s="92" t="n">
        <f aca="false">IF(AI363&gt;=BK363,0,IFERROR(BK363+SUMPRODUCT((AI$4:AI$503&gt;=BK$4:BK$503)*(AI$4:AI$503-BK$4:BK$503))/MAX(1,COUNTIF(AI$4:AI$503,"&lt;"&amp;BK363+0.01)),BK363))</f>
        <v>7878.25652380952</v>
      </c>
      <c r="BZ363" s="92" t="n">
        <f aca="false">IF(AJ363&gt;=BL363,0,IFERROR(BL363+SUMPRODUCT((AJ$4:AJ$503&gt;=BL$4:BL$503)*(AJ$4:AJ$503-BL$4:BL$503))/MAX(1,COUNTIF(AJ$4:AJ$503,"&lt;"&amp;BL363+0.01)),BL363))</f>
        <v>6710.03292307692</v>
      </c>
      <c r="CA363" s="92" t="n">
        <f aca="false">IF(AK363&gt;=BM363,0,IFERROR(BM363+SUMPRODUCT((AK$4:AK$503&gt;=BM$4:BM$503)*(AK$4:AK$503-BM$4:BM$503))/MAX(1,COUNTIF(AK$4:AK$503,"&lt;"&amp;BM363+0.01)),BM363))</f>
        <v>7314.89836842105</v>
      </c>
      <c r="CB363" s="93" t="n">
        <f aca="false">IF(AL363&gt;=BN363,0,IFERROR(BN363+SUMPRODUCT((AL$4:AL$503&gt;=BN$4:BN$503)*(AL$4:AL$503-BN$4:BN$503))/MAX(1,COUNTIF(AL$4:AL$503,"&lt;"&amp;BN363+0.01)),BN363))</f>
        <v>3597.2614925</v>
      </c>
      <c r="CC363" s="95" t="str">
        <f aca="false">IF(AO363="🟢","VERDE",IF(AO363="🟡","AMARELO",IF(AO363="🟠","VERMELHO",IF(AO363="🔴","VERMELHO","ROXO"))))</f>
        <v>VERMELHO</v>
      </c>
      <c r="CD363" s="96" t="s">
        <v>103</v>
      </c>
      <c r="CE363" s="96" t="s">
        <v>104</v>
      </c>
    </row>
    <row r="364" customFormat="false" ht="14.25" hidden="false" customHeight="true" outlineLevel="0" collapsed="false">
      <c r="A364" s="65" t="s">
        <v>860</v>
      </c>
      <c r="B364" s="66" t="s">
        <v>861</v>
      </c>
      <c r="C364" s="67" t="s">
        <v>107</v>
      </c>
      <c r="D364" s="68" t="s">
        <v>108</v>
      </c>
      <c r="E364" s="69" t="s">
        <v>109</v>
      </c>
      <c r="F364" s="70" t="n">
        <f aca="false">IFERROR(VLOOKUP(C364,$AS$3:$AT$10,2,FALSE()),IFERROR(VLOOKUP(C364,$AS$15:$AT$22,2,FALSE()),""))</f>
        <v>132</v>
      </c>
      <c r="G364" s="71" t="n">
        <f aca="false">IFERROR(VLOOKUP(C364,$AS$3:$AX$10,6,FALSE()),IFERROR(VLOOKUP(C364,$AS$15:$AX$22,6,FALSE()),""))</f>
        <v>0.468190175850689</v>
      </c>
      <c r="H364" s="72" t="str">
        <f aca="false">IFERROR(VLOOKUP(C364,$AS$3:$AY$10,7,FALSE()),IFERROR(VLOOKUP(C364,$AS$15:$AY$22,7,FALSE()),""))</f>
        <v>🟡 AMARELO</v>
      </c>
      <c r="I364" s="72" t="str">
        <f aca="false">IFERROR(VLOOKUP(C364,$AS$3:$AZ$10,8,FALSE()),IFERROR(VLOOKUP(C364,$AS$15:$AZ$22,8,FALSE()),""))</f>
        <v>Sell Out</v>
      </c>
      <c r="J364" s="73"/>
      <c r="K364" s="69" t="s">
        <v>107</v>
      </c>
      <c r="L364" s="74" t="n">
        <v>2627.7</v>
      </c>
      <c r="M364" s="75" t="n">
        <v>184.66</v>
      </c>
      <c r="N364" s="75" t="n">
        <v>192.96</v>
      </c>
      <c r="O364" s="75" t="n">
        <v>197.61</v>
      </c>
      <c r="P364" s="75" t="n">
        <v>202.76</v>
      </c>
      <c r="Q364" s="75" t="n">
        <v>209.4</v>
      </c>
      <c r="R364" s="75" t="n">
        <v>214.88</v>
      </c>
      <c r="S364" s="75" t="n">
        <v>223.18</v>
      </c>
      <c r="T364" s="75" t="n">
        <v>228.66</v>
      </c>
      <c r="U364" s="75" t="n">
        <v>233.81</v>
      </c>
      <c r="V364" s="75" t="n">
        <v>239.62</v>
      </c>
      <c r="W364" s="75" t="n">
        <v>245.93</v>
      </c>
      <c r="X364" s="76" t="n">
        <v>254.23</v>
      </c>
      <c r="Y364" s="77" t="s">
        <v>20</v>
      </c>
      <c r="Z364" s="78" t="n">
        <f aca="false">SUM(AA364:AL364)</f>
        <v>1173.88</v>
      </c>
      <c r="AA364" s="75"/>
      <c r="AB364" s="75"/>
      <c r="AC364" s="75"/>
      <c r="AD364" s="75"/>
      <c r="AE364" s="75"/>
      <c r="AF364" s="75"/>
      <c r="AG364" s="75"/>
      <c r="AH364" s="75"/>
      <c r="AI364" s="75"/>
      <c r="AJ364" s="79" t="n">
        <v>743.62</v>
      </c>
      <c r="AK364" s="75"/>
      <c r="AL364" s="107" t="n">
        <v>430.26</v>
      </c>
      <c r="AM364" s="56" t="s">
        <v>20</v>
      </c>
      <c r="AN364" s="80" t="n">
        <f aca="false">IF(L364=0,0,Z364/L364)</f>
        <v>0.446732884271416</v>
      </c>
      <c r="AO364" s="81" t="str">
        <f aca="false">IF(AN364="","",IF(AN364&gt;=0.9,"🟢",IF(AN364&gt;=0.7,"🟡",IF(AN364&gt;=0.5,"🟠","🔴"))))</f>
        <v>🔴</v>
      </c>
      <c r="AP364" s="82" t="n">
        <f aca="false">IF(L364=0,0,L364-Z364)</f>
        <v>1453.82</v>
      </c>
      <c r="AQ364" s="83" t="n">
        <f aca="false">IF(AP364=0,"",RANK(AP364,AP$4:AP$503,0))</f>
        <v>331</v>
      </c>
      <c r="AR364" s="84" t="s">
        <v>20</v>
      </c>
      <c r="AS364" s="141"/>
      <c r="AT364" s="141"/>
      <c r="AU364" s="141"/>
      <c r="AV364" s="141"/>
      <c r="AW364" s="141"/>
      <c r="AX364" s="141"/>
      <c r="AY364" s="142"/>
      <c r="AZ364" s="142"/>
      <c r="BA364" s="56" t="s">
        <v>20</v>
      </c>
      <c r="BB364" s="91" t="n">
        <f aca="false">SUM(L$4:L$503)/COUNTA(A$4:A$503)</f>
        <v>9494.39992</v>
      </c>
      <c r="BC364" s="92" t="n">
        <f aca="false">SUM(M$4:M$503)/COUNTA(A$4:A$503)</f>
        <v>667.20008</v>
      </c>
      <c r="BD364" s="92" t="n">
        <f aca="false">SUM(N$4:N$503)/COUNTA(A$4:A$503)</f>
        <v>697.19996</v>
      </c>
      <c r="BE364" s="92" t="n">
        <f aca="false">SUM(O$4:O$503)/COUNTA(A$4:A$503)</f>
        <v>713.9999</v>
      </c>
      <c r="BF364" s="92" t="n">
        <f aca="false">SUM(P$4:P$503)/COUNTA(A$4:A$503)</f>
        <v>732.59984</v>
      </c>
      <c r="BG364" s="92" t="n">
        <f aca="false">SUM(Q$4:Q$503)/COUNTA(A$4:A$503)</f>
        <v>756.59992</v>
      </c>
      <c r="BH364" s="92" t="n">
        <f aca="false">SUM(R$4:R$503)/COUNTA(A$4:A$503)</f>
        <v>776.40004</v>
      </c>
      <c r="BI364" s="92" t="n">
        <f aca="false">SUM(S$4:S$503)/COUNTA(A$4:A$503)</f>
        <v>806.40012</v>
      </c>
      <c r="BJ364" s="92" t="n">
        <f aca="false">SUM(T$4:T$503)/COUNTA(A$4:A$503)</f>
        <v>826.1999</v>
      </c>
      <c r="BK364" s="92" t="n">
        <f aca="false">SUM(U$4:U$503)/COUNTA(A$4:A$503)</f>
        <v>844.8002</v>
      </c>
      <c r="BL364" s="92" t="n">
        <f aca="false">SUM(V$4:V$503)/COUNTA(A$4:A$503)</f>
        <v>865.7998</v>
      </c>
      <c r="BM364" s="92" t="n">
        <f aca="false">SUM(W$4:W$503)/COUNTA(A$4:A$503)</f>
        <v>888.59982</v>
      </c>
      <c r="BN364" s="93" t="n">
        <f aca="false">SUM(X$4:X$503)/COUNTA(A$4:A$503)</f>
        <v>918.60034</v>
      </c>
      <c r="BO364" s="94" t="s">
        <v>20</v>
      </c>
      <c r="BP364" s="91" t="n">
        <f aca="false">IF(Z364&gt;=BB364,0,IFERROR(BB364+(SUMPRODUCT((Z$4:Z$503&gt;=BB$4:BB$503)*(Z$4:Z$503-BB$4:BB$503))/MAX(1,COUNTIF(Z$4:Z$503,"&lt;"&amp;BB364+0.01))),BB364))</f>
        <v>10695.5432177778</v>
      </c>
      <c r="BQ364" s="92" t="n">
        <f aca="false">IF(AA364&gt;=BC364,0,IFERROR(BC364+SUMPRODUCT((AA$4:AA$503&gt;=BC$4:BC$503)*(AA$4:AA$503-BC$4:BC$503))/MAX(1,COUNTIF(AA$4:AA$503,"&lt;"&amp;BC364+0.01)),BC364))</f>
        <v>2238.46589176471</v>
      </c>
      <c r="BR364" s="92" t="n">
        <f aca="false">IF(AB364&gt;=BD364,0,IFERROR(BD364+SUMPRODUCT((AB$4:AB$503&gt;=BD$4:BD$503)*(AB$4:AB$503-BD$4:BD$503))/MAX(1,COUNTIF(AB$4:AB$503,"&lt;"&amp;BD364+0.01)),BD364))</f>
        <v>3335.2938</v>
      </c>
      <c r="BS364" s="92" t="n">
        <f aca="false">IF(AC364&gt;=BE364,0,IFERROR(BE364+SUMPRODUCT((AC$4:AC$503&gt;=BE$4:BE$503)*(AC$4:AC$503-BE$4:BE$503))/MAX(1,COUNTIF(AC$4:AC$503,"&lt;"&amp;BE364+0.01)),BE364))</f>
        <v>6188.73352</v>
      </c>
      <c r="BT364" s="92" t="n">
        <f aca="false">IF(AD364&gt;=BF364,0,IFERROR(BF364+SUMPRODUCT((AD$4:AD$503&gt;=BF$4:BF$503)*(AD$4:AD$503-BF$4:BF$503))/MAX(1,COUNTIF(AD$4:AD$503,"&lt;"&amp;BF364+0.01)),BF364))</f>
        <v>11354.35411</v>
      </c>
      <c r="BU364" s="92" t="n">
        <f aca="false">IF(AE364&gt;=BG364,0,IFERROR(BG364+SUMPRODUCT((AE$4:AE$503&gt;=BG$4:BG$503)*(AE$4:AE$503-BG$4:BG$503))/MAX(1,COUNTIF(AE$4:AE$503,"&lt;"&amp;BG364+0.01)),BG364))</f>
        <v>7704.85920380952</v>
      </c>
      <c r="BV364" s="92" t="n">
        <f aca="false">IF(AF364&gt;=BH364,0,IFERROR(BH364+SUMPRODUCT((AF$4:AF$503&gt;=BH$4:BH$503)*(AF$4:AF$503-BH$4:BH$503))/MAX(1,COUNTIF(AF$4:AF$503,"&lt;"&amp;BH364+0.01)),BH364))</f>
        <v>9942.6503831579</v>
      </c>
      <c r="BW364" s="92" t="n">
        <f aca="false">IF(AG364&gt;=BI364,0,IFERROR(BI364+SUMPRODUCT((AG$4:AG$503&gt;=BI$4:BI$503)*(AG$4:AG$503-BI$4:BI$503))/MAX(1,COUNTIF(AG$4:AG$503,"&lt;"&amp;BI364+0.01)),BI364))</f>
        <v>9142.15870461538</v>
      </c>
      <c r="BX364" s="92" t="n">
        <f aca="false">IF(AH364&gt;=BJ364,0,IFERROR(BJ364+SUMPRODUCT((AH$4:AH$503&gt;=BJ$4:BJ$503)*(AH$4:AH$503-BJ$4:BJ$503))/MAX(1,COUNTIF(AH$4:AH$503,"&lt;"&amp;BJ364+0.01)),BJ364))</f>
        <v>5621.50263448276</v>
      </c>
      <c r="BY364" s="92" t="n">
        <f aca="false">IF(AI364&gt;=BK364,0,IFERROR(BK364+SUMPRODUCT((AI$4:AI$503&gt;=BK$4:BK$503)*(AI$4:AI$503-BK$4:BK$503))/MAX(1,COUNTIF(AI$4:AI$503,"&lt;"&amp;BK364+0.01)),BK364))</f>
        <v>7878.25652380952</v>
      </c>
      <c r="BZ364" s="92" t="n">
        <f aca="false">IF(AJ364&gt;=BL364,0,IFERROR(BL364+SUMPRODUCT((AJ$4:AJ$503&gt;=BL$4:BL$503)*(AJ$4:AJ$503-BL$4:BL$503))/MAX(1,COUNTIF(AJ$4:AJ$503,"&lt;"&amp;BL364+0.01)),BL364))</f>
        <v>6710.03292307692</v>
      </c>
      <c r="CA364" s="92" t="n">
        <f aca="false">IF(AK364&gt;=BM364,0,IFERROR(BM364+SUMPRODUCT((AK$4:AK$503&gt;=BM$4:BM$503)*(AK$4:AK$503-BM$4:BM$503))/MAX(1,COUNTIF(AK$4:AK$503,"&lt;"&amp;BM364+0.01)),BM364))</f>
        <v>7314.89836842105</v>
      </c>
      <c r="CB364" s="93" t="n">
        <f aca="false">IF(AL364&gt;=BN364,0,IFERROR(BN364+SUMPRODUCT((AL$4:AL$503&gt;=BN$4:BN$503)*(AL$4:AL$503-BN$4:BN$503))/MAX(1,COUNTIF(AL$4:AL$503,"&lt;"&amp;BN364+0.01)),BN364))</f>
        <v>3597.2614925</v>
      </c>
      <c r="CC364" s="95" t="str">
        <f aca="false">IF(AO364="🟢","VERDE",IF(AO364="🟡","AMARELO",IF(AO364="🟠","VERMELHO",IF(AO364="🔴","VERMELHO","ROXO"))))</f>
        <v>VERMELHO</v>
      </c>
      <c r="CD364" s="96" t="s">
        <v>103</v>
      </c>
      <c r="CE364" s="96" t="s">
        <v>104</v>
      </c>
    </row>
    <row r="365" customFormat="false" ht="14.25" hidden="false" customHeight="true" outlineLevel="0" collapsed="false">
      <c r="A365" s="65" t="s">
        <v>862</v>
      </c>
      <c r="B365" s="66" t="s">
        <v>863</v>
      </c>
      <c r="C365" s="66" t="s">
        <v>102</v>
      </c>
      <c r="D365" s="68" t="s">
        <v>175</v>
      </c>
      <c r="E365" s="69" t="s">
        <v>139</v>
      </c>
      <c r="F365" s="70" t="n">
        <f aca="false">IFERROR(VLOOKUP(C365,$AS$3:$AT$10,2,FALSE()),IFERROR(VLOOKUP(C365,$AS$15:$AT$22,2,FALSE()),""))</f>
        <v>21</v>
      </c>
      <c r="G365" s="71" t="n">
        <f aca="false">IFERROR(VLOOKUP(C365,$AS$3:$AX$10,6,FALSE()),IFERROR(VLOOKUP(C365,$AS$15:$AX$22,6,FALSE()),""))</f>
        <v>0.491514556258592</v>
      </c>
      <c r="H365" s="72" t="str">
        <f aca="false">IFERROR(VLOOKUP(C365,$AS$3:$AY$10,7,FALSE()),IFERROR(VLOOKUP(C365,$AS$15:$AY$22,7,FALSE()),""))</f>
        <v>🟡 AMARELO</v>
      </c>
      <c r="I365" s="72" t="str">
        <f aca="false">IFERROR(VLOOKUP(C365,$AS$3:$AZ$10,8,FALSE()),IFERROR(VLOOKUP(C365,$AS$15:$AZ$22,8,FALSE()),""))</f>
        <v>Sell Out</v>
      </c>
      <c r="J365" s="73"/>
      <c r="K365" s="69" t="s">
        <v>107</v>
      </c>
      <c r="L365" s="74" t="n">
        <v>2614.4</v>
      </c>
      <c r="M365" s="75" t="n">
        <v>183.72</v>
      </c>
      <c r="N365" s="75" t="n">
        <v>191.98</v>
      </c>
      <c r="O365" s="75" t="n">
        <v>196.61</v>
      </c>
      <c r="P365" s="75" t="n">
        <v>201.73</v>
      </c>
      <c r="Q365" s="75" t="n">
        <v>208.34</v>
      </c>
      <c r="R365" s="75" t="n">
        <v>213.79</v>
      </c>
      <c r="S365" s="75" t="n">
        <v>222.05</v>
      </c>
      <c r="T365" s="75" t="n">
        <v>227.5</v>
      </c>
      <c r="U365" s="75" t="n">
        <v>232.63</v>
      </c>
      <c r="V365" s="75" t="n">
        <v>238.41</v>
      </c>
      <c r="W365" s="75" t="n">
        <v>244.69</v>
      </c>
      <c r="X365" s="76" t="n">
        <v>252.95</v>
      </c>
      <c r="Y365" s="77" t="s">
        <v>20</v>
      </c>
      <c r="Z365" s="78" t="n">
        <f aca="false">SUM(AA365:AL365)</f>
        <v>1083.3</v>
      </c>
      <c r="AA365" s="75"/>
      <c r="AB365" s="75"/>
      <c r="AC365" s="75"/>
      <c r="AD365" s="75"/>
      <c r="AE365" s="75"/>
      <c r="AF365" s="75"/>
      <c r="AG365" s="75"/>
      <c r="AH365" s="75"/>
      <c r="AI365" s="75"/>
      <c r="AJ365" s="79" t="n">
        <v>1083.3</v>
      </c>
      <c r="AK365" s="75"/>
      <c r="AL365" s="76"/>
      <c r="AM365" s="56" t="s">
        <v>20</v>
      </c>
      <c r="AN365" s="80" t="n">
        <f aca="false">IF(L365=0,0,Z365/L365)</f>
        <v>0.414358935128519</v>
      </c>
      <c r="AO365" s="81" t="str">
        <f aca="false">IF(AN365="","",IF(AN365&gt;=0.9,"🟢",IF(AN365&gt;=0.7,"🟡",IF(AN365&gt;=0.5,"🟠","🔴"))))</f>
        <v>🔴</v>
      </c>
      <c r="AP365" s="82" t="n">
        <f aca="false">IF(L365=0,0,L365-Z365)</f>
        <v>1531.1</v>
      </c>
      <c r="AQ365" s="83" t="n">
        <f aca="false">IF(AP365=0,"",RANK(AP365,AP$4:AP$503,0))</f>
        <v>323</v>
      </c>
      <c r="AR365" s="84" t="s">
        <v>20</v>
      </c>
      <c r="AS365" s="141"/>
      <c r="AT365" s="141"/>
      <c r="AU365" s="141"/>
      <c r="AV365" s="141"/>
      <c r="AW365" s="141"/>
      <c r="AX365" s="141"/>
      <c r="AY365" s="142"/>
      <c r="AZ365" s="142"/>
      <c r="BA365" s="56" t="s">
        <v>20</v>
      </c>
      <c r="BB365" s="91" t="n">
        <f aca="false">SUM(L$4:L$503)/COUNTA(A$4:A$503)</f>
        <v>9494.39992</v>
      </c>
      <c r="BC365" s="92" t="n">
        <f aca="false">SUM(M$4:M$503)/COUNTA(A$4:A$503)</f>
        <v>667.20008</v>
      </c>
      <c r="BD365" s="92" t="n">
        <f aca="false">SUM(N$4:N$503)/COUNTA(A$4:A$503)</f>
        <v>697.19996</v>
      </c>
      <c r="BE365" s="92" t="n">
        <f aca="false">SUM(O$4:O$503)/COUNTA(A$4:A$503)</f>
        <v>713.9999</v>
      </c>
      <c r="BF365" s="92" t="n">
        <f aca="false">SUM(P$4:P$503)/COUNTA(A$4:A$503)</f>
        <v>732.59984</v>
      </c>
      <c r="BG365" s="92" t="n">
        <f aca="false">SUM(Q$4:Q$503)/COUNTA(A$4:A$503)</f>
        <v>756.59992</v>
      </c>
      <c r="BH365" s="92" t="n">
        <f aca="false">SUM(R$4:R$503)/COUNTA(A$4:A$503)</f>
        <v>776.40004</v>
      </c>
      <c r="BI365" s="92" t="n">
        <f aca="false">SUM(S$4:S$503)/COUNTA(A$4:A$503)</f>
        <v>806.40012</v>
      </c>
      <c r="BJ365" s="92" t="n">
        <f aca="false">SUM(T$4:T$503)/COUNTA(A$4:A$503)</f>
        <v>826.1999</v>
      </c>
      <c r="BK365" s="92" t="n">
        <f aca="false">SUM(U$4:U$503)/COUNTA(A$4:A$503)</f>
        <v>844.8002</v>
      </c>
      <c r="BL365" s="92" t="n">
        <f aca="false">SUM(V$4:V$503)/COUNTA(A$4:A$503)</f>
        <v>865.7998</v>
      </c>
      <c r="BM365" s="92" t="n">
        <f aca="false">SUM(W$4:W$503)/COUNTA(A$4:A$503)</f>
        <v>888.59982</v>
      </c>
      <c r="BN365" s="93" t="n">
        <f aca="false">SUM(X$4:X$503)/COUNTA(A$4:A$503)</f>
        <v>918.60034</v>
      </c>
      <c r="BO365" s="94" t="s">
        <v>20</v>
      </c>
      <c r="BP365" s="91" t="n">
        <f aca="false">IF(Z365&gt;=BB365,0,IFERROR(BB365+(SUMPRODUCT((Z$4:Z$503&gt;=BB$4:BB$503)*(Z$4:Z$503-BB$4:BB$503))/MAX(1,COUNTIF(Z$4:Z$503,"&lt;"&amp;BB365+0.01))),BB365))</f>
        <v>10695.5432177778</v>
      </c>
      <c r="BQ365" s="92" t="n">
        <f aca="false">IF(AA365&gt;=BC365,0,IFERROR(BC365+SUMPRODUCT((AA$4:AA$503&gt;=BC$4:BC$503)*(AA$4:AA$503-BC$4:BC$503))/MAX(1,COUNTIF(AA$4:AA$503,"&lt;"&amp;BC365+0.01)),BC365))</f>
        <v>2238.46589176471</v>
      </c>
      <c r="BR365" s="92" t="n">
        <f aca="false">IF(AB365&gt;=BD365,0,IFERROR(BD365+SUMPRODUCT((AB$4:AB$503&gt;=BD$4:BD$503)*(AB$4:AB$503-BD$4:BD$503))/MAX(1,COUNTIF(AB$4:AB$503,"&lt;"&amp;BD365+0.01)),BD365))</f>
        <v>3335.2938</v>
      </c>
      <c r="BS365" s="92" t="n">
        <f aca="false">IF(AC365&gt;=BE365,0,IFERROR(BE365+SUMPRODUCT((AC$4:AC$503&gt;=BE$4:BE$503)*(AC$4:AC$503-BE$4:BE$503))/MAX(1,COUNTIF(AC$4:AC$503,"&lt;"&amp;BE365+0.01)),BE365))</f>
        <v>6188.73352</v>
      </c>
      <c r="BT365" s="92" t="n">
        <f aca="false">IF(AD365&gt;=BF365,0,IFERROR(BF365+SUMPRODUCT((AD$4:AD$503&gt;=BF$4:BF$503)*(AD$4:AD$503-BF$4:BF$503))/MAX(1,COUNTIF(AD$4:AD$503,"&lt;"&amp;BF365+0.01)),BF365))</f>
        <v>11354.35411</v>
      </c>
      <c r="BU365" s="92" t="n">
        <f aca="false">IF(AE365&gt;=BG365,0,IFERROR(BG365+SUMPRODUCT((AE$4:AE$503&gt;=BG$4:BG$503)*(AE$4:AE$503-BG$4:BG$503))/MAX(1,COUNTIF(AE$4:AE$503,"&lt;"&amp;BG365+0.01)),BG365))</f>
        <v>7704.85920380952</v>
      </c>
      <c r="BV365" s="92" t="n">
        <f aca="false">IF(AF365&gt;=BH365,0,IFERROR(BH365+SUMPRODUCT((AF$4:AF$503&gt;=BH$4:BH$503)*(AF$4:AF$503-BH$4:BH$503))/MAX(1,COUNTIF(AF$4:AF$503,"&lt;"&amp;BH365+0.01)),BH365))</f>
        <v>9942.6503831579</v>
      </c>
      <c r="BW365" s="92" t="n">
        <f aca="false">IF(AG365&gt;=BI365,0,IFERROR(BI365+SUMPRODUCT((AG$4:AG$503&gt;=BI$4:BI$503)*(AG$4:AG$503-BI$4:BI$503))/MAX(1,COUNTIF(AG$4:AG$503,"&lt;"&amp;BI365+0.01)),BI365))</f>
        <v>9142.15870461538</v>
      </c>
      <c r="BX365" s="92" t="n">
        <f aca="false">IF(AH365&gt;=BJ365,0,IFERROR(BJ365+SUMPRODUCT((AH$4:AH$503&gt;=BJ$4:BJ$503)*(AH$4:AH$503-BJ$4:BJ$503))/MAX(1,COUNTIF(AH$4:AH$503,"&lt;"&amp;BJ365+0.01)),BJ365))</f>
        <v>5621.50263448276</v>
      </c>
      <c r="BY365" s="92" t="n">
        <f aca="false">IF(AI365&gt;=BK365,0,IFERROR(BK365+SUMPRODUCT((AI$4:AI$503&gt;=BK$4:BK$503)*(AI$4:AI$503-BK$4:BK$503))/MAX(1,COUNTIF(AI$4:AI$503,"&lt;"&amp;BK365+0.01)),BK365))</f>
        <v>7878.25652380952</v>
      </c>
      <c r="BZ365" s="92" t="n">
        <f aca="false">IF(AJ365&gt;=BL365,0,IFERROR(BL365+SUMPRODUCT((AJ$4:AJ$503&gt;=BL$4:BL$503)*(AJ$4:AJ$503-BL$4:BL$503))/MAX(1,COUNTIF(AJ$4:AJ$503,"&lt;"&amp;BL365+0.01)),BL365))</f>
        <v>0</v>
      </c>
      <c r="CA365" s="92" t="n">
        <f aca="false">IF(AK365&gt;=BM365,0,IFERROR(BM365+SUMPRODUCT((AK$4:AK$503&gt;=BM$4:BM$503)*(AK$4:AK$503-BM$4:BM$503))/MAX(1,COUNTIF(AK$4:AK$503,"&lt;"&amp;BM365+0.01)),BM365))</f>
        <v>7314.89836842105</v>
      </c>
      <c r="CB365" s="93" t="n">
        <f aca="false">IF(AL365&gt;=BN365,0,IFERROR(BN365+SUMPRODUCT((AL$4:AL$503&gt;=BN$4:BN$503)*(AL$4:AL$503-BN$4:BN$503))/MAX(1,COUNTIF(AL$4:AL$503,"&lt;"&amp;BN365+0.01)),BN365))</f>
        <v>3597.2614925</v>
      </c>
      <c r="CC365" s="95" t="str">
        <f aca="false">IF(AO365="🟢","VERDE",IF(AO365="🟡","AMARELO",IF(AO365="🟠","VERMELHO",IF(AO365="🔴","VERMELHO","ROXO"))))</f>
        <v>VERMELHO</v>
      </c>
      <c r="CD365" s="96" t="s">
        <v>176</v>
      </c>
      <c r="CE365" s="96" t="s">
        <v>102</v>
      </c>
    </row>
    <row r="366" customFormat="false" ht="14.25" hidden="false" customHeight="true" outlineLevel="0" collapsed="false">
      <c r="A366" s="65" t="s">
        <v>864</v>
      </c>
      <c r="B366" s="66" t="s">
        <v>865</v>
      </c>
      <c r="C366" s="67" t="s">
        <v>118</v>
      </c>
      <c r="D366" s="68" t="s">
        <v>100</v>
      </c>
      <c r="E366" s="69" t="s">
        <v>119</v>
      </c>
      <c r="F366" s="70" t="n">
        <f aca="false">IFERROR(VLOOKUP(C366,$AS$3:$AT$10,2,FALSE()),IFERROR(VLOOKUP(C366,$AS$15:$AT$22,2,FALSE()),""))</f>
        <v>42</v>
      </c>
      <c r="G366" s="71" t="n">
        <f aca="false">IFERROR(VLOOKUP(C366,$AS$3:$AX$10,6,FALSE()),IFERROR(VLOOKUP(C366,$AS$15:$AX$22,6,FALSE()),""))</f>
        <v>0.424872083346704</v>
      </c>
      <c r="H366" s="72" t="str">
        <f aca="false">IFERROR(VLOOKUP(C366,$AS$3:$AY$10,7,FALSE()),IFERROR(VLOOKUP(C366,$AS$15:$AY$22,7,FALSE()),""))</f>
        <v>🟡 AMARELO</v>
      </c>
      <c r="I366" s="72" t="str">
        <f aca="false">IFERROR(VLOOKUP(C366,$AS$3:$AZ$10,8,FALSE()),IFERROR(VLOOKUP(C366,$AS$15:$AZ$22,8,FALSE()),""))</f>
        <v>Sell Out</v>
      </c>
      <c r="J366" s="73"/>
      <c r="K366" s="69" t="s">
        <v>118</v>
      </c>
      <c r="L366" s="74" t="n">
        <v>2613.68</v>
      </c>
      <c r="M366" s="75" t="n">
        <v>183.67</v>
      </c>
      <c r="N366" s="75" t="n">
        <v>191.93</v>
      </c>
      <c r="O366" s="75" t="n">
        <v>196.56</v>
      </c>
      <c r="P366" s="75" t="n">
        <v>201.68</v>
      </c>
      <c r="Q366" s="75" t="n">
        <v>208.28</v>
      </c>
      <c r="R366" s="75" t="n">
        <v>213.73</v>
      </c>
      <c r="S366" s="75" t="n">
        <v>221.99</v>
      </c>
      <c r="T366" s="75" t="n">
        <v>227.44</v>
      </c>
      <c r="U366" s="75" t="n">
        <v>232.56</v>
      </c>
      <c r="V366" s="75" t="n">
        <v>238.34</v>
      </c>
      <c r="W366" s="75" t="n">
        <v>244.62</v>
      </c>
      <c r="X366" s="76" t="n">
        <v>252.88</v>
      </c>
      <c r="Y366" s="77" t="s">
        <v>20</v>
      </c>
      <c r="Z366" s="78" t="n">
        <f aca="false">SUM(AA366:AL366)</f>
        <v>697.31</v>
      </c>
      <c r="AA366" s="75"/>
      <c r="AB366" s="75"/>
      <c r="AC366" s="75"/>
      <c r="AD366" s="75"/>
      <c r="AE366" s="75"/>
      <c r="AF366" s="75"/>
      <c r="AG366" s="75"/>
      <c r="AH366" s="75"/>
      <c r="AI366" s="75"/>
      <c r="AJ366" s="79" t="n">
        <v>697.31</v>
      </c>
      <c r="AK366" s="75"/>
      <c r="AL366" s="76"/>
      <c r="AM366" s="56" t="s">
        <v>20</v>
      </c>
      <c r="AN366" s="80" t="n">
        <f aca="false">IF(L366=0,0,Z366/L366)</f>
        <v>0.266792415291849</v>
      </c>
      <c r="AO366" s="81" t="str">
        <f aca="false">IF(AN366="","",IF(AN366&gt;=0.9,"🟢",IF(AN366&gt;=0.7,"🟡",IF(AN366&gt;=0.5,"🟠","🔴"))))</f>
        <v>🔴</v>
      </c>
      <c r="AP366" s="82" t="n">
        <f aca="false">IF(L366=0,0,L366-Z366)</f>
        <v>1916.37</v>
      </c>
      <c r="AQ366" s="83" t="n">
        <f aca="false">IF(AP366=0,"",RANK(AP366,AP$4:AP$503,0))</f>
        <v>280</v>
      </c>
      <c r="AR366" s="84" t="s">
        <v>20</v>
      </c>
      <c r="AS366" s="141"/>
      <c r="AT366" s="141"/>
      <c r="AU366" s="141"/>
      <c r="AV366" s="141"/>
      <c r="AW366" s="141"/>
      <c r="AX366" s="141"/>
      <c r="AY366" s="142"/>
      <c r="AZ366" s="142"/>
      <c r="BA366" s="56" t="s">
        <v>20</v>
      </c>
      <c r="BB366" s="91" t="n">
        <f aca="false">SUM(L$4:L$503)/COUNTA(A$4:A$503)</f>
        <v>9494.39992</v>
      </c>
      <c r="BC366" s="92" t="n">
        <f aca="false">SUM(M$4:M$503)/COUNTA(A$4:A$503)</f>
        <v>667.20008</v>
      </c>
      <c r="BD366" s="92" t="n">
        <f aca="false">SUM(N$4:N$503)/COUNTA(A$4:A$503)</f>
        <v>697.19996</v>
      </c>
      <c r="BE366" s="92" t="n">
        <f aca="false">SUM(O$4:O$503)/COUNTA(A$4:A$503)</f>
        <v>713.9999</v>
      </c>
      <c r="BF366" s="92" t="n">
        <f aca="false">SUM(P$4:P$503)/COUNTA(A$4:A$503)</f>
        <v>732.59984</v>
      </c>
      <c r="BG366" s="92" t="n">
        <f aca="false">SUM(Q$4:Q$503)/COUNTA(A$4:A$503)</f>
        <v>756.59992</v>
      </c>
      <c r="BH366" s="92" t="n">
        <f aca="false">SUM(R$4:R$503)/COUNTA(A$4:A$503)</f>
        <v>776.40004</v>
      </c>
      <c r="BI366" s="92" t="n">
        <f aca="false">SUM(S$4:S$503)/COUNTA(A$4:A$503)</f>
        <v>806.40012</v>
      </c>
      <c r="BJ366" s="92" t="n">
        <f aca="false">SUM(T$4:T$503)/COUNTA(A$4:A$503)</f>
        <v>826.1999</v>
      </c>
      <c r="BK366" s="92" t="n">
        <f aca="false">SUM(U$4:U$503)/COUNTA(A$4:A$503)</f>
        <v>844.8002</v>
      </c>
      <c r="BL366" s="92" t="n">
        <f aca="false">SUM(V$4:V$503)/COUNTA(A$4:A$503)</f>
        <v>865.7998</v>
      </c>
      <c r="BM366" s="92" t="n">
        <f aca="false">SUM(W$4:W$503)/COUNTA(A$4:A$503)</f>
        <v>888.59982</v>
      </c>
      <c r="BN366" s="93" t="n">
        <f aca="false">SUM(X$4:X$503)/COUNTA(A$4:A$503)</f>
        <v>918.60034</v>
      </c>
      <c r="BO366" s="94" t="s">
        <v>20</v>
      </c>
      <c r="BP366" s="91" t="n">
        <f aca="false">IF(Z366&gt;=BB366,0,IFERROR(BB366+(SUMPRODUCT((Z$4:Z$503&gt;=BB$4:BB$503)*(Z$4:Z$503-BB$4:BB$503))/MAX(1,COUNTIF(Z$4:Z$503,"&lt;"&amp;BB366+0.01))),BB366))</f>
        <v>10695.5432177778</v>
      </c>
      <c r="BQ366" s="92" t="n">
        <f aca="false">IF(AA366&gt;=BC366,0,IFERROR(BC366+SUMPRODUCT((AA$4:AA$503&gt;=BC$4:BC$503)*(AA$4:AA$503-BC$4:BC$503))/MAX(1,COUNTIF(AA$4:AA$503,"&lt;"&amp;BC366+0.01)),BC366))</f>
        <v>2238.46589176471</v>
      </c>
      <c r="BR366" s="92" t="n">
        <f aca="false">IF(AB366&gt;=BD366,0,IFERROR(BD366+SUMPRODUCT((AB$4:AB$503&gt;=BD$4:BD$503)*(AB$4:AB$503-BD$4:BD$503))/MAX(1,COUNTIF(AB$4:AB$503,"&lt;"&amp;BD366+0.01)),BD366))</f>
        <v>3335.2938</v>
      </c>
      <c r="BS366" s="92" t="n">
        <f aca="false">IF(AC366&gt;=BE366,0,IFERROR(BE366+SUMPRODUCT((AC$4:AC$503&gt;=BE$4:BE$503)*(AC$4:AC$503-BE$4:BE$503))/MAX(1,COUNTIF(AC$4:AC$503,"&lt;"&amp;BE366+0.01)),BE366))</f>
        <v>6188.73352</v>
      </c>
      <c r="BT366" s="92" t="n">
        <f aca="false">IF(AD366&gt;=BF366,0,IFERROR(BF366+SUMPRODUCT((AD$4:AD$503&gt;=BF$4:BF$503)*(AD$4:AD$503-BF$4:BF$503))/MAX(1,COUNTIF(AD$4:AD$503,"&lt;"&amp;BF366+0.01)),BF366))</f>
        <v>11354.35411</v>
      </c>
      <c r="BU366" s="92" t="n">
        <f aca="false">IF(AE366&gt;=BG366,0,IFERROR(BG366+SUMPRODUCT((AE$4:AE$503&gt;=BG$4:BG$503)*(AE$4:AE$503-BG$4:BG$503))/MAX(1,COUNTIF(AE$4:AE$503,"&lt;"&amp;BG366+0.01)),BG366))</f>
        <v>7704.85920380952</v>
      </c>
      <c r="BV366" s="92" t="n">
        <f aca="false">IF(AF366&gt;=BH366,0,IFERROR(BH366+SUMPRODUCT((AF$4:AF$503&gt;=BH$4:BH$503)*(AF$4:AF$503-BH$4:BH$503))/MAX(1,COUNTIF(AF$4:AF$503,"&lt;"&amp;BH366+0.01)),BH366))</f>
        <v>9942.6503831579</v>
      </c>
      <c r="BW366" s="92" t="n">
        <f aca="false">IF(AG366&gt;=BI366,0,IFERROR(BI366+SUMPRODUCT((AG$4:AG$503&gt;=BI$4:BI$503)*(AG$4:AG$503-BI$4:BI$503))/MAX(1,COUNTIF(AG$4:AG$503,"&lt;"&amp;BI366+0.01)),BI366))</f>
        <v>9142.15870461538</v>
      </c>
      <c r="BX366" s="92" t="n">
        <f aca="false">IF(AH366&gt;=BJ366,0,IFERROR(BJ366+SUMPRODUCT((AH$4:AH$503&gt;=BJ$4:BJ$503)*(AH$4:AH$503-BJ$4:BJ$503))/MAX(1,COUNTIF(AH$4:AH$503,"&lt;"&amp;BJ366+0.01)),BJ366))</f>
        <v>5621.50263448276</v>
      </c>
      <c r="BY366" s="92" t="n">
        <f aca="false">IF(AI366&gt;=BK366,0,IFERROR(BK366+SUMPRODUCT((AI$4:AI$503&gt;=BK$4:BK$503)*(AI$4:AI$503-BK$4:BK$503))/MAX(1,COUNTIF(AI$4:AI$503,"&lt;"&amp;BK366+0.01)),BK366))</f>
        <v>7878.25652380952</v>
      </c>
      <c r="BZ366" s="92" t="n">
        <f aca="false">IF(AJ366&gt;=BL366,0,IFERROR(BL366+SUMPRODUCT((AJ$4:AJ$503&gt;=BL$4:BL$503)*(AJ$4:AJ$503-BL$4:BL$503))/MAX(1,COUNTIF(AJ$4:AJ$503,"&lt;"&amp;BL366+0.01)),BL366))</f>
        <v>6710.03292307692</v>
      </c>
      <c r="CA366" s="92" t="n">
        <f aca="false">IF(AK366&gt;=BM366,0,IFERROR(BM366+SUMPRODUCT((AK$4:AK$503&gt;=BM$4:BM$503)*(AK$4:AK$503-BM$4:BM$503))/MAX(1,COUNTIF(AK$4:AK$503,"&lt;"&amp;BM366+0.01)),BM366))</f>
        <v>7314.89836842105</v>
      </c>
      <c r="CB366" s="93" t="n">
        <f aca="false">IF(AL366&gt;=BN366,0,IFERROR(BN366+SUMPRODUCT((AL$4:AL$503&gt;=BN$4:BN$503)*(AL$4:AL$503-BN$4:BN$503))/MAX(1,COUNTIF(AL$4:AL$503,"&lt;"&amp;BN366+0.01)),BN366))</f>
        <v>3597.2614925</v>
      </c>
      <c r="CC366" s="95" t="str">
        <f aca="false">IF(AO366="🟢","VERDE",IF(AO366="🟡","AMARELO",IF(AO366="🟠","VERMELHO",IF(AO366="🔴","VERMELHO","ROXO"))))</f>
        <v>VERMELHO</v>
      </c>
      <c r="CD366" s="96" t="s">
        <v>103</v>
      </c>
      <c r="CE366" s="96" t="s">
        <v>104</v>
      </c>
    </row>
    <row r="367" customFormat="false" ht="14.25" hidden="false" customHeight="true" outlineLevel="0" collapsed="false">
      <c r="A367" s="65" t="s">
        <v>866</v>
      </c>
      <c r="B367" s="66" t="s">
        <v>867</v>
      </c>
      <c r="C367" s="67" t="s">
        <v>149</v>
      </c>
      <c r="D367" s="68" t="s">
        <v>100</v>
      </c>
      <c r="E367" s="69" t="s">
        <v>119</v>
      </c>
      <c r="F367" s="70" t="n">
        <f aca="false">IFERROR(VLOOKUP(C367,$AS$3:$AT$10,2,FALSE()),IFERROR(VLOOKUP(C367,$AS$15:$AT$22,2,FALSE()),""))</f>
        <v>29</v>
      </c>
      <c r="G367" s="71" t="n">
        <f aca="false">IFERROR(VLOOKUP(C367,$AS$3:$AX$10,6,FALSE()),IFERROR(VLOOKUP(C367,$AS$15:$AX$22,6,FALSE()),""))</f>
        <v>0.425845065256079</v>
      </c>
      <c r="H367" s="72" t="str">
        <f aca="false">IFERROR(VLOOKUP(C367,$AS$3:$AY$10,7,FALSE()),IFERROR(VLOOKUP(C367,$AS$15:$AY$22,7,FALSE()),""))</f>
        <v>🟡 AMARELO</v>
      </c>
      <c r="I367" s="72" t="str">
        <f aca="false">IFERROR(VLOOKUP(C367,$AS$3:$AZ$10,8,FALSE()),IFERROR(VLOOKUP(C367,$AS$15:$AZ$22,8,FALSE()),""))</f>
        <v>Sell Out</v>
      </c>
      <c r="J367" s="73"/>
      <c r="K367" s="69" t="s">
        <v>149</v>
      </c>
      <c r="L367" s="74" t="n">
        <v>2601.67</v>
      </c>
      <c r="M367" s="75" t="n">
        <v>182.83</v>
      </c>
      <c r="N367" s="75" t="n">
        <v>191.05</v>
      </c>
      <c r="O367" s="75" t="n">
        <v>195.65</v>
      </c>
      <c r="P367" s="75" t="n">
        <v>200.75</v>
      </c>
      <c r="Q367" s="75" t="n">
        <v>207.32</v>
      </c>
      <c r="R367" s="75" t="n">
        <v>212.75</v>
      </c>
      <c r="S367" s="75" t="n">
        <v>220.97</v>
      </c>
      <c r="T367" s="75" t="n">
        <v>226.4</v>
      </c>
      <c r="U367" s="75" t="n">
        <v>231.49</v>
      </c>
      <c r="V367" s="75" t="n">
        <v>237.25</v>
      </c>
      <c r="W367" s="75" t="n">
        <v>243.49</v>
      </c>
      <c r="X367" s="76" t="n">
        <v>251.72</v>
      </c>
      <c r="Y367" s="77" t="s">
        <v>20</v>
      </c>
      <c r="Z367" s="78" t="n">
        <f aca="false">SUM(AA367:AL367)</f>
        <v>1046.26</v>
      </c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107" t="n">
        <v>1046.26</v>
      </c>
      <c r="AM367" s="56" t="s">
        <v>20</v>
      </c>
      <c r="AN367" s="80" t="n">
        <f aca="false">IF(L367=0,0,Z367/L367)</f>
        <v>0.402149388661898</v>
      </c>
      <c r="AO367" s="81" t="str">
        <f aca="false">IF(AN367="","",IF(AN367&gt;=0.9,"🟢",IF(AN367&gt;=0.7,"🟡",IF(AN367&gt;=0.5,"🟠","🔴"))))</f>
        <v>🔴</v>
      </c>
      <c r="AP367" s="82" t="n">
        <f aca="false">IF(L367=0,0,L367-Z367)</f>
        <v>1555.41</v>
      </c>
      <c r="AQ367" s="83" t="n">
        <f aca="false">IF(AP367=0,"",RANK(AP367,AP$4:AP$503,0))</f>
        <v>320</v>
      </c>
      <c r="AR367" s="84" t="s">
        <v>20</v>
      </c>
      <c r="AS367" s="141"/>
      <c r="AT367" s="141"/>
      <c r="AU367" s="141"/>
      <c r="AV367" s="141"/>
      <c r="AW367" s="141"/>
      <c r="AX367" s="141"/>
      <c r="AY367" s="142"/>
      <c r="AZ367" s="142"/>
      <c r="BA367" s="56" t="s">
        <v>20</v>
      </c>
      <c r="BB367" s="91" t="n">
        <f aca="false">SUM(L$4:L$503)/COUNTA(A$4:A$503)</f>
        <v>9494.39992</v>
      </c>
      <c r="BC367" s="92" t="n">
        <f aca="false">SUM(M$4:M$503)/COUNTA(A$4:A$503)</f>
        <v>667.20008</v>
      </c>
      <c r="BD367" s="92" t="n">
        <f aca="false">SUM(N$4:N$503)/COUNTA(A$4:A$503)</f>
        <v>697.19996</v>
      </c>
      <c r="BE367" s="92" t="n">
        <f aca="false">SUM(O$4:O$503)/COUNTA(A$4:A$503)</f>
        <v>713.9999</v>
      </c>
      <c r="BF367" s="92" t="n">
        <f aca="false">SUM(P$4:P$503)/COUNTA(A$4:A$503)</f>
        <v>732.59984</v>
      </c>
      <c r="BG367" s="92" t="n">
        <f aca="false">SUM(Q$4:Q$503)/COUNTA(A$4:A$503)</f>
        <v>756.59992</v>
      </c>
      <c r="BH367" s="92" t="n">
        <f aca="false">SUM(R$4:R$503)/COUNTA(A$4:A$503)</f>
        <v>776.40004</v>
      </c>
      <c r="BI367" s="92" t="n">
        <f aca="false">SUM(S$4:S$503)/COUNTA(A$4:A$503)</f>
        <v>806.40012</v>
      </c>
      <c r="BJ367" s="92" t="n">
        <f aca="false">SUM(T$4:T$503)/COUNTA(A$4:A$503)</f>
        <v>826.1999</v>
      </c>
      <c r="BK367" s="92" t="n">
        <f aca="false">SUM(U$4:U$503)/COUNTA(A$4:A$503)</f>
        <v>844.8002</v>
      </c>
      <c r="BL367" s="92" t="n">
        <f aca="false">SUM(V$4:V$503)/COUNTA(A$4:A$503)</f>
        <v>865.7998</v>
      </c>
      <c r="BM367" s="92" t="n">
        <f aca="false">SUM(W$4:W$503)/COUNTA(A$4:A$503)</f>
        <v>888.59982</v>
      </c>
      <c r="BN367" s="93" t="n">
        <f aca="false">SUM(X$4:X$503)/COUNTA(A$4:A$503)</f>
        <v>918.60034</v>
      </c>
      <c r="BO367" s="94" t="s">
        <v>20</v>
      </c>
      <c r="BP367" s="91" t="n">
        <f aca="false">IF(Z367&gt;=BB367,0,IFERROR(BB367+(SUMPRODUCT((Z$4:Z$503&gt;=BB$4:BB$503)*(Z$4:Z$503-BB$4:BB$503))/MAX(1,COUNTIF(Z$4:Z$503,"&lt;"&amp;BB367+0.01))),BB367))</f>
        <v>10695.5432177778</v>
      </c>
      <c r="BQ367" s="92" t="n">
        <f aca="false">IF(AA367&gt;=BC367,0,IFERROR(BC367+SUMPRODUCT((AA$4:AA$503&gt;=BC$4:BC$503)*(AA$4:AA$503-BC$4:BC$503))/MAX(1,COUNTIF(AA$4:AA$503,"&lt;"&amp;BC367+0.01)),BC367))</f>
        <v>2238.46589176471</v>
      </c>
      <c r="BR367" s="92" t="n">
        <f aca="false">IF(AB367&gt;=BD367,0,IFERROR(BD367+SUMPRODUCT((AB$4:AB$503&gt;=BD$4:BD$503)*(AB$4:AB$503-BD$4:BD$503))/MAX(1,COUNTIF(AB$4:AB$503,"&lt;"&amp;BD367+0.01)),BD367))</f>
        <v>3335.2938</v>
      </c>
      <c r="BS367" s="92" t="n">
        <f aca="false">IF(AC367&gt;=BE367,0,IFERROR(BE367+SUMPRODUCT((AC$4:AC$503&gt;=BE$4:BE$503)*(AC$4:AC$503-BE$4:BE$503))/MAX(1,COUNTIF(AC$4:AC$503,"&lt;"&amp;BE367+0.01)),BE367))</f>
        <v>6188.73352</v>
      </c>
      <c r="BT367" s="92" t="n">
        <f aca="false">IF(AD367&gt;=BF367,0,IFERROR(BF367+SUMPRODUCT((AD$4:AD$503&gt;=BF$4:BF$503)*(AD$4:AD$503-BF$4:BF$503))/MAX(1,COUNTIF(AD$4:AD$503,"&lt;"&amp;BF367+0.01)),BF367))</f>
        <v>11354.35411</v>
      </c>
      <c r="BU367" s="92" t="n">
        <f aca="false">IF(AE367&gt;=BG367,0,IFERROR(BG367+SUMPRODUCT((AE$4:AE$503&gt;=BG$4:BG$503)*(AE$4:AE$503-BG$4:BG$503))/MAX(1,COUNTIF(AE$4:AE$503,"&lt;"&amp;BG367+0.01)),BG367))</f>
        <v>7704.85920380952</v>
      </c>
      <c r="BV367" s="92" t="n">
        <f aca="false">IF(AF367&gt;=BH367,0,IFERROR(BH367+SUMPRODUCT((AF$4:AF$503&gt;=BH$4:BH$503)*(AF$4:AF$503-BH$4:BH$503))/MAX(1,COUNTIF(AF$4:AF$503,"&lt;"&amp;BH367+0.01)),BH367))</f>
        <v>9942.6503831579</v>
      </c>
      <c r="BW367" s="92" t="n">
        <f aca="false">IF(AG367&gt;=BI367,0,IFERROR(BI367+SUMPRODUCT((AG$4:AG$503&gt;=BI$4:BI$503)*(AG$4:AG$503-BI$4:BI$503))/MAX(1,COUNTIF(AG$4:AG$503,"&lt;"&amp;BI367+0.01)),BI367))</f>
        <v>9142.15870461538</v>
      </c>
      <c r="BX367" s="92" t="n">
        <f aca="false">IF(AH367&gt;=BJ367,0,IFERROR(BJ367+SUMPRODUCT((AH$4:AH$503&gt;=BJ$4:BJ$503)*(AH$4:AH$503-BJ$4:BJ$503))/MAX(1,COUNTIF(AH$4:AH$503,"&lt;"&amp;BJ367+0.01)),BJ367))</f>
        <v>5621.50263448276</v>
      </c>
      <c r="BY367" s="92" t="n">
        <f aca="false">IF(AI367&gt;=BK367,0,IFERROR(BK367+SUMPRODUCT((AI$4:AI$503&gt;=BK$4:BK$503)*(AI$4:AI$503-BK$4:BK$503))/MAX(1,COUNTIF(AI$4:AI$503,"&lt;"&amp;BK367+0.01)),BK367))</f>
        <v>7878.25652380952</v>
      </c>
      <c r="BZ367" s="92" t="n">
        <f aca="false">IF(AJ367&gt;=BL367,0,IFERROR(BL367+SUMPRODUCT((AJ$4:AJ$503&gt;=BL$4:BL$503)*(AJ$4:AJ$503-BL$4:BL$503))/MAX(1,COUNTIF(AJ$4:AJ$503,"&lt;"&amp;BL367+0.01)),BL367))</f>
        <v>6710.03292307692</v>
      </c>
      <c r="CA367" s="92" t="n">
        <f aca="false">IF(AK367&gt;=BM367,0,IFERROR(BM367+SUMPRODUCT((AK$4:AK$503&gt;=BM$4:BM$503)*(AK$4:AK$503-BM$4:BM$503))/MAX(1,COUNTIF(AK$4:AK$503,"&lt;"&amp;BM367+0.01)),BM367))</f>
        <v>7314.89836842105</v>
      </c>
      <c r="CB367" s="93" t="n">
        <f aca="false">IF(AL367&gt;=BN367,0,IFERROR(BN367+SUMPRODUCT((AL$4:AL$503&gt;=BN$4:BN$503)*(AL$4:AL$503-BN$4:BN$503))/MAX(1,COUNTIF(AL$4:AL$503,"&lt;"&amp;BN367+0.01)),BN367))</f>
        <v>0</v>
      </c>
      <c r="CC367" s="95" t="str">
        <f aca="false">IF(AO367="🟢","VERDE",IF(AO367="🟡","AMARELO",IF(AO367="🟠","VERMELHO",IF(AO367="🔴","VERMELHO","ROXO"))))</f>
        <v>VERMELHO</v>
      </c>
      <c r="CD367" s="96" t="s">
        <v>103</v>
      </c>
      <c r="CE367" s="96" t="s">
        <v>104</v>
      </c>
    </row>
    <row r="368" customFormat="false" ht="14.25" hidden="false" customHeight="true" outlineLevel="0" collapsed="false">
      <c r="A368" s="65" t="s">
        <v>868</v>
      </c>
      <c r="B368" s="66" t="s">
        <v>869</v>
      </c>
      <c r="C368" s="67" t="s">
        <v>118</v>
      </c>
      <c r="D368" s="68" t="s">
        <v>100</v>
      </c>
      <c r="E368" s="69" t="s">
        <v>119</v>
      </c>
      <c r="F368" s="70" t="n">
        <f aca="false">IFERROR(VLOOKUP(C368,$AS$3:$AT$10,2,FALSE()),IFERROR(VLOOKUP(C368,$AS$15:$AT$22,2,FALSE()),""))</f>
        <v>42</v>
      </c>
      <c r="G368" s="71" t="n">
        <f aca="false">IFERROR(VLOOKUP(C368,$AS$3:$AX$10,6,FALSE()),IFERROR(VLOOKUP(C368,$AS$15:$AX$22,6,FALSE()),""))</f>
        <v>0.424872083346704</v>
      </c>
      <c r="H368" s="72" t="str">
        <f aca="false">IFERROR(VLOOKUP(C368,$AS$3:$AY$10,7,FALSE()),IFERROR(VLOOKUP(C368,$AS$15:$AY$22,7,FALSE()),""))</f>
        <v>🟡 AMARELO</v>
      </c>
      <c r="I368" s="72" t="str">
        <f aca="false">IFERROR(VLOOKUP(C368,$AS$3:$AZ$10,8,FALSE()),IFERROR(VLOOKUP(C368,$AS$15:$AZ$22,8,FALSE()),""))</f>
        <v>Sell Out</v>
      </c>
      <c r="J368" s="73"/>
      <c r="K368" s="69" t="s">
        <v>118</v>
      </c>
      <c r="L368" s="74" t="n">
        <v>2588.59</v>
      </c>
      <c r="M368" s="75" t="n">
        <v>181.91</v>
      </c>
      <c r="N368" s="75" t="n">
        <v>190.09</v>
      </c>
      <c r="O368" s="75" t="n">
        <v>194.67</v>
      </c>
      <c r="P368" s="75" t="n">
        <v>199.74</v>
      </c>
      <c r="Q368" s="75" t="n">
        <v>206.28</v>
      </c>
      <c r="R368" s="75" t="n">
        <v>211.68</v>
      </c>
      <c r="S368" s="75" t="n">
        <v>219.86</v>
      </c>
      <c r="T368" s="75" t="n">
        <v>225.26</v>
      </c>
      <c r="U368" s="75" t="n">
        <v>230.33</v>
      </c>
      <c r="V368" s="75" t="n">
        <v>236.05</v>
      </c>
      <c r="W368" s="75" t="n">
        <v>242.27</v>
      </c>
      <c r="X368" s="76" t="n">
        <v>250.45</v>
      </c>
      <c r="Y368" s="77" t="s">
        <v>20</v>
      </c>
      <c r="Z368" s="78" t="n">
        <f aca="false">SUM(AA368:AL368)</f>
        <v>1041</v>
      </c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107" t="n">
        <v>1041</v>
      </c>
      <c r="AM368" s="56" t="s">
        <v>20</v>
      </c>
      <c r="AN368" s="80" t="n">
        <f aca="false">IF(L368=0,0,Z368/L368)</f>
        <v>0.402149432702746</v>
      </c>
      <c r="AO368" s="81" t="str">
        <f aca="false">IF(AN368="","",IF(AN368&gt;=0.9,"🟢",IF(AN368&gt;=0.7,"🟡",IF(AN368&gt;=0.5,"🟠","🔴"))))</f>
        <v>🔴</v>
      </c>
      <c r="AP368" s="82" t="n">
        <f aca="false">IF(L368=0,0,L368-Z368)</f>
        <v>1547.59</v>
      </c>
      <c r="AQ368" s="83" t="n">
        <f aca="false">IF(AP368=0,"",RANK(AP368,AP$4:AP$503,0))</f>
        <v>321</v>
      </c>
      <c r="AR368" s="84" t="s">
        <v>20</v>
      </c>
      <c r="AS368" s="141"/>
      <c r="AT368" s="141"/>
      <c r="AU368" s="141"/>
      <c r="AV368" s="141"/>
      <c r="AW368" s="141"/>
      <c r="AX368" s="141"/>
      <c r="AY368" s="142"/>
      <c r="AZ368" s="142"/>
      <c r="BA368" s="56" t="s">
        <v>20</v>
      </c>
      <c r="BB368" s="91" t="n">
        <f aca="false">SUM(L$4:L$503)/COUNTA(A$4:A$503)</f>
        <v>9494.39992</v>
      </c>
      <c r="BC368" s="92" t="n">
        <f aca="false">SUM(M$4:M$503)/COUNTA(A$4:A$503)</f>
        <v>667.20008</v>
      </c>
      <c r="BD368" s="92" t="n">
        <f aca="false">SUM(N$4:N$503)/COUNTA(A$4:A$503)</f>
        <v>697.19996</v>
      </c>
      <c r="BE368" s="92" t="n">
        <f aca="false">SUM(O$4:O$503)/COUNTA(A$4:A$503)</f>
        <v>713.9999</v>
      </c>
      <c r="BF368" s="92" t="n">
        <f aca="false">SUM(P$4:P$503)/COUNTA(A$4:A$503)</f>
        <v>732.59984</v>
      </c>
      <c r="BG368" s="92" t="n">
        <f aca="false">SUM(Q$4:Q$503)/COUNTA(A$4:A$503)</f>
        <v>756.59992</v>
      </c>
      <c r="BH368" s="92" t="n">
        <f aca="false">SUM(R$4:R$503)/COUNTA(A$4:A$503)</f>
        <v>776.40004</v>
      </c>
      <c r="BI368" s="92" t="n">
        <f aca="false">SUM(S$4:S$503)/COUNTA(A$4:A$503)</f>
        <v>806.40012</v>
      </c>
      <c r="BJ368" s="92" t="n">
        <f aca="false">SUM(T$4:T$503)/COUNTA(A$4:A$503)</f>
        <v>826.1999</v>
      </c>
      <c r="BK368" s="92" t="n">
        <f aca="false">SUM(U$4:U$503)/COUNTA(A$4:A$503)</f>
        <v>844.8002</v>
      </c>
      <c r="BL368" s="92" t="n">
        <f aca="false">SUM(V$4:V$503)/COUNTA(A$4:A$503)</f>
        <v>865.7998</v>
      </c>
      <c r="BM368" s="92" t="n">
        <f aca="false">SUM(W$4:W$503)/COUNTA(A$4:A$503)</f>
        <v>888.59982</v>
      </c>
      <c r="BN368" s="93" t="n">
        <f aca="false">SUM(X$4:X$503)/COUNTA(A$4:A$503)</f>
        <v>918.60034</v>
      </c>
      <c r="BO368" s="94" t="s">
        <v>20</v>
      </c>
      <c r="BP368" s="91" t="n">
        <f aca="false">IF(Z368&gt;=BB368,0,IFERROR(BB368+(SUMPRODUCT((Z$4:Z$503&gt;=BB$4:BB$503)*(Z$4:Z$503-BB$4:BB$503))/MAX(1,COUNTIF(Z$4:Z$503,"&lt;"&amp;BB368+0.01))),BB368))</f>
        <v>10695.5432177778</v>
      </c>
      <c r="BQ368" s="92" t="n">
        <f aca="false">IF(AA368&gt;=BC368,0,IFERROR(BC368+SUMPRODUCT((AA$4:AA$503&gt;=BC$4:BC$503)*(AA$4:AA$503-BC$4:BC$503))/MAX(1,COUNTIF(AA$4:AA$503,"&lt;"&amp;BC368+0.01)),BC368))</f>
        <v>2238.46589176471</v>
      </c>
      <c r="BR368" s="92" t="n">
        <f aca="false">IF(AB368&gt;=BD368,0,IFERROR(BD368+SUMPRODUCT((AB$4:AB$503&gt;=BD$4:BD$503)*(AB$4:AB$503-BD$4:BD$503))/MAX(1,COUNTIF(AB$4:AB$503,"&lt;"&amp;BD368+0.01)),BD368))</f>
        <v>3335.2938</v>
      </c>
      <c r="BS368" s="92" t="n">
        <f aca="false">IF(AC368&gt;=BE368,0,IFERROR(BE368+SUMPRODUCT((AC$4:AC$503&gt;=BE$4:BE$503)*(AC$4:AC$503-BE$4:BE$503))/MAX(1,COUNTIF(AC$4:AC$503,"&lt;"&amp;BE368+0.01)),BE368))</f>
        <v>6188.73352</v>
      </c>
      <c r="BT368" s="92" t="n">
        <f aca="false">IF(AD368&gt;=BF368,0,IFERROR(BF368+SUMPRODUCT((AD$4:AD$503&gt;=BF$4:BF$503)*(AD$4:AD$503-BF$4:BF$503))/MAX(1,COUNTIF(AD$4:AD$503,"&lt;"&amp;BF368+0.01)),BF368))</f>
        <v>11354.35411</v>
      </c>
      <c r="BU368" s="92" t="n">
        <f aca="false">IF(AE368&gt;=BG368,0,IFERROR(BG368+SUMPRODUCT((AE$4:AE$503&gt;=BG$4:BG$503)*(AE$4:AE$503-BG$4:BG$503))/MAX(1,COUNTIF(AE$4:AE$503,"&lt;"&amp;BG368+0.01)),BG368))</f>
        <v>7704.85920380952</v>
      </c>
      <c r="BV368" s="92" t="n">
        <f aca="false">IF(AF368&gt;=BH368,0,IFERROR(BH368+SUMPRODUCT((AF$4:AF$503&gt;=BH$4:BH$503)*(AF$4:AF$503-BH$4:BH$503))/MAX(1,COUNTIF(AF$4:AF$503,"&lt;"&amp;BH368+0.01)),BH368))</f>
        <v>9942.6503831579</v>
      </c>
      <c r="BW368" s="92" t="n">
        <f aca="false">IF(AG368&gt;=BI368,0,IFERROR(BI368+SUMPRODUCT((AG$4:AG$503&gt;=BI$4:BI$503)*(AG$4:AG$503-BI$4:BI$503))/MAX(1,COUNTIF(AG$4:AG$503,"&lt;"&amp;BI368+0.01)),BI368))</f>
        <v>9142.15870461538</v>
      </c>
      <c r="BX368" s="92" t="n">
        <f aca="false">IF(AH368&gt;=BJ368,0,IFERROR(BJ368+SUMPRODUCT((AH$4:AH$503&gt;=BJ$4:BJ$503)*(AH$4:AH$503-BJ$4:BJ$503))/MAX(1,COUNTIF(AH$4:AH$503,"&lt;"&amp;BJ368+0.01)),BJ368))</f>
        <v>5621.50263448276</v>
      </c>
      <c r="BY368" s="92" t="n">
        <f aca="false">IF(AI368&gt;=BK368,0,IFERROR(BK368+SUMPRODUCT((AI$4:AI$503&gt;=BK$4:BK$503)*(AI$4:AI$503-BK$4:BK$503))/MAX(1,COUNTIF(AI$4:AI$503,"&lt;"&amp;BK368+0.01)),BK368))</f>
        <v>7878.25652380952</v>
      </c>
      <c r="BZ368" s="92" t="n">
        <f aca="false">IF(AJ368&gt;=BL368,0,IFERROR(BL368+SUMPRODUCT((AJ$4:AJ$503&gt;=BL$4:BL$503)*(AJ$4:AJ$503-BL$4:BL$503))/MAX(1,COUNTIF(AJ$4:AJ$503,"&lt;"&amp;BL368+0.01)),BL368))</f>
        <v>6710.03292307692</v>
      </c>
      <c r="CA368" s="92" t="n">
        <f aca="false">IF(AK368&gt;=BM368,0,IFERROR(BM368+SUMPRODUCT((AK$4:AK$503&gt;=BM$4:BM$503)*(AK$4:AK$503-BM$4:BM$503))/MAX(1,COUNTIF(AK$4:AK$503,"&lt;"&amp;BM368+0.01)),BM368))</f>
        <v>7314.89836842105</v>
      </c>
      <c r="CB368" s="93" t="n">
        <f aca="false">IF(AL368&gt;=BN368,0,IFERROR(BN368+SUMPRODUCT((AL$4:AL$503&gt;=BN$4:BN$503)*(AL$4:AL$503-BN$4:BN$503))/MAX(1,COUNTIF(AL$4:AL$503,"&lt;"&amp;BN368+0.01)),BN368))</f>
        <v>0</v>
      </c>
      <c r="CC368" s="95" t="str">
        <f aca="false">IF(AO368="🟢","VERDE",IF(AO368="🟡","AMARELO",IF(AO368="🟠","VERMELHO",IF(AO368="🔴","VERMELHO","ROXO"))))</f>
        <v>VERMELHO</v>
      </c>
      <c r="CD368" s="96" t="s">
        <v>103</v>
      </c>
      <c r="CE368" s="96" t="s">
        <v>104</v>
      </c>
    </row>
    <row r="369" customFormat="false" ht="14.25" hidden="false" customHeight="true" outlineLevel="0" collapsed="false">
      <c r="A369" s="65" t="s">
        <v>870</v>
      </c>
      <c r="B369" s="66" t="s">
        <v>871</v>
      </c>
      <c r="C369" s="66" t="s">
        <v>102</v>
      </c>
      <c r="D369" s="68" t="s">
        <v>175</v>
      </c>
      <c r="E369" s="69" t="s">
        <v>139</v>
      </c>
      <c r="F369" s="70" t="n">
        <f aca="false">IFERROR(VLOOKUP(C369,$AS$3:$AT$10,2,FALSE()),IFERROR(VLOOKUP(C369,$AS$15:$AT$22,2,FALSE()),""))</f>
        <v>21</v>
      </c>
      <c r="G369" s="71" t="n">
        <f aca="false">IFERROR(VLOOKUP(C369,$AS$3:$AX$10,6,FALSE()),IFERROR(VLOOKUP(C369,$AS$15:$AX$22,6,FALSE()),""))</f>
        <v>0.491514556258592</v>
      </c>
      <c r="H369" s="72" t="str">
        <f aca="false">IFERROR(VLOOKUP(C369,$AS$3:$AY$10,7,FALSE()),IFERROR(VLOOKUP(C369,$AS$15:$AY$22,7,FALSE()),""))</f>
        <v>🟡 AMARELO</v>
      </c>
      <c r="I369" s="72" t="str">
        <f aca="false">IFERROR(VLOOKUP(C369,$AS$3:$AZ$10,8,FALSE()),IFERROR(VLOOKUP(C369,$AS$15:$AZ$22,8,FALSE()),""))</f>
        <v>Sell Out</v>
      </c>
      <c r="J369" s="73"/>
      <c r="K369" s="69" t="s">
        <v>107</v>
      </c>
      <c r="L369" s="74" t="n">
        <v>2570.53</v>
      </c>
      <c r="M369" s="75" t="n">
        <v>180.64</v>
      </c>
      <c r="N369" s="75" t="n">
        <v>188.76</v>
      </c>
      <c r="O369" s="75" t="n">
        <v>193.31</v>
      </c>
      <c r="P369" s="75" t="n">
        <v>198.35</v>
      </c>
      <c r="Q369" s="75" t="n">
        <v>204.84</v>
      </c>
      <c r="R369" s="75" t="n">
        <v>210.2</v>
      </c>
      <c r="S369" s="75" t="n">
        <v>218.33</v>
      </c>
      <c r="T369" s="75" t="n">
        <v>223.69</v>
      </c>
      <c r="U369" s="75" t="n">
        <v>228.72</v>
      </c>
      <c r="V369" s="75" t="n">
        <v>234.41</v>
      </c>
      <c r="W369" s="75" t="n">
        <v>240.58</v>
      </c>
      <c r="X369" s="76" t="n">
        <v>248.7</v>
      </c>
      <c r="Y369" s="77" t="s">
        <v>20</v>
      </c>
      <c r="Z369" s="78" t="n">
        <f aca="false">SUM(AA369:AL369)</f>
        <v>2094.29</v>
      </c>
      <c r="AA369" s="75"/>
      <c r="AB369" s="75"/>
      <c r="AC369" s="75"/>
      <c r="AD369" s="75"/>
      <c r="AE369" s="75"/>
      <c r="AF369" s="75"/>
      <c r="AG369" s="75"/>
      <c r="AH369" s="75"/>
      <c r="AI369" s="75"/>
      <c r="AJ369" s="75" t="n">
        <v>1060.55</v>
      </c>
      <c r="AK369" s="79" t="n">
        <v>1033.74</v>
      </c>
      <c r="AL369" s="76"/>
      <c r="AM369" s="56" t="s">
        <v>20</v>
      </c>
      <c r="AN369" s="80" t="n">
        <f aca="false">IF(L369=0,0,Z369/L369)</f>
        <v>0.814730814267875</v>
      </c>
      <c r="AO369" s="81" t="str">
        <f aca="false">IF(AN369="","",IF(AN369&gt;=0.9,"🟢",IF(AN369&gt;=0.7,"🟡",IF(AN369&gt;=0.5,"🟠","🔴"))))</f>
        <v>🟡</v>
      </c>
      <c r="AP369" s="82" t="n">
        <f aca="false">IF(L369=0,0,L369-Z369)</f>
        <v>476.24</v>
      </c>
      <c r="AQ369" s="83" t="n">
        <f aca="false">IF(AP369=0,"",RANK(AP369,AP$4:AP$503,0))</f>
        <v>455</v>
      </c>
      <c r="AR369" s="84" t="s">
        <v>20</v>
      </c>
      <c r="AS369" s="141"/>
      <c r="AT369" s="141"/>
      <c r="AU369" s="141"/>
      <c r="AV369" s="141"/>
      <c r="AW369" s="141"/>
      <c r="AX369" s="141"/>
      <c r="AY369" s="142"/>
      <c r="AZ369" s="142"/>
      <c r="BA369" s="56" t="s">
        <v>20</v>
      </c>
      <c r="BB369" s="91" t="n">
        <f aca="false">SUM(L$4:L$503)/COUNTA(A$4:A$503)</f>
        <v>9494.39992</v>
      </c>
      <c r="BC369" s="92" t="n">
        <f aca="false">SUM(M$4:M$503)/COUNTA(A$4:A$503)</f>
        <v>667.20008</v>
      </c>
      <c r="BD369" s="92" t="n">
        <f aca="false">SUM(N$4:N$503)/COUNTA(A$4:A$503)</f>
        <v>697.19996</v>
      </c>
      <c r="BE369" s="92" t="n">
        <f aca="false">SUM(O$4:O$503)/COUNTA(A$4:A$503)</f>
        <v>713.9999</v>
      </c>
      <c r="BF369" s="92" t="n">
        <f aca="false">SUM(P$4:P$503)/COUNTA(A$4:A$503)</f>
        <v>732.59984</v>
      </c>
      <c r="BG369" s="92" t="n">
        <f aca="false">SUM(Q$4:Q$503)/COUNTA(A$4:A$503)</f>
        <v>756.59992</v>
      </c>
      <c r="BH369" s="92" t="n">
        <f aca="false">SUM(R$4:R$503)/COUNTA(A$4:A$503)</f>
        <v>776.40004</v>
      </c>
      <c r="BI369" s="92" t="n">
        <f aca="false">SUM(S$4:S$503)/COUNTA(A$4:A$503)</f>
        <v>806.40012</v>
      </c>
      <c r="BJ369" s="92" t="n">
        <f aca="false">SUM(T$4:T$503)/COUNTA(A$4:A$503)</f>
        <v>826.1999</v>
      </c>
      <c r="BK369" s="92" t="n">
        <f aca="false">SUM(U$4:U$503)/COUNTA(A$4:A$503)</f>
        <v>844.8002</v>
      </c>
      <c r="BL369" s="92" t="n">
        <f aca="false">SUM(V$4:V$503)/COUNTA(A$4:A$503)</f>
        <v>865.7998</v>
      </c>
      <c r="BM369" s="92" t="n">
        <f aca="false">SUM(W$4:W$503)/COUNTA(A$4:A$503)</f>
        <v>888.59982</v>
      </c>
      <c r="BN369" s="93" t="n">
        <f aca="false">SUM(X$4:X$503)/COUNTA(A$4:A$503)</f>
        <v>918.60034</v>
      </c>
      <c r="BO369" s="94" t="s">
        <v>20</v>
      </c>
      <c r="BP369" s="91" t="n">
        <f aca="false">IF(Z369&gt;=BB369,0,IFERROR(BB369+(SUMPRODUCT((Z$4:Z$503&gt;=BB$4:BB$503)*(Z$4:Z$503-BB$4:BB$503))/MAX(1,COUNTIF(Z$4:Z$503,"&lt;"&amp;BB369+0.01))),BB369))</f>
        <v>10695.5432177778</v>
      </c>
      <c r="BQ369" s="92" t="n">
        <f aca="false">IF(AA369&gt;=BC369,0,IFERROR(BC369+SUMPRODUCT((AA$4:AA$503&gt;=BC$4:BC$503)*(AA$4:AA$503-BC$4:BC$503))/MAX(1,COUNTIF(AA$4:AA$503,"&lt;"&amp;BC369+0.01)),BC369))</f>
        <v>2238.46589176471</v>
      </c>
      <c r="BR369" s="92" t="n">
        <f aca="false">IF(AB369&gt;=BD369,0,IFERROR(BD369+SUMPRODUCT((AB$4:AB$503&gt;=BD$4:BD$503)*(AB$4:AB$503-BD$4:BD$503))/MAX(1,COUNTIF(AB$4:AB$503,"&lt;"&amp;BD369+0.01)),BD369))</f>
        <v>3335.2938</v>
      </c>
      <c r="BS369" s="92" t="n">
        <f aca="false">IF(AC369&gt;=BE369,0,IFERROR(BE369+SUMPRODUCT((AC$4:AC$503&gt;=BE$4:BE$503)*(AC$4:AC$503-BE$4:BE$503))/MAX(1,COUNTIF(AC$4:AC$503,"&lt;"&amp;BE369+0.01)),BE369))</f>
        <v>6188.73352</v>
      </c>
      <c r="BT369" s="92" t="n">
        <f aca="false">IF(AD369&gt;=BF369,0,IFERROR(BF369+SUMPRODUCT((AD$4:AD$503&gt;=BF$4:BF$503)*(AD$4:AD$503-BF$4:BF$503))/MAX(1,COUNTIF(AD$4:AD$503,"&lt;"&amp;BF369+0.01)),BF369))</f>
        <v>11354.35411</v>
      </c>
      <c r="BU369" s="92" t="n">
        <f aca="false">IF(AE369&gt;=BG369,0,IFERROR(BG369+SUMPRODUCT((AE$4:AE$503&gt;=BG$4:BG$503)*(AE$4:AE$503-BG$4:BG$503))/MAX(1,COUNTIF(AE$4:AE$503,"&lt;"&amp;BG369+0.01)),BG369))</f>
        <v>7704.85920380952</v>
      </c>
      <c r="BV369" s="92" t="n">
        <f aca="false">IF(AF369&gt;=BH369,0,IFERROR(BH369+SUMPRODUCT((AF$4:AF$503&gt;=BH$4:BH$503)*(AF$4:AF$503-BH$4:BH$503))/MAX(1,COUNTIF(AF$4:AF$503,"&lt;"&amp;BH369+0.01)),BH369))</f>
        <v>9942.6503831579</v>
      </c>
      <c r="BW369" s="92" t="n">
        <f aca="false">IF(AG369&gt;=BI369,0,IFERROR(BI369+SUMPRODUCT((AG$4:AG$503&gt;=BI$4:BI$503)*(AG$4:AG$503-BI$4:BI$503))/MAX(1,COUNTIF(AG$4:AG$503,"&lt;"&amp;BI369+0.01)),BI369))</f>
        <v>9142.15870461538</v>
      </c>
      <c r="BX369" s="92" t="n">
        <f aca="false">IF(AH369&gt;=BJ369,0,IFERROR(BJ369+SUMPRODUCT((AH$4:AH$503&gt;=BJ$4:BJ$503)*(AH$4:AH$503-BJ$4:BJ$503))/MAX(1,COUNTIF(AH$4:AH$503,"&lt;"&amp;BJ369+0.01)),BJ369))</f>
        <v>5621.50263448276</v>
      </c>
      <c r="BY369" s="92" t="n">
        <f aca="false">IF(AI369&gt;=BK369,0,IFERROR(BK369+SUMPRODUCT((AI$4:AI$503&gt;=BK$4:BK$503)*(AI$4:AI$503-BK$4:BK$503))/MAX(1,COUNTIF(AI$4:AI$503,"&lt;"&amp;BK369+0.01)),BK369))</f>
        <v>7878.25652380952</v>
      </c>
      <c r="BZ369" s="92" t="n">
        <f aca="false">IF(AJ369&gt;=BL369,0,IFERROR(BL369+SUMPRODUCT((AJ$4:AJ$503&gt;=BL$4:BL$503)*(AJ$4:AJ$503-BL$4:BL$503))/MAX(1,COUNTIF(AJ$4:AJ$503,"&lt;"&amp;BL369+0.01)),BL369))</f>
        <v>0</v>
      </c>
      <c r="CA369" s="92" t="n">
        <f aca="false">IF(AK369&gt;=BM369,0,IFERROR(BM369+SUMPRODUCT((AK$4:AK$503&gt;=BM$4:BM$503)*(AK$4:AK$503-BM$4:BM$503))/MAX(1,COUNTIF(AK$4:AK$503,"&lt;"&amp;BM369+0.01)),BM369))</f>
        <v>0</v>
      </c>
      <c r="CB369" s="93" t="n">
        <f aca="false">IF(AL369&gt;=BN369,0,IFERROR(BN369+SUMPRODUCT((AL$4:AL$503&gt;=BN$4:BN$503)*(AL$4:AL$503-BN$4:BN$503))/MAX(1,COUNTIF(AL$4:AL$503,"&lt;"&amp;BN369+0.01)),BN369))</f>
        <v>3597.2614925</v>
      </c>
      <c r="CC369" s="95" t="str">
        <f aca="false">IF(AO369="🟢","VERDE",IF(AO369="🟡","AMARELO",IF(AO369="🟠","VERMELHO",IF(AO369="🔴","VERMELHO","ROXO"))))</f>
        <v>AMARELO</v>
      </c>
      <c r="CD369" s="96" t="s">
        <v>176</v>
      </c>
      <c r="CE369" s="96" t="s">
        <v>102</v>
      </c>
    </row>
    <row r="370" customFormat="false" ht="14.25" hidden="false" customHeight="true" outlineLevel="0" collapsed="false">
      <c r="A370" s="65" t="s">
        <v>872</v>
      </c>
      <c r="B370" s="66" t="s">
        <v>873</v>
      </c>
      <c r="C370" s="67" t="s">
        <v>107</v>
      </c>
      <c r="D370" s="68" t="s">
        <v>108</v>
      </c>
      <c r="E370" s="69" t="s">
        <v>139</v>
      </c>
      <c r="F370" s="70" t="n">
        <f aca="false">IFERROR(VLOOKUP(C370,$AS$3:$AT$10,2,FALSE()),IFERROR(VLOOKUP(C370,$AS$15:$AT$22,2,FALSE()),""))</f>
        <v>132</v>
      </c>
      <c r="G370" s="71" t="n">
        <f aca="false">IFERROR(VLOOKUP(C370,$AS$3:$AX$10,6,FALSE()),IFERROR(VLOOKUP(C370,$AS$15:$AX$22,6,FALSE()),""))</f>
        <v>0.468190175850689</v>
      </c>
      <c r="H370" s="72" t="str">
        <f aca="false">IFERROR(VLOOKUP(C370,$AS$3:$AY$10,7,FALSE()),IFERROR(VLOOKUP(C370,$AS$15:$AY$22,7,FALSE()),""))</f>
        <v>🟡 AMARELO</v>
      </c>
      <c r="I370" s="72" t="str">
        <f aca="false">IFERROR(VLOOKUP(C370,$AS$3:$AZ$10,8,FALSE()),IFERROR(VLOOKUP(C370,$AS$15:$AZ$22,8,FALSE()),""))</f>
        <v>Sell Out</v>
      </c>
      <c r="J370" s="73"/>
      <c r="K370" s="69" t="s">
        <v>107</v>
      </c>
      <c r="L370" s="74" t="n">
        <v>2546.64</v>
      </c>
      <c r="M370" s="75" t="n">
        <v>178.96</v>
      </c>
      <c r="N370" s="75" t="n">
        <v>187.01</v>
      </c>
      <c r="O370" s="75" t="n">
        <v>191.51</v>
      </c>
      <c r="P370" s="75" t="n">
        <v>196.5</v>
      </c>
      <c r="Q370" s="75" t="n">
        <v>202.94</v>
      </c>
      <c r="R370" s="75" t="n">
        <v>208.25</v>
      </c>
      <c r="S370" s="75" t="n">
        <v>216.3</v>
      </c>
      <c r="T370" s="75" t="n">
        <v>221.61</v>
      </c>
      <c r="U370" s="75" t="n">
        <v>226.6</v>
      </c>
      <c r="V370" s="75" t="n">
        <v>232.23</v>
      </c>
      <c r="W370" s="75" t="n">
        <v>238.34</v>
      </c>
      <c r="X370" s="76" t="n">
        <v>246.39</v>
      </c>
      <c r="Y370" s="77" t="s">
        <v>20</v>
      </c>
      <c r="Z370" s="78" t="n">
        <f aca="false">SUM(AA370:AL370)</f>
        <v>1072.09</v>
      </c>
      <c r="AA370" s="75"/>
      <c r="AB370" s="75"/>
      <c r="AC370" s="75"/>
      <c r="AD370" s="79" t="n">
        <v>1072.09</v>
      </c>
      <c r="AE370" s="75"/>
      <c r="AF370" s="75"/>
      <c r="AG370" s="75"/>
      <c r="AH370" s="75"/>
      <c r="AI370" s="75"/>
      <c r="AJ370" s="75"/>
      <c r="AK370" s="75"/>
      <c r="AL370" s="76"/>
      <c r="AM370" s="56" t="s">
        <v>20</v>
      </c>
      <c r="AN370" s="80" t="n">
        <f aca="false">IF(L370=0,0,Z370/L370)</f>
        <v>0.420982156881224</v>
      </c>
      <c r="AO370" s="81" t="str">
        <f aca="false">IF(AN370="","",IF(AN370&gt;=0.9,"🟢",IF(AN370&gt;=0.7,"🟡",IF(AN370&gt;=0.5,"🟠","🔴"))))</f>
        <v>🔴</v>
      </c>
      <c r="AP370" s="82" t="n">
        <f aca="false">IF(L370=0,0,L370-Z370)</f>
        <v>1474.55</v>
      </c>
      <c r="AQ370" s="83" t="n">
        <f aca="false">IF(AP370=0,"",RANK(AP370,AP$4:AP$503,0))</f>
        <v>328</v>
      </c>
      <c r="AR370" s="84" t="s">
        <v>20</v>
      </c>
      <c r="AS370" s="141"/>
      <c r="AT370" s="141"/>
      <c r="AU370" s="141"/>
      <c r="AV370" s="141"/>
      <c r="AW370" s="141"/>
      <c r="AX370" s="141"/>
      <c r="AY370" s="142"/>
      <c r="AZ370" s="142"/>
      <c r="BA370" s="56" t="s">
        <v>20</v>
      </c>
      <c r="BB370" s="91" t="n">
        <f aca="false">SUM(L$4:L$503)/COUNTA(A$4:A$503)</f>
        <v>9494.39992</v>
      </c>
      <c r="BC370" s="92" t="n">
        <f aca="false">SUM(M$4:M$503)/COUNTA(A$4:A$503)</f>
        <v>667.20008</v>
      </c>
      <c r="BD370" s="92" t="n">
        <f aca="false">SUM(N$4:N$503)/COUNTA(A$4:A$503)</f>
        <v>697.19996</v>
      </c>
      <c r="BE370" s="92" t="n">
        <f aca="false">SUM(O$4:O$503)/COUNTA(A$4:A$503)</f>
        <v>713.9999</v>
      </c>
      <c r="BF370" s="92" t="n">
        <f aca="false">SUM(P$4:P$503)/COUNTA(A$4:A$503)</f>
        <v>732.59984</v>
      </c>
      <c r="BG370" s="92" t="n">
        <f aca="false">SUM(Q$4:Q$503)/COUNTA(A$4:A$503)</f>
        <v>756.59992</v>
      </c>
      <c r="BH370" s="92" t="n">
        <f aca="false">SUM(R$4:R$503)/COUNTA(A$4:A$503)</f>
        <v>776.40004</v>
      </c>
      <c r="BI370" s="92" t="n">
        <f aca="false">SUM(S$4:S$503)/COUNTA(A$4:A$503)</f>
        <v>806.40012</v>
      </c>
      <c r="BJ370" s="92" t="n">
        <f aca="false">SUM(T$4:T$503)/COUNTA(A$4:A$503)</f>
        <v>826.1999</v>
      </c>
      <c r="BK370" s="92" t="n">
        <f aca="false">SUM(U$4:U$503)/COUNTA(A$4:A$503)</f>
        <v>844.8002</v>
      </c>
      <c r="BL370" s="92" t="n">
        <f aca="false">SUM(V$4:V$503)/COUNTA(A$4:A$503)</f>
        <v>865.7998</v>
      </c>
      <c r="BM370" s="92" t="n">
        <f aca="false">SUM(W$4:W$503)/COUNTA(A$4:A$503)</f>
        <v>888.59982</v>
      </c>
      <c r="BN370" s="93" t="n">
        <f aca="false">SUM(X$4:X$503)/COUNTA(A$4:A$503)</f>
        <v>918.60034</v>
      </c>
      <c r="BO370" s="94" t="s">
        <v>20</v>
      </c>
      <c r="BP370" s="91" t="n">
        <f aca="false">IF(Z370&gt;=BB370,0,IFERROR(BB370+(SUMPRODUCT((Z$4:Z$503&gt;=BB$4:BB$503)*(Z$4:Z$503-BB$4:BB$503))/MAX(1,COUNTIF(Z$4:Z$503,"&lt;"&amp;BB370+0.01))),BB370))</f>
        <v>10695.5432177778</v>
      </c>
      <c r="BQ370" s="92" t="n">
        <f aca="false">IF(AA370&gt;=BC370,0,IFERROR(BC370+SUMPRODUCT((AA$4:AA$503&gt;=BC$4:BC$503)*(AA$4:AA$503-BC$4:BC$503))/MAX(1,COUNTIF(AA$4:AA$503,"&lt;"&amp;BC370+0.01)),BC370))</f>
        <v>2238.46589176471</v>
      </c>
      <c r="BR370" s="92" t="n">
        <f aca="false">IF(AB370&gt;=BD370,0,IFERROR(BD370+SUMPRODUCT((AB$4:AB$503&gt;=BD$4:BD$503)*(AB$4:AB$503-BD$4:BD$503))/MAX(1,COUNTIF(AB$4:AB$503,"&lt;"&amp;BD370+0.01)),BD370))</f>
        <v>3335.2938</v>
      </c>
      <c r="BS370" s="92" t="n">
        <f aca="false">IF(AC370&gt;=BE370,0,IFERROR(BE370+SUMPRODUCT((AC$4:AC$503&gt;=BE$4:BE$503)*(AC$4:AC$503-BE$4:BE$503))/MAX(1,COUNTIF(AC$4:AC$503,"&lt;"&amp;BE370+0.01)),BE370))</f>
        <v>6188.73352</v>
      </c>
      <c r="BT370" s="92" t="n">
        <f aca="false">IF(AD370&gt;=BF370,0,IFERROR(BF370+SUMPRODUCT((AD$4:AD$503&gt;=BF$4:BF$503)*(AD$4:AD$503-BF$4:BF$503))/MAX(1,COUNTIF(AD$4:AD$503,"&lt;"&amp;BF370+0.01)),BF370))</f>
        <v>0</v>
      </c>
      <c r="BU370" s="92" t="n">
        <f aca="false">IF(AE370&gt;=BG370,0,IFERROR(BG370+SUMPRODUCT((AE$4:AE$503&gt;=BG$4:BG$503)*(AE$4:AE$503-BG$4:BG$503))/MAX(1,COUNTIF(AE$4:AE$503,"&lt;"&amp;BG370+0.01)),BG370))</f>
        <v>7704.85920380952</v>
      </c>
      <c r="BV370" s="92" t="n">
        <f aca="false">IF(AF370&gt;=BH370,0,IFERROR(BH370+SUMPRODUCT((AF$4:AF$503&gt;=BH$4:BH$503)*(AF$4:AF$503-BH$4:BH$503))/MAX(1,COUNTIF(AF$4:AF$503,"&lt;"&amp;BH370+0.01)),BH370))</f>
        <v>9942.6503831579</v>
      </c>
      <c r="BW370" s="92" t="n">
        <f aca="false">IF(AG370&gt;=BI370,0,IFERROR(BI370+SUMPRODUCT((AG$4:AG$503&gt;=BI$4:BI$503)*(AG$4:AG$503-BI$4:BI$503))/MAX(1,COUNTIF(AG$4:AG$503,"&lt;"&amp;BI370+0.01)),BI370))</f>
        <v>9142.15870461538</v>
      </c>
      <c r="BX370" s="92" t="n">
        <f aca="false">IF(AH370&gt;=BJ370,0,IFERROR(BJ370+SUMPRODUCT((AH$4:AH$503&gt;=BJ$4:BJ$503)*(AH$4:AH$503-BJ$4:BJ$503))/MAX(1,COUNTIF(AH$4:AH$503,"&lt;"&amp;BJ370+0.01)),BJ370))</f>
        <v>5621.50263448276</v>
      </c>
      <c r="BY370" s="92" t="n">
        <f aca="false">IF(AI370&gt;=BK370,0,IFERROR(BK370+SUMPRODUCT((AI$4:AI$503&gt;=BK$4:BK$503)*(AI$4:AI$503-BK$4:BK$503))/MAX(1,COUNTIF(AI$4:AI$503,"&lt;"&amp;BK370+0.01)),BK370))</f>
        <v>7878.25652380952</v>
      </c>
      <c r="BZ370" s="92" t="n">
        <f aca="false">IF(AJ370&gt;=BL370,0,IFERROR(BL370+SUMPRODUCT((AJ$4:AJ$503&gt;=BL$4:BL$503)*(AJ$4:AJ$503-BL$4:BL$503))/MAX(1,COUNTIF(AJ$4:AJ$503,"&lt;"&amp;BL370+0.01)),BL370))</f>
        <v>6710.03292307692</v>
      </c>
      <c r="CA370" s="92" t="n">
        <f aca="false">IF(AK370&gt;=BM370,0,IFERROR(BM370+SUMPRODUCT((AK$4:AK$503&gt;=BM$4:BM$503)*(AK$4:AK$503-BM$4:BM$503))/MAX(1,COUNTIF(AK$4:AK$503,"&lt;"&amp;BM370+0.01)),BM370))</f>
        <v>7314.89836842105</v>
      </c>
      <c r="CB370" s="93" t="n">
        <f aca="false">IF(AL370&gt;=BN370,0,IFERROR(BN370+SUMPRODUCT((AL$4:AL$503&gt;=BN$4:BN$503)*(AL$4:AL$503-BN$4:BN$503))/MAX(1,COUNTIF(AL$4:AL$503,"&lt;"&amp;BN370+0.01)),BN370))</f>
        <v>3597.2614925</v>
      </c>
      <c r="CC370" s="95" t="str">
        <f aca="false">IF(AO370="🟢","VERDE",IF(AO370="🟡","AMARELO",IF(AO370="🟠","VERMELHO",IF(AO370="🔴","VERMELHO","ROXO"))))</f>
        <v>VERMELHO</v>
      </c>
      <c r="CD370" s="96" t="s">
        <v>103</v>
      </c>
      <c r="CE370" s="96" t="s">
        <v>104</v>
      </c>
    </row>
    <row r="371" customFormat="false" ht="14.25" hidden="false" customHeight="true" outlineLevel="0" collapsed="false">
      <c r="A371" s="65" t="s">
        <v>874</v>
      </c>
      <c r="B371" s="66" t="s">
        <v>875</v>
      </c>
      <c r="C371" s="66" t="s">
        <v>115</v>
      </c>
      <c r="D371" s="68" t="s">
        <v>184</v>
      </c>
      <c r="E371" s="69" t="s">
        <v>101</v>
      </c>
      <c r="F371" s="70" t="n">
        <f aca="false">IFERROR(VLOOKUP(C371,$AS$3:$AT$10,2,FALSE()),IFERROR(VLOOKUP(C371,$AS$15:$AT$22,2,FALSE()),""))</f>
        <v>25</v>
      </c>
      <c r="G371" s="71" t="n">
        <f aca="false">IFERROR(VLOOKUP(C371,$AS$3:$AX$10,6,FALSE()),IFERROR(VLOOKUP(C371,$AS$15:$AX$22,6,FALSE()),""))</f>
        <v>0.536751750851081</v>
      </c>
      <c r="H371" s="72" t="str">
        <f aca="false">IFERROR(VLOOKUP(C371,$AS$3:$AY$10,7,FALSE()),IFERROR(VLOOKUP(C371,$AS$15:$AY$22,7,FALSE()),""))</f>
        <v>🟡 AMARELO</v>
      </c>
      <c r="I371" s="72" t="str">
        <f aca="false">IFERROR(VLOOKUP(C371,$AS$3:$AZ$10,8,FALSE()),IFERROR(VLOOKUP(C371,$AS$15:$AZ$22,8,FALSE()),""))</f>
        <v>Sell Out</v>
      </c>
      <c r="J371" s="73"/>
      <c r="K371" s="69" t="s">
        <v>99</v>
      </c>
      <c r="L371" s="74" t="n">
        <v>2525.57</v>
      </c>
      <c r="M371" s="75" t="n">
        <v>177.48</v>
      </c>
      <c r="N371" s="75" t="n">
        <v>185.46</v>
      </c>
      <c r="O371" s="75" t="n">
        <v>189.93</v>
      </c>
      <c r="P371" s="75" t="n">
        <v>194.88</v>
      </c>
      <c r="Q371" s="75" t="n">
        <v>201.26</v>
      </c>
      <c r="R371" s="75" t="n">
        <v>206.53</v>
      </c>
      <c r="S371" s="75" t="n">
        <v>214.51</v>
      </c>
      <c r="T371" s="75" t="n">
        <v>219.77</v>
      </c>
      <c r="U371" s="75" t="n">
        <v>224.72</v>
      </c>
      <c r="V371" s="75" t="n">
        <v>230.31</v>
      </c>
      <c r="W371" s="75" t="n">
        <v>236.37</v>
      </c>
      <c r="X371" s="76" t="n">
        <v>244.35</v>
      </c>
      <c r="Y371" s="77" t="s">
        <v>20</v>
      </c>
      <c r="Z371" s="78" t="n">
        <f aca="false">SUM(AA371:AL371)</f>
        <v>1118.75</v>
      </c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107" t="n">
        <v>1118.75</v>
      </c>
      <c r="AM371" s="56" t="s">
        <v>20</v>
      </c>
      <c r="AN371" s="80" t="n">
        <f aca="false">IF(L371=0,0,Z371/L371)</f>
        <v>0.44296930989836</v>
      </c>
      <c r="AO371" s="81" t="str">
        <f aca="false">IF(AN371="","",IF(AN371&gt;=0.9,"🟢",IF(AN371&gt;=0.7,"🟡",IF(AN371&gt;=0.5,"🟠","🔴"))))</f>
        <v>🔴</v>
      </c>
      <c r="AP371" s="82" t="n">
        <f aca="false">IF(L371=0,0,L371-Z371)</f>
        <v>1406.82</v>
      </c>
      <c r="AQ371" s="83" t="n">
        <f aca="false">IF(AP371=0,"",RANK(AP371,AP$4:AP$503,0))</f>
        <v>337</v>
      </c>
      <c r="AR371" s="84" t="s">
        <v>20</v>
      </c>
      <c r="AS371" s="141"/>
      <c r="AT371" s="141"/>
      <c r="AU371" s="141"/>
      <c r="AV371" s="141"/>
      <c r="AW371" s="141"/>
      <c r="AX371" s="141"/>
      <c r="AY371" s="142"/>
      <c r="AZ371" s="142"/>
      <c r="BA371" s="56" t="s">
        <v>20</v>
      </c>
      <c r="BB371" s="91" t="n">
        <f aca="false">SUM(L$4:L$503)/COUNTA(A$4:A$503)</f>
        <v>9494.39992</v>
      </c>
      <c r="BC371" s="92" t="n">
        <f aca="false">SUM(M$4:M$503)/COUNTA(A$4:A$503)</f>
        <v>667.20008</v>
      </c>
      <c r="BD371" s="92" t="n">
        <f aca="false">SUM(N$4:N$503)/COUNTA(A$4:A$503)</f>
        <v>697.19996</v>
      </c>
      <c r="BE371" s="92" t="n">
        <f aca="false">SUM(O$4:O$503)/COUNTA(A$4:A$503)</f>
        <v>713.9999</v>
      </c>
      <c r="BF371" s="92" t="n">
        <f aca="false">SUM(P$4:P$503)/COUNTA(A$4:A$503)</f>
        <v>732.59984</v>
      </c>
      <c r="BG371" s="92" t="n">
        <f aca="false">SUM(Q$4:Q$503)/COUNTA(A$4:A$503)</f>
        <v>756.59992</v>
      </c>
      <c r="BH371" s="92" t="n">
        <f aca="false">SUM(R$4:R$503)/COUNTA(A$4:A$503)</f>
        <v>776.40004</v>
      </c>
      <c r="BI371" s="92" t="n">
        <f aca="false">SUM(S$4:S$503)/COUNTA(A$4:A$503)</f>
        <v>806.40012</v>
      </c>
      <c r="BJ371" s="92" t="n">
        <f aca="false">SUM(T$4:T$503)/COUNTA(A$4:A$503)</f>
        <v>826.1999</v>
      </c>
      <c r="BK371" s="92" t="n">
        <f aca="false">SUM(U$4:U$503)/COUNTA(A$4:A$503)</f>
        <v>844.8002</v>
      </c>
      <c r="BL371" s="92" t="n">
        <f aca="false">SUM(V$4:V$503)/COUNTA(A$4:A$503)</f>
        <v>865.7998</v>
      </c>
      <c r="BM371" s="92" t="n">
        <f aca="false">SUM(W$4:W$503)/COUNTA(A$4:A$503)</f>
        <v>888.59982</v>
      </c>
      <c r="BN371" s="93" t="n">
        <f aca="false">SUM(X$4:X$503)/COUNTA(A$4:A$503)</f>
        <v>918.60034</v>
      </c>
      <c r="BO371" s="94" t="s">
        <v>20</v>
      </c>
      <c r="BP371" s="91" t="n">
        <f aca="false">IF(Z371&gt;=BB371,0,IFERROR(BB371+(SUMPRODUCT((Z$4:Z$503&gt;=BB$4:BB$503)*(Z$4:Z$503-BB$4:BB$503))/MAX(1,COUNTIF(Z$4:Z$503,"&lt;"&amp;BB371+0.01))),BB371))</f>
        <v>10695.5432177778</v>
      </c>
      <c r="BQ371" s="92" t="n">
        <f aca="false">IF(AA371&gt;=BC371,0,IFERROR(BC371+SUMPRODUCT((AA$4:AA$503&gt;=BC$4:BC$503)*(AA$4:AA$503-BC$4:BC$503))/MAX(1,COUNTIF(AA$4:AA$503,"&lt;"&amp;BC371+0.01)),BC371))</f>
        <v>2238.46589176471</v>
      </c>
      <c r="BR371" s="92" t="n">
        <f aca="false">IF(AB371&gt;=BD371,0,IFERROR(BD371+SUMPRODUCT((AB$4:AB$503&gt;=BD$4:BD$503)*(AB$4:AB$503-BD$4:BD$503))/MAX(1,COUNTIF(AB$4:AB$503,"&lt;"&amp;BD371+0.01)),BD371))</f>
        <v>3335.2938</v>
      </c>
      <c r="BS371" s="92" t="n">
        <f aca="false">IF(AC371&gt;=BE371,0,IFERROR(BE371+SUMPRODUCT((AC$4:AC$503&gt;=BE$4:BE$503)*(AC$4:AC$503-BE$4:BE$503))/MAX(1,COUNTIF(AC$4:AC$503,"&lt;"&amp;BE371+0.01)),BE371))</f>
        <v>6188.73352</v>
      </c>
      <c r="BT371" s="92" t="n">
        <f aca="false">IF(AD371&gt;=BF371,0,IFERROR(BF371+SUMPRODUCT((AD$4:AD$503&gt;=BF$4:BF$503)*(AD$4:AD$503-BF$4:BF$503))/MAX(1,COUNTIF(AD$4:AD$503,"&lt;"&amp;BF371+0.01)),BF371))</f>
        <v>11354.35411</v>
      </c>
      <c r="BU371" s="92" t="n">
        <f aca="false">IF(AE371&gt;=BG371,0,IFERROR(BG371+SUMPRODUCT((AE$4:AE$503&gt;=BG$4:BG$503)*(AE$4:AE$503-BG$4:BG$503))/MAX(1,COUNTIF(AE$4:AE$503,"&lt;"&amp;BG371+0.01)),BG371))</f>
        <v>7704.85920380952</v>
      </c>
      <c r="BV371" s="92" t="n">
        <f aca="false">IF(AF371&gt;=BH371,0,IFERROR(BH371+SUMPRODUCT((AF$4:AF$503&gt;=BH$4:BH$503)*(AF$4:AF$503-BH$4:BH$503))/MAX(1,COUNTIF(AF$4:AF$503,"&lt;"&amp;BH371+0.01)),BH371))</f>
        <v>9942.6503831579</v>
      </c>
      <c r="BW371" s="92" t="n">
        <f aca="false">IF(AG371&gt;=BI371,0,IFERROR(BI371+SUMPRODUCT((AG$4:AG$503&gt;=BI$4:BI$503)*(AG$4:AG$503-BI$4:BI$503))/MAX(1,COUNTIF(AG$4:AG$503,"&lt;"&amp;BI371+0.01)),BI371))</f>
        <v>9142.15870461538</v>
      </c>
      <c r="BX371" s="92" t="n">
        <f aca="false">IF(AH371&gt;=BJ371,0,IFERROR(BJ371+SUMPRODUCT((AH$4:AH$503&gt;=BJ$4:BJ$503)*(AH$4:AH$503-BJ$4:BJ$503))/MAX(1,COUNTIF(AH$4:AH$503,"&lt;"&amp;BJ371+0.01)),BJ371))</f>
        <v>5621.50263448276</v>
      </c>
      <c r="BY371" s="92" t="n">
        <f aca="false">IF(AI371&gt;=BK371,0,IFERROR(BK371+SUMPRODUCT((AI$4:AI$503&gt;=BK$4:BK$503)*(AI$4:AI$503-BK$4:BK$503))/MAX(1,COUNTIF(AI$4:AI$503,"&lt;"&amp;BK371+0.01)),BK371))</f>
        <v>7878.25652380952</v>
      </c>
      <c r="BZ371" s="92" t="n">
        <f aca="false">IF(AJ371&gt;=BL371,0,IFERROR(BL371+SUMPRODUCT((AJ$4:AJ$503&gt;=BL$4:BL$503)*(AJ$4:AJ$503-BL$4:BL$503))/MAX(1,COUNTIF(AJ$4:AJ$503,"&lt;"&amp;BL371+0.01)),BL371))</f>
        <v>6710.03292307692</v>
      </c>
      <c r="CA371" s="92" t="n">
        <f aca="false">IF(AK371&gt;=BM371,0,IFERROR(BM371+SUMPRODUCT((AK$4:AK$503&gt;=BM$4:BM$503)*(AK$4:AK$503-BM$4:BM$503))/MAX(1,COUNTIF(AK$4:AK$503,"&lt;"&amp;BM371+0.01)),BM371))</f>
        <v>7314.89836842105</v>
      </c>
      <c r="CB371" s="93" t="n">
        <f aca="false">IF(AL371&gt;=BN371,0,IFERROR(BN371+SUMPRODUCT((AL$4:AL$503&gt;=BN$4:BN$503)*(AL$4:AL$503-BN$4:BN$503))/MAX(1,COUNTIF(AL$4:AL$503,"&lt;"&amp;BN371+0.01)),BN371))</f>
        <v>0</v>
      </c>
      <c r="CC371" s="95" t="str">
        <f aca="false">IF(AO371="🟢","VERDE",IF(AO371="🟡","AMARELO",IF(AO371="🟠","VERMELHO",IF(AO371="🔴","VERMELHO","ROXO"))))</f>
        <v>VERMELHO</v>
      </c>
      <c r="CD371" s="96" t="s">
        <v>176</v>
      </c>
      <c r="CE371" s="96" t="s">
        <v>115</v>
      </c>
    </row>
    <row r="372" customFormat="false" ht="14.25" hidden="false" customHeight="true" outlineLevel="0" collapsed="false">
      <c r="A372" s="65" t="s">
        <v>876</v>
      </c>
      <c r="B372" s="66" t="s">
        <v>877</v>
      </c>
      <c r="C372" s="66" t="s">
        <v>66</v>
      </c>
      <c r="D372" s="68" t="s">
        <v>175</v>
      </c>
      <c r="E372" s="69" t="s">
        <v>243</v>
      </c>
      <c r="F372" s="70" t="n">
        <f aca="false">IFERROR(VLOOKUP(C372,$AS$3:$AT$10,2,FALSE()),IFERROR(VLOOKUP(C372,$AS$15:$AT$22,2,FALSE()),""))</f>
        <v>44</v>
      </c>
      <c r="G372" s="71" t="n">
        <f aca="false">IFERROR(VLOOKUP(C372,$AS$3:$AX$10,6,FALSE()),IFERROR(VLOOKUP(C372,$AS$15:$AX$22,6,FALSE()),""))</f>
        <v>0.496839506257363</v>
      </c>
      <c r="H372" s="72" t="str">
        <f aca="false">IFERROR(VLOOKUP(C372,$AS$3:$AY$10,7,FALSE()),IFERROR(VLOOKUP(C372,$AS$15:$AY$22,7,FALSE()),""))</f>
        <v>🟡 AMARELO</v>
      </c>
      <c r="I372" s="72" t="str">
        <f aca="false">IFERROR(VLOOKUP(C372,$AS$3:$AZ$10,8,FALSE()),IFERROR(VLOOKUP(C372,$AS$15:$AZ$22,8,FALSE()),""))</f>
        <v>Sell Out</v>
      </c>
      <c r="J372" s="73"/>
      <c r="K372" s="69" t="s">
        <v>158</v>
      </c>
      <c r="L372" s="74" t="n">
        <v>2525.45</v>
      </c>
      <c r="M372" s="75" t="n">
        <v>177.47</v>
      </c>
      <c r="N372" s="75" t="n">
        <v>185.45</v>
      </c>
      <c r="O372" s="75" t="n">
        <v>189.92</v>
      </c>
      <c r="P372" s="75" t="n">
        <v>194.87</v>
      </c>
      <c r="Q372" s="75" t="n">
        <v>201.25</v>
      </c>
      <c r="R372" s="75" t="n">
        <v>206.52</v>
      </c>
      <c r="S372" s="75" t="n">
        <v>214.5</v>
      </c>
      <c r="T372" s="75" t="n">
        <v>219.76</v>
      </c>
      <c r="U372" s="75" t="n">
        <v>224.71</v>
      </c>
      <c r="V372" s="75" t="n">
        <v>230.3</v>
      </c>
      <c r="W372" s="75" t="n">
        <v>236.36</v>
      </c>
      <c r="X372" s="76" t="n">
        <v>244.34</v>
      </c>
      <c r="Y372" s="77" t="s">
        <v>20</v>
      </c>
      <c r="Z372" s="78" t="n">
        <f aca="false">SUM(AA372:AL372)</f>
        <v>1021.87</v>
      </c>
      <c r="AA372" s="75"/>
      <c r="AB372" s="75"/>
      <c r="AC372" s="75"/>
      <c r="AD372" s="75"/>
      <c r="AE372" s="75"/>
      <c r="AF372" s="75"/>
      <c r="AG372" s="75"/>
      <c r="AH372" s="79" t="n">
        <v>1021.87</v>
      </c>
      <c r="AI372" s="75"/>
      <c r="AJ372" s="75"/>
      <c r="AK372" s="75"/>
      <c r="AL372" s="76"/>
      <c r="AM372" s="56" t="s">
        <v>20</v>
      </c>
      <c r="AN372" s="80" t="n">
        <f aca="false">IF(L372=0,0,Z372/L372)</f>
        <v>0.404628878021739</v>
      </c>
      <c r="AO372" s="81" t="str">
        <f aca="false">IF(AN372="","",IF(AN372&gt;=0.9,"🟢",IF(AN372&gt;=0.7,"🟡",IF(AN372&gt;=0.5,"🟠","🔴"))))</f>
        <v>🔴</v>
      </c>
      <c r="AP372" s="82" t="n">
        <f aca="false">IF(L372=0,0,L372-Z372)</f>
        <v>1503.58</v>
      </c>
      <c r="AQ372" s="83" t="n">
        <f aca="false">IF(AP372=0,"",RANK(AP372,AP$4:AP$503,0))</f>
        <v>326</v>
      </c>
      <c r="AR372" s="84" t="s">
        <v>20</v>
      </c>
      <c r="AS372" s="141"/>
      <c r="AT372" s="141"/>
      <c r="AU372" s="141"/>
      <c r="AV372" s="141"/>
      <c r="AW372" s="141"/>
      <c r="AX372" s="141"/>
      <c r="AY372" s="142"/>
      <c r="AZ372" s="142"/>
      <c r="BA372" s="56" t="s">
        <v>20</v>
      </c>
      <c r="BB372" s="91" t="n">
        <f aca="false">SUM(L$4:L$503)/COUNTA(A$4:A$503)</f>
        <v>9494.39992</v>
      </c>
      <c r="BC372" s="92" t="n">
        <f aca="false">SUM(M$4:M$503)/COUNTA(A$4:A$503)</f>
        <v>667.20008</v>
      </c>
      <c r="BD372" s="92" t="n">
        <f aca="false">SUM(N$4:N$503)/COUNTA(A$4:A$503)</f>
        <v>697.19996</v>
      </c>
      <c r="BE372" s="92" t="n">
        <f aca="false">SUM(O$4:O$503)/COUNTA(A$4:A$503)</f>
        <v>713.9999</v>
      </c>
      <c r="BF372" s="92" t="n">
        <f aca="false">SUM(P$4:P$503)/COUNTA(A$4:A$503)</f>
        <v>732.59984</v>
      </c>
      <c r="BG372" s="92" t="n">
        <f aca="false">SUM(Q$4:Q$503)/COUNTA(A$4:A$503)</f>
        <v>756.59992</v>
      </c>
      <c r="BH372" s="92" t="n">
        <f aca="false">SUM(R$4:R$503)/COUNTA(A$4:A$503)</f>
        <v>776.40004</v>
      </c>
      <c r="BI372" s="92" t="n">
        <f aca="false">SUM(S$4:S$503)/COUNTA(A$4:A$503)</f>
        <v>806.40012</v>
      </c>
      <c r="BJ372" s="92" t="n">
        <f aca="false">SUM(T$4:T$503)/COUNTA(A$4:A$503)</f>
        <v>826.1999</v>
      </c>
      <c r="BK372" s="92" t="n">
        <f aca="false">SUM(U$4:U$503)/COUNTA(A$4:A$503)</f>
        <v>844.8002</v>
      </c>
      <c r="BL372" s="92" t="n">
        <f aca="false">SUM(V$4:V$503)/COUNTA(A$4:A$503)</f>
        <v>865.7998</v>
      </c>
      <c r="BM372" s="92" t="n">
        <f aca="false">SUM(W$4:W$503)/COUNTA(A$4:A$503)</f>
        <v>888.59982</v>
      </c>
      <c r="BN372" s="93" t="n">
        <f aca="false">SUM(X$4:X$503)/COUNTA(A$4:A$503)</f>
        <v>918.60034</v>
      </c>
      <c r="BO372" s="94" t="s">
        <v>20</v>
      </c>
      <c r="BP372" s="91" t="n">
        <f aca="false">IF(Z372&gt;=BB372,0,IFERROR(BB372+(SUMPRODUCT((Z$4:Z$503&gt;=BB$4:BB$503)*(Z$4:Z$503-BB$4:BB$503))/MAX(1,COUNTIF(Z$4:Z$503,"&lt;"&amp;BB372+0.01))),BB372))</f>
        <v>10695.5432177778</v>
      </c>
      <c r="BQ372" s="92" t="n">
        <f aca="false">IF(AA372&gt;=BC372,0,IFERROR(BC372+SUMPRODUCT((AA$4:AA$503&gt;=BC$4:BC$503)*(AA$4:AA$503-BC$4:BC$503))/MAX(1,COUNTIF(AA$4:AA$503,"&lt;"&amp;BC372+0.01)),BC372))</f>
        <v>2238.46589176471</v>
      </c>
      <c r="BR372" s="92" t="n">
        <f aca="false">IF(AB372&gt;=BD372,0,IFERROR(BD372+SUMPRODUCT((AB$4:AB$503&gt;=BD$4:BD$503)*(AB$4:AB$503-BD$4:BD$503))/MAX(1,COUNTIF(AB$4:AB$503,"&lt;"&amp;BD372+0.01)),BD372))</f>
        <v>3335.2938</v>
      </c>
      <c r="BS372" s="92" t="n">
        <f aca="false">IF(AC372&gt;=BE372,0,IFERROR(BE372+SUMPRODUCT((AC$4:AC$503&gt;=BE$4:BE$503)*(AC$4:AC$503-BE$4:BE$503))/MAX(1,COUNTIF(AC$4:AC$503,"&lt;"&amp;BE372+0.01)),BE372))</f>
        <v>6188.73352</v>
      </c>
      <c r="BT372" s="92" t="n">
        <f aca="false">IF(AD372&gt;=BF372,0,IFERROR(BF372+SUMPRODUCT((AD$4:AD$503&gt;=BF$4:BF$503)*(AD$4:AD$503-BF$4:BF$503))/MAX(1,COUNTIF(AD$4:AD$503,"&lt;"&amp;BF372+0.01)),BF372))</f>
        <v>11354.35411</v>
      </c>
      <c r="BU372" s="92" t="n">
        <f aca="false">IF(AE372&gt;=BG372,0,IFERROR(BG372+SUMPRODUCT((AE$4:AE$503&gt;=BG$4:BG$503)*(AE$4:AE$503-BG$4:BG$503))/MAX(1,COUNTIF(AE$4:AE$503,"&lt;"&amp;BG372+0.01)),BG372))</f>
        <v>7704.85920380952</v>
      </c>
      <c r="BV372" s="92" t="n">
        <f aca="false">IF(AF372&gt;=BH372,0,IFERROR(BH372+SUMPRODUCT((AF$4:AF$503&gt;=BH$4:BH$503)*(AF$4:AF$503-BH$4:BH$503))/MAX(1,COUNTIF(AF$4:AF$503,"&lt;"&amp;BH372+0.01)),BH372))</f>
        <v>9942.6503831579</v>
      </c>
      <c r="BW372" s="92" t="n">
        <f aca="false">IF(AG372&gt;=BI372,0,IFERROR(BI372+SUMPRODUCT((AG$4:AG$503&gt;=BI$4:BI$503)*(AG$4:AG$503-BI$4:BI$503))/MAX(1,COUNTIF(AG$4:AG$503,"&lt;"&amp;BI372+0.01)),BI372))</f>
        <v>9142.15870461538</v>
      </c>
      <c r="BX372" s="92" t="n">
        <f aca="false">IF(AH372&gt;=BJ372,0,IFERROR(BJ372+SUMPRODUCT((AH$4:AH$503&gt;=BJ$4:BJ$503)*(AH$4:AH$503-BJ$4:BJ$503))/MAX(1,COUNTIF(AH$4:AH$503,"&lt;"&amp;BJ372+0.01)),BJ372))</f>
        <v>0</v>
      </c>
      <c r="BY372" s="92" t="n">
        <f aca="false">IF(AI372&gt;=BK372,0,IFERROR(BK372+SUMPRODUCT((AI$4:AI$503&gt;=BK$4:BK$503)*(AI$4:AI$503-BK$4:BK$503))/MAX(1,COUNTIF(AI$4:AI$503,"&lt;"&amp;BK372+0.01)),BK372))</f>
        <v>7878.25652380952</v>
      </c>
      <c r="BZ372" s="92" t="n">
        <f aca="false">IF(AJ372&gt;=BL372,0,IFERROR(BL372+SUMPRODUCT((AJ$4:AJ$503&gt;=BL$4:BL$503)*(AJ$4:AJ$503-BL$4:BL$503))/MAX(1,COUNTIF(AJ$4:AJ$503,"&lt;"&amp;BL372+0.01)),BL372))</f>
        <v>6710.03292307692</v>
      </c>
      <c r="CA372" s="92" t="n">
        <f aca="false">IF(AK372&gt;=BM372,0,IFERROR(BM372+SUMPRODUCT((AK$4:AK$503&gt;=BM$4:BM$503)*(AK$4:AK$503-BM$4:BM$503))/MAX(1,COUNTIF(AK$4:AK$503,"&lt;"&amp;BM372+0.01)),BM372))</f>
        <v>7314.89836842105</v>
      </c>
      <c r="CB372" s="93" t="n">
        <f aca="false">IF(AL372&gt;=BN372,0,IFERROR(BN372+SUMPRODUCT((AL$4:AL$503&gt;=BN$4:BN$503)*(AL$4:AL$503-BN$4:BN$503))/MAX(1,COUNTIF(AL$4:AL$503,"&lt;"&amp;BN372+0.01)),BN372))</f>
        <v>3597.2614925</v>
      </c>
      <c r="CC372" s="95" t="str">
        <f aca="false">IF(AO372="🟢","VERDE",IF(AO372="🟡","AMARELO",IF(AO372="🟠","VERMELHO",IF(AO372="🔴","VERMELHO","ROXO"))))</f>
        <v>VERMELHO</v>
      </c>
      <c r="CD372" s="96" t="s">
        <v>176</v>
      </c>
      <c r="CE372" s="96" t="s">
        <v>66</v>
      </c>
    </row>
    <row r="373" customFormat="false" ht="14.25" hidden="false" customHeight="true" outlineLevel="0" collapsed="false">
      <c r="A373" s="65" t="s">
        <v>878</v>
      </c>
      <c r="B373" s="66" t="s">
        <v>879</v>
      </c>
      <c r="C373" s="66" t="s">
        <v>102</v>
      </c>
      <c r="D373" s="68" t="s">
        <v>175</v>
      </c>
      <c r="E373" s="69" t="s">
        <v>139</v>
      </c>
      <c r="F373" s="70" t="n">
        <f aca="false">IFERROR(VLOOKUP(C373,$AS$3:$AT$10,2,FALSE()),IFERROR(VLOOKUP(C373,$AS$15:$AT$22,2,FALSE()),""))</f>
        <v>21</v>
      </c>
      <c r="G373" s="71" t="n">
        <f aca="false">IFERROR(VLOOKUP(C373,$AS$3:$AX$10,6,FALSE()),IFERROR(VLOOKUP(C373,$AS$15:$AX$22,6,FALSE()),""))</f>
        <v>0.491514556258592</v>
      </c>
      <c r="H373" s="72" t="str">
        <f aca="false">IFERROR(VLOOKUP(C373,$AS$3:$AY$10,7,FALSE()),IFERROR(VLOOKUP(C373,$AS$15:$AY$22,7,FALSE()),""))</f>
        <v>🟡 AMARELO</v>
      </c>
      <c r="I373" s="72" t="str">
        <f aca="false">IFERROR(VLOOKUP(C373,$AS$3:$AZ$10,8,FALSE()),IFERROR(VLOOKUP(C373,$AS$15:$AZ$22,8,FALSE()),""))</f>
        <v>Sell Out</v>
      </c>
      <c r="J373" s="73"/>
      <c r="K373" s="69" t="s">
        <v>107</v>
      </c>
      <c r="L373" s="74" t="n">
        <v>2523.43</v>
      </c>
      <c r="M373" s="75" t="n">
        <v>177.33</v>
      </c>
      <c r="N373" s="75" t="n">
        <v>185.3</v>
      </c>
      <c r="O373" s="75" t="n">
        <v>189.77</v>
      </c>
      <c r="P373" s="75" t="n">
        <v>194.71</v>
      </c>
      <c r="Q373" s="75" t="n">
        <v>201.09</v>
      </c>
      <c r="R373" s="75" t="n">
        <v>206.35</v>
      </c>
      <c r="S373" s="75" t="n">
        <v>214.33</v>
      </c>
      <c r="T373" s="75" t="n">
        <v>219.59</v>
      </c>
      <c r="U373" s="75" t="n">
        <v>224.53</v>
      </c>
      <c r="V373" s="75" t="n">
        <v>230.11</v>
      </c>
      <c r="W373" s="75" t="n">
        <v>236.17</v>
      </c>
      <c r="X373" s="76" t="n">
        <v>244.15</v>
      </c>
      <c r="Y373" s="77" t="s">
        <v>20</v>
      </c>
      <c r="Z373" s="78" t="n">
        <f aca="false">SUM(AA373:AL373)</f>
        <v>1014.8</v>
      </c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9" t="n">
        <v>1014.8</v>
      </c>
      <c r="AL373" s="76"/>
      <c r="AM373" s="56" t="s">
        <v>20</v>
      </c>
      <c r="AN373" s="80" t="n">
        <f aca="false">IF(L373=0,0,Z373/L373)</f>
        <v>0.402151040448913</v>
      </c>
      <c r="AO373" s="81" t="str">
        <f aca="false">IF(AN373="","",IF(AN373&gt;=0.9,"🟢",IF(AN373&gt;=0.7,"🟡",IF(AN373&gt;=0.5,"🟠","🔴"))))</f>
        <v>🔴</v>
      </c>
      <c r="AP373" s="82" t="n">
        <f aca="false">IF(L373=0,0,L373-Z373)</f>
        <v>1508.63</v>
      </c>
      <c r="AQ373" s="83" t="n">
        <f aca="false">IF(AP373=0,"",RANK(AP373,AP$4:AP$503,0))</f>
        <v>325</v>
      </c>
      <c r="AR373" s="84" t="s">
        <v>20</v>
      </c>
      <c r="AS373" s="141"/>
      <c r="AT373" s="141"/>
      <c r="AU373" s="141"/>
      <c r="AV373" s="141"/>
      <c r="AW373" s="141"/>
      <c r="AX373" s="141"/>
      <c r="AY373" s="142"/>
      <c r="AZ373" s="142"/>
      <c r="BA373" s="56" t="s">
        <v>20</v>
      </c>
      <c r="BB373" s="91" t="n">
        <f aca="false">SUM(L$4:L$503)/COUNTA(A$4:A$503)</f>
        <v>9494.39992</v>
      </c>
      <c r="BC373" s="92" t="n">
        <f aca="false">SUM(M$4:M$503)/COUNTA(A$4:A$503)</f>
        <v>667.20008</v>
      </c>
      <c r="BD373" s="92" t="n">
        <f aca="false">SUM(N$4:N$503)/COUNTA(A$4:A$503)</f>
        <v>697.19996</v>
      </c>
      <c r="BE373" s="92" t="n">
        <f aca="false">SUM(O$4:O$503)/COUNTA(A$4:A$503)</f>
        <v>713.9999</v>
      </c>
      <c r="BF373" s="92" t="n">
        <f aca="false">SUM(P$4:P$503)/COUNTA(A$4:A$503)</f>
        <v>732.59984</v>
      </c>
      <c r="BG373" s="92" t="n">
        <f aca="false">SUM(Q$4:Q$503)/COUNTA(A$4:A$503)</f>
        <v>756.59992</v>
      </c>
      <c r="BH373" s="92" t="n">
        <f aca="false">SUM(R$4:R$503)/COUNTA(A$4:A$503)</f>
        <v>776.40004</v>
      </c>
      <c r="BI373" s="92" t="n">
        <f aca="false">SUM(S$4:S$503)/COUNTA(A$4:A$503)</f>
        <v>806.40012</v>
      </c>
      <c r="BJ373" s="92" t="n">
        <f aca="false">SUM(T$4:T$503)/COUNTA(A$4:A$503)</f>
        <v>826.1999</v>
      </c>
      <c r="BK373" s="92" t="n">
        <f aca="false">SUM(U$4:U$503)/COUNTA(A$4:A$503)</f>
        <v>844.8002</v>
      </c>
      <c r="BL373" s="92" t="n">
        <f aca="false">SUM(V$4:V$503)/COUNTA(A$4:A$503)</f>
        <v>865.7998</v>
      </c>
      <c r="BM373" s="92" t="n">
        <f aca="false">SUM(W$4:W$503)/COUNTA(A$4:A$503)</f>
        <v>888.59982</v>
      </c>
      <c r="BN373" s="93" t="n">
        <f aca="false">SUM(X$4:X$503)/COUNTA(A$4:A$503)</f>
        <v>918.60034</v>
      </c>
      <c r="BO373" s="94" t="s">
        <v>20</v>
      </c>
      <c r="BP373" s="91" t="n">
        <f aca="false">IF(Z373&gt;=BB373,0,IFERROR(BB373+(SUMPRODUCT((Z$4:Z$503&gt;=BB$4:BB$503)*(Z$4:Z$503-BB$4:BB$503))/MAX(1,COUNTIF(Z$4:Z$503,"&lt;"&amp;BB373+0.01))),BB373))</f>
        <v>10695.5432177778</v>
      </c>
      <c r="BQ373" s="92" t="n">
        <f aca="false">IF(AA373&gt;=BC373,0,IFERROR(BC373+SUMPRODUCT((AA$4:AA$503&gt;=BC$4:BC$503)*(AA$4:AA$503-BC$4:BC$503))/MAX(1,COUNTIF(AA$4:AA$503,"&lt;"&amp;BC373+0.01)),BC373))</f>
        <v>2238.46589176471</v>
      </c>
      <c r="BR373" s="92" t="n">
        <f aca="false">IF(AB373&gt;=BD373,0,IFERROR(BD373+SUMPRODUCT((AB$4:AB$503&gt;=BD$4:BD$503)*(AB$4:AB$503-BD$4:BD$503))/MAX(1,COUNTIF(AB$4:AB$503,"&lt;"&amp;BD373+0.01)),BD373))</f>
        <v>3335.2938</v>
      </c>
      <c r="BS373" s="92" t="n">
        <f aca="false">IF(AC373&gt;=BE373,0,IFERROR(BE373+SUMPRODUCT((AC$4:AC$503&gt;=BE$4:BE$503)*(AC$4:AC$503-BE$4:BE$503))/MAX(1,COUNTIF(AC$4:AC$503,"&lt;"&amp;BE373+0.01)),BE373))</f>
        <v>6188.73352</v>
      </c>
      <c r="BT373" s="92" t="n">
        <f aca="false">IF(AD373&gt;=BF373,0,IFERROR(BF373+SUMPRODUCT((AD$4:AD$503&gt;=BF$4:BF$503)*(AD$4:AD$503-BF$4:BF$503))/MAX(1,COUNTIF(AD$4:AD$503,"&lt;"&amp;BF373+0.01)),BF373))</f>
        <v>11354.35411</v>
      </c>
      <c r="BU373" s="92" t="n">
        <f aca="false">IF(AE373&gt;=BG373,0,IFERROR(BG373+SUMPRODUCT((AE$4:AE$503&gt;=BG$4:BG$503)*(AE$4:AE$503-BG$4:BG$503))/MAX(1,COUNTIF(AE$4:AE$503,"&lt;"&amp;BG373+0.01)),BG373))</f>
        <v>7704.85920380952</v>
      </c>
      <c r="BV373" s="92" t="n">
        <f aca="false">IF(AF373&gt;=BH373,0,IFERROR(BH373+SUMPRODUCT((AF$4:AF$503&gt;=BH$4:BH$503)*(AF$4:AF$503-BH$4:BH$503))/MAX(1,COUNTIF(AF$4:AF$503,"&lt;"&amp;BH373+0.01)),BH373))</f>
        <v>9942.6503831579</v>
      </c>
      <c r="BW373" s="92" t="n">
        <f aca="false">IF(AG373&gt;=BI373,0,IFERROR(BI373+SUMPRODUCT((AG$4:AG$503&gt;=BI$4:BI$503)*(AG$4:AG$503-BI$4:BI$503))/MAX(1,COUNTIF(AG$4:AG$503,"&lt;"&amp;BI373+0.01)),BI373))</f>
        <v>9142.15870461538</v>
      </c>
      <c r="BX373" s="92" t="n">
        <f aca="false">IF(AH373&gt;=BJ373,0,IFERROR(BJ373+SUMPRODUCT((AH$4:AH$503&gt;=BJ$4:BJ$503)*(AH$4:AH$503-BJ$4:BJ$503))/MAX(1,COUNTIF(AH$4:AH$503,"&lt;"&amp;BJ373+0.01)),BJ373))</f>
        <v>5621.50263448276</v>
      </c>
      <c r="BY373" s="92" t="n">
        <f aca="false">IF(AI373&gt;=BK373,0,IFERROR(BK373+SUMPRODUCT((AI$4:AI$503&gt;=BK$4:BK$503)*(AI$4:AI$503-BK$4:BK$503))/MAX(1,COUNTIF(AI$4:AI$503,"&lt;"&amp;BK373+0.01)),BK373))</f>
        <v>7878.25652380952</v>
      </c>
      <c r="BZ373" s="92" t="n">
        <f aca="false">IF(AJ373&gt;=BL373,0,IFERROR(BL373+SUMPRODUCT((AJ$4:AJ$503&gt;=BL$4:BL$503)*(AJ$4:AJ$503-BL$4:BL$503))/MAX(1,COUNTIF(AJ$4:AJ$503,"&lt;"&amp;BL373+0.01)),BL373))</f>
        <v>6710.03292307692</v>
      </c>
      <c r="CA373" s="92" t="n">
        <f aca="false">IF(AK373&gt;=BM373,0,IFERROR(BM373+SUMPRODUCT((AK$4:AK$503&gt;=BM$4:BM$503)*(AK$4:AK$503-BM$4:BM$503))/MAX(1,COUNTIF(AK$4:AK$503,"&lt;"&amp;BM373+0.01)),BM373))</f>
        <v>0</v>
      </c>
      <c r="CB373" s="93" t="n">
        <f aca="false">IF(AL373&gt;=BN373,0,IFERROR(BN373+SUMPRODUCT((AL$4:AL$503&gt;=BN$4:BN$503)*(AL$4:AL$503-BN$4:BN$503))/MAX(1,COUNTIF(AL$4:AL$503,"&lt;"&amp;BN373+0.01)),BN373))</f>
        <v>3597.2614925</v>
      </c>
      <c r="CC373" s="95" t="str">
        <f aca="false">IF(AO373="🟢","VERDE",IF(AO373="🟡","AMARELO",IF(AO373="🟠","VERMELHO",IF(AO373="🔴","VERMELHO","ROXO"))))</f>
        <v>VERMELHO</v>
      </c>
      <c r="CD373" s="96" t="s">
        <v>176</v>
      </c>
      <c r="CE373" s="96" t="s">
        <v>102</v>
      </c>
    </row>
    <row r="374" customFormat="false" ht="14.25" hidden="false" customHeight="true" outlineLevel="0" collapsed="false">
      <c r="A374" s="65" t="s">
        <v>880</v>
      </c>
      <c r="B374" s="66" t="s">
        <v>881</v>
      </c>
      <c r="C374" s="66" t="s">
        <v>110</v>
      </c>
      <c r="D374" s="68" t="s">
        <v>184</v>
      </c>
      <c r="E374" s="69" t="s">
        <v>109</v>
      </c>
      <c r="F374" s="70" t="n">
        <f aca="false">IFERROR(VLOOKUP(C374,$AS$3:$AT$10,2,FALSE()),IFERROR(VLOOKUP(C374,$AS$15:$AT$22,2,FALSE()),""))</f>
        <v>15</v>
      </c>
      <c r="G374" s="71" t="n">
        <f aca="false">IFERROR(VLOOKUP(C374,$AS$3:$AX$10,6,FALSE()),IFERROR(VLOOKUP(C374,$AS$15:$AX$22,6,FALSE()),""))</f>
        <v>0.621111876107332</v>
      </c>
      <c r="H374" s="72" t="str">
        <f aca="false">IFERROR(VLOOKUP(C374,$AS$3:$AY$10,7,FALSE()),IFERROR(VLOOKUP(C374,$AS$15:$AY$22,7,FALSE()),""))</f>
        <v>🟢 VERDE</v>
      </c>
      <c r="I374" s="72" t="str">
        <f aca="false">IFERROR(VLOOKUP(C374,$AS$3:$AZ$10,8,FALSE()),IFERROR(VLOOKUP(C374,$AS$15:$AZ$22,8,FALSE()),""))</f>
        <v>JBP</v>
      </c>
      <c r="J374" s="73"/>
      <c r="K374" s="69" t="s">
        <v>107</v>
      </c>
      <c r="L374" s="74" t="n">
        <v>2504.52</v>
      </c>
      <c r="M374" s="75" t="n">
        <v>176</v>
      </c>
      <c r="N374" s="75" t="n">
        <v>183.91</v>
      </c>
      <c r="O374" s="75" t="n">
        <v>188.35</v>
      </c>
      <c r="P374" s="75" t="n">
        <v>193.25</v>
      </c>
      <c r="Q374" s="75" t="n">
        <v>199.58</v>
      </c>
      <c r="R374" s="75" t="n">
        <v>204.81</v>
      </c>
      <c r="S374" s="75" t="n">
        <v>212.72</v>
      </c>
      <c r="T374" s="75" t="n">
        <v>217.94</v>
      </c>
      <c r="U374" s="75" t="n">
        <v>222.85</v>
      </c>
      <c r="V374" s="75" t="n">
        <v>228.39</v>
      </c>
      <c r="W374" s="75" t="n">
        <v>234.4</v>
      </c>
      <c r="X374" s="76" t="n">
        <v>242.32</v>
      </c>
      <c r="Y374" s="77" t="s">
        <v>20</v>
      </c>
      <c r="Z374" s="78" t="n">
        <f aca="false">SUM(AA374:AL374)</f>
        <v>1036.87</v>
      </c>
      <c r="AA374" s="75"/>
      <c r="AB374" s="75"/>
      <c r="AC374" s="75"/>
      <c r="AD374" s="75"/>
      <c r="AE374" s="75"/>
      <c r="AF374" s="75"/>
      <c r="AG374" s="75"/>
      <c r="AH374" s="79" t="n">
        <v>1036.87</v>
      </c>
      <c r="AI374" s="75"/>
      <c r="AJ374" s="75"/>
      <c r="AK374" s="75"/>
      <c r="AL374" s="76"/>
      <c r="AM374" s="56" t="s">
        <v>20</v>
      </c>
      <c r="AN374" s="80" t="n">
        <f aca="false">IF(L374=0,0,Z374/L374)</f>
        <v>0.413999488924025</v>
      </c>
      <c r="AO374" s="81" t="str">
        <f aca="false">IF(AN374="","",IF(AN374&gt;=0.9,"🟢",IF(AN374&gt;=0.7,"🟡",IF(AN374&gt;=0.5,"🟠","🔴"))))</f>
        <v>🔴</v>
      </c>
      <c r="AP374" s="82" t="n">
        <f aca="false">IF(L374=0,0,L374-Z374)</f>
        <v>1467.65</v>
      </c>
      <c r="AQ374" s="83" t="n">
        <f aca="false">IF(AP374=0,"",RANK(AP374,AP$4:AP$503,0))</f>
        <v>330</v>
      </c>
      <c r="AR374" s="84" t="s">
        <v>20</v>
      </c>
      <c r="AS374" s="141"/>
      <c r="AT374" s="141"/>
      <c r="AU374" s="141"/>
      <c r="AV374" s="141"/>
      <c r="AW374" s="141"/>
      <c r="AX374" s="141"/>
      <c r="AY374" s="142"/>
      <c r="AZ374" s="142"/>
      <c r="BA374" s="56" t="s">
        <v>20</v>
      </c>
      <c r="BB374" s="91" t="n">
        <f aca="false">SUM(L$4:L$503)/COUNTA(A$4:A$503)</f>
        <v>9494.39992</v>
      </c>
      <c r="BC374" s="92" t="n">
        <f aca="false">SUM(M$4:M$503)/COUNTA(A$4:A$503)</f>
        <v>667.20008</v>
      </c>
      <c r="BD374" s="92" t="n">
        <f aca="false">SUM(N$4:N$503)/COUNTA(A$4:A$503)</f>
        <v>697.19996</v>
      </c>
      <c r="BE374" s="92" t="n">
        <f aca="false">SUM(O$4:O$503)/COUNTA(A$4:A$503)</f>
        <v>713.9999</v>
      </c>
      <c r="BF374" s="92" t="n">
        <f aca="false">SUM(P$4:P$503)/COUNTA(A$4:A$503)</f>
        <v>732.59984</v>
      </c>
      <c r="BG374" s="92" t="n">
        <f aca="false">SUM(Q$4:Q$503)/COUNTA(A$4:A$503)</f>
        <v>756.59992</v>
      </c>
      <c r="BH374" s="92" t="n">
        <f aca="false">SUM(R$4:R$503)/COUNTA(A$4:A$503)</f>
        <v>776.40004</v>
      </c>
      <c r="BI374" s="92" t="n">
        <f aca="false">SUM(S$4:S$503)/COUNTA(A$4:A$503)</f>
        <v>806.40012</v>
      </c>
      <c r="BJ374" s="92" t="n">
        <f aca="false">SUM(T$4:T$503)/COUNTA(A$4:A$503)</f>
        <v>826.1999</v>
      </c>
      <c r="BK374" s="92" t="n">
        <f aca="false">SUM(U$4:U$503)/COUNTA(A$4:A$503)</f>
        <v>844.8002</v>
      </c>
      <c r="BL374" s="92" t="n">
        <f aca="false">SUM(V$4:V$503)/COUNTA(A$4:A$503)</f>
        <v>865.7998</v>
      </c>
      <c r="BM374" s="92" t="n">
        <f aca="false">SUM(W$4:W$503)/COUNTA(A$4:A$503)</f>
        <v>888.59982</v>
      </c>
      <c r="BN374" s="93" t="n">
        <f aca="false">SUM(X$4:X$503)/COUNTA(A$4:A$503)</f>
        <v>918.60034</v>
      </c>
      <c r="BO374" s="94" t="s">
        <v>20</v>
      </c>
      <c r="BP374" s="91" t="n">
        <f aca="false">IF(Z374&gt;=BB374,0,IFERROR(BB374+(SUMPRODUCT((Z$4:Z$503&gt;=BB$4:BB$503)*(Z$4:Z$503-BB$4:BB$503))/MAX(1,COUNTIF(Z$4:Z$503,"&lt;"&amp;BB374+0.01))),BB374))</f>
        <v>10695.5432177778</v>
      </c>
      <c r="BQ374" s="92" t="n">
        <f aca="false">IF(AA374&gt;=BC374,0,IFERROR(BC374+SUMPRODUCT((AA$4:AA$503&gt;=BC$4:BC$503)*(AA$4:AA$503-BC$4:BC$503))/MAX(1,COUNTIF(AA$4:AA$503,"&lt;"&amp;BC374+0.01)),BC374))</f>
        <v>2238.46589176471</v>
      </c>
      <c r="BR374" s="92" t="n">
        <f aca="false">IF(AB374&gt;=BD374,0,IFERROR(BD374+SUMPRODUCT((AB$4:AB$503&gt;=BD$4:BD$503)*(AB$4:AB$503-BD$4:BD$503))/MAX(1,COUNTIF(AB$4:AB$503,"&lt;"&amp;BD374+0.01)),BD374))</f>
        <v>3335.2938</v>
      </c>
      <c r="BS374" s="92" t="n">
        <f aca="false">IF(AC374&gt;=BE374,0,IFERROR(BE374+SUMPRODUCT((AC$4:AC$503&gt;=BE$4:BE$503)*(AC$4:AC$503-BE$4:BE$503))/MAX(1,COUNTIF(AC$4:AC$503,"&lt;"&amp;BE374+0.01)),BE374))</f>
        <v>6188.73352</v>
      </c>
      <c r="BT374" s="92" t="n">
        <f aca="false">IF(AD374&gt;=BF374,0,IFERROR(BF374+SUMPRODUCT((AD$4:AD$503&gt;=BF$4:BF$503)*(AD$4:AD$503-BF$4:BF$503))/MAX(1,COUNTIF(AD$4:AD$503,"&lt;"&amp;BF374+0.01)),BF374))</f>
        <v>11354.35411</v>
      </c>
      <c r="BU374" s="92" t="n">
        <f aca="false">IF(AE374&gt;=BG374,0,IFERROR(BG374+SUMPRODUCT((AE$4:AE$503&gt;=BG$4:BG$503)*(AE$4:AE$503-BG$4:BG$503))/MAX(1,COUNTIF(AE$4:AE$503,"&lt;"&amp;BG374+0.01)),BG374))</f>
        <v>7704.85920380952</v>
      </c>
      <c r="BV374" s="92" t="n">
        <f aca="false">IF(AF374&gt;=BH374,0,IFERROR(BH374+SUMPRODUCT((AF$4:AF$503&gt;=BH$4:BH$503)*(AF$4:AF$503-BH$4:BH$503))/MAX(1,COUNTIF(AF$4:AF$503,"&lt;"&amp;BH374+0.01)),BH374))</f>
        <v>9942.6503831579</v>
      </c>
      <c r="BW374" s="92" t="n">
        <f aca="false">IF(AG374&gt;=BI374,0,IFERROR(BI374+SUMPRODUCT((AG$4:AG$503&gt;=BI$4:BI$503)*(AG$4:AG$503-BI$4:BI$503))/MAX(1,COUNTIF(AG$4:AG$503,"&lt;"&amp;BI374+0.01)),BI374))</f>
        <v>9142.15870461538</v>
      </c>
      <c r="BX374" s="92" t="n">
        <f aca="false">IF(AH374&gt;=BJ374,0,IFERROR(BJ374+SUMPRODUCT((AH$4:AH$503&gt;=BJ$4:BJ$503)*(AH$4:AH$503-BJ$4:BJ$503))/MAX(1,COUNTIF(AH$4:AH$503,"&lt;"&amp;BJ374+0.01)),BJ374))</f>
        <v>0</v>
      </c>
      <c r="BY374" s="92" t="n">
        <f aca="false">IF(AI374&gt;=BK374,0,IFERROR(BK374+SUMPRODUCT((AI$4:AI$503&gt;=BK$4:BK$503)*(AI$4:AI$503-BK$4:BK$503))/MAX(1,COUNTIF(AI$4:AI$503,"&lt;"&amp;BK374+0.01)),BK374))</f>
        <v>7878.25652380952</v>
      </c>
      <c r="BZ374" s="92" t="n">
        <f aca="false">IF(AJ374&gt;=BL374,0,IFERROR(BL374+SUMPRODUCT((AJ$4:AJ$503&gt;=BL$4:BL$503)*(AJ$4:AJ$503-BL$4:BL$503))/MAX(1,COUNTIF(AJ$4:AJ$503,"&lt;"&amp;BL374+0.01)),BL374))</f>
        <v>6710.03292307692</v>
      </c>
      <c r="CA374" s="92" t="n">
        <f aca="false">IF(AK374&gt;=BM374,0,IFERROR(BM374+SUMPRODUCT((AK$4:AK$503&gt;=BM$4:BM$503)*(AK$4:AK$503-BM$4:BM$503))/MAX(1,COUNTIF(AK$4:AK$503,"&lt;"&amp;BM374+0.01)),BM374))</f>
        <v>7314.89836842105</v>
      </c>
      <c r="CB374" s="93" t="n">
        <f aca="false">IF(AL374&gt;=BN374,0,IFERROR(BN374+SUMPRODUCT((AL$4:AL$503&gt;=BN$4:BN$503)*(AL$4:AL$503-BN$4:BN$503))/MAX(1,COUNTIF(AL$4:AL$503,"&lt;"&amp;BN374+0.01)),BN374))</f>
        <v>3597.2614925</v>
      </c>
      <c r="CC374" s="95" t="str">
        <f aca="false">IF(AO374="🟢","VERDE",IF(AO374="🟡","AMARELO",IF(AO374="🟠","VERMELHO",IF(AO374="🔴","VERMELHO","ROXO"))))</f>
        <v>VERMELHO</v>
      </c>
      <c r="CD374" s="96" t="s">
        <v>176</v>
      </c>
      <c r="CE374" s="96" t="s">
        <v>110</v>
      </c>
    </row>
    <row r="375" customFormat="false" ht="14.25" hidden="false" customHeight="true" outlineLevel="0" collapsed="false">
      <c r="A375" s="65" t="s">
        <v>882</v>
      </c>
      <c r="B375" s="66" t="s">
        <v>883</v>
      </c>
      <c r="C375" s="67" t="s">
        <v>99</v>
      </c>
      <c r="D375" s="68" t="s">
        <v>100</v>
      </c>
      <c r="E375" s="69" t="s">
        <v>127</v>
      </c>
      <c r="F375" s="70" t="n">
        <f aca="false">IFERROR(VLOOKUP(C375,$AS$3:$AT$10,2,FALSE()),IFERROR(VLOOKUP(C375,$AS$15:$AT$22,2,FALSE()),""))</f>
        <v>33</v>
      </c>
      <c r="G375" s="71" t="n">
        <f aca="false">IFERROR(VLOOKUP(C375,$AS$3:$AX$10,6,FALSE()),IFERROR(VLOOKUP(C375,$AS$15:$AX$22,6,FALSE()),""))</f>
        <v>0.341494038351172</v>
      </c>
      <c r="H375" s="72" t="str">
        <f aca="false">IFERROR(VLOOKUP(C375,$AS$3:$AY$10,7,FALSE()),IFERROR(VLOOKUP(C375,$AS$15:$AY$22,7,FALSE()),""))</f>
        <v>🔴 VERMELHO</v>
      </c>
      <c r="I375" s="72" t="str">
        <f aca="false">IFERROR(VLOOKUP(C375,$AS$3:$AZ$10,8,FALSE()),IFERROR(VLOOKUP(C375,$AS$15:$AZ$22,8,FALSE()),""))</f>
        <v>Positivação + Expandir</v>
      </c>
      <c r="J375" s="73"/>
      <c r="K375" s="69" t="s">
        <v>99</v>
      </c>
      <c r="L375" s="74" t="n">
        <v>2502.05</v>
      </c>
      <c r="M375" s="75" t="n">
        <v>175.83</v>
      </c>
      <c r="N375" s="75" t="n">
        <v>183.73</v>
      </c>
      <c r="O375" s="75" t="n">
        <v>188.16</v>
      </c>
      <c r="P375" s="75" t="n">
        <v>193.06</v>
      </c>
      <c r="Q375" s="75" t="n">
        <v>199.39</v>
      </c>
      <c r="R375" s="75" t="n">
        <v>204.6</v>
      </c>
      <c r="S375" s="75" t="n">
        <v>212.51</v>
      </c>
      <c r="T375" s="75" t="n">
        <v>217.73</v>
      </c>
      <c r="U375" s="75" t="n">
        <v>222.63</v>
      </c>
      <c r="V375" s="75" t="n">
        <v>228.16</v>
      </c>
      <c r="W375" s="75" t="n">
        <v>234.17</v>
      </c>
      <c r="X375" s="76" t="n">
        <v>242.08</v>
      </c>
      <c r="Y375" s="77" t="s">
        <v>20</v>
      </c>
      <c r="Z375" s="78" t="n">
        <f aca="false">SUM(AA375:AL375)</f>
        <v>907.56</v>
      </c>
      <c r="AA375" s="75"/>
      <c r="AB375" s="75"/>
      <c r="AC375" s="79" t="n">
        <v>907.56</v>
      </c>
      <c r="AD375" s="75"/>
      <c r="AE375" s="75"/>
      <c r="AF375" s="75"/>
      <c r="AG375" s="75"/>
      <c r="AH375" s="75"/>
      <c r="AI375" s="75"/>
      <c r="AJ375" s="75"/>
      <c r="AK375" s="75"/>
      <c r="AL375" s="76"/>
      <c r="AM375" s="56" t="s">
        <v>20</v>
      </c>
      <c r="AN375" s="80" t="n">
        <f aca="false">IF(L375=0,0,Z375/L375)</f>
        <v>0.362726564217342</v>
      </c>
      <c r="AO375" s="81" t="str">
        <f aca="false">IF(AN375="","",IF(AN375&gt;=0.9,"🟢",IF(AN375&gt;=0.7,"🟡",IF(AN375&gt;=0.5,"🟠","🔴"))))</f>
        <v>🔴</v>
      </c>
      <c r="AP375" s="82" t="n">
        <f aca="false">IF(L375=0,0,L375-Z375)</f>
        <v>1594.49</v>
      </c>
      <c r="AQ375" s="83" t="n">
        <f aca="false">IF(AP375=0,"",RANK(AP375,AP$4:AP$503,0))</f>
        <v>318</v>
      </c>
      <c r="AR375" s="84" t="s">
        <v>20</v>
      </c>
      <c r="AS375" s="141"/>
      <c r="AT375" s="141"/>
      <c r="AU375" s="141"/>
      <c r="AV375" s="141"/>
      <c r="AW375" s="141"/>
      <c r="AX375" s="141"/>
      <c r="AY375" s="142"/>
      <c r="AZ375" s="142"/>
      <c r="BA375" s="56" t="s">
        <v>20</v>
      </c>
      <c r="BB375" s="91" t="n">
        <f aca="false">SUM(L$4:L$503)/COUNTA(A$4:A$503)</f>
        <v>9494.39992</v>
      </c>
      <c r="BC375" s="92" t="n">
        <f aca="false">SUM(M$4:M$503)/COUNTA(A$4:A$503)</f>
        <v>667.20008</v>
      </c>
      <c r="BD375" s="92" t="n">
        <f aca="false">SUM(N$4:N$503)/COUNTA(A$4:A$503)</f>
        <v>697.19996</v>
      </c>
      <c r="BE375" s="92" t="n">
        <f aca="false">SUM(O$4:O$503)/COUNTA(A$4:A$503)</f>
        <v>713.9999</v>
      </c>
      <c r="BF375" s="92" t="n">
        <f aca="false">SUM(P$4:P$503)/COUNTA(A$4:A$503)</f>
        <v>732.59984</v>
      </c>
      <c r="BG375" s="92" t="n">
        <f aca="false">SUM(Q$4:Q$503)/COUNTA(A$4:A$503)</f>
        <v>756.59992</v>
      </c>
      <c r="BH375" s="92" t="n">
        <f aca="false">SUM(R$4:R$503)/COUNTA(A$4:A$503)</f>
        <v>776.40004</v>
      </c>
      <c r="BI375" s="92" t="n">
        <f aca="false">SUM(S$4:S$503)/COUNTA(A$4:A$503)</f>
        <v>806.40012</v>
      </c>
      <c r="BJ375" s="92" t="n">
        <f aca="false">SUM(T$4:T$503)/COUNTA(A$4:A$503)</f>
        <v>826.1999</v>
      </c>
      <c r="BK375" s="92" t="n">
        <f aca="false">SUM(U$4:U$503)/COUNTA(A$4:A$503)</f>
        <v>844.8002</v>
      </c>
      <c r="BL375" s="92" t="n">
        <f aca="false">SUM(V$4:V$503)/COUNTA(A$4:A$503)</f>
        <v>865.7998</v>
      </c>
      <c r="BM375" s="92" t="n">
        <f aca="false">SUM(W$4:W$503)/COUNTA(A$4:A$503)</f>
        <v>888.59982</v>
      </c>
      <c r="BN375" s="93" t="n">
        <f aca="false">SUM(X$4:X$503)/COUNTA(A$4:A$503)</f>
        <v>918.60034</v>
      </c>
      <c r="BO375" s="94" t="s">
        <v>20</v>
      </c>
      <c r="BP375" s="91" t="n">
        <f aca="false">IF(Z375&gt;=BB375,0,IFERROR(BB375+(SUMPRODUCT((Z$4:Z$503&gt;=BB$4:BB$503)*(Z$4:Z$503-BB$4:BB$503))/MAX(1,COUNTIF(Z$4:Z$503,"&lt;"&amp;BB375+0.01))),BB375))</f>
        <v>10695.5432177778</v>
      </c>
      <c r="BQ375" s="92" t="n">
        <f aca="false">IF(AA375&gt;=BC375,0,IFERROR(BC375+SUMPRODUCT((AA$4:AA$503&gt;=BC$4:BC$503)*(AA$4:AA$503-BC$4:BC$503))/MAX(1,COUNTIF(AA$4:AA$503,"&lt;"&amp;BC375+0.01)),BC375))</f>
        <v>2238.46589176471</v>
      </c>
      <c r="BR375" s="92" t="n">
        <f aca="false">IF(AB375&gt;=BD375,0,IFERROR(BD375+SUMPRODUCT((AB$4:AB$503&gt;=BD$4:BD$503)*(AB$4:AB$503-BD$4:BD$503))/MAX(1,COUNTIF(AB$4:AB$503,"&lt;"&amp;BD375+0.01)),BD375))</f>
        <v>3335.2938</v>
      </c>
      <c r="BS375" s="92" t="n">
        <f aca="false">IF(AC375&gt;=BE375,0,IFERROR(BE375+SUMPRODUCT((AC$4:AC$503&gt;=BE$4:BE$503)*(AC$4:AC$503-BE$4:BE$503))/MAX(1,COUNTIF(AC$4:AC$503,"&lt;"&amp;BE375+0.01)),BE375))</f>
        <v>0</v>
      </c>
      <c r="BT375" s="92" t="n">
        <f aca="false">IF(AD375&gt;=BF375,0,IFERROR(BF375+SUMPRODUCT((AD$4:AD$503&gt;=BF$4:BF$503)*(AD$4:AD$503-BF$4:BF$503))/MAX(1,COUNTIF(AD$4:AD$503,"&lt;"&amp;BF375+0.01)),BF375))</f>
        <v>11354.35411</v>
      </c>
      <c r="BU375" s="92" t="n">
        <f aca="false">IF(AE375&gt;=BG375,0,IFERROR(BG375+SUMPRODUCT((AE$4:AE$503&gt;=BG$4:BG$503)*(AE$4:AE$503-BG$4:BG$503))/MAX(1,COUNTIF(AE$4:AE$503,"&lt;"&amp;BG375+0.01)),BG375))</f>
        <v>7704.85920380952</v>
      </c>
      <c r="BV375" s="92" t="n">
        <f aca="false">IF(AF375&gt;=BH375,0,IFERROR(BH375+SUMPRODUCT((AF$4:AF$503&gt;=BH$4:BH$503)*(AF$4:AF$503-BH$4:BH$503))/MAX(1,COUNTIF(AF$4:AF$503,"&lt;"&amp;BH375+0.01)),BH375))</f>
        <v>9942.6503831579</v>
      </c>
      <c r="BW375" s="92" t="n">
        <f aca="false">IF(AG375&gt;=BI375,0,IFERROR(BI375+SUMPRODUCT((AG$4:AG$503&gt;=BI$4:BI$503)*(AG$4:AG$503-BI$4:BI$503))/MAX(1,COUNTIF(AG$4:AG$503,"&lt;"&amp;BI375+0.01)),BI375))</f>
        <v>9142.15870461538</v>
      </c>
      <c r="BX375" s="92" t="n">
        <f aca="false">IF(AH375&gt;=BJ375,0,IFERROR(BJ375+SUMPRODUCT((AH$4:AH$503&gt;=BJ$4:BJ$503)*(AH$4:AH$503-BJ$4:BJ$503))/MAX(1,COUNTIF(AH$4:AH$503,"&lt;"&amp;BJ375+0.01)),BJ375))</f>
        <v>5621.50263448276</v>
      </c>
      <c r="BY375" s="92" t="n">
        <f aca="false">IF(AI375&gt;=BK375,0,IFERROR(BK375+SUMPRODUCT((AI$4:AI$503&gt;=BK$4:BK$503)*(AI$4:AI$503-BK$4:BK$503))/MAX(1,COUNTIF(AI$4:AI$503,"&lt;"&amp;BK375+0.01)),BK375))</f>
        <v>7878.25652380952</v>
      </c>
      <c r="BZ375" s="92" t="n">
        <f aca="false">IF(AJ375&gt;=BL375,0,IFERROR(BL375+SUMPRODUCT((AJ$4:AJ$503&gt;=BL$4:BL$503)*(AJ$4:AJ$503-BL$4:BL$503))/MAX(1,COUNTIF(AJ$4:AJ$503,"&lt;"&amp;BL375+0.01)),BL375))</f>
        <v>6710.03292307692</v>
      </c>
      <c r="CA375" s="92" t="n">
        <f aca="false">IF(AK375&gt;=BM375,0,IFERROR(BM375+SUMPRODUCT((AK$4:AK$503&gt;=BM$4:BM$503)*(AK$4:AK$503-BM$4:BM$503))/MAX(1,COUNTIF(AK$4:AK$503,"&lt;"&amp;BM375+0.01)),BM375))</f>
        <v>7314.89836842105</v>
      </c>
      <c r="CB375" s="93" t="n">
        <f aca="false">IF(AL375&gt;=BN375,0,IFERROR(BN375+SUMPRODUCT((AL$4:AL$503&gt;=BN$4:BN$503)*(AL$4:AL$503-BN$4:BN$503))/MAX(1,COUNTIF(AL$4:AL$503,"&lt;"&amp;BN375+0.01)),BN375))</f>
        <v>3597.2614925</v>
      </c>
      <c r="CC375" s="95" t="str">
        <f aca="false">IF(AO375="🟢","VERDE",IF(AO375="🟡","AMARELO",IF(AO375="🟠","VERMELHO",IF(AO375="🔴","VERMELHO","ROXO"))))</f>
        <v>VERMELHO</v>
      </c>
      <c r="CD375" s="96" t="s">
        <v>103</v>
      </c>
      <c r="CE375" s="96" t="s">
        <v>104</v>
      </c>
    </row>
    <row r="376" customFormat="false" ht="14.25" hidden="false" customHeight="true" outlineLevel="0" collapsed="false">
      <c r="A376" s="65" t="s">
        <v>884</v>
      </c>
      <c r="B376" s="66" t="s">
        <v>885</v>
      </c>
      <c r="C376" s="67" t="s">
        <v>107</v>
      </c>
      <c r="D376" s="68" t="s">
        <v>108</v>
      </c>
      <c r="E376" s="69" t="s">
        <v>139</v>
      </c>
      <c r="F376" s="70" t="n">
        <f aca="false">IFERROR(VLOOKUP(C376,$AS$3:$AT$10,2,FALSE()),IFERROR(VLOOKUP(C376,$AS$15:$AT$22,2,FALSE()),""))</f>
        <v>132</v>
      </c>
      <c r="G376" s="71" t="n">
        <f aca="false">IFERROR(VLOOKUP(C376,$AS$3:$AX$10,6,FALSE()),IFERROR(VLOOKUP(C376,$AS$15:$AX$22,6,FALSE()),""))</f>
        <v>0.468190175850689</v>
      </c>
      <c r="H376" s="72" t="str">
        <f aca="false">IFERROR(VLOOKUP(C376,$AS$3:$AY$10,7,FALSE()),IFERROR(VLOOKUP(C376,$AS$15:$AY$22,7,FALSE()),""))</f>
        <v>🟡 AMARELO</v>
      </c>
      <c r="I376" s="72" t="str">
        <f aca="false">IFERROR(VLOOKUP(C376,$AS$3:$AZ$10,8,FALSE()),IFERROR(VLOOKUP(C376,$AS$15:$AZ$22,8,FALSE()),""))</f>
        <v>Sell Out</v>
      </c>
      <c r="J376" s="73"/>
      <c r="K376" s="69" t="s">
        <v>107</v>
      </c>
      <c r="L376" s="74" t="n">
        <v>2498.99</v>
      </c>
      <c r="M376" s="75" t="n">
        <v>175.61</v>
      </c>
      <c r="N376" s="75" t="n">
        <v>183.51</v>
      </c>
      <c r="O376" s="75" t="n">
        <v>187.93</v>
      </c>
      <c r="P376" s="75" t="n">
        <v>192.83</v>
      </c>
      <c r="Q376" s="75" t="n">
        <v>199.14</v>
      </c>
      <c r="R376" s="75" t="n">
        <v>204.35</v>
      </c>
      <c r="S376" s="75" t="n">
        <v>212.25</v>
      </c>
      <c r="T376" s="75" t="n">
        <v>217.46</v>
      </c>
      <c r="U376" s="75" t="n">
        <v>222.36</v>
      </c>
      <c r="V376" s="75" t="n">
        <v>227.88</v>
      </c>
      <c r="W376" s="75" t="n">
        <v>233.89</v>
      </c>
      <c r="X376" s="76" t="n">
        <v>241.78</v>
      </c>
      <c r="Y376" s="77" t="s">
        <v>20</v>
      </c>
      <c r="Z376" s="78" t="n">
        <f aca="false">SUM(AA376:AL376)</f>
        <v>1004.97</v>
      </c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107" t="n">
        <v>1004.97</v>
      </c>
      <c r="AM376" s="56" t="s">
        <v>20</v>
      </c>
      <c r="AN376" s="80" t="n">
        <f aca="false">IF(L376=0,0,Z376/L376)</f>
        <v>0.402150468789391</v>
      </c>
      <c r="AO376" s="81" t="str">
        <f aca="false">IF(AN376="","",IF(AN376&gt;=0.9,"🟢",IF(AN376&gt;=0.7,"🟡",IF(AN376&gt;=0.5,"🟠","🔴"))))</f>
        <v>🔴</v>
      </c>
      <c r="AP376" s="82" t="n">
        <f aca="false">IF(L376=0,0,L376-Z376)</f>
        <v>1494.02</v>
      </c>
      <c r="AQ376" s="83" t="n">
        <f aca="false">IF(AP376=0,"",RANK(AP376,AP$4:AP$503,0))</f>
        <v>327</v>
      </c>
      <c r="AR376" s="84" t="s">
        <v>20</v>
      </c>
      <c r="AS376" s="141"/>
      <c r="AT376" s="141"/>
      <c r="AU376" s="141"/>
      <c r="AV376" s="141"/>
      <c r="AW376" s="141"/>
      <c r="AX376" s="141"/>
      <c r="AY376" s="142"/>
      <c r="AZ376" s="142"/>
      <c r="BA376" s="56" t="s">
        <v>20</v>
      </c>
      <c r="BB376" s="91" t="n">
        <f aca="false">SUM(L$4:L$503)/COUNTA(A$4:A$503)</f>
        <v>9494.39992</v>
      </c>
      <c r="BC376" s="92" t="n">
        <f aca="false">SUM(M$4:M$503)/COUNTA(A$4:A$503)</f>
        <v>667.20008</v>
      </c>
      <c r="BD376" s="92" t="n">
        <f aca="false">SUM(N$4:N$503)/COUNTA(A$4:A$503)</f>
        <v>697.19996</v>
      </c>
      <c r="BE376" s="92" t="n">
        <f aca="false">SUM(O$4:O$503)/COUNTA(A$4:A$503)</f>
        <v>713.9999</v>
      </c>
      <c r="BF376" s="92" t="n">
        <f aca="false">SUM(P$4:P$503)/COUNTA(A$4:A$503)</f>
        <v>732.59984</v>
      </c>
      <c r="BG376" s="92" t="n">
        <f aca="false">SUM(Q$4:Q$503)/COUNTA(A$4:A$503)</f>
        <v>756.59992</v>
      </c>
      <c r="BH376" s="92" t="n">
        <f aca="false">SUM(R$4:R$503)/COUNTA(A$4:A$503)</f>
        <v>776.40004</v>
      </c>
      <c r="BI376" s="92" t="n">
        <f aca="false">SUM(S$4:S$503)/COUNTA(A$4:A$503)</f>
        <v>806.40012</v>
      </c>
      <c r="BJ376" s="92" t="n">
        <f aca="false">SUM(T$4:T$503)/COUNTA(A$4:A$503)</f>
        <v>826.1999</v>
      </c>
      <c r="BK376" s="92" t="n">
        <f aca="false">SUM(U$4:U$503)/COUNTA(A$4:A$503)</f>
        <v>844.8002</v>
      </c>
      <c r="BL376" s="92" t="n">
        <f aca="false">SUM(V$4:V$503)/COUNTA(A$4:A$503)</f>
        <v>865.7998</v>
      </c>
      <c r="BM376" s="92" t="n">
        <f aca="false">SUM(W$4:W$503)/COUNTA(A$4:A$503)</f>
        <v>888.59982</v>
      </c>
      <c r="BN376" s="93" t="n">
        <f aca="false">SUM(X$4:X$503)/COUNTA(A$4:A$503)</f>
        <v>918.60034</v>
      </c>
      <c r="BO376" s="94" t="s">
        <v>20</v>
      </c>
      <c r="BP376" s="91" t="n">
        <f aca="false">IF(Z376&gt;=BB376,0,IFERROR(BB376+(SUMPRODUCT((Z$4:Z$503&gt;=BB$4:BB$503)*(Z$4:Z$503-BB$4:BB$503))/MAX(1,COUNTIF(Z$4:Z$503,"&lt;"&amp;BB376+0.01))),BB376))</f>
        <v>10695.5432177778</v>
      </c>
      <c r="BQ376" s="92" t="n">
        <f aca="false">IF(AA376&gt;=BC376,0,IFERROR(BC376+SUMPRODUCT((AA$4:AA$503&gt;=BC$4:BC$503)*(AA$4:AA$503-BC$4:BC$503))/MAX(1,COUNTIF(AA$4:AA$503,"&lt;"&amp;BC376+0.01)),BC376))</f>
        <v>2238.46589176471</v>
      </c>
      <c r="BR376" s="92" t="n">
        <f aca="false">IF(AB376&gt;=BD376,0,IFERROR(BD376+SUMPRODUCT((AB$4:AB$503&gt;=BD$4:BD$503)*(AB$4:AB$503-BD$4:BD$503))/MAX(1,COUNTIF(AB$4:AB$503,"&lt;"&amp;BD376+0.01)),BD376))</f>
        <v>3335.2938</v>
      </c>
      <c r="BS376" s="92" t="n">
        <f aca="false">IF(AC376&gt;=BE376,0,IFERROR(BE376+SUMPRODUCT((AC$4:AC$503&gt;=BE$4:BE$503)*(AC$4:AC$503-BE$4:BE$503))/MAX(1,COUNTIF(AC$4:AC$503,"&lt;"&amp;BE376+0.01)),BE376))</f>
        <v>6188.73352</v>
      </c>
      <c r="BT376" s="92" t="n">
        <f aca="false">IF(AD376&gt;=BF376,0,IFERROR(BF376+SUMPRODUCT((AD$4:AD$503&gt;=BF$4:BF$503)*(AD$4:AD$503-BF$4:BF$503))/MAX(1,COUNTIF(AD$4:AD$503,"&lt;"&amp;BF376+0.01)),BF376))</f>
        <v>11354.35411</v>
      </c>
      <c r="BU376" s="92" t="n">
        <f aca="false">IF(AE376&gt;=BG376,0,IFERROR(BG376+SUMPRODUCT((AE$4:AE$503&gt;=BG$4:BG$503)*(AE$4:AE$503-BG$4:BG$503))/MAX(1,COUNTIF(AE$4:AE$503,"&lt;"&amp;BG376+0.01)),BG376))</f>
        <v>7704.85920380952</v>
      </c>
      <c r="BV376" s="92" t="n">
        <f aca="false">IF(AF376&gt;=BH376,0,IFERROR(BH376+SUMPRODUCT((AF$4:AF$503&gt;=BH$4:BH$503)*(AF$4:AF$503-BH$4:BH$503))/MAX(1,COUNTIF(AF$4:AF$503,"&lt;"&amp;BH376+0.01)),BH376))</f>
        <v>9942.6503831579</v>
      </c>
      <c r="BW376" s="92" t="n">
        <f aca="false">IF(AG376&gt;=BI376,0,IFERROR(BI376+SUMPRODUCT((AG$4:AG$503&gt;=BI$4:BI$503)*(AG$4:AG$503-BI$4:BI$503))/MAX(1,COUNTIF(AG$4:AG$503,"&lt;"&amp;BI376+0.01)),BI376))</f>
        <v>9142.15870461538</v>
      </c>
      <c r="BX376" s="92" t="n">
        <f aca="false">IF(AH376&gt;=BJ376,0,IFERROR(BJ376+SUMPRODUCT((AH$4:AH$503&gt;=BJ$4:BJ$503)*(AH$4:AH$503-BJ$4:BJ$503))/MAX(1,COUNTIF(AH$4:AH$503,"&lt;"&amp;BJ376+0.01)),BJ376))</f>
        <v>5621.50263448276</v>
      </c>
      <c r="BY376" s="92" t="n">
        <f aca="false">IF(AI376&gt;=BK376,0,IFERROR(BK376+SUMPRODUCT((AI$4:AI$503&gt;=BK$4:BK$503)*(AI$4:AI$503-BK$4:BK$503))/MAX(1,COUNTIF(AI$4:AI$503,"&lt;"&amp;BK376+0.01)),BK376))</f>
        <v>7878.25652380952</v>
      </c>
      <c r="BZ376" s="92" t="n">
        <f aca="false">IF(AJ376&gt;=BL376,0,IFERROR(BL376+SUMPRODUCT((AJ$4:AJ$503&gt;=BL$4:BL$503)*(AJ$4:AJ$503-BL$4:BL$503))/MAX(1,COUNTIF(AJ$4:AJ$503,"&lt;"&amp;BL376+0.01)),BL376))</f>
        <v>6710.03292307692</v>
      </c>
      <c r="CA376" s="92" t="n">
        <f aca="false">IF(AK376&gt;=BM376,0,IFERROR(BM376+SUMPRODUCT((AK$4:AK$503&gt;=BM$4:BM$503)*(AK$4:AK$503-BM$4:BM$503))/MAX(1,COUNTIF(AK$4:AK$503,"&lt;"&amp;BM376+0.01)),BM376))</f>
        <v>7314.89836842105</v>
      </c>
      <c r="CB376" s="93" t="n">
        <f aca="false">IF(AL376&gt;=BN376,0,IFERROR(BN376+SUMPRODUCT((AL$4:AL$503&gt;=BN$4:BN$503)*(AL$4:AL$503-BN$4:BN$503))/MAX(1,COUNTIF(AL$4:AL$503,"&lt;"&amp;BN376+0.01)),BN376))</f>
        <v>0</v>
      </c>
      <c r="CC376" s="95" t="str">
        <f aca="false">IF(AO376="🟢","VERDE",IF(AO376="🟡","AMARELO",IF(AO376="🟠","VERMELHO",IF(AO376="🔴","VERMELHO","ROXO"))))</f>
        <v>VERMELHO</v>
      </c>
      <c r="CD376" s="96" t="s">
        <v>103</v>
      </c>
      <c r="CE376" s="96" t="s">
        <v>104</v>
      </c>
    </row>
    <row r="377" customFormat="false" ht="14.25" hidden="false" customHeight="true" outlineLevel="0" collapsed="false">
      <c r="A377" s="65" t="s">
        <v>886</v>
      </c>
      <c r="B377" s="66" t="s">
        <v>887</v>
      </c>
      <c r="C377" s="66" t="s">
        <v>102</v>
      </c>
      <c r="D377" s="68" t="s">
        <v>175</v>
      </c>
      <c r="E377" s="69" t="s">
        <v>139</v>
      </c>
      <c r="F377" s="70" t="n">
        <f aca="false">IFERROR(VLOOKUP(C377,$AS$3:$AT$10,2,FALSE()),IFERROR(VLOOKUP(C377,$AS$15:$AT$22,2,FALSE()),""))</f>
        <v>21</v>
      </c>
      <c r="G377" s="71" t="n">
        <f aca="false">IFERROR(VLOOKUP(C377,$AS$3:$AX$10,6,FALSE()),IFERROR(VLOOKUP(C377,$AS$15:$AX$22,6,FALSE()),""))</f>
        <v>0.491514556258592</v>
      </c>
      <c r="H377" s="72" t="str">
        <f aca="false">IFERROR(VLOOKUP(C377,$AS$3:$AY$10,7,FALSE()),IFERROR(VLOOKUP(C377,$AS$15:$AY$22,7,FALSE()),""))</f>
        <v>🟡 AMARELO</v>
      </c>
      <c r="I377" s="72" t="str">
        <f aca="false">IFERROR(VLOOKUP(C377,$AS$3:$AZ$10,8,FALSE()),IFERROR(VLOOKUP(C377,$AS$15:$AZ$22,8,FALSE()),""))</f>
        <v>Sell Out</v>
      </c>
      <c r="J377" s="73"/>
      <c r="K377" s="69" t="s">
        <v>107</v>
      </c>
      <c r="L377" s="74" t="n">
        <v>2474.03</v>
      </c>
      <c r="M377" s="75" t="n">
        <v>173.86</v>
      </c>
      <c r="N377" s="75" t="n">
        <v>181.67</v>
      </c>
      <c r="O377" s="75" t="n">
        <v>186.05</v>
      </c>
      <c r="P377" s="75" t="n">
        <v>190.9</v>
      </c>
      <c r="Q377" s="75" t="n">
        <v>197.15</v>
      </c>
      <c r="R377" s="75" t="n">
        <v>202.31</v>
      </c>
      <c r="S377" s="75" t="n">
        <v>210.13</v>
      </c>
      <c r="T377" s="75" t="n">
        <v>215.29</v>
      </c>
      <c r="U377" s="75" t="n">
        <v>220.14</v>
      </c>
      <c r="V377" s="75" t="n">
        <v>225.61</v>
      </c>
      <c r="W377" s="75" t="n">
        <v>231.55</v>
      </c>
      <c r="X377" s="76" t="n">
        <v>239.37</v>
      </c>
      <c r="Y377" s="77" t="s">
        <v>20</v>
      </c>
      <c r="Z377" s="78" t="n">
        <f aca="false">SUM(AA377:AL377)</f>
        <v>1998.7</v>
      </c>
      <c r="AA377" s="75"/>
      <c r="AB377" s="75"/>
      <c r="AC377" s="75"/>
      <c r="AD377" s="75"/>
      <c r="AE377" s="75"/>
      <c r="AF377" s="75"/>
      <c r="AG377" s="75"/>
      <c r="AH377" s="75"/>
      <c r="AI377" s="75"/>
      <c r="AJ377" s="75" t="n">
        <v>1003.77</v>
      </c>
      <c r="AK377" s="79" t="n">
        <v>994.93</v>
      </c>
      <c r="AL377" s="76"/>
      <c r="AM377" s="56" t="s">
        <v>20</v>
      </c>
      <c r="AN377" s="80" t="n">
        <f aca="false">IF(L377=0,0,Z377/L377)</f>
        <v>0.807872176166012</v>
      </c>
      <c r="AO377" s="81" t="str">
        <f aca="false">IF(AN377="","",IF(AN377&gt;=0.9,"🟢",IF(AN377&gt;=0.7,"🟡",IF(AN377&gt;=0.5,"🟠","🔴"))))</f>
        <v>🟡</v>
      </c>
      <c r="AP377" s="82" t="n">
        <f aca="false">IF(L377=0,0,L377-Z377)</f>
        <v>475.33</v>
      </c>
      <c r="AQ377" s="83" t="n">
        <f aca="false">IF(AP377=0,"",RANK(AP377,AP$4:AP$503,0))</f>
        <v>456</v>
      </c>
      <c r="AR377" s="84" t="s">
        <v>20</v>
      </c>
      <c r="AS377" s="141"/>
      <c r="AT377" s="141"/>
      <c r="AU377" s="141"/>
      <c r="AV377" s="141"/>
      <c r="AW377" s="141"/>
      <c r="AX377" s="141"/>
      <c r="AY377" s="142"/>
      <c r="AZ377" s="142"/>
      <c r="BA377" s="56" t="s">
        <v>20</v>
      </c>
      <c r="BB377" s="91" t="n">
        <f aca="false">SUM(L$4:L$503)/COUNTA(A$4:A$503)</f>
        <v>9494.39992</v>
      </c>
      <c r="BC377" s="92" t="n">
        <f aca="false">SUM(M$4:M$503)/COUNTA(A$4:A$503)</f>
        <v>667.20008</v>
      </c>
      <c r="BD377" s="92" t="n">
        <f aca="false">SUM(N$4:N$503)/COUNTA(A$4:A$503)</f>
        <v>697.19996</v>
      </c>
      <c r="BE377" s="92" t="n">
        <f aca="false">SUM(O$4:O$503)/COUNTA(A$4:A$503)</f>
        <v>713.9999</v>
      </c>
      <c r="BF377" s="92" t="n">
        <f aca="false">SUM(P$4:P$503)/COUNTA(A$4:A$503)</f>
        <v>732.59984</v>
      </c>
      <c r="BG377" s="92" t="n">
        <f aca="false">SUM(Q$4:Q$503)/COUNTA(A$4:A$503)</f>
        <v>756.59992</v>
      </c>
      <c r="BH377" s="92" t="n">
        <f aca="false">SUM(R$4:R$503)/COUNTA(A$4:A$503)</f>
        <v>776.40004</v>
      </c>
      <c r="BI377" s="92" t="n">
        <f aca="false">SUM(S$4:S$503)/COUNTA(A$4:A$503)</f>
        <v>806.40012</v>
      </c>
      <c r="BJ377" s="92" t="n">
        <f aca="false">SUM(T$4:T$503)/COUNTA(A$4:A$503)</f>
        <v>826.1999</v>
      </c>
      <c r="BK377" s="92" t="n">
        <f aca="false">SUM(U$4:U$503)/COUNTA(A$4:A$503)</f>
        <v>844.8002</v>
      </c>
      <c r="BL377" s="92" t="n">
        <f aca="false">SUM(V$4:V$503)/COUNTA(A$4:A$503)</f>
        <v>865.7998</v>
      </c>
      <c r="BM377" s="92" t="n">
        <f aca="false">SUM(W$4:W$503)/COUNTA(A$4:A$503)</f>
        <v>888.59982</v>
      </c>
      <c r="BN377" s="93" t="n">
        <f aca="false">SUM(X$4:X$503)/COUNTA(A$4:A$503)</f>
        <v>918.60034</v>
      </c>
      <c r="BO377" s="94" t="s">
        <v>20</v>
      </c>
      <c r="BP377" s="91" t="n">
        <f aca="false">IF(Z377&gt;=BB377,0,IFERROR(BB377+(SUMPRODUCT((Z$4:Z$503&gt;=BB$4:BB$503)*(Z$4:Z$503-BB$4:BB$503))/MAX(1,COUNTIF(Z$4:Z$503,"&lt;"&amp;BB377+0.01))),BB377))</f>
        <v>10695.5432177778</v>
      </c>
      <c r="BQ377" s="92" t="n">
        <f aca="false">IF(AA377&gt;=BC377,0,IFERROR(BC377+SUMPRODUCT((AA$4:AA$503&gt;=BC$4:BC$503)*(AA$4:AA$503-BC$4:BC$503))/MAX(1,COUNTIF(AA$4:AA$503,"&lt;"&amp;BC377+0.01)),BC377))</f>
        <v>2238.46589176471</v>
      </c>
      <c r="BR377" s="92" t="n">
        <f aca="false">IF(AB377&gt;=BD377,0,IFERROR(BD377+SUMPRODUCT((AB$4:AB$503&gt;=BD$4:BD$503)*(AB$4:AB$503-BD$4:BD$503))/MAX(1,COUNTIF(AB$4:AB$503,"&lt;"&amp;BD377+0.01)),BD377))</f>
        <v>3335.2938</v>
      </c>
      <c r="BS377" s="92" t="n">
        <f aca="false">IF(AC377&gt;=BE377,0,IFERROR(BE377+SUMPRODUCT((AC$4:AC$503&gt;=BE$4:BE$503)*(AC$4:AC$503-BE$4:BE$503))/MAX(1,COUNTIF(AC$4:AC$503,"&lt;"&amp;BE377+0.01)),BE377))</f>
        <v>6188.73352</v>
      </c>
      <c r="BT377" s="92" t="n">
        <f aca="false">IF(AD377&gt;=BF377,0,IFERROR(BF377+SUMPRODUCT((AD$4:AD$503&gt;=BF$4:BF$503)*(AD$4:AD$503-BF$4:BF$503))/MAX(1,COUNTIF(AD$4:AD$503,"&lt;"&amp;BF377+0.01)),BF377))</f>
        <v>11354.35411</v>
      </c>
      <c r="BU377" s="92" t="n">
        <f aca="false">IF(AE377&gt;=BG377,0,IFERROR(BG377+SUMPRODUCT((AE$4:AE$503&gt;=BG$4:BG$503)*(AE$4:AE$503-BG$4:BG$503))/MAX(1,COUNTIF(AE$4:AE$503,"&lt;"&amp;BG377+0.01)),BG377))</f>
        <v>7704.85920380952</v>
      </c>
      <c r="BV377" s="92" t="n">
        <f aca="false">IF(AF377&gt;=BH377,0,IFERROR(BH377+SUMPRODUCT((AF$4:AF$503&gt;=BH$4:BH$503)*(AF$4:AF$503-BH$4:BH$503))/MAX(1,COUNTIF(AF$4:AF$503,"&lt;"&amp;BH377+0.01)),BH377))</f>
        <v>9942.6503831579</v>
      </c>
      <c r="BW377" s="92" t="n">
        <f aca="false">IF(AG377&gt;=BI377,0,IFERROR(BI377+SUMPRODUCT((AG$4:AG$503&gt;=BI$4:BI$503)*(AG$4:AG$503-BI$4:BI$503))/MAX(1,COUNTIF(AG$4:AG$503,"&lt;"&amp;BI377+0.01)),BI377))</f>
        <v>9142.15870461538</v>
      </c>
      <c r="BX377" s="92" t="n">
        <f aca="false">IF(AH377&gt;=BJ377,0,IFERROR(BJ377+SUMPRODUCT((AH$4:AH$503&gt;=BJ$4:BJ$503)*(AH$4:AH$503-BJ$4:BJ$503))/MAX(1,COUNTIF(AH$4:AH$503,"&lt;"&amp;BJ377+0.01)),BJ377))</f>
        <v>5621.50263448276</v>
      </c>
      <c r="BY377" s="92" t="n">
        <f aca="false">IF(AI377&gt;=BK377,0,IFERROR(BK377+SUMPRODUCT((AI$4:AI$503&gt;=BK$4:BK$503)*(AI$4:AI$503-BK$4:BK$503))/MAX(1,COUNTIF(AI$4:AI$503,"&lt;"&amp;BK377+0.01)),BK377))</f>
        <v>7878.25652380952</v>
      </c>
      <c r="BZ377" s="92" t="n">
        <f aca="false">IF(AJ377&gt;=BL377,0,IFERROR(BL377+SUMPRODUCT((AJ$4:AJ$503&gt;=BL$4:BL$503)*(AJ$4:AJ$503-BL$4:BL$503))/MAX(1,COUNTIF(AJ$4:AJ$503,"&lt;"&amp;BL377+0.01)),BL377))</f>
        <v>0</v>
      </c>
      <c r="CA377" s="92" t="n">
        <f aca="false">IF(AK377&gt;=BM377,0,IFERROR(BM377+SUMPRODUCT((AK$4:AK$503&gt;=BM$4:BM$503)*(AK$4:AK$503-BM$4:BM$503))/MAX(1,COUNTIF(AK$4:AK$503,"&lt;"&amp;BM377+0.01)),BM377))</f>
        <v>0</v>
      </c>
      <c r="CB377" s="93" t="n">
        <f aca="false">IF(AL377&gt;=BN377,0,IFERROR(BN377+SUMPRODUCT((AL$4:AL$503&gt;=BN$4:BN$503)*(AL$4:AL$503-BN$4:BN$503))/MAX(1,COUNTIF(AL$4:AL$503,"&lt;"&amp;BN377+0.01)),BN377))</f>
        <v>3597.2614925</v>
      </c>
      <c r="CC377" s="95" t="str">
        <f aca="false">IF(AO377="🟢","VERDE",IF(AO377="🟡","AMARELO",IF(AO377="🟠","VERMELHO",IF(AO377="🔴","VERMELHO","ROXO"))))</f>
        <v>AMARELO</v>
      </c>
      <c r="CD377" s="96" t="s">
        <v>176</v>
      </c>
      <c r="CE377" s="96" t="s">
        <v>102</v>
      </c>
    </row>
    <row r="378" customFormat="false" ht="14.25" hidden="false" customHeight="true" outlineLevel="0" collapsed="false">
      <c r="A378" s="65" t="s">
        <v>888</v>
      </c>
      <c r="B378" s="66" t="s">
        <v>889</v>
      </c>
      <c r="C378" s="66" t="s">
        <v>102</v>
      </c>
      <c r="D378" s="68" t="s">
        <v>175</v>
      </c>
      <c r="E378" s="69" t="s">
        <v>139</v>
      </c>
      <c r="F378" s="70" t="n">
        <f aca="false">IFERROR(VLOOKUP(C378,$AS$3:$AT$10,2,FALSE()),IFERROR(VLOOKUP(C378,$AS$15:$AT$22,2,FALSE()),""))</f>
        <v>21</v>
      </c>
      <c r="G378" s="71" t="n">
        <f aca="false">IFERROR(VLOOKUP(C378,$AS$3:$AX$10,6,FALSE()),IFERROR(VLOOKUP(C378,$AS$15:$AX$22,6,FALSE()),""))</f>
        <v>0.491514556258592</v>
      </c>
      <c r="H378" s="72" t="str">
        <f aca="false">IFERROR(VLOOKUP(C378,$AS$3:$AY$10,7,FALSE()),IFERROR(VLOOKUP(C378,$AS$15:$AY$22,7,FALSE()),""))</f>
        <v>🟡 AMARELO</v>
      </c>
      <c r="I378" s="72" t="str">
        <f aca="false">IFERROR(VLOOKUP(C378,$AS$3:$AZ$10,8,FALSE()),IFERROR(VLOOKUP(C378,$AS$15:$AZ$22,8,FALSE()),""))</f>
        <v>Sell Out</v>
      </c>
      <c r="J378" s="73"/>
      <c r="K378" s="69" t="s">
        <v>107</v>
      </c>
      <c r="L378" s="74" t="n">
        <v>2472.39</v>
      </c>
      <c r="M378" s="75" t="n">
        <v>173.74</v>
      </c>
      <c r="N378" s="75" t="n">
        <v>181.55</v>
      </c>
      <c r="O378" s="75" t="n">
        <v>185.93</v>
      </c>
      <c r="P378" s="75" t="n">
        <v>190.77</v>
      </c>
      <c r="Q378" s="75" t="n">
        <v>197.02</v>
      </c>
      <c r="R378" s="75" t="n">
        <v>202.18</v>
      </c>
      <c r="S378" s="75" t="n">
        <v>209.99</v>
      </c>
      <c r="T378" s="75" t="n">
        <v>215.15</v>
      </c>
      <c r="U378" s="75" t="n">
        <v>219.99</v>
      </c>
      <c r="V378" s="75" t="n">
        <v>225.46</v>
      </c>
      <c r="W378" s="75" t="n">
        <v>231.4</v>
      </c>
      <c r="X378" s="76" t="n">
        <v>239.21</v>
      </c>
      <c r="Y378" s="77" t="s">
        <v>20</v>
      </c>
      <c r="Z378" s="78" t="n">
        <f aca="false">SUM(AA378:AL378)</f>
        <v>1998.04</v>
      </c>
      <c r="AA378" s="75"/>
      <c r="AB378" s="75"/>
      <c r="AC378" s="75"/>
      <c r="AD378" s="75"/>
      <c r="AE378" s="75"/>
      <c r="AF378" s="75"/>
      <c r="AG378" s="75"/>
      <c r="AH378" s="75"/>
      <c r="AI378" s="75"/>
      <c r="AJ378" s="75" t="n">
        <v>1003.77</v>
      </c>
      <c r="AK378" s="79" t="n">
        <v>994.27</v>
      </c>
      <c r="AL378" s="76"/>
      <c r="AM378" s="56" t="s">
        <v>20</v>
      </c>
      <c r="AN378" s="80" t="n">
        <f aca="false">IF(L378=0,0,Z378/L378)</f>
        <v>0.808141110423517</v>
      </c>
      <c r="AO378" s="81" t="str">
        <f aca="false">IF(AN378="","",IF(AN378&gt;=0.9,"🟢",IF(AN378&gt;=0.7,"🟡",IF(AN378&gt;=0.5,"🟠","🔴"))))</f>
        <v>🟡</v>
      </c>
      <c r="AP378" s="82" t="n">
        <f aca="false">IF(L378=0,0,L378-Z378)</f>
        <v>474.35</v>
      </c>
      <c r="AQ378" s="83" t="n">
        <f aca="false">IF(AP378=0,"",RANK(AP378,AP$4:AP$503,0))</f>
        <v>457</v>
      </c>
      <c r="AR378" s="84" t="s">
        <v>20</v>
      </c>
      <c r="AS378" s="141"/>
      <c r="AT378" s="141"/>
      <c r="AU378" s="141"/>
      <c r="AV378" s="141"/>
      <c r="AW378" s="141"/>
      <c r="AX378" s="141"/>
      <c r="AY378" s="142"/>
      <c r="AZ378" s="142"/>
      <c r="BA378" s="56" t="s">
        <v>20</v>
      </c>
      <c r="BB378" s="91" t="n">
        <f aca="false">SUM(L$4:L$503)/COUNTA(A$4:A$503)</f>
        <v>9494.39992</v>
      </c>
      <c r="BC378" s="92" t="n">
        <f aca="false">SUM(M$4:M$503)/COUNTA(A$4:A$503)</f>
        <v>667.20008</v>
      </c>
      <c r="BD378" s="92" t="n">
        <f aca="false">SUM(N$4:N$503)/COUNTA(A$4:A$503)</f>
        <v>697.19996</v>
      </c>
      <c r="BE378" s="92" t="n">
        <f aca="false">SUM(O$4:O$503)/COUNTA(A$4:A$503)</f>
        <v>713.9999</v>
      </c>
      <c r="BF378" s="92" t="n">
        <f aca="false">SUM(P$4:P$503)/COUNTA(A$4:A$503)</f>
        <v>732.59984</v>
      </c>
      <c r="BG378" s="92" t="n">
        <f aca="false">SUM(Q$4:Q$503)/COUNTA(A$4:A$503)</f>
        <v>756.59992</v>
      </c>
      <c r="BH378" s="92" t="n">
        <f aca="false">SUM(R$4:R$503)/COUNTA(A$4:A$503)</f>
        <v>776.40004</v>
      </c>
      <c r="BI378" s="92" t="n">
        <f aca="false">SUM(S$4:S$503)/COUNTA(A$4:A$503)</f>
        <v>806.40012</v>
      </c>
      <c r="BJ378" s="92" t="n">
        <f aca="false">SUM(T$4:T$503)/COUNTA(A$4:A$503)</f>
        <v>826.1999</v>
      </c>
      <c r="BK378" s="92" t="n">
        <f aca="false">SUM(U$4:U$503)/COUNTA(A$4:A$503)</f>
        <v>844.8002</v>
      </c>
      <c r="BL378" s="92" t="n">
        <f aca="false">SUM(V$4:V$503)/COUNTA(A$4:A$503)</f>
        <v>865.7998</v>
      </c>
      <c r="BM378" s="92" t="n">
        <f aca="false">SUM(W$4:W$503)/COUNTA(A$4:A$503)</f>
        <v>888.59982</v>
      </c>
      <c r="BN378" s="93" t="n">
        <f aca="false">SUM(X$4:X$503)/COUNTA(A$4:A$503)</f>
        <v>918.60034</v>
      </c>
      <c r="BO378" s="94" t="s">
        <v>20</v>
      </c>
      <c r="BP378" s="91" t="n">
        <f aca="false">IF(Z378&gt;=BB378,0,IFERROR(BB378+(SUMPRODUCT((Z$4:Z$503&gt;=BB$4:BB$503)*(Z$4:Z$503-BB$4:BB$503))/MAX(1,COUNTIF(Z$4:Z$503,"&lt;"&amp;BB378+0.01))),BB378))</f>
        <v>10695.5432177778</v>
      </c>
      <c r="BQ378" s="92" t="n">
        <f aca="false">IF(AA378&gt;=BC378,0,IFERROR(BC378+SUMPRODUCT((AA$4:AA$503&gt;=BC$4:BC$503)*(AA$4:AA$503-BC$4:BC$503))/MAX(1,COUNTIF(AA$4:AA$503,"&lt;"&amp;BC378+0.01)),BC378))</f>
        <v>2238.46589176471</v>
      </c>
      <c r="BR378" s="92" t="n">
        <f aca="false">IF(AB378&gt;=BD378,0,IFERROR(BD378+SUMPRODUCT((AB$4:AB$503&gt;=BD$4:BD$503)*(AB$4:AB$503-BD$4:BD$503))/MAX(1,COUNTIF(AB$4:AB$503,"&lt;"&amp;BD378+0.01)),BD378))</f>
        <v>3335.2938</v>
      </c>
      <c r="BS378" s="92" t="n">
        <f aca="false">IF(AC378&gt;=BE378,0,IFERROR(BE378+SUMPRODUCT((AC$4:AC$503&gt;=BE$4:BE$503)*(AC$4:AC$503-BE$4:BE$503))/MAX(1,COUNTIF(AC$4:AC$503,"&lt;"&amp;BE378+0.01)),BE378))</f>
        <v>6188.73352</v>
      </c>
      <c r="BT378" s="92" t="n">
        <f aca="false">IF(AD378&gt;=BF378,0,IFERROR(BF378+SUMPRODUCT((AD$4:AD$503&gt;=BF$4:BF$503)*(AD$4:AD$503-BF$4:BF$503))/MAX(1,COUNTIF(AD$4:AD$503,"&lt;"&amp;BF378+0.01)),BF378))</f>
        <v>11354.35411</v>
      </c>
      <c r="BU378" s="92" t="n">
        <f aca="false">IF(AE378&gt;=BG378,0,IFERROR(BG378+SUMPRODUCT((AE$4:AE$503&gt;=BG$4:BG$503)*(AE$4:AE$503-BG$4:BG$503))/MAX(1,COUNTIF(AE$4:AE$503,"&lt;"&amp;BG378+0.01)),BG378))</f>
        <v>7704.85920380952</v>
      </c>
      <c r="BV378" s="92" t="n">
        <f aca="false">IF(AF378&gt;=BH378,0,IFERROR(BH378+SUMPRODUCT((AF$4:AF$503&gt;=BH$4:BH$503)*(AF$4:AF$503-BH$4:BH$503))/MAX(1,COUNTIF(AF$4:AF$503,"&lt;"&amp;BH378+0.01)),BH378))</f>
        <v>9942.6503831579</v>
      </c>
      <c r="BW378" s="92" t="n">
        <f aca="false">IF(AG378&gt;=BI378,0,IFERROR(BI378+SUMPRODUCT((AG$4:AG$503&gt;=BI$4:BI$503)*(AG$4:AG$503-BI$4:BI$503))/MAX(1,COUNTIF(AG$4:AG$503,"&lt;"&amp;BI378+0.01)),BI378))</f>
        <v>9142.15870461538</v>
      </c>
      <c r="BX378" s="92" t="n">
        <f aca="false">IF(AH378&gt;=BJ378,0,IFERROR(BJ378+SUMPRODUCT((AH$4:AH$503&gt;=BJ$4:BJ$503)*(AH$4:AH$503-BJ$4:BJ$503))/MAX(1,COUNTIF(AH$4:AH$503,"&lt;"&amp;BJ378+0.01)),BJ378))</f>
        <v>5621.50263448276</v>
      </c>
      <c r="BY378" s="92" t="n">
        <f aca="false">IF(AI378&gt;=BK378,0,IFERROR(BK378+SUMPRODUCT((AI$4:AI$503&gt;=BK$4:BK$503)*(AI$4:AI$503-BK$4:BK$503))/MAX(1,COUNTIF(AI$4:AI$503,"&lt;"&amp;BK378+0.01)),BK378))</f>
        <v>7878.25652380952</v>
      </c>
      <c r="BZ378" s="92" t="n">
        <f aca="false">IF(AJ378&gt;=BL378,0,IFERROR(BL378+SUMPRODUCT((AJ$4:AJ$503&gt;=BL$4:BL$503)*(AJ$4:AJ$503-BL$4:BL$503))/MAX(1,COUNTIF(AJ$4:AJ$503,"&lt;"&amp;BL378+0.01)),BL378))</f>
        <v>0</v>
      </c>
      <c r="CA378" s="92" t="n">
        <f aca="false">IF(AK378&gt;=BM378,0,IFERROR(BM378+SUMPRODUCT((AK$4:AK$503&gt;=BM$4:BM$503)*(AK$4:AK$503-BM$4:BM$503))/MAX(1,COUNTIF(AK$4:AK$503,"&lt;"&amp;BM378+0.01)),BM378))</f>
        <v>0</v>
      </c>
      <c r="CB378" s="93" t="n">
        <f aca="false">IF(AL378&gt;=BN378,0,IFERROR(BN378+SUMPRODUCT((AL$4:AL$503&gt;=BN$4:BN$503)*(AL$4:AL$503-BN$4:BN$503))/MAX(1,COUNTIF(AL$4:AL$503,"&lt;"&amp;BN378+0.01)),BN378))</f>
        <v>3597.2614925</v>
      </c>
      <c r="CC378" s="95" t="str">
        <f aca="false">IF(AO378="🟢","VERDE",IF(AO378="🟡","AMARELO",IF(AO378="🟠","VERMELHO",IF(AO378="🔴","VERMELHO","ROXO"))))</f>
        <v>AMARELO</v>
      </c>
      <c r="CD378" s="96" t="s">
        <v>176</v>
      </c>
      <c r="CE378" s="96" t="s">
        <v>102</v>
      </c>
    </row>
    <row r="379" customFormat="false" ht="14.25" hidden="false" customHeight="true" outlineLevel="0" collapsed="false">
      <c r="A379" s="65" t="s">
        <v>890</v>
      </c>
      <c r="B379" s="66" t="s">
        <v>891</v>
      </c>
      <c r="C379" s="67" t="s">
        <v>99</v>
      </c>
      <c r="D379" s="68" t="s">
        <v>100</v>
      </c>
      <c r="E379" s="69" t="s">
        <v>127</v>
      </c>
      <c r="F379" s="70" t="n">
        <f aca="false">IFERROR(VLOOKUP(C379,$AS$3:$AT$10,2,FALSE()),IFERROR(VLOOKUP(C379,$AS$15:$AT$22,2,FALSE()),""))</f>
        <v>33</v>
      </c>
      <c r="G379" s="71" t="n">
        <f aca="false">IFERROR(VLOOKUP(C379,$AS$3:$AX$10,6,FALSE()),IFERROR(VLOOKUP(C379,$AS$15:$AX$22,6,FALSE()),""))</f>
        <v>0.341494038351172</v>
      </c>
      <c r="H379" s="72" t="str">
        <f aca="false">IFERROR(VLOOKUP(C379,$AS$3:$AY$10,7,FALSE()),IFERROR(VLOOKUP(C379,$AS$15:$AY$22,7,FALSE()),""))</f>
        <v>🔴 VERMELHO</v>
      </c>
      <c r="I379" s="72" t="str">
        <f aca="false">IFERROR(VLOOKUP(C379,$AS$3:$AZ$10,8,FALSE()),IFERROR(VLOOKUP(C379,$AS$15:$AZ$22,8,FALSE()),""))</f>
        <v>Positivação + Expandir</v>
      </c>
      <c r="J379" s="73"/>
      <c r="K379" s="69" t="s">
        <v>99</v>
      </c>
      <c r="L379" s="74" t="n">
        <v>2469.79</v>
      </c>
      <c r="M379" s="75" t="n">
        <v>173.56</v>
      </c>
      <c r="N379" s="75" t="n">
        <v>181.36</v>
      </c>
      <c r="O379" s="75" t="n">
        <v>185.73</v>
      </c>
      <c r="P379" s="75" t="n">
        <v>190.57</v>
      </c>
      <c r="Q379" s="75" t="n">
        <v>196.82</v>
      </c>
      <c r="R379" s="75" t="n">
        <v>201.97</v>
      </c>
      <c r="S379" s="75" t="n">
        <v>209.77</v>
      </c>
      <c r="T379" s="75" t="n">
        <v>214.92</v>
      </c>
      <c r="U379" s="75" t="n">
        <v>219.76</v>
      </c>
      <c r="V379" s="75" t="n">
        <v>225.22</v>
      </c>
      <c r="W379" s="75" t="n">
        <v>231.15</v>
      </c>
      <c r="X379" s="76" t="n">
        <v>238.96</v>
      </c>
      <c r="Y379" s="77" t="s">
        <v>20</v>
      </c>
      <c r="Z379" s="78" t="n">
        <f aca="false">SUM(AA379:AL379)</f>
        <v>2101.48</v>
      </c>
      <c r="AA379" s="75"/>
      <c r="AB379" s="75"/>
      <c r="AC379" s="75" t="n">
        <v>1108.25</v>
      </c>
      <c r="AD379" s="79" t="n">
        <v>993.23</v>
      </c>
      <c r="AE379" s="75"/>
      <c r="AF379" s="75"/>
      <c r="AG379" s="75"/>
      <c r="AH379" s="75"/>
      <c r="AI379" s="75"/>
      <c r="AJ379" s="75"/>
      <c r="AK379" s="75"/>
      <c r="AL379" s="76"/>
      <c r="AM379" s="56" t="s">
        <v>20</v>
      </c>
      <c r="AN379" s="80" t="n">
        <f aca="false">IF(L379=0,0,Z379/L379)</f>
        <v>0.850873960944048</v>
      </c>
      <c r="AO379" s="81" t="str">
        <f aca="false">IF(AN379="","",IF(AN379&gt;=0.9,"🟢",IF(AN379&gt;=0.7,"🟡",IF(AN379&gt;=0.5,"🟠","🔴"))))</f>
        <v>🟡</v>
      </c>
      <c r="AP379" s="82" t="n">
        <f aca="false">IF(L379=0,0,L379-Z379)</f>
        <v>368.31</v>
      </c>
      <c r="AQ379" s="83" t="n">
        <f aca="false">IF(AP379=0,"",RANK(AP379,AP$4:AP$503,0))</f>
        <v>465</v>
      </c>
      <c r="AR379" s="84" t="s">
        <v>20</v>
      </c>
      <c r="AS379" s="141"/>
      <c r="AT379" s="141"/>
      <c r="AU379" s="141"/>
      <c r="AV379" s="141"/>
      <c r="AW379" s="141"/>
      <c r="AX379" s="141"/>
      <c r="AY379" s="142"/>
      <c r="AZ379" s="142"/>
      <c r="BA379" s="56" t="s">
        <v>20</v>
      </c>
      <c r="BB379" s="91" t="n">
        <f aca="false">SUM(L$4:L$503)/COUNTA(A$4:A$503)</f>
        <v>9494.39992</v>
      </c>
      <c r="BC379" s="92" t="n">
        <f aca="false">SUM(M$4:M$503)/COUNTA(A$4:A$503)</f>
        <v>667.20008</v>
      </c>
      <c r="BD379" s="92" t="n">
        <f aca="false">SUM(N$4:N$503)/COUNTA(A$4:A$503)</f>
        <v>697.19996</v>
      </c>
      <c r="BE379" s="92" t="n">
        <f aca="false">SUM(O$4:O$503)/COUNTA(A$4:A$503)</f>
        <v>713.9999</v>
      </c>
      <c r="BF379" s="92" t="n">
        <f aca="false">SUM(P$4:P$503)/COUNTA(A$4:A$503)</f>
        <v>732.59984</v>
      </c>
      <c r="BG379" s="92" t="n">
        <f aca="false">SUM(Q$4:Q$503)/COUNTA(A$4:A$503)</f>
        <v>756.59992</v>
      </c>
      <c r="BH379" s="92" t="n">
        <f aca="false">SUM(R$4:R$503)/COUNTA(A$4:A$503)</f>
        <v>776.40004</v>
      </c>
      <c r="BI379" s="92" t="n">
        <f aca="false">SUM(S$4:S$503)/COUNTA(A$4:A$503)</f>
        <v>806.40012</v>
      </c>
      <c r="BJ379" s="92" t="n">
        <f aca="false">SUM(T$4:T$503)/COUNTA(A$4:A$503)</f>
        <v>826.1999</v>
      </c>
      <c r="BK379" s="92" t="n">
        <f aca="false">SUM(U$4:U$503)/COUNTA(A$4:A$503)</f>
        <v>844.8002</v>
      </c>
      <c r="BL379" s="92" t="n">
        <f aca="false">SUM(V$4:V$503)/COUNTA(A$4:A$503)</f>
        <v>865.7998</v>
      </c>
      <c r="BM379" s="92" t="n">
        <f aca="false">SUM(W$4:W$503)/COUNTA(A$4:A$503)</f>
        <v>888.59982</v>
      </c>
      <c r="BN379" s="93" t="n">
        <f aca="false">SUM(X$4:X$503)/COUNTA(A$4:A$503)</f>
        <v>918.60034</v>
      </c>
      <c r="BO379" s="94" t="s">
        <v>20</v>
      </c>
      <c r="BP379" s="91" t="n">
        <f aca="false">IF(Z379&gt;=BB379,0,IFERROR(BB379+(SUMPRODUCT((Z$4:Z$503&gt;=BB$4:BB$503)*(Z$4:Z$503-BB$4:BB$503))/MAX(1,COUNTIF(Z$4:Z$503,"&lt;"&amp;BB379+0.01))),BB379))</f>
        <v>10695.5432177778</v>
      </c>
      <c r="BQ379" s="92" t="n">
        <f aca="false">IF(AA379&gt;=BC379,0,IFERROR(BC379+SUMPRODUCT((AA$4:AA$503&gt;=BC$4:BC$503)*(AA$4:AA$503-BC$4:BC$503))/MAX(1,COUNTIF(AA$4:AA$503,"&lt;"&amp;BC379+0.01)),BC379))</f>
        <v>2238.46589176471</v>
      </c>
      <c r="BR379" s="92" t="n">
        <f aca="false">IF(AB379&gt;=BD379,0,IFERROR(BD379+SUMPRODUCT((AB$4:AB$503&gt;=BD$4:BD$503)*(AB$4:AB$503-BD$4:BD$503))/MAX(1,COUNTIF(AB$4:AB$503,"&lt;"&amp;BD379+0.01)),BD379))</f>
        <v>3335.2938</v>
      </c>
      <c r="BS379" s="92" t="n">
        <f aca="false">IF(AC379&gt;=BE379,0,IFERROR(BE379+SUMPRODUCT((AC$4:AC$503&gt;=BE$4:BE$503)*(AC$4:AC$503-BE$4:BE$503))/MAX(1,COUNTIF(AC$4:AC$503,"&lt;"&amp;BE379+0.01)),BE379))</f>
        <v>0</v>
      </c>
      <c r="BT379" s="92" t="n">
        <f aca="false">IF(AD379&gt;=BF379,0,IFERROR(BF379+SUMPRODUCT((AD$4:AD$503&gt;=BF$4:BF$503)*(AD$4:AD$503-BF$4:BF$503))/MAX(1,COUNTIF(AD$4:AD$503,"&lt;"&amp;BF379+0.01)),BF379))</f>
        <v>0</v>
      </c>
      <c r="BU379" s="92" t="n">
        <f aca="false">IF(AE379&gt;=BG379,0,IFERROR(BG379+SUMPRODUCT((AE$4:AE$503&gt;=BG$4:BG$503)*(AE$4:AE$503-BG$4:BG$503))/MAX(1,COUNTIF(AE$4:AE$503,"&lt;"&amp;BG379+0.01)),BG379))</f>
        <v>7704.85920380952</v>
      </c>
      <c r="BV379" s="92" t="n">
        <f aca="false">IF(AF379&gt;=BH379,0,IFERROR(BH379+SUMPRODUCT((AF$4:AF$503&gt;=BH$4:BH$503)*(AF$4:AF$503-BH$4:BH$503))/MAX(1,COUNTIF(AF$4:AF$503,"&lt;"&amp;BH379+0.01)),BH379))</f>
        <v>9942.6503831579</v>
      </c>
      <c r="BW379" s="92" t="n">
        <f aca="false">IF(AG379&gt;=BI379,0,IFERROR(BI379+SUMPRODUCT((AG$4:AG$503&gt;=BI$4:BI$503)*(AG$4:AG$503-BI$4:BI$503))/MAX(1,COUNTIF(AG$4:AG$503,"&lt;"&amp;BI379+0.01)),BI379))</f>
        <v>9142.15870461538</v>
      </c>
      <c r="BX379" s="92" t="n">
        <f aca="false">IF(AH379&gt;=BJ379,0,IFERROR(BJ379+SUMPRODUCT((AH$4:AH$503&gt;=BJ$4:BJ$503)*(AH$4:AH$503-BJ$4:BJ$503))/MAX(1,COUNTIF(AH$4:AH$503,"&lt;"&amp;BJ379+0.01)),BJ379))</f>
        <v>5621.50263448276</v>
      </c>
      <c r="BY379" s="92" t="n">
        <f aca="false">IF(AI379&gt;=BK379,0,IFERROR(BK379+SUMPRODUCT((AI$4:AI$503&gt;=BK$4:BK$503)*(AI$4:AI$503-BK$4:BK$503))/MAX(1,COUNTIF(AI$4:AI$503,"&lt;"&amp;BK379+0.01)),BK379))</f>
        <v>7878.25652380952</v>
      </c>
      <c r="BZ379" s="92" t="n">
        <f aca="false">IF(AJ379&gt;=BL379,0,IFERROR(BL379+SUMPRODUCT((AJ$4:AJ$503&gt;=BL$4:BL$503)*(AJ$4:AJ$503-BL$4:BL$503))/MAX(1,COUNTIF(AJ$4:AJ$503,"&lt;"&amp;BL379+0.01)),BL379))</f>
        <v>6710.03292307692</v>
      </c>
      <c r="CA379" s="92" t="n">
        <f aca="false">IF(AK379&gt;=BM379,0,IFERROR(BM379+SUMPRODUCT((AK$4:AK$503&gt;=BM$4:BM$503)*(AK$4:AK$503-BM$4:BM$503))/MAX(1,COUNTIF(AK$4:AK$503,"&lt;"&amp;BM379+0.01)),BM379))</f>
        <v>7314.89836842105</v>
      </c>
      <c r="CB379" s="93" t="n">
        <f aca="false">IF(AL379&gt;=BN379,0,IFERROR(BN379+SUMPRODUCT((AL$4:AL$503&gt;=BN$4:BN$503)*(AL$4:AL$503-BN$4:BN$503))/MAX(1,COUNTIF(AL$4:AL$503,"&lt;"&amp;BN379+0.01)),BN379))</f>
        <v>3597.2614925</v>
      </c>
      <c r="CC379" s="95" t="str">
        <f aca="false">IF(AO379="🟢","VERDE",IF(AO379="🟡","AMARELO",IF(AO379="🟠","VERMELHO",IF(AO379="🔴","VERMELHO","ROXO"))))</f>
        <v>AMARELO</v>
      </c>
      <c r="CD379" s="96" t="s">
        <v>103</v>
      </c>
      <c r="CE379" s="96" t="s">
        <v>104</v>
      </c>
    </row>
    <row r="380" customFormat="false" ht="14.25" hidden="false" customHeight="true" outlineLevel="0" collapsed="false">
      <c r="A380" s="65" t="s">
        <v>892</v>
      </c>
      <c r="B380" s="66" t="s">
        <v>893</v>
      </c>
      <c r="C380" s="67" t="s">
        <v>149</v>
      </c>
      <c r="D380" s="68" t="s">
        <v>100</v>
      </c>
      <c r="E380" s="69" t="s">
        <v>119</v>
      </c>
      <c r="F380" s="70" t="n">
        <f aca="false">IFERROR(VLOOKUP(C380,$AS$3:$AT$10,2,FALSE()),IFERROR(VLOOKUP(C380,$AS$15:$AT$22,2,FALSE()),""))</f>
        <v>29</v>
      </c>
      <c r="G380" s="71" t="n">
        <f aca="false">IFERROR(VLOOKUP(C380,$AS$3:$AX$10,6,FALSE()),IFERROR(VLOOKUP(C380,$AS$15:$AX$22,6,FALSE()),""))</f>
        <v>0.425845065256079</v>
      </c>
      <c r="H380" s="72" t="str">
        <f aca="false">IFERROR(VLOOKUP(C380,$AS$3:$AY$10,7,FALSE()),IFERROR(VLOOKUP(C380,$AS$15:$AY$22,7,FALSE()),""))</f>
        <v>🟡 AMARELO</v>
      </c>
      <c r="I380" s="72" t="str">
        <f aca="false">IFERROR(VLOOKUP(C380,$AS$3:$AZ$10,8,FALSE()),IFERROR(VLOOKUP(C380,$AS$15:$AZ$22,8,FALSE()),""))</f>
        <v>Sell Out</v>
      </c>
      <c r="J380" s="73"/>
      <c r="K380" s="69" t="s">
        <v>149</v>
      </c>
      <c r="L380" s="74" t="n">
        <v>2463.08</v>
      </c>
      <c r="M380" s="75" t="n">
        <v>173.09</v>
      </c>
      <c r="N380" s="75" t="n">
        <v>180.87</v>
      </c>
      <c r="O380" s="75" t="n">
        <v>185.23</v>
      </c>
      <c r="P380" s="75" t="n">
        <v>190.05</v>
      </c>
      <c r="Q380" s="75" t="n">
        <v>196.28</v>
      </c>
      <c r="R380" s="75" t="n">
        <v>201.42</v>
      </c>
      <c r="S380" s="75" t="n">
        <v>209.2</v>
      </c>
      <c r="T380" s="75" t="n">
        <v>214.34</v>
      </c>
      <c r="U380" s="75" t="n">
        <v>219.16</v>
      </c>
      <c r="V380" s="75" t="n">
        <v>224.61</v>
      </c>
      <c r="W380" s="75" t="n">
        <v>230.52</v>
      </c>
      <c r="X380" s="76" t="n">
        <v>238.31</v>
      </c>
      <c r="Y380" s="77" t="s">
        <v>20</v>
      </c>
      <c r="Z380" s="78" t="n">
        <f aca="false">SUM(AA380:AL380)</f>
        <v>990.53</v>
      </c>
      <c r="AA380" s="75"/>
      <c r="AB380" s="75"/>
      <c r="AC380" s="79" t="n">
        <v>990.53</v>
      </c>
      <c r="AD380" s="75"/>
      <c r="AE380" s="75"/>
      <c r="AF380" s="75"/>
      <c r="AG380" s="75"/>
      <c r="AH380" s="75"/>
      <c r="AI380" s="75"/>
      <c r="AJ380" s="75"/>
      <c r="AK380" s="75"/>
      <c r="AL380" s="76"/>
      <c r="AM380" s="56" t="s">
        <v>20</v>
      </c>
      <c r="AN380" s="80" t="n">
        <f aca="false">IF(L380=0,0,Z380/L380)</f>
        <v>0.402150965457882</v>
      </c>
      <c r="AO380" s="81" t="str">
        <f aca="false">IF(AN380="","",IF(AN380&gt;=0.9,"🟢",IF(AN380&gt;=0.7,"🟡",IF(AN380&gt;=0.5,"🟠","🔴"))))</f>
        <v>🔴</v>
      </c>
      <c r="AP380" s="82" t="n">
        <f aca="false">IF(L380=0,0,L380-Z380)</f>
        <v>1472.55</v>
      </c>
      <c r="AQ380" s="83" t="n">
        <f aca="false">IF(AP380=0,"",RANK(AP380,AP$4:AP$503,0))</f>
        <v>329</v>
      </c>
      <c r="AR380" s="84" t="s">
        <v>20</v>
      </c>
      <c r="AS380" s="141"/>
      <c r="AT380" s="141"/>
      <c r="AU380" s="141"/>
      <c r="AV380" s="141"/>
      <c r="AW380" s="141"/>
      <c r="AX380" s="141"/>
      <c r="AY380" s="142"/>
      <c r="AZ380" s="142"/>
      <c r="BA380" s="56" t="s">
        <v>20</v>
      </c>
      <c r="BB380" s="91" t="n">
        <f aca="false">SUM(L$4:L$503)/COUNTA(A$4:A$503)</f>
        <v>9494.39992</v>
      </c>
      <c r="BC380" s="92" t="n">
        <f aca="false">SUM(M$4:M$503)/COUNTA(A$4:A$503)</f>
        <v>667.20008</v>
      </c>
      <c r="BD380" s="92" t="n">
        <f aca="false">SUM(N$4:N$503)/COUNTA(A$4:A$503)</f>
        <v>697.19996</v>
      </c>
      <c r="BE380" s="92" t="n">
        <f aca="false">SUM(O$4:O$503)/COUNTA(A$4:A$503)</f>
        <v>713.9999</v>
      </c>
      <c r="BF380" s="92" t="n">
        <f aca="false">SUM(P$4:P$503)/COUNTA(A$4:A$503)</f>
        <v>732.59984</v>
      </c>
      <c r="BG380" s="92" t="n">
        <f aca="false">SUM(Q$4:Q$503)/COUNTA(A$4:A$503)</f>
        <v>756.59992</v>
      </c>
      <c r="BH380" s="92" t="n">
        <f aca="false">SUM(R$4:R$503)/COUNTA(A$4:A$503)</f>
        <v>776.40004</v>
      </c>
      <c r="BI380" s="92" t="n">
        <f aca="false">SUM(S$4:S$503)/COUNTA(A$4:A$503)</f>
        <v>806.40012</v>
      </c>
      <c r="BJ380" s="92" t="n">
        <f aca="false">SUM(T$4:T$503)/COUNTA(A$4:A$503)</f>
        <v>826.1999</v>
      </c>
      <c r="BK380" s="92" t="n">
        <f aca="false">SUM(U$4:U$503)/COUNTA(A$4:A$503)</f>
        <v>844.8002</v>
      </c>
      <c r="BL380" s="92" t="n">
        <f aca="false">SUM(V$4:V$503)/COUNTA(A$4:A$503)</f>
        <v>865.7998</v>
      </c>
      <c r="BM380" s="92" t="n">
        <f aca="false">SUM(W$4:W$503)/COUNTA(A$4:A$503)</f>
        <v>888.59982</v>
      </c>
      <c r="BN380" s="93" t="n">
        <f aca="false">SUM(X$4:X$503)/COUNTA(A$4:A$503)</f>
        <v>918.60034</v>
      </c>
      <c r="BO380" s="94" t="s">
        <v>20</v>
      </c>
      <c r="BP380" s="91" t="n">
        <f aca="false">IF(Z380&gt;=BB380,0,IFERROR(BB380+(SUMPRODUCT((Z$4:Z$503&gt;=BB$4:BB$503)*(Z$4:Z$503-BB$4:BB$503))/MAX(1,COUNTIF(Z$4:Z$503,"&lt;"&amp;BB380+0.01))),BB380))</f>
        <v>10695.5432177778</v>
      </c>
      <c r="BQ380" s="92" t="n">
        <f aca="false">IF(AA380&gt;=BC380,0,IFERROR(BC380+SUMPRODUCT((AA$4:AA$503&gt;=BC$4:BC$503)*(AA$4:AA$503-BC$4:BC$503))/MAX(1,COUNTIF(AA$4:AA$503,"&lt;"&amp;BC380+0.01)),BC380))</f>
        <v>2238.46589176471</v>
      </c>
      <c r="BR380" s="92" t="n">
        <f aca="false">IF(AB380&gt;=BD380,0,IFERROR(BD380+SUMPRODUCT((AB$4:AB$503&gt;=BD$4:BD$503)*(AB$4:AB$503-BD$4:BD$503))/MAX(1,COUNTIF(AB$4:AB$503,"&lt;"&amp;BD380+0.01)),BD380))</f>
        <v>3335.2938</v>
      </c>
      <c r="BS380" s="92" t="n">
        <f aca="false">IF(AC380&gt;=BE380,0,IFERROR(BE380+SUMPRODUCT((AC$4:AC$503&gt;=BE$4:BE$503)*(AC$4:AC$503-BE$4:BE$503))/MAX(1,COUNTIF(AC$4:AC$503,"&lt;"&amp;BE380+0.01)),BE380))</f>
        <v>0</v>
      </c>
      <c r="BT380" s="92" t="n">
        <f aca="false">IF(AD380&gt;=BF380,0,IFERROR(BF380+SUMPRODUCT((AD$4:AD$503&gt;=BF$4:BF$503)*(AD$4:AD$503-BF$4:BF$503))/MAX(1,COUNTIF(AD$4:AD$503,"&lt;"&amp;BF380+0.01)),BF380))</f>
        <v>11354.35411</v>
      </c>
      <c r="BU380" s="92" t="n">
        <f aca="false">IF(AE380&gt;=BG380,0,IFERROR(BG380+SUMPRODUCT((AE$4:AE$503&gt;=BG$4:BG$503)*(AE$4:AE$503-BG$4:BG$503))/MAX(1,COUNTIF(AE$4:AE$503,"&lt;"&amp;BG380+0.01)),BG380))</f>
        <v>7704.85920380952</v>
      </c>
      <c r="BV380" s="92" t="n">
        <f aca="false">IF(AF380&gt;=BH380,0,IFERROR(BH380+SUMPRODUCT((AF$4:AF$503&gt;=BH$4:BH$503)*(AF$4:AF$503-BH$4:BH$503))/MAX(1,COUNTIF(AF$4:AF$503,"&lt;"&amp;BH380+0.01)),BH380))</f>
        <v>9942.6503831579</v>
      </c>
      <c r="BW380" s="92" t="n">
        <f aca="false">IF(AG380&gt;=BI380,0,IFERROR(BI380+SUMPRODUCT((AG$4:AG$503&gt;=BI$4:BI$503)*(AG$4:AG$503-BI$4:BI$503))/MAX(1,COUNTIF(AG$4:AG$503,"&lt;"&amp;BI380+0.01)),BI380))</f>
        <v>9142.15870461538</v>
      </c>
      <c r="BX380" s="92" t="n">
        <f aca="false">IF(AH380&gt;=BJ380,0,IFERROR(BJ380+SUMPRODUCT((AH$4:AH$503&gt;=BJ$4:BJ$503)*(AH$4:AH$503-BJ$4:BJ$503))/MAX(1,COUNTIF(AH$4:AH$503,"&lt;"&amp;BJ380+0.01)),BJ380))</f>
        <v>5621.50263448276</v>
      </c>
      <c r="BY380" s="92" t="n">
        <f aca="false">IF(AI380&gt;=BK380,0,IFERROR(BK380+SUMPRODUCT((AI$4:AI$503&gt;=BK$4:BK$503)*(AI$4:AI$503-BK$4:BK$503))/MAX(1,COUNTIF(AI$4:AI$503,"&lt;"&amp;BK380+0.01)),BK380))</f>
        <v>7878.25652380952</v>
      </c>
      <c r="BZ380" s="92" t="n">
        <f aca="false">IF(AJ380&gt;=BL380,0,IFERROR(BL380+SUMPRODUCT((AJ$4:AJ$503&gt;=BL$4:BL$503)*(AJ$4:AJ$503-BL$4:BL$503))/MAX(1,COUNTIF(AJ$4:AJ$503,"&lt;"&amp;BL380+0.01)),BL380))</f>
        <v>6710.03292307692</v>
      </c>
      <c r="CA380" s="92" t="n">
        <f aca="false">IF(AK380&gt;=BM380,0,IFERROR(BM380+SUMPRODUCT((AK$4:AK$503&gt;=BM$4:BM$503)*(AK$4:AK$503-BM$4:BM$503))/MAX(1,COUNTIF(AK$4:AK$503,"&lt;"&amp;BM380+0.01)),BM380))</f>
        <v>7314.89836842105</v>
      </c>
      <c r="CB380" s="93" t="n">
        <f aca="false">IF(AL380&gt;=BN380,0,IFERROR(BN380+SUMPRODUCT((AL$4:AL$503&gt;=BN$4:BN$503)*(AL$4:AL$503-BN$4:BN$503))/MAX(1,COUNTIF(AL$4:AL$503,"&lt;"&amp;BN380+0.01)),BN380))</f>
        <v>3597.2614925</v>
      </c>
      <c r="CC380" s="95" t="str">
        <f aca="false">IF(AO380="🟢","VERDE",IF(AO380="🟡","AMARELO",IF(AO380="🟠","VERMELHO",IF(AO380="🔴","VERMELHO","ROXO"))))</f>
        <v>VERMELHO</v>
      </c>
      <c r="CD380" s="96" t="s">
        <v>103</v>
      </c>
      <c r="CE380" s="96" t="s">
        <v>104</v>
      </c>
    </row>
    <row r="381" customFormat="false" ht="14.25" hidden="false" customHeight="true" outlineLevel="0" collapsed="false">
      <c r="A381" s="65" t="s">
        <v>894</v>
      </c>
      <c r="B381" s="66" t="s">
        <v>895</v>
      </c>
      <c r="C381" s="66" t="s">
        <v>102</v>
      </c>
      <c r="D381" s="68" t="s">
        <v>175</v>
      </c>
      <c r="E381" s="69" t="s">
        <v>139</v>
      </c>
      <c r="F381" s="70" t="n">
        <f aca="false">IFERROR(VLOOKUP(C381,$AS$3:$AT$10,2,FALSE()),IFERROR(VLOOKUP(C381,$AS$15:$AT$22,2,FALSE()),""))</f>
        <v>21</v>
      </c>
      <c r="G381" s="71" t="n">
        <f aca="false">IFERROR(VLOOKUP(C381,$AS$3:$AX$10,6,FALSE()),IFERROR(VLOOKUP(C381,$AS$15:$AX$22,6,FALSE()),""))</f>
        <v>0.491514556258592</v>
      </c>
      <c r="H381" s="72" t="str">
        <f aca="false">IFERROR(VLOOKUP(C381,$AS$3:$AY$10,7,FALSE()),IFERROR(VLOOKUP(C381,$AS$15:$AY$22,7,FALSE()),""))</f>
        <v>🟡 AMARELO</v>
      </c>
      <c r="I381" s="72" t="str">
        <f aca="false">IFERROR(VLOOKUP(C381,$AS$3:$AZ$10,8,FALSE()),IFERROR(VLOOKUP(C381,$AS$15:$AZ$22,8,FALSE()),""))</f>
        <v>Sell Out</v>
      </c>
      <c r="J381" s="73"/>
      <c r="K381" s="69" t="s">
        <v>107</v>
      </c>
      <c r="L381" s="74" t="n">
        <v>2453</v>
      </c>
      <c r="M381" s="75" t="n">
        <v>172.38</v>
      </c>
      <c r="N381" s="75" t="n">
        <v>180.13</v>
      </c>
      <c r="O381" s="75" t="n">
        <v>184.47</v>
      </c>
      <c r="P381" s="75" t="n">
        <v>189.28</v>
      </c>
      <c r="Q381" s="75" t="n">
        <v>195.48</v>
      </c>
      <c r="R381" s="75" t="n">
        <v>200.59</v>
      </c>
      <c r="S381" s="75" t="n">
        <v>208.34</v>
      </c>
      <c r="T381" s="75" t="n">
        <v>213.46</v>
      </c>
      <c r="U381" s="75" t="n">
        <v>218.27</v>
      </c>
      <c r="V381" s="75" t="n">
        <v>223.69</v>
      </c>
      <c r="W381" s="75" t="n">
        <v>229.58</v>
      </c>
      <c r="X381" s="76" t="n">
        <v>237.33</v>
      </c>
      <c r="Y381" s="77" t="s">
        <v>20</v>
      </c>
      <c r="Z381" s="78" t="n">
        <f aca="false">SUM(AA381:AL381)</f>
        <v>1972.8</v>
      </c>
      <c r="AA381" s="75"/>
      <c r="AB381" s="75"/>
      <c r="AC381" s="75"/>
      <c r="AD381" s="75"/>
      <c r="AE381" s="75"/>
      <c r="AF381" s="75"/>
      <c r="AG381" s="75"/>
      <c r="AH381" s="75"/>
      <c r="AI381" s="75"/>
      <c r="AJ381" s="75" t="n">
        <v>986.32</v>
      </c>
      <c r="AK381" s="79" t="n">
        <v>986.48</v>
      </c>
      <c r="AL381" s="76"/>
      <c r="AM381" s="56" t="s">
        <v>20</v>
      </c>
      <c r="AN381" s="80" t="n">
        <f aca="false">IF(L381=0,0,Z381/L381)</f>
        <v>0.804239706481859</v>
      </c>
      <c r="AO381" s="81" t="str">
        <f aca="false">IF(AN381="","",IF(AN381&gt;=0.9,"🟢",IF(AN381&gt;=0.7,"🟡",IF(AN381&gt;=0.5,"🟠","🔴"))))</f>
        <v>🟡</v>
      </c>
      <c r="AP381" s="82" t="n">
        <f aca="false">IF(L381=0,0,L381-Z381)</f>
        <v>480.2</v>
      </c>
      <c r="AQ381" s="83" t="n">
        <f aca="false">IF(AP381=0,"",RANK(AP381,AP$4:AP$503,0))</f>
        <v>454</v>
      </c>
      <c r="AR381" s="84" t="s">
        <v>20</v>
      </c>
      <c r="AS381" s="141"/>
      <c r="AT381" s="141"/>
      <c r="AU381" s="141"/>
      <c r="AV381" s="141"/>
      <c r="AW381" s="141"/>
      <c r="AX381" s="141"/>
      <c r="AY381" s="142"/>
      <c r="AZ381" s="142"/>
      <c r="BA381" s="56" t="s">
        <v>20</v>
      </c>
      <c r="BB381" s="91" t="n">
        <f aca="false">SUM(L$4:L$503)/COUNTA(A$4:A$503)</f>
        <v>9494.39992</v>
      </c>
      <c r="BC381" s="92" t="n">
        <f aca="false">SUM(M$4:M$503)/COUNTA(A$4:A$503)</f>
        <v>667.20008</v>
      </c>
      <c r="BD381" s="92" t="n">
        <f aca="false">SUM(N$4:N$503)/COUNTA(A$4:A$503)</f>
        <v>697.19996</v>
      </c>
      <c r="BE381" s="92" t="n">
        <f aca="false">SUM(O$4:O$503)/COUNTA(A$4:A$503)</f>
        <v>713.9999</v>
      </c>
      <c r="BF381" s="92" t="n">
        <f aca="false">SUM(P$4:P$503)/COUNTA(A$4:A$503)</f>
        <v>732.59984</v>
      </c>
      <c r="BG381" s="92" t="n">
        <f aca="false">SUM(Q$4:Q$503)/COUNTA(A$4:A$503)</f>
        <v>756.59992</v>
      </c>
      <c r="BH381" s="92" t="n">
        <f aca="false">SUM(R$4:R$503)/COUNTA(A$4:A$503)</f>
        <v>776.40004</v>
      </c>
      <c r="BI381" s="92" t="n">
        <f aca="false">SUM(S$4:S$503)/COUNTA(A$4:A$503)</f>
        <v>806.40012</v>
      </c>
      <c r="BJ381" s="92" t="n">
        <f aca="false">SUM(T$4:T$503)/COUNTA(A$4:A$503)</f>
        <v>826.1999</v>
      </c>
      <c r="BK381" s="92" t="n">
        <f aca="false">SUM(U$4:U$503)/COUNTA(A$4:A$503)</f>
        <v>844.8002</v>
      </c>
      <c r="BL381" s="92" t="n">
        <f aca="false">SUM(V$4:V$503)/COUNTA(A$4:A$503)</f>
        <v>865.7998</v>
      </c>
      <c r="BM381" s="92" t="n">
        <f aca="false">SUM(W$4:W$503)/COUNTA(A$4:A$503)</f>
        <v>888.59982</v>
      </c>
      <c r="BN381" s="93" t="n">
        <f aca="false">SUM(X$4:X$503)/COUNTA(A$4:A$503)</f>
        <v>918.60034</v>
      </c>
      <c r="BO381" s="94" t="s">
        <v>20</v>
      </c>
      <c r="BP381" s="91" t="n">
        <f aca="false">IF(Z381&gt;=BB381,0,IFERROR(BB381+(SUMPRODUCT((Z$4:Z$503&gt;=BB$4:BB$503)*(Z$4:Z$503-BB$4:BB$503))/MAX(1,COUNTIF(Z$4:Z$503,"&lt;"&amp;BB381+0.01))),BB381))</f>
        <v>10695.5432177778</v>
      </c>
      <c r="BQ381" s="92" t="n">
        <f aca="false">IF(AA381&gt;=BC381,0,IFERROR(BC381+SUMPRODUCT((AA$4:AA$503&gt;=BC$4:BC$503)*(AA$4:AA$503-BC$4:BC$503))/MAX(1,COUNTIF(AA$4:AA$503,"&lt;"&amp;BC381+0.01)),BC381))</f>
        <v>2238.46589176471</v>
      </c>
      <c r="BR381" s="92" t="n">
        <f aca="false">IF(AB381&gt;=BD381,0,IFERROR(BD381+SUMPRODUCT((AB$4:AB$503&gt;=BD$4:BD$503)*(AB$4:AB$503-BD$4:BD$503))/MAX(1,COUNTIF(AB$4:AB$503,"&lt;"&amp;BD381+0.01)),BD381))</f>
        <v>3335.2938</v>
      </c>
      <c r="BS381" s="92" t="n">
        <f aca="false">IF(AC381&gt;=BE381,0,IFERROR(BE381+SUMPRODUCT((AC$4:AC$503&gt;=BE$4:BE$503)*(AC$4:AC$503-BE$4:BE$503))/MAX(1,COUNTIF(AC$4:AC$503,"&lt;"&amp;BE381+0.01)),BE381))</f>
        <v>6188.73352</v>
      </c>
      <c r="BT381" s="92" t="n">
        <f aca="false">IF(AD381&gt;=BF381,0,IFERROR(BF381+SUMPRODUCT((AD$4:AD$503&gt;=BF$4:BF$503)*(AD$4:AD$503-BF$4:BF$503))/MAX(1,COUNTIF(AD$4:AD$503,"&lt;"&amp;BF381+0.01)),BF381))</f>
        <v>11354.35411</v>
      </c>
      <c r="BU381" s="92" t="n">
        <f aca="false">IF(AE381&gt;=BG381,0,IFERROR(BG381+SUMPRODUCT((AE$4:AE$503&gt;=BG$4:BG$503)*(AE$4:AE$503-BG$4:BG$503))/MAX(1,COUNTIF(AE$4:AE$503,"&lt;"&amp;BG381+0.01)),BG381))</f>
        <v>7704.85920380952</v>
      </c>
      <c r="BV381" s="92" t="n">
        <f aca="false">IF(AF381&gt;=BH381,0,IFERROR(BH381+SUMPRODUCT((AF$4:AF$503&gt;=BH$4:BH$503)*(AF$4:AF$503-BH$4:BH$503))/MAX(1,COUNTIF(AF$4:AF$503,"&lt;"&amp;BH381+0.01)),BH381))</f>
        <v>9942.6503831579</v>
      </c>
      <c r="BW381" s="92" t="n">
        <f aca="false">IF(AG381&gt;=BI381,0,IFERROR(BI381+SUMPRODUCT((AG$4:AG$503&gt;=BI$4:BI$503)*(AG$4:AG$503-BI$4:BI$503))/MAX(1,COUNTIF(AG$4:AG$503,"&lt;"&amp;BI381+0.01)),BI381))</f>
        <v>9142.15870461538</v>
      </c>
      <c r="BX381" s="92" t="n">
        <f aca="false">IF(AH381&gt;=BJ381,0,IFERROR(BJ381+SUMPRODUCT((AH$4:AH$503&gt;=BJ$4:BJ$503)*(AH$4:AH$503-BJ$4:BJ$503))/MAX(1,COUNTIF(AH$4:AH$503,"&lt;"&amp;BJ381+0.01)),BJ381))</f>
        <v>5621.50263448276</v>
      </c>
      <c r="BY381" s="92" t="n">
        <f aca="false">IF(AI381&gt;=BK381,0,IFERROR(BK381+SUMPRODUCT((AI$4:AI$503&gt;=BK$4:BK$503)*(AI$4:AI$503-BK$4:BK$503))/MAX(1,COUNTIF(AI$4:AI$503,"&lt;"&amp;BK381+0.01)),BK381))</f>
        <v>7878.25652380952</v>
      </c>
      <c r="BZ381" s="92" t="n">
        <f aca="false">IF(AJ381&gt;=BL381,0,IFERROR(BL381+SUMPRODUCT((AJ$4:AJ$503&gt;=BL$4:BL$503)*(AJ$4:AJ$503-BL$4:BL$503))/MAX(1,COUNTIF(AJ$4:AJ$503,"&lt;"&amp;BL381+0.01)),BL381))</f>
        <v>0</v>
      </c>
      <c r="CA381" s="92" t="n">
        <f aca="false">IF(AK381&gt;=BM381,0,IFERROR(BM381+SUMPRODUCT((AK$4:AK$503&gt;=BM$4:BM$503)*(AK$4:AK$503-BM$4:BM$503))/MAX(1,COUNTIF(AK$4:AK$503,"&lt;"&amp;BM381+0.01)),BM381))</f>
        <v>0</v>
      </c>
      <c r="CB381" s="93" t="n">
        <f aca="false">IF(AL381&gt;=BN381,0,IFERROR(BN381+SUMPRODUCT((AL$4:AL$503&gt;=BN$4:BN$503)*(AL$4:AL$503-BN$4:BN$503))/MAX(1,COUNTIF(AL$4:AL$503,"&lt;"&amp;BN381+0.01)),BN381))</f>
        <v>3597.2614925</v>
      </c>
      <c r="CC381" s="95" t="str">
        <f aca="false">IF(AO381="🟢","VERDE",IF(AO381="🟡","AMARELO",IF(AO381="🟠","VERMELHO",IF(AO381="🔴","VERMELHO","ROXO"))))</f>
        <v>AMARELO</v>
      </c>
      <c r="CD381" s="96" t="s">
        <v>176</v>
      </c>
      <c r="CE381" s="96" t="s">
        <v>102</v>
      </c>
    </row>
    <row r="382" customFormat="false" ht="14.25" hidden="false" customHeight="true" outlineLevel="0" collapsed="false">
      <c r="A382" s="65" t="s">
        <v>896</v>
      </c>
      <c r="B382" s="66" t="s">
        <v>897</v>
      </c>
      <c r="C382" s="67" t="s">
        <v>149</v>
      </c>
      <c r="D382" s="68" t="s">
        <v>100</v>
      </c>
      <c r="E382" s="69" t="s">
        <v>119</v>
      </c>
      <c r="F382" s="70" t="n">
        <f aca="false">IFERROR(VLOOKUP(C382,$AS$3:$AT$10,2,FALSE()),IFERROR(VLOOKUP(C382,$AS$15:$AT$22,2,FALSE()),""))</f>
        <v>29</v>
      </c>
      <c r="G382" s="71" t="n">
        <f aca="false">IFERROR(VLOOKUP(C382,$AS$3:$AX$10,6,FALSE()),IFERROR(VLOOKUP(C382,$AS$15:$AX$22,6,FALSE()),""))</f>
        <v>0.425845065256079</v>
      </c>
      <c r="H382" s="72" t="str">
        <f aca="false">IFERROR(VLOOKUP(C382,$AS$3:$AY$10,7,FALSE()),IFERROR(VLOOKUP(C382,$AS$15:$AY$22,7,FALSE()),""))</f>
        <v>🟡 AMARELO</v>
      </c>
      <c r="I382" s="72" t="str">
        <f aca="false">IFERROR(VLOOKUP(C382,$AS$3:$AZ$10,8,FALSE()),IFERROR(VLOOKUP(C382,$AS$15:$AZ$22,8,FALSE()),""))</f>
        <v>Sell Out</v>
      </c>
      <c r="J382" s="73"/>
      <c r="K382" s="69" t="s">
        <v>149</v>
      </c>
      <c r="L382" s="74" t="n">
        <v>2417.5</v>
      </c>
      <c r="M382" s="75" t="n">
        <v>169.88</v>
      </c>
      <c r="N382" s="75" t="n">
        <v>177.52</v>
      </c>
      <c r="O382" s="75" t="n">
        <v>181.8</v>
      </c>
      <c r="P382" s="75" t="n">
        <v>186.54</v>
      </c>
      <c r="Q382" s="75" t="n">
        <v>192.65</v>
      </c>
      <c r="R382" s="75" t="n">
        <v>197.69</v>
      </c>
      <c r="S382" s="75" t="n">
        <v>205.33</v>
      </c>
      <c r="T382" s="75" t="n">
        <v>210.37</v>
      </c>
      <c r="U382" s="75" t="n">
        <v>215.11</v>
      </c>
      <c r="V382" s="75" t="n">
        <v>220.45</v>
      </c>
      <c r="W382" s="75" t="n">
        <v>226.26</v>
      </c>
      <c r="X382" s="76" t="n">
        <v>233.9</v>
      </c>
      <c r="Y382" s="77" t="s">
        <v>20</v>
      </c>
      <c r="Z382" s="78" t="n">
        <f aca="false">SUM(AA382:AL382)</f>
        <v>1012.6</v>
      </c>
      <c r="AA382" s="75"/>
      <c r="AB382" s="75"/>
      <c r="AC382" s="75"/>
      <c r="AD382" s="75"/>
      <c r="AE382" s="75"/>
      <c r="AF382" s="75"/>
      <c r="AG382" s="75"/>
      <c r="AH382" s="79" t="n">
        <v>1012.6</v>
      </c>
      <c r="AI382" s="75"/>
      <c r="AJ382" s="75"/>
      <c r="AK382" s="75"/>
      <c r="AL382" s="76"/>
      <c r="AM382" s="56" t="s">
        <v>20</v>
      </c>
      <c r="AN382" s="80" t="n">
        <f aca="false">IF(L382=0,0,Z382/L382)</f>
        <v>0.418862461220269</v>
      </c>
      <c r="AO382" s="81" t="str">
        <f aca="false">IF(AN382="","",IF(AN382&gt;=0.9,"🟢",IF(AN382&gt;=0.7,"🟡",IF(AN382&gt;=0.5,"🟠","🔴"))))</f>
        <v>🔴</v>
      </c>
      <c r="AP382" s="82" t="n">
        <f aca="false">IF(L382=0,0,L382-Z382)</f>
        <v>1404.9</v>
      </c>
      <c r="AQ382" s="83" t="n">
        <f aca="false">IF(AP382=0,"",RANK(AP382,AP$4:AP$503,0))</f>
        <v>339</v>
      </c>
      <c r="AR382" s="84" t="s">
        <v>20</v>
      </c>
      <c r="AS382" s="141"/>
      <c r="AT382" s="141"/>
      <c r="AU382" s="141"/>
      <c r="AV382" s="141"/>
      <c r="AW382" s="141"/>
      <c r="AX382" s="141"/>
      <c r="AY382" s="142"/>
      <c r="AZ382" s="142"/>
      <c r="BA382" s="56" t="s">
        <v>20</v>
      </c>
      <c r="BB382" s="91" t="n">
        <f aca="false">SUM(L$4:L$503)/COUNTA(A$4:A$503)</f>
        <v>9494.39992</v>
      </c>
      <c r="BC382" s="92" t="n">
        <f aca="false">SUM(M$4:M$503)/COUNTA(A$4:A$503)</f>
        <v>667.20008</v>
      </c>
      <c r="BD382" s="92" t="n">
        <f aca="false">SUM(N$4:N$503)/COUNTA(A$4:A$503)</f>
        <v>697.19996</v>
      </c>
      <c r="BE382" s="92" t="n">
        <f aca="false">SUM(O$4:O$503)/COUNTA(A$4:A$503)</f>
        <v>713.9999</v>
      </c>
      <c r="BF382" s="92" t="n">
        <f aca="false">SUM(P$4:P$503)/COUNTA(A$4:A$503)</f>
        <v>732.59984</v>
      </c>
      <c r="BG382" s="92" t="n">
        <f aca="false">SUM(Q$4:Q$503)/COUNTA(A$4:A$503)</f>
        <v>756.59992</v>
      </c>
      <c r="BH382" s="92" t="n">
        <f aca="false">SUM(R$4:R$503)/COUNTA(A$4:A$503)</f>
        <v>776.40004</v>
      </c>
      <c r="BI382" s="92" t="n">
        <f aca="false">SUM(S$4:S$503)/COUNTA(A$4:A$503)</f>
        <v>806.40012</v>
      </c>
      <c r="BJ382" s="92" t="n">
        <f aca="false">SUM(T$4:T$503)/COUNTA(A$4:A$503)</f>
        <v>826.1999</v>
      </c>
      <c r="BK382" s="92" t="n">
        <f aca="false">SUM(U$4:U$503)/COUNTA(A$4:A$503)</f>
        <v>844.8002</v>
      </c>
      <c r="BL382" s="92" t="n">
        <f aca="false">SUM(V$4:V$503)/COUNTA(A$4:A$503)</f>
        <v>865.7998</v>
      </c>
      <c r="BM382" s="92" t="n">
        <f aca="false">SUM(W$4:W$503)/COUNTA(A$4:A$503)</f>
        <v>888.59982</v>
      </c>
      <c r="BN382" s="93" t="n">
        <f aca="false">SUM(X$4:X$503)/COUNTA(A$4:A$503)</f>
        <v>918.60034</v>
      </c>
      <c r="BO382" s="94" t="s">
        <v>20</v>
      </c>
      <c r="BP382" s="91" t="n">
        <f aca="false">IF(Z382&gt;=BB382,0,IFERROR(BB382+(SUMPRODUCT((Z$4:Z$503&gt;=BB$4:BB$503)*(Z$4:Z$503-BB$4:BB$503))/MAX(1,COUNTIF(Z$4:Z$503,"&lt;"&amp;BB382+0.01))),BB382))</f>
        <v>10695.5432177778</v>
      </c>
      <c r="BQ382" s="92" t="n">
        <f aca="false">IF(AA382&gt;=BC382,0,IFERROR(BC382+SUMPRODUCT((AA$4:AA$503&gt;=BC$4:BC$503)*(AA$4:AA$503-BC$4:BC$503))/MAX(1,COUNTIF(AA$4:AA$503,"&lt;"&amp;BC382+0.01)),BC382))</f>
        <v>2238.46589176471</v>
      </c>
      <c r="BR382" s="92" t="n">
        <f aca="false">IF(AB382&gt;=BD382,0,IFERROR(BD382+SUMPRODUCT((AB$4:AB$503&gt;=BD$4:BD$503)*(AB$4:AB$503-BD$4:BD$503))/MAX(1,COUNTIF(AB$4:AB$503,"&lt;"&amp;BD382+0.01)),BD382))</f>
        <v>3335.2938</v>
      </c>
      <c r="BS382" s="92" t="n">
        <f aca="false">IF(AC382&gt;=BE382,0,IFERROR(BE382+SUMPRODUCT((AC$4:AC$503&gt;=BE$4:BE$503)*(AC$4:AC$503-BE$4:BE$503))/MAX(1,COUNTIF(AC$4:AC$503,"&lt;"&amp;BE382+0.01)),BE382))</f>
        <v>6188.73352</v>
      </c>
      <c r="BT382" s="92" t="n">
        <f aca="false">IF(AD382&gt;=BF382,0,IFERROR(BF382+SUMPRODUCT((AD$4:AD$503&gt;=BF$4:BF$503)*(AD$4:AD$503-BF$4:BF$503))/MAX(1,COUNTIF(AD$4:AD$503,"&lt;"&amp;BF382+0.01)),BF382))</f>
        <v>11354.35411</v>
      </c>
      <c r="BU382" s="92" t="n">
        <f aca="false">IF(AE382&gt;=BG382,0,IFERROR(BG382+SUMPRODUCT((AE$4:AE$503&gt;=BG$4:BG$503)*(AE$4:AE$503-BG$4:BG$503))/MAX(1,COUNTIF(AE$4:AE$503,"&lt;"&amp;BG382+0.01)),BG382))</f>
        <v>7704.85920380952</v>
      </c>
      <c r="BV382" s="92" t="n">
        <f aca="false">IF(AF382&gt;=BH382,0,IFERROR(BH382+SUMPRODUCT((AF$4:AF$503&gt;=BH$4:BH$503)*(AF$4:AF$503-BH$4:BH$503))/MAX(1,COUNTIF(AF$4:AF$503,"&lt;"&amp;BH382+0.01)),BH382))</f>
        <v>9942.6503831579</v>
      </c>
      <c r="BW382" s="92" t="n">
        <f aca="false">IF(AG382&gt;=BI382,0,IFERROR(BI382+SUMPRODUCT((AG$4:AG$503&gt;=BI$4:BI$503)*(AG$4:AG$503-BI$4:BI$503))/MAX(1,COUNTIF(AG$4:AG$503,"&lt;"&amp;BI382+0.01)),BI382))</f>
        <v>9142.15870461538</v>
      </c>
      <c r="BX382" s="92" t="n">
        <f aca="false">IF(AH382&gt;=BJ382,0,IFERROR(BJ382+SUMPRODUCT((AH$4:AH$503&gt;=BJ$4:BJ$503)*(AH$4:AH$503-BJ$4:BJ$503))/MAX(1,COUNTIF(AH$4:AH$503,"&lt;"&amp;BJ382+0.01)),BJ382))</f>
        <v>0</v>
      </c>
      <c r="BY382" s="92" t="n">
        <f aca="false">IF(AI382&gt;=BK382,0,IFERROR(BK382+SUMPRODUCT((AI$4:AI$503&gt;=BK$4:BK$503)*(AI$4:AI$503-BK$4:BK$503))/MAX(1,COUNTIF(AI$4:AI$503,"&lt;"&amp;BK382+0.01)),BK382))</f>
        <v>7878.25652380952</v>
      </c>
      <c r="BZ382" s="92" t="n">
        <f aca="false">IF(AJ382&gt;=BL382,0,IFERROR(BL382+SUMPRODUCT((AJ$4:AJ$503&gt;=BL$4:BL$503)*(AJ$4:AJ$503-BL$4:BL$503))/MAX(1,COUNTIF(AJ$4:AJ$503,"&lt;"&amp;BL382+0.01)),BL382))</f>
        <v>6710.03292307692</v>
      </c>
      <c r="CA382" s="92" t="n">
        <f aca="false">IF(AK382&gt;=BM382,0,IFERROR(BM382+SUMPRODUCT((AK$4:AK$503&gt;=BM$4:BM$503)*(AK$4:AK$503-BM$4:BM$503))/MAX(1,COUNTIF(AK$4:AK$503,"&lt;"&amp;BM382+0.01)),BM382))</f>
        <v>7314.89836842105</v>
      </c>
      <c r="CB382" s="93" t="n">
        <f aca="false">IF(AL382&gt;=BN382,0,IFERROR(BN382+SUMPRODUCT((AL$4:AL$503&gt;=BN$4:BN$503)*(AL$4:AL$503-BN$4:BN$503))/MAX(1,COUNTIF(AL$4:AL$503,"&lt;"&amp;BN382+0.01)),BN382))</f>
        <v>3597.2614925</v>
      </c>
      <c r="CC382" s="95" t="str">
        <f aca="false">IF(AO382="🟢","VERDE",IF(AO382="🟡","AMARELO",IF(AO382="🟠","VERMELHO",IF(AO382="🔴","VERMELHO","ROXO"))))</f>
        <v>VERMELHO</v>
      </c>
      <c r="CD382" s="96" t="s">
        <v>103</v>
      </c>
      <c r="CE382" s="96" t="s">
        <v>104</v>
      </c>
    </row>
    <row r="383" customFormat="false" ht="14.25" hidden="false" customHeight="true" outlineLevel="0" collapsed="false">
      <c r="A383" s="65" t="s">
        <v>898</v>
      </c>
      <c r="B383" s="66" t="s">
        <v>899</v>
      </c>
      <c r="C383" s="67" t="s">
        <v>118</v>
      </c>
      <c r="D383" s="68" t="s">
        <v>100</v>
      </c>
      <c r="E383" s="69" t="s">
        <v>119</v>
      </c>
      <c r="F383" s="70" t="n">
        <f aca="false">IFERROR(VLOOKUP(C383,$AS$3:$AT$10,2,FALSE()),IFERROR(VLOOKUP(C383,$AS$15:$AT$22,2,FALSE()),""))</f>
        <v>42</v>
      </c>
      <c r="G383" s="71" t="n">
        <f aca="false">IFERROR(VLOOKUP(C383,$AS$3:$AX$10,6,FALSE()),IFERROR(VLOOKUP(C383,$AS$15:$AX$22,6,FALSE()),""))</f>
        <v>0.424872083346704</v>
      </c>
      <c r="H383" s="72" t="str">
        <f aca="false">IFERROR(VLOOKUP(C383,$AS$3:$AY$10,7,FALSE()),IFERROR(VLOOKUP(C383,$AS$15:$AY$22,7,FALSE()),""))</f>
        <v>🟡 AMARELO</v>
      </c>
      <c r="I383" s="72" t="str">
        <f aca="false">IFERROR(VLOOKUP(C383,$AS$3:$AZ$10,8,FALSE()),IFERROR(VLOOKUP(C383,$AS$15:$AZ$22,8,FALSE()),""))</f>
        <v>Sell Out</v>
      </c>
      <c r="J383" s="73"/>
      <c r="K383" s="69" t="s">
        <v>118</v>
      </c>
      <c r="L383" s="74" t="n">
        <v>2394.42</v>
      </c>
      <c r="M383" s="75" t="n">
        <v>168.26</v>
      </c>
      <c r="N383" s="75" t="n">
        <v>175.83</v>
      </c>
      <c r="O383" s="75" t="n">
        <v>180.07</v>
      </c>
      <c r="P383" s="75" t="n">
        <v>184.76</v>
      </c>
      <c r="Q383" s="75" t="n">
        <v>190.81</v>
      </c>
      <c r="R383" s="75" t="n">
        <v>195.8</v>
      </c>
      <c r="S383" s="75" t="n">
        <v>203.37</v>
      </c>
      <c r="T383" s="75" t="n">
        <v>208.36</v>
      </c>
      <c r="U383" s="75" t="n">
        <v>213.05</v>
      </c>
      <c r="V383" s="75" t="n">
        <v>218.35</v>
      </c>
      <c r="W383" s="75" t="n">
        <v>224.1</v>
      </c>
      <c r="X383" s="76" t="n">
        <v>231.66</v>
      </c>
      <c r="Y383" s="77" t="s">
        <v>20</v>
      </c>
      <c r="Z383" s="78" t="n">
        <f aca="false">SUM(AA383:AL383)</f>
        <v>962.92</v>
      </c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107" t="n">
        <v>962.92</v>
      </c>
      <c r="AM383" s="56" t="s">
        <v>20</v>
      </c>
      <c r="AN383" s="80" t="n">
        <f aca="false">IF(L383=0,0,Z383/L383)</f>
        <v>0.402151669297784</v>
      </c>
      <c r="AO383" s="81" t="str">
        <f aca="false">IF(AN383="","",IF(AN383&gt;=0.9,"🟢",IF(AN383&gt;=0.7,"🟡",IF(AN383&gt;=0.5,"🟠","🔴"))))</f>
        <v>🔴</v>
      </c>
      <c r="AP383" s="82" t="n">
        <f aca="false">IF(L383=0,0,L383-Z383)</f>
        <v>1431.5</v>
      </c>
      <c r="AQ383" s="83" t="n">
        <f aca="false">IF(AP383=0,"",RANK(AP383,AP$4:AP$503,0))</f>
        <v>333</v>
      </c>
      <c r="AR383" s="84" t="s">
        <v>20</v>
      </c>
      <c r="AS383" s="141"/>
      <c r="AT383" s="141"/>
      <c r="AU383" s="141"/>
      <c r="AV383" s="141"/>
      <c r="AW383" s="141"/>
      <c r="AX383" s="141"/>
      <c r="AY383" s="142"/>
      <c r="AZ383" s="142"/>
      <c r="BA383" s="56" t="s">
        <v>20</v>
      </c>
      <c r="BB383" s="91" t="n">
        <f aca="false">SUM(L$4:L$503)/COUNTA(A$4:A$503)</f>
        <v>9494.39992</v>
      </c>
      <c r="BC383" s="92" t="n">
        <f aca="false">SUM(M$4:M$503)/COUNTA(A$4:A$503)</f>
        <v>667.20008</v>
      </c>
      <c r="BD383" s="92" t="n">
        <f aca="false">SUM(N$4:N$503)/COUNTA(A$4:A$503)</f>
        <v>697.19996</v>
      </c>
      <c r="BE383" s="92" t="n">
        <f aca="false">SUM(O$4:O$503)/COUNTA(A$4:A$503)</f>
        <v>713.9999</v>
      </c>
      <c r="BF383" s="92" t="n">
        <f aca="false">SUM(P$4:P$503)/COUNTA(A$4:A$503)</f>
        <v>732.59984</v>
      </c>
      <c r="BG383" s="92" t="n">
        <f aca="false">SUM(Q$4:Q$503)/COUNTA(A$4:A$503)</f>
        <v>756.59992</v>
      </c>
      <c r="BH383" s="92" t="n">
        <f aca="false">SUM(R$4:R$503)/COUNTA(A$4:A$503)</f>
        <v>776.40004</v>
      </c>
      <c r="BI383" s="92" t="n">
        <f aca="false">SUM(S$4:S$503)/COUNTA(A$4:A$503)</f>
        <v>806.40012</v>
      </c>
      <c r="BJ383" s="92" t="n">
        <f aca="false">SUM(T$4:T$503)/COUNTA(A$4:A$503)</f>
        <v>826.1999</v>
      </c>
      <c r="BK383" s="92" t="n">
        <f aca="false">SUM(U$4:U$503)/COUNTA(A$4:A$503)</f>
        <v>844.8002</v>
      </c>
      <c r="BL383" s="92" t="n">
        <f aca="false">SUM(V$4:V$503)/COUNTA(A$4:A$503)</f>
        <v>865.7998</v>
      </c>
      <c r="BM383" s="92" t="n">
        <f aca="false">SUM(W$4:W$503)/COUNTA(A$4:A$503)</f>
        <v>888.59982</v>
      </c>
      <c r="BN383" s="93" t="n">
        <f aca="false">SUM(X$4:X$503)/COUNTA(A$4:A$503)</f>
        <v>918.60034</v>
      </c>
      <c r="BO383" s="94" t="s">
        <v>20</v>
      </c>
      <c r="BP383" s="91" t="n">
        <f aca="false">IF(Z383&gt;=BB383,0,IFERROR(BB383+(SUMPRODUCT((Z$4:Z$503&gt;=BB$4:BB$503)*(Z$4:Z$503-BB$4:BB$503))/MAX(1,COUNTIF(Z$4:Z$503,"&lt;"&amp;BB383+0.01))),BB383))</f>
        <v>10695.5432177778</v>
      </c>
      <c r="BQ383" s="92" t="n">
        <f aca="false">IF(AA383&gt;=BC383,0,IFERROR(BC383+SUMPRODUCT((AA$4:AA$503&gt;=BC$4:BC$503)*(AA$4:AA$503-BC$4:BC$503))/MAX(1,COUNTIF(AA$4:AA$503,"&lt;"&amp;BC383+0.01)),BC383))</f>
        <v>2238.46589176471</v>
      </c>
      <c r="BR383" s="92" t="n">
        <f aca="false">IF(AB383&gt;=BD383,0,IFERROR(BD383+SUMPRODUCT((AB$4:AB$503&gt;=BD$4:BD$503)*(AB$4:AB$503-BD$4:BD$503))/MAX(1,COUNTIF(AB$4:AB$503,"&lt;"&amp;BD383+0.01)),BD383))</f>
        <v>3335.2938</v>
      </c>
      <c r="BS383" s="92" t="n">
        <f aca="false">IF(AC383&gt;=BE383,0,IFERROR(BE383+SUMPRODUCT((AC$4:AC$503&gt;=BE$4:BE$503)*(AC$4:AC$503-BE$4:BE$503))/MAX(1,COUNTIF(AC$4:AC$503,"&lt;"&amp;BE383+0.01)),BE383))</f>
        <v>6188.73352</v>
      </c>
      <c r="BT383" s="92" t="n">
        <f aca="false">IF(AD383&gt;=BF383,0,IFERROR(BF383+SUMPRODUCT((AD$4:AD$503&gt;=BF$4:BF$503)*(AD$4:AD$503-BF$4:BF$503))/MAX(1,COUNTIF(AD$4:AD$503,"&lt;"&amp;BF383+0.01)),BF383))</f>
        <v>11354.35411</v>
      </c>
      <c r="BU383" s="92" t="n">
        <f aca="false">IF(AE383&gt;=BG383,0,IFERROR(BG383+SUMPRODUCT((AE$4:AE$503&gt;=BG$4:BG$503)*(AE$4:AE$503-BG$4:BG$503))/MAX(1,COUNTIF(AE$4:AE$503,"&lt;"&amp;BG383+0.01)),BG383))</f>
        <v>7704.85920380952</v>
      </c>
      <c r="BV383" s="92" t="n">
        <f aca="false">IF(AF383&gt;=BH383,0,IFERROR(BH383+SUMPRODUCT((AF$4:AF$503&gt;=BH$4:BH$503)*(AF$4:AF$503-BH$4:BH$503))/MAX(1,COUNTIF(AF$4:AF$503,"&lt;"&amp;BH383+0.01)),BH383))</f>
        <v>9942.6503831579</v>
      </c>
      <c r="BW383" s="92" t="n">
        <f aca="false">IF(AG383&gt;=BI383,0,IFERROR(BI383+SUMPRODUCT((AG$4:AG$503&gt;=BI$4:BI$503)*(AG$4:AG$503-BI$4:BI$503))/MAX(1,COUNTIF(AG$4:AG$503,"&lt;"&amp;BI383+0.01)),BI383))</f>
        <v>9142.15870461538</v>
      </c>
      <c r="BX383" s="92" t="n">
        <f aca="false">IF(AH383&gt;=BJ383,0,IFERROR(BJ383+SUMPRODUCT((AH$4:AH$503&gt;=BJ$4:BJ$503)*(AH$4:AH$503-BJ$4:BJ$503))/MAX(1,COUNTIF(AH$4:AH$503,"&lt;"&amp;BJ383+0.01)),BJ383))</f>
        <v>5621.50263448276</v>
      </c>
      <c r="BY383" s="92" t="n">
        <f aca="false">IF(AI383&gt;=BK383,0,IFERROR(BK383+SUMPRODUCT((AI$4:AI$503&gt;=BK$4:BK$503)*(AI$4:AI$503-BK$4:BK$503))/MAX(1,COUNTIF(AI$4:AI$503,"&lt;"&amp;BK383+0.01)),BK383))</f>
        <v>7878.25652380952</v>
      </c>
      <c r="BZ383" s="92" t="n">
        <f aca="false">IF(AJ383&gt;=BL383,0,IFERROR(BL383+SUMPRODUCT((AJ$4:AJ$503&gt;=BL$4:BL$503)*(AJ$4:AJ$503-BL$4:BL$503))/MAX(1,COUNTIF(AJ$4:AJ$503,"&lt;"&amp;BL383+0.01)),BL383))</f>
        <v>6710.03292307692</v>
      </c>
      <c r="CA383" s="92" t="n">
        <f aca="false">IF(AK383&gt;=BM383,0,IFERROR(BM383+SUMPRODUCT((AK$4:AK$503&gt;=BM$4:BM$503)*(AK$4:AK$503-BM$4:BM$503))/MAX(1,COUNTIF(AK$4:AK$503,"&lt;"&amp;BM383+0.01)),BM383))</f>
        <v>7314.89836842105</v>
      </c>
      <c r="CB383" s="93" t="n">
        <f aca="false">IF(AL383&gt;=BN383,0,IFERROR(BN383+SUMPRODUCT((AL$4:AL$503&gt;=BN$4:BN$503)*(AL$4:AL$503-BN$4:BN$503))/MAX(1,COUNTIF(AL$4:AL$503,"&lt;"&amp;BN383+0.01)),BN383))</f>
        <v>0</v>
      </c>
      <c r="CC383" s="95" t="str">
        <f aca="false">IF(AO383="🟢","VERDE",IF(AO383="🟡","AMARELO",IF(AO383="🟠","VERMELHO",IF(AO383="🔴","VERMELHO","ROXO"))))</f>
        <v>VERMELHO</v>
      </c>
      <c r="CD383" s="96" t="s">
        <v>103</v>
      </c>
      <c r="CE383" s="96" t="s">
        <v>104</v>
      </c>
    </row>
    <row r="384" customFormat="false" ht="14.25" hidden="false" customHeight="true" outlineLevel="0" collapsed="false">
      <c r="A384" s="65" t="s">
        <v>900</v>
      </c>
      <c r="B384" s="66" t="s">
        <v>901</v>
      </c>
      <c r="C384" s="66" t="s">
        <v>110</v>
      </c>
      <c r="D384" s="68" t="s">
        <v>184</v>
      </c>
      <c r="E384" s="69" t="s">
        <v>196</v>
      </c>
      <c r="F384" s="70" t="n">
        <f aca="false">IFERROR(VLOOKUP(C384,$AS$3:$AT$10,2,FALSE()),IFERROR(VLOOKUP(C384,$AS$15:$AT$22,2,FALSE()),""))</f>
        <v>15</v>
      </c>
      <c r="G384" s="71" t="n">
        <f aca="false">IFERROR(VLOOKUP(C384,$AS$3:$AX$10,6,FALSE()),IFERROR(VLOOKUP(C384,$AS$15:$AX$22,6,FALSE()),""))</f>
        <v>0.621111876107332</v>
      </c>
      <c r="H384" s="72" t="str">
        <f aca="false">IFERROR(VLOOKUP(C384,$AS$3:$AY$10,7,FALSE()),IFERROR(VLOOKUP(C384,$AS$15:$AY$22,7,FALSE()),""))</f>
        <v>🟢 VERDE</v>
      </c>
      <c r="I384" s="72" t="str">
        <f aca="false">IFERROR(VLOOKUP(C384,$AS$3:$AZ$10,8,FALSE()),IFERROR(VLOOKUP(C384,$AS$15:$AZ$22,8,FALSE()),""))</f>
        <v>JBP</v>
      </c>
      <c r="J384" s="73"/>
      <c r="K384" s="69" t="s">
        <v>107</v>
      </c>
      <c r="L384" s="74" t="n">
        <v>2388.75</v>
      </c>
      <c r="M384" s="75" t="n">
        <v>167.86</v>
      </c>
      <c r="N384" s="75" t="n">
        <v>175.41</v>
      </c>
      <c r="O384" s="75" t="n">
        <v>179.64</v>
      </c>
      <c r="P384" s="75" t="n">
        <v>184.32</v>
      </c>
      <c r="Q384" s="75" t="n">
        <v>190.36</v>
      </c>
      <c r="R384" s="75" t="n">
        <v>195.34</v>
      </c>
      <c r="S384" s="75" t="n">
        <v>202.89</v>
      </c>
      <c r="T384" s="75" t="n">
        <v>207.87</v>
      </c>
      <c r="U384" s="75" t="n">
        <v>212.55</v>
      </c>
      <c r="V384" s="75" t="n">
        <v>217.83</v>
      </c>
      <c r="W384" s="75" t="n">
        <v>223.57</v>
      </c>
      <c r="X384" s="76" t="n">
        <v>231.11</v>
      </c>
      <c r="Y384" s="77" t="s">
        <v>20</v>
      </c>
      <c r="Z384" s="78" t="n">
        <f aca="false">SUM(AA384:AL384)</f>
        <v>3134.93</v>
      </c>
      <c r="AA384" s="75"/>
      <c r="AB384" s="75"/>
      <c r="AC384" s="75"/>
      <c r="AD384" s="75"/>
      <c r="AE384" s="75"/>
      <c r="AF384" s="75"/>
      <c r="AG384" s="75"/>
      <c r="AH384" s="75"/>
      <c r="AI384" s="79" t="n">
        <v>961.38</v>
      </c>
      <c r="AJ384" s="75"/>
      <c r="AK384" s="79" t="n">
        <v>2173.55</v>
      </c>
      <c r="AL384" s="76"/>
      <c r="AM384" s="56" t="s">
        <v>20</v>
      </c>
      <c r="AN384" s="80" t="n">
        <f aca="false">IF(L384=0,0,Z384/L384)</f>
        <v>1.31237257980115</v>
      </c>
      <c r="AO384" s="81" t="str">
        <f aca="false">IF(AN384="","",IF(AN384&gt;=0.9,"🟢",IF(AN384&gt;=0.7,"🟡",IF(AN384&gt;=0.5,"🟠","🔴"))))</f>
        <v>🟢</v>
      </c>
      <c r="AP384" s="82" t="n">
        <f aca="false">IF(L384=0,0,L384-Z384)</f>
        <v>-746.18</v>
      </c>
      <c r="AQ384" s="83" t="n">
        <f aca="false">IF(AP384=0,"",RANK(AP384,AP$4:AP$503,0))</f>
        <v>494</v>
      </c>
      <c r="AR384" s="84" t="s">
        <v>20</v>
      </c>
      <c r="AS384" s="141"/>
      <c r="AT384" s="141"/>
      <c r="AU384" s="141"/>
      <c r="AV384" s="141"/>
      <c r="AW384" s="141"/>
      <c r="AX384" s="141"/>
      <c r="AY384" s="142"/>
      <c r="AZ384" s="142"/>
      <c r="BA384" s="56" t="s">
        <v>20</v>
      </c>
      <c r="BB384" s="91" t="n">
        <f aca="false">SUM(L$4:L$503)/COUNTA(A$4:A$503)</f>
        <v>9494.39992</v>
      </c>
      <c r="BC384" s="92" t="n">
        <f aca="false">SUM(M$4:M$503)/COUNTA(A$4:A$503)</f>
        <v>667.20008</v>
      </c>
      <c r="BD384" s="92" t="n">
        <f aca="false">SUM(N$4:N$503)/COUNTA(A$4:A$503)</f>
        <v>697.19996</v>
      </c>
      <c r="BE384" s="92" t="n">
        <f aca="false">SUM(O$4:O$503)/COUNTA(A$4:A$503)</f>
        <v>713.9999</v>
      </c>
      <c r="BF384" s="92" t="n">
        <f aca="false">SUM(P$4:P$503)/COUNTA(A$4:A$503)</f>
        <v>732.59984</v>
      </c>
      <c r="BG384" s="92" t="n">
        <f aca="false">SUM(Q$4:Q$503)/COUNTA(A$4:A$503)</f>
        <v>756.59992</v>
      </c>
      <c r="BH384" s="92" t="n">
        <f aca="false">SUM(R$4:R$503)/COUNTA(A$4:A$503)</f>
        <v>776.40004</v>
      </c>
      <c r="BI384" s="92" t="n">
        <f aca="false">SUM(S$4:S$503)/COUNTA(A$4:A$503)</f>
        <v>806.40012</v>
      </c>
      <c r="BJ384" s="92" t="n">
        <f aca="false">SUM(T$4:T$503)/COUNTA(A$4:A$503)</f>
        <v>826.1999</v>
      </c>
      <c r="BK384" s="92" t="n">
        <f aca="false">SUM(U$4:U$503)/COUNTA(A$4:A$503)</f>
        <v>844.8002</v>
      </c>
      <c r="BL384" s="92" t="n">
        <f aca="false">SUM(V$4:V$503)/COUNTA(A$4:A$503)</f>
        <v>865.7998</v>
      </c>
      <c r="BM384" s="92" t="n">
        <f aca="false">SUM(W$4:W$503)/COUNTA(A$4:A$503)</f>
        <v>888.59982</v>
      </c>
      <c r="BN384" s="93" t="n">
        <f aca="false">SUM(X$4:X$503)/COUNTA(A$4:A$503)</f>
        <v>918.60034</v>
      </c>
      <c r="BO384" s="94" t="s">
        <v>20</v>
      </c>
      <c r="BP384" s="91" t="n">
        <f aca="false">IF(Z384&gt;=BB384,0,IFERROR(BB384+(SUMPRODUCT((Z$4:Z$503&gt;=BB$4:BB$503)*(Z$4:Z$503-BB$4:BB$503))/MAX(1,COUNTIF(Z$4:Z$503,"&lt;"&amp;BB384+0.01))),BB384))</f>
        <v>10695.5432177778</v>
      </c>
      <c r="BQ384" s="92" t="n">
        <f aca="false">IF(AA384&gt;=BC384,0,IFERROR(BC384+SUMPRODUCT((AA$4:AA$503&gt;=BC$4:BC$503)*(AA$4:AA$503-BC$4:BC$503))/MAX(1,COUNTIF(AA$4:AA$503,"&lt;"&amp;BC384+0.01)),BC384))</f>
        <v>2238.46589176471</v>
      </c>
      <c r="BR384" s="92" t="n">
        <f aca="false">IF(AB384&gt;=BD384,0,IFERROR(BD384+SUMPRODUCT((AB$4:AB$503&gt;=BD$4:BD$503)*(AB$4:AB$503-BD$4:BD$503))/MAX(1,COUNTIF(AB$4:AB$503,"&lt;"&amp;BD384+0.01)),BD384))</f>
        <v>3335.2938</v>
      </c>
      <c r="BS384" s="92" t="n">
        <f aca="false">IF(AC384&gt;=BE384,0,IFERROR(BE384+SUMPRODUCT((AC$4:AC$503&gt;=BE$4:BE$503)*(AC$4:AC$503-BE$4:BE$503))/MAX(1,COUNTIF(AC$4:AC$503,"&lt;"&amp;BE384+0.01)),BE384))</f>
        <v>6188.73352</v>
      </c>
      <c r="BT384" s="92" t="n">
        <f aca="false">IF(AD384&gt;=BF384,0,IFERROR(BF384+SUMPRODUCT((AD$4:AD$503&gt;=BF$4:BF$503)*(AD$4:AD$503-BF$4:BF$503))/MAX(1,COUNTIF(AD$4:AD$503,"&lt;"&amp;BF384+0.01)),BF384))</f>
        <v>11354.35411</v>
      </c>
      <c r="BU384" s="92" t="n">
        <f aca="false">IF(AE384&gt;=BG384,0,IFERROR(BG384+SUMPRODUCT((AE$4:AE$503&gt;=BG$4:BG$503)*(AE$4:AE$503-BG$4:BG$503))/MAX(1,COUNTIF(AE$4:AE$503,"&lt;"&amp;BG384+0.01)),BG384))</f>
        <v>7704.85920380952</v>
      </c>
      <c r="BV384" s="92" t="n">
        <f aca="false">IF(AF384&gt;=BH384,0,IFERROR(BH384+SUMPRODUCT((AF$4:AF$503&gt;=BH$4:BH$503)*(AF$4:AF$503-BH$4:BH$503))/MAX(1,COUNTIF(AF$4:AF$503,"&lt;"&amp;BH384+0.01)),BH384))</f>
        <v>9942.6503831579</v>
      </c>
      <c r="BW384" s="92" t="n">
        <f aca="false">IF(AG384&gt;=BI384,0,IFERROR(BI384+SUMPRODUCT((AG$4:AG$503&gt;=BI$4:BI$503)*(AG$4:AG$503-BI$4:BI$503))/MAX(1,COUNTIF(AG$4:AG$503,"&lt;"&amp;BI384+0.01)),BI384))</f>
        <v>9142.15870461538</v>
      </c>
      <c r="BX384" s="92" t="n">
        <f aca="false">IF(AH384&gt;=BJ384,0,IFERROR(BJ384+SUMPRODUCT((AH$4:AH$503&gt;=BJ$4:BJ$503)*(AH$4:AH$503-BJ$4:BJ$503))/MAX(1,COUNTIF(AH$4:AH$503,"&lt;"&amp;BJ384+0.01)),BJ384))</f>
        <v>5621.50263448276</v>
      </c>
      <c r="BY384" s="92" t="n">
        <f aca="false">IF(AI384&gt;=BK384,0,IFERROR(BK384+SUMPRODUCT((AI$4:AI$503&gt;=BK$4:BK$503)*(AI$4:AI$503-BK$4:BK$503))/MAX(1,COUNTIF(AI$4:AI$503,"&lt;"&amp;BK384+0.01)),BK384))</f>
        <v>0</v>
      </c>
      <c r="BZ384" s="92" t="n">
        <f aca="false">IF(AJ384&gt;=BL384,0,IFERROR(BL384+SUMPRODUCT((AJ$4:AJ$503&gt;=BL$4:BL$503)*(AJ$4:AJ$503-BL$4:BL$503))/MAX(1,COUNTIF(AJ$4:AJ$503,"&lt;"&amp;BL384+0.01)),BL384))</f>
        <v>6710.03292307692</v>
      </c>
      <c r="CA384" s="92" t="n">
        <f aca="false">IF(AK384&gt;=BM384,0,IFERROR(BM384+SUMPRODUCT((AK$4:AK$503&gt;=BM$4:BM$503)*(AK$4:AK$503-BM$4:BM$503))/MAX(1,COUNTIF(AK$4:AK$503,"&lt;"&amp;BM384+0.01)),BM384))</f>
        <v>0</v>
      </c>
      <c r="CB384" s="93" t="n">
        <f aca="false">IF(AL384&gt;=BN384,0,IFERROR(BN384+SUMPRODUCT((AL$4:AL$503&gt;=BN$4:BN$503)*(AL$4:AL$503-BN$4:BN$503))/MAX(1,COUNTIF(AL$4:AL$503,"&lt;"&amp;BN384+0.01)),BN384))</f>
        <v>3597.2614925</v>
      </c>
      <c r="CC384" s="95" t="str">
        <f aca="false">IF(AO384="🟢","VERDE",IF(AO384="🟡","AMARELO",IF(AO384="🟠","VERMELHO",IF(AO384="🔴","VERMELHO","ROXO"))))</f>
        <v>VERDE</v>
      </c>
      <c r="CD384" s="96" t="s">
        <v>176</v>
      </c>
      <c r="CE384" s="96" t="s">
        <v>110</v>
      </c>
    </row>
    <row r="385" customFormat="false" ht="14.25" hidden="false" customHeight="true" outlineLevel="0" collapsed="false">
      <c r="A385" s="65" t="s">
        <v>902</v>
      </c>
      <c r="B385" s="66" t="s">
        <v>903</v>
      </c>
      <c r="C385" s="67" t="s">
        <v>107</v>
      </c>
      <c r="D385" s="68" t="s">
        <v>108</v>
      </c>
      <c r="E385" s="69" t="s">
        <v>109</v>
      </c>
      <c r="F385" s="70" t="n">
        <f aca="false">IFERROR(VLOOKUP(C385,$AS$3:$AT$10,2,FALSE()),IFERROR(VLOOKUP(C385,$AS$15:$AT$22,2,FALSE()),""))</f>
        <v>132</v>
      </c>
      <c r="G385" s="71" t="n">
        <f aca="false">IFERROR(VLOOKUP(C385,$AS$3:$AX$10,6,FALSE()),IFERROR(VLOOKUP(C385,$AS$15:$AX$22,6,FALSE()),""))</f>
        <v>0.468190175850689</v>
      </c>
      <c r="H385" s="72" t="str">
        <f aca="false">IFERROR(VLOOKUP(C385,$AS$3:$AY$10,7,FALSE()),IFERROR(VLOOKUP(C385,$AS$15:$AY$22,7,FALSE()),""))</f>
        <v>🟡 AMARELO</v>
      </c>
      <c r="I385" s="72" t="str">
        <f aca="false">IFERROR(VLOOKUP(C385,$AS$3:$AZ$10,8,FALSE()),IFERROR(VLOOKUP(C385,$AS$15:$AZ$22,8,FALSE()),""))</f>
        <v>Sell Out</v>
      </c>
      <c r="J385" s="73"/>
      <c r="K385" s="69" t="s">
        <v>107</v>
      </c>
      <c r="L385" s="74" t="n">
        <v>2385.47</v>
      </c>
      <c r="M385" s="75" t="n">
        <v>167.63</v>
      </c>
      <c r="N385" s="75" t="n">
        <v>175.17</v>
      </c>
      <c r="O385" s="75" t="n">
        <v>179.39</v>
      </c>
      <c r="P385" s="75" t="n">
        <v>184.07</v>
      </c>
      <c r="Q385" s="75" t="n">
        <v>190.1</v>
      </c>
      <c r="R385" s="75" t="n">
        <v>195.07</v>
      </c>
      <c r="S385" s="75" t="n">
        <v>202.61</v>
      </c>
      <c r="T385" s="75" t="n">
        <v>207.58</v>
      </c>
      <c r="U385" s="75" t="n">
        <v>212.26</v>
      </c>
      <c r="V385" s="75" t="n">
        <v>217.53</v>
      </c>
      <c r="W385" s="75" t="n">
        <v>223.26</v>
      </c>
      <c r="X385" s="76" t="n">
        <v>230.8</v>
      </c>
      <c r="Y385" s="77" t="s">
        <v>20</v>
      </c>
      <c r="Z385" s="78" t="n">
        <f aca="false">SUM(AA385:AL385)</f>
        <v>985.5</v>
      </c>
      <c r="AA385" s="75"/>
      <c r="AB385" s="75"/>
      <c r="AC385" s="75"/>
      <c r="AD385" s="75"/>
      <c r="AE385" s="75"/>
      <c r="AF385" s="75"/>
      <c r="AG385" s="75"/>
      <c r="AH385" s="75"/>
      <c r="AI385" s="79" t="n">
        <v>985.5</v>
      </c>
      <c r="AJ385" s="75"/>
      <c r="AK385" s="75"/>
      <c r="AL385" s="76"/>
      <c r="AM385" s="56" t="s">
        <v>20</v>
      </c>
      <c r="AN385" s="80" t="n">
        <f aca="false">IF(L385=0,0,Z385/L385)</f>
        <v>0.413126134472452</v>
      </c>
      <c r="AO385" s="81" t="str">
        <f aca="false">IF(AN385="","",IF(AN385&gt;=0.9,"🟢",IF(AN385&gt;=0.7,"🟡",IF(AN385&gt;=0.5,"🟠","🔴"))))</f>
        <v>🔴</v>
      </c>
      <c r="AP385" s="82" t="n">
        <f aca="false">IF(L385=0,0,L385-Z385)</f>
        <v>1399.97</v>
      </c>
      <c r="AQ385" s="83" t="n">
        <f aca="false">IF(AP385=0,"",RANK(AP385,AP$4:AP$503,0))</f>
        <v>340</v>
      </c>
      <c r="AR385" s="84" t="s">
        <v>20</v>
      </c>
      <c r="AS385" s="141"/>
      <c r="AT385" s="141"/>
      <c r="AU385" s="141"/>
      <c r="AV385" s="141"/>
      <c r="AW385" s="141"/>
      <c r="AX385" s="141"/>
      <c r="AY385" s="142"/>
      <c r="AZ385" s="142"/>
      <c r="BA385" s="56" t="s">
        <v>20</v>
      </c>
      <c r="BB385" s="91" t="n">
        <f aca="false">SUM(L$4:L$503)/COUNTA(A$4:A$503)</f>
        <v>9494.39992</v>
      </c>
      <c r="BC385" s="92" t="n">
        <f aca="false">SUM(M$4:M$503)/COUNTA(A$4:A$503)</f>
        <v>667.20008</v>
      </c>
      <c r="BD385" s="92" t="n">
        <f aca="false">SUM(N$4:N$503)/COUNTA(A$4:A$503)</f>
        <v>697.19996</v>
      </c>
      <c r="BE385" s="92" t="n">
        <f aca="false">SUM(O$4:O$503)/COUNTA(A$4:A$503)</f>
        <v>713.9999</v>
      </c>
      <c r="BF385" s="92" t="n">
        <f aca="false">SUM(P$4:P$503)/COUNTA(A$4:A$503)</f>
        <v>732.59984</v>
      </c>
      <c r="BG385" s="92" t="n">
        <f aca="false">SUM(Q$4:Q$503)/COUNTA(A$4:A$503)</f>
        <v>756.59992</v>
      </c>
      <c r="BH385" s="92" t="n">
        <f aca="false">SUM(R$4:R$503)/COUNTA(A$4:A$503)</f>
        <v>776.40004</v>
      </c>
      <c r="BI385" s="92" t="n">
        <f aca="false">SUM(S$4:S$503)/COUNTA(A$4:A$503)</f>
        <v>806.40012</v>
      </c>
      <c r="BJ385" s="92" t="n">
        <f aca="false">SUM(T$4:T$503)/COUNTA(A$4:A$503)</f>
        <v>826.1999</v>
      </c>
      <c r="BK385" s="92" t="n">
        <f aca="false">SUM(U$4:U$503)/COUNTA(A$4:A$503)</f>
        <v>844.8002</v>
      </c>
      <c r="BL385" s="92" t="n">
        <f aca="false">SUM(V$4:V$503)/COUNTA(A$4:A$503)</f>
        <v>865.7998</v>
      </c>
      <c r="BM385" s="92" t="n">
        <f aca="false">SUM(W$4:W$503)/COUNTA(A$4:A$503)</f>
        <v>888.59982</v>
      </c>
      <c r="BN385" s="93" t="n">
        <f aca="false">SUM(X$4:X$503)/COUNTA(A$4:A$503)</f>
        <v>918.60034</v>
      </c>
      <c r="BO385" s="94" t="s">
        <v>20</v>
      </c>
      <c r="BP385" s="91" t="n">
        <f aca="false">IF(Z385&gt;=BB385,0,IFERROR(BB385+(SUMPRODUCT((Z$4:Z$503&gt;=BB$4:BB$503)*(Z$4:Z$503-BB$4:BB$503))/MAX(1,COUNTIF(Z$4:Z$503,"&lt;"&amp;BB385+0.01))),BB385))</f>
        <v>10695.5432177778</v>
      </c>
      <c r="BQ385" s="92" t="n">
        <f aca="false">IF(AA385&gt;=BC385,0,IFERROR(BC385+SUMPRODUCT((AA$4:AA$503&gt;=BC$4:BC$503)*(AA$4:AA$503-BC$4:BC$503))/MAX(1,COUNTIF(AA$4:AA$503,"&lt;"&amp;BC385+0.01)),BC385))</f>
        <v>2238.46589176471</v>
      </c>
      <c r="BR385" s="92" t="n">
        <f aca="false">IF(AB385&gt;=BD385,0,IFERROR(BD385+SUMPRODUCT((AB$4:AB$503&gt;=BD$4:BD$503)*(AB$4:AB$503-BD$4:BD$503))/MAX(1,COUNTIF(AB$4:AB$503,"&lt;"&amp;BD385+0.01)),BD385))</f>
        <v>3335.2938</v>
      </c>
      <c r="BS385" s="92" t="n">
        <f aca="false">IF(AC385&gt;=BE385,0,IFERROR(BE385+SUMPRODUCT((AC$4:AC$503&gt;=BE$4:BE$503)*(AC$4:AC$503-BE$4:BE$503))/MAX(1,COUNTIF(AC$4:AC$503,"&lt;"&amp;BE385+0.01)),BE385))</f>
        <v>6188.73352</v>
      </c>
      <c r="BT385" s="92" t="n">
        <f aca="false">IF(AD385&gt;=BF385,0,IFERROR(BF385+SUMPRODUCT((AD$4:AD$503&gt;=BF$4:BF$503)*(AD$4:AD$503-BF$4:BF$503))/MAX(1,COUNTIF(AD$4:AD$503,"&lt;"&amp;BF385+0.01)),BF385))</f>
        <v>11354.35411</v>
      </c>
      <c r="BU385" s="92" t="n">
        <f aca="false">IF(AE385&gt;=BG385,0,IFERROR(BG385+SUMPRODUCT((AE$4:AE$503&gt;=BG$4:BG$503)*(AE$4:AE$503-BG$4:BG$503))/MAX(1,COUNTIF(AE$4:AE$503,"&lt;"&amp;BG385+0.01)),BG385))</f>
        <v>7704.85920380952</v>
      </c>
      <c r="BV385" s="92" t="n">
        <f aca="false">IF(AF385&gt;=BH385,0,IFERROR(BH385+SUMPRODUCT((AF$4:AF$503&gt;=BH$4:BH$503)*(AF$4:AF$503-BH$4:BH$503))/MAX(1,COUNTIF(AF$4:AF$503,"&lt;"&amp;BH385+0.01)),BH385))</f>
        <v>9942.6503831579</v>
      </c>
      <c r="BW385" s="92" t="n">
        <f aca="false">IF(AG385&gt;=BI385,0,IFERROR(BI385+SUMPRODUCT((AG$4:AG$503&gt;=BI$4:BI$503)*(AG$4:AG$503-BI$4:BI$503))/MAX(1,COUNTIF(AG$4:AG$503,"&lt;"&amp;BI385+0.01)),BI385))</f>
        <v>9142.15870461538</v>
      </c>
      <c r="BX385" s="92" t="n">
        <f aca="false">IF(AH385&gt;=BJ385,0,IFERROR(BJ385+SUMPRODUCT((AH$4:AH$503&gt;=BJ$4:BJ$503)*(AH$4:AH$503-BJ$4:BJ$503))/MAX(1,COUNTIF(AH$4:AH$503,"&lt;"&amp;BJ385+0.01)),BJ385))</f>
        <v>5621.50263448276</v>
      </c>
      <c r="BY385" s="92" t="n">
        <f aca="false">IF(AI385&gt;=BK385,0,IFERROR(BK385+SUMPRODUCT((AI$4:AI$503&gt;=BK$4:BK$503)*(AI$4:AI$503-BK$4:BK$503))/MAX(1,COUNTIF(AI$4:AI$503,"&lt;"&amp;BK385+0.01)),BK385))</f>
        <v>0</v>
      </c>
      <c r="BZ385" s="92" t="n">
        <f aca="false">IF(AJ385&gt;=BL385,0,IFERROR(BL385+SUMPRODUCT((AJ$4:AJ$503&gt;=BL$4:BL$503)*(AJ$4:AJ$503-BL$4:BL$503))/MAX(1,COUNTIF(AJ$4:AJ$503,"&lt;"&amp;BL385+0.01)),BL385))</f>
        <v>6710.03292307692</v>
      </c>
      <c r="CA385" s="92" t="n">
        <f aca="false">IF(AK385&gt;=BM385,0,IFERROR(BM385+SUMPRODUCT((AK$4:AK$503&gt;=BM$4:BM$503)*(AK$4:AK$503-BM$4:BM$503))/MAX(1,COUNTIF(AK$4:AK$503,"&lt;"&amp;BM385+0.01)),BM385))</f>
        <v>7314.89836842105</v>
      </c>
      <c r="CB385" s="93" t="n">
        <f aca="false">IF(AL385&gt;=BN385,0,IFERROR(BN385+SUMPRODUCT((AL$4:AL$503&gt;=BN$4:BN$503)*(AL$4:AL$503-BN$4:BN$503))/MAX(1,COUNTIF(AL$4:AL$503,"&lt;"&amp;BN385+0.01)),BN385))</f>
        <v>3597.2614925</v>
      </c>
      <c r="CC385" s="95" t="str">
        <f aca="false">IF(AO385="🟢","VERDE",IF(AO385="🟡","AMARELO",IF(AO385="🟠","VERMELHO",IF(AO385="🔴","VERMELHO","ROXO"))))</f>
        <v>VERMELHO</v>
      </c>
      <c r="CD385" s="96" t="s">
        <v>103</v>
      </c>
      <c r="CE385" s="96" t="s">
        <v>104</v>
      </c>
    </row>
    <row r="386" customFormat="false" ht="14.25" hidden="false" customHeight="true" outlineLevel="0" collapsed="false">
      <c r="A386" s="65" t="s">
        <v>904</v>
      </c>
      <c r="B386" s="66" t="s">
        <v>905</v>
      </c>
      <c r="C386" s="66" t="s">
        <v>906</v>
      </c>
      <c r="D386" s="68" t="s">
        <v>100</v>
      </c>
      <c r="E386" s="69" t="s">
        <v>146</v>
      </c>
      <c r="F386" s="70" t="str">
        <f aca="false">IFERROR(VLOOKUP(C386,$AS$3:$AT$10,2,FALSE()),IFERROR(VLOOKUP(C386,$AS$15:$AT$22,2,FALSE()),""))</f>
        <v/>
      </c>
      <c r="G386" s="71" t="str">
        <f aca="false">IFERROR(VLOOKUP(C386,$AS$3:$AX$10,6,FALSE()),IFERROR(VLOOKUP(C386,$AS$15:$AX$22,6,FALSE()),""))</f>
        <v/>
      </c>
      <c r="H386" s="72" t="str">
        <f aca="false">IFERROR(VLOOKUP(C386,$AS$3:$AY$10,7,FALSE()),IFERROR(VLOOKUP(C386,$AS$15:$AY$22,7,FALSE()),""))</f>
        <v/>
      </c>
      <c r="I386" s="72" t="str">
        <f aca="false">IFERROR(VLOOKUP(C386,$AS$3:$AZ$10,8,FALSE()),IFERROR(VLOOKUP(C386,$AS$15:$AZ$22,8,FALSE()),""))</f>
        <v/>
      </c>
      <c r="J386" s="73"/>
      <c r="K386" s="69" t="s">
        <v>145</v>
      </c>
      <c r="L386" s="74" t="n">
        <v>2371.87</v>
      </c>
      <c r="M386" s="75" t="n">
        <v>166.68</v>
      </c>
      <c r="N386" s="75" t="n">
        <v>174.17</v>
      </c>
      <c r="O386" s="75" t="n">
        <v>178.37</v>
      </c>
      <c r="P386" s="75" t="n">
        <v>183.02</v>
      </c>
      <c r="Q386" s="75" t="n">
        <v>189.01</v>
      </c>
      <c r="R386" s="75" t="n">
        <v>193.96</v>
      </c>
      <c r="S386" s="75" t="n">
        <v>201.45</v>
      </c>
      <c r="T386" s="75" t="n">
        <v>206.4</v>
      </c>
      <c r="U386" s="75" t="n">
        <v>211.05</v>
      </c>
      <c r="V386" s="75" t="n">
        <v>216.29</v>
      </c>
      <c r="W386" s="75" t="n">
        <v>221.99</v>
      </c>
      <c r="X386" s="76" t="n">
        <v>229.48</v>
      </c>
      <c r="Y386" s="77" t="s">
        <v>20</v>
      </c>
      <c r="Z386" s="78" t="n">
        <f aca="false">SUM(AA386:AL386)</f>
        <v>1823.65</v>
      </c>
      <c r="AA386" s="75"/>
      <c r="AB386" s="75"/>
      <c r="AC386" s="75"/>
      <c r="AD386" s="79" t="n">
        <v>965.17</v>
      </c>
      <c r="AE386" s="75"/>
      <c r="AF386" s="75"/>
      <c r="AG386" s="75"/>
      <c r="AH386" s="75"/>
      <c r="AI386" s="75" t="n">
        <v>858.48</v>
      </c>
      <c r="AJ386" s="75"/>
      <c r="AK386" s="75"/>
      <c r="AL386" s="76"/>
      <c r="AM386" s="56" t="s">
        <v>20</v>
      </c>
      <c r="AN386" s="80" t="n">
        <f aca="false">IF(L386=0,0,Z386/L386)</f>
        <v>0.76886591592288</v>
      </c>
      <c r="AO386" s="81" t="str">
        <f aca="false">IF(AN386="","",IF(AN386&gt;=0.9,"🟢",IF(AN386&gt;=0.7,"🟡",IF(AN386&gt;=0.5,"🟠","🔴"))))</f>
        <v>🟡</v>
      </c>
      <c r="AP386" s="82" t="n">
        <f aca="false">IF(L386=0,0,L386-Z386)</f>
        <v>548.22</v>
      </c>
      <c r="AQ386" s="83" t="n">
        <f aca="false">IF(AP386=0,"",RANK(AP386,AP$4:AP$503,0))</f>
        <v>450</v>
      </c>
      <c r="AR386" s="84" t="s">
        <v>20</v>
      </c>
      <c r="AS386" s="141"/>
      <c r="AT386" s="141"/>
      <c r="AU386" s="141"/>
      <c r="AV386" s="141"/>
      <c r="AW386" s="141"/>
      <c r="AX386" s="141"/>
      <c r="AY386" s="142"/>
      <c r="AZ386" s="142"/>
      <c r="BA386" s="56" t="s">
        <v>20</v>
      </c>
      <c r="BB386" s="91" t="n">
        <f aca="false">SUM(L$4:L$503)/COUNTA(A$4:A$503)</f>
        <v>9494.39992</v>
      </c>
      <c r="BC386" s="92" t="n">
        <f aca="false">SUM(M$4:M$503)/COUNTA(A$4:A$503)</f>
        <v>667.20008</v>
      </c>
      <c r="BD386" s="92" t="n">
        <f aca="false">SUM(N$4:N$503)/COUNTA(A$4:A$503)</f>
        <v>697.19996</v>
      </c>
      <c r="BE386" s="92" t="n">
        <f aca="false">SUM(O$4:O$503)/COUNTA(A$4:A$503)</f>
        <v>713.9999</v>
      </c>
      <c r="BF386" s="92" t="n">
        <f aca="false">SUM(P$4:P$503)/COUNTA(A$4:A$503)</f>
        <v>732.59984</v>
      </c>
      <c r="BG386" s="92" t="n">
        <f aca="false">SUM(Q$4:Q$503)/COUNTA(A$4:A$503)</f>
        <v>756.59992</v>
      </c>
      <c r="BH386" s="92" t="n">
        <f aca="false">SUM(R$4:R$503)/COUNTA(A$4:A$503)</f>
        <v>776.40004</v>
      </c>
      <c r="BI386" s="92" t="n">
        <f aca="false">SUM(S$4:S$503)/COUNTA(A$4:A$503)</f>
        <v>806.40012</v>
      </c>
      <c r="BJ386" s="92" t="n">
        <f aca="false">SUM(T$4:T$503)/COUNTA(A$4:A$503)</f>
        <v>826.1999</v>
      </c>
      <c r="BK386" s="92" t="n">
        <f aca="false">SUM(U$4:U$503)/COUNTA(A$4:A$503)</f>
        <v>844.8002</v>
      </c>
      <c r="BL386" s="92" t="n">
        <f aca="false">SUM(V$4:V$503)/COUNTA(A$4:A$503)</f>
        <v>865.7998</v>
      </c>
      <c r="BM386" s="92" t="n">
        <f aca="false">SUM(W$4:W$503)/COUNTA(A$4:A$503)</f>
        <v>888.59982</v>
      </c>
      <c r="BN386" s="93" t="n">
        <f aca="false">SUM(X$4:X$503)/COUNTA(A$4:A$503)</f>
        <v>918.60034</v>
      </c>
      <c r="BO386" s="94" t="s">
        <v>20</v>
      </c>
      <c r="BP386" s="91" t="n">
        <f aca="false">IF(Z386&gt;=BB386,0,IFERROR(BB386+(SUMPRODUCT((Z$4:Z$503&gt;=BB$4:BB$503)*(Z$4:Z$503-BB$4:BB$503))/MAX(1,COUNTIF(Z$4:Z$503,"&lt;"&amp;BB386+0.01))),BB386))</f>
        <v>10695.5432177778</v>
      </c>
      <c r="BQ386" s="92" t="n">
        <f aca="false">IF(AA386&gt;=BC386,0,IFERROR(BC386+SUMPRODUCT((AA$4:AA$503&gt;=BC$4:BC$503)*(AA$4:AA$503-BC$4:BC$503))/MAX(1,COUNTIF(AA$4:AA$503,"&lt;"&amp;BC386+0.01)),BC386))</f>
        <v>2238.46589176471</v>
      </c>
      <c r="BR386" s="92" t="n">
        <f aca="false">IF(AB386&gt;=BD386,0,IFERROR(BD386+SUMPRODUCT((AB$4:AB$503&gt;=BD$4:BD$503)*(AB$4:AB$503-BD$4:BD$503))/MAX(1,COUNTIF(AB$4:AB$503,"&lt;"&amp;BD386+0.01)),BD386))</f>
        <v>3335.2938</v>
      </c>
      <c r="BS386" s="92" t="n">
        <f aca="false">IF(AC386&gt;=BE386,0,IFERROR(BE386+SUMPRODUCT((AC$4:AC$503&gt;=BE$4:BE$503)*(AC$4:AC$503-BE$4:BE$503))/MAX(1,COUNTIF(AC$4:AC$503,"&lt;"&amp;BE386+0.01)),BE386))</f>
        <v>6188.73352</v>
      </c>
      <c r="BT386" s="92" t="n">
        <f aca="false">IF(AD386&gt;=BF386,0,IFERROR(BF386+SUMPRODUCT((AD$4:AD$503&gt;=BF$4:BF$503)*(AD$4:AD$503-BF$4:BF$503))/MAX(1,COUNTIF(AD$4:AD$503,"&lt;"&amp;BF386+0.01)),BF386))</f>
        <v>0</v>
      </c>
      <c r="BU386" s="92" t="n">
        <f aca="false">IF(AE386&gt;=BG386,0,IFERROR(BG386+SUMPRODUCT((AE$4:AE$503&gt;=BG$4:BG$503)*(AE$4:AE$503-BG$4:BG$503))/MAX(1,COUNTIF(AE$4:AE$503,"&lt;"&amp;BG386+0.01)),BG386))</f>
        <v>7704.85920380952</v>
      </c>
      <c r="BV386" s="92" t="n">
        <f aca="false">IF(AF386&gt;=BH386,0,IFERROR(BH386+SUMPRODUCT((AF$4:AF$503&gt;=BH$4:BH$503)*(AF$4:AF$503-BH$4:BH$503))/MAX(1,COUNTIF(AF$4:AF$503,"&lt;"&amp;BH386+0.01)),BH386))</f>
        <v>9942.6503831579</v>
      </c>
      <c r="BW386" s="92" t="n">
        <f aca="false">IF(AG386&gt;=BI386,0,IFERROR(BI386+SUMPRODUCT((AG$4:AG$503&gt;=BI$4:BI$503)*(AG$4:AG$503-BI$4:BI$503))/MAX(1,COUNTIF(AG$4:AG$503,"&lt;"&amp;BI386+0.01)),BI386))</f>
        <v>9142.15870461538</v>
      </c>
      <c r="BX386" s="92" t="n">
        <f aca="false">IF(AH386&gt;=BJ386,0,IFERROR(BJ386+SUMPRODUCT((AH$4:AH$503&gt;=BJ$4:BJ$503)*(AH$4:AH$503-BJ$4:BJ$503))/MAX(1,COUNTIF(AH$4:AH$503,"&lt;"&amp;BJ386+0.01)),BJ386))</f>
        <v>5621.50263448276</v>
      </c>
      <c r="BY386" s="92" t="n">
        <f aca="false">IF(AI386&gt;=BK386,0,IFERROR(BK386+SUMPRODUCT((AI$4:AI$503&gt;=BK$4:BK$503)*(AI$4:AI$503-BK$4:BK$503))/MAX(1,COUNTIF(AI$4:AI$503,"&lt;"&amp;BK386+0.01)),BK386))</f>
        <v>0</v>
      </c>
      <c r="BZ386" s="92" t="n">
        <f aca="false">IF(AJ386&gt;=BL386,0,IFERROR(BL386+SUMPRODUCT((AJ$4:AJ$503&gt;=BL$4:BL$503)*(AJ$4:AJ$503-BL$4:BL$503))/MAX(1,COUNTIF(AJ$4:AJ$503,"&lt;"&amp;BL386+0.01)),BL386))</f>
        <v>6710.03292307692</v>
      </c>
      <c r="CA386" s="92" t="n">
        <f aca="false">IF(AK386&gt;=BM386,0,IFERROR(BM386+SUMPRODUCT((AK$4:AK$503&gt;=BM$4:BM$503)*(AK$4:AK$503-BM$4:BM$503))/MAX(1,COUNTIF(AK$4:AK$503,"&lt;"&amp;BM386+0.01)),BM386))</f>
        <v>7314.89836842105</v>
      </c>
      <c r="CB386" s="93" t="n">
        <f aca="false">IF(AL386&gt;=BN386,0,IFERROR(BN386+SUMPRODUCT((AL$4:AL$503&gt;=BN$4:BN$503)*(AL$4:AL$503-BN$4:BN$503))/MAX(1,COUNTIF(AL$4:AL$503,"&lt;"&amp;BN386+0.01)),BN386))</f>
        <v>3597.2614925</v>
      </c>
      <c r="CC386" s="95" t="str">
        <f aca="false">IF(AO386="🟢","VERDE",IF(AO386="🟡","AMARELO",IF(AO386="🟠","VERMELHO",IF(AO386="🔴","VERMELHO","ROXO"))))</f>
        <v>AMARELO</v>
      </c>
      <c r="CD386" s="96" t="s">
        <v>176</v>
      </c>
      <c r="CE386" s="96" t="s">
        <v>906</v>
      </c>
    </row>
    <row r="387" customFormat="false" ht="14.25" hidden="false" customHeight="true" outlineLevel="0" collapsed="false">
      <c r="A387" s="65" t="s">
        <v>907</v>
      </c>
      <c r="B387" s="66" t="s">
        <v>908</v>
      </c>
      <c r="C387" s="66" t="s">
        <v>115</v>
      </c>
      <c r="D387" s="68" t="s">
        <v>184</v>
      </c>
      <c r="E387" s="69" t="s">
        <v>109</v>
      </c>
      <c r="F387" s="70" t="n">
        <f aca="false">IFERROR(VLOOKUP(C387,$AS$3:$AT$10,2,FALSE()),IFERROR(VLOOKUP(C387,$AS$15:$AT$22,2,FALSE()),""))</f>
        <v>25</v>
      </c>
      <c r="G387" s="71" t="n">
        <f aca="false">IFERROR(VLOOKUP(C387,$AS$3:$AX$10,6,FALSE()),IFERROR(VLOOKUP(C387,$AS$15:$AX$22,6,FALSE()),""))</f>
        <v>0.536751750851081</v>
      </c>
      <c r="H387" s="72" t="str">
        <f aca="false">IFERROR(VLOOKUP(C387,$AS$3:$AY$10,7,FALSE()),IFERROR(VLOOKUP(C387,$AS$15:$AY$22,7,FALSE()),""))</f>
        <v>🟡 AMARELO</v>
      </c>
      <c r="I387" s="72" t="str">
        <f aca="false">IFERROR(VLOOKUP(C387,$AS$3:$AZ$10,8,FALSE()),IFERROR(VLOOKUP(C387,$AS$15:$AZ$22,8,FALSE()),""))</f>
        <v>Sell Out</v>
      </c>
      <c r="J387" s="73"/>
      <c r="K387" s="69" t="s">
        <v>107</v>
      </c>
      <c r="L387" s="74" t="n">
        <v>2343.39</v>
      </c>
      <c r="M387" s="75" t="n">
        <v>164.68</v>
      </c>
      <c r="N387" s="75" t="n">
        <v>172.08</v>
      </c>
      <c r="O387" s="75" t="n">
        <v>176.23</v>
      </c>
      <c r="P387" s="75" t="n">
        <v>180.82</v>
      </c>
      <c r="Q387" s="75" t="n">
        <v>186.74</v>
      </c>
      <c r="R387" s="75" t="n">
        <v>191.63</v>
      </c>
      <c r="S387" s="75" t="n">
        <v>199.03</v>
      </c>
      <c r="T387" s="75" t="n">
        <v>203.92</v>
      </c>
      <c r="U387" s="75" t="n">
        <v>208.51</v>
      </c>
      <c r="V387" s="75" t="n">
        <v>213.7</v>
      </c>
      <c r="W387" s="75" t="n">
        <v>219.32</v>
      </c>
      <c r="X387" s="76" t="n">
        <v>226.73</v>
      </c>
      <c r="Y387" s="77" t="s">
        <v>20</v>
      </c>
      <c r="Z387" s="78" t="n">
        <f aca="false">SUM(AA387:AL387)</f>
        <v>967.93</v>
      </c>
      <c r="AA387" s="75"/>
      <c r="AB387" s="75"/>
      <c r="AC387" s="75"/>
      <c r="AD387" s="75"/>
      <c r="AE387" s="75"/>
      <c r="AF387" s="75"/>
      <c r="AG387" s="75"/>
      <c r="AH387" s="75"/>
      <c r="AI387" s="75"/>
      <c r="AJ387" s="79" t="n">
        <v>967.93</v>
      </c>
      <c r="AK387" s="75"/>
      <c r="AL387" s="76"/>
      <c r="AM387" s="56" t="s">
        <v>20</v>
      </c>
      <c r="AN387" s="80" t="n">
        <f aca="false">IF(L387=0,0,Z387/L387)</f>
        <v>0.413046910672146</v>
      </c>
      <c r="AO387" s="81" t="str">
        <f aca="false">IF(AN387="","",IF(AN387&gt;=0.9,"🟢",IF(AN387&gt;=0.7,"🟡",IF(AN387&gt;=0.5,"🟠","🔴"))))</f>
        <v>🔴</v>
      </c>
      <c r="AP387" s="82" t="n">
        <f aca="false">IF(L387=0,0,L387-Z387)</f>
        <v>1375.46</v>
      </c>
      <c r="AQ387" s="83" t="n">
        <f aca="false">IF(AP387=0,"",RANK(AP387,AP$4:AP$503,0))</f>
        <v>342</v>
      </c>
      <c r="AR387" s="84" t="s">
        <v>20</v>
      </c>
      <c r="AS387" s="141"/>
      <c r="AT387" s="141"/>
      <c r="AU387" s="141"/>
      <c r="AV387" s="141"/>
      <c r="AW387" s="141"/>
      <c r="AX387" s="141"/>
      <c r="AY387" s="142"/>
      <c r="AZ387" s="142"/>
      <c r="BA387" s="56" t="s">
        <v>20</v>
      </c>
      <c r="BB387" s="91" t="n">
        <f aca="false">SUM(L$4:L$503)/COUNTA(A$4:A$503)</f>
        <v>9494.39992</v>
      </c>
      <c r="BC387" s="92" t="n">
        <f aca="false">SUM(M$4:M$503)/COUNTA(A$4:A$503)</f>
        <v>667.20008</v>
      </c>
      <c r="BD387" s="92" t="n">
        <f aca="false">SUM(N$4:N$503)/COUNTA(A$4:A$503)</f>
        <v>697.19996</v>
      </c>
      <c r="BE387" s="92" t="n">
        <f aca="false">SUM(O$4:O$503)/COUNTA(A$4:A$503)</f>
        <v>713.9999</v>
      </c>
      <c r="BF387" s="92" t="n">
        <f aca="false">SUM(P$4:P$503)/COUNTA(A$4:A$503)</f>
        <v>732.59984</v>
      </c>
      <c r="BG387" s="92" t="n">
        <f aca="false">SUM(Q$4:Q$503)/COUNTA(A$4:A$503)</f>
        <v>756.59992</v>
      </c>
      <c r="BH387" s="92" t="n">
        <f aca="false">SUM(R$4:R$503)/COUNTA(A$4:A$503)</f>
        <v>776.40004</v>
      </c>
      <c r="BI387" s="92" t="n">
        <f aca="false">SUM(S$4:S$503)/COUNTA(A$4:A$503)</f>
        <v>806.40012</v>
      </c>
      <c r="BJ387" s="92" t="n">
        <f aca="false">SUM(T$4:T$503)/COUNTA(A$4:A$503)</f>
        <v>826.1999</v>
      </c>
      <c r="BK387" s="92" t="n">
        <f aca="false">SUM(U$4:U$503)/COUNTA(A$4:A$503)</f>
        <v>844.8002</v>
      </c>
      <c r="BL387" s="92" t="n">
        <f aca="false">SUM(V$4:V$503)/COUNTA(A$4:A$503)</f>
        <v>865.7998</v>
      </c>
      <c r="BM387" s="92" t="n">
        <f aca="false">SUM(W$4:W$503)/COUNTA(A$4:A$503)</f>
        <v>888.59982</v>
      </c>
      <c r="BN387" s="93" t="n">
        <f aca="false">SUM(X$4:X$503)/COUNTA(A$4:A$503)</f>
        <v>918.60034</v>
      </c>
      <c r="BO387" s="94" t="s">
        <v>20</v>
      </c>
      <c r="BP387" s="91" t="n">
        <f aca="false">IF(Z387&gt;=BB387,0,IFERROR(BB387+(SUMPRODUCT((Z$4:Z$503&gt;=BB$4:BB$503)*(Z$4:Z$503-BB$4:BB$503))/MAX(1,COUNTIF(Z$4:Z$503,"&lt;"&amp;BB387+0.01))),BB387))</f>
        <v>10695.5432177778</v>
      </c>
      <c r="BQ387" s="92" t="n">
        <f aca="false">IF(AA387&gt;=BC387,0,IFERROR(BC387+SUMPRODUCT((AA$4:AA$503&gt;=BC$4:BC$503)*(AA$4:AA$503-BC$4:BC$503))/MAX(1,COUNTIF(AA$4:AA$503,"&lt;"&amp;BC387+0.01)),BC387))</f>
        <v>2238.46589176471</v>
      </c>
      <c r="BR387" s="92" t="n">
        <f aca="false">IF(AB387&gt;=BD387,0,IFERROR(BD387+SUMPRODUCT((AB$4:AB$503&gt;=BD$4:BD$503)*(AB$4:AB$503-BD$4:BD$503))/MAX(1,COUNTIF(AB$4:AB$503,"&lt;"&amp;BD387+0.01)),BD387))</f>
        <v>3335.2938</v>
      </c>
      <c r="BS387" s="92" t="n">
        <f aca="false">IF(AC387&gt;=BE387,0,IFERROR(BE387+SUMPRODUCT((AC$4:AC$503&gt;=BE$4:BE$503)*(AC$4:AC$503-BE$4:BE$503))/MAX(1,COUNTIF(AC$4:AC$503,"&lt;"&amp;BE387+0.01)),BE387))</f>
        <v>6188.73352</v>
      </c>
      <c r="BT387" s="92" t="n">
        <f aca="false">IF(AD387&gt;=BF387,0,IFERROR(BF387+SUMPRODUCT((AD$4:AD$503&gt;=BF$4:BF$503)*(AD$4:AD$503-BF$4:BF$503))/MAX(1,COUNTIF(AD$4:AD$503,"&lt;"&amp;BF387+0.01)),BF387))</f>
        <v>11354.35411</v>
      </c>
      <c r="BU387" s="92" t="n">
        <f aca="false">IF(AE387&gt;=BG387,0,IFERROR(BG387+SUMPRODUCT((AE$4:AE$503&gt;=BG$4:BG$503)*(AE$4:AE$503-BG$4:BG$503))/MAX(1,COUNTIF(AE$4:AE$503,"&lt;"&amp;BG387+0.01)),BG387))</f>
        <v>7704.85920380952</v>
      </c>
      <c r="BV387" s="92" t="n">
        <f aca="false">IF(AF387&gt;=BH387,0,IFERROR(BH387+SUMPRODUCT((AF$4:AF$503&gt;=BH$4:BH$503)*(AF$4:AF$503-BH$4:BH$503))/MAX(1,COUNTIF(AF$4:AF$503,"&lt;"&amp;BH387+0.01)),BH387))</f>
        <v>9942.6503831579</v>
      </c>
      <c r="BW387" s="92" t="n">
        <f aca="false">IF(AG387&gt;=BI387,0,IFERROR(BI387+SUMPRODUCT((AG$4:AG$503&gt;=BI$4:BI$503)*(AG$4:AG$503-BI$4:BI$503))/MAX(1,COUNTIF(AG$4:AG$503,"&lt;"&amp;BI387+0.01)),BI387))</f>
        <v>9142.15870461538</v>
      </c>
      <c r="BX387" s="92" t="n">
        <f aca="false">IF(AH387&gt;=BJ387,0,IFERROR(BJ387+SUMPRODUCT((AH$4:AH$503&gt;=BJ$4:BJ$503)*(AH$4:AH$503-BJ$4:BJ$503))/MAX(1,COUNTIF(AH$4:AH$503,"&lt;"&amp;BJ387+0.01)),BJ387))</f>
        <v>5621.50263448276</v>
      </c>
      <c r="BY387" s="92" t="n">
        <f aca="false">IF(AI387&gt;=BK387,0,IFERROR(BK387+SUMPRODUCT((AI$4:AI$503&gt;=BK$4:BK$503)*(AI$4:AI$503-BK$4:BK$503))/MAX(1,COUNTIF(AI$4:AI$503,"&lt;"&amp;BK387+0.01)),BK387))</f>
        <v>7878.25652380952</v>
      </c>
      <c r="BZ387" s="92" t="n">
        <f aca="false">IF(AJ387&gt;=BL387,0,IFERROR(BL387+SUMPRODUCT((AJ$4:AJ$503&gt;=BL$4:BL$503)*(AJ$4:AJ$503-BL$4:BL$503))/MAX(1,COUNTIF(AJ$4:AJ$503,"&lt;"&amp;BL387+0.01)),BL387))</f>
        <v>0</v>
      </c>
      <c r="CA387" s="92" t="n">
        <f aca="false">IF(AK387&gt;=BM387,0,IFERROR(BM387+SUMPRODUCT((AK$4:AK$503&gt;=BM$4:BM$503)*(AK$4:AK$503-BM$4:BM$503))/MAX(1,COUNTIF(AK$4:AK$503,"&lt;"&amp;BM387+0.01)),BM387))</f>
        <v>7314.89836842105</v>
      </c>
      <c r="CB387" s="93" t="n">
        <f aca="false">IF(AL387&gt;=BN387,0,IFERROR(BN387+SUMPRODUCT((AL$4:AL$503&gt;=BN$4:BN$503)*(AL$4:AL$503-BN$4:BN$503))/MAX(1,COUNTIF(AL$4:AL$503,"&lt;"&amp;BN387+0.01)),BN387))</f>
        <v>3597.2614925</v>
      </c>
      <c r="CC387" s="95" t="str">
        <f aca="false">IF(AO387="🟢","VERDE",IF(AO387="🟡","AMARELO",IF(AO387="🟠","VERMELHO",IF(AO387="🔴","VERMELHO","ROXO"))))</f>
        <v>VERMELHO</v>
      </c>
      <c r="CD387" s="96" t="s">
        <v>176</v>
      </c>
      <c r="CE387" s="96" t="s">
        <v>115</v>
      </c>
    </row>
    <row r="388" customFormat="false" ht="14.25" hidden="false" customHeight="true" outlineLevel="0" collapsed="false">
      <c r="A388" s="65" t="s">
        <v>909</v>
      </c>
      <c r="B388" s="66" t="s">
        <v>910</v>
      </c>
      <c r="C388" s="66" t="s">
        <v>66</v>
      </c>
      <c r="D388" s="68" t="s">
        <v>175</v>
      </c>
      <c r="E388" s="69" t="s">
        <v>139</v>
      </c>
      <c r="F388" s="70" t="n">
        <f aca="false">IFERROR(VLOOKUP(C388,$AS$3:$AT$10,2,FALSE()),IFERROR(VLOOKUP(C388,$AS$15:$AT$22,2,FALSE()),""))</f>
        <v>44</v>
      </c>
      <c r="G388" s="71" t="n">
        <f aca="false">IFERROR(VLOOKUP(C388,$AS$3:$AX$10,6,FALSE()),IFERROR(VLOOKUP(C388,$AS$15:$AX$22,6,FALSE()),""))</f>
        <v>0.496839506257363</v>
      </c>
      <c r="H388" s="72" t="str">
        <f aca="false">IFERROR(VLOOKUP(C388,$AS$3:$AY$10,7,FALSE()),IFERROR(VLOOKUP(C388,$AS$15:$AY$22,7,FALSE()),""))</f>
        <v>🟡 AMARELO</v>
      </c>
      <c r="I388" s="72" t="str">
        <f aca="false">IFERROR(VLOOKUP(C388,$AS$3:$AZ$10,8,FALSE()),IFERROR(VLOOKUP(C388,$AS$15:$AZ$22,8,FALSE()),""))</f>
        <v>Sell Out</v>
      </c>
      <c r="J388" s="73"/>
      <c r="K388" s="69" t="s">
        <v>107</v>
      </c>
      <c r="L388" s="74" t="n">
        <v>2340.55</v>
      </c>
      <c r="M388" s="75" t="n">
        <v>164.48</v>
      </c>
      <c r="N388" s="75" t="n">
        <v>171.87</v>
      </c>
      <c r="O388" s="75" t="n">
        <v>176.01</v>
      </c>
      <c r="P388" s="75" t="n">
        <v>180.6</v>
      </c>
      <c r="Q388" s="75" t="n">
        <v>186.52</v>
      </c>
      <c r="R388" s="75" t="n">
        <v>191.4</v>
      </c>
      <c r="S388" s="75" t="n">
        <v>198.79</v>
      </c>
      <c r="T388" s="75" t="n">
        <v>203.67</v>
      </c>
      <c r="U388" s="75" t="n">
        <v>208.26</v>
      </c>
      <c r="V388" s="75" t="n">
        <v>213.44</v>
      </c>
      <c r="W388" s="75" t="n">
        <v>219.06</v>
      </c>
      <c r="X388" s="76" t="n">
        <v>226.45</v>
      </c>
      <c r="Y388" s="77" t="s">
        <v>20</v>
      </c>
      <c r="Z388" s="78" t="n">
        <f aca="false">SUM(AA388:AL388)</f>
        <v>1593.58</v>
      </c>
      <c r="AA388" s="75"/>
      <c r="AB388" s="75"/>
      <c r="AC388" s="75"/>
      <c r="AD388" s="75"/>
      <c r="AE388" s="75"/>
      <c r="AF388" s="75"/>
      <c r="AG388" s="75"/>
      <c r="AH388" s="75"/>
      <c r="AI388" s="75"/>
      <c r="AJ388" s="79" t="n">
        <v>1593.58</v>
      </c>
      <c r="AK388" s="75"/>
      <c r="AL388" s="76"/>
      <c r="AM388" s="56" t="s">
        <v>20</v>
      </c>
      <c r="AN388" s="80" t="n">
        <f aca="false">IF(L388=0,0,Z388/L388)</f>
        <v>0.680857063510713</v>
      </c>
      <c r="AO388" s="81" t="str">
        <f aca="false">IF(AN388="","",IF(AN388&gt;=0.9,"🟢",IF(AN388&gt;=0.7,"🟡",IF(AN388&gt;=0.5,"🟠","🔴"))))</f>
        <v>🟠</v>
      </c>
      <c r="AP388" s="82" t="n">
        <f aca="false">IF(L388=0,0,L388-Z388)</f>
        <v>746.97</v>
      </c>
      <c r="AQ388" s="83" t="n">
        <f aca="false">IF(AP388=0,"",RANK(AP388,AP$4:AP$503,0))</f>
        <v>425</v>
      </c>
      <c r="AR388" s="84" t="s">
        <v>20</v>
      </c>
      <c r="AS388" s="141"/>
      <c r="AT388" s="141"/>
      <c r="AU388" s="141"/>
      <c r="AV388" s="141"/>
      <c r="AW388" s="141"/>
      <c r="AX388" s="141"/>
      <c r="AY388" s="142"/>
      <c r="AZ388" s="142"/>
      <c r="BA388" s="56" t="s">
        <v>20</v>
      </c>
      <c r="BB388" s="91" t="n">
        <f aca="false">SUM(L$4:L$503)/COUNTA(A$4:A$503)</f>
        <v>9494.39992</v>
      </c>
      <c r="BC388" s="92" t="n">
        <f aca="false">SUM(M$4:M$503)/COUNTA(A$4:A$503)</f>
        <v>667.20008</v>
      </c>
      <c r="BD388" s="92" t="n">
        <f aca="false">SUM(N$4:N$503)/COUNTA(A$4:A$503)</f>
        <v>697.19996</v>
      </c>
      <c r="BE388" s="92" t="n">
        <f aca="false">SUM(O$4:O$503)/COUNTA(A$4:A$503)</f>
        <v>713.9999</v>
      </c>
      <c r="BF388" s="92" t="n">
        <f aca="false">SUM(P$4:P$503)/COUNTA(A$4:A$503)</f>
        <v>732.59984</v>
      </c>
      <c r="BG388" s="92" t="n">
        <f aca="false">SUM(Q$4:Q$503)/COUNTA(A$4:A$503)</f>
        <v>756.59992</v>
      </c>
      <c r="BH388" s="92" t="n">
        <f aca="false">SUM(R$4:R$503)/COUNTA(A$4:A$503)</f>
        <v>776.40004</v>
      </c>
      <c r="BI388" s="92" t="n">
        <f aca="false">SUM(S$4:S$503)/COUNTA(A$4:A$503)</f>
        <v>806.40012</v>
      </c>
      <c r="BJ388" s="92" t="n">
        <f aca="false">SUM(T$4:T$503)/COUNTA(A$4:A$503)</f>
        <v>826.1999</v>
      </c>
      <c r="BK388" s="92" t="n">
        <f aca="false">SUM(U$4:U$503)/COUNTA(A$4:A$503)</f>
        <v>844.8002</v>
      </c>
      <c r="BL388" s="92" t="n">
        <f aca="false">SUM(V$4:V$503)/COUNTA(A$4:A$503)</f>
        <v>865.7998</v>
      </c>
      <c r="BM388" s="92" t="n">
        <f aca="false">SUM(W$4:W$503)/COUNTA(A$4:A$503)</f>
        <v>888.59982</v>
      </c>
      <c r="BN388" s="93" t="n">
        <f aca="false">SUM(X$4:X$503)/COUNTA(A$4:A$503)</f>
        <v>918.60034</v>
      </c>
      <c r="BO388" s="94" t="s">
        <v>20</v>
      </c>
      <c r="BP388" s="91" t="n">
        <f aca="false">IF(Z388&gt;=BB388,0,IFERROR(BB388+(SUMPRODUCT((Z$4:Z$503&gt;=BB$4:BB$503)*(Z$4:Z$503-BB$4:BB$503))/MAX(1,COUNTIF(Z$4:Z$503,"&lt;"&amp;BB388+0.01))),BB388))</f>
        <v>10695.5432177778</v>
      </c>
      <c r="BQ388" s="92" t="n">
        <f aca="false">IF(AA388&gt;=BC388,0,IFERROR(BC388+SUMPRODUCT((AA$4:AA$503&gt;=BC$4:BC$503)*(AA$4:AA$503-BC$4:BC$503))/MAX(1,COUNTIF(AA$4:AA$503,"&lt;"&amp;BC388+0.01)),BC388))</f>
        <v>2238.46589176471</v>
      </c>
      <c r="BR388" s="92" t="n">
        <f aca="false">IF(AB388&gt;=BD388,0,IFERROR(BD388+SUMPRODUCT((AB$4:AB$503&gt;=BD$4:BD$503)*(AB$4:AB$503-BD$4:BD$503))/MAX(1,COUNTIF(AB$4:AB$503,"&lt;"&amp;BD388+0.01)),BD388))</f>
        <v>3335.2938</v>
      </c>
      <c r="BS388" s="92" t="n">
        <f aca="false">IF(AC388&gt;=BE388,0,IFERROR(BE388+SUMPRODUCT((AC$4:AC$503&gt;=BE$4:BE$503)*(AC$4:AC$503-BE$4:BE$503))/MAX(1,COUNTIF(AC$4:AC$503,"&lt;"&amp;BE388+0.01)),BE388))</f>
        <v>6188.73352</v>
      </c>
      <c r="BT388" s="92" t="n">
        <f aca="false">IF(AD388&gt;=BF388,0,IFERROR(BF388+SUMPRODUCT((AD$4:AD$503&gt;=BF$4:BF$503)*(AD$4:AD$503-BF$4:BF$503))/MAX(1,COUNTIF(AD$4:AD$503,"&lt;"&amp;BF388+0.01)),BF388))</f>
        <v>11354.35411</v>
      </c>
      <c r="BU388" s="92" t="n">
        <f aca="false">IF(AE388&gt;=BG388,0,IFERROR(BG388+SUMPRODUCT((AE$4:AE$503&gt;=BG$4:BG$503)*(AE$4:AE$503-BG$4:BG$503))/MAX(1,COUNTIF(AE$4:AE$503,"&lt;"&amp;BG388+0.01)),BG388))</f>
        <v>7704.85920380952</v>
      </c>
      <c r="BV388" s="92" t="n">
        <f aca="false">IF(AF388&gt;=BH388,0,IFERROR(BH388+SUMPRODUCT((AF$4:AF$503&gt;=BH$4:BH$503)*(AF$4:AF$503-BH$4:BH$503))/MAX(1,COUNTIF(AF$4:AF$503,"&lt;"&amp;BH388+0.01)),BH388))</f>
        <v>9942.6503831579</v>
      </c>
      <c r="BW388" s="92" t="n">
        <f aca="false">IF(AG388&gt;=BI388,0,IFERROR(BI388+SUMPRODUCT((AG$4:AG$503&gt;=BI$4:BI$503)*(AG$4:AG$503-BI$4:BI$503))/MAX(1,COUNTIF(AG$4:AG$503,"&lt;"&amp;BI388+0.01)),BI388))</f>
        <v>9142.15870461538</v>
      </c>
      <c r="BX388" s="92" t="n">
        <f aca="false">IF(AH388&gt;=BJ388,0,IFERROR(BJ388+SUMPRODUCT((AH$4:AH$503&gt;=BJ$4:BJ$503)*(AH$4:AH$503-BJ$4:BJ$503))/MAX(1,COUNTIF(AH$4:AH$503,"&lt;"&amp;BJ388+0.01)),BJ388))</f>
        <v>5621.50263448276</v>
      </c>
      <c r="BY388" s="92" t="n">
        <f aca="false">IF(AI388&gt;=BK388,0,IFERROR(BK388+SUMPRODUCT((AI$4:AI$503&gt;=BK$4:BK$503)*(AI$4:AI$503-BK$4:BK$503))/MAX(1,COUNTIF(AI$4:AI$503,"&lt;"&amp;BK388+0.01)),BK388))</f>
        <v>7878.25652380952</v>
      </c>
      <c r="BZ388" s="92" t="n">
        <f aca="false">IF(AJ388&gt;=BL388,0,IFERROR(BL388+SUMPRODUCT((AJ$4:AJ$503&gt;=BL$4:BL$503)*(AJ$4:AJ$503-BL$4:BL$503))/MAX(1,COUNTIF(AJ$4:AJ$503,"&lt;"&amp;BL388+0.01)),BL388))</f>
        <v>0</v>
      </c>
      <c r="CA388" s="92" t="n">
        <f aca="false">IF(AK388&gt;=BM388,0,IFERROR(BM388+SUMPRODUCT((AK$4:AK$503&gt;=BM$4:BM$503)*(AK$4:AK$503-BM$4:BM$503))/MAX(1,COUNTIF(AK$4:AK$503,"&lt;"&amp;BM388+0.01)),BM388))</f>
        <v>7314.89836842105</v>
      </c>
      <c r="CB388" s="93" t="n">
        <f aca="false">IF(AL388&gt;=BN388,0,IFERROR(BN388+SUMPRODUCT((AL$4:AL$503&gt;=BN$4:BN$503)*(AL$4:AL$503-BN$4:BN$503))/MAX(1,COUNTIF(AL$4:AL$503,"&lt;"&amp;BN388+0.01)),BN388))</f>
        <v>3597.2614925</v>
      </c>
      <c r="CC388" s="95" t="str">
        <f aca="false">IF(AO388="🟢","VERDE",IF(AO388="🟡","AMARELO",IF(AO388="🟠","VERMELHO",IF(AO388="🔴","VERMELHO","ROXO"))))</f>
        <v>VERMELHO</v>
      </c>
      <c r="CD388" s="96" t="s">
        <v>176</v>
      </c>
      <c r="CE388" s="96" t="s">
        <v>66</v>
      </c>
    </row>
    <row r="389" customFormat="false" ht="14.25" hidden="false" customHeight="true" outlineLevel="0" collapsed="false">
      <c r="A389" s="65" t="s">
        <v>911</v>
      </c>
      <c r="B389" s="66" t="s">
        <v>912</v>
      </c>
      <c r="C389" s="67" t="s">
        <v>118</v>
      </c>
      <c r="D389" s="68" t="s">
        <v>100</v>
      </c>
      <c r="E389" s="69" t="s">
        <v>119</v>
      </c>
      <c r="F389" s="70" t="n">
        <f aca="false">IFERROR(VLOOKUP(C389,$AS$3:$AT$10,2,FALSE()),IFERROR(VLOOKUP(C389,$AS$15:$AT$22,2,FALSE()),""))</f>
        <v>42</v>
      </c>
      <c r="G389" s="71" t="n">
        <f aca="false">IFERROR(VLOOKUP(C389,$AS$3:$AX$10,6,FALSE()),IFERROR(VLOOKUP(C389,$AS$15:$AX$22,6,FALSE()),""))</f>
        <v>0.424872083346704</v>
      </c>
      <c r="H389" s="72" t="str">
        <f aca="false">IFERROR(VLOOKUP(C389,$AS$3:$AY$10,7,FALSE()),IFERROR(VLOOKUP(C389,$AS$15:$AY$22,7,FALSE()),""))</f>
        <v>🟡 AMARELO</v>
      </c>
      <c r="I389" s="72" t="str">
        <f aca="false">IFERROR(VLOOKUP(C389,$AS$3:$AZ$10,8,FALSE()),IFERROR(VLOOKUP(C389,$AS$15:$AZ$22,8,FALSE()),""))</f>
        <v>Sell Out</v>
      </c>
      <c r="J389" s="73"/>
      <c r="K389" s="69" t="s">
        <v>118</v>
      </c>
      <c r="L389" s="74" t="n">
        <v>2338.24</v>
      </c>
      <c r="M389" s="75" t="n">
        <v>164.32</v>
      </c>
      <c r="N389" s="75" t="n">
        <v>171.7</v>
      </c>
      <c r="O389" s="75" t="n">
        <v>175.84</v>
      </c>
      <c r="P389" s="75" t="n">
        <v>180.42</v>
      </c>
      <c r="Q389" s="75" t="n">
        <v>186.33</v>
      </c>
      <c r="R389" s="75" t="n">
        <v>191.21</v>
      </c>
      <c r="S389" s="75" t="n">
        <v>198.6</v>
      </c>
      <c r="T389" s="75" t="n">
        <v>203.47</v>
      </c>
      <c r="U389" s="75" t="n">
        <v>208.05</v>
      </c>
      <c r="V389" s="75" t="n">
        <v>213.23</v>
      </c>
      <c r="W389" s="75" t="n">
        <v>218.84</v>
      </c>
      <c r="X389" s="76" t="n">
        <v>226.23</v>
      </c>
      <c r="Y389" s="77" t="s">
        <v>20</v>
      </c>
      <c r="Z389" s="78" t="n">
        <f aca="false">SUM(AA389:AL389)</f>
        <v>1977.18</v>
      </c>
      <c r="AA389" s="75"/>
      <c r="AB389" s="75"/>
      <c r="AC389" s="75"/>
      <c r="AD389" s="75"/>
      <c r="AE389" s="75"/>
      <c r="AF389" s="75"/>
      <c r="AG389" s="75"/>
      <c r="AH389" s="75"/>
      <c r="AI389" s="75"/>
      <c r="AJ389" s="75" t="n">
        <v>1036.85</v>
      </c>
      <c r="AK389" s="79" t="n">
        <v>940.33</v>
      </c>
      <c r="AL389" s="76"/>
      <c r="AM389" s="56" t="s">
        <v>20</v>
      </c>
      <c r="AN389" s="80" t="n">
        <f aca="false">IF(L389=0,0,Z389/L389)</f>
        <v>0.845584713288627</v>
      </c>
      <c r="AO389" s="81" t="str">
        <f aca="false">IF(AN389="","",IF(AN389&gt;=0.9,"🟢",IF(AN389&gt;=0.7,"🟡",IF(AN389&gt;=0.5,"🟠","🔴"))))</f>
        <v>🟡</v>
      </c>
      <c r="AP389" s="82" t="n">
        <f aca="false">IF(L389=0,0,L389-Z389)</f>
        <v>361.06</v>
      </c>
      <c r="AQ389" s="83" t="n">
        <f aca="false">IF(AP389=0,"",RANK(AP389,AP$4:AP$503,0))</f>
        <v>466</v>
      </c>
      <c r="AR389" s="84" t="s">
        <v>20</v>
      </c>
      <c r="AS389" s="141"/>
      <c r="AT389" s="141"/>
      <c r="AU389" s="141"/>
      <c r="AV389" s="141"/>
      <c r="AW389" s="141"/>
      <c r="AX389" s="141"/>
      <c r="AY389" s="142"/>
      <c r="AZ389" s="142"/>
      <c r="BA389" s="56" t="s">
        <v>20</v>
      </c>
      <c r="BB389" s="91" t="n">
        <f aca="false">SUM(L$4:L$503)/COUNTA(A$4:A$503)</f>
        <v>9494.39992</v>
      </c>
      <c r="BC389" s="92" t="n">
        <f aca="false">SUM(M$4:M$503)/COUNTA(A$4:A$503)</f>
        <v>667.20008</v>
      </c>
      <c r="BD389" s="92" t="n">
        <f aca="false">SUM(N$4:N$503)/COUNTA(A$4:A$503)</f>
        <v>697.19996</v>
      </c>
      <c r="BE389" s="92" t="n">
        <f aca="false">SUM(O$4:O$503)/COUNTA(A$4:A$503)</f>
        <v>713.9999</v>
      </c>
      <c r="BF389" s="92" t="n">
        <f aca="false">SUM(P$4:P$503)/COUNTA(A$4:A$503)</f>
        <v>732.59984</v>
      </c>
      <c r="BG389" s="92" t="n">
        <f aca="false">SUM(Q$4:Q$503)/COUNTA(A$4:A$503)</f>
        <v>756.59992</v>
      </c>
      <c r="BH389" s="92" t="n">
        <f aca="false">SUM(R$4:R$503)/COUNTA(A$4:A$503)</f>
        <v>776.40004</v>
      </c>
      <c r="BI389" s="92" t="n">
        <f aca="false">SUM(S$4:S$503)/COUNTA(A$4:A$503)</f>
        <v>806.40012</v>
      </c>
      <c r="BJ389" s="92" t="n">
        <f aca="false">SUM(T$4:T$503)/COUNTA(A$4:A$503)</f>
        <v>826.1999</v>
      </c>
      <c r="BK389" s="92" t="n">
        <f aca="false">SUM(U$4:U$503)/COUNTA(A$4:A$503)</f>
        <v>844.8002</v>
      </c>
      <c r="BL389" s="92" t="n">
        <f aca="false">SUM(V$4:V$503)/COUNTA(A$4:A$503)</f>
        <v>865.7998</v>
      </c>
      <c r="BM389" s="92" t="n">
        <f aca="false">SUM(W$4:W$503)/COUNTA(A$4:A$503)</f>
        <v>888.59982</v>
      </c>
      <c r="BN389" s="93" t="n">
        <f aca="false">SUM(X$4:X$503)/COUNTA(A$4:A$503)</f>
        <v>918.60034</v>
      </c>
      <c r="BO389" s="94" t="s">
        <v>20</v>
      </c>
      <c r="BP389" s="91" t="n">
        <f aca="false">IF(Z389&gt;=BB389,0,IFERROR(BB389+(SUMPRODUCT((Z$4:Z$503&gt;=BB$4:BB$503)*(Z$4:Z$503-BB$4:BB$503))/MAX(1,COUNTIF(Z$4:Z$503,"&lt;"&amp;BB389+0.01))),BB389))</f>
        <v>10695.5432177778</v>
      </c>
      <c r="BQ389" s="92" t="n">
        <f aca="false">IF(AA389&gt;=BC389,0,IFERROR(BC389+SUMPRODUCT((AA$4:AA$503&gt;=BC$4:BC$503)*(AA$4:AA$503-BC$4:BC$503))/MAX(1,COUNTIF(AA$4:AA$503,"&lt;"&amp;BC389+0.01)),BC389))</f>
        <v>2238.46589176471</v>
      </c>
      <c r="BR389" s="92" t="n">
        <f aca="false">IF(AB389&gt;=BD389,0,IFERROR(BD389+SUMPRODUCT((AB$4:AB$503&gt;=BD$4:BD$503)*(AB$4:AB$503-BD$4:BD$503))/MAX(1,COUNTIF(AB$4:AB$503,"&lt;"&amp;BD389+0.01)),BD389))</f>
        <v>3335.2938</v>
      </c>
      <c r="BS389" s="92" t="n">
        <f aca="false">IF(AC389&gt;=BE389,0,IFERROR(BE389+SUMPRODUCT((AC$4:AC$503&gt;=BE$4:BE$503)*(AC$4:AC$503-BE$4:BE$503))/MAX(1,COUNTIF(AC$4:AC$503,"&lt;"&amp;BE389+0.01)),BE389))</f>
        <v>6188.73352</v>
      </c>
      <c r="BT389" s="92" t="n">
        <f aca="false">IF(AD389&gt;=BF389,0,IFERROR(BF389+SUMPRODUCT((AD$4:AD$503&gt;=BF$4:BF$503)*(AD$4:AD$503-BF$4:BF$503))/MAX(1,COUNTIF(AD$4:AD$503,"&lt;"&amp;BF389+0.01)),BF389))</f>
        <v>11354.35411</v>
      </c>
      <c r="BU389" s="92" t="n">
        <f aca="false">IF(AE389&gt;=BG389,0,IFERROR(BG389+SUMPRODUCT((AE$4:AE$503&gt;=BG$4:BG$503)*(AE$4:AE$503-BG$4:BG$503))/MAX(1,COUNTIF(AE$4:AE$503,"&lt;"&amp;BG389+0.01)),BG389))</f>
        <v>7704.85920380952</v>
      </c>
      <c r="BV389" s="92" t="n">
        <f aca="false">IF(AF389&gt;=BH389,0,IFERROR(BH389+SUMPRODUCT((AF$4:AF$503&gt;=BH$4:BH$503)*(AF$4:AF$503-BH$4:BH$503))/MAX(1,COUNTIF(AF$4:AF$503,"&lt;"&amp;BH389+0.01)),BH389))</f>
        <v>9942.6503831579</v>
      </c>
      <c r="BW389" s="92" t="n">
        <f aca="false">IF(AG389&gt;=BI389,0,IFERROR(BI389+SUMPRODUCT((AG$4:AG$503&gt;=BI$4:BI$503)*(AG$4:AG$503-BI$4:BI$503))/MAX(1,COUNTIF(AG$4:AG$503,"&lt;"&amp;BI389+0.01)),BI389))</f>
        <v>9142.15870461538</v>
      </c>
      <c r="BX389" s="92" t="n">
        <f aca="false">IF(AH389&gt;=BJ389,0,IFERROR(BJ389+SUMPRODUCT((AH$4:AH$503&gt;=BJ$4:BJ$503)*(AH$4:AH$503-BJ$4:BJ$503))/MAX(1,COUNTIF(AH$4:AH$503,"&lt;"&amp;BJ389+0.01)),BJ389))</f>
        <v>5621.50263448276</v>
      </c>
      <c r="BY389" s="92" t="n">
        <f aca="false">IF(AI389&gt;=BK389,0,IFERROR(BK389+SUMPRODUCT((AI$4:AI$503&gt;=BK$4:BK$503)*(AI$4:AI$503-BK$4:BK$503))/MAX(1,COUNTIF(AI$4:AI$503,"&lt;"&amp;BK389+0.01)),BK389))</f>
        <v>7878.25652380952</v>
      </c>
      <c r="BZ389" s="92" t="n">
        <f aca="false">IF(AJ389&gt;=BL389,0,IFERROR(BL389+SUMPRODUCT((AJ$4:AJ$503&gt;=BL$4:BL$503)*(AJ$4:AJ$503-BL$4:BL$503))/MAX(1,COUNTIF(AJ$4:AJ$503,"&lt;"&amp;BL389+0.01)),BL389))</f>
        <v>0</v>
      </c>
      <c r="CA389" s="92" t="n">
        <f aca="false">IF(AK389&gt;=BM389,0,IFERROR(BM389+SUMPRODUCT((AK$4:AK$503&gt;=BM$4:BM$503)*(AK$4:AK$503-BM$4:BM$503))/MAX(1,COUNTIF(AK$4:AK$503,"&lt;"&amp;BM389+0.01)),BM389))</f>
        <v>0</v>
      </c>
      <c r="CB389" s="93" t="n">
        <f aca="false">IF(AL389&gt;=BN389,0,IFERROR(BN389+SUMPRODUCT((AL$4:AL$503&gt;=BN$4:BN$503)*(AL$4:AL$503-BN$4:BN$503))/MAX(1,COUNTIF(AL$4:AL$503,"&lt;"&amp;BN389+0.01)),BN389))</f>
        <v>3597.2614925</v>
      </c>
      <c r="CC389" s="95" t="str">
        <f aca="false">IF(AO389="🟢","VERDE",IF(AO389="🟡","AMARELO",IF(AO389="🟠","VERMELHO",IF(AO389="🔴","VERMELHO","ROXO"))))</f>
        <v>AMARELO</v>
      </c>
      <c r="CD389" s="96" t="s">
        <v>103</v>
      </c>
      <c r="CE389" s="96" t="s">
        <v>104</v>
      </c>
    </row>
    <row r="390" customFormat="false" ht="14.25" hidden="false" customHeight="true" outlineLevel="0" collapsed="false">
      <c r="A390" s="65" t="s">
        <v>913</v>
      </c>
      <c r="B390" s="66" t="s">
        <v>914</v>
      </c>
      <c r="C390" s="67" t="s">
        <v>107</v>
      </c>
      <c r="D390" s="68" t="s">
        <v>108</v>
      </c>
      <c r="E390" s="69" t="s">
        <v>139</v>
      </c>
      <c r="F390" s="70" t="n">
        <f aca="false">IFERROR(VLOOKUP(C390,$AS$3:$AT$10,2,FALSE()),IFERROR(VLOOKUP(C390,$AS$15:$AT$22,2,FALSE()),""))</f>
        <v>132</v>
      </c>
      <c r="G390" s="71" t="n">
        <f aca="false">IFERROR(VLOOKUP(C390,$AS$3:$AX$10,6,FALSE()),IFERROR(VLOOKUP(C390,$AS$15:$AX$22,6,FALSE()),""))</f>
        <v>0.468190175850689</v>
      </c>
      <c r="H390" s="72" t="str">
        <f aca="false">IFERROR(VLOOKUP(C390,$AS$3:$AY$10,7,FALSE()),IFERROR(VLOOKUP(C390,$AS$15:$AY$22,7,FALSE()),""))</f>
        <v>🟡 AMARELO</v>
      </c>
      <c r="I390" s="72" t="str">
        <f aca="false">IFERROR(VLOOKUP(C390,$AS$3:$AZ$10,8,FALSE()),IFERROR(VLOOKUP(C390,$AS$15:$AZ$22,8,FALSE()),""))</f>
        <v>Sell Out</v>
      </c>
      <c r="J390" s="73"/>
      <c r="K390" s="69" t="s">
        <v>107</v>
      </c>
      <c r="L390" s="74" t="n">
        <v>2329.62</v>
      </c>
      <c r="M390" s="75" t="n">
        <v>163.71</v>
      </c>
      <c r="N390" s="75" t="n">
        <v>171.07</v>
      </c>
      <c r="O390" s="75" t="n">
        <v>175.19</v>
      </c>
      <c r="P390" s="75" t="n">
        <v>179.76</v>
      </c>
      <c r="Q390" s="75" t="n">
        <v>185.65</v>
      </c>
      <c r="R390" s="75" t="n">
        <v>190.5</v>
      </c>
      <c r="S390" s="75" t="n">
        <v>197.86</v>
      </c>
      <c r="T390" s="75" t="n">
        <v>202.72</v>
      </c>
      <c r="U390" s="75" t="n">
        <v>207.29</v>
      </c>
      <c r="V390" s="75" t="n">
        <v>212.44</v>
      </c>
      <c r="W390" s="75" t="n">
        <v>218.03</v>
      </c>
      <c r="X390" s="76" t="n">
        <v>225.4</v>
      </c>
      <c r="Y390" s="77" t="s">
        <v>20</v>
      </c>
      <c r="Z390" s="78" t="n">
        <f aca="false">SUM(AA390:AL390)</f>
        <v>690.8</v>
      </c>
      <c r="AA390" s="75"/>
      <c r="AB390" s="75"/>
      <c r="AC390" s="75"/>
      <c r="AD390" s="75"/>
      <c r="AE390" s="75"/>
      <c r="AF390" s="75"/>
      <c r="AG390" s="79" t="n">
        <v>690.8</v>
      </c>
      <c r="AH390" s="75"/>
      <c r="AI390" s="75"/>
      <c r="AJ390" s="75"/>
      <c r="AK390" s="75"/>
      <c r="AL390" s="76"/>
      <c r="AM390" s="56" t="s">
        <v>20</v>
      </c>
      <c r="AN390" s="80" t="n">
        <f aca="false">IF(L390=0,0,Z390/L390)</f>
        <v>0.296529047655841</v>
      </c>
      <c r="AO390" s="81" t="str">
        <f aca="false">IF(AN390="","",IF(AN390&gt;=0.9,"🟢",IF(AN390&gt;=0.7,"🟡",IF(AN390&gt;=0.5,"🟠","🔴"))))</f>
        <v>🔴</v>
      </c>
      <c r="AP390" s="82" t="n">
        <f aca="false">IF(L390=0,0,L390-Z390)</f>
        <v>1638.82</v>
      </c>
      <c r="AQ390" s="83" t="n">
        <f aca="false">IF(AP390=0,"",RANK(AP390,AP$4:AP$503,0))</f>
        <v>310</v>
      </c>
      <c r="AR390" s="84" t="s">
        <v>20</v>
      </c>
      <c r="AS390" s="141"/>
      <c r="AT390" s="141"/>
      <c r="AU390" s="141"/>
      <c r="AV390" s="141"/>
      <c r="AW390" s="141"/>
      <c r="AX390" s="141"/>
      <c r="AY390" s="142"/>
      <c r="AZ390" s="142"/>
      <c r="BA390" s="56" t="s">
        <v>20</v>
      </c>
      <c r="BB390" s="91" t="n">
        <f aca="false">SUM(L$4:L$503)/COUNTA(A$4:A$503)</f>
        <v>9494.39992</v>
      </c>
      <c r="BC390" s="92" t="n">
        <f aca="false">SUM(M$4:M$503)/COUNTA(A$4:A$503)</f>
        <v>667.20008</v>
      </c>
      <c r="BD390" s="92" t="n">
        <f aca="false">SUM(N$4:N$503)/COUNTA(A$4:A$503)</f>
        <v>697.19996</v>
      </c>
      <c r="BE390" s="92" t="n">
        <f aca="false">SUM(O$4:O$503)/COUNTA(A$4:A$503)</f>
        <v>713.9999</v>
      </c>
      <c r="BF390" s="92" t="n">
        <f aca="false">SUM(P$4:P$503)/COUNTA(A$4:A$503)</f>
        <v>732.59984</v>
      </c>
      <c r="BG390" s="92" t="n">
        <f aca="false">SUM(Q$4:Q$503)/COUNTA(A$4:A$503)</f>
        <v>756.59992</v>
      </c>
      <c r="BH390" s="92" t="n">
        <f aca="false">SUM(R$4:R$503)/COUNTA(A$4:A$503)</f>
        <v>776.40004</v>
      </c>
      <c r="BI390" s="92" t="n">
        <f aca="false">SUM(S$4:S$503)/COUNTA(A$4:A$503)</f>
        <v>806.40012</v>
      </c>
      <c r="BJ390" s="92" t="n">
        <f aca="false">SUM(T$4:T$503)/COUNTA(A$4:A$503)</f>
        <v>826.1999</v>
      </c>
      <c r="BK390" s="92" t="n">
        <f aca="false">SUM(U$4:U$503)/COUNTA(A$4:A$503)</f>
        <v>844.8002</v>
      </c>
      <c r="BL390" s="92" t="n">
        <f aca="false">SUM(V$4:V$503)/COUNTA(A$4:A$503)</f>
        <v>865.7998</v>
      </c>
      <c r="BM390" s="92" t="n">
        <f aca="false">SUM(W$4:W$503)/COUNTA(A$4:A$503)</f>
        <v>888.59982</v>
      </c>
      <c r="BN390" s="93" t="n">
        <f aca="false">SUM(X$4:X$503)/COUNTA(A$4:A$503)</f>
        <v>918.60034</v>
      </c>
      <c r="BO390" s="94" t="s">
        <v>20</v>
      </c>
      <c r="BP390" s="91" t="n">
        <f aca="false">IF(Z390&gt;=BB390,0,IFERROR(BB390+(SUMPRODUCT((Z$4:Z$503&gt;=BB$4:BB$503)*(Z$4:Z$503-BB$4:BB$503))/MAX(1,COUNTIF(Z$4:Z$503,"&lt;"&amp;BB390+0.01))),BB390))</f>
        <v>10695.5432177778</v>
      </c>
      <c r="BQ390" s="92" t="n">
        <f aca="false">IF(AA390&gt;=BC390,0,IFERROR(BC390+SUMPRODUCT((AA$4:AA$503&gt;=BC$4:BC$503)*(AA$4:AA$503-BC$4:BC$503))/MAX(1,COUNTIF(AA$4:AA$503,"&lt;"&amp;BC390+0.01)),BC390))</f>
        <v>2238.46589176471</v>
      </c>
      <c r="BR390" s="92" t="n">
        <f aca="false">IF(AB390&gt;=BD390,0,IFERROR(BD390+SUMPRODUCT((AB$4:AB$503&gt;=BD$4:BD$503)*(AB$4:AB$503-BD$4:BD$503))/MAX(1,COUNTIF(AB$4:AB$503,"&lt;"&amp;BD390+0.01)),BD390))</f>
        <v>3335.2938</v>
      </c>
      <c r="BS390" s="92" t="n">
        <f aca="false">IF(AC390&gt;=BE390,0,IFERROR(BE390+SUMPRODUCT((AC$4:AC$503&gt;=BE$4:BE$503)*(AC$4:AC$503-BE$4:BE$503))/MAX(1,COUNTIF(AC$4:AC$503,"&lt;"&amp;BE390+0.01)),BE390))</f>
        <v>6188.73352</v>
      </c>
      <c r="BT390" s="92" t="n">
        <f aca="false">IF(AD390&gt;=BF390,0,IFERROR(BF390+SUMPRODUCT((AD$4:AD$503&gt;=BF$4:BF$503)*(AD$4:AD$503-BF$4:BF$503))/MAX(1,COUNTIF(AD$4:AD$503,"&lt;"&amp;BF390+0.01)),BF390))</f>
        <v>11354.35411</v>
      </c>
      <c r="BU390" s="92" t="n">
        <f aca="false">IF(AE390&gt;=BG390,0,IFERROR(BG390+SUMPRODUCT((AE$4:AE$503&gt;=BG$4:BG$503)*(AE$4:AE$503-BG$4:BG$503))/MAX(1,COUNTIF(AE$4:AE$503,"&lt;"&amp;BG390+0.01)),BG390))</f>
        <v>7704.85920380952</v>
      </c>
      <c r="BV390" s="92" t="n">
        <f aca="false">IF(AF390&gt;=BH390,0,IFERROR(BH390+SUMPRODUCT((AF$4:AF$503&gt;=BH$4:BH$503)*(AF$4:AF$503-BH$4:BH$503))/MAX(1,COUNTIF(AF$4:AF$503,"&lt;"&amp;BH390+0.01)),BH390))</f>
        <v>9942.6503831579</v>
      </c>
      <c r="BW390" s="92" t="n">
        <f aca="false">IF(AG390&gt;=BI390,0,IFERROR(BI390+SUMPRODUCT((AG$4:AG$503&gt;=BI$4:BI$503)*(AG$4:AG$503-BI$4:BI$503))/MAX(1,COUNTIF(AG$4:AG$503,"&lt;"&amp;BI390+0.01)),BI390))</f>
        <v>9142.15870461538</v>
      </c>
      <c r="BX390" s="92" t="n">
        <f aca="false">IF(AH390&gt;=BJ390,0,IFERROR(BJ390+SUMPRODUCT((AH$4:AH$503&gt;=BJ$4:BJ$503)*(AH$4:AH$503-BJ$4:BJ$503))/MAX(1,COUNTIF(AH$4:AH$503,"&lt;"&amp;BJ390+0.01)),BJ390))</f>
        <v>5621.50263448276</v>
      </c>
      <c r="BY390" s="92" t="n">
        <f aca="false">IF(AI390&gt;=BK390,0,IFERROR(BK390+SUMPRODUCT((AI$4:AI$503&gt;=BK$4:BK$503)*(AI$4:AI$503-BK$4:BK$503))/MAX(1,COUNTIF(AI$4:AI$503,"&lt;"&amp;BK390+0.01)),BK390))</f>
        <v>7878.25652380952</v>
      </c>
      <c r="BZ390" s="92" t="n">
        <f aca="false">IF(AJ390&gt;=BL390,0,IFERROR(BL390+SUMPRODUCT((AJ$4:AJ$503&gt;=BL$4:BL$503)*(AJ$4:AJ$503-BL$4:BL$503))/MAX(1,COUNTIF(AJ$4:AJ$503,"&lt;"&amp;BL390+0.01)),BL390))</f>
        <v>6710.03292307692</v>
      </c>
      <c r="CA390" s="92" t="n">
        <f aca="false">IF(AK390&gt;=BM390,0,IFERROR(BM390+SUMPRODUCT((AK$4:AK$503&gt;=BM$4:BM$503)*(AK$4:AK$503-BM$4:BM$503))/MAX(1,COUNTIF(AK$4:AK$503,"&lt;"&amp;BM390+0.01)),BM390))</f>
        <v>7314.89836842105</v>
      </c>
      <c r="CB390" s="93" t="n">
        <f aca="false">IF(AL390&gt;=BN390,0,IFERROR(BN390+SUMPRODUCT((AL$4:AL$503&gt;=BN$4:BN$503)*(AL$4:AL$503-BN$4:BN$503))/MAX(1,COUNTIF(AL$4:AL$503,"&lt;"&amp;BN390+0.01)),BN390))</f>
        <v>3597.2614925</v>
      </c>
      <c r="CC390" s="95" t="str">
        <f aca="false">IF(AO390="🟢","VERDE",IF(AO390="🟡","AMARELO",IF(AO390="🟠","VERMELHO",IF(AO390="🔴","VERMELHO","ROXO"))))</f>
        <v>VERMELHO</v>
      </c>
      <c r="CD390" s="96" t="s">
        <v>103</v>
      </c>
      <c r="CE390" s="96" t="s">
        <v>104</v>
      </c>
    </row>
    <row r="391" customFormat="false" ht="14.25" hidden="false" customHeight="true" outlineLevel="0" collapsed="false">
      <c r="A391" s="65" t="s">
        <v>915</v>
      </c>
      <c r="B391" s="66" t="s">
        <v>916</v>
      </c>
      <c r="C391" s="66" t="s">
        <v>115</v>
      </c>
      <c r="D391" s="68" t="s">
        <v>184</v>
      </c>
      <c r="E391" s="69" t="s">
        <v>243</v>
      </c>
      <c r="F391" s="70" t="n">
        <f aca="false">IFERROR(VLOOKUP(C391,$AS$3:$AT$10,2,FALSE()),IFERROR(VLOOKUP(C391,$AS$15:$AT$22,2,FALSE()),""))</f>
        <v>25</v>
      </c>
      <c r="G391" s="71" t="n">
        <f aca="false">IFERROR(VLOOKUP(C391,$AS$3:$AX$10,6,FALSE()),IFERROR(VLOOKUP(C391,$AS$15:$AX$22,6,FALSE()),""))</f>
        <v>0.536751750851081</v>
      </c>
      <c r="H391" s="72" t="str">
        <f aca="false">IFERROR(VLOOKUP(C391,$AS$3:$AY$10,7,FALSE()),IFERROR(VLOOKUP(C391,$AS$15:$AY$22,7,FALSE()),""))</f>
        <v>🟡 AMARELO</v>
      </c>
      <c r="I391" s="72" t="str">
        <f aca="false">IFERROR(VLOOKUP(C391,$AS$3:$AZ$10,8,FALSE()),IFERROR(VLOOKUP(C391,$AS$15:$AZ$22,8,FALSE()),""))</f>
        <v>Sell Out</v>
      </c>
      <c r="J391" s="73"/>
      <c r="K391" s="69" t="s">
        <v>158</v>
      </c>
      <c r="L391" s="74" t="n">
        <v>2310.11</v>
      </c>
      <c r="M391" s="75" t="n">
        <v>162.34</v>
      </c>
      <c r="N391" s="75" t="n">
        <v>169.64</v>
      </c>
      <c r="O391" s="75" t="n">
        <v>173.72</v>
      </c>
      <c r="P391" s="75" t="n">
        <v>178.25</v>
      </c>
      <c r="Q391" s="75" t="n">
        <v>184.09</v>
      </c>
      <c r="R391" s="75" t="n">
        <v>188.91</v>
      </c>
      <c r="S391" s="75" t="n">
        <v>196.21</v>
      </c>
      <c r="T391" s="75" t="n">
        <v>201.02</v>
      </c>
      <c r="U391" s="75" t="n">
        <v>205.55</v>
      </c>
      <c r="V391" s="75" t="n">
        <v>210.66</v>
      </c>
      <c r="W391" s="75" t="n">
        <v>216.21</v>
      </c>
      <c r="X391" s="76" t="n">
        <v>223.51</v>
      </c>
      <c r="Y391" s="77" t="s">
        <v>20</v>
      </c>
      <c r="Z391" s="78" t="n">
        <f aca="false">SUM(AA391:AL391)</f>
        <v>1001.29</v>
      </c>
      <c r="AA391" s="75"/>
      <c r="AB391" s="75"/>
      <c r="AC391" s="75"/>
      <c r="AD391" s="75"/>
      <c r="AE391" s="75"/>
      <c r="AF391" s="75"/>
      <c r="AG391" s="75"/>
      <c r="AH391" s="75"/>
      <c r="AI391" s="75"/>
      <c r="AJ391" s="79" t="n">
        <v>1001.29</v>
      </c>
      <c r="AK391" s="75"/>
      <c r="AL391" s="76"/>
      <c r="AM391" s="56" t="s">
        <v>20</v>
      </c>
      <c r="AN391" s="80" t="n">
        <f aca="false">IF(L391=0,0,Z391/L391)</f>
        <v>0.433438234542944</v>
      </c>
      <c r="AO391" s="81" t="str">
        <f aca="false">IF(AN391="","",IF(AN391&gt;=0.9,"🟢",IF(AN391&gt;=0.7,"🟡",IF(AN391&gt;=0.5,"🟠","🔴"))))</f>
        <v>🔴</v>
      </c>
      <c r="AP391" s="82" t="n">
        <f aca="false">IF(L391=0,0,L391-Z391)</f>
        <v>1308.82</v>
      </c>
      <c r="AQ391" s="83" t="n">
        <f aca="false">IF(AP391=0,"",RANK(AP391,AP$4:AP$503,0))</f>
        <v>346</v>
      </c>
      <c r="AR391" s="84" t="s">
        <v>20</v>
      </c>
      <c r="AS391" s="141"/>
      <c r="AT391" s="141"/>
      <c r="AU391" s="141"/>
      <c r="AV391" s="141"/>
      <c r="AW391" s="141"/>
      <c r="AX391" s="141"/>
      <c r="AY391" s="142"/>
      <c r="AZ391" s="142"/>
      <c r="BA391" s="56" t="s">
        <v>20</v>
      </c>
      <c r="BB391" s="91" t="n">
        <f aca="false">SUM(L$4:L$503)/COUNTA(A$4:A$503)</f>
        <v>9494.39992</v>
      </c>
      <c r="BC391" s="92" t="n">
        <f aca="false">SUM(M$4:M$503)/COUNTA(A$4:A$503)</f>
        <v>667.20008</v>
      </c>
      <c r="BD391" s="92" t="n">
        <f aca="false">SUM(N$4:N$503)/COUNTA(A$4:A$503)</f>
        <v>697.19996</v>
      </c>
      <c r="BE391" s="92" t="n">
        <f aca="false">SUM(O$4:O$503)/COUNTA(A$4:A$503)</f>
        <v>713.9999</v>
      </c>
      <c r="BF391" s="92" t="n">
        <f aca="false">SUM(P$4:P$503)/COUNTA(A$4:A$503)</f>
        <v>732.59984</v>
      </c>
      <c r="BG391" s="92" t="n">
        <f aca="false">SUM(Q$4:Q$503)/COUNTA(A$4:A$503)</f>
        <v>756.59992</v>
      </c>
      <c r="BH391" s="92" t="n">
        <f aca="false">SUM(R$4:R$503)/COUNTA(A$4:A$503)</f>
        <v>776.40004</v>
      </c>
      <c r="BI391" s="92" t="n">
        <f aca="false">SUM(S$4:S$503)/COUNTA(A$4:A$503)</f>
        <v>806.40012</v>
      </c>
      <c r="BJ391" s="92" t="n">
        <f aca="false">SUM(T$4:T$503)/COUNTA(A$4:A$503)</f>
        <v>826.1999</v>
      </c>
      <c r="BK391" s="92" t="n">
        <f aca="false">SUM(U$4:U$503)/COUNTA(A$4:A$503)</f>
        <v>844.8002</v>
      </c>
      <c r="BL391" s="92" t="n">
        <f aca="false">SUM(V$4:V$503)/COUNTA(A$4:A$503)</f>
        <v>865.7998</v>
      </c>
      <c r="BM391" s="92" t="n">
        <f aca="false">SUM(W$4:W$503)/COUNTA(A$4:A$503)</f>
        <v>888.59982</v>
      </c>
      <c r="BN391" s="93" t="n">
        <f aca="false">SUM(X$4:X$503)/COUNTA(A$4:A$503)</f>
        <v>918.60034</v>
      </c>
      <c r="BO391" s="94" t="s">
        <v>20</v>
      </c>
      <c r="BP391" s="91" t="n">
        <f aca="false">IF(Z391&gt;=BB391,0,IFERROR(BB391+(SUMPRODUCT((Z$4:Z$503&gt;=BB$4:BB$503)*(Z$4:Z$503-BB$4:BB$503))/MAX(1,COUNTIF(Z$4:Z$503,"&lt;"&amp;BB391+0.01))),BB391))</f>
        <v>10695.5432177778</v>
      </c>
      <c r="BQ391" s="92" t="n">
        <f aca="false">IF(AA391&gt;=BC391,0,IFERROR(BC391+SUMPRODUCT((AA$4:AA$503&gt;=BC$4:BC$503)*(AA$4:AA$503-BC$4:BC$503))/MAX(1,COUNTIF(AA$4:AA$503,"&lt;"&amp;BC391+0.01)),BC391))</f>
        <v>2238.46589176471</v>
      </c>
      <c r="BR391" s="92" t="n">
        <f aca="false">IF(AB391&gt;=BD391,0,IFERROR(BD391+SUMPRODUCT((AB$4:AB$503&gt;=BD$4:BD$503)*(AB$4:AB$503-BD$4:BD$503))/MAX(1,COUNTIF(AB$4:AB$503,"&lt;"&amp;BD391+0.01)),BD391))</f>
        <v>3335.2938</v>
      </c>
      <c r="BS391" s="92" t="n">
        <f aca="false">IF(AC391&gt;=BE391,0,IFERROR(BE391+SUMPRODUCT((AC$4:AC$503&gt;=BE$4:BE$503)*(AC$4:AC$503-BE$4:BE$503))/MAX(1,COUNTIF(AC$4:AC$503,"&lt;"&amp;BE391+0.01)),BE391))</f>
        <v>6188.73352</v>
      </c>
      <c r="BT391" s="92" t="n">
        <f aca="false">IF(AD391&gt;=BF391,0,IFERROR(BF391+SUMPRODUCT((AD$4:AD$503&gt;=BF$4:BF$503)*(AD$4:AD$503-BF$4:BF$503))/MAX(1,COUNTIF(AD$4:AD$503,"&lt;"&amp;BF391+0.01)),BF391))</f>
        <v>11354.35411</v>
      </c>
      <c r="BU391" s="92" t="n">
        <f aca="false">IF(AE391&gt;=BG391,0,IFERROR(BG391+SUMPRODUCT((AE$4:AE$503&gt;=BG$4:BG$503)*(AE$4:AE$503-BG$4:BG$503))/MAX(1,COUNTIF(AE$4:AE$503,"&lt;"&amp;BG391+0.01)),BG391))</f>
        <v>7704.85920380952</v>
      </c>
      <c r="BV391" s="92" t="n">
        <f aca="false">IF(AF391&gt;=BH391,0,IFERROR(BH391+SUMPRODUCT((AF$4:AF$503&gt;=BH$4:BH$503)*(AF$4:AF$503-BH$4:BH$503))/MAX(1,COUNTIF(AF$4:AF$503,"&lt;"&amp;BH391+0.01)),BH391))</f>
        <v>9942.6503831579</v>
      </c>
      <c r="BW391" s="92" t="n">
        <f aca="false">IF(AG391&gt;=BI391,0,IFERROR(BI391+SUMPRODUCT((AG$4:AG$503&gt;=BI$4:BI$503)*(AG$4:AG$503-BI$4:BI$503))/MAX(1,COUNTIF(AG$4:AG$503,"&lt;"&amp;BI391+0.01)),BI391))</f>
        <v>9142.15870461538</v>
      </c>
      <c r="BX391" s="92" t="n">
        <f aca="false">IF(AH391&gt;=BJ391,0,IFERROR(BJ391+SUMPRODUCT((AH$4:AH$503&gt;=BJ$4:BJ$503)*(AH$4:AH$503-BJ$4:BJ$503))/MAX(1,COUNTIF(AH$4:AH$503,"&lt;"&amp;BJ391+0.01)),BJ391))</f>
        <v>5621.50263448276</v>
      </c>
      <c r="BY391" s="92" t="n">
        <f aca="false">IF(AI391&gt;=BK391,0,IFERROR(BK391+SUMPRODUCT((AI$4:AI$503&gt;=BK$4:BK$503)*(AI$4:AI$503-BK$4:BK$503))/MAX(1,COUNTIF(AI$4:AI$503,"&lt;"&amp;BK391+0.01)),BK391))</f>
        <v>7878.25652380952</v>
      </c>
      <c r="BZ391" s="92" t="n">
        <f aca="false">IF(AJ391&gt;=BL391,0,IFERROR(BL391+SUMPRODUCT((AJ$4:AJ$503&gt;=BL$4:BL$503)*(AJ$4:AJ$503-BL$4:BL$503))/MAX(1,COUNTIF(AJ$4:AJ$503,"&lt;"&amp;BL391+0.01)),BL391))</f>
        <v>0</v>
      </c>
      <c r="CA391" s="92" t="n">
        <f aca="false">IF(AK391&gt;=BM391,0,IFERROR(BM391+SUMPRODUCT((AK$4:AK$503&gt;=BM$4:BM$503)*(AK$4:AK$503-BM$4:BM$503))/MAX(1,COUNTIF(AK$4:AK$503,"&lt;"&amp;BM391+0.01)),BM391))</f>
        <v>7314.89836842105</v>
      </c>
      <c r="CB391" s="93" t="n">
        <f aca="false">IF(AL391&gt;=BN391,0,IFERROR(BN391+SUMPRODUCT((AL$4:AL$503&gt;=BN$4:BN$503)*(AL$4:AL$503-BN$4:BN$503))/MAX(1,COUNTIF(AL$4:AL$503,"&lt;"&amp;BN391+0.01)),BN391))</f>
        <v>3597.2614925</v>
      </c>
      <c r="CC391" s="95" t="str">
        <f aca="false">IF(AO391="🟢","VERDE",IF(AO391="🟡","AMARELO",IF(AO391="🟠","VERMELHO",IF(AO391="🔴","VERMELHO","ROXO"))))</f>
        <v>VERMELHO</v>
      </c>
      <c r="CD391" s="96" t="s">
        <v>176</v>
      </c>
      <c r="CE391" s="96" t="s">
        <v>115</v>
      </c>
    </row>
    <row r="392" customFormat="false" ht="14.25" hidden="false" customHeight="true" outlineLevel="0" collapsed="false">
      <c r="A392" s="65" t="s">
        <v>917</v>
      </c>
      <c r="B392" s="66" t="s">
        <v>918</v>
      </c>
      <c r="C392" s="67" t="s">
        <v>118</v>
      </c>
      <c r="D392" s="68" t="s">
        <v>100</v>
      </c>
      <c r="E392" s="69" t="s">
        <v>119</v>
      </c>
      <c r="F392" s="70" t="n">
        <f aca="false">IFERROR(VLOOKUP(C392,$AS$3:$AT$10,2,FALSE()),IFERROR(VLOOKUP(C392,$AS$15:$AT$22,2,FALSE()),""))</f>
        <v>42</v>
      </c>
      <c r="G392" s="71" t="n">
        <f aca="false">IFERROR(VLOOKUP(C392,$AS$3:$AX$10,6,FALSE()),IFERROR(VLOOKUP(C392,$AS$15:$AX$22,6,FALSE()),""))</f>
        <v>0.424872083346704</v>
      </c>
      <c r="H392" s="72" t="str">
        <f aca="false">IFERROR(VLOOKUP(C392,$AS$3:$AY$10,7,FALSE()),IFERROR(VLOOKUP(C392,$AS$15:$AY$22,7,FALSE()),""))</f>
        <v>🟡 AMARELO</v>
      </c>
      <c r="I392" s="72" t="str">
        <f aca="false">IFERROR(VLOOKUP(C392,$AS$3:$AZ$10,8,FALSE()),IFERROR(VLOOKUP(C392,$AS$15:$AZ$22,8,FALSE()),""))</f>
        <v>Sell Out</v>
      </c>
      <c r="J392" s="73"/>
      <c r="K392" s="69" t="s">
        <v>118</v>
      </c>
      <c r="L392" s="74" t="n">
        <v>2297.18</v>
      </c>
      <c r="M392" s="75" t="n">
        <v>161.43</v>
      </c>
      <c r="N392" s="75" t="n">
        <v>168.69</v>
      </c>
      <c r="O392" s="75" t="n">
        <v>172.75</v>
      </c>
      <c r="P392" s="75" t="n">
        <v>177.25</v>
      </c>
      <c r="Q392" s="75" t="n">
        <v>183.06</v>
      </c>
      <c r="R392" s="75" t="n">
        <v>187.85</v>
      </c>
      <c r="S392" s="75" t="n">
        <v>195.11</v>
      </c>
      <c r="T392" s="75" t="n">
        <v>199.9</v>
      </c>
      <c r="U392" s="75" t="n">
        <v>204.4</v>
      </c>
      <c r="V392" s="75" t="n">
        <v>209.48</v>
      </c>
      <c r="W392" s="75" t="n">
        <v>215</v>
      </c>
      <c r="X392" s="76" t="n">
        <v>222.26</v>
      </c>
      <c r="Y392" s="77" t="s">
        <v>20</v>
      </c>
      <c r="Z392" s="78" t="n">
        <f aca="false">SUM(AA392:AL392)</f>
        <v>923.82</v>
      </c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9" t="n">
        <v>923.82</v>
      </c>
      <c r="AL392" s="76"/>
      <c r="AM392" s="56" t="s">
        <v>20</v>
      </c>
      <c r="AN392" s="80" t="n">
        <f aca="false">IF(L392=0,0,Z392/L392)</f>
        <v>0.402153945272029</v>
      </c>
      <c r="AO392" s="81" t="str">
        <f aca="false">IF(AN392="","",IF(AN392&gt;=0.9,"🟢",IF(AN392&gt;=0.7,"🟡",IF(AN392&gt;=0.5,"🟠","🔴"))))</f>
        <v>🔴</v>
      </c>
      <c r="AP392" s="82" t="n">
        <f aca="false">IF(L392=0,0,L392-Z392)</f>
        <v>1373.36</v>
      </c>
      <c r="AQ392" s="83" t="n">
        <f aca="false">IF(AP392=0,"",RANK(AP392,AP$4:AP$503,0))</f>
        <v>343</v>
      </c>
      <c r="AR392" s="84" t="s">
        <v>20</v>
      </c>
      <c r="AS392" s="141"/>
      <c r="AT392" s="141"/>
      <c r="AU392" s="141"/>
      <c r="AV392" s="141"/>
      <c r="AW392" s="141"/>
      <c r="AX392" s="141"/>
      <c r="AY392" s="142"/>
      <c r="AZ392" s="142"/>
      <c r="BA392" s="56" t="s">
        <v>20</v>
      </c>
      <c r="BB392" s="91" t="n">
        <f aca="false">SUM(L$4:L$503)/COUNTA(A$4:A$503)</f>
        <v>9494.39992</v>
      </c>
      <c r="BC392" s="92" t="n">
        <f aca="false">SUM(M$4:M$503)/COUNTA(A$4:A$503)</f>
        <v>667.20008</v>
      </c>
      <c r="BD392" s="92" t="n">
        <f aca="false">SUM(N$4:N$503)/COUNTA(A$4:A$503)</f>
        <v>697.19996</v>
      </c>
      <c r="BE392" s="92" t="n">
        <f aca="false">SUM(O$4:O$503)/COUNTA(A$4:A$503)</f>
        <v>713.9999</v>
      </c>
      <c r="BF392" s="92" t="n">
        <f aca="false">SUM(P$4:P$503)/COUNTA(A$4:A$503)</f>
        <v>732.59984</v>
      </c>
      <c r="BG392" s="92" t="n">
        <f aca="false">SUM(Q$4:Q$503)/COUNTA(A$4:A$503)</f>
        <v>756.59992</v>
      </c>
      <c r="BH392" s="92" t="n">
        <f aca="false">SUM(R$4:R$503)/COUNTA(A$4:A$503)</f>
        <v>776.40004</v>
      </c>
      <c r="BI392" s="92" t="n">
        <f aca="false">SUM(S$4:S$503)/COUNTA(A$4:A$503)</f>
        <v>806.40012</v>
      </c>
      <c r="BJ392" s="92" t="n">
        <f aca="false">SUM(T$4:T$503)/COUNTA(A$4:A$503)</f>
        <v>826.1999</v>
      </c>
      <c r="BK392" s="92" t="n">
        <f aca="false">SUM(U$4:U$503)/COUNTA(A$4:A$503)</f>
        <v>844.8002</v>
      </c>
      <c r="BL392" s="92" t="n">
        <f aca="false">SUM(V$4:V$503)/COUNTA(A$4:A$503)</f>
        <v>865.7998</v>
      </c>
      <c r="BM392" s="92" t="n">
        <f aca="false">SUM(W$4:W$503)/COUNTA(A$4:A$503)</f>
        <v>888.59982</v>
      </c>
      <c r="BN392" s="93" t="n">
        <f aca="false">SUM(X$4:X$503)/COUNTA(A$4:A$503)</f>
        <v>918.60034</v>
      </c>
      <c r="BO392" s="94" t="s">
        <v>20</v>
      </c>
      <c r="BP392" s="91" t="n">
        <f aca="false">IF(Z392&gt;=BB392,0,IFERROR(BB392+(SUMPRODUCT((Z$4:Z$503&gt;=BB$4:BB$503)*(Z$4:Z$503-BB$4:BB$503))/MAX(1,COUNTIF(Z$4:Z$503,"&lt;"&amp;BB392+0.01))),BB392))</f>
        <v>10695.5432177778</v>
      </c>
      <c r="BQ392" s="92" t="n">
        <f aca="false">IF(AA392&gt;=BC392,0,IFERROR(BC392+SUMPRODUCT((AA$4:AA$503&gt;=BC$4:BC$503)*(AA$4:AA$503-BC$4:BC$503))/MAX(1,COUNTIF(AA$4:AA$503,"&lt;"&amp;BC392+0.01)),BC392))</f>
        <v>2238.46589176471</v>
      </c>
      <c r="BR392" s="92" t="n">
        <f aca="false">IF(AB392&gt;=BD392,0,IFERROR(BD392+SUMPRODUCT((AB$4:AB$503&gt;=BD$4:BD$503)*(AB$4:AB$503-BD$4:BD$503))/MAX(1,COUNTIF(AB$4:AB$503,"&lt;"&amp;BD392+0.01)),BD392))</f>
        <v>3335.2938</v>
      </c>
      <c r="BS392" s="92" t="n">
        <f aca="false">IF(AC392&gt;=BE392,0,IFERROR(BE392+SUMPRODUCT((AC$4:AC$503&gt;=BE$4:BE$503)*(AC$4:AC$503-BE$4:BE$503))/MAX(1,COUNTIF(AC$4:AC$503,"&lt;"&amp;BE392+0.01)),BE392))</f>
        <v>6188.73352</v>
      </c>
      <c r="BT392" s="92" t="n">
        <f aca="false">IF(AD392&gt;=BF392,0,IFERROR(BF392+SUMPRODUCT((AD$4:AD$503&gt;=BF$4:BF$503)*(AD$4:AD$503-BF$4:BF$503))/MAX(1,COUNTIF(AD$4:AD$503,"&lt;"&amp;BF392+0.01)),BF392))</f>
        <v>11354.35411</v>
      </c>
      <c r="BU392" s="92" t="n">
        <f aca="false">IF(AE392&gt;=BG392,0,IFERROR(BG392+SUMPRODUCT((AE$4:AE$503&gt;=BG$4:BG$503)*(AE$4:AE$503-BG$4:BG$503))/MAX(1,COUNTIF(AE$4:AE$503,"&lt;"&amp;BG392+0.01)),BG392))</f>
        <v>7704.85920380952</v>
      </c>
      <c r="BV392" s="92" t="n">
        <f aca="false">IF(AF392&gt;=BH392,0,IFERROR(BH392+SUMPRODUCT((AF$4:AF$503&gt;=BH$4:BH$503)*(AF$4:AF$503-BH$4:BH$503))/MAX(1,COUNTIF(AF$4:AF$503,"&lt;"&amp;BH392+0.01)),BH392))</f>
        <v>9942.6503831579</v>
      </c>
      <c r="BW392" s="92" t="n">
        <f aca="false">IF(AG392&gt;=BI392,0,IFERROR(BI392+SUMPRODUCT((AG$4:AG$503&gt;=BI$4:BI$503)*(AG$4:AG$503-BI$4:BI$503))/MAX(1,COUNTIF(AG$4:AG$503,"&lt;"&amp;BI392+0.01)),BI392))</f>
        <v>9142.15870461538</v>
      </c>
      <c r="BX392" s="92" t="n">
        <f aca="false">IF(AH392&gt;=BJ392,0,IFERROR(BJ392+SUMPRODUCT((AH$4:AH$503&gt;=BJ$4:BJ$503)*(AH$4:AH$503-BJ$4:BJ$503))/MAX(1,COUNTIF(AH$4:AH$503,"&lt;"&amp;BJ392+0.01)),BJ392))</f>
        <v>5621.50263448276</v>
      </c>
      <c r="BY392" s="92" t="n">
        <f aca="false">IF(AI392&gt;=BK392,0,IFERROR(BK392+SUMPRODUCT((AI$4:AI$503&gt;=BK$4:BK$503)*(AI$4:AI$503-BK$4:BK$503))/MAX(1,COUNTIF(AI$4:AI$503,"&lt;"&amp;BK392+0.01)),BK392))</f>
        <v>7878.25652380952</v>
      </c>
      <c r="BZ392" s="92" t="n">
        <f aca="false">IF(AJ392&gt;=BL392,0,IFERROR(BL392+SUMPRODUCT((AJ$4:AJ$503&gt;=BL$4:BL$503)*(AJ$4:AJ$503-BL$4:BL$503))/MAX(1,COUNTIF(AJ$4:AJ$503,"&lt;"&amp;BL392+0.01)),BL392))</f>
        <v>6710.03292307692</v>
      </c>
      <c r="CA392" s="92" t="n">
        <f aca="false">IF(AK392&gt;=BM392,0,IFERROR(BM392+SUMPRODUCT((AK$4:AK$503&gt;=BM$4:BM$503)*(AK$4:AK$503-BM$4:BM$503))/MAX(1,COUNTIF(AK$4:AK$503,"&lt;"&amp;BM392+0.01)),BM392))</f>
        <v>0</v>
      </c>
      <c r="CB392" s="93" t="n">
        <f aca="false">IF(AL392&gt;=BN392,0,IFERROR(BN392+SUMPRODUCT((AL$4:AL$503&gt;=BN$4:BN$503)*(AL$4:AL$503-BN$4:BN$503))/MAX(1,COUNTIF(AL$4:AL$503,"&lt;"&amp;BN392+0.01)),BN392))</f>
        <v>3597.2614925</v>
      </c>
      <c r="CC392" s="95" t="str">
        <f aca="false">IF(AO392="🟢","VERDE",IF(AO392="🟡","AMARELO",IF(AO392="🟠","VERMELHO",IF(AO392="🔴","VERMELHO","ROXO"))))</f>
        <v>VERMELHO</v>
      </c>
      <c r="CD392" s="96" t="s">
        <v>103</v>
      </c>
      <c r="CE392" s="96" t="s">
        <v>104</v>
      </c>
    </row>
    <row r="393" customFormat="false" ht="14.25" hidden="false" customHeight="true" outlineLevel="0" collapsed="false">
      <c r="A393" s="65" t="s">
        <v>919</v>
      </c>
      <c r="B393" s="66" t="s">
        <v>920</v>
      </c>
      <c r="C393" s="67" t="s">
        <v>99</v>
      </c>
      <c r="D393" s="68" t="s">
        <v>100</v>
      </c>
      <c r="E393" s="69" t="s">
        <v>127</v>
      </c>
      <c r="F393" s="70" t="n">
        <f aca="false">IFERROR(VLOOKUP(C393,$AS$3:$AT$10,2,FALSE()),IFERROR(VLOOKUP(C393,$AS$15:$AT$22,2,FALSE()),""))</f>
        <v>33</v>
      </c>
      <c r="G393" s="71" t="n">
        <f aca="false">IFERROR(VLOOKUP(C393,$AS$3:$AX$10,6,FALSE()),IFERROR(VLOOKUP(C393,$AS$15:$AX$22,6,FALSE()),""))</f>
        <v>0.341494038351172</v>
      </c>
      <c r="H393" s="72" t="str">
        <f aca="false">IFERROR(VLOOKUP(C393,$AS$3:$AY$10,7,FALSE()),IFERROR(VLOOKUP(C393,$AS$15:$AY$22,7,FALSE()),""))</f>
        <v>🔴 VERMELHO</v>
      </c>
      <c r="I393" s="72" t="str">
        <f aca="false">IFERROR(VLOOKUP(C393,$AS$3:$AZ$10,8,FALSE()),IFERROR(VLOOKUP(C393,$AS$15:$AZ$22,8,FALSE()),""))</f>
        <v>Positivação + Expandir</v>
      </c>
      <c r="J393" s="73"/>
      <c r="K393" s="69" t="s">
        <v>99</v>
      </c>
      <c r="L393" s="74" t="n">
        <v>2166.35</v>
      </c>
      <c r="M393" s="75" t="n">
        <v>152.24</v>
      </c>
      <c r="N393" s="75" t="n">
        <v>159.08</v>
      </c>
      <c r="O393" s="75" t="n">
        <v>162.91</v>
      </c>
      <c r="P393" s="75" t="n">
        <v>167.16</v>
      </c>
      <c r="Q393" s="75" t="n">
        <v>172.63</v>
      </c>
      <c r="R393" s="75" t="n">
        <v>177.15</v>
      </c>
      <c r="S393" s="75" t="n">
        <v>184</v>
      </c>
      <c r="T393" s="75" t="n">
        <v>188.52</v>
      </c>
      <c r="U393" s="75" t="n">
        <v>192.76</v>
      </c>
      <c r="V393" s="75" t="n">
        <v>197.55</v>
      </c>
      <c r="W393" s="75" t="n">
        <v>202.75</v>
      </c>
      <c r="X393" s="76" t="n">
        <v>209.6</v>
      </c>
      <c r="Y393" s="77" t="s">
        <v>20</v>
      </c>
      <c r="Z393" s="78" t="n">
        <f aca="false">SUM(AA393:AL393)</f>
        <v>871.2</v>
      </c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107" t="n">
        <v>871.2</v>
      </c>
      <c r="AM393" s="56" t="s">
        <v>20</v>
      </c>
      <c r="AN393" s="80" t="n">
        <f aca="false">IF(L393=0,0,Z393/L393)</f>
        <v>0.402151083619914</v>
      </c>
      <c r="AO393" s="81" t="str">
        <f aca="false">IF(AN393="","",IF(AN393&gt;=0.9,"🟢",IF(AN393&gt;=0.7,"🟡",IF(AN393&gt;=0.5,"🟠","🔴"))))</f>
        <v>🔴</v>
      </c>
      <c r="AP393" s="82" t="n">
        <f aca="false">IF(L393=0,0,L393-Z393)</f>
        <v>1295.15</v>
      </c>
      <c r="AQ393" s="83" t="n">
        <f aca="false">IF(AP393=0,"",RANK(AP393,AP$4:AP$503,0))</f>
        <v>347</v>
      </c>
      <c r="AR393" s="84" t="s">
        <v>20</v>
      </c>
      <c r="AS393" s="141"/>
      <c r="AT393" s="141"/>
      <c r="AU393" s="141"/>
      <c r="AV393" s="141"/>
      <c r="AW393" s="141"/>
      <c r="AX393" s="141"/>
      <c r="AY393" s="142"/>
      <c r="AZ393" s="142"/>
      <c r="BA393" s="56" t="s">
        <v>20</v>
      </c>
      <c r="BB393" s="91" t="n">
        <f aca="false">SUM(L$4:L$503)/COUNTA(A$4:A$503)</f>
        <v>9494.39992</v>
      </c>
      <c r="BC393" s="92" t="n">
        <f aca="false">SUM(M$4:M$503)/COUNTA(A$4:A$503)</f>
        <v>667.20008</v>
      </c>
      <c r="BD393" s="92" t="n">
        <f aca="false">SUM(N$4:N$503)/COUNTA(A$4:A$503)</f>
        <v>697.19996</v>
      </c>
      <c r="BE393" s="92" t="n">
        <f aca="false">SUM(O$4:O$503)/COUNTA(A$4:A$503)</f>
        <v>713.9999</v>
      </c>
      <c r="BF393" s="92" t="n">
        <f aca="false">SUM(P$4:P$503)/COUNTA(A$4:A$503)</f>
        <v>732.59984</v>
      </c>
      <c r="BG393" s="92" t="n">
        <f aca="false">SUM(Q$4:Q$503)/COUNTA(A$4:A$503)</f>
        <v>756.59992</v>
      </c>
      <c r="BH393" s="92" t="n">
        <f aca="false">SUM(R$4:R$503)/COUNTA(A$4:A$503)</f>
        <v>776.40004</v>
      </c>
      <c r="BI393" s="92" t="n">
        <f aca="false">SUM(S$4:S$503)/COUNTA(A$4:A$503)</f>
        <v>806.40012</v>
      </c>
      <c r="BJ393" s="92" t="n">
        <f aca="false">SUM(T$4:T$503)/COUNTA(A$4:A$503)</f>
        <v>826.1999</v>
      </c>
      <c r="BK393" s="92" t="n">
        <f aca="false">SUM(U$4:U$503)/COUNTA(A$4:A$503)</f>
        <v>844.8002</v>
      </c>
      <c r="BL393" s="92" t="n">
        <f aca="false">SUM(V$4:V$503)/COUNTA(A$4:A$503)</f>
        <v>865.7998</v>
      </c>
      <c r="BM393" s="92" t="n">
        <f aca="false">SUM(W$4:W$503)/COUNTA(A$4:A$503)</f>
        <v>888.59982</v>
      </c>
      <c r="BN393" s="93" t="n">
        <f aca="false">SUM(X$4:X$503)/COUNTA(A$4:A$503)</f>
        <v>918.60034</v>
      </c>
      <c r="BO393" s="94" t="s">
        <v>20</v>
      </c>
      <c r="BP393" s="91" t="n">
        <f aca="false">IF(Z393&gt;=BB393,0,IFERROR(BB393+(SUMPRODUCT((Z$4:Z$503&gt;=BB$4:BB$503)*(Z$4:Z$503-BB$4:BB$503))/MAX(1,COUNTIF(Z$4:Z$503,"&lt;"&amp;BB393+0.01))),BB393))</f>
        <v>10695.5432177778</v>
      </c>
      <c r="BQ393" s="92" t="n">
        <f aca="false">IF(AA393&gt;=BC393,0,IFERROR(BC393+SUMPRODUCT((AA$4:AA$503&gt;=BC$4:BC$503)*(AA$4:AA$503-BC$4:BC$503))/MAX(1,COUNTIF(AA$4:AA$503,"&lt;"&amp;BC393+0.01)),BC393))</f>
        <v>2238.46589176471</v>
      </c>
      <c r="BR393" s="92" t="n">
        <f aca="false">IF(AB393&gt;=BD393,0,IFERROR(BD393+SUMPRODUCT((AB$4:AB$503&gt;=BD$4:BD$503)*(AB$4:AB$503-BD$4:BD$503))/MAX(1,COUNTIF(AB$4:AB$503,"&lt;"&amp;BD393+0.01)),BD393))</f>
        <v>3335.2938</v>
      </c>
      <c r="BS393" s="92" t="n">
        <f aca="false">IF(AC393&gt;=BE393,0,IFERROR(BE393+SUMPRODUCT((AC$4:AC$503&gt;=BE$4:BE$503)*(AC$4:AC$503-BE$4:BE$503))/MAX(1,COUNTIF(AC$4:AC$503,"&lt;"&amp;BE393+0.01)),BE393))</f>
        <v>6188.73352</v>
      </c>
      <c r="BT393" s="92" t="n">
        <f aca="false">IF(AD393&gt;=BF393,0,IFERROR(BF393+SUMPRODUCT((AD$4:AD$503&gt;=BF$4:BF$503)*(AD$4:AD$503-BF$4:BF$503))/MAX(1,COUNTIF(AD$4:AD$503,"&lt;"&amp;BF393+0.01)),BF393))</f>
        <v>11354.35411</v>
      </c>
      <c r="BU393" s="92" t="n">
        <f aca="false">IF(AE393&gt;=BG393,0,IFERROR(BG393+SUMPRODUCT((AE$4:AE$503&gt;=BG$4:BG$503)*(AE$4:AE$503-BG$4:BG$503))/MAX(1,COUNTIF(AE$4:AE$503,"&lt;"&amp;BG393+0.01)),BG393))</f>
        <v>7704.85920380952</v>
      </c>
      <c r="BV393" s="92" t="n">
        <f aca="false">IF(AF393&gt;=BH393,0,IFERROR(BH393+SUMPRODUCT((AF$4:AF$503&gt;=BH$4:BH$503)*(AF$4:AF$503-BH$4:BH$503))/MAX(1,COUNTIF(AF$4:AF$503,"&lt;"&amp;BH393+0.01)),BH393))</f>
        <v>9942.6503831579</v>
      </c>
      <c r="BW393" s="92" t="n">
        <f aca="false">IF(AG393&gt;=BI393,0,IFERROR(BI393+SUMPRODUCT((AG$4:AG$503&gt;=BI$4:BI$503)*(AG$4:AG$503-BI$4:BI$503))/MAX(1,COUNTIF(AG$4:AG$503,"&lt;"&amp;BI393+0.01)),BI393))</f>
        <v>9142.15870461538</v>
      </c>
      <c r="BX393" s="92" t="n">
        <f aca="false">IF(AH393&gt;=BJ393,0,IFERROR(BJ393+SUMPRODUCT((AH$4:AH$503&gt;=BJ$4:BJ$503)*(AH$4:AH$503-BJ$4:BJ$503))/MAX(1,COUNTIF(AH$4:AH$503,"&lt;"&amp;BJ393+0.01)),BJ393))</f>
        <v>5621.50263448276</v>
      </c>
      <c r="BY393" s="92" t="n">
        <f aca="false">IF(AI393&gt;=BK393,0,IFERROR(BK393+SUMPRODUCT((AI$4:AI$503&gt;=BK$4:BK$503)*(AI$4:AI$503-BK$4:BK$503))/MAX(1,COUNTIF(AI$4:AI$503,"&lt;"&amp;BK393+0.01)),BK393))</f>
        <v>7878.25652380952</v>
      </c>
      <c r="BZ393" s="92" t="n">
        <f aca="false">IF(AJ393&gt;=BL393,0,IFERROR(BL393+SUMPRODUCT((AJ$4:AJ$503&gt;=BL$4:BL$503)*(AJ$4:AJ$503-BL$4:BL$503))/MAX(1,COUNTIF(AJ$4:AJ$503,"&lt;"&amp;BL393+0.01)),BL393))</f>
        <v>6710.03292307692</v>
      </c>
      <c r="CA393" s="92" t="n">
        <f aca="false">IF(AK393&gt;=BM393,0,IFERROR(BM393+SUMPRODUCT((AK$4:AK$503&gt;=BM$4:BM$503)*(AK$4:AK$503-BM$4:BM$503))/MAX(1,COUNTIF(AK$4:AK$503,"&lt;"&amp;BM393+0.01)),BM393))</f>
        <v>7314.89836842105</v>
      </c>
      <c r="CB393" s="93" t="n">
        <f aca="false">IF(AL393&gt;=BN393,0,IFERROR(BN393+SUMPRODUCT((AL$4:AL$503&gt;=BN$4:BN$503)*(AL$4:AL$503-BN$4:BN$503))/MAX(1,COUNTIF(AL$4:AL$503,"&lt;"&amp;BN393+0.01)),BN393))</f>
        <v>3597.2614925</v>
      </c>
      <c r="CC393" s="95" t="str">
        <f aca="false">IF(AO393="🟢","VERDE",IF(AO393="🟡","AMARELO",IF(AO393="🟠","VERMELHO",IF(AO393="🔴","VERMELHO","ROXO"))))</f>
        <v>VERMELHO</v>
      </c>
      <c r="CD393" s="96" t="s">
        <v>103</v>
      </c>
      <c r="CE393" s="96" t="s">
        <v>104</v>
      </c>
    </row>
    <row r="394" customFormat="false" ht="14.25" hidden="false" customHeight="true" outlineLevel="0" collapsed="false">
      <c r="A394" s="65" t="s">
        <v>921</v>
      </c>
      <c r="B394" s="66" t="s">
        <v>922</v>
      </c>
      <c r="C394" s="67" t="s">
        <v>107</v>
      </c>
      <c r="D394" s="68" t="s">
        <v>108</v>
      </c>
      <c r="E394" s="69" t="s">
        <v>139</v>
      </c>
      <c r="F394" s="70" t="n">
        <f aca="false">IFERROR(VLOOKUP(C394,$AS$3:$AT$10,2,FALSE()),IFERROR(VLOOKUP(C394,$AS$15:$AT$22,2,FALSE()),""))</f>
        <v>132</v>
      </c>
      <c r="G394" s="71" t="n">
        <f aca="false">IFERROR(VLOOKUP(C394,$AS$3:$AX$10,6,FALSE()),IFERROR(VLOOKUP(C394,$AS$15:$AX$22,6,FALSE()),""))</f>
        <v>0.468190175850689</v>
      </c>
      <c r="H394" s="72" t="str">
        <f aca="false">IFERROR(VLOOKUP(C394,$AS$3:$AY$10,7,FALSE()),IFERROR(VLOOKUP(C394,$AS$15:$AY$22,7,FALSE()),""))</f>
        <v>🟡 AMARELO</v>
      </c>
      <c r="I394" s="72" t="str">
        <f aca="false">IFERROR(VLOOKUP(C394,$AS$3:$AZ$10,8,FALSE()),IFERROR(VLOOKUP(C394,$AS$15:$AZ$22,8,FALSE()),""))</f>
        <v>Sell Out</v>
      </c>
      <c r="J394" s="73"/>
      <c r="K394" s="69" t="s">
        <v>107</v>
      </c>
      <c r="L394" s="74" t="n">
        <v>2163.23</v>
      </c>
      <c r="M394" s="75" t="n">
        <v>152.02</v>
      </c>
      <c r="N394" s="75" t="n">
        <v>158.85</v>
      </c>
      <c r="O394" s="75" t="n">
        <v>162.68</v>
      </c>
      <c r="P394" s="75" t="n">
        <v>166.92</v>
      </c>
      <c r="Q394" s="75" t="n">
        <v>172.38</v>
      </c>
      <c r="R394" s="75" t="n">
        <v>176.9</v>
      </c>
      <c r="S394" s="75" t="n">
        <v>183.73</v>
      </c>
      <c r="T394" s="75" t="n">
        <v>188.24</v>
      </c>
      <c r="U394" s="75" t="n">
        <v>192.48</v>
      </c>
      <c r="V394" s="75" t="n">
        <v>197.27</v>
      </c>
      <c r="W394" s="75" t="n">
        <v>202.46</v>
      </c>
      <c r="X394" s="76" t="n">
        <v>209.3</v>
      </c>
      <c r="Y394" s="77" t="s">
        <v>20</v>
      </c>
      <c r="Z394" s="78" t="n">
        <f aca="false">SUM(AA394:AL394)</f>
        <v>898.66</v>
      </c>
      <c r="AA394" s="75"/>
      <c r="AB394" s="75"/>
      <c r="AC394" s="75"/>
      <c r="AD394" s="75"/>
      <c r="AE394" s="79" t="n">
        <v>898.66</v>
      </c>
      <c r="AF394" s="75"/>
      <c r="AG394" s="75"/>
      <c r="AH394" s="75"/>
      <c r="AI394" s="75"/>
      <c r="AJ394" s="75"/>
      <c r="AK394" s="75"/>
      <c r="AL394" s="76"/>
      <c r="AM394" s="56" t="s">
        <v>20</v>
      </c>
      <c r="AN394" s="80" t="n">
        <f aca="false">IF(L394=0,0,Z394/L394)</f>
        <v>0.415425081937658</v>
      </c>
      <c r="AO394" s="81" t="str">
        <f aca="false">IF(AN394="","",IF(AN394&gt;=0.9,"🟢",IF(AN394&gt;=0.7,"🟡",IF(AN394&gt;=0.5,"🟠","🔴"))))</f>
        <v>🔴</v>
      </c>
      <c r="AP394" s="82" t="n">
        <f aca="false">IF(L394=0,0,L394-Z394)</f>
        <v>1264.57</v>
      </c>
      <c r="AQ394" s="83" t="n">
        <f aca="false">IF(AP394=0,"",RANK(AP394,AP$4:AP$503,0))</f>
        <v>352</v>
      </c>
      <c r="AR394" s="84" t="s">
        <v>20</v>
      </c>
      <c r="AS394" s="141"/>
      <c r="AT394" s="141"/>
      <c r="AU394" s="141"/>
      <c r="AV394" s="141"/>
      <c r="AW394" s="141"/>
      <c r="AX394" s="141"/>
      <c r="AY394" s="142"/>
      <c r="AZ394" s="142"/>
      <c r="BA394" s="56" t="s">
        <v>20</v>
      </c>
      <c r="BB394" s="91" t="n">
        <f aca="false">SUM(L$4:L$503)/COUNTA(A$4:A$503)</f>
        <v>9494.39992</v>
      </c>
      <c r="BC394" s="92" t="n">
        <f aca="false">SUM(M$4:M$503)/COUNTA(A$4:A$503)</f>
        <v>667.20008</v>
      </c>
      <c r="BD394" s="92" t="n">
        <f aca="false">SUM(N$4:N$503)/COUNTA(A$4:A$503)</f>
        <v>697.19996</v>
      </c>
      <c r="BE394" s="92" t="n">
        <f aca="false">SUM(O$4:O$503)/COUNTA(A$4:A$503)</f>
        <v>713.9999</v>
      </c>
      <c r="BF394" s="92" t="n">
        <f aca="false">SUM(P$4:P$503)/COUNTA(A$4:A$503)</f>
        <v>732.59984</v>
      </c>
      <c r="BG394" s="92" t="n">
        <f aca="false">SUM(Q$4:Q$503)/COUNTA(A$4:A$503)</f>
        <v>756.59992</v>
      </c>
      <c r="BH394" s="92" t="n">
        <f aca="false">SUM(R$4:R$503)/COUNTA(A$4:A$503)</f>
        <v>776.40004</v>
      </c>
      <c r="BI394" s="92" t="n">
        <f aca="false">SUM(S$4:S$503)/COUNTA(A$4:A$503)</f>
        <v>806.40012</v>
      </c>
      <c r="BJ394" s="92" t="n">
        <f aca="false">SUM(T$4:T$503)/COUNTA(A$4:A$503)</f>
        <v>826.1999</v>
      </c>
      <c r="BK394" s="92" t="n">
        <f aca="false">SUM(U$4:U$503)/COUNTA(A$4:A$503)</f>
        <v>844.8002</v>
      </c>
      <c r="BL394" s="92" t="n">
        <f aca="false">SUM(V$4:V$503)/COUNTA(A$4:A$503)</f>
        <v>865.7998</v>
      </c>
      <c r="BM394" s="92" t="n">
        <f aca="false">SUM(W$4:W$503)/COUNTA(A$4:A$503)</f>
        <v>888.59982</v>
      </c>
      <c r="BN394" s="93" t="n">
        <f aca="false">SUM(X$4:X$503)/COUNTA(A$4:A$503)</f>
        <v>918.60034</v>
      </c>
      <c r="BO394" s="94" t="s">
        <v>20</v>
      </c>
      <c r="BP394" s="91" t="n">
        <f aca="false">IF(Z394&gt;=BB394,0,IFERROR(BB394+(SUMPRODUCT((Z$4:Z$503&gt;=BB$4:BB$503)*(Z$4:Z$503-BB$4:BB$503))/MAX(1,COUNTIF(Z$4:Z$503,"&lt;"&amp;BB394+0.01))),BB394))</f>
        <v>10695.5432177778</v>
      </c>
      <c r="BQ394" s="92" t="n">
        <f aca="false">IF(AA394&gt;=BC394,0,IFERROR(BC394+SUMPRODUCT((AA$4:AA$503&gt;=BC$4:BC$503)*(AA$4:AA$503-BC$4:BC$503))/MAX(1,COUNTIF(AA$4:AA$503,"&lt;"&amp;BC394+0.01)),BC394))</f>
        <v>2238.46589176471</v>
      </c>
      <c r="BR394" s="92" t="n">
        <f aca="false">IF(AB394&gt;=BD394,0,IFERROR(BD394+SUMPRODUCT((AB$4:AB$503&gt;=BD$4:BD$503)*(AB$4:AB$503-BD$4:BD$503))/MAX(1,COUNTIF(AB$4:AB$503,"&lt;"&amp;BD394+0.01)),BD394))</f>
        <v>3335.2938</v>
      </c>
      <c r="BS394" s="92" t="n">
        <f aca="false">IF(AC394&gt;=BE394,0,IFERROR(BE394+SUMPRODUCT((AC$4:AC$503&gt;=BE$4:BE$503)*(AC$4:AC$503-BE$4:BE$503))/MAX(1,COUNTIF(AC$4:AC$503,"&lt;"&amp;BE394+0.01)),BE394))</f>
        <v>6188.73352</v>
      </c>
      <c r="BT394" s="92" t="n">
        <f aca="false">IF(AD394&gt;=BF394,0,IFERROR(BF394+SUMPRODUCT((AD$4:AD$503&gt;=BF$4:BF$503)*(AD$4:AD$503-BF$4:BF$503))/MAX(1,COUNTIF(AD$4:AD$503,"&lt;"&amp;BF394+0.01)),BF394))</f>
        <v>11354.35411</v>
      </c>
      <c r="BU394" s="92" t="n">
        <f aca="false">IF(AE394&gt;=BG394,0,IFERROR(BG394+SUMPRODUCT((AE$4:AE$503&gt;=BG$4:BG$503)*(AE$4:AE$503-BG$4:BG$503))/MAX(1,COUNTIF(AE$4:AE$503,"&lt;"&amp;BG394+0.01)),BG394))</f>
        <v>0</v>
      </c>
      <c r="BV394" s="92" t="n">
        <f aca="false">IF(AF394&gt;=BH394,0,IFERROR(BH394+SUMPRODUCT((AF$4:AF$503&gt;=BH$4:BH$503)*(AF$4:AF$503-BH$4:BH$503))/MAX(1,COUNTIF(AF$4:AF$503,"&lt;"&amp;BH394+0.01)),BH394))</f>
        <v>9942.6503831579</v>
      </c>
      <c r="BW394" s="92" t="n">
        <f aca="false">IF(AG394&gt;=BI394,0,IFERROR(BI394+SUMPRODUCT((AG$4:AG$503&gt;=BI$4:BI$503)*(AG$4:AG$503-BI$4:BI$503))/MAX(1,COUNTIF(AG$4:AG$503,"&lt;"&amp;BI394+0.01)),BI394))</f>
        <v>9142.15870461538</v>
      </c>
      <c r="BX394" s="92" t="n">
        <f aca="false">IF(AH394&gt;=BJ394,0,IFERROR(BJ394+SUMPRODUCT((AH$4:AH$503&gt;=BJ$4:BJ$503)*(AH$4:AH$503-BJ$4:BJ$503))/MAX(1,COUNTIF(AH$4:AH$503,"&lt;"&amp;BJ394+0.01)),BJ394))</f>
        <v>5621.50263448276</v>
      </c>
      <c r="BY394" s="92" t="n">
        <f aca="false">IF(AI394&gt;=BK394,0,IFERROR(BK394+SUMPRODUCT((AI$4:AI$503&gt;=BK$4:BK$503)*(AI$4:AI$503-BK$4:BK$503))/MAX(1,COUNTIF(AI$4:AI$503,"&lt;"&amp;BK394+0.01)),BK394))</f>
        <v>7878.25652380952</v>
      </c>
      <c r="BZ394" s="92" t="n">
        <f aca="false">IF(AJ394&gt;=BL394,0,IFERROR(BL394+SUMPRODUCT((AJ$4:AJ$503&gt;=BL$4:BL$503)*(AJ$4:AJ$503-BL$4:BL$503))/MAX(1,COUNTIF(AJ$4:AJ$503,"&lt;"&amp;BL394+0.01)),BL394))</f>
        <v>6710.03292307692</v>
      </c>
      <c r="CA394" s="92" t="n">
        <f aca="false">IF(AK394&gt;=BM394,0,IFERROR(BM394+SUMPRODUCT((AK$4:AK$503&gt;=BM$4:BM$503)*(AK$4:AK$503-BM$4:BM$503))/MAX(1,COUNTIF(AK$4:AK$503,"&lt;"&amp;BM394+0.01)),BM394))</f>
        <v>7314.89836842105</v>
      </c>
      <c r="CB394" s="93" t="n">
        <f aca="false">IF(AL394&gt;=BN394,0,IFERROR(BN394+SUMPRODUCT((AL$4:AL$503&gt;=BN$4:BN$503)*(AL$4:AL$503-BN$4:BN$503))/MAX(1,COUNTIF(AL$4:AL$503,"&lt;"&amp;BN394+0.01)),BN394))</f>
        <v>3597.2614925</v>
      </c>
      <c r="CC394" s="95" t="str">
        <f aca="false">IF(AO394="🟢","VERDE",IF(AO394="🟡","AMARELO",IF(AO394="🟠","VERMELHO",IF(AO394="🔴","VERMELHO","ROXO"))))</f>
        <v>VERMELHO</v>
      </c>
      <c r="CD394" s="96" t="s">
        <v>103</v>
      </c>
      <c r="CE394" s="96" t="s">
        <v>104</v>
      </c>
    </row>
    <row r="395" customFormat="false" ht="14.25" hidden="false" customHeight="true" outlineLevel="0" collapsed="false">
      <c r="A395" s="65" t="s">
        <v>923</v>
      </c>
      <c r="B395" s="66" t="s">
        <v>924</v>
      </c>
      <c r="C395" s="66" t="s">
        <v>128</v>
      </c>
      <c r="D395" s="68" t="s">
        <v>184</v>
      </c>
      <c r="E395" s="69" t="s">
        <v>196</v>
      </c>
      <c r="F395" s="70" t="n">
        <f aca="false">IFERROR(VLOOKUP(C395,$AS$3:$AT$10,2,FALSE()),IFERROR(VLOOKUP(C395,$AS$15:$AT$22,2,FALSE()),""))</f>
        <v>3</v>
      </c>
      <c r="G395" s="71" t="n">
        <f aca="false">IFERROR(VLOOKUP(C395,$AS$3:$AX$10,6,FALSE()),IFERROR(VLOOKUP(C395,$AS$15:$AX$22,6,FALSE()),""))</f>
        <v>0.414897665958825</v>
      </c>
      <c r="H395" s="72" t="str">
        <f aca="false">IFERROR(VLOOKUP(C395,$AS$3:$AY$10,7,FALSE()),IFERROR(VLOOKUP(C395,$AS$15:$AY$22,7,FALSE()),""))</f>
        <v>🟡 AMARELO</v>
      </c>
      <c r="I395" s="72" t="str">
        <f aca="false">IFERROR(VLOOKUP(C395,$AS$3:$AZ$10,8,FALSE()),IFERROR(VLOOKUP(C395,$AS$15:$AZ$22,8,FALSE()),""))</f>
        <v>Sell Out</v>
      </c>
      <c r="J395" s="73"/>
      <c r="K395" s="69" t="s">
        <v>107</v>
      </c>
      <c r="L395" s="74" t="n">
        <v>2137.02</v>
      </c>
      <c r="M395" s="75" t="n">
        <v>150.17</v>
      </c>
      <c r="N395" s="75" t="n">
        <v>156.93</v>
      </c>
      <c r="O395" s="75" t="n">
        <v>160.71</v>
      </c>
      <c r="P395" s="75" t="n">
        <v>164.89</v>
      </c>
      <c r="Q395" s="75" t="n">
        <v>170.3</v>
      </c>
      <c r="R395" s="75" t="n">
        <v>174.75</v>
      </c>
      <c r="S395" s="75" t="n">
        <v>181.51</v>
      </c>
      <c r="T395" s="75" t="n">
        <v>185.96</v>
      </c>
      <c r="U395" s="75" t="n">
        <v>190.15</v>
      </c>
      <c r="V395" s="75" t="n">
        <v>194.88</v>
      </c>
      <c r="W395" s="75" t="n">
        <v>200.01</v>
      </c>
      <c r="X395" s="76" t="n">
        <v>206.76</v>
      </c>
      <c r="Y395" s="77" t="s">
        <v>20</v>
      </c>
      <c r="Z395" s="78" t="n">
        <f aca="false">SUM(AA395:AL395)</f>
        <v>859.4</v>
      </c>
      <c r="AA395" s="75"/>
      <c r="AB395" s="75"/>
      <c r="AC395" s="75"/>
      <c r="AD395" s="75"/>
      <c r="AE395" s="75"/>
      <c r="AF395" s="75"/>
      <c r="AG395" s="75"/>
      <c r="AH395" s="75"/>
      <c r="AI395" s="79" t="n">
        <v>859.4</v>
      </c>
      <c r="AJ395" s="75"/>
      <c r="AK395" s="75"/>
      <c r="AL395" s="76"/>
      <c r="AM395" s="56" t="s">
        <v>20</v>
      </c>
      <c r="AN395" s="80" t="n">
        <f aca="false">IF(L395=0,0,Z395/L395)</f>
        <v>0.402148786628108</v>
      </c>
      <c r="AO395" s="81" t="str">
        <f aca="false">IF(AN395="","",IF(AN395&gt;=0.9,"🟢",IF(AN395&gt;=0.7,"🟡",IF(AN395&gt;=0.5,"🟠","🔴"))))</f>
        <v>🔴</v>
      </c>
      <c r="AP395" s="82" t="n">
        <f aca="false">IF(L395=0,0,L395-Z395)</f>
        <v>1277.62</v>
      </c>
      <c r="AQ395" s="83" t="n">
        <f aca="false">IF(AP395=0,"",RANK(AP395,AP$4:AP$503,0))</f>
        <v>350</v>
      </c>
      <c r="AR395" s="84" t="s">
        <v>20</v>
      </c>
      <c r="AS395" s="141"/>
      <c r="AT395" s="141"/>
      <c r="AU395" s="141"/>
      <c r="AV395" s="141"/>
      <c r="AW395" s="141"/>
      <c r="AX395" s="141"/>
      <c r="AY395" s="142"/>
      <c r="AZ395" s="142"/>
      <c r="BA395" s="56" t="s">
        <v>20</v>
      </c>
      <c r="BB395" s="91" t="n">
        <f aca="false">SUM(L$4:L$503)/COUNTA(A$4:A$503)</f>
        <v>9494.39992</v>
      </c>
      <c r="BC395" s="92" t="n">
        <f aca="false">SUM(M$4:M$503)/COUNTA(A$4:A$503)</f>
        <v>667.20008</v>
      </c>
      <c r="BD395" s="92" t="n">
        <f aca="false">SUM(N$4:N$503)/COUNTA(A$4:A$503)</f>
        <v>697.19996</v>
      </c>
      <c r="BE395" s="92" t="n">
        <f aca="false">SUM(O$4:O$503)/COUNTA(A$4:A$503)</f>
        <v>713.9999</v>
      </c>
      <c r="BF395" s="92" t="n">
        <f aca="false">SUM(P$4:P$503)/COUNTA(A$4:A$503)</f>
        <v>732.59984</v>
      </c>
      <c r="BG395" s="92" t="n">
        <f aca="false">SUM(Q$4:Q$503)/COUNTA(A$4:A$503)</f>
        <v>756.59992</v>
      </c>
      <c r="BH395" s="92" t="n">
        <f aca="false">SUM(R$4:R$503)/COUNTA(A$4:A$503)</f>
        <v>776.40004</v>
      </c>
      <c r="BI395" s="92" t="n">
        <f aca="false">SUM(S$4:S$503)/COUNTA(A$4:A$503)</f>
        <v>806.40012</v>
      </c>
      <c r="BJ395" s="92" t="n">
        <f aca="false">SUM(T$4:T$503)/COUNTA(A$4:A$503)</f>
        <v>826.1999</v>
      </c>
      <c r="BK395" s="92" t="n">
        <f aca="false">SUM(U$4:U$503)/COUNTA(A$4:A$503)</f>
        <v>844.8002</v>
      </c>
      <c r="BL395" s="92" t="n">
        <f aca="false">SUM(V$4:V$503)/COUNTA(A$4:A$503)</f>
        <v>865.7998</v>
      </c>
      <c r="BM395" s="92" t="n">
        <f aca="false">SUM(W$4:W$503)/COUNTA(A$4:A$503)</f>
        <v>888.59982</v>
      </c>
      <c r="BN395" s="93" t="n">
        <f aca="false">SUM(X$4:X$503)/COUNTA(A$4:A$503)</f>
        <v>918.60034</v>
      </c>
      <c r="BO395" s="94" t="s">
        <v>20</v>
      </c>
      <c r="BP395" s="91" t="n">
        <f aca="false">IF(Z395&gt;=BB395,0,IFERROR(BB395+(SUMPRODUCT((Z$4:Z$503&gt;=BB$4:BB$503)*(Z$4:Z$503-BB$4:BB$503))/MAX(1,COUNTIF(Z$4:Z$503,"&lt;"&amp;BB395+0.01))),BB395))</f>
        <v>10695.5432177778</v>
      </c>
      <c r="BQ395" s="92" t="n">
        <f aca="false">IF(AA395&gt;=BC395,0,IFERROR(BC395+SUMPRODUCT((AA$4:AA$503&gt;=BC$4:BC$503)*(AA$4:AA$503-BC$4:BC$503))/MAX(1,COUNTIF(AA$4:AA$503,"&lt;"&amp;BC395+0.01)),BC395))</f>
        <v>2238.46589176471</v>
      </c>
      <c r="BR395" s="92" t="n">
        <f aca="false">IF(AB395&gt;=BD395,0,IFERROR(BD395+SUMPRODUCT((AB$4:AB$503&gt;=BD$4:BD$503)*(AB$4:AB$503-BD$4:BD$503))/MAX(1,COUNTIF(AB$4:AB$503,"&lt;"&amp;BD395+0.01)),BD395))</f>
        <v>3335.2938</v>
      </c>
      <c r="BS395" s="92" t="n">
        <f aca="false">IF(AC395&gt;=BE395,0,IFERROR(BE395+SUMPRODUCT((AC$4:AC$503&gt;=BE$4:BE$503)*(AC$4:AC$503-BE$4:BE$503))/MAX(1,COUNTIF(AC$4:AC$503,"&lt;"&amp;BE395+0.01)),BE395))</f>
        <v>6188.73352</v>
      </c>
      <c r="BT395" s="92" t="n">
        <f aca="false">IF(AD395&gt;=BF395,0,IFERROR(BF395+SUMPRODUCT((AD$4:AD$503&gt;=BF$4:BF$503)*(AD$4:AD$503-BF$4:BF$503))/MAX(1,COUNTIF(AD$4:AD$503,"&lt;"&amp;BF395+0.01)),BF395))</f>
        <v>11354.35411</v>
      </c>
      <c r="BU395" s="92" t="n">
        <f aca="false">IF(AE395&gt;=BG395,0,IFERROR(BG395+SUMPRODUCT((AE$4:AE$503&gt;=BG$4:BG$503)*(AE$4:AE$503-BG$4:BG$503))/MAX(1,COUNTIF(AE$4:AE$503,"&lt;"&amp;BG395+0.01)),BG395))</f>
        <v>7704.85920380952</v>
      </c>
      <c r="BV395" s="92" t="n">
        <f aca="false">IF(AF395&gt;=BH395,0,IFERROR(BH395+SUMPRODUCT((AF$4:AF$503&gt;=BH$4:BH$503)*(AF$4:AF$503-BH$4:BH$503))/MAX(1,COUNTIF(AF$4:AF$503,"&lt;"&amp;BH395+0.01)),BH395))</f>
        <v>9942.6503831579</v>
      </c>
      <c r="BW395" s="92" t="n">
        <f aca="false">IF(AG395&gt;=BI395,0,IFERROR(BI395+SUMPRODUCT((AG$4:AG$503&gt;=BI$4:BI$503)*(AG$4:AG$503-BI$4:BI$503))/MAX(1,COUNTIF(AG$4:AG$503,"&lt;"&amp;BI395+0.01)),BI395))</f>
        <v>9142.15870461538</v>
      </c>
      <c r="BX395" s="92" t="n">
        <f aca="false">IF(AH395&gt;=BJ395,0,IFERROR(BJ395+SUMPRODUCT((AH$4:AH$503&gt;=BJ$4:BJ$503)*(AH$4:AH$503-BJ$4:BJ$503))/MAX(1,COUNTIF(AH$4:AH$503,"&lt;"&amp;BJ395+0.01)),BJ395))</f>
        <v>5621.50263448276</v>
      </c>
      <c r="BY395" s="92" t="n">
        <f aca="false">IF(AI395&gt;=BK395,0,IFERROR(BK395+SUMPRODUCT((AI$4:AI$503&gt;=BK$4:BK$503)*(AI$4:AI$503-BK$4:BK$503))/MAX(1,COUNTIF(AI$4:AI$503,"&lt;"&amp;BK395+0.01)),BK395))</f>
        <v>0</v>
      </c>
      <c r="BZ395" s="92" t="n">
        <f aca="false">IF(AJ395&gt;=BL395,0,IFERROR(BL395+SUMPRODUCT((AJ$4:AJ$503&gt;=BL$4:BL$503)*(AJ$4:AJ$503-BL$4:BL$503))/MAX(1,COUNTIF(AJ$4:AJ$503,"&lt;"&amp;BL395+0.01)),BL395))</f>
        <v>6710.03292307692</v>
      </c>
      <c r="CA395" s="92" t="n">
        <f aca="false">IF(AK395&gt;=BM395,0,IFERROR(BM395+SUMPRODUCT((AK$4:AK$503&gt;=BM$4:BM$503)*(AK$4:AK$503-BM$4:BM$503))/MAX(1,COUNTIF(AK$4:AK$503,"&lt;"&amp;BM395+0.01)),BM395))</f>
        <v>7314.89836842105</v>
      </c>
      <c r="CB395" s="93" t="n">
        <f aca="false">IF(AL395&gt;=BN395,0,IFERROR(BN395+SUMPRODUCT((AL$4:AL$503&gt;=BN$4:BN$503)*(AL$4:AL$503-BN$4:BN$503))/MAX(1,COUNTIF(AL$4:AL$503,"&lt;"&amp;BN395+0.01)),BN395))</f>
        <v>3597.2614925</v>
      </c>
      <c r="CC395" s="95" t="str">
        <f aca="false">IF(AO395="🟢","VERDE",IF(AO395="🟡","AMARELO",IF(AO395="🟠","VERMELHO",IF(AO395="🔴","VERMELHO","ROXO"))))</f>
        <v>VERMELHO</v>
      </c>
      <c r="CD395" s="96" t="s">
        <v>176</v>
      </c>
      <c r="CE395" s="96" t="s">
        <v>128</v>
      </c>
    </row>
    <row r="396" customFormat="false" ht="14.25" hidden="false" customHeight="true" outlineLevel="0" collapsed="false">
      <c r="A396" s="65" t="s">
        <v>925</v>
      </c>
      <c r="B396" s="66" t="s">
        <v>926</v>
      </c>
      <c r="C396" s="67" t="s">
        <v>107</v>
      </c>
      <c r="D396" s="68" t="s">
        <v>108</v>
      </c>
      <c r="E396" s="69" t="s">
        <v>109</v>
      </c>
      <c r="F396" s="70" t="n">
        <f aca="false">IFERROR(VLOOKUP(C396,$AS$3:$AT$10,2,FALSE()),IFERROR(VLOOKUP(C396,$AS$15:$AT$22,2,FALSE()),""))</f>
        <v>132</v>
      </c>
      <c r="G396" s="71" t="n">
        <f aca="false">IFERROR(VLOOKUP(C396,$AS$3:$AX$10,6,FALSE()),IFERROR(VLOOKUP(C396,$AS$15:$AX$22,6,FALSE()),""))</f>
        <v>0.468190175850689</v>
      </c>
      <c r="H396" s="72" t="str">
        <f aca="false">IFERROR(VLOOKUP(C396,$AS$3:$AY$10,7,FALSE()),IFERROR(VLOOKUP(C396,$AS$15:$AY$22,7,FALSE()),""))</f>
        <v>🟡 AMARELO</v>
      </c>
      <c r="I396" s="72" t="str">
        <f aca="false">IFERROR(VLOOKUP(C396,$AS$3:$AZ$10,8,FALSE()),IFERROR(VLOOKUP(C396,$AS$15:$AZ$22,8,FALSE()),""))</f>
        <v>Sell Out</v>
      </c>
      <c r="J396" s="73"/>
      <c r="K396" s="69" t="s">
        <v>107</v>
      </c>
      <c r="L396" s="74" t="n">
        <v>2134.47</v>
      </c>
      <c r="M396" s="75" t="n">
        <v>150</v>
      </c>
      <c r="N396" s="75" t="n">
        <v>156.74</v>
      </c>
      <c r="O396" s="75" t="n">
        <v>160.52</v>
      </c>
      <c r="P396" s="75" t="n">
        <v>164.7</v>
      </c>
      <c r="Q396" s="75" t="n">
        <v>170.09</v>
      </c>
      <c r="R396" s="75" t="n">
        <v>174.55</v>
      </c>
      <c r="S396" s="75" t="n">
        <v>181.29</v>
      </c>
      <c r="T396" s="75" t="n">
        <v>185.74</v>
      </c>
      <c r="U396" s="75" t="n">
        <v>189.92</v>
      </c>
      <c r="V396" s="75" t="n">
        <v>194.64</v>
      </c>
      <c r="W396" s="75" t="n">
        <v>199.77</v>
      </c>
      <c r="X396" s="76" t="n">
        <v>206.51</v>
      </c>
      <c r="Y396" s="77" t="s">
        <v>20</v>
      </c>
      <c r="Z396" s="78" t="n">
        <f aca="false">SUM(AA396:AL396)</f>
        <v>858.38</v>
      </c>
      <c r="AA396" s="75"/>
      <c r="AB396" s="75"/>
      <c r="AC396" s="75"/>
      <c r="AD396" s="79" t="n">
        <v>858.38</v>
      </c>
      <c r="AE396" s="75"/>
      <c r="AF396" s="75"/>
      <c r="AG396" s="75"/>
      <c r="AH396" s="75"/>
      <c r="AI396" s="75"/>
      <c r="AJ396" s="75"/>
      <c r="AK396" s="75"/>
      <c r="AL396" s="76"/>
      <c r="AM396" s="56" t="s">
        <v>20</v>
      </c>
      <c r="AN396" s="80" t="n">
        <f aca="false">IF(L396=0,0,Z396/L396)</f>
        <v>0.40215135373184</v>
      </c>
      <c r="AO396" s="81" t="str">
        <f aca="false">IF(AN396="","",IF(AN396&gt;=0.9,"🟢",IF(AN396&gt;=0.7,"🟡",IF(AN396&gt;=0.5,"🟠","🔴"))))</f>
        <v>🔴</v>
      </c>
      <c r="AP396" s="82" t="n">
        <f aca="false">IF(L396=0,0,L396-Z396)</f>
        <v>1276.09</v>
      </c>
      <c r="AQ396" s="83" t="n">
        <f aca="false">IF(AP396=0,"",RANK(AP396,AP$4:AP$503,0))</f>
        <v>351</v>
      </c>
      <c r="AR396" s="84" t="s">
        <v>20</v>
      </c>
      <c r="AS396" s="141"/>
      <c r="AT396" s="141"/>
      <c r="AU396" s="141"/>
      <c r="AV396" s="141"/>
      <c r="AW396" s="141"/>
      <c r="AX396" s="141"/>
      <c r="AY396" s="142"/>
      <c r="AZ396" s="142"/>
      <c r="BA396" s="56" t="s">
        <v>20</v>
      </c>
      <c r="BB396" s="91" t="n">
        <f aca="false">SUM(L$4:L$503)/COUNTA(A$4:A$503)</f>
        <v>9494.39992</v>
      </c>
      <c r="BC396" s="92" t="n">
        <f aca="false">SUM(M$4:M$503)/COUNTA(A$4:A$503)</f>
        <v>667.20008</v>
      </c>
      <c r="BD396" s="92" t="n">
        <f aca="false">SUM(N$4:N$503)/COUNTA(A$4:A$503)</f>
        <v>697.19996</v>
      </c>
      <c r="BE396" s="92" t="n">
        <f aca="false">SUM(O$4:O$503)/COUNTA(A$4:A$503)</f>
        <v>713.9999</v>
      </c>
      <c r="BF396" s="92" t="n">
        <f aca="false">SUM(P$4:P$503)/COUNTA(A$4:A$503)</f>
        <v>732.59984</v>
      </c>
      <c r="BG396" s="92" t="n">
        <f aca="false">SUM(Q$4:Q$503)/COUNTA(A$4:A$503)</f>
        <v>756.59992</v>
      </c>
      <c r="BH396" s="92" t="n">
        <f aca="false">SUM(R$4:R$503)/COUNTA(A$4:A$503)</f>
        <v>776.40004</v>
      </c>
      <c r="BI396" s="92" t="n">
        <f aca="false">SUM(S$4:S$503)/COUNTA(A$4:A$503)</f>
        <v>806.40012</v>
      </c>
      <c r="BJ396" s="92" t="n">
        <f aca="false">SUM(T$4:T$503)/COUNTA(A$4:A$503)</f>
        <v>826.1999</v>
      </c>
      <c r="BK396" s="92" t="n">
        <f aca="false">SUM(U$4:U$503)/COUNTA(A$4:A$503)</f>
        <v>844.8002</v>
      </c>
      <c r="BL396" s="92" t="n">
        <f aca="false">SUM(V$4:V$503)/COUNTA(A$4:A$503)</f>
        <v>865.7998</v>
      </c>
      <c r="BM396" s="92" t="n">
        <f aca="false">SUM(W$4:W$503)/COUNTA(A$4:A$503)</f>
        <v>888.59982</v>
      </c>
      <c r="BN396" s="93" t="n">
        <f aca="false">SUM(X$4:X$503)/COUNTA(A$4:A$503)</f>
        <v>918.60034</v>
      </c>
      <c r="BO396" s="94" t="s">
        <v>20</v>
      </c>
      <c r="BP396" s="91" t="n">
        <f aca="false">IF(Z396&gt;=BB396,0,IFERROR(BB396+(SUMPRODUCT((Z$4:Z$503&gt;=BB$4:BB$503)*(Z$4:Z$503-BB$4:BB$503))/MAX(1,COUNTIF(Z$4:Z$503,"&lt;"&amp;BB396+0.01))),BB396))</f>
        <v>10695.5432177778</v>
      </c>
      <c r="BQ396" s="92" t="n">
        <f aca="false">IF(AA396&gt;=BC396,0,IFERROR(BC396+SUMPRODUCT((AA$4:AA$503&gt;=BC$4:BC$503)*(AA$4:AA$503-BC$4:BC$503))/MAX(1,COUNTIF(AA$4:AA$503,"&lt;"&amp;BC396+0.01)),BC396))</f>
        <v>2238.46589176471</v>
      </c>
      <c r="BR396" s="92" t="n">
        <f aca="false">IF(AB396&gt;=BD396,0,IFERROR(BD396+SUMPRODUCT((AB$4:AB$503&gt;=BD$4:BD$503)*(AB$4:AB$503-BD$4:BD$503))/MAX(1,COUNTIF(AB$4:AB$503,"&lt;"&amp;BD396+0.01)),BD396))</f>
        <v>3335.2938</v>
      </c>
      <c r="BS396" s="92" t="n">
        <f aca="false">IF(AC396&gt;=BE396,0,IFERROR(BE396+SUMPRODUCT((AC$4:AC$503&gt;=BE$4:BE$503)*(AC$4:AC$503-BE$4:BE$503))/MAX(1,COUNTIF(AC$4:AC$503,"&lt;"&amp;BE396+0.01)),BE396))</f>
        <v>6188.73352</v>
      </c>
      <c r="BT396" s="92" t="n">
        <f aca="false">IF(AD396&gt;=BF396,0,IFERROR(BF396+SUMPRODUCT((AD$4:AD$503&gt;=BF$4:BF$503)*(AD$4:AD$503-BF$4:BF$503))/MAX(1,COUNTIF(AD$4:AD$503,"&lt;"&amp;BF396+0.01)),BF396))</f>
        <v>0</v>
      </c>
      <c r="BU396" s="92" t="n">
        <f aca="false">IF(AE396&gt;=BG396,0,IFERROR(BG396+SUMPRODUCT((AE$4:AE$503&gt;=BG$4:BG$503)*(AE$4:AE$503-BG$4:BG$503))/MAX(1,COUNTIF(AE$4:AE$503,"&lt;"&amp;BG396+0.01)),BG396))</f>
        <v>7704.85920380952</v>
      </c>
      <c r="BV396" s="92" t="n">
        <f aca="false">IF(AF396&gt;=BH396,0,IFERROR(BH396+SUMPRODUCT((AF$4:AF$503&gt;=BH$4:BH$503)*(AF$4:AF$503-BH$4:BH$503))/MAX(1,COUNTIF(AF$4:AF$503,"&lt;"&amp;BH396+0.01)),BH396))</f>
        <v>9942.6503831579</v>
      </c>
      <c r="BW396" s="92" t="n">
        <f aca="false">IF(AG396&gt;=BI396,0,IFERROR(BI396+SUMPRODUCT((AG$4:AG$503&gt;=BI$4:BI$503)*(AG$4:AG$503-BI$4:BI$503))/MAX(1,COUNTIF(AG$4:AG$503,"&lt;"&amp;BI396+0.01)),BI396))</f>
        <v>9142.15870461538</v>
      </c>
      <c r="BX396" s="92" t="n">
        <f aca="false">IF(AH396&gt;=BJ396,0,IFERROR(BJ396+SUMPRODUCT((AH$4:AH$503&gt;=BJ$4:BJ$503)*(AH$4:AH$503-BJ$4:BJ$503))/MAX(1,COUNTIF(AH$4:AH$503,"&lt;"&amp;BJ396+0.01)),BJ396))</f>
        <v>5621.50263448276</v>
      </c>
      <c r="BY396" s="92" t="n">
        <f aca="false">IF(AI396&gt;=BK396,0,IFERROR(BK396+SUMPRODUCT((AI$4:AI$503&gt;=BK$4:BK$503)*(AI$4:AI$503-BK$4:BK$503))/MAX(1,COUNTIF(AI$4:AI$503,"&lt;"&amp;BK396+0.01)),BK396))</f>
        <v>7878.25652380952</v>
      </c>
      <c r="BZ396" s="92" t="n">
        <f aca="false">IF(AJ396&gt;=BL396,0,IFERROR(BL396+SUMPRODUCT((AJ$4:AJ$503&gt;=BL$4:BL$503)*(AJ$4:AJ$503-BL$4:BL$503))/MAX(1,COUNTIF(AJ$4:AJ$503,"&lt;"&amp;BL396+0.01)),BL396))</f>
        <v>6710.03292307692</v>
      </c>
      <c r="CA396" s="92" t="n">
        <f aca="false">IF(AK396&gt;=BM396,0,IFERROR(BM396+SUMPRODUCT((AK$4:AK$503&gt;=BM$4:BM$503)*(AK$4:AK$503-BM$4:BM$503))/MAX(1,COUNTIF(AK$4:AK$503,"&lt;"&amp;BM396+0.01)),BM396))</f>
        <v>7314.89836842105</v>
      </c>
      <c r="CB396" s="93" t="n">
        <f aca="false">IF(AL396&gt;=BN396,0,IFERROR(BN396+SUMPRODUCT((AL$4:AL$503&gt;=BN$4:BN$503)*(AL$4:AL$503-BN$4:BN$503))/MAX(1,COUNTIF(AL$4:AL$503,"&lt;"&amp;BN396+0.01)),BN396))</f>
        <v>3597.2614925</v>
      </c>
      <c r="CC396" s="95" t="str">
        <f aca="false">IF(AO396="🟢","VERDE",IF(AO396="🟡","AMARELO",IF(AO396="🟠","VERMELHO",IF(AO396="🔴","VERMELHO","ROXO"))))</f>
        <v>VERMELHO</v>
      </c>
      <c r="CD396" s="96" t="s">
        <v>103</v>
      </c>
      <c r="CE396" s="96" t="s">
        <v>104</v>
      </c>
    </row>
    <row r="397" customFormat="false" ht="14.25" hidden="false" customHeight="true" outlineLevel="0" collapsed="false">
      <c r="A397" s="65" t="s">
        <v>927</v>
      </c>
      <c r="B397" s="66" t="s">
        <v>928</v>
      </c>
      <c r="C397" s="66" t="s">
        <v>110</v>
      </c>
      <c r="D397" s="68" t="s">
        <v>184</v>
      </c>
      <c r="E397" s="69" t="s">
        <v>196</v>
      </c>
      <c r="F397" s="70" t="n">
        <f aca="false">IFERROR(VLOOKUP(C397,$AS$3:$AT$10,2,FALSE()),IFERROR(VLOOKUP(C397,$AS$15:$AT$22,2,FALSE()),""))</f>
        <v>15</v>
      </c>
      <c r="G397" s="71" t="n">
        <f aca="false">IFERROR(VLOOKUP(C397,$AS$3:$AX$10,6,FALSE()),IFERROR(VLOOKUP(C397,$AS$15:$AX$22,6,FALSE()),""))</f>
        <v>0.621111876107332</v>
      </c>
      <c r="H397" s="72" t="str">
        <f aca="false">IFERROR(VLOOKUP(C397,$AS$3:$AY$10,7,FALSE()),IFERROR(VLOOKUP(C397,$AS$15:$AY$22,7,FALSE()),""))</f>
        <v>🟢 VERDE</v>
      </c>
      <c r="I397" s="72" t="str">
        <f aca="false">IFERROR(VLOOKUP(C397,$AS$3:$AZ$10,8,FALSE()),IFERROR(VLOOKUP(C397,$AS$15:$AZ$22,8,FALSE()),""))</f>
        <v>JBP</v>
      </c>
      <c r="J397" s="73"/>
      <c r="K397" s="69" t="s">
        <v>107</v>
      </c>
      <c r="L397" s="74" t="n">
        <v>2104.46</v>
      </c>
      <c r="M397" s="75" t="n">
        <v>147.89</v>
      </c>
      <c r="N397" s="75" t="n">
        <v>154.54</v>
      </c>
      <c r="O397" s="75" t="n">
        <v>158.26</v>
      </c>
      <c r="P397" s="75" t="n">
        <v>162.38</v>
      </c>
      <c r="Q397" s="75" t="n">
        <v>167.7</v>
      </c>
      <c r="R397" s="75" t="n">
        <v>172.09</v>
      </c>
      <c r="S397" s="75" t="n">
        <v>178.74</v>
      </c>
      <c r="T397" s="75" t="n">
        <v>183.13</v>
      </c>
      <c r="U397" s="75" t="n">
        <v>187.25</v>
      </c>
      <c r="V397" s="75" t="n">
        <v>191.91</v>
      </c>
      <c r="W397" s="75" t="n">
        <v>196.96</v>
      </c>
      <c r="X397" s="76" t="n">
        <v>203.61</v>
      </c>
      <c r="Y397" s="77" t="s">
        <v>20</v>
      </c>
      <c r="Z397" s="78" t="n">
        <f aca="false">SUM(AA397:AL397)</f>
        <v>1718.23</v>
      </c>
      <c r="AA397" s="75"/>
      <c r="AB397" s="75"/>
      <c r="AC397" s="75"/>
      <c r="AD397" s="75"/>
      <c r="AE397" s="75"/>
      <c r="AF397" s="75"/>
      <c r="AG397" s="75"/>
      <c r="AH397" s="75"/>
      <c r="AI397" s="75" t="n">
        <v>871.91</v>
      </c>
      <c r="AJ397" s="79" t="n">
        <v>846.32</v>
      </c>
      <c r="AK397" s="75"/>
      <c r="AL397" s="76"/>
      <c r="AM397" s="56" t="s">
        <v>20</v>
      </c>
      <c r="AN397" s="80" t="n">
        <f aca="false">IF(L397=0,0,Z397/L397)</f>
        <v>0.816470733584863</v>
      </c>
      <c r="AO397" s="81" t="str">
        <f aca="false">IF(AN397="","",IF(AN397&gt;=0.9,"🟢",IF(AN397&gt;=0.7,"🟡",IF(AN397&gt;=0.5,"🟠","🔴"))))</f>
        <v>🟡</v>
      </c>
      <c r="AP397" s="82" t="n">
        <f aca="false">IF(L397=0,0,L397-Z397)</f>
        <v>386.23</v>
      </c>
      <c r="AQ397" s="83" t="n">
        <f aca="false">IF(AP397=0,"",RANK(AP397,AP$4:AP$503,0))</f>
        <v>464</v>
      </c>
      <c r="AR397" s="84" t="s">
        <v>20</v>
      </c>
      <c r="AS397" s="141"/>
      <c r="AT397" s="141"/>
      <c r="AU397" s="141"/>
      <c r="AV397" s="141"/>
      <c r="AW397" s="141"/>
      <c r="AX397" s="141"/>
      <c r="AY397" s="142"/>
      <c r="AZ397" s="142"/>
      <c r="BA397" s="56" t="s">
        <v>20</v>
      </c>
      <c r="BB397" s="91" t="n">
        <f aca="false">SUM(L$4:L$503)/COUNTA(A$4:A$503)</f>
        <v>9494.39992</v>
      </c>
      <c r="BC397" s="92" t="n">
        <f aca="false">SUM(M$4:M$503)/COUNTA(A$4:A$503)</f>
        <v>667.20008</v>
      </c>
      <c r="BD397" s="92" t="n">
        <f aca="false">SUM(N$4:N$503)/COUNTA(A$4:A$503)</f>
        <v>697.19996</v>
      </c>
      <c r="BE397" s="92" t="n">
        <f aca="false">SUM(O$4:O$503)/COUNTA(A$4:A$503)</f>
        <v>713.9999</v>
      </c>
      <c r="BF397" s="92" t="n">
        <f aca="false">SUM(P$4:P$503)/COUNTA(A$4:A$503)</f>
        <v>732.59984</v>
      </c>
      <c r="BG397" s="92" t="n">
        <f aca="false">SUM(Q$4:Q$503)/COUNTA(A$4:A$503)</f>
        <v>756.59992</v>
      </c>
      <c r="BH397" s="92" t="n">
        <f aca="false">SUM(R$4:R$503)/COUNTA(A$4:A$503)</f>
        <v>776.40004</v>
      </c>
      <c r="BI397" s="92" t="n">
        <f aca="false">SUM(S$4:S$503)/COUNTA(A$4:A$503)</f>
        <v>806.40012</v>
      </c>
      <c r="BJ397" s="92" t="n">
        <f aca="false">SUM(T$4:T$503)/COUNTA(A$4:A$503)</f>
        <v>826.1999</v>
      </c>
      <c r="BK397" s="92" t="n">
        <f aca="false">SUM(U$4:U$503)/COUNTA(A$4:A$503)</f>
        <v>844.8002</v>
      </c>
      <c r="BL397" s="92" t="n">
        <f aca="false">SUM(V$4:V$503)/COUNTA(A$4:A$503)</f>
        <v>865.7998</v>
      </c>
      <c r="BM397" s="92" t="n">
        <f aca="false">SUM(W$4:W$503)/COUNTA(A$4:A$503)</f>
        <v>888.59982</v>
      </c>
      <c r="BN397" s="93" t="n">
        <f aca="false">SUM(X$4:X$503)/COUNTA(A$4:A$503)</f>
        <v>918.60034</v>
      </c>
      <c r="BO397" s="94" t="s">
        <v>20</v>
      </c>
      <c r="BP397" s="91" t="n">
        <f aca="false">IF(Z397&gt;=BB397,0,IFERROR(BB397+(SUMPRODUCT((Z$4:Z$503&gt;=BB$4:BB$503)*(Z$4:Z$503-BB$4:BB$503))/MAX(1,COUNTIF(Z$4:Z$503,"&lt;"&amp;BB397+0.01))),BB397))</f>
        <v>10695.5432177778</v>
      </c>
      <c r="BQ397" s="92" t="n">
        <f aca="false">IF(AA397&gt;=BC397,0,IFERROR(BC397+SUMPRODUCT((AA$4:AA$503&gt;=BC$4:BC$503)*(AA$4:AA$503-BC$4:BC$503))/MAX(1,COUNTIF(AA$4:AA$503,"&lt;"&amp;BC397+0.01)),BC397))</f>
        <v>2238.46589176471</v>
      </c>
      <c r="BR397" s="92" t="n">
        <f aca="false">IF(AB397&gt;=BD397,0,IFERROR(BD397+SUMPRODUCT((AB$4:AB$503&gt;=BD$4:BD$503)*(AB$4:AB$503-BD$4:BD$503))/MAX(1,COUNTIF(AB$4:AB$503,"&lt;"&amp;BD397+0.01)),BD397))</f>
        <v>3335.2938</v>
      </c>
      <c r="BS397" s="92" t="n">
        <f aca="false">IF(AC397&gt;=BE397,0,IFERROR(BE397+SUMPRODUCT((AC$4:AC$503&gt;=BE$4:BE$503)*(AC$4:AC$503-BE$4:BE$503))/MAX(1,COUNTIF(AC$4:AC$503,"&lt;"&amp;BE397+0.01)),BE397))</f>
        <v>6188.73352</v>
      </c>
      <c r="BT397" s="92" t="n">
        <f aca="false">IF(AD397&gt;=BF397,0,IFERROR(BF397+SUMPRODUCT((AD$4:AD$503&gt;=BF$4:BF$503)*(AD$4:AD$503-BF$4:BF$503))/MAX(1,COUNTIF(AD$4:AD$503,"&lt;"&amp;BF397+0.01)),BF397))</f>
        <v>11354.35411</v>
      </c>
      <c r="BU397" s="92" t="n">
        <f aca="false">IF(AE397&gt;=BG397,0,IFERROR(BG397+SUMPRODUCT((AE$4:AE$503&gt;=BG$4:BG$503)*(AE$4:AE$503-BG$4:BG$503))/MAX(1,COUNTIF(AE$4:AE$503,"&lt;"&amp;BG397+0.01)),BG397))</f>
        <v>7704.85920380952</v>
      </c>
      <c r="BV397" s="92" t="n">
        <f aca="false">IF(AF397&gt;=BH397,0,IFERROR(BH397+SUMPRODUCT((AF$4:AF$503&gt;=BH$4:BH$503)*(AF$4:AF$503-BH$4:BH$503))/MAX(1,COUNTIF(AF$4:AF$503,"&lt;"&amp;BH397+0.01)),BH397))</f>
        <v>9942.6503831579</v>
      </c>
      <c r="BW397" s="92" t="n">
        <f aca="false">IF(AG397&gt;=BI397,0,IFERROR(BI397+SUMPRODUCT((AG$4:AG$503&gt;=BI$4:BI$503)*(AG$4:AG$503-BI$4:BI$503))/MAX(1,COUNTIF(AG$4:AG$503,"&lt;"&amp;BI397+0.01)),BI397))</f>
        <v>9142.15870461538</v>
      </c>
      <c r="BX397" s="92" t="n">
        <f aca="false">IF(AH397&gt;=BJ397,0,IFERROR(BJ397+SUMPRODUCT((AH$4:AH$503&gt;=BJ$4:BJ$503)*(AH$4:AH$503-BJ$4:BJ$503))/MAX(1,COUNTIF(AH$4:AH$503,"&lt;"&amp;BJ397+0.01)),BJ397))</f>
        <v>5621.50263448276</v>
      </c>
      <c r="BY397" s="92" t="n">
        <f aca="false">IF(AI397&gt;=BK397,0,IFERROR(BK397+SUMPRODUCT((AI$4:AI$503&gt;=BK$4:BK$503)*(AI$4:AI$503-BK$4:BK$503))/MAX(1,COUNTIF(AI$4:AI$503,"&lt;"&amp;BK397+0.01)),BK397))</f>
        <v>0</v>
      </c>
      <c r="BZ397" s="92" t="n">
        <f aca="false">IF(AJ397&gt;=BL397,0,IFERROR(BL397+SUMPRODUCT((AJ$4:AJ$503&gt;=BL$4:BL$503)*(AJ$4:AJ$503-BL$4:BL$503))/MAX(1,COUNTIF(AJ$4:AJ$503,"&lt;"&amp;BL397+0.01)),BL397))</f>
        <v>6710.03292307692</v>
      </c>
      <c r="CA397" s="92" t="n">
        <f aca="false">IF(AK397&gt;=BM397,0,IFERROR(BM397+SUMPRODUCT((AK$4:AK$503&gt;=BM$4:BM$503)*(AK$4:AK$503-BM$4:BM$503))/MAX(1,COUNTIF(AK$4:AK$503,"&lt;"&amp;BM397+0.01)),BM397))</f>
        <v>7314.89836842105</v>
      </c>
      <c r="CB397" s="93" t="n">
        <f aca="false">IF(AL397&gt;=BN397,0,IFERROR(BN397+SUMPRODUCT((AL$4:AL$503&gt;=BN$4:BN$503)*(AL$4:AL$503-BN$4:BN$503))/MAX(1,COUNTIF(AL$4:AL$503,"&lt;"&amp;BN397+0.01)),BN397))</f>
        <v>3597.2614925</v>
      </c>
      <c r="CC397" s="95" t="str">
        <f aca="false">IF(AO397="🟢","VERDE",IF(AO397="🟡","AMARELO",IF(AO397="🟠","VERMELHO",IF(AO397="🔴","VERMELHO","ROXO"))))</f>
        <v>AMARELO</v>
      </c>
      <c r="CD397" s="96" t="s">
        <v>176</v>
      </c>
      <c r="CE397" s="96" t="s">
        <v>110</v>
      </c>
    </row>
    <row r="398" customFormat="false" ht="14.25" hidden="false" customHeight="true" outlineLevel="0" collapsed="false">
      <c r="A398" s="65" t="s">
        <v>929</v>
      </c>
      <c r="B398" s="66" t="s">
        <v>930</v>
      </c>
      <c r="C398" s="67" t="s">
        <v>149</v>
      </c>
      <c r="D398" s="68" t="s">
        <v>100</v>
      </c>
      <c r="E398" s="69" t="s">
        <v>119</v>
      </c>
      <c r="F398" s="70" t="n">
        <f aca="false">IFERROR(VLOOKUP(C398,$AS$3:$AT$10,2,FALSE()),IFERROR(VLOOKUP(C398,$AS$15:$AT$22,2,FALSE()),""))</f>
        <v>29</v>
      </c>
      <c r="G398" s="71" t="n">
        <f aca="false">IFERROR(VLOOKUP(C398,$AS$3:$AX$10,6,FALSE()),IFERROR(VLOOKUP(C398,$AS$15:$AX$22,6,FALSE()),""))</f>
        <v>0.425845065256079</v>
      </c>
      <c r="H398" s="72" t="str">
        <f aca="false">IFERROR(VLOOKUP(C398,$AS$3:$AY$10,7,FALSE()),IFERROR(VLOOKUP(C398,$AS$15:$AY$22,7,FALSE()),""))</f>
        <v>🟡 AMARELO</v>
      </c>
      <c r="I398" s="72" t="str">
        <f aca="false">IFERROR(VLOOKUP(C398,$AS$3:$AZ$10,8,FALSE()),IFERROR(VLOOKUP(C398,$AS$15:$AZ$22,8,FALSE()),""))</f>
        <v>Sell Out</v>
      </c>
      <c r="J398" s="73"/>
      <c r="K398" s="69" t="s">
        <v>149</v>
      </c>
      <c r="L398" s="74" t="n">
        <v>2103.69</v>
      </c>
      <c r="M398" s="75" t="n">
        <v>147.83</v>
      </c>
      <c r="N398" s="75" t="n">
        <v>154.48</v>
      </c>
      <c r="O398" s="75" t="n">
        <v>158.2</v>
      </c>
      <c r="P398" s="75" t="n">
        <v>162.32</v>
      </c>
      <c r="Q398" s="75" t="n">
        <v>167.64</v>
      </c>
      <c r="R398" s="75" t="n">
        <v>172.03</v>
      </c>
      <c r="S398" s="75" t="n">
        <v>178.68</v>
      </c>
      <c r="T398" s="75" t="n">
        <v>183.06</v>
      </c>
      <c r="U398" s="75" t="n">
        <v>187.18</v>
      </c>
      <c r="V398" s="75" t="n">
        <v>191.84</v>
      </c>
      <c r="W398" s="75" t="n">
        <v>196.89</v>
      </c>
      <c r="X398" s="76" t="n">
        <v>203.54</v>
      </c>
      <c r="Y398" s="77" t="s">
        <v>20</v>
      </c>
      <c r="Z398" s="78" t="n">
        <f aca="false">SUM(AA398:AL398)</f>
        <v>846</v>
      </c>
      <c r="AA398" s="75"/>
      <c r="AB398" s="75"/>
      <c r="AC398" s="75"/>
      <c r="AD398" s="79" t="n">
        <v>846</v>
      </c>
      <c r="AE398" s="75"/>
      <c r="AF398" s="75"/>
      <c r="AG398" s="75"/>
      <c r="AH398" s="75"/>
      <c r="AI398" s="75"/>
      <c r="AJ398" s="75"/>
      <c r="AK398" s="75"/>
      <c r="AL398" s="76"/>
      <c r="AM398" s="56" t="s">
        <v>20</v>
      </c>
      <c r="AN398" s="80" t="n">
        <f aca="false">IF(L398=0,0,Z398/L398)</f>
        <v>0.402150506966331</v>
      </c>
      <c r="AO398" s="81" t="str">
        <f aca="false">IF(AN398="","",IF(AN398&gt;=0.9,"🟢",IF(AN398&gt;=0.7,"🟡",IF(AN398&gt;=0.5,"🟠","🔴"))))</f>
        <v>🔴</v>
      </c>
      <c r="AP398" s="82" t="n">
        <f aca="false">IF(L398=0,0,L398-Z398)</f>
        <v>1257.69</v>
      </c>
      <c r="AQ398" s="83" t="n">
        <f aca="false">IF(AP398=0,"",RANK(AP398,AP$4:AP$503,0))</f>
        <v>353</v>
      </c>
      <c r="AR398" s="84" t="s">
        <v>20</v>
      </c>
      <c r="AS398" s="141"/>
      <c r="AT398" s="141"/>
      <c r="AU398" s="141"/>
      <c r="AV398" s="141"/>
      <c r="AW398" s="141"/>
      <c r="AX398" s="141"/>
      <c r="AY398" s="142"/>
      <c r="AZ398" s="142"/>
      <c r="BA398" s="56" t="s">
        <v>20</v>
      </c>
      <c r="BB398" s="91" t="n">
        <f aca="false">SUM(L$4:L$503)/COUNTA(A$4:A$503)</f>
        <v>9494.39992</v>
      </c>
      <c r="BC398" s="92" t="n">
        <f aca="false">SUM(M$4:M$503)/COUNTA(A$4:A$503)</f>
        <v>667.20008</v>
      </c>
      <c r="BD398" s="92" t="n">
        <f aca="false">SUM(N$4:N$503)/COUNTA(A$4:A$503)</f>
        <v>697.19996</v>
      </c>
      <c r="BE398" s="92" t="n">
        <f aca="false">SUM(O$4:O$503)/COUNTA(A$4:A$503)</f>
        <v>713.9999</v>
      </c>
      <c r="BF398" s="92" t="n">
        <f aca="false">SUM(P$4:P$503)/COUNTA(A$4:A$503)</f>
        <v>732.59984</v>
      </c>
      <c r="BG398" s="92" t="n">
        <f aca="false">SUM(Q$4:Q$503)/COUNTA(A$4:A$503)</f>
        <v>756.59992</v>
      </c>
      <c r="BH398" s="92" t="n">
        <f aca="false">SUM(R$4:R$503)/COUNTA(A$4:A$503)</f>
        <v>776.40004</v>
      </c>
      <c r="BI398" s="92" t="n">
        <f aca="false">SUM(S$4:S$503)/COUNTA(A$4:A$503)</f>
        <v>806.40012</v>
      </c>
      <c r="BJ398" s="92" t="n">
        <f aca="false">SUM(T$4:T$503)/COUNTA(A$4:A$503)</f>
        <v>826.1999</v>
      </c>
      <c r="BK398" s="92" t="n">
        <f aca="false">SUM(U$4:U$503)/COUNTA(A$4:A$503)</f>
        <v>844.8002</v>
      </c>
      <c r="BL398" s="92" t="n">
        <f aca="false">SUM(V$4:V$503)/COUNTA(A$4:A$503)</f>
        <v>865.7998</v>
      </c>
      <c r="BM398" s="92" t="n">
        <f aca="false">SUM(W$4:W$503)/COUNTA(A$4:A$503)</f>
        <v>888.59982</v>
      </c>
      <c r="BN398" s="93" t="n">
        <f aca="false">SUM(X$4:X$503)/COUNTA(A$4:A$503)</f>
        <v>918.60034</v>
      </c>
      <c r="BO398" s="94" t="s">
        <v>20</v>
      </c>
      <c r="BP398" s="91" t="n">
        <f aca="false">IF(Z398&gt;=BB398,0,IFERROR(BB398+(SUMPRODUCT((Z$4:Z$503&gt;=BB$4:BB$503)*(Z$4:Z$503-BB$4:BB$503))/MAX(1,COUNTIF(Z$4:Z$503,"&lt;"&amp;BB398+0.01))),BB398))</f>
        <v>10695.5432177778</v>
      </c>
      <c r="BQ398" s="92" t="n">
        <f aca="false">IF(AA398&gt;=BC398,0,IFERROR(BC398+SUMPRODUCT((AA$4:AA$503&gt;=BC$4:BC$503)*(AA$4:AA$503-BC$4:BC$503))/MAX(1,COUNTIF(AA$4:AA$503,"&lt;"&amp;BC398+0.01)),BC398))</f>
        <v>2238.46589176471</v>
      </c>
      <c r="BR398" s="92" t="n">
        <f aca="false">IF(AB398&gt;=BD398,0,IFERROR(BD398+SUMPRODUCT((AB$4:AB$503&gt;=BD$4:BD$503)*(AB$4:AB$503-BD$4:BD$503))/MAX(1,COUNTIF(AB$4:AB$503,"&lt;"&amp;BD398+0.01)),BD398))</f>
        <v>3335.2938</v>
      </c>
      <c r="BS398" s="92" t="n">
        <f aca="false">IF(AC398&gt;=BE398,0,IFERROR(BE398+SUMPRODUCT((AC$4:AC$503&gt;=BE$4:BE$503)*(AC$4:AC$503-BE$4:BE$503))/MAX(1,COUNTIF(AC$4:AC$503,"&lt;"&amp;BE398+0.01)),BE398))</f>
        <v>6188.73352</v>
      </c>
      <c r="BT398" s="92" t="n">
        <f aca="false">IF(AD398&gt;=BF398,0,IFERROR(BF398+SUMPRODUCT((AD$4:AD$503&gt;=BF$4:BF$503)*(AD$4:AD$503-BF$4:BF$503))/MAX(1,COUNTIF(AD$4:AD$503,"&lt;"&amp;BF398+0.01)),BF398))</f>
        <v>0</v>
      </c>
      <c r="BU398" s="92" t="n">
        <f aca="false">IF(AE398&gt;=BG398,0,IFERROR(BG398+SUMPRODUCT((AE$4:AE$503&gt;=BG$4:BG$503)*(AE$4:AE$503-BG$4:BG$503))/MAX(1,COUNTIF(AE$4:AE$503,"&lt;"&amp;BG398+0.01)),BG398))</f>
        <v>7704.85920380952</v>
      </c>
      <c r="BV398" s="92" t="n">
        <f aca="false">IF(AF398&gt;=BH398,0,IFERROR(BH398+SUMPRODUCT((AF$4:AF$503&gt;=BH$4:BH$503)*(AF$4:AF$503-BH$4:BH$503))/MAX(1,COUNTIF(AF$4:AF$503,"&lt;"&amp;BH398+0.01)),BH398))</f>
        <v>9942.6503831579</v>
      </c>
      <c r="BW398" s="92" t="n">
        <f aca="false">IF(AG398&gt;=BI398,0,IFERROR(BI398+SUMPRODUCT((AG$4:AG$503&gt;=BI$4:BI$503)*(AG$4:AG$503-BI$4:BI$503))/MAX(1,COUNTIF(AG$4:AG$503,"&lt;"&amp;BI398+0.01)),BI398))</f>
        <v>9142.15870461538</v>
      </c>
      <c r="BX398" s="92" t="n">
        <f aca="false">IF(AH398&gt;=BJ398,0,IFERROR(BJ398+SUMPRODUCT((AH$4:AH$503&gt;=BJ$4:BJ$503)*(AH$4:AH$503-BJ$4:BJ$503))/MAX(1,COUNTIF(AH$4:AH$503,"&lt;"&amp;BJ398+0.01)),BJ398))</f>
        <v>5621.50263448276</v>
      </c>
      <c r="BY398" s="92" t="n">
        <f aca="false">IF(AI398&gt;=BK398,0,IFERROR(BK398+SUMPRODUCT((AI$4:AI$503&gt;=BK$4:BK$503)*(AI$4:AI$503-BK$4:BK$503))/MAX(1,COUNTIF(AI$4:AI$503,"&lt;"&amp;BK398+0.01)),BK398))</f>
        <v>7878.25652380952</v>
      </c>
      <c r="BZ398" s="92" t="n">
        <f aca="false">IF(AJ398&gt;=BL398,0,IFERROR(BL398+SUMPRODUCT((AJ$4:AJ$503&gt;=BL$4:BL$503)*(AJ$4:AJ$503-BL$4:BL$503))/MAX(1,COUNTIF(AJ$4:AJ$503,"&lt;"&amp;BL398+0.01)),BL398))</f>
        <v>6710.03292307692</v>
      </c>
      <c r="CA398" s="92" t="n">
        <f aca="false">IF(AK398&gt;=BM398,0,IFERROR(BM398+SUMPRODUCT((AK$4:AK$503&gt;=BM$4:BM$503)*(AK$4:AK$503-BM$4:BM$503))/MAX(1,COUNTIF(AK$4:AK$503,"&lt;"&amp;BM398+0.01)),BM398))</f>
        <v>7314.89836842105</v>
      </c>
      <c r="CB398" s="93" t="n">
        <f aca="false">IF(AL398&gt;=BN398,0,IFERROR(BN398+SUMPRODUCT((AL$4:AL$503&gt;=BN$4:BN$503)*(AL$4:AL$503-BN$4:BN$503))/MAX(1,COUNTIF(AL$4:AL$503,"&lt;"&amp;BN398+0.01)),BN398))</f>
        <v>3597.2614925</v>
      </c>
      <c r="CC398" s="95" t="str">
        <f aca="false">IF(AO398="🟢","VERDE",IF(AO398="🟡","AMARELO",IF(AO398="🟠","VERMELHO",IF(AO398="🔴","VERMELHO","ROXO"))))</f>
        <v>VERMELHO</v>
      </c>
      <c r="CD398" s="96" t="s">
        <v>103</v>
      </c>
      <c r="CE398" s="96" t="s">
        <v>104</v>
      </c>
    </row>
    <row r="399" customFormat="false" ht="14.25" hidden="false" customHeight="true" outlineLevel="0" collapsed="false">
      <c r="A399" s="65" t="s">
        <v>931</v>
      </c>
      <c r="B399" s="66" t="s">
        <v>932</v>
      </c>
      <c r="C399" s="67" t="s">
        <v>149</v>
      </c>
      <c r="D399" s="68" t="s">
        <v>100</v>
      </c>
      <c r="E399" s="69" t="s">
        <v>119</v>
      </c>
      <c r="F399" s="70" t="n">
        <f aca="false">IFERROR(VLOOKUP(C399,$AS$3:$AT$10,2,FALSE()),IFERROR(VLOOKUP(C399,$AS$15:$AT$22,2,FALSE()),""))</f>
        <v>29</v>
      </c>
      <c r="G399" s="71" t="n">
        <f aca="false">IFERROR(VLOOKUP(C399,$AS$3:$AX$10,6,FALSE()),IFERROR(VLOOKUP(C399,$AS$15:$AX$22,6,FALSE()),""))</f>
        <v>0.425845065256079</v>
      </c>
      <c r="H399" s="72" t="str">
        <f aca="false">IFERROR(VLOOKUP(C399,$AS$3:$AY$10,7,FALSE()),IFERROR(VLOOKUP(C399,$AS$15:$AY$22,7,FALSE()),""))</f>
        <v>🟡 AMARELO</v>
      </c>
      <c r="I399" s="72" t="str">
        <f aca="false">IFERROR(VLOOKUP(C399,$AS$3:$AZ$10,8,FALSE()),IFERROR(VLOOKUP(C399,$AS$15:$AZ$22,8,FALSE()),""))</f>
        <v>Sell Out</v>
      </c>
      <c r="J399" s="73"/>
      <c r="K399" s="69" t="s">
        <v>149</v>
      </c>
      <c r="L399" s="74" t="n">
        <v>2078.06</v>
      </c>
      <c r="M399" s="75" t="n">
        <v>146.03</v>
      </c>
      <c r="N399" s="75" t="n">
        <v>152.6</v>
      </c>
      <c r="O399" s="75" t="n">
        <v>156.27</v>
      </c>
      <c r="P399" s="75" t="n">
        <v>160.35</v>
      </c>
      <c r="Q399" s="75" t="n">
        <v>165.6</v>
      </c>
      <c r="R399" s="75" t="n">
        <v>169.93</v>
      </c>
      <c r="S399" s="75" t="n">
        <v>176.5</v>
      </c>
      <c r="T399" s="75" t="n">
        <v>180.83</v>
      </c>
      <c r="U399" s="75" t="n">
        <v>184.9</v>
      </c>
      <c r="V399" s="75" t="n">
        <v>189.5</v>
      </c>
      <c r="W399" s="75" t="n">
        <v>194.49</v>
      </c>
      <c r="X399" s="76" t="n">
        <v>201.06</v>
      </c>
      <c r="Y399" s="77" t="s">
        <v>20</v>
      </c>
      <c r="Z399" s="78" t="n">
        <f aca="false">SUM(AA399:AL399)</f>
        <v>901.53</v>
      </c>
      <c r="AA399" s="75"/>
      <c r="AB399" s="75"/>
      <c r="AC399" s="75"/>
      <c r="AD399" s="75"/>
      <c r="AE399" s="75"/>
      <c r="AF399" s="75"/>
      <c r="AG399" s="75"/>
      <c r="AH399" s="79" t="n">
        <v>901.53</v>
      </c>
      <c r="AI399" s="75"/>
      <c r="AJ399" s="75"/>
      <c r="AK399" s="75"/>
      <c r="AL399" s="76"/>
      <c r="AM399" s="56" t="s">
        <v>20</v>
      </c>
      <c r="AN399" s="80" t="n">
        <f aca="false">IF(L399=0,0,Z399/L399)</f>
        <v>0.433832516866693</v>
      </c>
      <c r="AO399" s="81" t="str">
        <f aca="false">IF(AN399="","",IF(AN399&gt;=0.9,"🟢",IF(AN399&gt;=0.7,"🟡",IF(AN399&gt;=0.5,"🟠","🔴"))))</f>
        <v>🔴</v>
      </c>
      <c r="AP399" s="82" t="n">
        <f aca="false">IF(L399=0,0,L399-Z399)</f>
        <v>1176.53</v>
      </c>
      <c r="AQ399" s="83" t="n">
        <f aca="false">IF(AP399=0,"",RANK(AP399,AP$4:AP$503,0))</f>
        <v>362</v>
      </c>
      <c r="AR399" s="84" t="s">
        <v>20</v>
      </c>
      <c r="AS399" s="141"/>
      <c r="AT399" s="141"/>
      <c r="AU399" s="141"/>
      <c r="AV399" s="141"/>
      <c r="AW399" s="141"/>
      <c r="AX399" s="141"/>
      <c r="AY399" s="142"/>
      <c r="AZ399" s="142"/>
      <c r="BA399" s="56" t="s">
        <v>20</v>
      </c>
      <c r="BB399" s="91" t="n">
        <f aca="false">SUM(L$4:L$503)/COUNTA(A$4:A$503)</f>
        <v>9494.39992</v>
      </c>
      <c r="BC399" s="92" t="n">
        <f aca="false">SUM(M$4:M$503)/COUNTA(A$4:A$503)</f>
        <v>667.20008</v>
      </c>
      <c r="BD399" s="92" t="n">
        <f aca="false">SUM(N$4:N$503)/COUNTA(A$4:A$503)</f>
        <v>697.19996</v>
      </c>
      <c r="BE399" s="92" t="n">
        <f aca="false">SUM(O$4:O$503)/COUNTA(A$4:A$503)</f>
        <v>713.9999</v>
      </c>
      <c r="BF399" s="92" t="n">
        <f aca="false">SUM(P$4:P$503)/COUNTA(A$4:A$503)</f>
        <v>732.59984</v>
      </c>
      <c r="BG399" s="92" t="n">
        <f aca="false">SUM(Q$4:Q$503)/COUNTA(A$4:A$503)</f>
        <v>756.59992</v>
      </c>
      <c r="BH399" s="92" t="n">
        <f aca="false">SUM(R$4:R$503)/COUNTA(A$4:A$503)</f>
        <v>776.40004</v>
      </c>
      <c r="BI399" s="92" t="n">
        <f aca="false">SUM(S$4:S$503)/COUNTA(A$4:A$503)</f>
        <v>806.40012</v>
      </c>
      <c r="BJ399" s="92" t="n">
        <f aca="false">SUM(T$4:T$503)/COUNTA(A$4:A$503)</f>
        <v>826.1999</v>
      </c>
      <c r="BK399" s="92" t="n">
        <f aca="false">SUM(U$4:U$503)/COUNTA(A$4:A$503)</f>
        <v>844.8002</v>
      </c>
      <c r="BL399" s="92" t="n">
        <f aca="false">SUM(V$4:V$503)/COUNTA(A$4:A$503)</f>
        <v>865.7998</v>
      </c>
      <c r="BM399" s="92" t="n">
        <f aca="false">SUM(W$4:W$503)/COUNTA(A$4:A$503)</f>
        <v>888.59982</v>
      </c>
      <c r="BN399" s="93" t="n">
        <f aca="false">SUM(X$4:X$503)/COUNTA(A$4:A$503)</f>
        <v>918.60034</v>
      </c>
      <c r="BO399" s="94" t="s">
        <v>20</v>
      </c>
      <c r="BP399" s="91" t="n">
        <f aca="false">IF(Z399&gt;=BB399,0,IFERROR(BB399+(SUMPRODUCT((Z$4:Z$503&gt;=BB$4:BB$503)*(Z$4:Z$503-BB$4:BB$503))/MAX(1,COUNTIF(Z$4:Z$503,"&lt;"&amp;BB399+0.01))),BB399))</f>
        <v>10695.5432177778</v>
      </c>
      <c r="BQ399" s="92" t="n">
        <f aca="false">IF(AA399&gt;=BC399,0,IFERROR(BC399+SUMPRODUCT((AA$4:AA$503&gt;=BC$4:BC$503)*(AA$4:AA$503-BC$4:BC$503))/MAX(1,COUNTIF(AA$4:AA$503,"&lt;"&amp;BC399+0.01)),BC399))</f>
        <v>2238.46589176471</v>
      </c>
      <c r="BR399" s="92" t="n">
        <f aca="false">IF(AB399&gt;=BD399,0,IFERROR(BD399+SUMPRODUCT((AB$4:AB$503&gt;=BD$4:BD$503)*(AB$4:AB$503-BD$4:BD$503))/MAX(1,COUNTIF(AB$4:AB$503,"&lt;"&amp;BD399+0.01)),BD399))</f>
        <v>3335.2938</v>
      </c>
      <c r="BS399" s="92" t="n">
        <f aca="false">IF(AC399&gt;=BE399,0,IFERROR(BE399+SUMPRODUCT((AC$4:AC$503&gt;=BE$4:BE$503)*(AC$4:AC$503-BE$4:BE$503))/MAX(1,COUNTIF(AC$4:AC$503,"&lt;"&amp;BE399+0.01)),BE399))</f>
        <v>6188.73352</v>
      </c>
      <c r="BT399" s="92" t="n">
        <f aca="false">IF(AD399&gt;=BF399,0,IFERROR(BF399+SUMPRODUCT((AD$4:AD$503&gt;=BF$4:BF$503)*(AD$4:AD$503-BF$4:BF$503))/MAX(1,COUNTIF(AD$4:AD$503,"&lt;"&amp;BF399+0.01)),BF399))</f>
        <v>11354.35411</v>
      </c>
      <c r="BU399" s="92" t="n">
        <f aca="false">IF(AE399&gt;=BG399,0,IFERROR(BG399+SUMPRODUCT((AE$4:AE$503&gt;=BG$4:BG$503)*(AE$4:AE$503-BG$4:BG$503))/MAX(1,COUNTIF(AE$4:AE$503,"&lt;"&amp;BG399+0.01)),BG399))</f>
        <v>7704.85920380952</v>
      </c>
      <c r="BV399" s="92" t="n">
        <f aca="false">IF(AF399&gt;=BH399,0,IFERROR(BH399+SUMPRODUCT((AF$4:AF$503&gt;=BH$4:BH$503)*(AF$4:AF$503-BH$4:BH$503))/MAX(1,COUNTIF(AF$4:AF$503,"&lt;"&amp;BH399+0.01)),BH399))</f>
        <v>9942.6503831579</v>
      </c>
      <c r="BW399" s="92" t="n">
        <f aca="false">IF(AG399&gt;=BI399,0,IFERROR(BI399+SUMPRODUCT((AG$4:AG$503&gt;=BI$4:BI$503)*(AG$4:AG$503-BI$4:BI$503))/MAX(1,COUNTIF(AG$4:AG$503,"&lt;"&amp;BI399+0.01)),BI399))</f>
        <v>9142.15870461538</v>
      </c>
      <c r="BX399" s="92" t="n">
        <f aca="false">IF(AH399&gt;=BJ399,0,IFERROR(BJ399+SUMPRODUCT((AH$4:AH$503&gt;=BJ$4:BJ$503)*(AH$4:AH$503-BJ$4:BJ$503))/MAX(1,COUNTIF(AH$4:AH$503,"&lt;"&amp;BJ399+0.01)),BJ399))</f>
        <v>0</v>
      </c>
      <c r="BY399" s="92" t="n">
        <f aca="false">IF(AI399&gt;=BK399,0,IFERROR(BK399+SUMPRODUCT((AI$4:AI$503&gt;=BK$4:BK$503)*(AI$4:AI$503-BK$4:BK$503))/MAX(1,COUNTIF(AI$4:AI$503,"&lt;"&amp;BK399+0.01)),BK399))</f>
        <v>7878.25652380952</v>
      </c>
      <c r="BZ399" s="92" t="n">
        <f aca="false">IF(AJ399&gt;=BL399,0,IFERROR(BL399+SUMPRODUCT((AJ$4:AJ$503&gt;=BL$4:BL$503)*(AJ$4:AJ$503-BL$4:BL$503))/MAX(1,COUNTIF(AJ$4:AJ$503,"&lt;"&amp;BL399+0.01)),BL399))</f>
        <v>6710.03292307692</v>
      </c>
      <c r="CA399" s="92" t="n">
        <f aca="false">IF(AK399&gt;=BM399,0,IFERROR(BM399+SUMPRODUCT((AK$4:AK$503&gt;=BM$4:BM$503)*(AK$4:AK$503-BM$4:BM$503))/MAX(1,COUNTIF(AK$4:AK$503,"&lt;"&amp;BM399+0.01)),BM399))</f>
        <v>7314.89836842105</v>
      </c>
      <c r="CB399" s="93" t="n">
        <f aca="false">IF(AL399&gt;=BN399,0,IFERROR(BN399+SUMPRODUCT((AL$4:AL$503&gt;=BN$4:BN$503)*(AL$4:AL$503-BN$4:BN$503))/MAX(1,COUNTIF(AL$4:AL$503,"&lt;"&amp;BN399+0.01)),BN399))</f>
        <v>3597.2614925</v>
      </c>
      <c r="CC399" s="95" t="str">
        <f aca="false">IF(AO399="🟢","VERDE",IF(AO399="🟡","AMARELO",IF(AO399="🟠","VERMELHO",IF(AO399="🔴","VERMELHO","ROXO"))))</f>
        <v>VERMELHO</v>
      </c>
      <c r="CD399" s="96" t="s">
        <v>103</v>
      </c>
      <c r="CE399" s="96" t="s">
        <v>104</v>
      </c>
    </row>
    <row r="400" customFormat="false" ht="14.25" hidden="false" customHeight="true" outlineLevel="0" collapsed="false">
      <c r="A400" s="65" t="s">
        <v>933</v>
      </c>
      <c r="B400" s="66" t="s">
        <v>934</v>
      </c>
      <c r="C400" s="67" t="s">
        <v>158</v>
      </c>
      <c r="D400" s="68" t="s">
        <v>100</v>
      </c>
      <c r="E400" s="69" t="s">
        <v>935</v>
      </c>
      <c r="F400" s="70" t="n">
        <f aca="false">IFERROR(VLOOKUP(C400,$AS$3:$AT$10,2,FALSE()),IFERROR(VLOOKUP(C400,$AS$15:$AT$22,2,FALSE()),""))</f>
        <v>29</v>
      </c>
      <c r="G400" s="71" t="n">
        <f aca="false">IFERROR(VLOOKUP(C400,$AS$3:$AX$10,6,FALSE()),IFERROR(VLOOKUP(C400,$AS$15:$AX$22,6,FALSE()),""))</f>
        <v>0.458564072601712</v>
      </c>
      <c r="H400" s="72" t="str">
        <f aca="false">IFERROR(VLOOKUP(C400,$AS$3:$AY$10,7,FALSE()),IFERROR(VLOOKUP(C400,$AS$15:$AY$22,7,FALSE()),""))</f>
        <v>🟡 AMARELO</v>
      </c>
      <c r="I400" s="72" t="str">
        <f aca="false">IFERROR(VLOOKUP(C400,$AS$3:$AZ$10,8,FALSE()),IFERROR(VLOOKUP(C400,$AS$15:$AZ$22,8,FALSE()),""))</f>
        <v>Sell Out</v>
      </c>
      <c r="J400" s="73"/>
      <c r="K400" s="69" t="s">
        <v>158</v>
      </c>
      <c r="L400" s="74" t="n">
        <v>2065.84</v>
      </c>
      <c r="M400" s="75" t="n">
        <v>145.17</v>
      </c>
      <c r="N400" s="75" t="n">
        <v>151.7</v>
      </c>
      <c r="O400" s="75" t="n">
        <v>155.36</v>
      </c>
      <c r="P400" s="75" t="n">
        <v>159.4</v>
      </c>
      <c r="Q400" s="75" t="n">
        <v>164.62</v>
      </c>
      <c r="R400" s="75" t="n">
        <v>168.93</v>
      </c>
      <c r="S400" s="75" t="n">
        <v>175.46</v>
      </c>
      <c r="T400" s="75" t="n">
        <v>179.77</v>
      </c>
      <c r="U400" s="75" t="n">
        <v>183.82</v>
      </c>
      <c r="V400" s="75" t="n">
        <v>188.39</v>
      </c>
      <c r="W400" s="75" t="n">
        <v>193.35</v>
      </c>
      <c r="X400" s="76" t="n">
        <v>199.87</v>
      </c>
      <c r="Y400" s="77" t="s">
        <v>20</v>
      </c>
      <c r="Z400" s="78" t="n">
        <f aca="false">SUM(AA400:AL400)</f>
        <v>830.78</v>
      </c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107" t="n">
        <v>830.78</v>
      </c>
      <c r="AM400" s="56" t="s">
        <v>20</v>
      </c>
      <c r="AN400" s="80" t="n">
        <f aca="false">IF(L400=0,0,Z400/L400)</f>
        <v>0.402151183053867</v>
      </c>
      <c r="AO400" s="81" t="str">
        <f aca="false">IF(AN400="","",IF(AN400&gt;=0.9,"🟢",IF(AN400&gt;=0.7,"🟡",IF(AN400&gt;=0.5,"🟠","🔴"))))</f>
        <v>🔴</v>
      </c>
      <c r="AP400" s="82" t="n">
        <f aca="false">IF(L400=0,0,L400-Z400)</f>
        <v>1235.06</v>
      </c>
      <c r="AQ400" s="83" t="n">
        <f aca="false">IF(AP400=0,"",RANK(AP400,AP$4:AP$503,0))</f>
        <v>354</v>
      </c>
      <c r="AR400" s="84" t="s">
        <v>20</v>
      </c>
      <c r="AS400" s="141"/>
      <c r="AT400" s="141"/>
      <c r="AU400" s="141"/>
      <c r="AV400" s="141"/>
      <c r="AW400" s="141"/>
      <c r="AX400" s="141"/>
      <c r="AY400" s="142"/>
      <c r="AZ400" s="142"/>
      <c r="BA400" s="56" t="s">
        <v>20</v>
      </c>
      <c r="BB400" s="91" t="n">
        <f aca="false">SUM(L$4:L$503)/COUNTA(A$4:A$503)</f>
        <v>9494.39992</v>
      </c>
      <c r="BC400" s="92" t="n">
        <f aca="false">SUM(M$4:M$503)/COUNTA(A$4:A$503)</f>
        <v>667.20008</v>
      </c>
      <c r="BD400" s="92" t="n">
        <f aca="false">SUM(N$4:N$503)/COUNTA(A$4:A$503)</f>
        <v>697.19996</v>
      </c>
      <c r="BE400" s="92" t="n">
        <f aca="false">SUM(O$4:O$503)/COUNTA(A$4:A$503)</f>
        <v>713.9999</v>
      </c>
      <c r="BF400" s="92" t="n">
        <f aca="false">SUM(P$4:P$503)/COUNTA(A$4:A$503)</f>
        <v>732.59984</v>
      </c>
      <c r="BG400" s="92" t="n">
        <f aca="false">SUM(Q$4:Q$503)/COUNTA(A$4:A$503)</f>
        <v>756.59992</v>
      </c>
      <c r="BH400" s="92" t="n">
        <f aca="false">SUM(R$4:R$503)/COUNTA(A$4:A$503)</f>
        <v>776.40004</v>
      </c>
      <c r="BI400" s="92" t="n">
        <f aca="false">SUM(S$4:S$503)/COUNTA(A$4:A$503)</f>
        <v>806.40012</v>
      </c>
      <c r="BJ400" s="92" t="n">
        <f aca="false">SUM(T$4:T$503)/COUNTA(A$4:A$503)</f>
        <v>826.1999</v>
      </c>
      <c r="BK400" s="92" t="n">
        <f aca="false">SUM(U$4:U$503)/COUNTA(A$4:A$503)</f>
        <v>844.8002</v>
      </c>
      <c r="BL400" s="92" t="n">
        <f aca="false">SUM(V$4:V$503)/COUNTA(A$4:A$503)</f>
        <v>865.7998</v>
      </c>
      <c r="BM400" s="92" t="n">
        <f aca="false">SUM(W$4:W$503)/COUNTA(A$4:A$503)</f>
        <v>888.59982</v>
      </c>
      <c r="BN400" s="93" t="n">
        <f aca="false">SUM(X$4:X$503)/COUNTA(A$4:A$503)</f>
        <v>918.60034</v>
      </c>
      <c r="BO400" s="94" t="s">
        <v>20</v>
      </c>
      <c r="BP400" s="91" t="n">
        <f aca="false">IF(Z400&gt;=BB400,0,IFERROR(BB400+(SUMPRODUCT((Z$4:Z$503&gt;=BB$4:BB$503)*(Z$4:Z$503-BB$4:BB$503))/MAX(1,COUNTIF(Z$4:Z$503,"&lt;"&amp;BB400+0.01))),BB400))</f>
        <v>10695.5432177778</v>
      </c>
      <c r="BQ400" s="92" t="n">
        <f aca="false">IF(AA400&gt;=BC400,0,IFERROR(BC400+SUMPRODUCT((AA$4:AA$503&gt;=BC$4:BC$503)*(AA$4:AA$503-BC$4:BC$503))/MAX(1,COUNTIF(AA$4:AA$503,"&lt;"&amp;BC400+0.01)),BC400))</f>
        <v>2238.46589176471</v>
      </c>
      <c r="BR400" s="92" t="n">
        <f aca="false">IF(AB400&gt;=BD400,0,IFERROR(BD400+SUMPRODUCT((AB$4:AB$503&gt;=BD$4:BD$503)*(AB$4:AB$503-BD$4:BD$503))/MAX(1,COUNTIF(AB$4:AB$503,"&lt;"&amp;BD400+0.01)),BD400))</f>
        <v>3335.2938</v>
      </c>
      <c r="BS400" s="92" t="n">
        <f aca="false">IF(AC400&gt;=BE400,0,IFERROR(BE400+SUMPRODUCT((AC$4:AC$503&gt;=BE$4:BE$503)*(AC$4:AC$503-BE$4:BE$503))/MAX(1,COUNTIF(AC$4:AC$503,"&lt;"&amp;BE400+0.01)),BE400))</f>
        <v>6188.73352</v>
      </c>
      <c r="BT400" s="92" t="n">
        <f aca="false">IF(AD400&gt;=BF400,0,IFERROR(BF400+SUMPRODUCT((AD$4:AD$503&gt;=BF$4:BF$503)*(AD$4:AD$503-BF$4:BF$503))/MAX(1,COUNTIF(AD$4:AD$503,"&lt;"&amp;BF400+0.01)),BF400))</f>
        <v>11354.35411</v>
      </c>
      <c r="BU400" s="92" t="n">
        <f aca="false">IF(AE400&gt;=BG400,0,IFERROR(BG400+SUMPRODUCT((AE$4:AE$503&gt;=BG$4:BG$503)*(AE$4:AE$503-BG$4:BG$503))/MAX(1,COUNTIF(AE$4:AE$503,"&lt;"&amp;BG400+0.01)),BG400))</f>
        <v>7704.85920380952</v>
      </c>
      <c r="BV400" s="92" t="n">
        <f aca="false">IF(AF400&gt;=BH400,0,IFERROR(BH400+SUMPRODUCT((AF$4:AF$503&gt;=BH$4:BH$503)*(AF$4:AF$503-BH$4:BH$503))/MAX(1,COUNTIF(AF$4:AF$503,"&lt;"&amp;BH400+0.01)),BH400))</f>
        <v>9942.6503831579</v>
      </c>
      <c r="BW400" s="92" t="n">
        <f aca="false">IF(AG400&gt;=BI400,0,IFERROR(BI400+SUMPRODUCT((AG$4:AG$503&gt;=BI$4:BI$503)*(AG$4:AG$503-BI$4:BI$503))/MAX(1,COUNTIF(AG$4:AG$503,"&lt;"&amp;BI400+0.01)),BI400))</f>
        <v>9142.15870461538</v>
      </c>
      <c r="BX400" s="92" t="n">
        <f aca="false">IF(AH400&gt;=BJ400,0,IFERROR(BJ400+SUMPRODUCT((AH$4:AH$503&gt;=BJ$4:BJ$503)*(AH$4:AH$503-BJ$4:BJ$503))/MAX(1,COUNTIF(AH$4:AH$503,"&lt;"&amp;BJ400+0.01)),BJ400))</f>
        <v>5621.50263448276</v>
      </c>
      <c r="BY400" s="92" t="n">
        <f aca="false">IF(AI400&gt;=BK400,0,IFERROR(BK400+SUMPRODUCT((AI$4:AI$503&gt;=BK$4:BK$503)*(AI$4:AI$503-BK$4:BK$503))/MAX(1,COUNTIF(AI$4:AI$503,"&lt;"&amp;BK400+0.01)),BK400))</f>
        <v>7878.25652380952</v>
      </c>
      <c r="BZ400" s="92" t="n">
        <f aca="false">IF(AJ400&gt;=BL400,0,IFERROR(BL400+SUMPRODUCT((AJ$4:AJ$503&gt;=BL$4:BL$503)*(AJ$4:AJ$503-BL$4:BL$503))/MAX(1,COUNTIF(AJ$4:AJ$503,"&lt;"&amp;BL400+0.01)),BL400))</f>
        <v>6710.03292307692</v>
      </c>
      <c r="CA400" s="92" t="n">
        <f aca="false">IF(AK400&gt;=BM400,0,IFERROR(BM400+SUMPRODUCT((AK$4:AK$503&gt;=BM$4:BM$503)*(AK$4:AK$503-BM$4:BM$503))/MAX(1,COUNTIF(AK$4:AK$503,"&lt;"&amp;BM400+0.01)),BM400))</f>
        <v>7314.89836842105</v>
      </c>
      <c r="CB400" s="93" t="n">
        <f aca="false">IF(AL400&gt;=BN400,0,IFERROR(BN400+SUMPRODUCT((AL$4:AL$503&gt;=BN$4:BN$503)*(AL$4:AL$503-BN$4:BN$503))/MAX(1,COUNTIF(AL$4:AL$503,"&lt;"&amp;BN400+0.01)),BN400))</f>
        <v>3597.2614925</v>
      </c>
      <c r="CC400" s="95" t="str">
        <f aca="false">IF(AO400="🟢","VERDE",IF(AO400="🟡","AMARELO",IF(AO400="🟠","VERMELHO",IF(AO400="🔴","VERMELHO","ROXO"))))</f>
        <v>VERMELHO</v>
      </c>
      <c r="CD400" s="96" t="s">
        <v>103</v>
      </c>
      <c r="CE400" s="96" t="s">
        <v>104</v>
      </c>
    </row>
    <row r="401" customFormat="false" ht="14.25" hidden="false" customHeight="true" outlineLevel="0" collapsed="false">
      <c r="A401" s="65" t="s">
        <v>936</v>
      </c>
      <c r="B401" s="66" t="s">
        <v>937</v>
      </c>
      <c r="C401" s="67" t="s">
        <v>158</v>
      </c>
      <c r="D401" s="68" t="s">
        <v>100</v>
      </c>
      <c r="E401" s="69" t="s">
        <v>187</v>
      </c>
      <c r="F401" s="70" t="n">
        <f aca="false">IFERROR(VLOOKUP(C401,$AS$3:$AT$10,2,FALSE()),IFERROR(VLOOKUP(C401,$AS$15:$AT$22,2,FALSE()),""))</f>
        <v>29</v>
      </c>
      <c r="G401" s="71" t="n">
        <f aca="false">IFERROR(VLOOKUP(C401,$AS$3:$AX$10,6,FALSE()),IFERROR(VLOOKUP(C401,$AS$15:$AX$22,6,FALSE()),""))</f>
        <v>0.458564072601712</v>
      </c>
      <c r="H401" s="72" t="str">
        <f aca="false">IFERROR(VLOOKUP(C401,$AS$3:$AY$10,7,FALSE()),IFERROR(VLOOKUP(C401,$AS$15:$AY$22,7,FALSE()),""))</f>
        <v>🟡 AMARELO</v>
      </c>
      <c r="I401" s="72" t="str">
        <f aca="false">IFERROR(VLOOKUP(C401,$AS$3:$AZ$10,8,FALSE()),IFERROR(VLOOKUP(C401,$AS$15:$AZ$22,8,FALSE()),""))</f>
        <v>Sell Out</v>
      </c>
      <c r="J401" s="73"/>
      <c r="K401" s="69" t="s">
        <v>158</v>
      </c>
      <c r="L401" s="74" t="n">
        <v>2060.09</v>
      </c>
      <c r="M401" s="75" t="n">
        <v>144.77</v>
      </c>
      <c r="N401" s="75" t="n">
        <v>151.28</v>
      </c>
      <c r="O401" s="75" t="n">
        <v>154.92</v>
      </c>
      <c r="P401" s="75" t="n">
        <v>158.96</v>
      </c>
      <c r="Q401" s="75" t="n">
        <v>164.17</v>
      </c>
      <c r="R401" s="75" t="n">
        <v>168.46</v>
      </c>
      <c r="S401" s="75" t="n">
        <v>174.97</v>
      </c>
      <c r="T401" s="75" t="n">
        <v>179.27</v>
      </c>
      <c r="U401" s="75" t="n">
        <v>183.3</v>
      </c>
      <c r="V401" s="75" t="n">
        <v>187.86</v>
      </c>
      <c r="W401" s="75" t="n">
        <v>192.81</v>
      </c>
      <c r="X401" s="76" t="n">
        <v>199.32</v>
      </c>
      <c r="Y401" s="77" t="s">
        <v>20</v>
      </c>
      <c r="Z401" s="78" t="n">
        <f aca="false">SUM(AA401:AL401)</f>
        <v>852.03</v>
      </c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6" t="n">
        <v>852.03</v>
      </c>
      <c r="AM401" s="56" t="s">
        <v>20</v>
      </c>
      <c r="AN401" s="80" t="n">
        <f aca="false">IF(L401=0,0,Z401/L401)</f>
        <v>0.413588726706115</v>
      </c>
      <c r="AO401" s="81" t="str">
        <f aca="false">IF(AN401="","",IF(AN401&gt;=0.9,"🟢",IF(AN401&gt;=0.7,"🟡",IF(AN401&gt;=0.5,"🟠","🔴"))))</f>
        <v>🔴</v>
      </c>
      <c r="AP401" s="82" t="n">
        <f aca="false">IF(L401=0,0,L401-Z401)</f>
        <v>1208.06</v>
      </c>
      <c r="AQ401" s="83" t="n">
        <f aca="false">IF(AP401=0,"",RANK(AP401,AP$4:AP$503,0))</f>
        <v>359</v>
      </c>
      <c r="AR401" s="84" t="s">
        <v>20</v>
      </c>
      <c r="AS401" s="141"/>
      <c r="AT401" s="141"/>
      <c r="AU401" s="141"/>
      <c r="AV401" s="141"/>
      <c r="AW401" s="141"/>
      <c r="AX401" s="141"/>
      <c r="AY401" s="142"/>
      <c r="AZ401" s="142"/>
      <c r="BA401" s="56" t="s">
        <v>20</v>
      </c>
      <c r="BB401" s="91" t="n">
        <f aca="false">SUM(L$4:L$503)/COUNTA(A$4:A$503)</f>
        <v>9494.39992</v>
      </c>
      <c r="BC401" s="92" t="n">
        <f aca="false">SUM(M$4:M$503)/COUNTA(A$4:A$503)</f>
        <v>667.20008</v>
      </c>
      <c r="BD401" s="92" t="n">
        <f aca="false">SUM(N$4:N$503)/COUNTA(A$4:A$503)</f>
        <v>697.19996</v>
      </c>
      <c r="BE401" s="92" t="n">
        <f aca="false">SUM(O$4:O$503)/COUNTA(A$4:A$503)</f>
        <v>713.9999</v>
      </c>
      <c r="BF401" s="92" t="n">
        <f aca="false">SUM(P$4:P$503)/COUNTA(A$4:A$503)</f>
        <v>732.59984</v>
      </c>
      <c r="BG401" s="92" t="n">
        <f aca="false">SUM(Q$4:Q$503)/COUNTA(A$4:A$503)</f>
        <v>756.59992</v>
      </c>
      <c r="BH401" s="92" t="n">
        <f aca="false">SUM(R$4:R$503)/COUNTA(A$4:A$503)</f>
        <v>776.40004</v>
      </c>
      <c r="BI401" s="92" t="n">
        <f aca="false">SUM(S$4:S$503)/COUNTA(A$4:A$503)</f>
        <v>806.40012</v>
      </c>
      <c r="BJ401" s="92" t="n">
        <f aca="false">SUM(T$4:T$503)/COUNTA(A$4:A$503)</f>
        <v>826.1999</v>
      </c>
      <c r="BK401" s="92" t="n">
        <f aca="false">SUM(U$4:U$503)/COUNTA(A$4:A$503)</f>
        <v>844.8002</v>
      </c>
      <c r="BL401" s="92" t="n">
        <f aca="false">SUM(V$4:V$503)/COUNTA(A$4:A$503)</f>
        <v>865.7998</v>
      </c>
      <c r="BM401" s="92" t="n">
        <f aca="false">SUM(W$4:W$503)/COUNTA(A$4:A$503)</f>
        <v>888.59982</v>
      </c>
      <c r="BN401" s="93" t="n">
        <f aca="false">SUM(X$4:X$503)/COUNTA(A$4:A$503)</f>
        <v>918.60034</v>
      </c>
      <c r="BO401" s="94" t="s">
        <v>20</v>
      </c>
      <c r="BP401" s="91" t="n">
        <f aca="false">IF(Z401&gt;=BB401,0,IFERROR(BB401+(SUMPRODUCT((Z$4:Z$503&gt;=BB$4:BB$503)*(Z$4:Z$503-BB$4:BB$503))/MAX(1,COUNTIF(Z$4:Z$503,"&lt;"&amp;BB401+0.01))),BB401))</f>
        <v>10695.5432177778</v>
      </c>
      <c r="BQ401" s="92" t="n">
        <f aca="false">IF(AA401&gt;=BC401,0,IFERROR(BC401+SUMPRODUCT((AA$4:AA$503&gt;=BC$4:BC$503)*(AA$4:AA$503-BC$4:BC$503))/MAX(1,COUNTIF(AA$4:AA$503,"&lt;"&amp;BC401+0.01)),BC401))</f>
        <v>2238.46589176471</v>
      </c>
      <c r="BR401" s="92" t="n">
        <f aca="false">IF(AB401&gt;=BD401,0,IFERROR(BD401+SUMPRODUCT((AB$4:AB$503&gt;=BD$4:BD$503)*(AB$4:AB$503-BD$4:BD$503))/MAX(1,COUNTIF(AB$4:AB$503,"&lt;"&amp;BD401+0.01)),BD401))</f>
        <v>3335.2938</v>
      </c>
      <c r="BS401" s="92" t="n">
        <f aca="false">IF(AC401&gt;=BE401,0,IFERROR(BE401+SUMPRODUCT((AC$4:AC$503&gt;=BE$4:BE$503)*(AC$4:AC$503-BE$4:BE$503))/MAX(1,COUNTIF(AC$4:AC$503,"&lt;"&amp;BE401+0.01)),BE401))</f>
        <v>6188.73352</v>
      </c>
      <c r="BT401" s="92" t="n">
        <f aca="false">IF(AD401&gt;=BF401,0,IFERROR(BF401+SUMPRODUCT((AD$4:AD$503&gt;=BF$4:BF$503)*(AD$4:AD$503-BF$4:BF$503))/MAX(1,COUNTIF(AD$4:AD$503,"&lt;"&amp;BF401+0.01)),BF401))</f>
        <v>11354.35411</v>
      </c>
      <c r="BU401" s="92" t="n">
        <f aca="false">IF(AE401&gt;=BG401,0,IFERROR(BG401+SUMPRODUCT((AE$4:AE$503&gt;=BG$4:BG$503)*(AE$4:AE$503-BG$4:BG$503))/MAX(1,COUNTIF(AE$4:AE$503,"&lt;"&amp;BG401+0.01)),BG401))</f>
        <v>7704.85920380952</v>
      </c>
      <c r="BV401" s="92" t="n">
        <f aca="false">IF(AF401&gt;=BH401,0,IFERROR(BH401+SUMPRODUCT((AF$4:AF$503&gt;=BH$4:BH$503)*(AF$4:AF$503-BH$4:BH$503))/MAX(1,COUNTIF(AF$4:AF$503,"&lt;"&amp;BH401+0.01)),BH401))</f>
        <v>9942.6503831579</v>
      </c>
      <c r="BW401" s="92" t="n">
        <f aca="false">IF(AG401&gt;=BI401,0,IFERROR(BI401+SUMPRODUCT((AG$4:AG$503&gt;=BI$4:BI$503)*(AG$4:AG$503-BI$4:BI$503))/MAX(1,COUNTIF(AG$4:AG$503,"&lt;"&amp;BI401+0.01)),BI401))</f>
        <v>9142.15870461538</v>
      </c>
      <c r="BX401" s="92" t="n">
        <f aca="false">IF(AH401&gt;=BJ401,0,IFERROR(BJ401+SUMPRODUCT((AH$4:AH$503&gt;=BJ$4:BJ$503)*(AH$4:AH$503-BJ$4:BJ$503))/MAX(1,COUNTIF(AH$4:AH$503,"&lt;"&amp;BJ401+0.01)),BJ401))</f>
        <v>5621.50263448276</v>
      </c>
      <c r="BY401" s="92" t="n">
        <f aca="false">IF(AI401&gt;=BK401,0,IFERROR(BK401+SUMPRODUCT((AI$4:AI$503&gt;=BK$4:BK$503)*(AI$4:AI$503-BK$4:BK$503))/MAX(1,COUNTIF(AI$4:AI$503,"&lt;"&amp;BK401+0.01)),BK401))</f>
        <v>7878.25652380952</v>
      </c>
      <c r="BZ401" s="92" t="n">
        <f aca="false">IF(AJ401&gt;=BL401,0,IFERROR(BL401+SUMPRODUCT((AJ$4:AJ$503&gt;=BL$4:BL$503)*(AJ$4:AJ$503-BL$4:BL$503))/MAX(1,COUNTIF(AJ$4:AJ$503,"&lt;"&amp;BL401+0.01)),BL401))</f>
        <v>6710.03292307692</v>
      </c>
      <c r="CA401" s="92" t="n">
        <f aca="false">IF(AK401&gt;=BM401,0,IFERROR(BM401+SUMPRODUCT((AK$4:AK$503&gt;=BM$4:BM$503)*(AK$4:AK$503-BM$4:BM$503))/MAX(1,COUNTIF(AK$4:AK$503,"&lt;"&amp;BM401+0.01)),BM401))</f>
        <v>7314.89836842105</v>
      </c>
      <c r="CB401" s="93" t="n">
        <f aca="false">IF(AL401&gt;=BN401,0,IFERROR(BN401+SUMPRODUCT((AL$4:AL$503&gt;=BN$4:BN$503)*(AL$4:AL$503-BN$4:BN$503))/MAX(1,COUNTIF(AL$4:AL$503,"&lt;"&amp;BN401+0.01)),BN401))</f>
        <v>3597.2614925</v>
      </c>
      <c r="CC401" s="95" t="str">
        <f aca="false">IF(AO401="🟢","VERDE",IF(AO401="🟡","AMARELO",IF(AO401="🟠","VERMELHO",IF(AO401="🔴","VERMELHO","ROXO"))))</f>
        <v>VERMELHO</v>
      </c>
      <c r="CD401" s="96" t="s">
        <v>103</v>
      </c>
      <c r="CE401" s="96" t="s">
        <v>104</v>
      </c>
    </row>
    <row r="402" customFormat="false" ht="14.25" hidden="false" customHeight="true" outlineLevel="0" collapsed="false">
      <c r="A402" s="65" t="s">
        <v>938</v>
      </c>
      <c r="B402" s="66" t="s">
        <v>939</v>
      </c>
      <c r="C402" s="67" t="s">
        <v>123</v>
      </c>
      <c r="D402" s="68" t="s">
        <v>108</v>
      </c>
      <c r="E402" s="56" t="s">
        <v>20</v>
      </c>
      <c r="F402" s="70" t="n">
        <f aca="false">IFERROR(VLOOKUP(C402,$AS$3:$AT$10,2,FALSE()),IFERROR(VLOOKUP(C402,$AS$15:$AT$22,2,FALSE()),""))</f>
        <v>49</v>
      </c>
      <c r="G402" s="71" t="n">
        <f aca="false">IFERROR(VLOOKUP(C402,$AS$3:$AX$10,6,FALSE()),IFERROR(VLOOKUP(C402,$AS$15:$AX$22,6,FALSE()),""))</f>
        <v>0.436391353881959</v>
      </c>
      <c r="H402" s="72" t="str">
        <f aca="false">IFERROR(VLOOKUP(C402,$AS$3:$AY$10,7,FALSE()),IFERROR(VLOOKUP(C402,$AS$15:$AY$22,7,FALSE()),""))</f>
        <v>🟡 AMARELO</v>
      </c>
      <c r="I402" s="72" t="str">
        <f aca="false">IFERROR(VLOOKUP(C402,$AS$3:$AZ$10,8,FALSE()),IFERROR(VLOOKUP(C402,$AS$15:$AZ$22,8,FALSE()),""))</f>
        <v>Sell Out</v>
      </c>
      <c r="J402" s="73"/>
      <c r="K402" s="56" t="s">
        <v>20</v>
      </c>
      <c r="L402" s="74" t="n">
        <v>2052.21</v>
      </c>
      <c r="M402" s="75" t="n">
        <v>144.22</v>
      </c>
      <c r="N402" s="75" t="n">
        <v>150.7</v>
      </c>
      <c r="O402" s="75" t="n">
        <v>154.33</v>
      </c>
      <c r="P402" s="75" t="n">
        <v>158.35</v>
      </c>
      <c r="Q402" s="75" t="n">
        <v>163.54</v>
      </c>
      <c r="R402" s="75" t="n">
        <v>167.82</v>
      </c>
      <c r="S402" s="75" t="n">
        <v>174.3</v>
      </c>
      <c r="T402" s="75" t="n">
        <v>178.58</v>
      </c>
      <c r="U402" s="75" t="n">
        <v>182.6</v>
      </c>
      <c r="V402" s="75" t="n">
        <v>187.14</v>
      </c>
      <c r="W402" s="75" t="n">
        <v>192.07</v>
      </c>
      <c r="X402" s="76" t="n">
        <v>198.56</v>
      </c>
      <c r="Y402" s="77" t="s">
        <v>20</v>
      </c>
      <c r="Z402" s="78" t="n">
        <f aca="false">SUM(AA402:AL402)</f>
        <v>853.74</v>
      </c>
      <c r="AA402" s="75"/>
      <c r="AB402" s="75"/>
      <c r="AC402" s="75"/>
      <c r="AD402" s="75"/>
      <c r="AE402" s="75"/>
      <c r="AF402" s="75"/>
      <c r="AG402" s="75" t="n">
        <v>853.74</v>
      </c>
      <c r="AH402" s="75"/>
      <c r="AI402" s="75"/>
      <c r="AJ402" s="75"/>
      <c r="AK402" s="75"/>
      <c r="AL402" s="76"/>
      <c r="AM402" s="56" t="s">
        <v>20</v>
      </c>
      <c r="AN402" s="80" t="n">
        <f aca="false">IF(L402=0,0,Z402/L402)</f>
        <v>0.416010057450261</v>
      </c>
      <c r="AO402" s="81" t="str">
        <f aca="false">IF(AN402="","",IF(AN402&gt;=0.9,"🟢",IF(AN402&gt;=0.7,"🟡",IF(AN402&gt;=0.5,"🟠","🔴"))))</f>
        <v>🔴</v>
      </c>
      <c r="AP402" s="82" t="n">
        <f aca="false">IF(L402=0,0,L402-Z402)</f>
        <v>1198.47</v>
      </c>
      <c r="AQ402" s="83" t="n">
        <f aca="false">IF(AP402=0,"",RANK(AP402,AP$4:AP$503,0))</f>
        <v>361</v>
      </c>
      <c r="AR402" s="84" t="s">
        <v>20</v>
      </c>
      <c r="AS402" s="141"/>
      <c r="AT402" s="141"/>
      <c r="AU402" s="141"/>
      <c r="AV402" s="141"/>
      <c r="AW402" s="141"/>
      <c r="AX402" s="141"/>
      <c r="AY402" s="142"/>
      <c r="AZ402" s="142"/>
      <c r="BA402" s="56" t="s">
        <v>20</v>
      </c>
      <c r="BB402" s="91" t="n">
        <f aca="false">SUM(L$4:L$503)/COUNTA(A$4:A$503)</f>
        <v>9494.39992</v>
      </c>
      <c r="BC402" s="92" t="n">
        <f aca="false">SUM(M$4:M$503)/COUNTA(A$4:A$503)</f>
        <v>667.20008</v>
      </c>
      <c r="BD402" s="92" t="n">
        <f aca="false">SUM(N$4:N$503)/COUNTA(A$4:A$503)</f>
        <v>697.19996</v>
      </c>
      <c r="BE402" s="92" t="n">
        <f aca="false">SUM(O$4:O$503)/COUNTA(A$4:A$503)</f>
        <v>713.9999</v>
      </c>
      <c r="BF402" s="92" t="n">
        <f aca="false">SUM(P$4:P$503)/COUNTA(A$4:A$503)</f>
        <v>732.59984</v>
      </c>
      <c r="BG402" s="92" t="n">
        <f aca="false">SUM(Q$4:Q$503)/COUNTA(A$4:A$503)</f>
        <v>756.59992</v>
      </c>
      <c r="BH402" s="92" t="n">
        <f aca="false">SUM(R$4:R$503)/COUNTA(A$4:A$503)</f>
        <v>776.40004</v>
      </c>
      <c r="BI402" s="92" t="n">
        <f aca="false">SUM(S$4:S$503)/COUNTA(A$4:A$503)</f>
        <v>806.40012</v>
      </c>
      <c r="BJ402" s="92" t="n">
        <f aca="false">SUM(T$4:T$503)/COUNTA(A$4:A$503)</f>
        <v>826.1999</v>
      </c>
      <c r="BK402" s="92" t="n">
        <f aca="false">SUM(U$4:U$503)/COUNTA(A$4:A$503)</f>
        <v>844.8002</v>
      </c>
      <c r="BL402" s="92" t="n">
        <f aca="false">SUM(V$4:V$503)/COUNTA(A$4:A$503)</f>
        <v>865.7998</v>
      </c>
      <c r="BM402" s="92" t="n">
        <f aca="false">SUM(W$4:W$503)/COUNTA(A$4:A$503)</f>
        <v>888.59982</v>
      </c>
      <c r="BN402" s="93" t="n">
        <f aca="false">SUM(X$4:X$503)/COUNTA(A$4:A$503)</f>
        <v>918.60034</v>
      </c>
      <c r="BO402" s="94" t="s">
        <v>20</v>
      </c>
      <c r="BP402" s="91" t="n">
        <f aca="false">IF(Z402&gt;=BB402,0,IFERROR(BB402+(SUMPRODUCT((Z$4:Z$503&gt;=BB$4:BB$503)*(Z$4:Z$503-BB$4:BB$503))/MAX(1,COUNTIF(Z$4:Z$503,"&lt;"&amp;BB402+0.01))),BB402))</f>
        <v>10695.5432177778</v>
      </c>
      <c r="BQ402" s="92" t="n">
        <f aca="false">IF(AA402&gt;=BC402,0,IFERROR(BC402+SUMPRODUCT((AA$4:AA$503&gt;=BC$4:BC$503)*(AA$4:AA$503-BC$4:BC$503))/MAX(1,COUNTIF(AA$4:AA$503,"&lt;"&amp;BC402+0.01)),BC402))</f>
        <v>2238.46589176471</v>
      </c>
      <c r="BR402" s="92" t="n">
        <f aca="false">IF(AB402&gt;=BD402,0,IFERROR(BD402+SUMPRODUCT((AB$4:AB$503&gt;=BD$4:BD$503)*(AB$4:AB$503-BD$4:BD$503))/MAX(1,COUNTIF(AB$4:AB$503,"&lt;"&amp;BD402+0.01)),BD402))</f>
        <v>3335.2938</v>
      </c>
      <c r="BS402" s="92" t="n">
        <f aca="false">IF(AC402&gt;=BE402,0,IFERROR(BE402+SUMPRODUCT((AC$4:AC$503&gt;=BE$4:BE$503)*(AC$4:AC$503-BE$4:BE$503))/MAX(1,COUNTIF(AC$4:AC$503,"&lt;"&amp;BE402+0.01)),BE402))</f>
        <v>6188.73352</v>
      </c>
      <c r="BT402" s="92" t="n">
        <f aca="false">IF(AD402&gt;=BF402,0,IFERROR(BF402+SUMPRODUCT((AD$4:AD$503&gt;=BF$4:BF$503)*(AD$4:AD$503-BF$4:BF$503))/MAX(1,COUNTIF(AD$4:AD$503,"&lt;"&amp;BF402+0.01)),BF402))</f>
        <v>11354.35411</v>
      </c>
      <c r="BU402" s="92" t="n">
        <f aca="false">IF(AE402&gt;=BG402,0,IFERROR(BG402+SUMPRODUCT((AE$4:AE$503&gt;=BG$4:BG$503)*(AE$4:AE$503-BG$4:BG$503))/MAX(1,COUNTIF(AE$4:AE$503,"&lt;"&amp;BG402+0.01)),BG402))</f>
        <v>7704.85920380952</v>
      </c>
      <c r="BV402" s="92" t="n">
        <f aca="false">IF(AF402&gt;=BH402,0,IFERROR(BH402+SUMPRODUCT((AF$4:AF$503&gt;=BH$4:BH$503)*(AF$4:AF$503-BH$4:BH$503))/MAX(1,COUNTIF(AF$4:AF$503,"&lt;"&amp;BH402+0.01)),BH402))</f>
        <v>9942.6503831579</v>
      </c>
      <c r="BW402" s="92" t="n">
        <f aca="false">IF(AG402&gt;=BI402,0,IFERROR(BI402+SUMPRODUCT((AG$4:AG$503&gt;=BI$4:BI$503)*(AG$4:AG$503-BI$4:BI$503))/MAX(1,COUNTIF(AG$4:AG$503,"&lt;"&amp;BI402+0.01)),BI402))</f>
        <v>0</v>
      </c>
      <c r="BX402" s="92" t="n">
        <f aca="false">IF(AH402&gt;=BJ402,0,IFERROR(BJ402+SUMPRODUCT((AH$4:AH$503&gt;=BJ$4:BJ$503)*(AH$4:AH$503-BJ$4:BJ$503))/MAX(1,COUNTIF(AH$4:AH$503,"&lt;"&amp;BJ402+0.01)),BJ402))</f>
        <v>5621.50263448276</v>
      </c>
      <c r="BY402" s="92" t="n">
        <f aca="false">IF(AI402&gt;=BK402,0,IFERROR(BK402+SUMPRODUCT((AI$4:AI$503&gt;=BK$4:BK$503)*(AI$4:AI$503-BK$4:BK$503))/MAX(1,COUNTIF(AI$4:AI$503,"&lt;"&amp;BK402+0.01)),BK402))</f>
        <v>7878.25652380952</v>
      </c>
      <c r="BZ402" s="92" t="n">
        <f aca="false">IF(AJ402&gt;=BL402,0,IFERROR(BL402+SUMPRODUCT((AJ$4:AJ$503&gt;=BL$4:BL$503)*(AJ$4:AJ$503-BL$4:BL$503))/MAX(1,COUNTIF(AJ$4:AJ$503,"&lt;"&amp;BL402+0.01)),BL402))</f>
        <v>6710.03292307692</v>
      </c>
      <c r="CA402" s="92" t="n">
        <f aca="false">IF(AK402&gt;=BM402,0,IFERROR(BM402+SUMPRODUCT((AK$4:AK$503&gt;=BM$4:BM$503)*(AK$4:AK$503-BM$4:BM$503))/MAX(1,COUNTIF(AK$4:AK$503,"&lt;"&amp;BM402+0.01)),BM402))</f>
        <v>7314.89836842105</v>
      </c>
      <c r="CB402" s="93" t="n">
        <f aca="false">IF(AL402&gt;=BN402,0,IFERROR(BN402+SUMPRODUCT((AL$4:AL$503&gt;=BN$4:BN$503)*(AL$4:AL$503-BN$4:BN$503))/MAX(1,COUNTIF(AL$4:AL$503,"&lt;"&amp;BN402+0.01)),BN402))</f>
        <v>3597.2614925</v>
      </c>
      <c r="CC402" s="95" t="str">
        <f aca="false">IF(AO402="🟢","VERDE",IF(AO402="🟡","AMARELO",IF(AO402="🟠","VERMELHO",IF(AO402="🔴","VERMELHO","ROXO"))))</f>
        <v>VERMELHO</v>
      </c>
      <c r="CD402" s="96" t="s">
        <v>103</v>
      </c>
      <c r="CE402" s="96" t="s">
        <v>104</v>
      </c>
    </row>
    <row r="403" customFormat="false" ht="14.25" hidden="false" customHeight="true" outlineLevel="0" collapsed="false">
      <c r="A403" s="65" t="s">
        <v>940</v>
      </c>
      <c r="B403" s="66" t="s">
        <v>941</v>
      </c>
      <c r="C403" s="67" t="s">
        <v>107</v>
      </c>
      <c r="D403" s="68" t="s">
        <v>108</v>
      </c>
      <c r="E403" s="69" t="s">
        <v>139</v>
      </c>
      <c r="F403" s="70" t="n">
        <f aca="false">IFERROR(VLOOKUP(C403,$AS$3:$AT$10,2,FALSE()),IFERROR(VLOOKUP(C403,$AS$15:$AT$22,2,FALSE()),""))</f>
        <v>132</v>
      </c>
      <c r="G403" s="71" t="n">
        <f aca="false">IFERROR(VLOOKUP(C403,$AS$3:$AX$10,6,FALSE()),IFERROR(VLOOKUP(C403,$AS$15:$AX$22,6,FALSE()),""))</f>
        <v>0.468190175850689</v>
      </c>
      <c r="H403" s="72" t="str">
        <f aca="false">IFERROR(VLOOKUP(C403,$AS$3:$AY$10,7,FALSE()),IFERROR(VLOOKUP(C403,$AS$15:$AY$22,7,FALSE()),""))</f>
        <v>🟡 AMARELO</v>
      </c>
      <c r="I403" s="72" t="str">
        <f aca="false">IFERROR(VLOOKUP(C403,$AS$3:$AZ$10,8,FALSE()),IFERROR(VLOOKUP(C403,$AS$15:$AZ$22,8,FALSE()),""))</f>
        <v>Sell Out</v>
      </c>
      <c r="J403" s="73"/>
      <c r="K403" s="69" t="s">
        <v>107</v>
      </c>
      <c r="L403" s="74" t="n">
        <v>2050.69</v>
      </c>
      <c r="M403" s="75" t="n">
        <v>144.11</v>
      </c>
      <c r="N403" s="75" t="n">
        <v>150.59</v>
      </c>
      <c r="O403" s="75" t="n">
        <v>154.22</v>
      </c>
      <c r="P403" s="75" t="n">
        <v>158.23</v>
      </c>
      <c r="Q403" s="75" t="n">
        <v>163.42</v>
      </c>
      <c r="R403" s="75" t="n">
        <v>167.69</v>
      </c>
      <c r="S403" s="75" t="n">
        <v>174.17</v>
      </c>
      <c r="T403" s="75" t="n">
        <v>178.45</v>
      </c>
      <c r="U403" s="75" t="n">
        <v>182.47</v>
      </c>
      <c r="V403" s="75" t="n">
        <v>187</v>
      </c>
      <c r="W403" s="75" t="n">
        <v>191.93</v>
      </c>
      <c r="X403" s="76" t="n">
        <v>198.41</v>
      </c>
      <c r="Y403" s="77" t="s">
        <v>20</v>
      </c>
      <c r="Z403" s="78" t="n">
        <f aca="false">SUM(AA403:AL403)</f>
        <v>824.69</v>
      </c>
      <c r="AA403" s="75"/>
      <c r="AB403" s="79" t="n">
        <v>824.69</v>
      </c>
      <c r="AC403" s="75"/>
      <c r="AD403" s="75"/>
      <c r="AE403" s="75"/>
      <c r="AF403" s="75"/>
      <c r="AG403" s="75"/>
      <c r="AH403" s="75"/>
      <c r="AI403" s="75"/>
      <c r="AJ403" s="75"/>
      <c r="AK403" s="75"/>
      <c r="AL403" s="76"/>
      <c r="AM403" s="56" t="s">
        <v>20</v>
      </c>
      <c r="AN403" s="80" t="n">
        <f aca="false">IF(L403=0,0,Z403/L403)</f>
        <v>0.402152446249799</v>
      </c>
      <c r="AO403" s="81" t="str">
        <f aca="false">IF(AN403="","",IF(AN403&gt;=0.9,"🟢",IF(AN403&gt;=0.7,"🟡",IF(AN403&gt;=0.5,"🟠","🔴"))))</f>
        <v>🔴</v>
      </c>
      <c r="AP403" s="82" t="n">
        <f aca="false">IF(L403=0,0,L403-Z403)</f>
        <v>1226</v>
      </c>
      <c r="AQ403" s="83" t="n">
        <f aca="false">IF(AP403=0,"",RANK(AP403,AP$4:AP$503,0))</f>
        <v>357</v>
      </c>
      <c r="AR403" s="84" t="s">
        <v>20</v>
      </c>
      <c r="AS403" s="141"/>
      <c r="AT403" s="141"/>
      <c r="AU403" s="141"/>
      <c r="AV403" s="141"/>
      <c r="AW403" s="141"/>
      <c r="AX403" s="141"/>
      <c r="AY403" s="142"/>
      <c r="AZ403" s="142"/>
      <c r="BA403" s="56" t="s">
        <v>20</v>
      </c>
      <c r="BB403" s="91" t="n">
        <f aca="false">SUM(L$4:L$503)/COUNTA(A$4:A$503)</f>
        <v>9494.39992</v>
      </c>
      <c r="BC403" s="92" t="n">
        <f aca="false">SUM(M$4:M$503)/COUNTA(A$4:A$503)</f>
        <v>667.20008</v>
      </c>
      <c r="BD403" s="92" t="n">
        <f aca="false">SUM(N$4:N$503)/COUNTA(A$4:A$503)</f>
        <v>697.19996</v>
      </c>
      <c r="BE403" s="92" t="n">
        <f aca="false">SUM(O$4:O$503)/COUNTA(A$4:A$503)</f>
        <v>713.9999</v>
      </c>
      <c r="BF403" s="92" t="n">
        <f aca="false">SUM(P$4:P$503)/COUNTA(A$4:A$503)</f>
        <v>732.59984</v>
      </c>
      <c r="BG403" s="92" t="n">
        <f aca="false">SUM(Q$4:Q$503)/COUNTA(A$4:A$503)</f>
        <v>756.59992</v>
      </c>
      <c r="BH403" s="92" t="n">
        <f aca="false">SUM(R$4:R$503)/COUNTA(A$4:A$503)</f>
        <v>776.40004</v>
      </c>
      <c r="BI403" s="92" t="n">
        <f aca="false">SUM(S$4:S$503)/COUNTA(A$4:A$503)</f>
        <v>806.40012</v>
      </c>
      <c r="BJ403" s="92" t="n">
        <f aca="false">SUM(T$4:T$503)/COUNTA(A$4:A$503)</f>
        <v>826.1999</v>
      </c>
      <c r="BK403" s="92" t="n">
        <f aca="false">SUM(U$4:U$503)/COUNTA(A$4:A$503)</f>
        <v>844.8002</v>
      </c>
      <c r="BL403" s="92" t="n">
        <f aca="false">SUM(V$4:V$503)/COUNTA(A$4:A$503)</f>
        <v>865.7998</v>
      </c>
      <c r="BM403" s="92" t="n">
        <f aca="false">SUM(W$4:W$503)/COUNTA(A$4:A$503)</f>
        <v>888.59982</v>
      </c>
      <c r="BN403" s="93" t="n">
        <f aca="false">SUM(X$4:X$503)/COUNTA(A$4:A$503)</f>
        <v>918.60034</v>
      </c>
      <c r="BO403" s="94" t="s">
        <v>20</v>
      </c>
      <c r="BP403" s="91" t="n">
        <f aca="false">IF(Z403&gt;=BB403,0,IFERROR(BB403+(SUMPRODUCT((Z$4:Z$503&gt;=BB$4:BB$503)*(Z$4:Z$503-BB$4:BB$503))/MAX(1,COUNTIF(Z$4:Z$503,"&lt;"&amp;BB403+0.01))),BB403))</f>
        <v>10695.5432177778</v>
      </c>
      <c r="BQ403" s="92" t="n">
        <f aca="false">IF(AA403&gt;=BC403,0,IFERROR(BC403+SUMPRODUCT((AA$4:AA$503&gt;=BC$4:BC$503)*(AA$4:AA$503-BC$4:BC$503))/MAX(1,COUNTIF(AA$4:AA$503,"&lt;"&amp;BC403+0.01)),BC403))</f>
        <v>2238.46589176471</v>
      </c>
      <c r="BR403" s="92" t="n">
        <f aca="false">IF(AB403&gt;=BD403,0,IFERROR(BD403+SUMPRODUCT((AB$4:AB$503&gt;=BD$4:BD$503)*(AB$4:AB$503-BD$4:BD$503))/MAX(1,COUNTIF(AB$4:AB$503,"&lt;"&amp;BD403+0.01)),BD403))</f>
        <v>0</v>
      </c>
      <c r="BS403" s="92" t="n">
        <f aca="false">IF(AC403&gt;=BE403,0,IFERROR(BE403+SUMPRODUCT((AC$4:AC$503&gt;=BE$4:BE$503)*(AC$4:AC$503-BE$4:BE$503))/MAX(1,COUNTIF(AC$4:AC$503,"&lt;"&amp;BE403+0.01)),BE403))</f>
        <v>6188.73352</v>
      </c>
      <c r="BT403" s="92" t="n">
        <f aca="false">IF(AD403&gt;=BF403,0,IFERROR(BF403+SUMPRODUCT((AD$4:AD$503&gt;=BF$4:BF$503)*(AD$4:AD$503-BF$4:BF$503))/MAX(1,COUNTIF(AD$4:AD$503,"&lt;"&amp;BF403+0.01)),BF403))</f>
        <v>11354.35411</v>
      </c>
      <c r="BU403" s="92" t="n">
        <f aca="false">IF(AE403&gt;=BG403,0,IFERROR(BG403+SUMPRODUCT((AE$4:AE$503&gt;=BG$4:BG$503)*(AE$4:AE$503-BG$4:BG$503))/MAX(1,COUNTIF(AE$4:AE$503,"&lt;"&amp;BG403+0.01)),BG403))</f>
        <v>7704.85920380952</v>
      </c>
      <c r="BV403" s="92" t="n">
        <f aca="false">IF(AF403&gt;=BH403,0,IFERROR(BH403+SUMPRODUCT((AF$4:AF$503&gt;=BH$4:BH$503)*(AF$4:AF$503-BH$4:BH$503))/MAX(1,COUNTIF(AF$4:AF$503,"&lt;"&amp;BH403+0.01)),BH403))</f>
        <v>9942.6503831579</v>
      </c>
      <c r="BW403" s="92" t="n">
        <f aca="false">IF(AG403&gt;=BI403,0,IFERROR(BI403+SUMPRODUCT((AG$4:AG$503&gt;=BI$4:BI$503)*(AG$4:AG$503-BI$4:BI$503))/MAX(1,COUNTIF(AG$4:AG$503,"&lt;"&amp;BI403+0.01)),BI403))</f>
        <v>9142.15870461538</v>
      </c>
      <c r="BX403" s="92" t="n">
        <f aca="false">IF(AH403&gt;=BJ403,0,IFERROR(BJ403+SUMPRODUCT((AH$4:AH$503&gt;=BJ$4:BJ$503)*(AH$4:AH$503-BJ$4:BJ$503))/MAX(1,COUNTIF(AH$4:AH$503,"&lt;"&amp;BJ403+0.01)),BJ403))</f>
        <v>5621.50263448276</v>
      </c>
      <c r="BY403" s="92" t="n">
        <f aca="false">IF(AI403&gt;=BK403,0,IFERROR(BK403+SUMPRODUCT((AI$4:AI$503&gt;=BK$4:BK$503)*(AI$4:AI$503-BK$4:BK$503))/MAX(1,COUNTIF(AI$4:AI$503,"&lt;"&amp;BK403+0.01)),BK403))</f>
        <v>7878.25652380952</v>
      </c>
      <c r="BZ403" s="92" t="n">
        <f aca="false">IF(AJ403&gt;=BL403,0,IFERROR(BL403+SUMPRODUCT((AJ$4:AJ$503&gt;=BL$4:BL$503)*(AJ$4:AJ$503-BL$4:BL$503))/MAX(1,COUNTIF(AJ$4:AJ$503,"&lt;"&amp;BL403+0.01)),BL403))</f>
        <v>6710.03292307692</v>
      </c>
      <c r="CA403" s="92" t="n">
        <f aca="false">IF(AK403&gt;=BM403,0,IFERROR(BM403+SUMPRODUCT((AK$4:AK$503&gt;=BM$4:BM$503)*(AK$4:AK$503-BM$4:BM$503))/MAX(1,COUNTIF(AK$4:AK$503,"&lt;"&amp;BM403+0.01)),BM403))</f>
        <v>7314.89836842105</v>
      </c>
      <c r="CB403" s="93" t="n">
        <f aca="false">IF(AL403&gt;=BN403,0,IFERROR(BN403+SUMPRODUCT((AL$4:AL$503&gt;=BN$4:BN$503)*(AL$4:AL$503-BN$4:BN$503))/MAX(1,COUNTIF(AL$4:AL$503,"&lt;"&amp;BN403+0.01)),BN403))</f>
        <v>3597.2614925</v>
      </c>
      <c r="CC403" s="95" t="str">
        <f aca="false">IF(AO403="🟢","VERDE",IF(AO403="🟡","AMARELO",IF(AO403="🟠","VERMELHO",IF(AO403="🔴","VERMELHO","ROXO"))))</f>
        <v>VERMELHO</v>
      </c>
      <c r="CD403" s="96" t="s">
        <v>103</v>
      </c>
      <c r="CE403" s="96" t="s">
        <v>104</v>
      </c>
    </row>
    <row r="404" customFormat="false" ht="14.25" hidden="false" customHeight="true" outlineLevel="0" collapsed="false">
      <c r="A404" s="65" t="s">
        <v>942</v>
      </c>
      <c r="B404" s="66" t="s">
        <v>943</v>
      </c>
      <c r="C404" s="67" t="s">
        <v>113</v>
      </c>
      <c r="D404" s="68" t="s">
        <v>100</v>
      </c>
      <c r="E404" s="69" t="s">
        <v>260</v>
      </c>
      <c r="F404" s="70" t="n">
        <f aca="false">IFERROR(VLOOKUP(C404,$AS$3:$AT$10,2,FALSE()),IFERROR(VLOOKUP(C404,$AS$15:$AT$22,2,FALSE()),""))</f>
        <v>49</v>
      </c>
      <c r="G404" s="71" t="n">
        <f aca="false">IFERROR(VLOOKUP(C404,$AS$3:$AX$10,6,FALSE()),IFERROR(VLOOKUP(C404,$AS$15:$AX$22,6,FALSE()),""))</f>
        <v>0.463965086137302</v>
      </c>
      <c r="H404" s="72" t="str">
        <f aca="false">IFERROR(VLOOKUP(C404,$AS$3:$AY$10,7,FALSE()),IFERROR(VLOOKUP(C404,$AS$15:$AY$22,7,FALSE()),""))</f>
        <v>🟡 AMARELO</v>
      </c>
      <c r="I404" s="72" t="str">
        <f aca="false">IFERROR(VLOOKUP(C404,$AS$3:$AZ$10,8,FALSE()),IFERROR(VLOOKUP(C404,$AS$15:$AZ$22,8,FALSE()),""))</f>
        <v>Sell Out</v>
      </c>
      <c r="J404" s="73"/>
      <c r="K404" s="69" t="s">
        <v>113</v>
      </c>
      <c r="L404" s="74" t="n">
        <v>1979.36</v>
      </c>
      <c r="M404" s="75" t="n">
        <v>139.1</v>
      </c>
      <c r="N404" s="75" t="n">
        <v>145.35</v>
      </c>
      <c r="O404" s="75" t="n">
        <v>148.85</v>
      </c>
      <c r="P404" s="75" t="n">
        <v>152.73</v>
      </c>
      <c r="Q404" s="75" t="n">
        <v>157.73</v>
      </c>
      <c r="R404" s="75" t="n">
        <v>161.86</v>
      </c>
      <c r="S404" s="75" t="n">
        <v>168.12</v>
      </c>
      <c r="T404" s="75" t="n">
        <v>172.24</v>
      </c>
      <c r="U404" s="75" t="n">
        <v>176.12</v>
      </c>
      <c r="V404" s="75" t="n">
        <v>180.5</v>
      </c>
      <c r="W404" s="75" t="n">
        <v>185.25</v>
      </c>
      <c r="X404" s="76" t="n">
        <v>191.51</v>
      </c>
      <c r="Y404" s="77" t="s">
        <v>20</v>
      </c>
      <c r="Z404" s="78" t="n">
        <f aca="false">SUM(AA404:AL404)</f>
        <v>848.4</v>
      </c>
      <c r="AA404" s="75"/>
      <c r="AB404" s="75"/>
      <c r="AC404" s="75"/>
      <c r="AD404" s="75"/>
      <c r="AE404" s="75"/>
      <c r="AF404" s="79" t="n">
        <v>848.4</v>
      </c>
      <c r="AG404" s="75"/>
      <c r="AH404" s="75"/>
      <c r="AI404" s="75"/>
      <c r="AJ404" s="75"/>
      <c r="AK404" s="75"/>
      <c r="AL404" s="76"/>
      <c r="AM404" s="56" t="s">
        <v>20</v>
      </c>
      <c r="AN404" s="80" t="n">
        <f aca="false">IF(L404=0,0,Z404/L404)</f>
        <v>0.428623393420095</v>
      </c>
      <c r="AO404" s="81" t="str">
        <f aca="false">IF(AN404="","",IF(AN404&gt;=0.9,"🟢",IF(AN404&gt;=0.7,"🟡",IF(AN404&gt;=0.5,"🟠","🔴"))))</f>
        <v>🔴</v>
      </c>
      <c r="AP404" s="82" t="n">
        <f aca="false">IF(L404=0,0,L404-Z404)</f>
        <v>1130.96</v>
      </c>
      <c r="AQ404" s="83" t="n">
        <f aca="false">IF(AP404=0,"",RANK(AP404,AP$4:AP$503,0))</f>
        <v>369</v>
      </c>
      <c r="AR404" s="84" t="s">
        <v>20</v>
      </c>
      <c r="AS404" s="141"/>
      <c r="AT404" s="141"/>
      <c r="AU404" s="141"/>
      <c r="AV404" s="141"/>
      <c r="AW404" s="141"/>
      <c r="AX404" s="141"/>
      <c r="AY404" s="142"/>
      <c r="AZ404" s="142"/>
      <c r="BA404" s="56" t="s">
        <v>20</v>
      </c>
      <c r="BB404" s="91" t="n">
        <f aca="false">SUM(L$4:L$503)/COUNTA(A$4:A$503)</f>
        <v>9494.39992</v>
      </c>
      <c r="BC404" s="92" t="n">
        <f aca="false">SUM(M$4:M$503)/COUNTA(A$4:A$503)</f>
        <v>667.20008</v>
      </c>
      <c r="BD404" s="92" t="n">
        <f aca="false">SUM(N$4:N$503)/COUNTA(A$4:A$503)</f>
        <v>697.19996</v>
      </c>
      <c r="BE404" s="92" t="n">
        <f aca="false">SUM(O$4:O$503)/COUNTA(A$4:A$503)</f>
        <v>713.9999</v>
      </c>
      <c r="BF404" s="92" t="n">
        <f aca="false">SUM(P$4:P$503)/COUNTA(A$4:A$503)</f>
        <v>732.59984</v>
      </c>
      <c r="BG404" s="92" t="n">
        <f aca="false">SUM(Q$4:Q$503)/COUNTA(A$4:A$503)</f>
        <v>756.59992</v>
      </c>
      <c r="BH404" s="92" t="n">
        <f aca="false">SUM(R$4:R$503)/COUNTA(A$4:A$503)</f>
        <v>776.40004</v>
      </c>
      <c r="BI404" s="92" t="n">
        <f aca="false">SUM(S$4:S$503)/COUNTA(A$4:A$503)</f>
        <v>806.40012</v>
      </c>
      <c r="BJ404" s="92" t="n">
        <f aca="false">SUM(T$4:T$503)/COUNTA(A$4:A$503)</f>
        <v>826.1999</v>
      </c>
      <c r="BK404" s="92" t="n">
        <f aca="false">SUM(U$4:U$503)/COUNTA(A$4:A$503)</f>
        <v>844.8002</v>
      </c>
      <c r="BL404" s="92" t="n">
        <f aca="false">SUM(V$4:V$503)/COUNTA(A$4:A$503)</f>
        <v>865.7998</v>
      </c>
      <c r="BM404" s="92" t="n">
        <f aca="false">SUM(W$4:W$503)/COUNTA(A$4:A$503)</f>
        <v>888.59982</v>
      </c>
      <c r="BN404" s="93" t="n">
        <f aca="false">SUM(X$4:X$503)/COUNTA(A$4:A$503)</f>
        <v>918.60034</v>
      </c>
      <c r="BO404" s="94" t="s">
        <v>20</v>
      </c>
      <c r="BP404" s="91" t="n">
        <f aca="false">IF(Z404&gt;=BB404,0,IFERROR(BB404+(SUMPRODUCT((Z$4:Z$503&gt;=BB$4:BB$503)*(Z$4:Z$503-BB$4:BB$503))/MAX(1,COUNTIF(Z$4:Z$503,"&lt;"&amp;BB404+0.01))),BB404))</f>
        <v>10695.5432177778</v>
      </c>
      <c r="BQ404" s="92" t="n">
        <f aca="false">IF(AA404&gt;=BC404,0,IFERROR(BC404+SUMPRODUCT((AA$4:AA$503&gt;=BC$4:BC$503)*(AA$4:AA$503-BC$4:BC$503))/MAX(1,COUNTIF(AA$4:AA$503,"&lt;"&amp;BC404+0.01)),BC404))</f>
        <v>2238.46589176471</v>
      </c>
      <c r="BR404" s="92" t="n">
        <f aca="false">IF(AB404&gt;=BD404,0,IFERROR(BD404+SUMPRODUCT((AB$4:AB$503&gt;=BD$4:BD$503)*(AB$4:AB$503-BD$4:BD$503))/MAX(1,COUNTIF(AB$4:AB$503,"&lt;"&amp;BD404+0.01)),BD404))</f>
        <v>3335.2938</v>
      </c>
      <c r="BS404" s="92" t="n">
        <f aca="false">IF(AC404&gt;=BE404,0,IFERROR(BE404+SUMPRODUCT((AC$4:AC$503&gt;=BE$4:BE$503)*(AC$4:AC$503-BE$4:BE$503))/MAX(1,COUNTIF(AC$4:AC$503,"&lt;"&amp;BE404+0.01)),BE404))</f>
        <v>6188.73352</v>
      </c>
      <c r="BT404" s="92" t="n">
        <f aca="false">IF(AD404&gt;=BF404,0,IFERROR(BF404+SUMPRODUCT((AD$4:AD$503&gt;=BF$4:BF$503)*(AD$4:AD$503-BF$4:BF$503))/MAX(1,COUNTIF(AD$4:AD$503,"&lt;"&amp;BF404+0.01)),BF404))</f>
        <v>11354.35411</v>
      </c>
      <c r="BU404" s="92" t="n">
        <f aca="false">IF(AE404&gt;=BG404,0,IFERROR(BG404+SUMPRODUCT((AE$4:AE$503&gt;=BG$4:BG$503)*(AE$4:AE$503-BG$4:BG$503))/MAX(1,COUNTIF(AE$4:AE$503,"&lt;"&amp;BG404+0.01)),BG404))</f>
        <v>7704.85920380952</v>
      </c>
      <c r="BV404" s="92" t="n">
        <f aca="false">IF(AF404&gt;=BH404,0,IFERROR(BH404+SUMPRODUCT((AF$4:AF$503&gt;=BH$4:BH$503)*(AF$4:AF$503-BH$4:BH$503))/MAX(1,COUNTIF(AF$4:AF$503,"&lt;"&amp;BH404+0.01)),BH404))</f>
        <v>0</v>
      </c>
      <c r="BW404" s="92" t="n">
        <f aca="false">IF(AG404&gt;=BI404,0,IFERROR(BI404+SUMPRODUCT((AG$4:AG$503&gt;=BI$4:BI$503)*(AG$4:AG$503-BI$4:BI$503))/MAX(1,COUNTIF(AG$4:AG$503,"&lt;"&amp;BI404+0.01)),BI404))</f>
        <v>9142.15870461538</v>
      </c>
      <c r="BX404" s="92" t="n">
        <f aca="false">IF(AH404&gt;=BJ404,0,IFERROR(BJ404+SUMPRODUCT((AH$4:AH$503&gt;=BJ$4:BJ$503)*(AH$4:AH$503-BJ$4:BJ$503))/MAX(1,COUNTIF(AH$4:AH$503,"&lt;"&amp;BJ404+0.01)),BJ404))</f>
        <v>5621.50263448276</v>
      </c>
      <c r="BY404" s="92" t="n">
        <f aca="false">IF(AI404&gt;=BK404,0,IFERROR(BK404+SUMPRODUCT((AI$4:AI$503&gt;=BK$4:BK$503)*(AI$4:AI$503-BK$4:BK$503))/MAX(1,COUNTIF(AI$4:AI$503,"&lt;"&amp;BK404+0.01)),BK404))</f>
        <v>7878.25652380952</v>
      </c>
      <c r="BZ404" s="92" t="n">
        <f aca="false">IF(AJ404&gt;=BL404,0,IFERROR(BL404+SUMPRODUCT((AJ$4:AJ$503&gt;=BL$4:BL$503)*(AJ$4:AJ$503-BL$4:BL$503))/MAX(1,COUNTIF(AJ$4:AJ$503,"&lt;"&amp;BL404+0.01)),BL404))</f>
        <v>6710.03292307692</v>
      </c>
      <c r="CA404" s="92" t="n">
        <f aca="false">IF(AK404&gt;=BM404,0,IFERROR(BM404+SUMPRODUCT((AK$4:AK$503&gt;=BM$4:BM$503)*(AK$4:AK$503-BM$4:BM$503))/MAX(1,COUNTIF(AK$4:AK$503,"&lt;"&amp;BM404+0.01)),BM404))</f>
        <v>7314.89836842105</v>
      </c>
      <c r="CB404" s="93" t="n">
        <f aca="false">IF(AL404&gt;=BN404,0,IFERROR(BN404+SUMPRODUCT((AL$4:AL$503&gt;=BN$4:BN$503)*(AL$4:AL$503-BN$4:BN$503))/MAX(1,COUNTIF(AL$4:AL$503,"&lt;"&amp;BN404+0.01)),BN404))</f>
        <v>3597.2614925</v>
      </c>
      <c r="CC404" s="95" t="str">
        <f aca="false">IF(AO404="🟢","VERDE",IF(AO404="🟡","AMARELO",IF(AO404="🟠","VERMELHO",IF(AO404="🔴","VERMELHO","ROXO"))))</f>
        <v>VERMELHO</v>
      </c>
      <c r="CD404" s="96" t="s">
        <v>103</v>
      </c>
      <c r="CE404" s="96" t="s">
        <v>104</v>
      </c>
    </row>
    <row r="405" customFormat="false" ht="14.25" hidden="false" customHeight="true" outlineLevel="0" collapsed="false">
      <c r="A405" s="65" t="s">
        <v>944</v>
      </c>
      <c r="B405" s="66" t="s">
        <v>945</v>
      </c>
      <c r="C405" s="66" t="s">
        <v>66</v>
      </c>
      <c r="D405" s="68" t="s">
        <v>175</v>
      </c>
      <c r="E405" s="69" t="s">
        <v>119</v>
      </c>
      <c r="F405" s="70" t="n">
        <f aca="false">IFERROR(VLOOKUP(C405,$AS$3:$AT$10,2,FALSE()),IFERROR(VLOOKUP(C405,$AS$15:$AT$22,2,FALSE()),""))</f>
        <v>44</v>
      </c>
      <c r="G405" s="71" t="n">
        <f aca="false">IFERROR(VLOOKUP(C405,$AS$3:$AX$10,6,FALSE()),IFERROR(VLOOKUP(C405,$AS$15:$AX$22,6,FALSE()),""))</f>
        <v>0.496839506257363</v>
      </c>
      <c r="H405" s="72" t="str">
        <f aca="false">IFERROR(VLOOKUP(C405,$AS$3:$AY$10,7,FALSE()),IFERROR(VLOOKUP(C405,$AS$15:$AY$22,7,FALSE()),""))</f>
        <v>🟡 AMARELO</v>
      </c>
      <c r="I405" s="72" t="str">
        <f aca="false">IFERROR(VLOOKUP(C405,$AS$3:$AZ$10,8,FALSE()),IFERROR(VLOOKUP(C405,$AS$15:$AZ$22,8,FALSE()),""))</f>
        <v>Sell Out</v>
      </c>
      <c r="J405" s="73"/>
      <c r="K405" s="69" t="s">
        <v>118</v>
      </c>
      <c r="L405" s="74" t="n">
        <v>1967.28</v>
      </c>
      <c r="M405" s="75" t="n">
        <v>138.25</v>
      </c>
      <c r="N405" s="75" t="n">
        <v>144.46</v>
      </c>
      <c r="O405" s="75" t="n">
        <v>147.94</v>
      </c>
      <c r="P405" s="75" t="n">
        <v>151.8</v>
      </c>
      <c r="Q405" s="75" t="n">
        <v>156.77</v>
      </c>
      <c r="R405" s="75" t="n">
        <v>160.87</v>
      </c>
      <c r="S405" s="75" t="n">
        <v>167.09</v>
      </c>
      <c r="T405" s="75" t="n">
        <v>171.19</v>
      </c>
      <c r="U405" s="75" t="n">
        <v>175.05</v>
      </c>
      <c r="V405" s="75" t="n">
        <v>179.4</v>
      </c>
      <c r="W405" s="75" t="n">
        <v>184.12</v>
      </c>
      <c r="X405" s="76" t="n">
        <v>190.34</v>
      </c>
      <c r="Y405" s="77" t="s">
        <v>20</v>
      </c>
      <c r="Z405" s="78" t="n">
        <f aca="false">SUM(AA405:AL405)</f>
        <v>791.14</v>
      </c>
      <c r="AA405" s="79" t="n">
        <v>389.85</v>
      </c>
      <c r="AB405" s="75"/>
      <c r="AC405" s="79" t="n">
        <v>401.29</v>
      </c>
      <c r="AD405" s="75"/>
      <c r="AE405" s="75"/>
      <c r="AF405" s="75"/>
      <c r="AG405" s="75"/>
      <c r="AH405" s="75"/>
      <c r="AI405" s="75"/>
      <c r="AJ405" s="75"/>
      <c r="AK405" s="75"/>
      <c r="AL405" s="76"/>
      <c r="AM405" s="56" t="s">
        <v>20</v>
      </c>
      <c r="AN405" s="80" t="n">
        <f aca="false">IF(L405=0,0,Z405/L405)</f>
        <v>0.402149160261884</v>
      </c>
      <c r="AO405" s="81" t="str">
        <f aca="false">IF(AN405="","",IF(AN405&gt;=0.9,"🟢",IF(AN405&gt;=0.7,"🟡",IF(AN405&gt;=0.5,"🟠","🔴"))))</f>
        <v>🔴</v>
      </c>
      <c r="AP405" s="82" t="n">
        <f aca="false">IF(L405=0,0,L405-Z405)</f>
        <v>1176.14</v>
      </c>
      <c r="AQ405" s="83" t="n">
        <f aca="false">IF(AP405=0,"",RANK(AP405,AP$4:AP$503,0))</f>
        <v>363</v>
      </c>
      <c r="AR405" s="84" t="s">
        <v>20</v>
      </c>
      <c r="AS405" s="141"/>
      <c r="AT405" s="141"/>
      <c r="AU405" s="141"/>
      <c r="AV405" s="141"/>
      <c r="AW405" s="141"/>
      <c r="AX405" s="141"/>
      <c r="AY405" s="142"/>
      <c r="AZ405" s="142"/>
      <c r="BA405" s="56" t="s">
        <v>20</v>
      </c>
      <c r="BB405" s="91" t="n">
        <f aca="false">SUM(L$4:L$503)/COUNTA(A$4:A$503)</f>
        <v>9494.39992</v>
      </c>
      <c r="BC405" s="92" t="n">
        <f aca="false">SUM(M$4:M$503)/COUNTA(A$4:A$503)</f>
        <v>667.20008</v>
      </c>
      <c r="BD405" s="92" t="n">
        <f aca="false">SUM(N$4:N$503)/COUNTA(A$4:A$503)</f>
        <v>697.19996</v>
      </c>
      <c r="BE405" s="92" t="n">
        <f aca="false">SUM(O$4:O$503)/COUNTA(A$4:A$503)</f>
        <v>713.9999</v>
      </c>
      <c r="BF405" s="92" t="n">
        <f aca="false">SUM(P$4:P$503)/COUNTA(A$4:A$503)</f>
        <v>732.59984</v>
      </c>
      <c r="BG405" s="92" t="n">
        <f aca="false">SUM(Q$4:Q$503)/COUNTA(A$4:A$503)</f>
        <v>756.59992</v>
      </c>
      <c r="BH405" s="92" t="n">
        <f aca="false">SUM(R$4:R$503)/COUNTA(A$4:A$503)</f>
        <v>776.40004</v>
      </c>
      <c r="BI405" s="92" t="n">
        <f aca="false">SUM(S$4:S$503)/COUNTA(A$4:A$503)</f>
        <v>806.40012</v>
      </c>
      <c r="BJ405" s="92" t="n">
        <f aca="false">SUM(T$4:T$503)/COUNTA(A$4:A$503)</f>
        <v>826.1999</v>
      </c>
      <c r="BK405" s="92" t="n">
        <f aca="false">SUM(U$4:U$503)/COUNTA(A$4:A$503)</f>
        <v>844.8002</v>
      </c>
      <c r="BL405" s="92" t="n">
        <f aca="false">SUM(V$4:V$503)/COUNTA(A$4:A$503)</f>
        <v>865.7998</v>
      </c>
      <c r="BM405" s="92" t="n">
        <f aca="false">SUM(W$4:W$503)/COUNTA(A$4:A$503)</f>
        <v>888.59982</v>
      </c>
      <c r="BN405" s="93" t="n">
        <f aca="false">SUM(X$4:X$503)/COUNTA(A$4:A$503)</f>
        <v>918.60034</v>
      </c>
      <c r="BO405" s="94" t="s">
        <v>20</v>
      </c>
      <c r="BP405" s="91" t="n">
        <f aca="false">IF(Z405&gt;=BB405,0,IFERROR(BB405+(SUMPRODUCT((Z$4:Z$503&gt;=BB$4:BB$503)*(Z$4:Z$503-BB$4:BB$503))/MAX(1,COUNTIF(Z$4:Z$503,"&lt;"&amp;BB405+0.01))),BB405))</f>
        <v>10695.5432177778</v>
      </c>
      <c r="BQ405" s="92" t="n">
        <f aca="false">IF(AA405&gt;=BC405,0,IFERROR(BC405+SUMPRODUCT((AA$4:AA$503&gt;=BC$4:BC$503)*(AA$4:AA$503-BC$4:BC$503))/MAX(1,COUNTIF(AA$4:AA$503,"&lt;"&amp;BC405+0.01)),BC405))</f>
        <v>2238.46589176471</v>
      </c>
      <c r="BR405" s="92" t="n">
        <f aca="false">IF(AB405&gt;=BD405,0,IFERROR(BD405+SUMPRODUCT((AB$4:AB$503&gt;=BD$4:BD$503)*(AB$4:AB$503-BD$4:BD$503))/MAX(1,COUNTIF(AB$4:AB$503,"&lt;"&amp;BD405+0.01)),BD405))</f>
        <v>3335.2938</v>
      </c>
      <c r="BS405" s="92" t="n">
        <f aca="false">IF(AC405&gt;=BE405,0,IFERROR(BE405+SUMPRODUCT((AC$4:AC$503&gt;=BE$4:BE$503)*(AC$4:AC$503-BE$4:BE$503))/MAX(1,COUNTIF(AC$4:AC$503,"&lt;"&amp;BE405+0.01)),BE405))</f>
        <v>6188.73352</v>
      </c>
      <c r="BT405" s="92" t="n">
        <f aca="false">IF(AD405&gt;=BF405,0,IFERROR(BF405+SUMPRODUCT((AD$4:AD$503&gt;=BF$4:BF$503)*(AD$4:AD$503-BF$4:BF$503))/MAX(1,COUNTIF(AD$4:AD$503,"&lt;"&amp;BF405+0.01)),BF405))</f>
        <v>11354.35411</v>
      </c>
      <c r="BU405" s="92" t="n">
        <f aca="false">IF(AE405&gt;=BG405,0,IFERROR(BG405+SUMPRODUCT((AE$4:AE$503&gt;=BG$4:BG$503)*(AE$4:AE$503-BG$4:BG$503))/MAX(1,COUNTIF(AE$4:AE$503,"&lt;"&amp;BG405+0.01)),BG405))</f>
        <v>7704.85920380952</v>
      </c>
      <c r="BV405" s="92" t="n">
        <f aca="false">IF(AF405&gt;=BH405,0,IFERROR(BH405+SUMPRODUCT((AF$4:AF$503&gt;=BH$4:BH$503)*(AF$4:AF$503-BH$4:BH$503))/MAX(1,COUNTIF(AF$4:AF$503,"&lt;"&amp;BH405+0.01)),BH405))</f>
        <v>9942.6503831579</v>
      </c>
      <c r="BW405" s="92" t="n">
        <f aca="false">IF(AG405&gt;=BI405,0,IFERROR(BI405+SUMPRODUCT((AG$4:AG$503&gt;=BI$4:BI$503)*(AG$4:AG$503-BI$4:BI$503))/MAX(1,COUNTIF(AG$4:AG$503,"&lt;"&amp;BI405+0.01)),BI405))</f>
        <v>9142.15870461538</v>
      </c>
      <c r="BX405" s="92" t="n">
        <f aca="false">IF(AH405&gt;=BJ405,0,IFERROR(BJ405+SUMPRODUCT((AH$4:AH$503&gt;=BJ$4:BJ$503)*(AH$4:AH$503-BJ$4:BJ$503))/MAX(1,COUNTIF(AH$4:AH$503,"&lt;"&amp;BJ405+0.01)),BJ405))</f>
        <v>5621.50263448276</v>
      </c>
      <c r="BY405" s="92" t="n">
        <f aca="false">IF(AI405&gt;=BK405,0,IFERROR(BK405+SUMPRODUCT((AI$4:AI$503&gt;=BK$4:BK$503)*(AI$4:AI$503-BK$4:BK$503))/MAX(1,COUNTIF(AI$4:AI$503,"&lt;"&amp;BK405+0.01)),BK405))</f>
        <v>7878.25652380952</v>
      </c>
      <c r="BZ405" s="92" t="n">
        <f aca="false">IF(AJ405&gt;=BL405,0,IFERROR(BL405+SUMPRODUCT((AJ$4:AJ$503&gt;=BL$4:BL$503)*(AJ$4:AJ$503-BL$4:BL$503))/MAX(1,COUNTIF(AJ$4:AJ$503,"&lt;"&amp;BL405+0.01)),BL405))</f>
        <v>6710.03292307692</v>
      </c>
      <c r="CA405" s="92" t="n">
        <f aca="false">IF(AK405&gt;=BM405,0,IFERROR(BM405+SUMPRODUCT((AK$4:AK$503&gt;=BM$4:BM$503)*(AK$4:AK$503-BM$4:BM$503))/MAX(1,COUNTIF(AK$4:AK$503,"&lt;"&amp;BM405+0.01)),BM405))</f>
        <v>7314.89836842105</v>
      </c>
      <c r="CB405" s="93" t="n">
        <f aca="false">IF(AL405&gt;=BN405,0,IFERROR(BN405+SUMPRODUCT((AL$4:AL$503&gt;=BN$4:BN$503)*(AL$4:AL$503-BN$4:BN$503))/MAX(1,COUNTIF(AL$4:AL$503,"&lt;"&amp;BN405+0.01)),BN405))</f>
        <v>3597.2614925</v>
      </c>
      <c r="CC405" s="95" t="str">
        <f aca="false">IF(AO405="🟢","VERDE",IF(AO405="🟡","AMARELO",IF(AO405="🟠","VERMELHO",IF(AO405="🔴","VERMELHO","ROXO"))))</f>
        <v>VERMELHO</v>
      </c>
      <c r="CD405" s="96" t="s">
        <v>176</v>
      </c>
      <c r="CE405" s="96" t="s">
        <v>66</v>
      </c>
    </row>
    <row r="406" customFormat="false" ht="14.25" hidden="false" customHeight="true" outlineLevel="0" collapsed="false">
      <c r="A406" s="65" t="s">
        <v>946</v>
      </c>
      <c r="B406" s="66" t="s">
        <v>947</v>
      </c>
      <c r="C406" s="67" t="s">
        <v>118</v>
      </c>
      <c r="D406" s="68" t="s">
        <v>100</v>
      </c>
      <c r="E406" s="69" t="s">
        <v>119</v>
      </c>
      <c r="F406" s="70" t="n">
        <f aca="false">IFERROR(VLOOKUP(C406,$AS$3:$AT$10,2,FALSE()),IFERROR(VLOOKUP(C406,$AS$15:$AT$22,2,FALSE()),""))</f>
        <v>42</v>
      </c>
      <c r="G406" s="71" t="n">
        <f aca="false">IFERROR(VLOOKUP(C406,$AS$3:$AX$10,6,FALSE()),IFERROR(VLOOKUP(C406,$AS$15:$AX$22,6,FALSE()),""))</f>
        <v>0.424872083346704</v>
      </c>
      <c r="H406" s="72" t="str">
        <f aca="false">IFERROR(VLOOKUP(C406,$AS$3:$AY$10,7,FALSE()),IFERROR(VLOOKUP(C406,$AS$15:$AY$22,7,FALSE()),""))</f>
        <v>🟡 AMARELO</v>
      </c>
      <c r="I406" s="72" t="str">
        <f aca="false">IFERROR(VLOOKUP(C406,$AS$3:$AZ$10,8,FALSE()),IFERROR(VLOOKUP(C406,$AS$15:$AZ$22,8,FALSE()),""))</f>
        <v>Sell Out</v>
      </c>
      <c r="J406" s="73"/>
      <c r="K406" s="69" t="s">
        <v>118</v>
      </c>
      <c r="L406" s="74" t="n">
        <v>1924.64</v>
      </c>
      <c r="M406" s="75" t="n">
        <v>135.25</v>
      </c>
      <c r="N406" s="75" t="n">
        <v>141.33</v>
      </c>
      <c r="O406" s="75" t="n">
        <v>144.74</v>
      </c>
      <c r="P406" s="75" t="n">
        <v>148.51</v>
      </c>
      <c r="Q406" s="75" t="n">
        <v>153.37</v>
      </c>
      <c r="R406" s="75" t="n">
        <v>157.39</v>
      </c>
      <c r="S406" s="75" t="n">
        <v>163.47</v>
      </c>
      <c r="T406" s="75" t="n">
        <v>167.48</v>
      </c>
      <c r="U406" s="75" t="n">
        <v>171.25</v>
      </c>
      <c r="V406" s="75" t="n">
        <v>175.51</v>
      </c>
      <c r="W406" s="75" t="n">
        <v>180.13</v>
      </c>
      <c r="X406" s="76" t="n">
        <v>186.21</v>
      </c>
      <c r="Y406" s="77" t="s">
        <v>20</v>
      </c>
      <c r="Z406" s="78" t="n">
        <f aca="false">SUM(AA406:AL406)</f>
        <v>1584.62</v>
      </c>
      <c r="AA406" s="75"/>
      <c r="AB406" s="75"/>
      <c r="AC406" s="75"/>
      <c r="AD406" s="75"/>
      <c r="AE406" s="75"/>
      <c r="AF406" s="75"/>
      <c r="AG406" s="79" t="n">
        <v>990</v>
      </c>
      <c r="AH406" s="75"/>
      <c r="AI406" s="75"/>
      <c r="AJ406" s="79" t="n">
        <v>594.62</v>
      </c>
      <c r="AK406" s="75"/>
      <c r="AL406" s="76"/>
      <c r="AM406" s="56" t="s">
        <v>20</v>
      </c>
      <c r="AN406" s="80" t="n">
        <f aca="false">IF(L406=0,0,Z406/L406)</f>
        <v>0.823333194779283</v>
      </c>
      <c r="AO406" s="81" t="str">
        <f aca="false">IF(AN406="","",IF(AN406&gt;=0.9,"🟢",IF(AN406&gt;=0.7,"🟡",IF(AN406&gt;=0.5,"🟠","🔴"))))</f>
        <v>🟡</v>
      </c>
      <c r="AP406" s="82" t="n">
        <f aca="false">IF(L406=0,0,L406-Z406)</f>
        <v>340.02</v>
      </c>
      <c r="AQ406" s="83" t="n">
        <f aca="false">IF(AP406=0,"",RANK(AP406,AP$4:AP$503,0))</f>
        <v>467</v>
      </c>
      <c r="AR406" s="84" t="s">
        <v>20</v>
      </c>
      <c r="AS406" s="141"/>
      <c r="AT406" s="141"/>
      <c r="AU406" s="141"/>
      <c r="AV406" s="141"/>
      <c r="AW406" s="141"/>
      <c r="AX406" s="141"/>
      <c r="AY406" s="142"/>
      <c r="AZ406" s="142"/>
      <c r="BA406" s="56" t="s">
        <v>20</v>
      </c>
      <c r="BB406" s="91" t="n">
        <f aca="false">SUM(L$4:L$503)/COUNTA(A$4:A$503)</f>
        <v>9494.39992</v>
      </c>
      <c r="BC406" s="92" t="n">
        <f aca="false">SUM(M$4:M$503)/COUNTA(A$4:A$503)</f>
        <v>667.20008</v>
      </c>
      <c r="BD406" s="92" t="n">
        <f aca="false">SUM(N$4:N$503)/COUNTA(A$4:A$503)</f>
        <v>697.19996</v>
      </c>
      <c r="BE406" s="92" t="n">
        <f aca="false">SUM(O$4:O$503)/COUNTA(A$4:A$503)</f>
        <v>713.9999</v>
      </c>
      <c r="BF406" s="92" t="n">
        <f aca="false">SUM(P$4:P$503)/COUNTA(A$4:A$503)</f>
        <v>732.59984</v>
      </c>
      <c r="BG406" s="92" t="n">
        <f aca="false">SUM(Q$4:Q$503)/COUNTA(A$4:A$503)</f>
        <v>756.59992</v>
      </c>
      <c r="BH406" s="92" t="n">
        <f aca="false">SUM(R$4:R$503)/COUNTA(A$4:A$503)</f>
        <v>776.40004</v>
      </c>
      <c r="BI406" s="92" t="n">
        <f aca="false">SUM(S$4:S$503)/COUNTA(A$4:A$503)</f>
        <v>806.40012</v>
      </c>
      <c r="BJ406" s="92" t="n">
        <f aca="false">SUM(T$4:T$503)/COUNTA(A$4:A$503)</f>
        <v>826.1999</v>
      </c>
      <c r="BK406" s="92" t="n">
        <f aca="false">SUM(U$4:U$503)/COUNTA(A$4:A$503)</f>
        <v>844.8002</v>
      </c>
      <c r="BL406" s="92" t="n">
        <f aca="false">SUM(V$4:V$503)/COUNTA(A$4:A$503)</f>
        <v>865.7998</v>
      </c>
      <c r="BM406" s="92" t="n">
        <f aca="false">SUM(W$4:W$503)/COUNTA(A$4:A$503)</f>
        <v>888.59982</v>
      </c>
      <c r="BN406" s="93" t="n">
        <f aca="false">SUM(X$4:X$503)/COUNTA(A$4:A$503)</f>
        <v>918.60034</v>
      </c>
      <c r="BO406" s="94" t="s">
        <v>20</v>
      </c>
      <c r="BP406" s="91" t="n">
        <f aca="false">IF(Z406&gt;=BB406,0,IFERROR(BB406+(SUMPRODUCT((Z$4:Z$503&gt;=BB$4:BB$503)*(Z$4:Z$503-BB$4:BB$503))/MAX(1,COUNTIF(Z$4:Z$503,"&lt;"&amp;BB406+0.01))),BB406))</f>
        <v>10695.5432177778</v>
      </c>
      <c r="BQ406" s="92" t="n">
        <f aca="false">IF(AA406&gt;=BC406,0,IFERROR(BC406+SUMPRODUCT((AA$4:AA$503&gt;=BC$4:BC$503)*(AA$4:AA$503-BC$4:BC$503))/MAX(1,COUNTIF(AA$4:AA$503,"&lt;"&amp;BC406+0.01)),BC406))</f>
        <v>2238.46589176471</v>
      </c>
      <c r="BR406" s="92" t="n">
        <f aca="false">IF(AB406&gt;=BD406,0,IFERROR(BD406+SUMPRODUCT((AB$4:AB$503&gt;=BD$4:BD$503)*(AB$4:AB$503-BD$4:BD$503))/MAX(1,COUNTIF(AB$4:AB$503,"&lt;"&amp;BD406+0.01)),BD406))</f>
        <v>3335.2938</v>
      </c>
      <c r="BS406" s="92" t="n">
        <f aca="false">IF(AC406&gt;=BE406,0,IFERROR(BE406+SUMPRODUCT((AC$4:AC$503&gt;=BE$4:BE$503)*(AC$4:AC$503-BE$4:BE$503))/MAX(1,COUNTIF(AC$4:AC$503,"&lt;"&amp;BE406+0.01)),BE406))</f>
        <v>6188.73352</v>
      </c>
      <c r="BT406" s="92" t="n">
        <f aca="false">IF(AD406&gt;=BF406,0,IFERROR(BF406+SUMPRODUCT((AD$4:AD$503&gt;=BF$4:BF$503)*(AD$4:AD$503-BF$4:BF$503))/MAX(1,COUNTIF(AD$4:AD$503,"&lt;"&amp;BF406+0.01)),BF406))</f>
        <v>11354.35411</v>
      </c>
      <c r="BU406" s="92" t="n">
        <f aca="false">IF(AE406&gt;=BG406,0,IFERROR(BG406+SUMPRODUCT((AE$4:AE$503&gt;=BG$4:BG$503)*(AE$4:AE$503-BG$4:BG$503))/MAX(1,COUNTIF(AE$4:AE$503,"&lt;"&amp;BG406+0.01)),BG406))</f>
        <v>7704.85920380952</v>
      </c>
      <c r="BV406" s="92" t="n">
        <f aca="false">IF(AF406&gt;=BH406,0,IFERROR(BH406+SUMPRODUCT((AF$4:AF$503&gt;=BH$4:BH$503)*(AF$4:AF$503-BH$4:BH$503))/MAX(1,COUNTIF(AF$4:AF$503,"&lt;"&amp;BH406+0.01)),BH406))</f>
        <v>9942.6503831579</v>
      </c>
      <c r="BW406" s="92" t="n">
        <f aca="false">IF(AG406&gt;=BI406,0,IFERROR(BI406+SUMPRODUCT((AG$4:AG$503&gt;=BI$4:BI$503)*(AG$4:AG$503-BI$4:BI$503))/MAX(1,COUNTIF(AG$4:AG$503,"&lt;"&amp;BI406+0.01)),BI406))</f>
        <v>0</v>
      </c>
      <c r="BX406" s="92" t="n">
        <f aca="false">IF(AH406&gt;=BJ406,0,IFERROR(BJ406+SUMPRODUCT((AH$4:AH$503&gt;=BJ$4:BJ$503)*(AH$4:AH$503-BJ$4:BJ$503))/MAX(1,COUNTIF(AH$4:AH$503,"&lt;"&amp;BJ406+0.01)),BJ406))</f>
        <v>5621.50263448276</v>
      </c>
      <c r="BY406" s="92" t="n">
        <f aca="false">IF(AI406&gt;=BK406,0,IFERROR(BK406+SUMPRODUCT((AI$4:AI$503&gt;=BK$4:BK$503)*(AI$4:AI$503-BK$4:BK$503))/MAX(1,COUNTIF(AI$4:AI$503,"&lt;"&amp;BK406+0.01)),BK406))</f>
        <v>7878.25652380952</v>
      </c>
      <c r="BZ406" s="92" t="n">
        <f aca="false">IF(AJ406&gt;=BL406,0,IFERROR(BL406+SUMPRODUCT((AJ$4:AJ$503&gt;=BL$4:BL$503)*(AJ$4:AJ$503-BL$4:BL$503))/MAX(1,COUNTIF(AJ$4:AJ$503,"&lt;"&amp;BL406+0.01)),BL406))</f>
        <v>6710.03292307692</v>
      </c>
      <c r="CA406" s="92" t="n">
        <f aca="false">IF(AK406&gt;=BM406,0,IFERROR(BM406+SUMPRODUCT((AK$4:AK$503&gt;=BM$4:BM$503)*(AK$4:AK$503-BM$4:BM$503))/MAX(1,COUNTIF(AK$4:AK$503,"&lt;"&amp;BM406+0.01)),BM406))</f>
        <v>7314.89836842105</v>
      </c>
      <c r="CB406" s="93" t="n">
        <f aca="false">IF(AL406&gt;=BN406,0,IFERROR(BN406+SUMPRODUCT((AL$4:AL$503&gt;=BN$4:BN$503)*(AL$4:AL$503-BN$4:BN$503))/MAX(1,COUNTIF(AL$4:AL$503,"&lt;"&amp;BN406+0.01)),BN406))</f>
        <v>3597.2614925</v>
      </c>
      <c r="CC406" s="95" t="str">
        <f aca="false">IF(AO406="🟢","VERDE",IF(AO406="🟡","AMARELO",IF(AO406="🟠","VERMELHO",IF(AO406="🔴","VERMELHO","ROXO"))))</f>
        <v>AMARELO</v>
      </c>
      <c r="CD406" s="96" t="s">
        <v>103</v>
      </c>
      <c r="CE406" s="96" t="s">
        <v>104</v>
      </c>
    </row>
    <row r="407" customFormat="false" ht="14.25" hidden="false" customHeight="true" outlineLevel="0" collapsed="false">
      <c r="A407" s="65" t="s">
        <v>948</v>
      </c>
      <c r="B407" s="66" t="s">
        <v>949</v>
      </c>
      <c r="C407" s="67" t="s">
        <v>107</v>
      </c>
      <c r="D407" s="68" t="s">
        <v>108</v>
      </c>
      <c r="E407" s="69" t="s">
        <v>139</v>
      </c>
      <c r="F407" s="70" t="n">
        <f aca="false">IFERROR(VLOOKUP(C407,$AS$3:$AT$10,2,FALSE()),IFERROR(VLOOKUP(C407,$AS$15:$AT$22,2,FALSE()),""))</f>
        <v>132</v>
      </c>
      <c r="G407" s="71" t="n">
        <f aca="false">IFERROR(VLOOKUP(C407,$AS$3:$AX$10,6,FALSE()),IFERROR(VLOOKUP(C407,$AS$15:$AX$22,6,FALSE()),""))</f>
        <v>0.468190175850689</v>
      </c>
      <c r="H407" s="72" t="str">
        <f aca="false">IFERROR(VLOOKUP(C407,$AS$3:$AY$10,7,FALSE()),IFERROR(VLOOKUP(C407,$AS$15:$AY$22,7,FALSE()),""))</f>
        <v>🟡 AMARELO</v>
      </c>
      <c r="I407" s="72" t="str">
        <f aca="false">IFERROR(VLOOKUP(C407,$AS$3:$AZ$10,8,FALSE()),IFERROR(VLOOKUP(C407,$AS$15:$AZ$22,8,FALSE()),""))</f>
        <v>Sell Out</v>
      </c>
      <c r="J407" s="73"/>
      <c r="K407" s="69" t="s">
        <v>107</v>
      </c>
      <c r="L407" s="74" t="n">
        <v>1919.98</v>
      </c>
      <c r="M407" s="75" t="n">
        <v>134.92</v>
      </c>
      <c r="N407" s="75" t="n">
        <v>140.99</v>
      </c>
      <c r="O407" s="75" t="n">
        <v>144.39</v>
      </c>
      <c r="P407" s="75" t="n">
        <v>148.15</v>
      </c>
      <c r="Q407" s="75" t="n">
        <v>153</v>
      </c>
      <c r="R407" s="75" t="n">
        <v>157.01</v>
      </c>
      <c r="S407" s="75" t="n">
        <v>163.07</v>
      </c>
      <c r="T407" s="75" t="n">
        <v>167.08</v>
      </c>
      <c r="U407" s="75" t="n">
        <v>170.84</v>
      </c>
      <c r="V407" s="75" t="n">
        <v>175.08</v>
      </c>
      <c r="W407" s="75" t="n">
        <v>179.69</v>
      </c>
      <c r="X407" s="76" t="n">
        <v>185.76</v>
      </c>
      <c r="Y407" s="77" t="s">
        <v>20</v>
      </c>
      <c r="Z407" s="78" t="n">
        <f aca="false">SUM(AA407:AL407)</f>
        <v>772.12</v>
      </c>
      <c r="AA407" s="79" t="n">
        <v>772.12</v>
      </c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6"/>
      <c r="AM407" s="56" t="s">
        <v>20</v>
      </c>
      <c r="AN407" s="80" t="n">
        <f aca="false">IF(L407=0,0,Z407/L407)</f>
        <v>0.402150022396067</v>
      </c>
      <c r="AO407" s="81" t="str">
        <f aca="false">IF(AN407="","",IF(AN407&gt;=0.9,"🟢",IF(AN407&gt;=0.7,"🟡",IF(AN407&gt;=0.5,"🟠","🔴"))))</f>
        <v>🔴</v>
      </c>
      <c r="AP407" s="82" t="n">
        <f aca="false">IF(L407=0,0,L407-Z407)</f>
        <v>1147.86</v>
      </c>
      <c r="AQ407" s="83" t="n">
        <f aca="false">IF(AP407=0,"",RANK(AP407,AP$4:AP$503,0))</f>
        <v>365</v>
      </c>
      <c r="AR407" s="84" t="s">
        <v>20</v>
      </c>
      <c r="AS407" s="141"/>
      <c r="AT407" s="141"/>
      <c r="AU407" s="141"/>
      <c r="AV407" s="141"/>
      <c r="AW407" s="141"/>
      <c r="AX407" s="141"/>
      <c r="AY407" s="142"/>
      <c r="AZ407" s="142"/>
      <c r="BA407" s="56" t="s">
        <v>20</v>
      </c>
      <c r="BB407" s="91" t="n">
        <f aca="false">SUM(L$4:L$503)/COUNTA(A$4:A$503)</f>
        <v>9494.39992</v>
      </c>
      <c r="BC407" s="92" t="n">
        <f aca="false">SUM(M$4:M$503)/COUNTA(A$4:A$503)</f>
        <v>667.20008</v>
      </c>
      <c r="BD407" s="92" t="n">
        <f aca="false">SUM(N$4:N$503)/COUNTA(A$4:A$503)</f>
        <v>697.19996</v>
      </c>
      <c r="BE407" s="92" t="n">
        <f aca="false">SUM(O$4:O$503)/COUNTA(A$4:A$503)</f>
        <v>713.9999</v>
      </c>
      <c r="BF407" s="92" t="n">
        <f aca="false">SUM(P$4:P$503)/COUNTA(A$4:A$503)</f>
        <v>732.59984</v>
      </c>
      <c r="BG407" s="92" t="n">
        <f aca="false">SUM(Q$4:Q$503)/COUNTA(A$4:A$503)</f>
        <v>756.59992</v>
      </c>
      <c r="BH407" s="92" t="n">
        <f aca="false">SUM(R$4:R$503)/COUNTA(A$4:A$503)</f>
        <v>776.40004</v>
      </c>
      <c r="BI407" s="92" t="n">
        <f aca="false">SUM(S$4:S$503)/COUNTA(A$4:A$503)</f>
        <v>806.40012</v>
      </c>
      <c r="BJ407" s="92" t="n">
        <f aca="false">SUM(T$4:T$503)/COUNTA(A$4:A$503)</f>
        <v>826.1999</v>
      </c>
      <c r="BK407" s="92" t="n">
        <f aca="false">SUM(U$4:U$503)/COUNTA(A$4:A$503)</f>
        <v>844.8002</v>
      </c>
      <c r="BL407" s="92" t="n">
        <f aca="false">SUM(V$4:V$503)/COUNTA(A$4:A$503)</f>
        <v>865.7998</v>
      </c>
      <c r="BM407" s="92" t="n">
        <f aca="false">SUM(W$4:W$503)/COUNTA(A$4:A$503)</f>
        <v>888.59982</v>
      </c>
      <c r="BN407" s="93" t="n">
        <f aca="false">SUM(X$4:X$503)/COUNTA(A$4:A$503)</f>
        <v>918.60034</v>
      </c>
      <c r="BO407" s="94" t="s">
        <v>20</v>
      </c>
      <c r="BP407" s="91" t="n">
        <f aca="false">IF(Z407&gt;=BB407,0,IFERROR(BB407+(SUMPRODUCT((Z$4:Z$503&gt;=BB$4:BB$503)*(Z$4:Z$503-BB$4:BB$503))/MAX(1,COUNTIF(Z$4:Z$503,"&lt;"&amp;BB407+0.01))),BB407))</f>
        <v>10695.5432177778</v>
      </c>
      <c r="BQ407" s="92" t="n">
        <f aca="false">IF(AA407&gt;=BC407,0,IFERROR(BC407+SUMPRODUCT((AA$4:AA$503&gt;=BC$4:BC$503)*(AA$4:AA$503-BC$4:BC$503))/MAX(1,COUNTIF(AA$4:AA$503,"&lt;"&amp;BC407+0.01)),BC407))</f>
        <v>0</v>
      </c>
      <c r="BR407" s="92" t="n">
        <f aca="false">IF(AB407&gt;=BD407,0,IFERROR(BD407+SUMPRODUCT((AB$4:AB$503&gt;=BD$4:BD$503)*(AB$4:AB$503-BD$4:BD$503))/MAX(1,COUNTIF(AB$4:AB$503,"&lt;"&amp;BD407+0.01)),BD407))</f>
        <v>3335.2938</v>
      </c>
      <c r="BS407" s="92" t="n">
        <f aca="false">IF(AC407&gt;=BE407,0,IFERROR(BE407+SUMPRODUCT((AC$4:AC$503&gt;=BE$4:BE$503)*(AC$4:AC$503-BE$4:BE$503))/MAX(1,COUNTIF(AC$4:AC$503,"&lt;"&amp;BE407+0.01)),BE407))</f>
        <v>6188.73352</v>
      </c>
      <c r="BT407" s="92" t="n">
        <f aca="false">IF(AD407&gt;=BF407,0,IFERROR(BF407+SUMPRODUCT((AD$4:AD$503&gt;=BF$4:BF$503)*(AD$4:AD$503-BF$4:BF$503))/MAX(1,COUNTIF(AD$4:AD$503,"&lt;"&amp;BF407+0.01)),BF407))</f>
        <v>11354.35411</v>
      </c>
      <c r="BU407" s="92" t="n">
        <f aca="false">IF(AE407&gt;=BG407,0,IFERROR(BG407+SUMPRODUCT((AE$4:AE$503&gt;=BG$4:BG$503)*(AE$4:AE$503-BG$4:BG$503))/MAX(1,COUNTIF(AE$4:AE$503,"&lt;"&amp;BG407+0.01)),BG407))</f>
        <v>7704.85920380952</v>
      </c>
      <c r="BV407" s="92" t="n">
        <f aca="false">IF(AF407&gt;=BH407,0,IFERROR(BH407+SUMPRODUCT((AF$4:AF$503&gt;=BH$4:BH$503)*(AF$4:AF$503-BH$4:BH$503))/MAX(1,COUNTIF(AF$4:AF$503,"&lt;"&amp;BH407+0.01)),BH407))</f>
        <v>9942.6503831579</v>
      </c>
      <c r="BW407" s="92" t="n">
        <f aca="false">IF(AG407&gt;=BI407,0,IFERROR(BI407+SUMPRODUCT((AG$4:AG$503&gt;=BI$4:BI$503)*(AG$4:AG$503-BI$4:BI$503))/MAX(1,COUNTIF(AG$4:AG$503,"&lt;"&amp;BI407+0.01)),BI407))</f>
        <v>9142.15870461538</v>
      </c>
      <c r="BX407" s="92" t="n">
        <f aca="false">IF(AH407&gt;=BJ407,0,IFERROR(BJ407+SUMPRODUCT((AH$4:AH$503&gt;=BJ$4:BJ$503)*(AH$4:AH$503-BJ$4:BJ$503))/MAX(1,COUNTIF(AH$4:AH$503,"&lt;"&amp;BJ407+0.01)),BJ407))</f>
        <v>5621.50263448276</v>
      </c>
      <c r="BY407" s="92" t="n">
        <f aca="false">IF(AI407&gt;=BK407,0,IFERROR(BK407+SUMPRODUCT((AI$4:AI$503&gt;=BK$4:BK$503)*(AI$4:AI$503-BK$4:BK$503))/MAX(1,COUNTIF(AI$4:AI$503,"&lt;"&amp;BK407+0.01)),BK407))</f>
        <v>7878.25652380952</v>
      </c>
      <c r="BZ407" s="92" t="n">
        <f aca="false">IF(AJ407&gt;=BL407,0,IFERROR(BL407+SUMPRODUCT((AJ$4:AJ$503&gt;=BL$4:BL$503)*(AJ$4:AJ$503-BL$4:BL$503))/MAX(1,COUNTIF(AJ$4:AJ$503,"&lt;"&amp;BL407+0.01)),BL407))</f>
        <v>6710.03292307692</v>
      </c>
      <c r="CA407" s="92" t="n">
        <f aca="false">IF(AK407&gt;=BM407,0,IFERROR(BM407+SUMPRODUCT((AK$4:AK$503&gt;=BM$4:BM$503)*(AK$4:AK$503-BM$4:BM$503))/MAX(1,COUNTIF(AK$4:AK$503,"&lt;"&amp;BM407+0.01)),BM407))</f>
        <v>7314.89836842105</v>
      </c>
      <c r="CB407" s="93" t="n">
        <f aca="false">IF(AL407&gt;=BN407,0,IFERROR(BN407+SUMPRODUCT((AL$4:AL$503&gt;=BN$4:BN$503)*(AL$4:AL$503-BN$4:BN$503))/MAX(1,COUNTIF(AL$4:AL$503,"&lt;"&amp;BN407+0.01)),BN407))</f>
        <v>3597.2614925</v>
      </c>
      <c r="CC407" s="95" t="str">
        <f aca="false">IF(AO407="🟢","VERDE",IF(AO407="🟡","AMARELO",IF(AO407="🟠","VERMELHO",IF(AO407="🔴","VERMELHO","ROXO"))))</f>
        <v>VERMELHO</v>
      </c>
      <c r="CD407" s="96" t="s">
        <v>103</v>
      </c>
      <c r="CE407" s="96" t="s">
        <v>104</v>
      </c>
    </row>
    <row r="408" customFormat="false" ht="14.25" hidden="false" customHeight="true" outlineLevel="0" collapsed="false">
      <c r="A408" s="65" t="s">
        <v>950</v>
      </c>
      <c r="B408" s="66" t="s">
        <v>951</v>
      </c>
      <c r="C408" s="67" t="s">
        <v>107</v>
      </c>
      <c r="D408" s="68" t="s">
        <v>108</v>
      </c>
      <c r="E408" s="69" t="s">
        <v>109</v>
      </c>
      <c r="F408" s="70" t="n">
        <f aca="false">IFERROR(VLOOKUP(C408,$AS$3:$AT$10,2,FALSE()),IFERROR(VLOOKUP(C408,$AS$15:$AT$22,2,FALSE()),""))</f>
        <v>132</v>
      </c>
      <c r="G408" s="71" t="n">
        <f aca="false">IFERROR(VLOOKUP(C408,$AS$3:$AX$10,6,FALSE()),IFERROR(VLOOKUP(C408,$AS$15:$AX$22,6,FALSE()),""))</f>
        <v>0.468190175850689</v>
      </c>
      <c r="H408" s="72" t="str">
        <f aca="false">IFERROR(VLOOKUP(C408,$AS$3:$AY$10,7,FALSE()),IFERROR(VLOOKUP(C408,$AS$15:$AY$22,7,FALSE()),""))</f>
        <v>🟡 AMARELO</v>
      </c>
      <c r="I408" s="72" t="str">
        <f aca="false">IFERROR(VLOOKUP(C408,$AS$3:$AZ$10,8,FALSE()),IFERROR(VLOOKUP(C408,$AS$15:$AZ$22,8,FALSE()),""))</f>
        <v>Sell Out</v>
      </c>
      <c r="J408" s="73"/>
      <c r="K408" s="69" t="s">
        <v>107</v>
      </c>
      <c r="L408" s="74" t="n">
        <v>1909.74</v>
      </c>
      <c r="M408" s="75" t="n">
        <v>134.2</v>
      </c>
      <c r="N408" s="75" t="n">
        <v>140.24</v>
      </c>
      <c r="O408" s="75" t="n">
        <v>143.62</v>
      </c>
      <c r="P408" s="75" t="n">
        <v>147.36</v>
      </c>
      <c r="Q408" s="75" t="n">
        <v>152.18</v>
      </c>
      <c r="R408" s="75" t="n">
        <v>156.17</v>
      </c>
      <c r="S408" s="75" t="n">
        <v>162.2</v>
      </c>
      <c r="T408" s="75" t="n">
        <v>166.18</v>
      </c>
      <c r="U408" s="75" t="n">
        <v>169.93</v>
      </c>
      <c r="V408" s="75" t="n">
        <v>174.15</v>
      </c>
      <c r="W408" s="75" t="n">
        <v>178.74</v>
      </c>
      <c r="X408" s="76" t="n">
        <v>184.77</v>
      </c>
      <c r="Y408" s="77" t="s">
        <v>20</v>
      </c>
      <c r="Z408" s="78" t="n">
        <f aca="false">SUM(AA408:AL408)</f>
        <v>768</v>
      </c>
      <c r="AA408" s="75"/>
      <c r="AB408" s="75"/>
      <c r="AC408" s="75"/>
      <c r="AD408" s="75"/>
      <c r="AE408" s="75"/>
      <c r="AF408" s="75"/>
      <c r="AG408" s="75"/>
      <c r="AH408" s="75"/>
      <c r="AI408" s="75"/>
      <c r="AJ408" s="79" t="n">
        <v>768</v>
      </c>
      <c r="AK408" s="75"/>
      <c r="AL408" s="76"/>
      <c r="AM408" s="56" t="s">
        <v>20</v>
      </c>
      <c r="AN408" s="80" t="n">
        <f aca="false">IF(L408=0,0,Z408/L408)</f>
        <v>0.40214898363128</v>
      </c>
      <c r="AO408" s="81" t="str">
        <f aca="false">IF(AN408="","",IF(AN408&gt;=0.9,"🟢",IF(AN408&gt;=0.7,"🟡",IF(AN408&gt;=0.5,"🟠","🔴"))))</f>
        <v>🔴</v>
      </c>
      <c r="AP408" s="82" t="n">
        <f aca="false">IF(L408=0,0,L408-Z408)</f>
        <v>1141.74</v>
      </c>
      <c r="AQ408" s="83" t="n">
        <f aca="false">IF(AP408=0,"",RANK(AP408,AP$4:AP$503,0))</f>
        <v>366</v>
      </c>
      <c r="AR408" s="84" t="s">
        <v>20</v>
      </c>
      <c r="AS408" s="141"/>
      <c r="AT408" s="141"/>
      <c r="AU408" s="141"/>
      <c r="AV408" s="141"/>
      <c r="AW408" s="141"/>
      <c r="AX408" s="141"/>
      <c r="AY408" s="142"/>
      <c r="AZ408" s="142"/>
      <c r="BA408" s="56" t="s">
        <v>20</v>
      </c>
      <c r="BB408" s="91" t="n">
        <f aca="false">SUM(L$4:L$503)/COUNTA(A$4:A$503)</f>
        <v>9494.39992</v>
      </c>
      <c r="BC408" s="92" t="n">
        <f aca="false">SUM(M$4:M$503)/COUNTA(A$4:A$503)</f>
        <v>667.20008</v>
      </c>
      <c r="BD408" s="92" t="n">
        <f aca="false">SUM(N$4:N$503)/COUNTA(A$4:A$503)</f>
        <v>697.19996</v>
      </c>
      <c r="BE408" s="92" t="n">
        <f aca="false">SUM(O$4:O$503)/COUNTA(A$4:A$503)</f>
        <v>713.9999</v>
      </c>
      <c r="BF408" s="92" t="n">
        <f aca="false">SUM(P$4:P$503)/COUNTA(A$4:A$503)</f>
        <v>732.59984</v>
      </c>
      <c r="BG408" s="92" t="n">
        <f aca="false">SUM(Q$4:Q$503)/COUNTA(A$4:A$503)</f>
        <v>756.59992</v>
      </c>
      <c r="BH408" s="92" t="n">
        <f aca="false">SUM(R$4:R$503)/COUNTA(A$4:A$503)</f>
        <v>776.40004</v>
      </c>
      <c r="BI408" s="92" t="n">
        <f aca="false">SUM(S$4:S$503)/COUNTA(A$4:A$503)</f>
        <v>806.40012</v>
      </c>
      <c r="BJ408" s="92" t="n">
        <f aca="false">SUM(T$4:T$503)/COUNTA(A$4:A$503)</f>
        <v>826.1999</v>
      </c>
      <c r="BK408" s="92" t="n">
        <f aca="false">SUM(U$4:U$503)/COUNTA(A$4:A$503)</f>
        <v>844.8002</v>
      </c>
      <c r="BL408" s="92" t="n">
        <f aca="false">SUM(V$4:V$503)/COUNTA(A$4:A$503)</f>
        <v>865.7998</v>
      </c>
      <c r="BM408" s="92" t="n">
        <f aca="false">SUM(W$4:W$503)/COUNTA(A$4:A$503)</f>
        <v>888.59982</v>
      </c>
      <c r="BN408" s="93" t="n">
        <f aca="false">SUM(X$4:X$503)/COUNTA(A$4:A$503)</f>
        <v>918.60034</v>
      </c>
      <c r="BO408" s="94" t="s">
        <v>20</v>
      </c>
      <c r="BP408" s="91" t="n">
        <f aca="false">IF(Z408&gt;=BB408,0,IFERROR(BB408+(SUMPRODUCT((Z$4:Z$503&gt;=BB$4:BB$503)*(Z$4:Z$503-BB$4:BB$503))/MAX(1,COUNTIF(Z$4:Z$503,"&lt;"&amp;BB408+0.01))),BB408))</f>
        <v>10695.5432177778</v>
      </c>
      <c r="BQ408" s="92" t="n">
        <f aca="false">IF(AA408&gt;=BC408,0,IFERROR(BC408+SUMPRODUCT((AA$4:AA$503&gt;=BC$4:BC$503)*(AA$4:AA$503-BC$4:BC$503))/MAX(1,COUNTIF(AA$4:AA$503,"&lt;"&amp;BC408+0.01)),BC408))</f>
        <v>2238.46589176471</v>
      </c>
      <c r="BR408" s="92" t="n">
        <f aca="false">IF(AB408&gt;=BD408,0,IFERROR(BD408+SUMPRODUCT((AB$4:AB$503&gt;=BD$4:BD$503)*(AB$4:AB$503-BD$4:BD$503))/MAX(1,COUNTIF(AB$4:AB$503,"&lt;"&amp;BD408+0.01)),BD408))</f>
        <v>3335.2938</v>
      </c>
      <c r="BS408" s="92" t="n">
        <f aca="false">IF(AC408&gt;=BE408,0,IFERROR(BE408+SUMPRODUCT((AC$4:AC$503&gt;=BE$4:BE$503)*(AC$4:AC$503-BE$4:BE$503))/MAX(1,COUNTIF(AC$4:AC$503,"&lt;"&amp;BE408+0.01)),BE408))</f>
        <v>6188.73352</v>
      </c>
      <c r="BT408" s="92" t="n">
        <f aca="false">IF(AD408&gt;=BF408,0,IFERROR(BF408+SUMPRODUCT((AD$4:AD$503&gt;=BF$4:BF$503)*(AD$4:AD$503-BF$4:BF$503))/MAX(1,COUNTIF(AD$4:AD$503,"&lt;"&amp;BF408+0.01)),BF408))</f>
        <v>11354.35411</v>
      </c>
      <c r="BU408" s="92" t="n">
        <f aca="false">IF(AE408&gt;=BG408,0,IFERROR(BG408+SUMPRODUCT((AE$4:AE$503&gt;=BG$4:BG$503)*(AE$4:AE$503-BG$4:BG$503))/MAX(1,COUNTIF(AE$4:AE$503,"&lt;"&amp;BG408+0.01)),BG408))</f>
        <v>7704.85920380952</v>
      </c>
      <c r="BV408" s="92" t="n">
        <f aca="false">IF(AF408&gt;=BH408,0,IFERROR(BH408+SUMPRODUCT((AF$4:AF$503&gt;=BH$4:BH$503)*(AF$4:AF$503-BH$4:BH$503))/MAX(1,COUNTIF(AF$4:AF$503,"&lt;"&amp;BH408+0.01)),BH408))</f>
        <v>9942.6503831579</v>
      </c>
      <c r="BW408" s="92" t="n">
        <f aca="false">IF(AG408&gt;=BI408,0,IFERROR(BI408+SUMPRODUCT((AG$4:AG$503&gt;=BI$4:BI$503)*(AG$4:AG$503-BI$4:BI$503))/MAX(1,COUNTIF(AG$4:AG$503,"&lt;"&amp;BI408+0.01)),BI408))</f>
        <v>9142.15870461538</v>
      </c>
      <c r="BX408" s="92" t="n">
        <f aca="false">IF(AH408&gt;=BJ408,0,IFERROR(BJ408+SUMPRODUCT((AH$4:AH$503&gt;=BJ$4:BJ$503)*(AH$4:AH$503-BJ$4:BJ$503))/MAX(1,COUNTIF(AH$4:AH$503,"&lt;"&amp;BJ408+0.01)),BJ408))</f>
        <v>5621.50263448276</v>
      </c>
      <c r="BY408" s="92" t="n">
        <f aca="false">IF(AI408&gt;=BK408,0,IFERROR(BK408+SUMPRODUCT((AI$4:AI$503&gt;=BK$4:BK$503)*(AI$4:AI$503-BK$4:BK$503))/MAX(1,COUNTIF(AI$4:AI$503,"&lt;"&amp;BK408+0.01)),BK408))</f>
        <v>7878.25652380952</v>
      </c>
      <c r="BZ408" s="92" t="n">
        <f aca="false">IF(AJ408&gt;=BL408,0,IFERROR(BL408+SUMPRODUCT((AJ$4:AJ$503&gt;=BL$4:BL$503)*(AJ$4:AJ$503-BL$4:BL$503))/MAX(1,COUNTIF(AJ$4:AJ$503,"&lt;"&amp;BL408+0.01)),BL408))</f>
        <v>6710.03292307692</v>
      </c>
      <c r="CA408" s="92" t="n">
        <f aca="false">IF(AK408&gt;=BM408,0,IFERROR(BM408+SUMPRODUCT((AK$4:AK$503&gt;=BM$4:BM$503)*(AK$4:AK$503-BM$4:BM$503))/MAX(1,COUNTIF(AK$4:AK$503,"&lt;"&amp;BM408+0.01)),BM408))</f>
        <v>7314.89836842105</v>
      </c>
      <c r="CB408" s="93" t="n">
        <f aca="false">IF(AL408&gt;=BN408,0,IFERROR(BN408+SUMPRODUCT((AL$4:AL$503&gt;=BN$4:BN$503)*(AL$4:AL$503-BN$4:BN$503))/MAX(1,COUNTIF(AL$4:AL$503,"&lt;"&amp;BN408+0.01)),BN408))</f>
        <v>3597.2614925</v>
      </c>
      <c r="CC408" s="95" t="str">
        <f aca="false">IF(AO408="🟢","VERDE",IF(AO408="🟡","AMARELO",IF(AO408="🟠","VERMELHO",IF(AO408="🔴","VERMELHO","ROXO"))))</f>
        <v>VERMELHO</v>
      </c>
      <c r="CD408" s="96" t="s">
        <v>103</v>
      </c>
      <c r="CE408" s="96" t="s">
        <v>104</v>
      </c>
    </row>
    <row r="409" customFormat="false" ht="14.25" hidden="false" customHeight="true" outlineLevel="0" collapsed="false">
      <c r="A409" s="65" t="s">
        <v>952</v>
      </c>
      <c r="B409" s="66" t="s">
        <v>953</v>
      </c>
      <c r="C409" s="66" t="s">
        <v>102</v>
      </c>
      <c r="D409" s="68" t="s">
        <v>175</v>
      </c>
      <c r="E409" s="69" t="s">
        <v>139</v>
      </c>
      <c r="F409" s="70" t="n">
        <f aca="false">IFERROR(VLOOKUP(C409,$AS$3:$AT$10,2,FALSE()),IFERROR(VLOOKUP(C409,$AS$15:$AT$22,2,FALSE()),""))</f>
        <v>21</v>
      </c>
      <c r="G409" s="71" t="n">
        <f aca="false">IFERROR(VLOOKUP(C409,$AS$3:$AX$10,6,FALSE()),IFERROR(VLOOKUP(C409,$AS$15:$AX$22,6,FALSE()),""))</f>
        <v>0.491514556258592</v>
      </c>
      <c r="H409" s="72" t="str">
        <f aca="false">IFERROR(VLOOKUP(C409,$AS$3:$AY$10,7,FALSE()),IFERROR(VLOOKUP(C409,$AS$15:$AY$22,7,FALSE()),""))</f>
        <v>🟡 AMARELO</v>
      </c>
      <c r="I409" s="72" t="str">
        <f aca="false">IFERROR(VLOOKUP(C409,$AS$3:$AZ$10,8,FALSE()),IFERROR(VLOOKUP(C409,$AS$15:$AZ$22,8,FALSE()),""))</f>
        <v>Sell Out</v>
      </c>
      <c r="J409" s="73"/>
      <c r="K409" s="69" t="s">
        <v>107</v>
      </c>
      <c r="L409" s="74" t="n">
        <v>1901.48</v>
      </c>
      <c r="M409" s="75" t="n">
        <v>133.62</v>
      </c>
      <c r="N409" s="75" t="n">
        <v>139.63</v>
      </c>
      <c r="O409" s="75" t="n">
        <v>143</v>
      </c>
      <c r="P409" s="75" t="n">
        <v>146.72</v>
      </c>
      <c r="Q409" s="75" t="n">
        <v>151.53</v>
      </c>
      <c r="R409" s="75" t="n">
        <v>155.49</v>
      </c>
      <c r="S409" s="75" t="n">
        <v>161.5</v>
      </c>
      <c r="T409" s="75" t="n">
        <v>165.47</v>
      </c>
      <c r="U409" s="75" t="n">
        <v>169.19</v>
      </c>
      <c r="V409" s="75" t="n">
        <v>173.4</v>
      </c>
      <c r="W409" s="75" t="n">
        <v>177.96</v>
      </c>
      <c r="X409" s="76" t="n">
        <v>183.97</v>
      </c>
      <c r="Y409" s="77" t="s">
        <v>20</v>
      </c>
      <c r="Z409" s="78" t="n">
        <f aca="false">SUM(AA409:AL409)</f>
        <v>764.68</v>
      </c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107" t="n">
        <v>764.68</v>
      </c>
      <c r="AM409" s="56" t="s">
        <v>20</v>
      </c>
      <c r="AN409" s="80" t="n">
        <f aca="false">IF(L409=0,0,Z409/L409)</f>
        <v>0.402149904285083</v>
      </c>
      <c r="AO409" s="81" t="str">
        <f aca="false">IF(AN409="","",IF(AN409&gt;=0.9,"🟢",IF(AN409&gt;=0.7,"🟡",IF(AN409&gt;=0.5,"🟠","🔴"))))</f>
        <v>🔴</v>
      </c>
      <c r="AP409" s="82" t="n">
        <f aca="false">IF(L409=0,0,L409-Z409)</f>
        <v>1136.8</v>
      </c>
      <c r="AQ409" s="83" t="n">
        <f aca="false">IF(AP409=0,"",RANK(AP409,AP$4:AP$503,0))</f>
        <v>368</v>
      </c>
      <c r="AR409" s="84" t="s">
        <v>20</v>
      </c>
      <c r="AS409" s="141"/>
      <c r="AT409" s="141"/>
      <c r="AU409" s="141"/>
      <c r="AV409" s="141"/>
      <c r="AW409" s="141"/>
      <c r="AX409" s="141"/>
      <c r="AY409" s="142"/>
      <c r="AZ409" s="142"/>
      <c r="BA409" s="56" t="s">
        <v>20</v>
      </c>
      <c r="BB409" s="91" t="n">
        <f aca="false">SUM(L$4:L$503)/COUNTA(A$4:A$503)</f>
        <v>9494.39992</v>
      </c>
      <c r="BC409" s="92" t="n">
        <f aca="false">SUM(M$4:M$503)/COUNTA(A$4:A$503)</f>
        <v>667.20008</v>
      </c>
      <c r="BD409" s="92" t="n">
        <f aca="false">SUM(N$4:N$503)/COUNTA(A$4:A$503)</f>
        <v>697.19996</v>
      </c>
      <c r="BE409" s="92" t="n">
        <f aca="false">SUM(O$4:O$503)/COUNTA(A$4:A$503)</f>
        <v>713.9999</v>
      </c>
      <c r="BF409" s="92" t="n">
        <f aca="false">SUM(P$4:P$503)/COUNTA(A$4:A$503)</f>
        <v>732.59984</v>
      </c>
      <c r="BG409" s="92" t="n">
        <f aca="false">SUM(Q$4:Q$503)/COUNTA(A$4:A$503)</f>
        <v>756.59992</v>
      </c>
      <c r="BH409" s="92" t="n">
        <f aca="false">SUM(R$4:R$503)/COUNTA(A$4:A$503)</f>
        <v>776.40004</v>
      </c>
      <c r="BI409" s="92" t="n">
        <f aca="false">SUM(S$4:S$503)/COUNTA(A$4:A$503)</f>
        <v>806.40012</v>
      </c>
      <c r="BJ409" s="92" t="n">
        <f aca="false">SUM(T$4:T$503)/COUNTA(A$4:A$503)</f>
        <v>826.1999</v>
      </c>
      <c r="BK409" s="92" t="n">
        <f aca="false">SUM(U$4:U$503)/COUNTA(A$4:A$503)</f>
        <v>844.8002</v>
      </c>
      <c r="BL409" s="92" t="n">
        <f aca="false">SUM(V$4:V$503)/COUNTA(A$4:A$503)</f>
        <v>865.7998</v>
      </c>
      <c r="BM409" s="92" t="n">
        <f aca="false">SUM(W$4:W$503)/COUNTA(A$4:A$503)</f>
        <v>888.59982</v>
      </c>
      <c r="BN409" s="93" t="n">
        <f aca="false">SUM(X$4:X$503)/COUNTA(A$4:A$503)</f>
        <v>918.60034</v>
      </c>
      <c r="BO409" s="94" t="s">
        <v>20</v>
      </c>
      <c r="BP409" s="91" t="n">
        <f aca="false">IF(Z409&gt;=BB409,0,IFERROR(BB409+(SUMPRODUCT((Z$4:Z$503&gt;=BB$4:BB$503)*(Z$4:Z$503-BB$4:BB$503))/MAX(1,COUNTIF(Z$4:Z$503,"&lt;"&amp;BB409+0.01))),BB409))</f>
        <v>10695.5432177778</v>
      </c>
      <c r="BQ409" s="92" t="n">
        <f aca="false">IF(AA409&gt;=BC409,0,IFERROR(BC409+SUMPRODUCT((AA$4:AA$503&gt;=BC$4:BC$503)*(AA$4:AA$503-BC$4:BC$503))/MAX(1,COUNTIF(AA$4:AA$503,"&lt;"&amp;BC409+0.01)),BC409))</f>
        <v>2238.46589176471</v>
      </c>
      <c r="BR409" s="92" t="n">
        <f aca="false">IF(AB409&gt;=BD409,0,IFERROR(BD409+SUMPRODUCT((AB$4:AB$503&gt;=BD$4:BD$503)*(AB$4:AB$503-BD$4:BD$503))/MAX(1,COUNTIF(AB$4:AB$503,"&lt;"&amp;BD409+0.01)),BD409))</f>
        <v>3335.2938</v>
      </c>
      <c r="BS409" s="92" t="n">
        <f aca="false">IF(AC409&gt;=BE409,0,IFERROR(BE409+SUMPRODUCT((AC$4:AC$503&gt;=BE$4:BE$503)*(AC$4:AC$503-BE$4:BE$503))/MAX(1,COUNTIF(AC$4:AC$503,"&lt;"&amp;BE409+0.01)),BE409))</f>
        <v>6188.73352</v>
      </c>
      <c r="BT409" s="92" t="n">
        <f aca="false">IF(AD409&gt;=BF409,0,IFERROR(BF409+SUMPRODUCT((AD$4:AD$503&gt;=BF$4:BF$503)*(AD$4:AD$503-BF$4:BF$503))/MAX(1,COUNTIF(AD$4:AD$503,"&lt;"&amp;BF409+0.01)),BF409))</f>
        <v>11354.35411</v>
      </c>
      <c r="BU409" s="92" t="n">
        <f aca="false">IF(AE409&gt;=BG409,0,IFERROR(BG409+SUMPRODUCT((AE$4:AE$503&gt;=BG$4:BG$503)*(AE$4:AE$503-BG$4:BG$503))/MAX(1,COUNTIF(AE$4:AE$503,"&lt;"&amp;BG409+0.01)),BG409))</f>
        <v>7704.85920380952</v>
      </c>
      <c r="BV409" s="92" t="n">
        <f aca="false">IF(AF409&gt;=BH409,0,IFERROR(BH409+SUMPRODUCT((AF$4:AF$503&gt;=BH$4:BH$503)*(AF$4:AF$503-BH$4:BH$503))/MAX(1,COUNTIF(AF$4:AF$503,"&lt;"&amp;BH409+0.01)),BH409))</f>
        <v>9942.6503831579</v>
      </c>
      <c r="BW409" s="92" t="n">
        <f aca="false">IF(AG409&gt;=BI409,0,IFERROR(BI409+SUMPRODUCT((AG$4:AG$503&gt;=BI$4:BI$503)*(AG$4:AG$503-BI$4:BI$503))/MAX(1,COUNTIF(AG$4:AG$503,"&lt;"&amp;BI409+0.01)),BI409))</f>
        <v>9142.15870461538</v>
      </c>
      <c r="BX409" s="92" t="n">
        <f aca="false">IF(AH409&gt;=BJ409,0,IFERROR(BJ409+SUMPRODUCT((AH$4:AH$503&gt;=BJ$4:BJ$503)*(AH$4:AH$503-BJ$4:BJ$503))/MAX(1,COUNTIF(AH$4:AH$503,"&lt;"&amp;BJ409+0.01)),BJ409))</f>
        <v>5621.50263448276</v>
      </c>
      <c r="BY409" s="92" t="n">
        <f aca="false">IF(AI409&gt;=BK409,0,IFERROR(BK409+SUMPRODUCT((AI$4:AI$503&gt;=BK$4:BK$503)*(AI$4:AI$503-BK$4:BK$503))/MAX(1,COUNTIF(AI$4:AI$503,"&lt;"&amp;BK409+0.01)),BK409))</f>
        <v>7878.25652380952</v>
      </c>
      <c r="BZ409" s="92" t="n">
        <f aca="false">IF(AJ409&gt;=BL409,0,IFERROR(BL409+SUMPRODUCT((AJ$4:AJ$503&gt;=BL$4:BL$503)*(AJ$4:AJ$503-BL$4:BL$503))/MAX(1,COUNTIF(AJ$4:AJ$503,"&lt;"&amp;BL409+0.01)),BL409))</f>
        <v>6710.03292307692</v>
      </c>
      <c r="CA409" s="92" t="n">
        <f aca="false">IF(AK409&gt;=BM409,0,IFERROR(BM409+SUMPRODUCT((AK$4:AK$503&gt;=BM$4:BM$503)*(AK$4:AK$503-BM$4:BM$503))/MAX(1,COUNTIF(AK$4:AK$503,"&lt;"&amp;BM409+0.01)),BM409))</f>
        <v>7314.89836842105</v>
      </c>
      <c r="CB409" s="93" t="n">
        <f aca="false">IF(AL409&gt;=BN409,0,IFERROR(BN409+SUMPRODUCT((AL$4:AL$503&gt;=BN$4:BN$503)*(AL$4:AL$503-BN$4:BN$503))/MAX(1,COUNTIF(AL$4:AL$503,"&lt;"&amp;BN409+0.01)),BN409))</f>
        <v>3597.2614925</v>
      </c>
      <c r="CC409" s="95" t="str">
        <f aca="false">IF(AO409="🟢","VERDE",IF(AO409="🟡","AMARELO",IF(AO409="🟠","VERMELHO",IF(AO409="🔴","VERMELHO","ROXO"))))</f>
        <v>VERMELHO</v>
      </c>
      <c r="CD409" s="96" t="s">
        <v>176</v>
      </c>
      <c r="CE409" s="96" t="s">
        <v>102</v>
      </c>
    </row>
    <row r="410" customFormat="false" ht="14.25" hidden="false" customHeight="true" outlineLevel="0" collapsed="false">
      <c r="A410" s="65" t="s">
        <v>954</v>
      </c>
      <c r="B410" s="66" t="s">
        <v>955</v>
      </c>
      <c r="C410" s="67" t="s">
        <v>107</v>
      </c>
      <c r="D410" s="68" t="s">
        <v>108</v>
      </c>
      <c r="E410" s="69" t="s">
        <v>196</v>
      </c>
      <c r="F410" s="70" t="n">
        <f aca="false">IFERROR(VLOOKUP(C410,$AS$3:$AT$10,2,FALSE()),IFERROR(VLOOKUP(C410,$AS$15:$AT$22,2,FALSE()),""))</f>
        <v>132</v>
      </c>
      <c r="G410" s="71" t="n">
        <f aca="false">IFERROR(VLOOKUP(C410,$AS$3:$AX$10,6,FALSE()),IFERROR(VLOOKUP(C410,$AS$15:$AX$22,6,FALSE()),""))</f>
        <v>0.468190175850689</v>
      </c>
      <c r="H410" s="72" t="str">
        <f aca="false">IFERROR(VLOOKUP(C410,$AS$3:$AY$10,7,FALSE()),IFERROR(VLOOKUP(C410,$AS$15:$AY$22,7,FALSE()),""))</f>
        <v>🟡 AMARELO</v>
      </c>
      <c r="I410" s="72" t="str">
        <f aca="false">IFERROR(VLOOKUP(C410,$AS$3:$AZ$10,8,FALSE()),IFERROR(VLOOKUP(C410,$AS$15:$AZ$22,8,FALSE()),""))</f>
        <v>Sell Out</v>
      </c>
      <c r="J410" s="73"/>
      <c r="K410" s="69" t="s">
        <v>107</v>
      </c>
      <c r="L410" s="74" t="n">
        <v>1901.09</v>
      </c>
      <c r="M410" s="75" t="n">
        <v>133.59</v>
      </c>
      <c r="N410" s="75" t="n">
        <v>139.6</v>
      </c>
      <c r="O410" s="75" t="n">
        <v>142.97</v>
      </c>
      <c r="P410" s="75" t="n">
        <v>146.69</v>
      </c>
      <c r="Q410" s="75" t="n">
        <v>151.5</v>
      </c>
      <c r="R410" s="75" t="n">
        <v>155.46</v>
      </c>
      <c r="S410" s="75" t="n">
        <v>161.47</v>
      </c>
      <c r="T410" s="75" t="n">
        <v>165.43</v>
      </c>
      <c r="U410" s="75" t="n">
        <v>169.16</v>
      </c>
      <c r="V410" s="75" t="n">
        <v>173.36</v>
      </c>
      <c r="W410" s="75" t="n">
        <v>177.93</v>
      </c>
      <c r="X410" s="76" t="n">
        <v>183.93</v>
      </c>
      <c r="Y410" s="77" t="s">
        <v>20</v>
      </c>
      <c r="Z410" s="78" t="n">
        <f aca="false">SUM(AA410:AL410)</f>
        <v>681.32</v>
      </c>
      <c r="AA410" s="75"/>
      <c r="AB410" s="75"/>
      <c r="AC410" s="75"/>
      <c r="AD410" s="75"/>
      <c r="AE410" s="75"/>
      <c r="AF410" s="79" t="n">
        <v>681.32</v>
      </c>
      <c r="AG410" s="75"/>
      <c r="AH410" s="75"/>
      <c r="AI410" s="75"/>
      <c r="AJ410" s="75"/>
      <c r="AK410" s="75"/>
      <c r="AL410" s="76"/>
      <c r="AM410" s="56" t="s">
        <v>20</v>
      </c>
      <c r="AN410" s="80" t="n">
        <f aca="false">IF(L410=0,0,Z410/L410)</f>
        <v>0.358383874514095</v>
      </c>
      <c r="AO410" s="81" t="str">
        <f aca="false">IF(AN410="","",IF(AN410&gt;=0.9,"🟢",IF(AN410&gt;=0.7,"🟡",IF(AN410&gt;=0.5,"🟠","🔴"))))</f>
        <v>🔴</v>
      </c>
      <c r="AP410" s="82" t="n">
        <f aca="false">IF(L410=0,0,L410-Z410)</f>
        <v>1219.77</v>
      </c>
      <c r="AQ410" s="83" t="n">
        <f aca="false">IF(AP410=0,"",RANK(AP410,AP$4:AP$503,0))</f>
        <v>358</v>
      </c>
      <c r="AR410" s="84" t="s">
        <v>20</v>
      </c>
      <c r="AS410" s="141"/>
      <c r="AT410" s="141"/>
      <c r="AU410" s="141"/>
      <c r="AV410" s="141"/>
      <c r="AW410" s="141"/>
      <c r="AX410" s="141"/>
      <c r="AY410" s="142"/>
      <c r="AZ410" s="142"/>
      <c r="BA410" s="56" t="s">
        <v>20</v>
      </c>
      <c r="BB410" s="91" t="n">
        <f aca="false">SUM(L$4:L$503)/COUNTA(A$4:A$503)</f>
        <v>9494.39992</v>
      </c>
      <c r="BC410" s="92" t="n">
        <f aca="false">SUM(M$4:M$503)/COUNTA(A$4:A$503)</f>
        <v>667.20008</v>
      </c>
      <c r="BD410" s="92" t="n">
        <f aca="false">SUM(N$4:N$503)/COUNTA(A$4:A$503)</f>
        <v>697.19996</v>
      </c>
      <c r="BE410" s="92" t="n">
        <f aca="false">SUM(O$4:O$503)/COUNTA(A$4:A$503)</f>
        <v>713.9999</v>
      </c>
      <c r="BF410" s="92" t="n">
        <f aca="false">SUM(P$4:P$503)/COUNTA(A$4:A$503)</f>
        <v>732.59984</v>
      </c>
      <c r="BG410" s="92" t="n">
        <f aca="false">SUM(Q$4:Q$503)/COUNTA(A$4:A$503)</f>
        <v>756.59992</v>
      </c>
      <c r="BH410" s="92" t="n">
        <f aca="false">SUM(R$4:R$503)/COUNTA(A$4:A$503)</f>
        <v>776.40004</v>
      </c>
      <c r="BI410" s="92" t="n">
        <f aca="false">SUM(S$4:S$503)/COUNTA(A$4:A$503)</f>
        <v>806.40012</v>
      </c>
      <c r="BJ410" s="92" t="n">
        <f aca="false">SUM(T$4:T$503)/COUNTA(A$4:A$503)</f>
        <v>826.1999</v>
      </c>
      <c r="BK410" s="92" t="n">
        <f aca="false">SUM(U$4:U$503)/COUNTA(A$4:A$503)</f>
        <v>844.8002</v>
      </c>
      <c r="BL410" s="92" t="n">
        <f aca="false">SUM(V$4:V$503)/COUNTA(A$4:A$503)</f>
        <v>865.7998</v>
      </c>
      <c r="BM410" s="92" t="n">
        <f aca="false">SUM(W$4:W$503)/COUNTA(A$4:A$503)</f>
        <v>888.59982</v>
      </c>
      <c r="BN410" s="93" t="n">
        <f aca="false">SUM(X$4:X$503)/COUNTA(A$4:A$503)</f>
        <v>918.60034</v>
      </c>
      <c r="BO410" s="94" t="s">
        <v>20</v>
      </c>
      <c r="BP410" s="91" t="n">
        <f aca="false">IF(Z410&gt;=BB410,0,IFERROR(BB410+(SUMPRODUCT((Z$4:Z$503&gt;=BB$4:BB$503)*(Z$4:Z$503-BB$4:BB$503))/MAX(1,COUNTIF(Z$4:Z$503,"&lt;"&amp;BB410+0.01))),BB410))</f>
        <v>10695.5432177778</v>
      </c>
      <c r="BQ410" s="92" t="n">
        <f aca="false">IF(AA410&gt;=BC410,0,IFERROR(BC410+SUMPRODUCT((AA$4:AA$503&gt;=BC$4:BC$503)*(AA$4:AA$503-BC$4:BC$503))/MAX(1,COUNTIF(AA$4:AA$503,"&lt;"&amp;BC410+0.01)),BC410))</f>
        <v>2238.46589176471</v>
      </c>
      <c r="BR410" s="92" t="n">
        <f aca="false">IF(AB410&gt;=BD410,0,IFERROR(BD410+SUMPRODUCT((AB$4:AB$503&gt;=BD$4:BD$503)*(AB$4:AB$503-BD$4:BD$503))/MAX(1,COUNTIF(AB$4:AB$503,"&lt;"&amp;BD410+0.01)),BD410))</f>
        <v>3335.2938</v>
      </c>
      <c r="BS410" s="92" t="n">
        <f aca="false">IF(AC410&gt;=BE410,0,IFERROR(BE410+SUMPRODUCT((AC$4:AC$503&gt;=BE$4:BE$503)*(AC$4:AC$503-BE$4:BE$503))/MAX(1,COUNTIF(AC$4:AC$503,"&lt;"&amp;BE410+0.01)),BE410))</f>
        <v>6188.73352</v>
      </c>
      <c r="BT410" s="92" t="n">
        <f aca="false">IF(AD410&gt;=BF410,0,IFERROR(BF410+SUMPRODUCT((AD$4:AD$503&gt;=BF$4:BF$503)*(AD$4:AD$503-BF$4:BF$503))/MAX(1,COUNTIF(AD$4:AD$503,"&lt;"&amp;BF410+0.01)),BF410))</f>
        <v>11354.35411</v>
      </c>
      <c r="BU410" s="92" t="n">
        <f aca="false">IF(AE410&gt;=BG410,0,IFERROR(BG410+SUMPRODUCT((AE$4:AE$503&gt;=BG$4:BG$503)*(AE$4:AE$503-BG$4:BG$503))/MAX(1,COUNTIF(AE$4:AE$503,"&lt;"&amp;BG410+0.01)),BG410))</f>
        <v>7704.85920380952</v>
      </c>
      <c r="BV410" s="92" t="n">
        <f aca="false">IF(AF410&gt;=BH410,0,IFERROR(BH410+SUMPRODUCT((AF$4:AF$503&gt;=BH$4:BH$503)*(AF$4:AF$503-BH$4:BH$503))/MAX(1,COUNTIF(AF$4:AF$503,"&lt;"&amp;BH410+0.01)),BH410))</f>
        <v>9942.6503831579</v>
      </c>
      <c r="BW410" s="92" t="n">
        <f aca="false">IF(AG410&gt;=BI410,0,IFERROR(BI410+SUMPRODUCT((AG$4:AG$503&gt;=BI$4:BI$503)*(AG$4:AG$503-BI$4:BI$503))/MAX(1,COUNTIF(AG$4:AG$503,"&lt;"&amp;BI410+0.01)),BI410))</f>
        <v>9142.15870461538</v>
      </c>
      <c r="BX410" s="92" t="n">
        <f aca="false">IF(AH410&gt;=BJ410,0,IFERROR(BJ410+SUMPRODUCT((AH$4:AH$503&gt;=BJ$4:BJ$503)*(AH$4:AH$503-BJ$4:BJ$503))/MAX(1,COUNTIF(AH$4:AH$503,"&lt;"&amp;BJ410+0.01)),BJ410))</f>
        <v>5621.50263448276</v>
      </c>
      <c r="BY410" s="92" t="n">
        <f aca="false">IF(AI410&gt;=BK410,0,IFERROR(BK410+SUMPRODUCT((AI$4:AI$503&gt;=BK$4:BK$503)*(AI$4:AI$503-BK$4:BK$503))/MAX(1,COUNTIF(AI$4:AI$503,"&lt;"&amp;BK410+0.01)),BK410))</f>
        <v>7878.25652380952</v>
      </c>
      <c r="BZ410" s="92" t="n">
        <f aca="false">IF(AJ410&gt;=BL410,0,IFERROR(BL410+SUMPRODUCT((AJ$4:AJ$503&gt;=BL$4:BL$503)*(AJ$4:AJ$503-BL$4:BL$503))/MAX(1,COUNTIF(AJ$4:AJ$503,"&lt;"&amp;BL410+0.01)),BL410))</f>
        <v>6710.03292307692</v>
      </c>
      <c r="CA410" s="92" t="n">
        <f aca="false">IF(AK410&gt;=BM410,0,IFERROR(BM410+SUMPRODUCT((AK$4:AK$503&gt;=BM$4:BM$503)*(AK$4:AK$503-BM$4:BM$503))/MAX(1,COUNTIF(AK$4:AK$503,"&lt;"&amp;BM410+0.01)),BM410))</f>
        <v>7314.89836842105</v>
      </c>
      <c r="CB410" s="93" t="n">
        <f aca="false">IF(AL410&gt;=BN410,0,IFERROR(BN410+SUMPRODUCT((AL$4:AL$503&gt;=BN$4:BN$503)*(AL$4:AL$503-BN$4:BN$503))/MAX(1,COUNTIF(AL$4:AL$503,"&lt;"&amp;BN410+0.01)),BN410))</f>
        <v>3597.2614925</v>
      </c>
      <c r="CC410" s="95" t="str">
        <f aca="false">IF(AO410="🟢","VERDE",IF(AO410="🟡","AMARELO",IF(AO410="🟠","VERMELHO",IF(AO410="🔴","VERMELHO","ROXO"))))</f>
        <v>VERMELHO</v>
      </c>
      <c r="CD410" s="96" t="s">
        <v>103</v>
      </c>
      <c r="CE410" s="96" t="s">
        <v>104</v>
      </c>
    </row>
    <row r="411" customFormat="false" ht="14.25" hidden="false" customHeight="true" outlineLevel="0" collapsed="false">
      <c r="A411" s="65" t="s">
        <v>956</v>
      </c>
      <c r="B411" s="66" t="s">
        <v>957</v>
      </c>
      <c r="C411" s="66" t="s">
        <v>102</v>
      </c>
      <c r="D411" s="68" t="s">
        <v>175</v>
      </c>
      <c r="E411" s="69" t="s">
        <v>139</v>
      </c>
      <c r="F411" s="70" t="n">
        <f aca="false">IFERROR(VLOOKUP(C411,$AS$3:$AT$10,2,FALSE()),IFERROR(VLOOKUP(C411,$AS$15:$AT$22,2,FALSE()),""))</f>
        <v>21</v>
      </c>
      <c r="G411" s="71" t="n">
        <f aca="false">IFERROR(VLOOKUP(C411,$AS$3:$AX$10,6,FALSE()),IFERROR(VLOOKUP(C411,$AS$15:$AX$22,6,FALSE()),""))</f>
        <v>0.491514556258592</v>
      </c>
      <c r="H411" s="72" t="str">
        <f aca="false">IFERROR(VLOOKUP(C411,$AS$3:$AY$10,7,FALSE()),IFERROR(VLOOKUP(C411,$AS$15:$AY$22,7,FALSE()),""))</f>
        <v>🟡 AMARELO</v>
      </c>
      <c r="I411" s="72" t="str">
        <f aca="false">IFERROR(VLOOKUP(C411,$AS$3:$AZ$10,8,FALSE()),IFERROR(VLOOKUP(C411,$AS$15:$AZ$22,8,FALSE()),""))</f>
        <v>Sell Out</v>
      </c>
      <c r="J411" s="73"/>
      <c r="K411" s="69" t="s">
        <v>107</v>
      </c>
      <c r="L411" s="74" t="n">
        <v>1882.09</v>
      </c>
      <c r="M411" s="75" t="n">
        <v>132.26</v>
      </c>
      <c r="N411" s="75" t="n">
        <v>138.21</v>
      </c>
      <c r="O411" s="75" t="n">
        <v>141.54</v>
      </c>
      <c r="P411" s="75" t="n">
        <v>145.22</v>
      </c>
      <c r="Q411" s="75" t="n">
        <v>149.98</v>
      </c>
      <c r="R411" s="75" t="n">
        <v>153.91</v>
      </c>
      <c r="S411" s="75" t="n">
        <v>159.85</v>
      </c>
      <c r="T411" s="75" t="n">
        <v>163.78</v>
      </c>
      <c r="U411" s="75" t="n">
        <v>167.47</v>
      </c>
      <c r="V411" s="75" t="n">
        <v>171.63</v>
      </c>
      <c r="W411" s="75" t="n">
        <v>176.15</v>
      </c>
      <c r="X411" s="76" t="n">
        <v>182.09</v>
      </c>
      <c r="Y411" s="77" t="s">
        <v>20</v>
      </c>
      <c r="Z411" s="78" t="n">
        <f aca="false">SUM(AA411:AL411)</f>
        <v>763.8</v>
      </c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6" t="n">
        <v>763.8</v>
      </c>
      <c r="AM411" s="56" t="s">
        <v>20</v>
      </c>
      <c r="AN411" s="80" t="n">
        <f aca="false">IF(L411=0,0,Z411/L411)</f>
        <v>0.405825438740974</v>
      </c>
      <c r="AO411" s="81" t="str">
        <f aca="false">IF(AN411="","",IF(AN411&gt;=0.9,"🟢",IF(AN411&gt;=0.7,"🟡",IF(AN411&gt;=0.5,"🟠","🔴"))))</f>
        <v>🔴</v>
      </c>
      <c r="AP411" s="82" t="n">
        <f aca="false">IF(L411=0,0,L411-Z411)</f>
        <v>1118.29</v>
      </c>
      <c r="AQ411" s="83" t="n">
        <f aca="false">IF(AP411=0,"",RANK(AP411,AP$4:AP$503,0))</f>
        <v>371</v>
      </c>
      <c r="AR411" s="84" t="s">
        <v>20</v>
      </c>
      <c r="AS411" s="141"/>
      <c r="AT411" s="141"/>
      <c r="AU411" s="141"/>
      <c r="AV411" s="141"/>
      <c r="AW411" s="141"/>
      <c r="AX411" s="141"/>
      <c r="AY411" s="142"/>
      <c r="AZ411" s="142"/>
      <c r="BA411" s="56" t="s">
        <v>20</v>
      </c>
      <c r="BB411" s="91" t="n">
        <f aca="false">SUM(L$4:L$503)/COUNTA(A$4:A$503)</f>
        <v>9494.39992</v>
      </c>
      <c r="BC411" s="92" t="n">
        <f aca="false">SUM(M$4:M$503)/COUNTA(A$4:A$503)</f>
        <v>667.20008</v>
      </c>
      <c r="BD411" s="92" t="n">
        <f aca="false">SUM(N$4:N$503)/COUNTA(A$4:A$503)</f>
        <v>697.19996</v>
      </c>
      <c r="BE411" s="92" t="n">
        <f aca="false">SUM(O$4:O$503)/COUNTA(A$4:A$503)</f>
        <v>713.9999</v>
      </c>
      <c r="BF411" s="92" t="n">
        <f aca="false">SUM(P$4:P$503)/COUNTA(A$4:A$503)</f>
        <v>732.59984</v>
      </c>
      <c r="BG411" s="92" t="n">
        <f aca="false">SUM(Q$4:Q$503)/COUNTA(A$4:A$503)</f>
        <v>756.59992</v>
      </c>
      <c r="BH411" s="92" t="n">
        <f aca="false">SUM(R$4:R$503)/COUNTA(A$4:A$503)</f>
        <v>776.40004</v>
      </c>
      <c r="BI411" s="92" t="n">
        <f aca="false">SUM(S$4:S$503)/COUNTA(A$4:A$503)</f>
        <v>806.40012</v>
      </c>
      <c r="BJ411" s="92" t="n">
        <f aca="false">SUM(T$4:T$503)/COUNTA(A$4:A$503)</f>
        <v>826.1999</v>
      </c>
      <c r="BK411" s="92" t="n">
        <f aca="false">SUM(U$4:U$503)/COUNTA(A$4:A$503)</f>
        <v>844.8002</v>
      </c>
      <c r="BL411" s="92" t="n">
        <f aca="false">SUM(V$4:V$503)/COUNTA(A$4:A$503)</f>
        <v>865.7998</v>
      </c>
      <c r="BM411" s="92" t="n">
        <f aca="false">SUM(W$4:W$503)/COUNTA(A$4:A$503)</f>
        <v>888.59982</v>
      </c>
      <c r="BN411" s="93" t="n">
        <f aca="false">SUM(X$4:X$503)/COUNTA(A$4:A$503)</f>
        <v>918.60034</v>
      </c>
      <c r="BO411" s="94" t="s">
        <v>20</v>
      </c>
      <c r="BP411" s="91" t="n">
        <f aca="false">IF(Z411&gt;=BB411,0,IFERROR(BB411+(SUMPRODUCT((Z$4:Z$503&gt;=BB$4:BB$503)*(Z$4:Z$503-BB$4:BB$503))/MAX(1,COUNTIF(Z$4:Z$503,"&lt;"&amp;BB411+0.01))),BB411))</f>
        <v>10695.5432177778</v>
      </c>
      <c r="BQ411" s="92" t="n">
        <f aca="false">IF(AA411&gt;=BC411,0,IFERROR(BC411+SUMPRODUCT((AA$4:AA$503&gt;=BC$4:BC$503)*(AA$4:AA$503-BC$4:BC$503))/MAX(1,COUNTIF(AA$4:AA$503,"&lt;"&amp;BC411+0.01)),BC411))</f>
        <v>2238.46589176471</v>
      </c>
      <c r="BR411" s="92" t="n">
        <f aca="false">IF(AB411&gt;=BD411,0,IFERROR(BD411+SUMPRODUCT((AB$4:AB$503&gt;=BD$4:BD$503)*(AB$4:AB$503-BD$4:BD$503))/MAX(1,COUNTIF(AB$4:AB$503,"&lt;"&amp;BD411+0.01)),BD411))</f>
        <v>3335.2938</v>
      </c>
      <c r="BS411" s="92" t="n">
        <f aca="false">IF(AC411&gt;=BE411,0,IFERROR(BE411+SUMPRODUCT((AC$4:AC$503&gt;=BE$4:BE$503)*(AC$4:AC$503-BE$4:BE$503))/MAX(1,COUNTIF(AC$4:AC$503,"&lt;"&amp;BE411+0.01)),BE411))</f>
        <v>6188.73352</v>
      </c>
      <c r="BT411" s="92" t="n">
        <f aca="false">IF(AD411&gt;=BF411,0,IFERROR(BF411+SUMPRODUCT((AD$4:AD$503&gt;=BF$4:BF$503)*(AD$4:AD$503-BF$4:BF$503))/MAX(1,COUNTIF(AD$4:AD$503,"&lt;"&amp;BF411+0.01)),BF411))</f>
        <v>11354.35411</v>
      </c>
      <c r="BU411" s="92" t="n">
        <f aca="false">IF(AE411&gt;=BG411,0,IFERROR(BG411+SUMPRODUCT((AE$4:AE$503&gt;=BG$4:BG$503)*(AE$4:AE$503-BG$4:BG$503))/MAX(1,COUNTIF(AE$4:AE$503,"&lt;"&amp;BG411+0.01)),BG411))</f>
        <v>7704.85920380952</v>
      </c>
      <c r="BV411" s="92" t="n">
        <f aca="false">IF(AF411&gt;=BH411,0,IFERROR(BH411+SUMPRODUCT((AF$4:AF$503&gt;=BH$4:BH$503)*(AF$4:AF$503-BH$4:BH$503))/MAX(1,COUNTIF(AF$4:AF$503,"&lt;"&amp;BH411+0.01)),BH411))</f>
        <v>9942.6503831579</v>
      </c>
      <c r="BW411" s="92" t="n">
        <f aca="false">IF(AG411&gt;=BI411,0,IFERROR(BI411+SUMPRODUCT((AG$4:AG$503&gt;=BI$4:BI$503)*(AG$4:AG$503-BI$4:BI$503))/MAX(1,COUNTIF(AG$4:AG$503,"&lt;"&amp;BI411+0.01)),BI411))</f>
        <v>9142.15870461538</v>
      </c>
      <c r="BX411" s="92" t="n">
        <f aca="false">IF(AH411&gt;=BJ411,0,IFERROR(BJ411+SUMPRODUCT((AH$4:AH$503&gt;=BJ$4:BJ$503)*(AH$4:AH$503-BJ$4:BJ$503))/MAX(1,COUNTIF(AH$4:AH$503,"&lt;"&amp;BJ411+0.01)),BJ411))</f>
        <v>5621.50263448276</v>
      </c>
      <c r="BY411" s="92" t="n">
        <f aca="false">IF(AI411&gt;=BK411,0,IFERROR(BK411+SUMPRODUCT((AI$4:AI$503&gt;=BK$4:BK$503)*(AI$4:AI$503-BK$4:BK$503))/MAX(1,COUNTIF(AI$4:AI$503,"&lt;"&amp;BK411+0.01)),BK411))</f>
        <v>7878.25652380952</v>
      </c>
      <c r="BZ411" s="92" t="n">
        <f aca="false">IF(AJ411&gt;=BL411,0,IFERROR(BL411+SUMPRODUCT((AJ$4:AJ$503&gt;=BL$4:BL$503)*(AJ$4:AJ$503-BL$4:BL$503))/MAX(1,COUNTIF(AJ$4:AJ$503,"&lt;"&amp;BL411+0.01)),BL411))</f>
        <v>6710.03292307692</v>
      </c>
      <c r="CA411" s="92" t="n">
        <f aca="false">IF(AK411&gt;=BM411,0,IFERROR(BM411+SUMPRODUCT((AK$4:AK$503&gt;=BM$4:BM$503)*(AK$4:AK$503-BM$4:BM$503))/MAX(1,COUNTIF(AK$4:AK$503,"&lt;"&amp;BM411+0.01)),BM411))</f>
        <v>7314.89836842105</v>
      </c>
      <c r="CB411" s="93" t="n">
        <f aca="false">IF(AL411&gt;=BN411,0,IFERROR(BN411+SUMPRODUCT((AL$4:AL$503&gt;=BN$4:BN$503)*(AL$4:AL$503-BN$4:BN$503))/MAX(1,COUNTIF(AL$4:AL$503,"&lt;"&amp;BN411+0.01)),BN411))</f>
        <v>3597.2614925</v>
      </c>
      <c r="CC411" s="95" t="str">
        <f aca="false">IF(AO411="🟢","VERDE",IF(AO411="🟡","AMARELO",IF(AO411="🟠","VERMELHO",IF(AO411="🔴","VERMELHO","ROXO"))))</f>
        <v>VERMELHO</v>
      </c>
      <c r="CD411" s="96" t="s">
        <v>176</v>
      </c>
      <c r="CE411" s="96" t="s">
        <v>102</v>
      </c>
    </row>
    <row r="412" customFormat="false" ht="14.25" hidden="false" customHeight="true" outlineLevel="0" collapsed="false">
      <c r="A412" s="65" t="s">
        <v>958</v>
      </c>
      <c r="B412" s="66" t="s">
        <v>959</v>
      </c>
      <c r="C412" s="67" t="s">
        <v>107</v>
      </c>
      <c r="D412" s="68" t="s">
        <v>108</v>
      </c>
      <c r="E412" s="69" t="s">
        <v>196</v>
      </c>
      <c r="F412" s="70" t="n">
        <f aca="false">IFERROR(VLOOKUP(C412,$AS$3:$AT$10,2,FALSE()),IFERROR(VLOOKUP(C412,$AS$15:$AT$22,2,FALSE()),""))</f>
        <v>132</v>
      </c>
      <c r="G412" s="71" t="n">
        <f aca="false">IFERROR(VLOOKUP(C412,$AS$3:$AX$10,6,FALSE()),IFERROR(VLOOKUP(C412,$AS$15:$AX$22,6,FALSE()),""))</f>
        <v>0.468190175850689</v>
      </c>
      <c r="H412" s="72" t="str">
        <f aca="false">IFERROR(VLOOKUP(C412,$AS$3:$AY$10,7,FALSE()),IFERROR(VLOOKUP(C412,$AS$15:$AY$22,7,FALSE()),""))</f>
        <v>🟡 AMARELO</v>
      </c>
      <c r="I412" s="72" t="str">
        <f aca="false">IFERROR(VLOOKUP(C412,$AS$3:$AZ$10,8,FALSE()),IFERROR(VLOOKUP(C412,$AS$15:$AZ$22,8,FALSE()),""))</f>
        <v>Sell Out</v>
      </c>
      <c r="J412" s="73"/>
      <c r="K412" s="69" t="s">
        <v>107</v>
      </c>
      <c r="L412" s="74" t="n">
        <v>1880.25</v>
      </c>
      <c r="M412" s="75" t="n">
        <v>132.13</v>
      </c>
      <c r="N412" s="75" t="n">
        <v>138.07</v>
      </c>
      <c r="O412" s="75" t="n">
        <v>141.4</v>
      </c>
      <c r="P412" s="75" t="n">
        <v>145.08</v>
      </c>
      <c r="Q412" s="75" t="n">
        <v>149.83</v>
      </c>
      <c r="R412" s="75" t="n">
        <v>153.76</v>
      </c>
      <c r="S412" s="75" t="n">
        <v>159.7</v>
      </c>
      <c r="T412" s="75" t="n">
        <v>163.62</v>
      </c>
      <c r="U412" s="75" t="n">
        <v>167.3</v>
      </c>
      <c r="V412" s="75" t="n">
        <v>171.46</v>
      </c>
      <c r="W412" s="75" t="n">
        <v>175.98</v>
      </c>
      <c r="X412" s="76" t="n">
        <v>181.92</v>
      </c>
      <c r="Y412" s="77" t="s">
        <v>20</v>
      </c>
      <c r="Z412" s="78" t="n">
        <f aca="false">SUM(AA412:AL412)</f>
        <v>773.69</v>
      </c>
      <c r="AA412" s="75"/>
      <c r="AB412" s="75"/>
      <c r="AC412" s="75"/>
      <c r="AD412" s="75"/>
      <c r="AE412" s="75"/>
      <c r="AF412" s="75"/>
      <c r="AG412" s="75"/>
      <c r="AH412" s="75"/>
      <c r="AI412" s="79" t="n">
        <v>773.69</v>
      </c>
      <c r="AJ412" s="75"/>
      <c r="AK412" s="75"/>
      <c r="AL412" s="76"/>
      <c r="AM412" s="56" t="s">
        <v>20</v>
      </c>
      <c r="AN412" s="80" t="n">
        <f aca="false">IF(L412=0,0,Z412/L412)</f>
        <v>0.411482515622923</v>
      </c>
      <c r="AO412" s="81" t="str">
        <f aca="false">IF(AN412="","",IF(AN412&gt;=0.9,"🟢",IF(AN412&gt;=0.7,"🟡",IF(AN412&gt;=0.5,"🟠","🔴"))))</f>
        <v>🔴</v>
      </c>
      <c r="AP412" s="82" t="n">
        <f aca="false">IF(L412=0,0,L412-Z412)</f>
        <v>1106.56</v>
      </c>
      <c r="AQ412" s="83" t="n">
        <f aca="false">IF(AP412=0,"",RANK(AP412,AP$4:AP$503,0))</f>
        <v>372</v>
      </c>
      <c r="AR412" s="84" t="s">
        <v>20</v>
      </c>
      <c r="AS412" s="141"/>
      <c r="AT412" s="141"/>
      <c r="AU412" s="141"/>
      <c r="AV412" s="141"/>
      <c r="AW412" s="141"/>
      <c r="AX412" s="141"/>
      <c r="AY412" s="142"/>
      <c r="AZ412" s="142"/>
      <c r="BA412" s="56" t="s">
        <v>20</v>
      </c>
      <c r="BB412" s="91" t="n">
        <f aca="false">SUM(L$4:L$503)/COUNTA(A$4:A$503)</f>
        <v>9494.39992</v>
      </c>
      <c r="BC412" s="92" t="n">
        <f aca="false">SUM(M$4:M$503)/COUNTA(A$4:A$503)</f>
        <v>667.20008</v>
      </c>
      <c r="BD412" s="92" t="n">
        <f aca="false">SUM(N$4:N$503)/COUNTA(A$4:A$503)</f>
        <v>697.19996</v>
      </c>
      <c r="BE412" s="92" t="n">
        <f aca="false">SUM(O$4:O$503)/COUNTA(A$4:A$503)</f>
        <v>713.9999</v>
      </c>
      <c r="BF412" s="92" t="n">
        <f aca="false">SUM(P$4:P$503)/COUNTA(A$4:A$503)</f>
        <v>732.59984</v>
      </c>
      <c r="BG412" s="92" t="n">
        <f aca="false">SUM(Q$4:Q$503)/COUNTA(A$4:A$503)</f>
        <v>756.59992</v>
      </c>
      <c r="BH412" s="92" t="n">
        <f aca="false">SUM(R$4:R$503)/COUNTA(A$4:A$503)</f>
        <v>776.40004</v>
      </c>
      <c r="BI412" s="92" t="n">
        <f aca="false">SUM(S$4:S$503)/COUNTA(A$4:A$503)</f>
        <v>806.40012</v>
      </c>
      <c r="BJ412" s="92" t="n">
        <f aca="false">SUM(T$4:T$503)/COUNTA(A$4:A$503)</f>
        <v>826.1999</v>
      </c>
      <c r="BK412" s="92" t="n">
        <f aca="false">SUM(U$4:U$503)/COUNTA(A$4:A$503)</f>
        <v>844.8002</v>
      </c>
      <c r="BL412" s="92" t="n">
        <f aca="false">SUM(V$4:V$503)/COUNTA(A$4:A$503)</f>
        <v>865.7998</v>
      </c>
      <c r="BM412" s="92" t="n">
        <f aca="false">SUM(W$4:W$503)/COUNTA(A$4:A$503)</f>
        <v>888.59982</v>
      </c>
      <c r="BN412" s="93" t="n">
        <f aca="false">SUM(X$4:X$503)/COUNTA(A$4:A$503)</f>
        <v>918.60034</v>
      </c>
      <c r="BO412" s="94" t="s">
        <v>20</v>
      </c>
      <c r="BP412" s="91" t="n">
        <f aca="false">IF(Z412&gt;=BB412,0,IFERROR(BB412+(SUMPRODUCT((Z$4:Z$503&gt;=BB$4:BB$503)*(Z$4:Z$503-BB$4:BB$503))/MAX(1,COUNTIF(Z$4:Z$503,"&lt;"&amp;BB412+0.01))),BB412))</f>
        <v>10695.5432177778</v>
      </c>
      <c r="BQ412" s="92" t="n">
        <f aca="false">IF(AA412&gt;=BC412,0,IFERROR(BC412+SUMPRODUCT((AA$4:AA$503&gt;=BC$4:BC$503)*(AA$4:AA$503-BC$4:BC$503))/MAX(1,COUNTIF(AA$4:AA$503,"&lt;"&amp;BC412+0.01)),BC412))</f>
        <v>2238.46589176471</v>
      </c>
      <c r="BR412" s="92" t="n">
        <f aca="false">IF(AB412&gt;=BD412,0,IFERROR(BD412+SUMPRODUCT((AB$4:AB$503&gt;=BD$4:BD$503)*(AB$4:AB$503-BD$4:BD$503))/MAX(1,COUNTIF(AB$4:AB$503,"&lt;"&amp;BD412+0.01)),BD412))</f>
        <v>3335.2938</v>
      </c>
      <c r="BS412" s="92" t="n">
        <f aca="false">IF(AC412&gt;=BE412,0,IFERROR(BE412+SUMPRODUCT((AC$4:AC$503&gt;=BE$4:BE$503)*(AC$4:AC$503-BE$4:BE$503))/MAX(1,COUNTIF(AC$4:AC$503,"&lt;"&amp;BE412+0.01)),BE412))</f>
        <v>6188.73352</v>
      </c>
      <c r="BT412" s="92" t="n">
        <f aca="false">IF(AD412&gt;=BF412,0,IFERROR(BF412+SUMPRODUCT((AD$4:AD$503&gt;=BF$4:BF$503)*(AD$4:AD$503-BF$4:BF$503))/MAX(1,COUNTIF(AD$4:AD$503,"&lt;"&amp;BF412+0.01)),BF412))</f>
        <v>11354.35411</v>
      </c>
      <c r="BU412" s="92" t="n">
        <f aca="false">IF(AE412&gt;=BG412,0,IFERROR(BG412+SUMPRODUCT((AE$4:AE$503&gt;=BG$4:BG$503)*(AE$4:AE$503-BG$4:BG$503))/MAX(1,COUNTIF(AE$4:AE$503,"&lt;"&amp;BG412+0.01)),BG412))</f>
        <v>7704.85920380952</v>
      </c>
      <c r="BV412" s="92" t="n">
        <f aca="false">IF(AF412&gt;=BH412,0,IFERROR(BH412+SUMPRODUCT((AF$4:AF$503&gt;=BH$4:BH$503)*(AF$4:AF$503-BH$4:BH$503))/MAX(1,COUNTIF(AF$4:AF$503,"&lt;"&amp;BH412+0.01)),BH412))</f>
        <v>9942.6503831579</v>
      </c>
      <c r="BW412" s="92" t="n">
        <f aca="false">IF(AG412&gt;=BI412,0,IFERROR(BI412+SUMPRODUCT((AG$4:AG$503&gt;=BI$4:BI$503)*(AG$4:AG$503-BI$4:BI$503))/MAX(1,COUNTIF(AG$4:AG$503,"&lt;"&amp;BI412+0.01)),BI412))</f>
        <v>9142.15870461538</v>
      </c>
      <c r="BX412" s="92" t="n">
        <f aca="false">IF(AH412&gt;=BJ412,0,IFERROR(BJ412+SUMPRODUCT((AH$4:AH$503&gt;=BJ$4:BJ$503)*(AH$4:AH$503-BJ$4:BJ$503))/MAX(1,COUNTIF(AH$4:AH$503,"&lt;"&amp;BJ412+0.01)),BJ412))</f>
        <v>5621.50263448276</v>
      </c>
      <c r="BY412" s="92" t="n">
        <f aca="false">IF(AI412&gt;=BK412,0,IFERROR(BK412+SUMPRODUCT((AI$4:AI$503&gt;=BK$4:BK$503)*(AI$4:AI$503-BK$4:BK$503))/MAX(1,COUNTIF(AI$4:AI$503,"&lt;"&amp;BK412+0.01)),BK412))</f>
        <v>7878.25652380952</v>
      </c>
      <c r="BZ412" s="92" t="n">
        <f aca="false">IF(AJ412&gt;=BL412,0,IFERROR(BL412+SUMPRODUCT((AJ$4:AJ$503&gt;=BL$4:BL$503)*(AJ$4:AJ$503-BL$4:BL$503))/MAX(1,COUNTIF(AJ$4:AJ$503,"&lt;"&amp;BL412+0.01)),BL412))</f>
        <v>6710.03292307692</v>
      </c>
      <c r="CA412" s="92" t="n">
        <f aca="false">IF(AK412&gt;=BM412,0,IFERROR(BM412+SUMPRODUCT((AK$4:AK$503&gt;=BM$4:BM$503)*(AK$4:AK$503-BM$4:BM$503))/MAX(1,COUNTIF(AK$4:AK$503,"&lt;"&amp;BM412+0.01)),BM412))</f>
        <v>7314.89836842105</v>
      </c>
      <c r="CB412" s="93" t="n">
        <f aca="false">IF(AL412&gt;=BN412,0,IFERROR(BN412+SUMPRODUCT((AL$4:AL$503&gt;=BN$4:BN$503)*(AL$4:AL$503-BN$4:BN$503))/MAX(1,COUNTIF(AL$4:AL$503,"&lt;"&amp;BN412+0.01)),BN412))</f>
        <v>3597.2614925</v>
      </c>
      <c r="CC412" s="95" t="str">
        <f aca="false">IF(AO412="🟢","VERDE",IF(AO412="🟡","AMARELO",IF(AO412="🟠","VERMELHO",IF(AO412="🔴","VERMELHO","ROXO"))))</f>
        <v>VERMELHO</v>
      </c>
      <c r="CD412" s="96" t="s">
        <v>103</v>
      </c>
      <c r="CE412" s="96" t="s">
        <v>104</v>
      </c>
    </row>
    <row r="413" customFormat="false" ht="14.25" hidden="false" customHeight="true" outlineLevel="0" collapsed="false">
      <c r="A413" s="65" t="s">
        <v>960</v>
      </c>
      <c r="B413" s="66" t="s">
        <v>961</v>
      </c>
      <c r="C413" s="67" t="s">
        <v>107</v>
      </c>
      <c r="D413" s="68" t="s">
        <v>108</v>
      </c>
      <c r="E413" s="69" t="s">
        <v>109</v>
      </c>
      <c r="F413" s="70" t="n">
        <f aca="false">IFERROR(VLOOKUP(C413,$AS$3:$AT$10,2,FALSE()),IFERROR(VLOOKUP(C413,$AS$15:$AT$22,2,FALSE()),""))</f>
        <v>132</v>
      </c>
      <c r="G413" s="71" t="n">
        <f aca="false">IFERROR(VLOOKUP(C413,$AS$3:$AX$10,6,FALSE()),IFERROR(VLOOKUP(C413,$AS$15:$AX$22,6,FALSE()),""))</f>
        <v>0.468190175850689</v>
      </c>
      <c r="H413" s="72" t="str">
        <f aca="false">IFERROR(VLOOKUP(C413,$AS$3:$AY$10,7,FALSE()),IFERROR(VLOOKUP(C413,$AS$15:$AY$22,7,FALSE()),""))</f>
        <v>🟡 AMARELO</v>
      </c>
      <c r="I413" s="72" t="str">
        <f aca="false">IFERROR(VLOOKUP(C413,$AS$3:$AZ$10,8,FALSE()),IFERROR(VLOOKUP(C413,$AS$15:$AZ$22,8,FALSE()),""))</f>
        <v>Sell Out</v>
      </c>
      <c r="J413" s="73"/>
      <c r="K413" s="69" t="s">
        <v>107</v>
      </c>
      <c r="L413" s="74" t="n">
        <v>1872.49</v>
      </c>
      <c r="M413" s="75" t="n">
        <v>131.59</v>
      </c>
      <c r="N413" s="75" t="n">
        <v>137.5</v>
      </c>
      <c r="O413" s="75" t="n">
        <v>140.82</v>
      </c>
      <c r="P413" s="75" t="n">
        <v>144.48</v>
      </c>
      <c r="Q413" s="75" t="n">
        <v>149.22</v>
      </c>
      <c r="R413" s="75" t="n">
        <v>153.12</v>
      </c>
      <c r="S413" s="75" t="n">
        <v>159.04</v>
      </c>
      <c r="T413" s="75" t="n">
        <v>162.94</v>
      </c>
      <c r="U413" s="75" t="n">
        <v>166.61</v>
      </c>
      <c r="V413" s="75" t="n">
        <v>170.75</v>
      </c>
      <c r="W413" s="75" t="n">
        <v>175.25</v>
      </c>
      <c r="X413" s="76" t="n">
        <v>181.17</v>
      </c>
      <c r="Y413" s="77" t="s">
        <v>20</v>
      </c>
      <c r="Z413" s="78" t="n">
        <f aca="false">SUM(AA413:AL413)</f>
        <v>753.03</v>
      </c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107" t="n">
        <v>753.03</v>
      </c>
      <c r="AM413" s="56" t="s">
        <v>20</v>
      </c>
      <c r="AN413" s="80" t="n">
        <f aca="false">IF(L413=0,0,Z413/L413)</f>
        <v>0.402154350624035</v>
      </c>
      <c r="AO413" s="81" t="str">
        <f aca="false">IF(AN413="","",IF(AN413&gt;=0.9,"🟢",IF(AN413&gt;=0.7,"🟡",IF(AN413&gt;=0.5,"🟠","🔴"))))</f>
        <v>🔴</v>
      </c>
      <c r="AP413" s="82" t="n">
        <f aca="false">IF(L413=0,0,L413-Z413)</f>
        <v>1119.46</v>
      </c>
      <c r="AQ413" s="83" t="n">
        <f aca="false">IF(AP413=0,"",RANK(AP413,AP$4:AP$503,0))</f>
        <v>370</v>
      </c>
      <c r="AR413" s="84" t="s">
        <v>20</v>
      </c>
      <c r="AS413" s="141"/>
      <c r="AT413" s="141"/>
      <c r="AU413" s="141"/>
      <c r="AV413" s="141"/>
      <c r="AW413" s="141"/>
      <c r="AX413" s="141"/>
      <c r="AY413" s="142"/>
      <c r="AZ413" s="142"/>
      <c r="BA413" s="56" t="s">
        <v>20</v>
      </c>
      <c r="BB413" s="91" t="n">
        <f aca="false">SUM(L$4:L$503)/COUNTA(A$4:A$503)</f>
        <v>9494.39992</v>
      </c>
      <c r="BC413" s="92" t="n">
        <f aca="false">SUM(M$4:M$503)/COUNTA(A$4:A$503)</f>
        <v>667.20008</v>
      </c>
      <c r="BD413" s="92" t="n">
        <f aca="false">SUM(N$4:N$503)/COUNTA(A$4:A$503)</f>
        <v>697.19996</v>
      </c>
      <c r="BE413" s="92" t="n">
        <f aca="false">SUM(O$4:O$503)/COUNTA(A$4:A$503)</f>
        <v>713.9999</v>
      </c>
      <c r="BF413" s="92" t="n">
        <f aca="false">SUM(P$4:P$503)/COUNTA(A$4:A$503)</f>
        <v>732.59984</v>
      </c>
      <c r="BG413" s="92" t="n">
        <f aca="false">SUM(Q$4:Q$503)/COUNTA(A$4:A$503)</f>
        <v>756.59992</v>
      </c>
      <c r="BH413" s="92" t="n">
        <f aca="false">SUM(R$4:R$503)/COUNTA(A$4:A$503)</f>
        <v>776.40004</v>
      </c>
      <c r="BI413" s="92" t="n">
        <f aca="false">SUM(S$4:S$503)/COUNTA(A$4:A$503)</f>
        <v>806.40012</v>
      </c>
      <c r="BJ413" s="92" t="n">
        <f aca="false">SUM(T$4:T$503)/COUNTA(A$4:A$503)</f>
        <v>826.1999</v>
      </c>
      <c r="BK413" s="92" t="n">
        <f aca="false">SUM(U$4:U$503)/COUNTA(A$4:A$503)</f>
        <v>844.8002</v>
      </c>
      <c r="BL413" s="92" t="n">
        <f aca="false">SUM(V$4:V$503)/COUNTA(A$4:A$503)</f>
        <v>865.7998</v>
      </c>
      <c r="BM413" s="92" t="n">
        <f aca="false">SUM(W$4:W$503)/COUNTA(A$4:A$503)</f>
        <v>888.59982</v>
      </c>
      <c r="BN413" s="93" t="n">
        <f aca="false">SUM(X$4:X$503)/COUNTA(A$4:A$503)</f>
        <v>918.60034</v>
      </c>
      <c r="BO413" s="94" t="s">
        <v>20</v>
      </c>
      <c r="BP413" s="91" t="n">
        <f aca="false">IF(Z413&gt;=BB413,0,IFERROR(BB413+(SUMPRODUCT((Z$4:Z$503&gt;=BB$4:BB$503)*(Z$4:Z$503-BB$4:BB$503))/MAX(1,COUNTIF(Z$4:Z$503,"&lt;"&amp;BB413+0.01))),BB413))</f>
        <v>10695.5432177778</v>
      </c>
      <c r="BQ413" s="92" t="n">
        <f aca="false">IF(AA413&gt;=BC413,0,IFERROR(BC413+SUMPRODUCT((AA$4:AA$503&gt;=BC$4:BC$503)*(AA$4:AA$503-BC$4:BC$503))/MAX(1,COUNTIF(AA$4:AA$503,"&lt;"&amp;BC413+0.01)),BC413))</f>
        <v>2238.46589176471</v>
      </c>
      <c r="BR413" s="92" t="n">
        <f aca="false">IF(AB413&gt;=BD413,0,IFERROR(BD413+SUMPRODUCT((AB$4:AB$503&gt;=BD$4:BD$503)*(AB$4:AB$503-BD$4:BD$503))/MAX(1,COUNTIF(AB$4:AB$503,"&lt;"&amp;BD413+0.01)),BD413))</f>
        <v>3335.2938</v>
      </c>
      <c r="BS413" s="92" t="n">
        <f aca="false">IF(AC413&gt;=BE413,0,IFERROR(BE413+SUMPRODUCT((AC$4:AC$503&gt;=BE$4:BE$503)*(AC$4:AC$503-BE$4:BE$503))/MAX(1,COUNTIF(AC$4:AC$503,"&lt;"&amp;BE413+0.01)),BE413))</f>
        <v>6188.73352</v>
      </c>
      <c r="BT413" s="92" t="n">
        <f aca="false">IF(AD413&gt;=BF413,0,IFERROR(BF413+SUMPRODUCT((AD$4:AD$503&gt;=BF$4:BF$503)*(AD$4:AD$503-BF$4:BF$503))/MAX(1,COUNTIF(AD$4:AD$503,"&lt;"&amp;BF413+0.01)),BF413))</f>
        <v>11354.35411</v>
      </c>
      <c r="BU413" s="92" t="n">
        <f aca="false">IF(AE413&gt;=BG413,0,IFERROR(BG413+SUMPRODUCT((AE$4:AE$503&gt;=BG$4:BG$503)*(AE$4:AE$503-BG$4:BG$503))/MAX(1,COUNTIF(AE$4:AE$503,"&lt;"&amp;BG413+0.01)),BG413))</f>
        <v>7704.85920380952</v>
      </c>
      <c r="BV413" s="92" t="n">
        <f aca="false">IF(AF413&gt;=BH413,0,IFERROR(BH413+SUMPRODUCT((AF$4:AF$503&gt;=BH$4:BH$503)*(AF$4:AF$503-BH$4:BH$503))/MAX(1,COUNTIF(AF$4:AF$503,"&lt;"&amp;BH413+0.01)),BH413))</f>
        <v>9942.6503831579</v>
      </c>
      <c r="BW413" s="92" t="n">
        <f aca="false">IF(AG413&gt;=BI413,0,IFERROR(BI413+SUMPRODUCT((AG$4:AG$503&gt;=BI$4:BI$503)*(AG$4:AG$503-BI$4:BI$503))/MAX(1,COUNTIF(AG$4:AG$503,"&lt;"&amp;BI413+0.01)),BI413))</f>
        <v>9142.15870461538</v>
      </c>
      <c r="BX413" s="92" t="n">
        <f aca="false">IF(AH413&gt;=BJ413,0,IFERROR(BJ413+SUMPRODUCT((AH$4:AH$503&gt;=BJ$4:BJ$503)*(AH$4:AH$503-BJ$4:BJ$503))/MAX(1,COUNTIF(AH$4:AH$503,"&lt;"&amp;BJ413+0.01)),BJ413))</f>
        <v>5621.50263448276</v>
      </c>
      <c r="BY413" s="92" t="n">
        <f aca="false">IF(AI413&gt;=BK413,0,IFERROR(BK413+SUMPRODUCT((AI$4:AI$503&gt;=BK$4:BK$503)*(AI$4:AI$503-BK$4:BK$503))/MAX(1,COUNTIF(AI$4:AI$503,"&lt;"&amp;BK413+0.01)),BK413))</f>
        <v>7878.25652380952</v>
      </c>
      <c r="BZ413" s="92" t="n">
        <f aca="false">IF(AJ413&gt;=BL413,0,IFERROR(BL413+SUMPRODUCT((AJ$4:AJ$503&gt;=BL$4:BL$503)*(AJ$4:AJ$503-BL$4:BL$503))/MAX(1,COUNTIF(AJ$4:AJ$503,"&lt;"&amp;BL413+0.01)),BL413))</f>
        <v>6710.03292307692</v>
      </c>
      <c r="CA413" s="92" t="n">
        <f aca="false">IF(AK413&gt;=BM413,0,IFERROR(BM413+SUMPRODUCT((AK$4:AK$503&gt;=BM$4:BM$503)*(AK$4:AK$503-BM$4:BM$503))/MAX(1,COUNTIF(AK$4:AK$503,"&lt;"&amp;BM413+0.01)),BM413))</f>
        <v>7314.89836842105</v>
      </c>
      <c r="CB413" s="93" t="n">
        <f aca="false">IF(AL413&gt;=BN413,0,IFERROR(BN413+SUMPRODUCT((AL$4:AL$503&gt;=BN$4:BN$503)*(AL$4:AL$503-BN$4:BN$503))/MAX(1,COUNTIF(AL$4:AL$503,"&lt;"&amp;BN413+0.01)),BN413))</f>
        <v>3597.2614925</v>
      </c>
      <c r="CC413" s="95" t="str">
        <f aca="false">IF(AO413="🟢","VERDE",IF(AO413="🟡","AMARELO",IF(AO413="🟠","VERMELHO",IF(AO413="🔴","VERMELHO","ROXO"))))</f>
        <v>VERMELHO</v>
      </c>
      <c r="CD413" s="96" t="s">
        <v>103</v>
      </c>
      <c r="CE413" s="96" t="s">
        <v>104</v>
      </c>
    </row>
    <row r="414" customFormat="false" ht="14.25" hidden="false" customHeight="true" outlineLevel="0" collapsed="false">
      <c r="A414" s="65" t="s">
        <v>962</v>
      </c>
      <c r="B414" s="66" t="s">
        <v>963</v>
      </c>
      <c r="C414" s="67" t="s">
        <v>107</v>
      </c>
      <c r="D414" s="68" t="s">
        <v>108</v>
      </c>
      <c r="E414" s="69" t="s">
        <v>109</v>
      </c>
      <c r="F414" s="70" t="n">
        <f aca="false">IFERROR(VLOOKUP(C414,$AS$3:$AT$10,2,FALSE()),IFERROR(VLOOKUP(C414,$AS$15:$AT$22,2,FALSE()),""))</f>
        <v>132</v>
      </c>
      <c r="G414" s="71" t="n">
        <f aca="false">IFERROR(VLOOKUP(C414,$AS$3:$AX$10,6,FALSE()),IFERROR(VLOOKUP(C414,$AS$15:$AX$22,6,FALSE()),""))</f>
        <v>0.468190175850689</v>
      </c>
      <c r="H414" s="72" t="str">
        <f aca="false">IFERROR(VLOOKUP(C414,$AS$3:$AY$10,7,FALSE()),IFERROR(VLOOKUP(C414,$AS$15:$AY$22,7,FALSE()),""))</f>
        <v>🟡 AMARELO</v>
      </c>
      <c r="I414" s="72" t="str">
        <f aca="false">IFERROR(VLOOKUP(C414,$AS$3:$AZ$10,8,FALSE()),IFERROR(VLOOKUP(C414,$AS$15:$AZ$22,8,FALSE()),""))</f>
        <v>Sell Out</v>
      </c>
      <c r="J414" s="73"/>
      <c r="K414" s="69" t="s">
        <v>107</v>
      </c>
      <c r="L414" s="74" t="n">
        <v>1845.06</v>
      </c>
      <c r="M414" s="75" t="n">
        <v>129.66</v>
      </c>
      <c r="N414" s="75" t="n">
        <v>135.49</v>
      </c>
      <c r="O414" s="75" t="n">
        <v>138.75</v>
      </c>
      <c r="P414" s="75" t="n">
        <v>142.37</v>
      </c>
      <c r="Q414" s="75" t="n">
        <v>147.03</v>
      </c>
      <c r="R414" s="75" t="n">
        <v>150.88</v>
      </c>
      <c r="S414" s="75" t="n">
        <v>156.71</v>
      </c>
      <c r="T414" s="75" t="n">
        <v>160.56</v>
      </c>
      <c r="U414" s="75" t="n">
        <v>164.17</v>
      </c>
      <c r="V414" s="75" t="n">
        <v>168.25</v>
      </c>
      <c r="W414" s="75" t="n">
        <v>172.68</v>
      </c>
      <c r="X414" s="76" t="n">
        <v>178.51</v>
      </c>
      <c r="Y414" s="77" t="s">
        <v>20</v>
      </c>
      <c r="Z414" s="78" t="n">
        <f aca="false">SUM(AA414:AL414)</f>
        <v>878.34</v>
      </c>
      <c r="AA414" s="75"/>
      <c r="AB414" s="75"/>
      <c r="AC414" s="75"/>
      <c r="AD414" s="75"/>
      <c r="AE414" s="79" t="n">
        <v>810.36</v>
      </c>
      <c r="AF414" s="79" t="n">
        <v>67.98</v>
      </c>
      <c r="AG414" s="75"/>
      <c r="AH414" s="75"/>
      <c r="AI414" s="75"/>
      <c r="AJ414" s="75"/>
      <c r="AK414" s="75"/>
      <c r="AL414" s="76"/>
      <c r="AM414" s="56" t="s">
        <v>20</v>
      </c>
      <c r="AN414" s="80" t="n">
        <f aca="false">IF(L414=0,0,Z414/L414)</f>
        <v>0.476049559363923</v>
      </c>
      <c r="AO414" s="81" t="str">
        <f aca="false">IF(AN414="","",IF(AN414&gt;=0.9,"🟢",IF(AN414&gt;=0.7,"🟡",IF(AN414&gt;=0.5,"🟠","🔴"))))</f>
        <v>🔴</v>
      </c>
      <c r="AP414" s="82" t="n">
        <f aca="false">IF(L414=0,0,L414-Z414)</f>
        <v>966.72</v>
      </c>
      <c r="AQ414" s="83" t="n">
        <f aca="false">IF(AP414=0,"",RANK(AP414,AP$4:AP$503,0))</f>
        <v>398</v>
      </c>
      <c r="AR414" s="84" t="s">
        <v>20</v>
      </c>
      <c r="AS414" s="141"/>
      <c r="AT414" s="141"/>
      <c r="AU414" s="141"/>
      <c r="AV414" s="141"/>
      <c r="AW414" s="141"/>
      <c r="AX414" s="141"/>
      <c r="AY414" s="142"/>
      <c r="AZ414" s="142"/>
      <c r="BA414" s="56" t="s">
        <v>20</v>
      </c>
      <c r="BB414" s="91" t="n">
        <f aca="false">SUM(L$4:L$503)/COUNTA(A$4:A$503)</f>
        <v>9494.39992</v>
      </c>
      <c r="BC414" s="92" t="n">
        <f aca="false">SUM(M$4:M$503)/COUNTA(A$4:A$503)</f>
        <v>667.20008</v>
      </c>
      <c r="BD414" s="92" t="n">
        <f aca="false">SUM(N$4:N$503)/COUNTA(A$4:A$503)</f>
        <v>697.19996</v>
      </c>
      <c r="BE414" s="92" t="n">
        <f aca="false">SUM(O$4:O$503)/COUNTA(A$4:A$503)</f>
        <v>713.9999</v>
      </c>
      <c r="BF414" s="92" t="n">
        <f aca="false">SUM(P$4:P$503)/COUNTA(A$4:A$503)</f>
        <v>732.59984</v>
      </c>
      <c r="BG414" s="92" t="n">
        <f aca="false">SUM(Q$4:Q$503)/COUNTA(A$4:A$503)</f>
        <v>756.59992</v>
      </c>
      <c r="BH414" s="92" t="n">
        <f aca="false">SUM(R$4:R$503)/COUNTA(A$4:A$503)</f>
        <v>776.40004</v>
      </c>
      <c r="BI414" s="92" t="n">
        <f aca="false">SUM(S$4:S$503)/COUNTA(A$4:A$503)</f>
        <v>806.40012</v>
      </c>
      <c r="BJ414" s="92" t="n">
        <f aca="false">SUM(T$4:T$503)/COUNTA(A$4:A$503)</f>
        <v>826.1999</v>
      </c>
      <c r="BK414" s="92" t="n">
        <f aca="false">SUM(U$4:U$503)/COUNTA(A$4:A$503)</f>
        <v>844.8002</v>
      </c>
      <c r="BL414" s="92" t="n">
        <f aca="false">SUM(V$4:V$503)/COUNTA(A$4:A$503)</f>
        <v>865.7998</v>
      </c>
      <c r="BM414" s="92" t="n">
        <f aca="false">SUM(W$4:W$503)/COUNTA(A$4:A$503)</f>
        <v>888.59982</v>
      </c>
      <c r="BN414" s="93" t="n">
        <f aca="false">SUM(X$4:X$503)/COUNTA(A$4:A$503)</f>
        <v>918.60034</v>
      </c>
      <c r="BO414" s="94" t="s">
        <v>20</v>
      </c>
      <c r="BP414" s="91" t="n">
        <f aca="false">IF(Z414&gt;=BB414,0,IFERROR(BB414+(SUMPRODUCT((Z$4:Z$503&gt;=BB$4:BB$503)*(Z$4:Z$503-BB$4:BB$503))/MAX(1,COUNTIF(Z$4:Z$503,"&lt;"&amp;BB414+0.01))),BB414))</f>
        <v>10695.5432177778</v>
      </c>
      <c r="BQ414" s="92" t="n">
        <f aca="false">IF(AA414&gt;=BC414,0,IFERROR(BC414+SUMPRODUCT((AA$4:AA$503&gt;=BC$4:BC$503)*(AA$4:AA$503-BC$4:BC$503))/MAX(1,COUNTIF(AA$4:AA$503,"&lt;"&amp;BC414+0.01)),BC414))</f>
        <v>2238.46589176471</v>
      </c>
      <c r="BR414" s="92" t="n">
        <f aca="false">IF(AB414&gt;=BD414,0,IFERROR(BD414+SUMPRODUCT((AB$4:AB$503&gt;=BD$4:BD$503)*(AB$4:AB$503-BD$4:BD$503))/MAX(1,COUNTIF(AB$4:AB$503,"&lt;"&amp;BD414+0.01)),BD414))</f>
        <v>3335.2938</v>
      </c>
      <c r="BS414" s="92" t="n">
        <f aca="false">IF(AC414&gt;=BE414,0,IFERROR(BE414+SUMPRODUCT((AC$4:AC$503&gt;=BE$4:BE$503)*(AC$4:AC$503-BE$4:BE$503))/MAX(1,COUNTIF(AC$4:AC$503,"&lt;"&amp;BE414+0.01)),BE414))</f>
        <v>6188.73352</v>
      </c>
      <c r="BT414" s="92" t="n">
        <f aca="false">IF(AD414&gt;=BF414,0,IFERROR(BF414+SUMPRODUCT((AD$4:AD$503&gt;=BF$4:BF$503)*(AD$4:AD$503-BF$4:BF$503))/MAX(1,COUNTIF(AD$4:AD$503,"&lt;"&amp;BF414+0.01)),BF414))</f>
        <v>11354.35411</v>
      </c>
      <c r="BU414" s="92" t="n">
        <f aca="false">IF(AE414&gt;=BG414,0,IFERROR(BG414+SUMPRODUCT((AE$4:AE$503&gt;=BG$4:BG$503)*(AE$4:AE$503-BG$4:BG$503))/MAX(1,COUNTIF(AE$4:AE$503,"&lt;"&amp;BG414+0.01)),BG414))</f>
        <v>0</v>
      </c>
      <c r="BV414" s="92" t="n">
        <f aca="false">IF(AF414&gt;=BH414,0,IFERROR(BH414+SUMPRODUCT((AF$4:AF$503&gt;=BH$4:BH$503)*(AF$4:AF$503-BH$4:BH$503))/MAX(1,COUNTIF(AF$4:AF$503,"&lt;"&amp;BH414+0.01)),BH414))</f>
        <v>9942.6503831579</v>
      </c>
      <c r="BW414" s="92" t="n">
        <f aca="false">IF(AG414&gt;=BI414,0,IFERROR(BI414+SUMPRODUCT((AG$4:AG$503&gt;=BI$4:BI$503)*(AG$4:AG$503-BI$4:BI$503))/MAX(1,COUNTIF(AG$4:AG$503,"&lt;"&amp;BI414+0.01)),BI414))</f>
        <v>9142.15870461538</v>
      </c>
      <c r="BX414" s="92" t="n">
        <f aca="false">IF(AH414&gt;=BJ414,0,IFERROR(BJ414+SUMPRODUCT((AH$4:AH$503&gt;=BJ$4:BJ$503)*(AH$4:AH$503-BJ$4:BJ$503))/MAX(1,COUNTIF(AH$4:AH$503,"&lt;"&amp;BJ414+0.01)),BJ414))</f>
        <v>5621.50263448276</v>
      </c>
      <c r="BY414" s="92" t="n">
        <f aca="false">IF(AI414&gt;=BK414,0,IFERROR(BK414+SUMPRODUCT((AI$4:AI$503&gt;=BK$4:BK$503)*(AI$4:AI$503-BK$4:BK$503))/MAX(1,COUNTIF(AI$4:AI$503,"&lt;"&amp;BK414+0.01)),BK414))</f>
        <v>7878.25652380952</v>
      </c>
      <c r="BZ414" s="92" t="n">
        <f aca="false">IF(AJ414&gt;=BL414,0,IFERROR(BL414+SUMPRODUCT((AJ$4:AJ$503&gt;=BL$4:BL$503)*(AJ$4:AJ$503-BL$4:BL$503))/MAX(1,COUNTIF(AJ$4:AJ$503,"&lt;"&amp;BL414+0.01)),BL414))</f>
        <v>6710.03292307692</v>
      </c>
      <c r="CA414" s="92" t="n">
        <f aca="false">IF(AK414&gt;=BM414,0,IFERROR(BM414+SUMPRODUCT((AK$4:AK$503&gt;=BM$4:BM$503)*(AK$4:AK$503-BM$4:BM$503))/MAX(1,COUNTIF(AK$4:AK$503,"&lt;"&amp;BM414+0.01)),BM414))</f>
        <v>7314.89836842105</v>
      </c>
      <c r="CB414" s="93" t="n">
        <f aca="false">IF(AL414&gt;=BN414,0,IFERROR(BN414+SUMPRODUCT((AL$4:AL$503&gt;=BN$4:BN$503)*(AL$4:AL$503-BN$4:BN$503))/MAX(1,COUNTIF(AL$4:AL$503,"&lt;"&amp;BN414+0.01)),BN414))</f>
        <v>3597.2614925</v>
      </c>
      <c r="CC414" s="95" t="str">
        <f aca="false">IF(AO414="🟢","VERDE",IF(AO414="🟡","AMARELO",IF(AO414="🟠","VERMELHO",IF(AO414="🔴","VERMELHO","ROXO"))))</f>
        <v>VERMELHO</v>
      </c>
      <c r="CD414" s="96" t="s">
        <v>103</v>
      </c>
      <c r="CE414" s="96" t="s">
        <v>104</v>
      </c>
    </row>
    <row r="415" customFormat="false" ht="14.25" hidden="false" customHeight="true" outlineLevel="0" collapsed="false">
      <c r="A415" s="65" t="s">
        <v>964</v>
      </c>
      <c r="B415" s="66" t="s">
        <v>965</v>
      </c>
      <c r="C415" s="67" t="s">
        <v>107</v>
      </c>
      <c r="D415" s="68" t="s">
        <v>108</v>
      </c>
      <c r="E415" s="69" t="s">
        <v>196</v>
      </c>
      <c r="F415" s="70" t="n">
        <f aca="false">IFERROR(VLOOKUP(C415,$AS$3:$AT$10,2,FALSE()),IFERROR(VLOOKUP(C415,$AS$15:$AT$22,2,FALSE()),""))</f>
        <v>132</v>
      </c>
      <c r="G415" s="71" t="n">
        <f aca="false">IFERROR(VLOOKUP(C415,$AS$3:$AX$10,6,FALSE()),IFERROR(VLOOKUP(C415,$AS$15:$AX$22,6,FALSE()),""))</f>
        <v>0.468190175850689</v>
      </c>
      <c r="H415" s="72" t="str">
        <f aca="false">IFERROR(VLOOKUP(C415,$AS$3:$AY$10,7,FALSE()),IFERROR(VLOOKUP(C415,$AS$15:$AY$22,7,FALSE()),""))</f>
        <v>🟡 AMARELO</v>
      </c>
      <c r="I415" s="72" t="str">
        <f aca="false">IFERROR(VLOOKUP(C415,$AS$3:$AZ$10,8,FALSE()),IFERROR(VLOOKUP(C415,$AS$15:$AZ$22,8,FALSE()),""))</f>
        <v>Sell Out</v>
      </c>
      <c r="J415" s="73"/>
      <c r="K415" s="69" t="s">
        <v>107</v>
      </c>
      <c r="L415" s="74" t="n">
        <v>1797.29</v>
      </c>
      <c r="M415" s="75" t="n">
        <v>126.3</v>
      </c>
      <c r="N415" s="75" t="n">
        <v>131.98</v>
      </c>
      <c r="O415" s="75" t="n">
        <v>135.16</v>
      </c>
      <c r="P415" s="75" t="n">
        <v>138.68</v>
      </c>
      <c r="Q415" s="75" t="n">
        <v>143.23</v>
      </c>
      <c r="R415" s="75" t="n">
        <v>146.97</v>
      </c>
      <c r="S415" s="75" t="n">
        <v>152.65</v>
      </c>
      <c r="T415" s="75" t="n">
        <v>156.4</v>
      </c>
      <c r="U415" s="75" t="n">
        <v>159.92</v>
      </c>
      <c r="V415" s="75" t="n">
        <v>163.9</v>
      </c>
      <c r="W415" s="75" t="n">
        <v>168.21</v>
      </c>
      <c r="X415" s="76" t="n">
        <v>173.89</v>
      </c>
      <c r="Y415" s="77" t="s">
        <v>20</v>
      </c>
      <c r="Z415" s="78" t="n">
        <f aca="false">SUM(AA415:AL415)</f>
        <v>702.86</v>
      </c>
      <c r="AA415" s="75"/>
      <c r="AB415" s="75"/>
      <c r="AC415" s="75"/>
      <c r="AD415" s="75"/>
      <c r="AE415" s="75"/>
      <c r="AF415" s="79" t="n">
        <v>702.86</v>
      </c>
      <c r="AG415" s="75"/>
      <c r="AH415" s="75"/>
      <c r="AI415" s="75"/>
      <c r="AJ415" s="75"/>
      <c r="AK415" s="75"/>
      <c r="AL415" s="76"/>
      <c r="AM415" s="56" t="s">
        <v>20</v>
      </c>
      <c r="AN415" s="80" t="n">
        <f aca="false">IF(L415=0,0,Z415/L415)</f>
        <v>0.391066550195016</v>
      </c>
      <c r="AO415" s="81" t="str">
        <f aca="false">IF(AN415="","",IF(AN415&gt;=0.9,"🟢",IF(AN415&gt;=0.7,"🟡",IF(AN415&gt;=0.5,"🟠","🔴"))))</f>
        <v>🔴</v>
      </c>
      <c r="AP415" s="82" t="n">
        <f aca="false">IF(L415=0,0,L415-Z415)</f>
        <v>1094.43</v>
      </c>
      <c r="AQ415" s="83" t="n">
        <f aca="false">IF(AP415=0,"",RANK(AP415,AP$4:AP$503,0))</f>
        <v>374</v>
      </c>
      <c r="AR415" s="84" t="s">
        <v>20</v>
      </c>
      <c r="AS415" s="141"/>
      <c r="AT415" s="141"/>
      <c r="AU415" s="141"/>
      <c r="AV415" s="141"/>
      <c r="AW415" s="141"/>
      <c r="AX415" s="141"/>
      <c r="AY415" s="142"/>
      <c r="AZ415" s="142"/>
      <c r="BA415" s="56" t="s">
        <v>20</v>
      </c>
      <c r="BB415" s="91" t="n">
        <f aca="false">SUM(L$4:L$503)/COUNTA(A$4:A$503)</f>
        <v>9494.39992</v>
      </c>
      <c r="BC415" s="92" t="n">
        <f aca="false">SUM(M$4:M$503)/COUNTA(A$4:A$503)</f>
        <v>667.20008</v>
      </c>
      <c r="BD415" s="92" t="n">
        <f aca="false">SUM(N$4:N$503)/COUNTA(A$4:A$503)</f>
        <v>697.19996</v>
      </c>
      <c r="BE415" s="92" t="n">
        <f aca="false">SUM(O$4:O$503)/COUNTA(A$4:A$503)</f>
        <v>713.9999</v>
      </c>
      <c r="BF415" s="92" t="n">
        <f aca="false">SUM(P$4:P$503)/COUNTA(A$4:A$503)</f>
        <v>732.59984</v>
      </c>
      <c r="BG415" s="92" t="n">
        <f aca="false">SUM(Q$4:Q$503)/COUNTA(A$4:A$503)</f>
        <v>756.59992</v>
      </c>
      <c r="BH415" s="92" t="n">
        <f aca="false">SUM(R$4:R$503)/COUNTA(A$4:A$503)</f>
        <v>776.40004</v>
      </c>
      <c r="BI415" s="92" t="n">
        <f aca="false">SUM(S$4:S$503)/COUNTA(A$4:A$503)</f>
        <v>806.40012</v>
      </c>
      <c r="BJ415" s="92" t="n">
        <f aca="false">SUM(T$4:T$503)/COUNTA(A$4:A$503)</f>
        <v>826.1999</v>
      </c>
      <c r="BK415" s="92" t="n">
        <f aca="false">SUM(U$4:U$503)/COUNTA(A$4:A$503)</f>
        <v>844.8002</v>
      </c>
      <c r="BL415" s="92" t="n">
        <f aca="false">SUM(V$4:V$503)/COUNTA(A$4:A$503)</f>
        <v>865.7998</v>
      </c>
      <c r="BM415" s="92" t="n">
        <f aca="false">SUM(W$4:W$503)/COUNTA(A$4:A$503)</f>
        <v>888.59982</v>
      </c>
      <c r="BN415" s="93" t="n">
        <f aca="false">SUM(X$4:X$503)/COUNTA(A$4:A$503)</f>
        <v>918.60034</v>
      </c>
      <c r="BO415" s="94" t="s">
        <v>20</v>
      </c>
      <c r="BP415" s="91" t="n">
        <f aca="false">IF(Z415&gt;=BB415,0,IFERROR(BB415+(SUMPRODUCT((Z$4:Z$503&gt;=BB$4:BB$503)*(Z$4:Z$503-BB$4:BB$503))/MAX(1,COUNTIF(Z$4:Z$503,"&lt;"&amp;BB415+0.01))),BB415))</f>
        <v>10695.5432177778</v>
      </c>
      <c r="BQ415" s="92" t="n">
        <f aca="false">IF(AA415&gt;=BC415,0,IFERROR(BC415+SUMPRODUCT((AA$4:AA$503&gt;=BC$4:BC$503)*(AA$4:AA$503-BC$4:BC$503))/MAX(1,COUNTIF(AA$4:AA$503,"&lt;"&amp;BC415+0.01)),BC415))</f>
        <v>2238.46589176471</v>
      </c>
      <c r="BR415" s="92" t="n">
        <f aca="false">IF(AB415&gt;=BD415,0,IFERROR(BD415+SUMPRODUCT((AB$4:AB$503&gt;=BD$4:BD$503)*(AB$4:AB$503-BD$4:BD$503))/MAX(1,COUNTIF(AB$4:AB$503,"&lt;"&amp;BD415+0.01)),BD415))</f>
        <v>3335.2938</v>
      </c>
      <c r="BS415" s="92" t="n">
        <f aca="false">IF(AC415&gt;=BE415,0,IFERROR(BE415+SUMPRODUCT((AC$4:AC$503&gt;=BE$4:BE$503)*(AC$4:AC$503-BE$4:BE$503))/MAX(1,COUNTIF(AC$4:AC$503,"&lt;"&amp;BE415+0.01)),BE415))</f>
        <v>6188.73352</v>
      </c>
      <c r="BT415" s="92" t="n">
        <f aca="false">IF(AD415&gt;=BF415,0,IFERROR(BF415+SUMPRODUCT((AD$4:AD$503&gt;=BF$4:BF$503)*(AD$4:AD$503-BF$4:BF$503))/MAX(1,COUNTIF(AD$4:AD$503,"&lt;"&amp;BF415+0.01)),BF415))</f>
        <v>11354.35411</v>
      </c>
      <c r="BU415" s="92" t="n">
        <f aca="false">IF(AE415&gt;=BG415,0,IFERROR(BG415+SUMPRODUCT((AE$4:AE$503&gt;=BG$4:BG$503)*(AE$4:AE$503-BG$4:BG$503))/MAX(1,COUNTIF(AE$4:AE$503,"&lt;"&amp;BG415+0.01)),BG415))</f>
        <v>7704.85920380952</v>
      </c>
      <c r="BV415" s="92" t="n">
        <f aca="false">IF(AF415&gt;=BH415,0,IFERROR(BH415+SUMPRODUCT((AF$4:AF$503&gt;=BH$4:BH$503)*(AF$4:AF$503-BH$4:BH$503))/MAX(1,COUNTIF(AF$4:AF$503,"&lt;"&amp;BH415+0.01)),BH415))</f>
        <v>9942.6503831579</v>
      </c>
      <c r="BW415" s="92" t="n">
        <f aca="false">IF(AG415&gt;=BI415,0,IFERROR(BI415+SUMPRODUCT((AG$4:AG$503&gt;=BI$4:BI$503)*(AG$4:AG$503-BI$4:BI$503))/MAX(1,COUNTIF(AG$4:AG$503,"&lt;"&amp;BI415+0.01)),BI415))</f>
        <v>9142.15870461538</v>
      </c>
      <c r="BX415" s="92" t="n">
        <f aca="false">IF(AH415&gt;=BJ415,0,IFERROR(BJ415+SUMPRODUCT((AH$4:AH$503&gt;=BJ$4:BJ$503)*(AH$4:AH$503-BJ$4:BJ$503))/MAX(1,COUNTIF(AH$4:AH$503,"&lt;"&amp;BJ415+0.01)),BJ415))</f>
        <v>5621.50263448276</v>
      </c>
      <c r="BY415" s="92" t="n">
        <f aca="false">IF(AI415&gt;=BK415,0,IFERROR(BK415+SUMPRODUCT((AI$4:AI$503&gt;=BK$4:BK$503)*(AI$4:AI$503-BK$4:BK$503))/MAX(1,COUNTIF(AI$4:AI$503,"&lt;"&amp;BK415+0.01)),BK415))</f>
        <v>7878.25652380952</v>
      </c>
      <c r="BZ415" s="92" t="n">
        <f aca="false">IF(AJ415&gt;=BL415,0,IFERROR(BL415+SUMPRODUCT((AJ$4:AJ$503&gt;=BL$4:BL$503)*(AJ$4:AJ$503-BL$4:BL$503))/MAX(1,COUNTIF(AJ$4:AJ$503,"&lt;"&amp;BL415+0.01)),BL415))</f>
        <v>6710.03292307692</v>
      </c>
      <c r="CA415" s="92" t="n">
        <f aca="false">IF(AK415&gt;=BM415,0,IFERROR(BM415+SUMPRODUCT((AK$4:AK$503&gt;=BM$4:BM$503)*(AK$4:AK$503-BM$4:BM$503))/MAX(1,COUNTIF(AK$4:AK$503,"&lt;"&amp;BM415+0.01)),BM415))</f>
        <v>7314.89836842105</v>
      </c>
      <c r="CB415" s="93" t="n">
        <f aca="false">IF(AL415&gt;=BN415,0,IFERROR(BN415+SUMPRODUCT((AL$4:AL$503&gt;=BN$4:BN$503)*(AL$4:AL$503-BN$4:BN$503))/MAX(1,COUNTIF(AL$4:AL$503,"&lt;"&amp;BN415+0.01)),BN415))</f>
        <v>3597.2614925</v>
      </c>
      <c r="CC415" s="95" t="str">
        <f aca="false">IF(AO415="🟢","VERDE",IF(AO415="🟡","AMARELO",IF(AO415="🟠","VERMELHO",IF(AO415="🔴","VERMELHO","ROXO"))))</f>
        <v>VERMELHO</v>
      </c>
      <c r="CD415" s="96" t="s">
        <v>103</v>
      </c>
      <c r="CE415" s="96" t="s">
        <v>104</v>
      </c>
    </row>
    <row r="416" customFormat="false" ht="14.25" hidden="false" customHeight="true" outlineLevel="0" collapsed="false">
      <c r="A416" s="65" t="s">
        <v>966</v>
      </c>
      <c r="B416" s="66" t="s">
        <v>967</v>
      </c>
      <c r="C416" s="67" t="s">
        <v>107</v>
      </c>
      <c r="D416" s="68" t="s">
        <v>108</v>
      </c>
      <c r="E416" s="69" t="s">
        <v>139</v>
      </c>
      <c r="F416" s="70" t="n">
        <f aca="false">IFERROR(VLOOKUP(C416,$AS$3:$AT$10,2,FALSE()),IFERROR(VLOOKUP(C416,$AS$15:$AT$22,2,FALSE()),""))</f>
        <v>132</v>
      </c>
      <c r="G416" s="71" t="n">
        <f aca="false">IFERROR(VLOOKUP(C416,$AS$3:$AX$10,6,FALSE()),IFERROR(VLOOKUP(C416,$AS$15:$AX$22,6,FALSE()),""))</f>
        <v>0.468190175850689</v>
      </c>
      <c r="H416" s="72" t="str">
        <f aca="false">IFERROR(VLOOKUP(C416,$AS$3:$AY$10,7,FALSE()),IFERROR(VLOOKUP(C416,$AS$15:$AY$22,7,FALSE()),""))</f>
        <v>🟡 AMARELO</v>
      </c>
      <c r="I416" s="72" t="str">
        <f aca="false">IFERROR(VLOOKUP(C416,$AS$3:$AZ$10,8,FALSE()),IFERROR(VLOOKUP(C416,$AS$15:$AZ$22,8,FALSE()),""))</f>
        <v>Sell Out</v>
      </c>
      <c r="J416" s="73"/>
      <c r="K416" s="69" t="s">
        <v>107</v>
      </c>
      <c r="L416" s="74" t="n">
        <v>1791.36</v>
      </c>
      <c r="M416" s="75" t="n">
        <v>125.88</v>
      </c>
      <c r="N416" s="75" t="n">
        <v>131.55</v>
      </c>
      <c r="O416" s="75" t="n">
        <v>134.71</v>
      </c>
      <c r="P416" s="75" t="n">
        <v>138.22</v>
      </c>
      <c r="Q416" s="75" t="n">
        <v>142.75</v>
      </c>
      <c r="R416" s="75" t="n">
        <v>146.49</v>
      </c>
      <c r="S416" s="75" t="n">
        <v>152.15</v>
      </c>
      <c r="T416" s="75" t="n">
        <v>155.88</v>
      </c>
      <c r="U416" s="75" t="n">
        <v>159.39</v>
      </c>
      <c r="V416" s="75" t="n">
        <v>163.36</v>
      </c>
      <c r="W416" s="75" t="n">
        <v>167.66</v>
      </c>
      <c r="X416" s="76" t="n">
        <v>173.32</v>
      </c>
      <c r="Y416" s="77" t="s">
        <v>20</v>
      </c>
      <c r="Z416" s="78" t="n">
        <f aca="false">SUM(AA416:AL416)</f>
        <v>1392.26</v>
      </c>
      <c r="AA416" s="75"/>
      <c r="AB416" s="75"/>
      <c r="AC416" s="79" t="n">
        <v>350.8</v>
      </c>
      <c r="AD416" s="75"/>
      <c r="AE416" s="75"/>
      <c r="AF416" s="75"/>
      <c r="AG416" s="75" t="n">
        <v>671.86</v>
      </c>
      <c r="AH416" s="79" t="n">
        <v>369.6</v>
      </c>
      <c r="AI416" s="75"/>
      <c r="AJ416" s="75"/>
      <c r="AK416" s="75"/>
      <c r="AL416" s="76"/>
      <c r="AM416" s="56" t="s">
        <v>20</v>
      </c>
      <c r="AN416" s="80" t="n">
        <f aca="false">IF(L416=0,0,Z416/L416)</f>
        <v>0.77720837799214</v>
      </c>
      <c r="AO416" s="81" t="str">
        <f aca="false">IF(AN416="","",IF(AN416&gt;=0.9,"🟢",IF(AN416&gt;=0.7,"🟡",IF(AN416&gt;=0.5,"🟠","🔴"))))</f>
        <v>🟡</v>
      </c>
      <c r="AP416" s="82" t="n">
        <f aca="false">IF(L416=0,0,L416-Z416)</f>
        <v>399.1</v>
      </c>
      <c r="AQ416" s="83" t="n">
        <f aca="false">IF(AP416=0,"",RANK(AP416,AP$4:AP$503,0))</f>
        <v>463</v>
      </c>
      <c r="AR416" s="84" t="s">
        <v>20</v>
      </c>
      <c r="AS416" s="141"/>
      <c r="AT416" s="141"/>
      <c r="AU416" s="141"/>
      <c r="AV416" s="141"/>
      <c r="AW416" s="141"/>
      <c r="AX416" s="141"/>
      <c r="AY416" s="142"/>
      <c r="AZ416" s="142"/>
      <c r="BA416" s="56" t="s">
        <v>20</v>
      </c>
      <c r="BB416" s="91" t="n">
        <f aca="false">SUM(L$4:L$503)/COUNTA(A$4:A$503)</f>
        <v>9494.39992</v>
      </c>
      <c r="BC416" s="92" t="n">
        <f aca="false">SUM(M$4:M$503)/COUNTA(A$4:A$503)</f>
        <v>667.20008</v>
      </c>
      <c r="BD416" s="92" t="n">
        <f aca="false">SUM(N$4:N$503)/COUNTA(A$4:A$503)</f>
        <v>697.19996</v>
      </c>
      <c r="BE416" s="92" t="n">
        <f aca="false">SUM(O$4:O$503)/COUNTA(A$4:A$503)</f>
        <v>713.9999</v>
      </c>
      <c r="BF416" s="92" t="n">
        <f aca="false">SUM(P$4:P$503)/COUNTA(A$4:A$503)</f>
        <v>732.59984</v>
      </c>
      <c r="BG416" s="92" t="n">
        <f aca="false">SUM(Q$4:Q$503)/COUNTA(A$4:A$503)</f>
        <v>756.59992</v>
      </c>
      <c r="BH416" s="92" t="n">
        <f aca="false">SUM(R$4:R$503)/COUNTA(A$4:A$503)</f>
        <v>776.40004</v>
      </c>
      <c r="BI416" s="92" t="n">
        <f aca="false">SUM(S$4:S$503)/COUNTA(A$4:A$503)</f>
        <v>806.40012</v>
      </c>
      <c r="BJ416" s="92" t="n">
        <f aca="false">SUM(T$4:T$503)/COUNTA(A$4:A$503)</f>
        <v>826.1999</v>
      </c>
      <c r="BK416" s="92" t="n">
        <f aca="false">SUM(U$4:U$503)/COUNTA(A$4:A$503)</f>
        <v>844.8002</v>
      </c>
      <c r="BL416" s="92" t="n">
        <f aca="false">SUM(V$4:V$503)/COUNTA(A$4:A$503)</f>
        <v>865.7998</v>
      </c>
      <c r="BM416" s="92" t="n">
        <f aca="false">SUM(W$4:W$503)/COUNTA(A$4:A$503)</f>
        <v>888.59982</v>
      </c>
      <c r="BN416" s="93" t="n">
        <f aca="false">SUM(X$4:X$503)/COUNTA(A$4:A$503)</f>
        <v>918.60034</v>
      </c>
      <c r="BO416" s="94" t="s">
        <v>20</v>
      </c>
      <c r="BP416" s="91" t="n">
        <f aca="false">IF(Z416&gt;=BB416,0,IFERROR(BB416+(SUMPRODUCT((Z$4:Z$503&gt;=BB$4:BB$503)*(Z$4:Z$503-BB$4:BB$503))/MAX(1,COUNTIF(Z$4:Z$503,"&lt;"&amp;BB416+0.01))),BB416))</f>
        <v>10695.5432177778</v>
      </c>
      <c r="BQ416" s="92" t="n">
        <f aca="false">IF(AA416&gt;=BC416,0,IFERROR(BC416+SUMPRODUCT((AA$4:AA$503&gt;=BC$4:BC$503)*(AA$4:AA$503-BC$4:BC$503))/MAX(1,COUNTIF(AA$4:AA$503,"&lt;"&amp;BC416+0.01)),BC416))</f>
        <v>2238.46589176471</v>
      </c>
      <c r="BR416" s="92" t="n">
        <f aca="false">IF(AB416&gt;=BD416,0,IFERROR(BD416+SUMPRODUCT((AB$4:AB$503&gt;=BD$4:BD$503)*(AB$4:AB$503-BD$4:BD$503))/MAX(1,COUNTIF(AB$4:AB$503,"&lt;"&amp;BD416+0.01)),BD416))</f>
        <v>3335.2938</v>
      </c>
      <c r="BS416" s="92" t="n">
        <f aca="false">IF(AC416&gt;=BE416,0,IFERROR(BE416+SUMPRODUCT((AC$4:AC$503&gt;=BE$4:BE$503)*(AC$4:AC$503-BE$4:BE$503))/MAX(1,COUNTIF(AC$4:AC$503,"&lt;"&amp;BE416+0.01)),BE416))</f>
        <v>6188.73352</v>
      </c>
      <c r="BT416" s="92" t="n">
        <f aca="false">IF(AD416&gt;=BF416,0,IFERROR(BF416+SUMPRODUCT((AD$4:AD$503&gt;=BF$4:BF$503)*(AD$4:AD$503-BF$4:BF$503))/MAX(1,COUNTIF(AD$4:AD$503,"&lt;"&amp;BF416+0.01)),BF416))</f>
        <v>11354.35411</v>
      </c>
      <c r="BU416" s="92" t="n">
        <f aca="false">IF(AE416&gt;=BG416,0,IFERROR(BG416+SUMPRODUCT((AE$4:AE$503&gt;=BG$4:BG$503)*(AE$4:AE$503-BG$4:BG$503))/MAX(1,COUNTIF(AE$4:AE$503,"&lt;"&amp;BG416+0.01)),BG416))</f>
        <v>7704.85920380952</v>
      </c>
      <c r="BV416" s="92" t="n">
        <f aca="false">IF(AF416&gt;=BH416,0,IFERROR(BH416+SUMPRODUCT((AF$4:AF$503&gt;=BH$4:BH$503)*(AF$4:AF$503-BH$4:BH$503))/MAX(1,COUNTIF(AF$4:AF$503,"&lt;"&amp;BH416+0.01)),BH416))</f>
        <v>9942.6503831579</v>
      </c>
      <c r="BW416" s="92" t="n">
        <f aca="false">IF(AG416&gt;=BI416,0,IFERROR(BI416+SUMPRODUCT((AG$4:AG$503&gt;=BI$4:BI$503)*(AG$4:AG$503-BI$4:BI$503))/MAX(1,COUNTIF(AG$4:AG$503,"&lt;"&amp;BI416+0.01)),BI416))</f>
        <v>9142.15870461538</v>
      </c>
      <c r="BX416" s="92" t="n">
        <f aca="false">IF(AH416&gt;=BJ416,0,IFERROR(BJ416+SUMPRODUCT((AH$4:AH$503&gt;=BJ$4:BJ$503)*(AH$4:AH$503-BJ$4:BJ$503))/MAX(1,COUNTIF(AH$4:AH$503,"&lt;"&amp;BJ416+0.01)),BJ416))</f>
        <v>5621.50263448276</v>
      </c>
      <c r="BY416" s="92" t="n">
        <f aca="false">IF(AI416&gt;=BK416,0,IFERROR(BK416+SUMPRODUCT((AI$4:AI$503&gt;=BK$4:BK$503)*(AI$4:AI$503-BK$4:BK$503))/MAX(1,COUNTIF(AI$4:AI$503,"&lt;"&amp;BK416+0.01)),BK416))</f>
        <v>7878.25652380952</v>
      </c>
      <c r="BZ416" s="92" t="n">
        <f aca="false">IF(AJ416&gt;=BL416,0,IFERROR(BL416+SUMPRODUCT((AJ$4:AJ$503&gt;=BL$4:BL$503)*(AJ$4:AJ$503-BL$4:BL$503))/MAX(1,COUNTIF(AJ$4:AJ$503,"&lt;"&amp;BL416+0.01)),BL416))</f>
        <v>6710.03292307692</v>
      </c>
      <c r="CA416" s="92" t="n">
        <f aca="false">IF(AK416&gt;=BM416,0,IFERROR(BM416+SUMPRODUCT((AK$4:AK$503&gt;=BM$4:BM$503)*(AK$4:AK$503-BM$4:BM$503))/MAX(1,COUNTIF(AK$4:AK$503,"&lt;"&amp;BM416+0.01)),BM416))</f>
        <v>7314.89836842105</v>
      </c>
      <c r="CB416" s="93" t="n">
        <f aca="false">IF(AL416&gt;=BN416,0,IFERROR(BN416+SUMPRODUCT((AL$4:AL$503&gt;=BN$4:BN$503)*(AL$4:AL$503-BN$4:BN$503))/MAX(1,COUNTIF(AL$4:AL$503,"&lt;"&amp;BN416+0.01)),BN416))</f>
        <v>3597.2614925</v>
      </c>
      <c r="CC416" s="95" t="str">
        <f aca="false">IF(AO416="🟢","VERDE",IF(AO416="🟡","AMARELO",IF(AO416="🟠","VERMELHO",IF(AO416="🔴","VERMELHO","ROXO"))))</f>
        <v>AMARELO</v>
      </c>
      <c r="CD416" s="96" t="s">
        <v>103</v>
      </c>
      <c r="CE416" s="96" t="s">
        <v>104</v>
      </c>
    </row>
    <row r="417" customFormat="false" ht="14.25" hidden="false" customHeight="true" outlineLevel="0" collapsed="false">
      <c r="A417" s="65" t="s">
        <v>968</v>
      </c>
      <c r="B417" s="66" t="s">
        <v>969</v>
      </c>
      <c r="C417" s="67" t="s">
        <v>107</v>
      </c>
      <c r="D417" s="68" t="s">
        <v>108</v>
      </c>
      <c r="E417" s="69" t="s">
        <v>109</v>
      </c>
      <c r="F417" s="70" t="n">
        <f aca="false">IFERROR(VLOOKUP(C417,$AS$3:$AT$10,2,FALSE()),IFERROR(VLOOKUP(C417,$AS$15:$AT$22,2,FALSE()),""))</f>
        <v>132</v>
      </c>
      <c r="G417" s="71" t="n">
        <f aca="false">IFERROR(VLOOKUP(C417,$AS$3:$AX$10,6,FALSE()),IFERROR(VLOOKUP(C417,$AS$15:$AX$22,6,FALSE()),""))</f>
        <v>0.468190175850689</v>
      </c>
      <c r="H417" s="72" t="str">
        <f aca="false">IFERROR(VLOOKUP(C417,$AS$3:$AY$10,7,FALSE()),IFERROR(VLOOKUP(C417,$AS$15:$AY$22,7,FALSE()),""))</f>
        <v>🟡 AMARELO</v>
      </c>
      <c r="I417" s="72" t="str">
        <f aca="false">IFERROR(VLOOKUP(C417,$AS$3:$AZ$10,8,FALSE()),IFERROR(VLOOKUP(C417,$AS$15:$AZ$22,8,FALSE()),""))</f>
        <v>Sell Out</v>
      </c>
      <c r="J417" s="73"/>
      <c r="K417" s="69" t="s">
        <v>107</v>
      </c>
      <c r="L417" s="74" t="n">
        <v>1742.81</v>
      </c>
      <c r="M417" s="75" t="n">
        <v>122.47</v>
      </c>
      <c r="N417" s="75" t="n">
        <v>127.98</v>
      </c>
      <c r="O417" s="75" t="n">
        <v>131.06</v>
      </c>
      <c r="P417" s="75" t="n">
        <v>134.48</v>
      </c>
      <c r="Q417" s="75" t="n">
        <v>138.88</v>
      </c>
      <c r="R417" s="75" t="n">
        <v>142.52</v>
      </c>
      <c r="S417" s="75" t="n">
        <v>148.03</v>
      </c>
      <c r="T417" s="75" t="n">
        <v>151.66</v>
      </c>
      <c r="U417" s="75" t="n">
        <v>155.07</v>
      </c>
      <c r="V417" s="75" t="n">
        <v>158.93</v>
      </c>
      <c r="W417" s="75" t="n">
        <v>163.11</v>
      </c>
      <c r="X417" s="76" t="n">
        <v>168.62</v>
      </c>
      <c r="Y417" s="77" t="s">
        <v>20</v>
      </c>
      <c r="Z417" s="78" t="n">
        <f aca="false">SUM(AA417:AL417)</f>
        <v>700.88</v>
      </c>
      <c r="AA417" s="75"/>
      <c r="AB417" s="79" t="n">
        <v>700.88</v>
      </c>
      <c r="AC417" s="75"/>
      <c r="AD417" s="75"/>
      <c r="AE417" s="75"/>
      <c r="AF417" s="75"/>
      <c r="AG417" s="75"/>
      <c r="AH417" s="75"/>
      <c r="AI417" s="75"/>
      <c r="AJ417" s="75"/>
      <c r="AK417" s="75"/>
      <c r="AL417" s="76"/>
      <c r="AM417" s="56" t="s">
        <v>20</v>
      </c>
      <c r="AN417" s="80" t="n">
        <f aca="false">IF(L417=0,0,Z417/L417)</f>
        <v>0.402155140261991</v>
      </c>
      <c r="AO417" s="81" t="str">
        <f aca="false">IF(AN417="","",IF(AN417&gt;=0.9,"🟢",IF(AN417&gt;=0.7,"🟡",IF(AN417&gt;=0.5,"🟠","🔴"))))</f>
        <v>🔴</v>
      </c>
      <c r="AP417" s="82" t="n">
        <f aca="false">IF(L417=0,0,L417-Z417)</f>
        <v>1041.93</v>
      </c>
      <c r="AQ417" s="83" t="n">
        <f aca="false">IF(AP417=0,"",RANK(AP417,AP$4:AP$503,0))</f>
        <v>375</v>
      </c>
      <c r="AR417" s="84" t="s">
        <v>20</v>
      </c>
      <c r="AS417" s="141"/>
      <c r="AT417" s="141"/>
      <c r="AU417" s="141"/>
      <c r="AV417" s="141"/>
      <c r="AW417" s="141"/>
      <c r="AX417" s="141"/>
      <c r="AY417" s="142"/>
      <c r="AZ417" s="142"/>
      <c r="BA417" s="56" t="s">
        <v>20</v>
      </c>
      <c r="BB417" s="91" t="n">
        <f aca="false">SUM(L$4:L$503)/COUNTA(A$4:A$503)</f>
        <v>9494.39992</v>
      </c>
      <c r="BC417" s="92" t="n">
        <f aca="false">SUM(M$4:M$503)/COUNTA(A$4:A$503)</f>
        <v>667.20008</v>
      </c>
      <c r="BD417" s="92" t="n">
        <f aca="false">SUM(N$4:N$503)/COUNTA(A$4:A$503)</f>
        <v>697.19996</v>
      </c>
      <c r="BE417" s="92" t="n">
        <f aca="false">SUM(O$4:O$503)/COUNTA(A$4:A$503)</f>
        <v>713.9999</v>
      </c>
      <c r="BF417" s="92" t="n">
        <f aca="false">SUM(P$4:P$503)/COUNTA(A$4:A$503)</f>
        <v>732.59984</v>
      </c>
      <c r="BG417" s="92" t="n">
        <f aca="false">SUM(Q$4:Q$503)/COUNTA(A$4:A$503)</f>
        <v>756.59992</v>
      </c>
      <c r="BH417" s="92" t="n">
        <f aca="false">SUM(R$4:R$503)/COUNTA(A$4:A$503)</f>
        <v>776.40004</v>
      </c>
      <c r="BI417" s="92" t="n">
        <f aca="false">SUM(S$4:S$503)/COUNTA(A$4:A$503)</f>
        <v>806.40012</v>
      </c>
      <c r="BJ417" s="92" t="n">
        <f aca="false">SUM(T$4:T$503)/COUNTA(A$4:A$503)</f>
        <v>826.1999</v>
      </c>
      <c r="BK417" s="92" t="n">
        <f aca="false">SUM(U$4:U$503)/COUNTA(A$4:A$503)</f>
        <v>844.8002</v>
      </c>
      <c r="BL417" s="92" t="n">
        <f aca="false">SUM(V$4:V$503)/COUNTA(A$4:A$503)</f>
        <v>865.7998</v>
      </c>
      <c r="BM417" s="92" t="n">
        <f aca="false">SUM(W$4:W$503)/COUNTA(A$4:A$503)</f>
        <v>888.59982</v>
      </c>
      <c r="BN417" s="93" t="n">
        <f aca="false">SUM(X$4:X$503)/COUNTA(A$4:A$503)</f>
        <v>918.60034</v>
      </c>
      <c r="BO417" s="94" t="s">
        <v>20</v>
      </c>
      <c r="BP417" s="91" t="n">
        <f aca="false">IF(Z417&gt;=BB417,0,IFERROR(BB417+(SUMPRODUCT((Z$4:Z$503&gt;=BB$4:BB$503)*(Z$4:Z$503-BB$4:BB$503))/MAX(1,COUNTIF(Z$4:Z$503,"&lt;"&amp;BB417+0.01))),BB417))</f>
        <v>10695.5432177778</v>
      </c>
      <c r="BQ417" s="92" t="n">
        <f aca="false">IF(AA417&gt;=BC417,0,IFERROR(BC417+SUMPRODUCT((AA$4:AA$503&gt;=BC$4:BC$503)*(AA$4:AA$503-BC$4:BC$503))/MAX(1,COUNTIF(AA$4:AA$503,"&lt;"&amp;BC417+0.01)),BC417))</f>
        <v>2238.46589176471</v>
      </c>
      <c r="BR417" s="92" t="n">
        <f aca="false">IF(AB417&gt;=BD417,0,IFERROR(BD417+SUMPRODUCT((AB$4:AB$503&gt;=BD$4:BD$503)*(AB$4:AB$503-BD$4:BD$503))/MAX(1,COUNTIF(AB$4:AB$503,"&lt;"&amp;BD417+0.01)),BD417))</f>
        <v>0</v>
      </c>
      <c r="BS417" s="92" t="n">
        <f aca="false">IF(AC417&gt;=BE417,0,IFERROR(BE417+SUMPRODUCT((AC$4:AC$503&gt;=BE$4:BE$503)*(AC$4:AC$503-BE$4:BE$503))/MAX(1,COUNTIF(AC$4:AC$503,"&lt;"&amp;BE417+0.01)),BE417))</f>
        <v>6188.73352</v>
      </c>
      <c r="BT417" s="92" t="n">
        <f aca="false">IF(AD417&gt;=BF417,0,IFERROR(BF417+SUMPRODUCT((AD$4:AD$503&gt;=BF$4:BF$503)*(AD$4:AD$503-BF$4:BF$503))/MAX(1,COUNTIF(AD$4:AD$503,"&lt;"&amp;BF417+0.01)),BF417))</f>
        <v>11354.35411</v>
      </c>
      <c r="BU417" s="92" t="n">
        <f aca="false">IF(AE417&gt;=BG417,0,IFERROR(BG417+SUMPRODUCT((AE$4:AE$503&gt;=BG$4:BG$503)*(AE$4:AE$503-BG$4:BG$503))/MAX(1,COUNTIF(AE$4:AE$503,"&lt;"&amp;BG417+0.01)),BG417))</f>
        <v>7704.85920380952</v>
      </c>
      <c r="BV417" s="92" t="n">
        <f aca="false">IF(AF417&gt;=BH417,0,IFERROR(BH417+SUMPRODUCT((AF$4:AF$503&gt;=BH$4:BH$503)*(AF$4:AF$503-BH$4:BH$503))/MAX(1,COUNTIF(AF$4:AF$503,"&lt;"&amp;BH417+0.01)),BH417))</f>
        <v>9942.6503831579</v>
      </c>
      <c r="BW417" s="92" t="n">
        <f aca="false">IF(AG417&gt;=BI417,0,IFERROR(BI417+SUMPRODUCT((AG$4:AG$503&gt;=BI$4:BI$503)*(AG$4:AG$503-BI$4:BI$503))/MAX(1,COUNTIF(AG$4:AG$503,"&lt;"&amp;BI417+0.01)),BI417))</f>
        <v>9142.15870461538</v>
      </c>
      <c r="BX417" s="92" t="n">
        <f aca="false">IF(AH417&gt;=BJ417,0,IFERROR(BJ417+SUMPRODUCT((AH$4:AH$503&gt;=BJ$4:BJ$503)*(AH$4:AH$503-BJ$4:BJ$503))/MAX(1,COUNTIF(AH$4:AH$503,"&lt;"&amp;BJ417+0.01)),BJ417))</f>
        <v>5621.50263448276</v>
      </c>
      <c r="BY417" s="92" t="n">
        <f aca="false">IF(AI417&gt;=BK417,0,IFERROR(BK417+SUMPRODUCT((AI$4:AI$503&gt;=BK$4:BK$503)*(AI$4:AI$503-BK$4:BK$503))/MAX(1,COUNTIF(AI$4:AI$503,"&lt;"&amp;BK417+0.01)),BK417))</f>
        <v>7878.25652380952</v>
      </c>
      <c r="BZ417" s="92" t="n">
        <f aca="false">IF(AJ417&gt;=BL417,0,IFERROR(BL417+SUMPRODUCT((AJ$4:AJ$503&gt;=BL$4:BL$503)*(AJ$4:AJ$503-BL$4:BL$503))/MAX(1,COUNTIF(AJ$4:AJ$503,"&lt;"&amp;BL417+0.01)),BL417))</f>
        <v>6710.03292307692</v>
      </c>
      <c r="CA417" s="92" t="n">
        <f aca="false">IF(AK417&gt;=BM417,0,IFERROR(BM417+SUMPRODUCT((AK$4:AK$503&gt;=BM$4:BM$503)*(AK$4:AK$503-BM$4:BM$503))/MAX(1,COUNTIF(AK$4:AK$503,"&lt;"&amp;BM417+0.01)),BM417))</f>
        <v>7314.89836842105</v>
      </c>
      <c r="CB417" s="93" t="n">
        <f aca="false">IF(AL417&gt;=BN417,0,IFERROR(BN417+SUMPRODUCT((AL$4:AL$503&gt;=BN$4:BN$503)*(AL$4:AL$503-BN$4:BN$503))/MAX(1,COUNTIF(AL$4:AL$503,"&lt;"&amp;BN417+0.01)),BN417))</f>
        <v>3597.2614925</v>
      </c>
      <c r="CC417" s="95" t="str">
        <f aca="false">IF(AO417="🟢","VERDE",IF(AO417="🟡","AMARELO",IF(AO417="🟠","VERMELHO",IF(AO417="🔴","VERMELHO","ROXO"))))</f>
        <v>VERMELHO</v>
      </c>
      <c r="CD417" s="96" t="s">
        <v>103</v>
      </c>
      <c r="CE417" s="96" t="s">
        <v>104</v>
      </c>
    </row>
    <row r="418" customFormat="false" ht="14.25" hidden="false" customHeight="true" outlineLevel="0" collapsed="false">
      <c r="A418" s="65" t="s">
        <v>970</v>
      </c>
      <c r="B418" s="66" t="s">
        <v>971</v>
      </c>
      <c r="C418" s="66" t="s">
        <v>66</v>
      </c>
      <c r="D418" s="68" t="s">
        <v>175</v>
      </c>
      <c r="E418" s="69" t="s">
        <v>196</v>
      </c>
      <c r="F418" s="70" t="n">
        <f aca="false">IFERROR(VLOOKUP(C418,$AS$3:$AT$10,2,FALSE()),IFERROR(VLOOKUP(C418,$AS$15:$AT$22,2,FALSE()),""))</f>
        <v>44</v>
      </c>
      <c r="G418" s="71" t="n">
        <f aca="false">IFERROR(VLOOKUP(C418,$AS$3:$AX$10,6,FALSE()),IFERROR(VLOOKUP(C418,$AS$15:$AX$22,6,FALSE()),""))</f>
        <v>0.496839506257363</v>
      </c>
      <c r="H418" s="72" t="str">
        <f aca="false">IFERROR(VLOOKUP(C418,$AS$3:$AY$10,7,FALSE()),IFERROR(VLOOKUP(C418,$AS$15:$AY$22,7,FALSE()),""))</f>
        <v>🟡 AMARELO</v>
      </c>
      <c r="I418" s="72" t="str">
        <f aca="false">IFERROR(VLOOKUP(C418,$AS$3:$AZ$10,8,FALSE()),IFERROR(VLOOKUP(C418,$AS$15:$AZ$22,8,FALSE()),""))</f>
        <v>Sell Out</v>
      </c>
      <c r="J418" s="73"/>
      <c r="K418" s="69" t="s">
        <v>107</v>
      </c>
      <c r="L418" s="74" t="n">
        <v>1741.21</v>
      </c>
      <c r="M418" s="75" t="n">
        <v>122.36</v>
      </c>
      <c r="N418" s="75" t="n">
        <v>127.86</v>
      </c>
      <c r="O418" s="75" t="n">
        <v>130.94</v>
      </c>
      <c r="P418" s="75" t="n">
        <v>134.35</v>
      </c>
      <c r="Q418" s="75" t="n">
        <v>138.76</v>
      </c>
      <c r="R418" s="75" t="n">
        <v>142.39</v>
      </c>
      <c r="S418" s="75" t="n">
        <v>147.89</v>
      </c>
      <c r="T418" s="75" t="n">
        <v>151.52</v>
      </c>
      <c r="U418" s="75" t="n">
        <v>154.93</v>
      </c>
      <c r="V418" s="75" t="n">
        <v>158.78</v>
      </c>
      <c r="W418" s="75" t="n">
        <v>162.96</v>
      </c>
      <c r="X418" s="76" t="n">
        <v>168.47</v>
      </c>
      <c r="Y418" s="77" t="s">
        <v>20</v>
      </c>
      <c r="Z418" s="78" t="n">
        <f aca="false">SUM(AA418:AL418)</f>
        <v>924.68</v>
      </c>
      <c r="AA418" s="75"/>
      <c r="AB418" s="75"/>
      <c r="AC418" s="75"/>
      <c r="AD418" s="75"/>
      <c r="AE418" s="75"/>
      <c r="AF418" s="75"/>
      <c r="AG418" s="75"/>
      <c r="AH418" s="79" t="n">
        <v>924.68</v>
      </c>
      <c r="AI418" s="75"/>
      <c r="AJ418" s="75"/>
      <c r="AK418" s="75"/>
      <c r="AL418" s="76"/>
      <c r="AM418" s="56" t="s">
        <v>20</v>
      </c>
      <c r="AN418" s="80" t="n">
        <f aca="false">IF(L418=0,0,Z418/L418)</f>
        <v>0.531055989800196</v>
      </c>
      <c r="AO418" s="81" t="str">
        <f aca="false">IF(AN418="","",IF(AN418&gt;=0.9,"🟢",IF(AN418&gt;=0.7,"🟡",IF(AN418&gt;=0.5,"🟠","🔴"))))</f>
        <v>🟠</v>
      </c>
      <c r="AP418" s="82" t="n">
        <f aca="false">IF(L418=0,0,L418-Z418)</f>
        <v>816.53</v>
      </c>
      <c r="AQ418" s="83" t="n">
        <f aca="false">IF(AP418=0,"",RANK(AP418,AP$4:AP$503,0))</f>
        <v>418</v>
      </c>
      <c r="AR418" s="84" t="s">
        <v>20</v>
      </c>
      <c r="AS418" s="141"/>
      <c r="AT418" s="141"/>
      <c r="AU418" s="141"/>
      <c r="AV418" s="141"/>
      <c r="AW418" s="141"/>
      <c r="AX418" s="141"/>
      <c r="AY418" s="142"/>
      <c r="AZ418" s="142"/>
      <c r="BA418" s="56" t="s">
        <v>20</v>
      </c>
      <c r="BB418" s="91" t="n">
        <f aca="false">SUM(L$4:L$503)/COUNTA(A$4:A$503)</f>
        <v>9494.39992</v>
      </c>
      <c r="BC418" s="92" t="n">
        <f aca="false">SUM(M$4:M$503)/COUNTA(A$4:A$503)</f>
        <v>667.20008</v>
      </c>
      <c r="BD418" s="92" t="n">
        <f aca="false">SUM(N$4:N$503)/COUNTA(A$4:A$503)</f>
        <v>697.19996</v>
      </c>
      <c r="BE418" s="92" t="n">
        <f aca="false">SUM(O$4:O$503)/COUNTA(A$4:A$503)</f>
        <v>713.9999</v>
      </c>
      <c r="BF418" s="92" t="n">
        <f aca="false">SUM(P$4:P$503)/COUNTA(A$4:A$503)</f>
        <v>732.59984</v>
      </c>
      <c r="BG418" s="92" t="n">
        <f aca="false">SUM(Q$4:Q$503)/COUNTA(A$4:A$503)</f>
        <v>756.59992</v>
      </c>
      <c r="BH418" s="92" t="n">
        <f aca="false">SUM(R$4:R$503)/COUNTA(A$4:A$503)</f>
        <v>776.40004</v>
      </c>
      <c r="BI418" s="92" t="n">
        <f aca="false">SUM(S$4:S$503)/COUNTA(A$4:A$503)</f>
        <v>806.40012</v>
      </c>
      <c r="BJ418" s="92" t="n">
        <f aca="false">SUM(T$4:T$503)/COUNTA(A$4:A$503)</f>
        <v>826.1999</v>
      </c>
      <c r="BK418" s="92" t="n">
        <f aca="false">SUM(U$4:U$503)/COUNTA(A$4:A$503)</f>
        <v>844.8002</v>
      </c>
      <c r="BL418" s="92" t="n">
        <f aca="false">SUM(V$4:V$503)/COUNTA(A$4:A$503)</f>
        <v>865.7998</v>
      </c>
      <c r="BM418" s="92" t="n">
        <f aca="false">SUM(W$4:W$503)/COUNTA(A$4:A$503)</f>
        <v>888.59982</v>
      </c>
      <c r="BN418" s="93" t="n">
        <f aca="false">SUM(X$4:X$503)/COUNTA(A$4:A$503)</f>
        <v>918.60034</v>
      </c>
      <c r="BO418" s="94" t="s">
        <v>20</v>
      </c>
      <c r="BP418" s="91" t="n">
        <f aca="false">IF(Z418&gt;=BB418,0,IFERROR(BB418+(SUMPRODUCT((Z$4:Z$503&gt;=BB$4:BB$503)*(Z$4:Z$503-BB$4:BB$503))/MAX(1,COUNTIF(Z$4:Z$503,"&lt;"&amp;BB418+0.01))),BB418))</f>
        <v>10695.5432177778</v>
      </c>
      <c r="BQ418" s="92" t="n">
        <f aca="false">IF(AA418&gt;=BC418,0,IFERROR(BC418+SUMPRODUCT((AA$4:AA$503&gt;=BC$4:BC$503)*(AA$4:AA$503-BC$4:BC$503))/MAX(1,COUNTIF(AA$4:AA$503,"&lt;"&amp;BC418+0.01)),BC418))</f>
        <v>2238.46589176471</v>
      </c>
      <c r="BR418" s="92" t="n">
        <f aca="false">IF(AB418&gt;=BD418,0,IFERROR(BD418+SUMPRODUCT((AB$4:AB$503&gt;=BD$4:BD$503)*(AB$4:AB$503-BD$4:BD$503))/MAX(1,COUNTIF(AB$4:AB$503,"&lt;"&amp;BD418+0.01)),BD418))</f>
        <v>3335.2938</v>
      </c>
      <c r="BS418" s="92" t="n">
        <f aca="false">IF(AC418&gt;=BE418,0,IFERROR(BE418+SUMPRODUCT((AC$4:AC$503&gt;=BE$4:BE$503)*(AC$4:AC$503-BE$4:BE$503))/MAX(1,COUNTIF(AC$4:AC$503,"&lt;"&amp;BE418+0.01)),BE418))</f>
        <v>6188.73352</v>
      </c>
      <c r="BT418" s="92" t="n">
        <f aca="false">IF(AD418&gt;=BF418,0,IFERROR(BF418+SUMPRODUCT((AD$4:AD$503&gt;=BF$4:BF$503)*(AD$4:AD$503-BF$4:BF$503))/MAX(1,COUNTIF(AD$4:AD$503,"&lt;"&amp;BF418+0.01)),BF418))</f>
        <v>11354.35411</v>
      </c>
      <c r="BU418" s="92" t="n">
        <f aca="false">IF(AE418&gt;=BG418,0,IFERROR(BG418+SUMPRODUCT((AE$4:AE$503&gt;=BG$4:BG$503)*(AE$4:AE$503-BG$4:BG$503))/MAX(1,COUNTIF(AE$4:AE$503,"&lt;"&amp;BG418+0.01)),BG418))</f>
        <v>7704.85920380952</v>
      </c>
      <c r="BV418" s="92" t="n">
        <f aca="false">IF(AF418&gt;=BH418,0,IFERROR(BH418+SUMPRODUCT((AF$4:AF$503&gt;=BH$4:BH$503)*(AF$4:AF$503-BH$4:BH$503))/MAX(1,COUNTIF(AF$4:AF$503,"&lt;"&amp;BH418+0.01)),BH418))</f>
        <v>9942.6503831579</v>
      </c>
      <c r="BW418" s="92" t="n">
        <f aca="false">IF(AG418&gt;=BI418,0,IFERROR(BI418+SUMPRODUCT((AG$4:AG$503&gt;=BI$4:BI$503)*(AG$4:AG$503-BI$4:BI$503))/MAX(1,COUNTIF(AG$4:AG$503,"&lt;"&amp;BI418+0.01)),BI418))</f>
        <v>9142.15870461538</v>
      </c>
      <c r="BX418" s="92" t="n">
        <f aca="false">IF(AH418&gt;=BJ418,0,IFERROR(BJ418+SUMPRODUCT((AH$4:AH$503&gt;=BJ$4:BJ$503)*(AH$4:AH$503-BJ$4:BJ$503))/MAX(1,COUNTIF(AH$4:AH$503,"&lt;"&amp;BJ418+0.01)),BJ418))</f>
        <v>0</v>
      </c>
      <c r="BY418" s="92" t="n">
        <f aca="false">IF(AI418&gt;=BK418,0,IFERROR(BK418+SUMPRODUCT((AI$4:AI$503&gt;=BK$4:BK$503)*(AI$4:AI$503-BK$4:BK$503))/MAX(1,COUNTIF(AI$4:AI$503,"&lt;"&amp;BK418+0.01)),BK418))</f>
        <v>7878.25652380952</v>
      </c>
      <c r="BZ418" s="92" t="n">
        <f aca="false">IF(AJ418&gt;=BL418,0,IFERROR(BL418+SUMPRODUCT((AJ$4:AJ$503&gt;=BL$4:BL$503)*(AJ$4:AJ$503-BL$4:BL$503))/MAX(1,COUNTIF(AJ$4:AJ$503,"&lt;"&amp;BL418+0.01)),BL418))</f>
        <v>6710.03292307692</v>
      </c>
      <c r="CA418" s="92" t="n">
        <f aca="false">IF(AK418&gt;=BM418,0,IFERROR(BM418+SUMPRODUCT((AK$4:AK$503&gt;=BM$4:BM$503)*(AK$4:AK$503-BM$4:BM$503))/MAX(1,COUNTIF(AK$4:AK$503,"&lt;"&amp;BM418+0.01)),BM418))</f>
        <v>7314.89836842105</v>
      </c>
      <c r="CB418" s="93" t="n">
        <f aca="false">IF(AL418&gt;=BN418,0,IFERROR(BN418+SUMPRODUCT((AL$4:AL$503&gt;=BN$4:BN$503)*(AL$4:AL$503-BN$4:BN$503))/MAX(1,COUNTIF(AL$4:AL$503,"&lt;"&amp;BN418+0.01)),BN418))</f>
        <v>3597.2614925</v>
      </c>
      <c r="CC418" s="95" t="str">
        <f aca="false">IF(AO418="🟢","VERDE",IF(AO418="🟡","AMARELO",IF(AO418="🟠","VERMELHO",IF(AO418="🔴","VERMELHO","ROXO"))))</f>
        <v>VERMELHO</v>
      </c>
      <c r="CD418" s="96" t="s">
        <v>176</v>
      </c>
      <c r="CE418" s="96" t="s">
        <v>66</v>
      </c>
    </row>
    <row r="419" customFormat="false" ht="14.25" hidden="false" customHeight="true" outlineLevel="0" collapsed="false">
      <c r="A419" s="65" t="s">
        <v>972</v>
      </c>
      <c r="B419" s="66" t="s">
        <v>973</v>
      </c>
      <c r="C419" s="67" t="s">
        <v>118</v>
      </c>
      <c r="D419" s="68" t="s">
        <v>100</v>
      </c>
      <c r="E419" s="69" t="s">
        <v>119</v>
      </c>
      <c r="F419" s="70" t="n">
        <f aca="false">IFERROR(VLOOKUP(C419,$AS$3:$AT$10,2,FALSE()),IFERROR(VLOOKUP(C419,$AS$15:$AT$22,2,FALSE()),""))</f>
        <v>42</v>
      </c>
      <c r="G419" s="71" t="n">
        <f aca="false">IFERROR(VLOOKUP(C419,$AS$3:$AX$10,6,FALSE()),IFERROR(VLOOKUP(C419,$AS$15:$AX$22,6,FALSE()),""))</f>
        <v>0.424872083346704</v>
      </c>
      <c r="H419" s="72" t="str">
        <f aca="false">IFERROR(VLOOKUP(C419,$AS$3:$AY$10,7,FALSE()),IFERROR(VLOOKUP(C419,$AS$15:$AY$22,7,FALSE()),""))</f>
        <v>🟡 AMARELO</v>
      </c>
      <c r="I419" s="72" t="str">
        <f aca="false">IFERROR(VLOOKUP(C419,$AS$3:$AZ$10,8,FALSE()),IFERROR(VLOOKUP(C419,$AS$15:$AZ$22,8,FALSE()),""))</f>
        <v>Sell Out</v>
      </c>
      <c r="J419" s="73"/>
      <c r="K419" s="69" t="s">
        <v>118</v>
      </c>
      <c r="L419" s="74" t="n">
        <v>1739.07</v>
      </c>
      <c r="M419" s="75" t="n">
        <v>122.21</v>
      </c>
      <c r="N419" s="75" t="n">
        <v>127.7</v>
      </c>
      <c r="O419" s="75" t="n">
        <v>130.78</v>
      </c>
      <c r="P419" s="75" t="n">
        <v>134.19</v>
      </c>
      <c r="Q419" s="75" t="n">
        <v>138.59</v>
      </c>
      <c r="R419" s="75" t="n">
        <v>142.21</v>
      </c>
      <c r="S419" s="75" t="n">
        <v>147.71</v>
      </c>
      <c r="T419" s="75" t="n">
        <v>151.33</v>
      </c>
      <c r="U419" s="75" t="n">
        <v>154.74</v>
      </c>
      <c r="V419" s="75" t="n">
        <v>158.59</v>
      </c>
      <c r="W419" s="75" t="n">
        <v>162.76</v>
      </c>
      <c r="X419" s="76" t="n">
        <v>168.26</v>
      </c>
      <c r="Y419" s="77" t="s">
        <v>20</v>
      </c>
      <c r="Z419" s="78" t="n">
        <f aca="false">SUM(AA419:AL419)</f>
        <v>699.37</v>
      </c>
      <c r="AA419" s="75"/>
      <c r="AB419" s="75"/>
      <c r="AC419" s="75"/>
      <c r="AD419" s="75"/>
      <c r="AE419" s="75"/>
      <c r="AF419" s="75"/>
      <c r="AG419" s="79" t="n">
        <v>699.37</v>
      </c>
      <c r="AH419" s="75"/>
      <c r="AI419" s="75"/>
      <c r="AJ419" s="75"/>
      <c r="AK419" s="75"/>
      <c r="AL419" s="76"/>
      <c r="AM419" s="56" t="s">
        <v>20</v>
      </c>
      <c r="AN419" s="80" t="n">
        <f aca="false">IF(L419=0,0,Z419/L419)</f>
        <v>0.402151724772436</v>
      </c>
      <c r="AO419" s="81" t="str">
        <f aca="false">IF(AN419="","",IF(AN419&gt;=0.9,"🟢",IF(AN419&gt;=0.7,"🟡",IF(AN419&gt;=0.5,"🟠","🔴"))))</f>
        <v>🔴</v>
      </c>
      <c r="AP419" s="82" t="n">
        <f aca="false">IF(L419=0,0,L419-Z419)</f>
        <v>1039.7</v>
      </c>
      <c r="AQ419" s="83" t="n">
        <f aca="false">IF(AP419=0,"",RANK(AP419,AP$4:AP$503,0))</f>
        <v>376</v>
      </c>
      <c r="AR419" s="84" t="s">
        <v>20</v>
      </c>
      <c r="AS419" s="141"/>
      <c r="AT419" s="141"/>
      <c r="AU419" s="141"/>
      <c r="AV419" s="141"/>
      <c r="AW419" s="141"/>
      <c r="AX419" s="141"/>
      <c r="AY419" s="142"/>
      <c r="AZ419" s="142"/>
      <c r="BA419" s="56" t="s">
        <v>20</v>
      </c>
      <c r="BB419" s="91" t="n">
        <f aca="false">SUM(L$4:L$503)/COUNTA(A$4:A$503)</f>
        <v>9494.39992</v>
      </c>
      <c r="BC419" s="92" t="n">
        <f aca="false">SUM(M$4:M$503)/COUNTA(A$4:A$503)</f>
        <v>667.20008</v>
      </c>
      <c r="BD419" s="92" t="n">
        <f aca="false">SUM(N$4:N$503)/COUNTA(A$4:A$503)</f>
        <v>697.19996</v>
      </c>
      <c r="BE419" s="92" t="n">
        <f aca="false">SUM(O$4:O$503)/COUNTA(A$4:A$503)</f>
        <v>713.9999</v>
      </c>
      <c r="BF419" s="92" t="n">
        <f aca="false">SUM(P$4:P$503)/COUNTA(A$4:A$503)</f>
        <v>732.59984</v>
      </c>
      <c r="BG419" s="92" t="n">
        <f aca="false">SUM(Q$4:Q$503)/COUNTA(A$4:A$503)</f>
        <v>756.59992</v>
      </c>
      <c r="BH419" s="92" t="n">
        <f aca="false">SUM(R$4:R$503)/COUNTA(A$4:A$503)</f>
        <v>776.40004</v>
      </c>
      <c r="BI419" s="92" t="n">
        <f aca="false">SUM(S$4:S$503)/COUNTA(A$4:A$503)</f>
        <v>806.40012</v>
      </c>
      <c r="BJ419" s="92" t="n">
        <f aca="false">SUM(T$4:T$503)/COUNTA(A$4:A$503)</f>
        <v>826.1999</v>
      </c>
      <c r="BK419" s="92" t="n">
        <f aca="false">SUM(U$4:U$503)/COUNTA(A$4:A$503)</f>
        <v>844.8002</v>
      </c>
      <c r="BL419" s="92" t="n">
        <f aca="false">SUM(V$4:V$503)/COUNTA(A$4:A$503)</f>
        <v>865.7998</v>
      </c>
      <c r="BM419" s="92" t="n">
        <f aca="false">SUM(W$4:W$503)/COUNTA(A$4:A$503)</f>
        <v>888.59982</v>
      </c>
      <c r="BN419" s="93" t="n">
        <f aca="false">SUM(X$4:X$503)/COUNTA(A$4:A$503)</f>
        <v>918.60034</v>
      </c>
      <c r="BO419" s="94" t="s">
        <v>20</v>
      </c>
      <c r="BP419" s="91" t="n">
        <f aca="false">IF(Z419&gt;=BB419,0,IFERROR(BB419+(SUMPRODUCT((Z$4:Z$503&gt;=BB$4:BB$503)*(Z$4:Z$503-BB$4:BB$503))/MAX(1,COUNTIF(Z$4:Z$503,"&lt;"&amp;BB419+0.01))),BB419))</f>
        <v>10695.5432177778</v>
      </c>
      <c r="BQ419" s="92" t="n">
        <f aca="false">IF(AA419&gt;=BC419,0,IFERROR(BC419+SUMPRODUCT((AA$4:AA$503&gt;=BC$4:BC$503)*(AA$4:AA$503-BC$4:BC$503))/MAX(1,COUNTIF(AA$4:AA$503,"&lt;"&amp;BC419+0.01)),BC419))</f>
        <v>2238.46589176471</v>
      </c>
      <c r="BR419" s="92" t="n">
        <f aca="false">IF(AB419&gt;=BD419,0,IFERROR(BD419+SUMPRODUCT((AB$4:AB$503&gt;=BD$4:BD$503)*(AB$4:AB$503-BD$4:BD$503))/MAX(1,COUNTIF(AB$4:AB$503,"&lt;"&amp;BD419+0.01)),BD419))</f>
        <v>3335.2938</v>
      </c>
      <c r="BS419" s="92" t="n">
        <f aca="false">IF(AC419&gt;=BE419,0,IFERROR(BE419+SUMPRODUCT((AC$4:AC$503&gt;=BE$4:BE$503)*(AC$4:AC$503-BE$4:BE$503))/MAX(1,COUNTIF(AC$4:AC$503,"&lt;"&amp;BE419+0.01)),BE419))</f>
        <v>6188.73352</v>
      </c>
      <c r="BT419" s="92" t="n">
        <f aca="false">IF(AD419&gt;=BF419,0,IFERROR(BF419+SUMPRODUCT((AD$4:AD$503&gt;=BF$4:BF$503)*(AD$4:AD$503-BF$4:BF$503))/MAX(1,COUNTIF(AD$4:AD$503,"&lt;"&amp;BF419+0.01)),BF419))</f>
        <v>11354.35411</v>
      </c>
      <c r="BU419" s="92" t="n">
        <f aca="false">IF(AE419&gt;=BG419,0,IFERROR(BG419+SUMPRODUCT((AE$4:AE$503&gt;=BG$4:BG$503)*(AE$4:AE$503-BG$4:BG$503))/MAX(1,COUNTIF(AE$4:AE$503,"&lt;"&amp;BG419+0.01)),BG419))</f>
        <v>7704.85920380952</v>
      </c>
      <c r="BV419" s="92" t="n">
        <f aca="false">IF(AF419&gt;=BH419,0,IFERROR(BH419+SUMPRODUCT((AF$4:AF$503&gt;=BH$4:BH$503)*(AF$4:AF$503-BH$4:BH$503))/MAX(1,COUNTIF(AF$4:AF$503,"&lt;"&amp;BH419+0.01)),BH419))</f>
        <v>9942.6503831579</v>
      </c>
      <c r="BW419" s="92" t="n">
        <f aca="false">IF(AG419&gt;=BI419,0,IFERROR(BI419+SUMPRODUCT((AG$4:AG$503&gt;=BI$4:BI$503)*(AG$4:AG$503-BI$4:BI$503))/MAX(1,COUNTIF(AG$4:AG$503,"&lt;"&amp;BI419+0.01)),BI419))</f>
        <v>9142.15870461538</v>
      </c>
      <c r="BX419" s="92" t="n">
        <f aca="false">IF(AH419&gt;=BJ419,0,IFERROR(BJ419+SUMPRODUCT((AH$4:AH$503&gt;=BJ$4:BJ$503)*(AH$4:AH$503-BJ$4:BJ$503))/MAX(1,COUNTIF(AH$4:AH$503,"&lt;"&amp;BJ419+0.01)),BJ419))</f>
        <v>5621.50263448276</v>
      </c>
      <c r="BY419" s="92" t="n">
        <f aca="false">IF(AI419&gt;=BK419,0,IFERROR(BK419+SUMPRODUCT((AI$4:AI$503&gt;=BK$4:BK$503)*(AI$4:AI$503-BK$4:BK$503))/MAX(1,COUNTIF(AI$4:AI$503,"&lt;"&amp;BK419+0.01)),BK419))</f>
        <v>7878.25652380952</v>
      </c>
      <c r="BZ419" s="92" t="n">
        <f aca="false">IF(AJ419&gt;=BL419,0,IFERROR(BL419+SUMPRODUCT((AJ$4:AJ$503&gt;=BL$4:BL$503)*(AJ$4:AJ$503-BL$4:BL$503))/MAX(1,COUNTIF(AJ$4:AJ$503,"&lt;"&amp;BL419+0.01)),BL419))</f>
        <v>6710.03292307692</v>
      </c>
      <c r="CA419" s="92" t="n">
        <f aca="false">IF(AK419&gt;=BM419,0,IFERROR(BM419+SUMPRODUCT((AK$4:AK$503&gt;=BM$4:BM$503)*(AK$4:AK$503-BM$4:BM$503))/MAX(1,COUNTIF(AK$4:AK$503,"&lt;"&amp;BM419+0.01)),BM419))</f>
        <v>7314.89836842105</v>
      </c>
      <c r="CB419" s="93" t="n">
        <f aca="false">IF(AL419&gt;=BN419,0,IFERROR(BN419+SUMPRODUCT((AL$4:AL$503&gt;=BN$4:BN$503)*(AL$4:AL$503-BN$4:BN$503))/MAX(1,COUNTIF(AL$4:AL$503,"&lt;"&amp;BN419+0.01)),BN419))</f>
        <v>3597.2614925</v>
      </c>
      <c r="CC419" s="95" t="str">
        <f aca="false">IF(AO419="🟢","VERDE",IF(AO419="🟡","AMARELO",IF(AO419="🟠","VERMELHO",IF(AO419="🔴","VERMELHO","ROXO"))))</f>
        <v>VERMELHO</v>
      </c>
      <c r="CD419" s="96" t="s">
        <v>103</v>
      </c>
      <c r="CE419" s="96" t="s">
        <v>104</v>
      </c>
    </row>
    <row r="420" customFormat="false" ht="14.25" hidden="false" customHeight="true" outlineLevel="0" collapsed="false">
      <c r="A420" s="65" t="s">
        <v>974</v>
      </c>
      <c r="B420" s="66" t="s">
        <v>975</v>
      </c>
      <c r="C420" s="67" t="s">
        <v>107</v>
      </c>
      <c r="D420" s="68" t="s">
        <v>108</v>
      </c>
      <c r="E420" s="69" t="s">
        <v>196</v>
      </c>
      <c r="F420" s="70" t="n">
        <f aca="false">IFERROR(VLOOKUP(C420,$AS$3:$AT$10,2,FALSE()),IFERROR(VLOOKUP(C420,$AS$15:$AT$22,2,FALSE()),""))</f>
        <v>132</v>
      </c>
      <c r="G420" s="71" t="n">
        <f aca="false">IFERROR(VLOOKUP(C420,$AS$3:$AX$10,6,FALSE()),IFERROR(VLOOKUP(C420,$AS$15:$AX$22,6,FALSE()),""))</f>
        <v>0.468190175850689</v>
      </c>
      <c r="H420" s="72" t="str">
        <f aca="false">IFERROR(VLOOKUP(C420,$AS$3:$AY$10,7,FALSE()),IFERROR(VLOOKUP(C420,$AS$15:$AY$22,7,FALSE()),""))</f>
        <v>🟡 AMARELO</v>
      </c>
      <c r="I420" s="72" t="str">
        <f aca="false">IFERROR(VLOOKUP(C420,$AS$3:$AZ$10,8,FALSE()),IFERROR(VLOOKUP(C420,$AS$15:$AZ$22,8,FALSE()),""))</f>
        <v>Sell Out</v>
      </c>
      <c r="J420" s="73"/>
      <c r="K420" s="69" t="s">
        <v>107</v>
      </c>
      <c r="L420" s="74" t="n">
        <v>1722.98</v>
      </c>
      <c r="M420" s="75" t="n">
        <v>121.08</v>
      </c>
      <c r="N420" s="75" t="n">
        <v>126.52</v>
      </c>
      <c r="O420" s="75" t="n">
        <v>129.57</v>
      </c>
      <c r="P420" s="75" t="n">
        <v>132.95</v>
      </c>
      <c r="Q420" s="75" t="n">
        <v>137.3</v>
      </c>
      <c r="R420" s="75" t="n">
        <v>140.9</v>
      </c>
      <c r="S420" s="75" t="n">
        <v>146.34</v>
      </c>
      <c r="T420" s="75" t="n">
        <v>149.93</v>
      </c>
      <c r="U420" s="75" t="n">
        <v>153.31</v>
      </c>
      <c r="V420" s="75" t="n">
        <v>157.12</v>
      </c>
      <c r="W420" s="75" t="n">
        <v>161.26</v>
      </c>
      <c r="X420" s="76" t="n">
        <v>166.7</v>
      </c>
      <c r="Y420" s="77" t="s">
        <v>20</v>
      </c>
      <c r="Z420" s="78" t="n">
        <f aca="false">SUM(AA420:AL420)</f>
        <v>704</v>
      </c>
      <c r="AA420" s="75"/>
      <c r="AB420" s="75"/>
      <c r="AC420" s="79" t="n">
        <v>704</v>
      </c>
      <c r="AD420" s="75"/>
      <c r="AE420" s="75"/>
      <c r="AF420" s="75"/>
      <c r="AG420" s="75"/>
      <c r="AH420" s="75"/>
      <c r="AI420" s="75"/>
      <c r="AJ420" s="75"/>
      <c r="AK420" s="75"/>
      <c r="AL420" s="76"/>
      <c r="AM420" s="56" t="s">
        <v>20</v>
      </c>
      <c r="AN420" s="80" t="n">
        <f aca="false">IF(L420=0,0,Z420/L420)</f>
        <v>0.408594412007104</v>
      </c>
      <c r="AO420" s="81" t="str">
        <f aca="false">IF(AN420="","",IF(AN420&gt;=0.9,"🟢",IF(AN420&gt;=0.7,"🟡",IF(AN420&gt;=0.5,"🟠","🔴"))))</f>
        <v>🔴</v>
      </c>
      <c r="AP420" s="82" t="n">
        <f aca="false">IF(L420=0,0,L420-Z420)</f>
        <v>1018.98</v>
      </c>
      <c r="AQ420" s="83" t="n">
        <f aca="false">IF(AP420=0,"",RANK(AP420,AP$4:AP$503,0))</f>
        <v>380</v>
      </c>
      <c r="AR420" s="84" t="s">
        <v>20</v>
      </c>
      <c r="AS420" s="141"/>
      <c r="AT420" s="141"/>
      <c r="AU420" s="141"/>
      <c r="AV420" s="141"/>
      <c r="AW420" s="141"/>
      <c r="AX420" s="141"/>
      <c r="AY420" s="142"/>
      <c r="AZ420" s="142"/>
      <c r="BA420" s="56" t="s">
        <v>20</v>
      </c>
      <c r="BB420" s="91" t="n">
        <f aca="false">SUM(L$4:L$503)/COUNTA(A$4:A$503)</f>
        <v>9494.39992</v>
      </c>
      <c r="BC420" s="92" t="n">
        <f aca="false">SUM(M$4:M$503)/COUNTA(A$4:A$503)</f>
        <v>667.20008</v>
      </c>
      <c r="BD420" s="92" t="n">
        <f aca="false">SUM(N$4:N$503)/COUNTA(A$4:A$503)</f>
        <v>697.19996</v>
      </c>
      <c r="BE420" s="92" t="n">
        <f aca="false">SUM(O$4:O$503)/COUNTA(A$4:A$503)</f>
        <v>713.9999</v>
      </c>
      <c r="BF420" s="92" t="n">
        <f aca="false">SUM(P$4:P$503)/COUNTA(A$4:A$503)</f>
        <v>732.59984</v>
      </c>
      <c r="BG420" s="92" t="n">
        <f aca="false">SUM(Q$4:Q$503)/COUNTA(A$4:A$503)</f>
        <v>756.59992</v>
      </c>
      <c r="BH420" s="92" t="n">
        <f aca="false">SUM(R$4:R$503)/COUNTA(A$4:A$503)</f>
        <v>776.40004</v>
      </c>
      <c r="BI420" s="92" t="n">
        <f aca="false">SUM(S$4:S$503)/COUNTA(A$4:A$503)</f>
        <v>806.40012</v>
      </c>
      <c r="BJ420" s="92" t="n">
        <f aca="false">SUM(T$4:T$503)/COUNTA(A$4:A$503)</f>
        <v>826.1999</v>
      </c>
      <c r="BK420" s="92" t="n">
        <f aca="false">SUM(U$4:U$503)/COUNTA(A$4:A$503)</f>
        <v>844.8002</v>
      </c>
      <c r="BL420" s="92" t="n">
        <f aca="false">SUM(V$4:V$503)/COUNTA(A$4:A$503)</f>
        <v>865.7998</v>
      </c>
      <c r="BM420" s="92" t="n">
        <f aca="false">SUM(W$4:W$503)/COUNTA(A$4:A$503)</f>
        <v>888.59982</v>
      </c>
      <c r="BN420" s="93" t="n">
        <f aca="false">SUM(X$4:X$503)/COUNTA(A$4:A$503)</f>
        <v>918.60034</v>
      </c>
      <c r="BO420" s="94" t="s">
        <v>20</v>
      </c>
      <c r="BP420" s="91" t="n">
        <f aca="false">IF(Z420&gt;=BB420,0,IFERROR(BB420+(SUMPRODUCT((Z$4:Z$503&gt;=BB$4:BB$503)*(Z$4:Z$503-BB$4:BB$503))/MAX(1,COUNTIF(Z$4:Z$503,"&lt;"&amp;BB420+0.01))),BB420))</f>
        <v>10695.5432177778</v>
      </c>
      <c r="BQ420" s="92" t="n">
        <f aca="false">IF(AA420&gt;=BC420,0,IFERROR(BC420+SUMPRODUCT((AA$4:AA$503&gt;=BC$4:BC$503)*(AA$4:AA$503-BC$4:BC$503))/MAX(1,COUNTIF(AA$4:AA$503,"&lt;"&amp;BC420+0.01)),BC420))</f>
        <v>2238.46589176471</v>
      </c>
      <c r="BR420" s="92" t="n">
        <f aca="false">IF(AB420&gt;=BD420,0,IFERROR(BD420+SUMPRODUCT((AB$4:AB$503&gt;=BD$4:BD$503)*(AB$4:AB$503-BD$4:BD$503))/MAX(1,COUNTIF(AB$4:AB$503,"&lt;"&amp;BD420+0.01)),BD420))</f>
        <v>3335.2938</v>
      </c>
      <c r="BS420" s="92" t="n">
        <f aca="false">IF(AC420&gt;=BE420,0,IFERROR(BE420+SUMPRODUCT((AC$4:AC$503&gt;=BE$4:BE$503)*(AC$4:AC$503-BE$4:BE$503))/MAX(1,COUNTIF(AC$4:AC$503,"&lt;"&amp;BE420+0.01)),BE420))</f>
        <v>6188.73352</v>
      </c>
      <c r="BT420" s="92" t="n">
        <f aca="false">IF(AD420&gt;=BF420,0,IFERROR(BF420+SUMPRODUCT((AD$4:AD$503&gt;=BF$4:BF$503)*(AD$4:AD$503-BF$4:BF$503))/MAX(1,COUNTIF(AD$4:AD$503,"&lt;"&amp;BF420+0.01)),BF420))</f>
        <v>11354.35411</v>
      </c>
      <c r="BU420" s="92" t="n">
        <f aca="false">IF(AE420&gt;=BG420,0,IFERROR(BG420+SUMPRODUCT((AE$4:AE$503&gt;=BG$4:BG$503)*(AE$4:AE$503-BG$4:BG$503))/MAX(1,COUNTIF(AE$4:AE$503,"&lt;"&amp;BG420+0.01)),BG420))</f>
        <v>7704.85920380952</v>
      </c>
      <c r="BV420" s="92" t="n">
        <f aca="false">IF(AF420&gt;=BH420,0,IFERROR(BH420+SUMPRODUCT((AF$4:AF$503&gt;=BH$4:BH$503)*(AF$4:AF$503-BH$4:BH$503))/MAX(1,COUNTIF(AF$4:AF$503,"&lt;"&amp;BH420+0.01)),BH420))</f>
        <v>9942.6503831579</v>
      </c>
      <c r="BW420" s="92" t="n">
        <f aca="false">IF(AG420&gt;=BI420,0,IFERROR(BI420+SUMPRODUCT((AG$4:AG$503&gt;=BI$4:BI$503)*(AG$4:AG$503-BI$4:BI$503))/MAX(1,COUNTIF(AG$4:AG$503,"&lt;"&amp;BI420+0.01)),BI420))</f>
        <v>9142.15870461538</v>
      </c>
      <c r="BX420" s="92" t="n">
        <f aca="false">IF(AH420&gt;=BJ420,0,IFERROR(BJ420+SUMPRODUCT((AH$4:AH$503&gt;=BJ$4:BJ$503)*(AH$4:AH$503-BJ$4:BJ$503))/MAX(1,COUNTIF(AH$4:AH$503,"&lt;"&amp;BJ420+0.01)),BJ420))</f>
        <v>5621.50263448276</v>
      </c>
      <c r="BY420" s="92" t="n">
        <f aca="false">IF(AI420&gt;=BK420,0,IFERROR(BK420+SUMPRODUCT((AI$4:AI$503&gt;=BK$4:BK$503)*(AI$4:AI$503-BK$4:BK$503))/MAX(1,COUNTIF(AI$4:AI$503,"&lt;"&amp;BK420+0.01)),BK420))</f>
        <v>7878.25652380952</v>
      </c>
      <c r="BZ420" s="92" t="n">
        <f aca="false">IF(AJ420&gt;=BL420,0,IFERROR(BL420+SUMPRODUCT((AJ$4:AJ$503&gt;=BL$4:BL$503)*(AJ$4:AJ$503-BL$4:BL$503))/MAX(1,COUNTIF(AJ$4:AJ$503,"&lt;"&amp;BL420+0.01)),BL420))</f>
        <v>6710.03292307692</v>
      </c>
      <c r="CA420" s="92" t="n">
        <f aca="false">IF(AK420&gt;=BM420,0,IFERROR(BM420+SUMPRODUCT((AK$4:AK$503&gt;=BM$4:BM$503)*(AK$4:AK$503-BM$4:BM$503))/MAX(1,COUNTIF(AK$4:AK$503,"&lt;"&amp;BM420+0.01)),BM420))</f>
        <v>7314.89836842105</v>
      </c>
      <c r="CB420" s="93" t="n">
        <f aca="false">IF(AL420&gt;=BN420,0,IFERROR(BN420+SUMPRODUCT((AL$4:AL$503&gt;=BN$4:BN$503)*(AL$4:AL$503-BN$4:BN$503))/MAX(1,COUNTIF(AL$4:AL$503,"&lt;"&amp;BN420+0.01)),BN420))</f>
        <v>3597.2614925</v>
      </c>
      <c r="CC420" s="95" t="str">
        <f aca="false">IF(AO420="🟢","VERDE",IF(AO420="🟡","AMARELO",IF(AO420="🟠","VERMELHO",IF(AO420="🔴","VERMELHO","ROXO"))))</f>
        <v>VERMELHO</v>
      </c>
      <c r="CD420" s="96" t="s">
        <v>103</v>
      </c>
      <c r="CE420" s="96" t="s">
        <v>104</v>
      </c>
    </row>
    <row r="421" customFormat="false" ht="14.25" hidden="false" customHeight="true" outlineLevel="0" collapsed="false">
      <c r="A421" s="65" t="s">
        <v>976</v>
      </c>
      <c r="B421" s="66" t="s">
        <v>977</v>
      </c>
      <c r="C421" s="67" t="s">
        <v>149</v>
      </c>
      <c r="D421" s="68" t="s">
        <v>100</v>
      </c>
      <c r="E421" s="69" t="s">
        <v>119</v>
      </c>
      <c r="F421" s="70" t="n">
        <f aca="false">IFERROR(VLOOKUP(C421,$AS$3:$AT$10,2,FALSE()),IFERROR(VLOOKUP(C421,$AS$15:$AT$22,2,FALSE()),""))</f>
        <v>29</v>
      </c>
      <c r="G421" s="71" t="n">
        <f aca="false">IFERROR(VLOOKUP(C421,$AS$3:$AX$10,6,FALSE()),IFERROR(VLOOKUP(C421,$AS$15:$AX$22,6,FALSE()),""))</f>
        <v>0.425845065256079</v>
      </c>
      <c r="H421" s="72" t="str">
        <f aca="false">IFERROR(VLOOKUP(C421,$AS$3:$AY$10,7,FALSE()),IFERROR(VLOOKUP(C421,$AS$15:$AY$22,7,FALSE()),""))</f>
        <v>🟡 AMARELO</v>
      </c>
      <c r="I421" s="72" t="str">
        <f aca="false">IFERROR(VLOOKUP(C421,$AS$3:$AZ$10,8,FALSE()),IFERROR(VLOOKUP(C421,$AS$15:$AZ$22,8,FALSE()),""))</f>
        <v>Sell Out</v>
      </c>
      <c r="J421" s="73"/>
      <c r="K421" s="69" t="s">
        <v>149</v>
      </c>
      <c r="L421" s="74" t="n">
        <v>1709.81</v>
      </c>
      <c r="M421" s="75" t="n">
        <v>120.15</v>
      </c>
      <c r="N421" s="75" t="n">
        <v>125.56</v>
      </c>
      <c r="O421" s="75" t="n">
        <v>128.58</v>
      </c>
      <c r="P421" s="75" t="n">
        <v>131.93</v>
      </c>
      <c r="Q421" s="75" t="n">
        <v>136.25</v>
      </c>
      <c r="R421" s="75" t="n">
        <v>139.82</v>
      </c>
      <c r="S421" s="75" t="n">
        <v>145.22</v>
      </c>
      <c r="T421" s="75" t="n">
        <v>148.79</v>
      </c>
      <c r="U421" s="75" t="n">
        <v>152.14</v>
      </c>
      <c r="V421" s="75" t="n">
        <v>155.92</v>
      </c>
      <c r="W421" s="75" t="n">
        <v>160.02</v>
      </c>
      <c r="X421" s="76" t="n">
        <v>165.43</v>
      </c>
      <c r="Y421" s="77" t="s">
        <v>20</v>
      </c>
      <c r="Z421" s="78" t="n">
        <f aca="false">SUM(AA421:AL421)</f>
        <v>687.6</v>
      </c>
      <c r="AA421" s="75"/>
      <c r="AB421" s="75"/>
      <c r="AC421" s="75"/>
      <c r="AD421" s="75"/>
      <c r="AE421" s="75"/>
      <c r="AF421" s="75"/>
      <c r="AG421" s="75"/>
      <c r="AH421" s="75"/>
      <c r="AI421" s="79" t="n">
        <v>687.6</v>
      </c>
      <c r="AJ421" s="75"/>
      <c r="AK421" s="75"/>
      <c r="AL421" s="76"/>
      <c r="AM421" s="56" t="s">
        <v>20</v>
      </c>
      <c r="AN421" s="80" t="n">
        <f aca="false">IF(L421=0,0,Z421/L421)</f>
        <v>0.402149946485282</v>
      </c>
      <c r="AO421" s="81" t="str">
        <f aca="false">IF(AN421="","",IF(AN421&gt;=0.9,"🟢",IF(AN421&gt;=0.7,"🟡",IF(AN421&gt;=0.5,"🟠","🔴"))))</f>
        <v>🔴</v>
      </c>
      <c r="AP421" s="82" t="n">
        <f aca="false">IF(L421=0,0,L421-Z421)</f>
        <v>1022.21</v>
      </c>
      <c r="AQ421" s="83" t="n">
        <f aca="false">IF(AP421=0,"",RANK(AP421,AP$4:AP$503,0))</f>
        <v>378</v>
      </c>
      <c r="AR421" s="84" t="s">
        <v>20</v>
      </c>
      <c r="AS421" s="141"/>
      <c r="AT421" s="141"/>
      <c r="AU421" s="141"/>
      <c r="AV421" s="141"/>
      <c r="AW421" s="141"/>
      <c r="AX421" s="141"/>
      <c r="AY421" s="142"/>
      <c r="AZ421" s="142"/>
      <c r="BA421" s="56" t="s">
        <v>20</v>
      </c>
      <c r="BB421" s="91" t="n">
        <f aca="false">SUM(L$4:L$503)/COUNTA(A$4:A$503)</f>
        <v>9494.39992</v>
      </c>
      <c r="BC421" s="92" t="n">
        <f aca="false">SUM(M$4:M$503)/COUNTA(A$4:A$503)</f>
        <v>667.20008</v>
      </c>
      <c r="BD421" s="92" t="n">
        <f aca="false">SUM(N$4:N$503)/COUNTA(A$4:A$503)</f>
        <v>697.19996</v>
      </c>
      <c r="BE421" s="92" t="n">
        <f aca="false">SUM(O$4:O$503)/COUNTA(A$4:A$503)</f>
        <v>713.9999</v>
      </c>
      <c r="BF421" s="92" t="n">
        <f aca="false">SUM(P$4:P$503)/COUNTA(A$4:A$503)</f>
        <v>732.59984</v>
      </c>
      <c r="BG421" s="92" t="n">
        <f aca="false">SUM(Q$4:Q$503)/COUNTA(A$4:A$503)</f>
        <v>756.59992</v>
      </c>
      <c r="BH421" s="92" t="n">
        <f aca="false">SUM(R$4:R$503)/COUNTA(A$4:A$503)</f>
        <v>776.40004</v>
      </c>
      <c r="BI421" s="92" t="n">
        <f aca="false">SUM(S$4:S$503)/COUNTA(A$4:A$503)</f>
        <v>806.40012</v>
      </c>
      <c r="BJ421" s="92" t="n">
        <f aca="false">SUM(T$4:T$503)/COUNTA(A$4:A$503)</f>
        <v>826.1999</v>
      </c>
      <c r="BK421" s="92" t="n">
        <f aca="false">SUM(U$4:U$503)/COUNTA(A$4:A$503)</f>
        <v>844.8002</v>
      </c>
      <c r="BL421" s="92" t="n">
        <f aca="false">SUM(V$4:V$503)/COUNTA(A$4:A$503)</f>
        <v>865.7998</v>
      </c>
      <c r="BM421" s="92" t="n">
        <f aca="false">SUM(W$4:W$503)/COUNTA(A$4:A$503)</f>
        <v>888.59982</v>
      </c>
      <c r="BN421" s="93" t="n">
        <f aca="false">SUM(X$4:X$503)/COUNTA(A$4:A$503)</f>
        <v>918.60034</v>
      </c>
      <c r="BO421" s="94" t="s">
        <v>20</v>
      </c>
      <c r="BP421" s="91" t="n">
        <f aca="false">IF(Z421&gt;=BB421,0,IFERROR(BB421+(SUMPRODUCT((Z$4:Z$503&gt;=BB$4:BB$503)*(Z$4:Z$503-BB$4:BB$503))/MAX(1,COUNTIF(Z$4:Z$503,"&lt;"&amp;BB421+0.01))),BB421))</f>
        <v>10695.5432177778</v>
      </c>
      <c r="BQ421" s="92" t="n">
        <f aca="false">IF(AA421&gt;=BC421,0,IFERROR(BC421+SUMPRODUCT((AA$4:AA$503&gt;=BC$4:BC$503)*(AA$4:AA$503-BC$4:BC$503))/MAX(1,COUNTIF(AA$4:AA$503,"&lt;"&amp;BC421+0.01)),BC421))</f>
        <v>2238.46589176471</v>
      </c>
      <c r="BR421" s="92" t="n">
        <f aca="false">IF(AB421&gt;=BD421,0,IFERROR(BD421+SUMPRODUCT((AB$4:AB$503&gt;=BD$4:BD$503)*(AB$4:AB$503-BD$4:BD$503))/MAX(1,COUNTIF(AB$4:AB$503,"&lt;"&amp;BD421+0.01)),BD421))</f>
        <v>3335.2938</v>
      </c>
      <c r="BS421" s="92" t="n">
        <f aca="false">IF(AC421&gt;=BE421,0,IFERROR(BE421+SUMPRODUCT((AC$4:AC$503&gt;=BE$4:BE$503)*(AC$4:AC$503-BE$4:BE$503))/MAX(1,COUNTIF(AC$4:AC$503,"&lt;"&amp;BE421+0.01)),BE421))</f>
        <v>6188.73352</v>
      </c>
      <c r="BT421" s="92" t="n">
        <f aca="false">IF(AD421&gt;=BF421,0,IFERROR(BF421+SUMPRODUCT((AD$4:AD$503&gt;=BF$4:BF$503)*(AD$4:AD$503-BF$4:BF$503))/MAX(1,COUNTIF(AD$4:AD$503,"&lt;"&amp;BF421+0.01)),BF421))</f>
        <v>11354.35411</v>
      </c>
      <c r="BU421" s="92" t="n">
        <f aca="false">IF(AE421&gt;=BG421,0,IFERROR(BG421+SUMPRODUCT((AE$4:AE$503&gt;=BG$4:BG$503)*(AE$4:AE$503-BG$4:BG$503))/MAX(1,COUNTIF(AE$4:AE$503,"&lt;"&amp;BG421+0.01)),BG421))</f>
        <v>7704.85920380952</v>
      </c>
      <c r="BV421" s="92" t="n">
        <f aca="false">IF(AF421&gt;=BH421,0,IFERROR(BH421+SUMPRODUCT((AF$4:AF$503&gt;=BH$4:BH$503)*(AF$4:AF$503-BH$4:BH$503))/MAX(1,COUNTIF(AF$4:AF$503,"&lt;"&amp;BH421+0.01)),BH421))</f>
        <v>9942.6503831579</v>
      </c>
      <c r="BW421" s="92" t="n">
        <f aca="false">IF(AG421&gt;=BI421,0,IFERROR(BI421+SUMPRODUCT((AG$4:AG$503&gt;=BI$4:BI$503)*(AG$4:AG$503-BI$4:BI$503))/MAX(1,COUNTIF(AG$4:AG$503,"&lt;"&amp;BI421+0.01)),BI421))</f>
        <v>9142.15870461538</v>
      </c>
      <c r="BX421" s="92" t="n">
        <f aca="false">IF(AH421&gt;=BJ421,0,IFERROR(BJ421+SUMPRODUCT((AH$4:AH$503&gt;=BJ$4:BJ$503)*(AH$4:AH$503-BJ$4:BJ$503))/MAX(1,COUNTIF(AH$4:AH$503,"&lt;"&amp;BJ421+0.01)),BJ421))</f>
        <v>5621.50263448276</v>
      </c>
      <c r="BY421" s="92" t="n">
        <f aca="false">IF(AI421&gt;=BK421,0,IFERROR(BK421+SUMPRODUCT((AI$4:AI$503&gt;=BK$4:BK$503)*(AI$4:AI$503-BK$4:BK$503))/MAX(1,COUNTIF(AI$4:AI$503,"&lt;"&amp;BK421+0.01)),BK421))</f>
        <v>7878.25652380952</v>
      </c>
      <c r="BZ421" s="92" t="n">
        <f aca="false">IF(AJ421&gt;=BL421,0,IFERROR(BL421+SUMPRODUCT((AJ$4:AJ$503&gt;=BL$4:BL$503)*(AJ$4:AJ$503-BL$4:BL$503))/MAX(1,COUNTIF(AJ$4:AJ$503,"&lt;"&amp;BL421+0.01)),BL421))</f>
        <v>6710.03292307692</v>
      </c>
      <c r="CA421" s="92" t="n">
        <f aca="false">IF(AK421&gt;=BM421,0,IFERROR(BM421+SUMPRODUCT((AK$4:AK$503&gt;=BM$4:BM$503)*(AK$4:AK$503-BM$4:BM$503))/MAX(1,COUNTIF(AK$4:AK$503,"&lt;"&amp;BM421+0.01)),BM421))</f>
        <v>7314.89836842105</v>
      </c>
      <c r="CB421" s="93" t="n">
        <f aca="false">IF(AL421&gt;=BN421,0,IFERROR(BN421+SUMPRODUCT((AL$4:AL$503&gt;=BN$4:BN$503)*(AL$4:AL$503-BN$4:BN$503))/MAX(1,COUNTIF(AL$4:AL$503,"&lt;"&amp;BN421+0.01)),BN421))</f>
        <v>3597.2614925</v>
      </c>
      <c r="CC421" s="95" t="str">
        <f aca="false">IF(AO421="🟢","VERDE",IF(AO421="🟡","AMARELO",IF(AO421="🟠","VERMELHO",IF(AO421="🔴","VERMELHO","ROXO"))))</f>
        <v>VERMELHO</v>
      </c>
      <c r="CD421" s="96" t="s">
        <v>103</v>
      </c>
      <c r="CE421" s="96" t="s">
        <v>104</v>
      </c>
    </row>
    <row r="422" customFormat="false" ht="14.25" hidden="false" customHeight="true" outlineLevel="0" collapsed="false">
      <c r="A422" s="65" t="s">
        <v>978</v>
      </c>
      <c r="B422" s="66" t="s">
        <v>979</v>
      </c>
      <c r="C422" s="67" t="s">
        <v>107</v>
      </c>
      <c r="D422" s="68" t="s">
        <v>108</v>
      </c>
      <c r="E422" s="69" t="s">
        <v>109</v>
      </c>
      <c r="F422" s="70" t="n">
        <f aca="false">IFERROR(VLOOKUP(C422,$AS$3:$AT$10,2,FALSE()),IFERROR(VLOOKUP(C422,$AS$15:$AT$22,2,FALSE()),""))</f>
        <v>132</v>
      </c>
      <c r="G422" s="71" t="n">
        <f aca="false">IFERROR(VLOOKUP(C422,$AS$3:$AX$10,6,FALSE()),IFERROR(VLOOKUP(C422,$AS$15:$AX$22,6,FALSE()),""))</f>
        <v>0.468190175850689</v>
      </c>
      <c r="H422" s="72" t="str">
        <f aca="false">IFERROR(VLOOKUP(C422,$AS$3:$AY$10,7,FALSE()),IFERROR(VLOOKUP(C422,$AS$15:$AY$22,7,FALSE()),""))</f>
        <v>🟡 AMARELO</v>
      </c>
      <c r="I422" s="72" t="str">
        <f aca="false">IFERROR(VLOOKUP(C422,$AS$3:$AZ$10,8,FALSE()),IFERROR(VLOOKUP(C422,$AS$15:$AZ$22,8,FALSE()),""))</f>
        <v>Sell Out</v>
      </c>
      <c r="J422" s="73"/>
      <c r="K422" s="69" t="s">
        <v>107</v>
      </c>
      <c r="L422" s="74" t="n">
        <v>1708.25</v>
      </c>
      <c r="M422" s="75" t="n">
        <v>120.04</v>
      </c>
      <c r="N422" s="75" t="n">
        <v>125.44</v>
      </c>
      <c r="O422" s="75" t="n">
        <v>128.46</v>
      </c>
      <c r="P422" s="75" t="n">
        <v>131.81</v>
      </c>
      <c r="Q422" s="75" t="n">
        <v>136.13</v>
      </c>
      <c r="R422" s="75" t="n">
        <v>139.69</v>
      </c>
      <c r="S422" s="75" t="n">
        <v>145.09</v>
      </c>
      <c r="T422" s="75" t="n">
        <v>148.65</v>
      </c>
      <c r="U422" s="75" t="n">
        <v>152</v>
      </c>
      <c r="V422" s="75" t="n">
        <v>155.78</v>
      </c>
      <c r="W422" s="75" t="n">
        <v>159.88</v>
      </c>
      <c r="X422" s="76" t="n">
        <v>165.28</v>
      </c>
      <c r="Y422" s="77" t="s">
        <v>20</v>
      </c>
      <c r="Z422" s="78" t="n">
        <f aca="false">SUM(AA422:AL422)</f>
        <v>810.36</v>
      </c>
      <c r="AA422" s="75"/>
      <c r="AB422" s="75"/>
      <c r="AC422" s="75"/>
      <c r="AD422" s="75"/>
      <c r="AE422" s="79" t="n">
        <v>810.36</v>
      </c>
      <c r="AF422" s="75"/>
      <c r="AG422" s="75"/>
      <c r="AH422" s="75"/>
      <c r="AI422" s="75"/>
      <c r="AJ422" s="75"/>
      <c r="AK422" s="75"/>
      <c r="AL422" s="76"/>
      <c r="AM422" s="56" t="s">
        <v>20</v>
      </c>
      <c r="AN422" s="80" t="n">
        <f aca="false">IF(L422=0,0,Z422/L422)</f>
        <v>0.47438021366896</v>
      </c>
      <c r="AO422" s="81" t="str">
        <f aca="false">IF(AN422="","",IF(AN422&gt;=0.9,"🟢",IF(AN422&gt;=0.7,"🟡",IF(AN422&gt;=0.5,"🟠","🔴"))))</f>
        <v>🔴</v>
      </c>
      <c r="AP422" s="82" t="n">
        <f aca="false">IF(L422=0,0,L422-Z422)</f>
        <v>897.89</v>
      </c>
      <c r="AQ422" s="83" t="n">
        <f aca="false">IF(AP422=0,"",RANK(AP422,AP$4:AP$503,0))</f>
        <v>408</v>
      </c>
      <c r="AR422" s="84" t="s">
        <v>20</v>
      </c>
      <c r="AS422" s="141"/>
      <c r="AT422" s="141"/>
      <c r="AU422" s="141"/>
      <c r="AV422" s="141"/>
      <c r="AW422" s="141"/>
      <c r="AX422" s="141"/>
      <c r="AY422" s="142"/>
      <c r="AZ422" s="142"/>
      <c r="BA422" s="56" t="s">
        <v>20</v>
      </c>
      <c r="BB422" s="91" t="n">
        <f aca="false">SUM(L$4:L$503)/COUNTA(A$4:A$503)</f>
        <v>9494.39992</v>
      </c>
      <c r="BC422" s="92" t="n">
        <f aca="false">SUM(M$4:M$503)/COUNTA(A$4:A$503)</f>
        <v>667.20008</v>
      </c>
      <c r="BD422" s="92" t="n">
        <f aca="false">SUM(N$4:N$503)/COUNTA(A$4:A$503)</f>
        <v>697.19996</v>
      </c>
      <c r="BE422" s="92" t="n">
        <f aca="false">SUM(O$4:O$503)/COUNTA(A$4:A$503)</f>
        <v>713.9999</v>
      </c>
      <c r="BF422" s="92" t="n">
        <f aca="false">SUM(P$4:P$503)/COUNTA(A$4:A$503)</f>
        <v>732.59984</v>
      </c>
      <c r="BG422" s="92" t="n">
        <f aca="false">SUM(Q$4:Q$503)/COUNTA(A$4:A$503)</f>
        <v>756.59992</v>
      </c>
      <c r="BH422" s="92" t="n">
        <f aca="false">SUM(R$4:R$503)/COUNTA(A$4:A$503)</f>
        <v>776.40004</v>
      </c>
      <c r="BI422" s="92" t="n">
        <f aca="false">SUM(S$4:S$503)/COUNTA(A$4:A$503)</f>
        <v>806.40012</v>
      </c>
      <c r="BJ422" s="92" t="n">
        <f aca="false">SUM(T$4:T$503)/COUNTA(A$4:A$503)</f>
        <v>826.1999</v>
      </c>
      <c r="BK422" s="92" t="n">
        <f aca="false">SUM(U$4:U$503)/COUNTA(A$4:A$503)</f>
        <v>844.8002</v>
      </c>
      <c r="BL422" s="92" t="n">
        <f aca="false">SUM(V$4:V$503)/COUNTA(A$4:A$503)</f>
        <v>865.7998</v>
      </c>
      <c r="BM422" s="92" t="n">
        <f aca="false">SUM(W$4:W$503)/COUNTA(A$4:A$503)</f>
        <v>888.59982</v>
      </c>
      <c r="BN422" s="93" t="n">
        <f aca="false">SUM(X$4:X$503)/COUNTA(A$4:A$503)</f>
        <v>918.60034</v>
      </c>
      <c r="BO422" s="94" t="s">
        <v>20</v>
      </c>
      <c r="BP422" s="91" t="n">
        <f aca="false">IF(Z422&gt;=BB422,0,IFERROR(BB422+(SUMPRODUCT((Z$4:Z$503&gt;=BB$4:BB$503)*(Z$4:Z$503-BB$4:BB$503))/MAX(1,COUNTIF(Z$4:Z$503,"&lt;"&amp;BB422+0.01))),BB422))</f>
        <v>10695.5432177778</v>
      </c>
      <c r="BQ422" s="92" t="n">
        <f aca="false">IF(AA422&gt;=BC422,0,IFERROR(BC422+SUMPRODUCT((AA$4:AA$503&gt;=BC$4:BC$503)*(AA$4:AA$503-BC$4:BC$503))/MAX(1,COUNTIF(AA$4:AA$503,"&lt;"&amp;BC422+0.01)),BC422))</f>
        <v>2238.46589176471</v>
      </c>
      <c r="BR422" s="92" t="n">
        <f aca="false">IF(AB422&gt;=BD422,0,IFERROR(BD422+SUMPRODUCT((AB$4:AB$503&gt;=BD$4:BD$503)*(AB$4:AB$503-BD$4:BD$503))/MAX(1,COUNTIF(AB$4:AB$503,"&lt;"&amp;BD422+0.01)),BD422))</f>
        <v>3335.2938</v>
      </c>
      <c r="BS422" s="92" t="n">
        <f aca="false">IF(AC422&gt;=BE422,0,IFERROR(BE422+SUMPRODUCT((AC$4:AC$503&gt;=BE$4:BE$503)*(AC$4:AC$503-BE$4:BE$503))/MAX(1,COUNTIF(AC$4:AC$503,"&lt;"&amp;BE422+0.01)),BE422))</f>
        <v>6188.73352</v>
      </c>
      <c r="BT422" s="92" t="n">
        <f aca="false">IF(AD422&gt;=BF422,0,IFERROR(BF422+SUMPRODUCT((AD$4:AD$503&gt;=BF$4:BF$503)*(AD$4:AD$503-BF$4:BF$503))/MAX(1,COUNTIF(AD$4:AD$503,"&lt;"&amp;BF422+0.01)),BF422))</f>
        <v>11354.35411</v>
      </c>
      <c r="BU422" s="92" t="n">
        <f aca="false">IF(AE422&gt;=BG422,0,IFERROR(BG422+SUMPRODUCT((AE$4:AE$503&gt;=BG$4:BG$503)*(AE$4:AE$503-BG$4:BG$503))/MAX(1,COUNTIF(AE$4:AE$503,"&lt;"&amp;BG422+0.01)),BG422))</f>
        <v>0</v>
      </c>
      <c r="BV422" s="92" t="n">
        <f aca="false">IF(AF422&gt;=BH422,0,IFERROR(BH422+SUMPRODUCT((AF$4:AF$503&gt;=BH$4:BH$503)*(AF$4:AF$503-BH$4:BH$503))/MAX(1,COUNTIF(AF$4:AF$503,"&lt;"&amp;BH422+0.01)),BH422))</f>
        <v>9942.6503831579</v>
      </c>
      <c r="BW422" s="92" t="n">
        <f aca="false">IF(AG422&gt;=BI422,0,IFERROR(BI422+SUMPRODUCT((AG$4:AG$503&gt;=BI$4:BI$503)*(AG$4:AG$503-BI$4:BI$503))/MAX(1,COUNTIF(AG$4:AG$503,"&lt;"&amp;BI422+0.01)),BI422))</f>
        <v>9142.15870461538</v>
      </c>
      <c r="BX422" s="92" t="n">
        <f aca="false">IF(AH422&gt;=BJ422,0,IFERROR(BJ422+SUMPRODUCT((AH$4:AH$503&gt;=BJ$4:BJ$503)*(AH$4:AH$503-BJ$4:BJ$503))/MAX(1,COUNTIF(AH$4:AH$503,"&lt;"&amp;BJ422+0.01)),BJ422))</f>
        <v>5621.50263448276</v>
      </c>
      <c r="BY422" s="92" t="n">
        <f aca="false">IF(AI422&gt;=BK422,0,IFERROR(BK422+SUMPRODUCT((AI$4:AI$503&gt;=BK$4:BK$503)*(AI$4:AI$503-BK$4:BK$503))/MAX(1,COUNTIF(AI$4:AI$503,"&lt;"&amp;BK422+0.01)),BK422))</f>
        <v>7878.25652380952</v>
      </c>
      <c r="BZ422" s="92" t="n">
        <f aca="false">IF(AJ422&gt;=BL422,0,IFERROR(BL422+SUMPRODUCT((AJ$4:AJ$503&gt;=BL$4:BL$503)*(AJ$4:AJ$503-BL$4:BL$503))/MAX(1,COUNTIF(AJ$4:AJ$503,"&lt;"&amp;BL422+0.01)),BL422))</f>
        <v>6710.03292307692</v>
      </c>
      <c r="CA422" s="92" t="n">
        <f aca="false">IF(AK422&gt;=BM422,0,IFERROR(BM422+SUMPRODUCT((AK$4:AK$503&gt;=BM$4:BM$503)*(AK$4:AK$503-BM$4:BM$503))/MAX(1,COUNTIF(AK$4:AK$503,"&lt;"&amp;BM422+0.01)),BM422))</f>
        <v>7314.89836842105</v>
      </c>
      <c r="CB422" s="93" t="n">
        <f aca="false">IF(AL422&gt;=BN422,0,IFERROR(BN422+SUMPRODUCT((AL$4:AL$503&gt;=BN$4:BN$503)*(AL$4:AL$503-BN$4:BN$503))/MAX(1,COUNTIF(AL$4:AL$503,"&lt;"&amp;BN422+0.01)),BN422))</f>
        <v>3597.2614925</v>
      </c>
      <c r="CC422" s="95" t="str">
        <f aca="false">IF(AO422="🟢","VERDE",IF(AO422="🟡","AMARELO",IF(AO422="🟠","VERMELHO",IF(AO422="🔴","VERMELHO","ROXO"))))</f>
        <v>VERMELHO</v>
      </c>
      <c r="CD422" s="96" t="s">
        <v>103</v>
      </c>
      <c r="CE422" s="96" t="s">
        <v>104</v>
      </c>
    </row>
    <row r="423" customFormat="false" ht="14.25" hidden="false" customHeight="true" outlineLevel="0" collapsed="false">
      <c r="A423" s="65" t="s">
        <v>980</v>
      </c>
      <c r="B423" s="66" t="s">
        <v>981</v>
      </c>
      <c r="C423" s="67" t="s">
        <v>113</v>
      </c>
      <c r="D423" s="68" t="s">
        <v>100</v>
      </c>
      <c r="E423" s="69" t="s">
        <v>114</v>
      </c>
      <c r="F423" s="70" t="n">
        <f aca="false">IFERROR(VLOOKUP(C423,$AS$3:$AT$10,2,FALSE()),IFERROR(VLOOKUP(C423,$AS$15:$AT$22,2,FALSE()),""))</f>
        <v>49</v>
      </c>
      <c r="G423" s="71" t="n">
        <f aca="false">IFERROR(VLOOKUP(C423,$AS$3:$AX$10,6,FALSE()),IFERROR(VLOOKUP(C423,$AS$15:$AX$22,6,FALSE()),""))</f>
        <v>0.463965086137302</v>
      </c>
      <c r="H423" s="72" t="str">
        <f aca="false">IFERROR(VLOOKUP(C423,$AS$3:$AY$10,7,FALSE()),IFERROR(VLOOKUP(C423,$AS$15:$AY$22,7,FALSE()),""))</f>
        <v>🟡 AMARELO</v>
      </c>
      <c r="I423" s="72" t="str">
        <f aca="false">IFERROR(VLOOKUP(C423,$AS$3:$AZ$10,8,FALSE()),IFERROR(VLOOKUP(C423,$AS$15:$AZ$22,8,FALSE()),""))</f>
        <v>Sell Out</v>
      </c>
      <c r="J423" s="73"/>
      <c r="K423" s="69" t="s">
        <v>113</v>
      </c>
      <c r="L423" s="74" t="n">
        <v>1704.59</v>
      </c>
      <c r="M423" s="75" t="n">
        <v>119.79</v>
      </c>
      <c r="N423" s="75" t="n">
        <v>125.17</v>
      </c>
      <c r="O423" s="75" t="n">
        <v>128.19</v>
      </c>
      <c r="P423" s="75" t="n">
        <v>131.53</v>
      </c>
      <c r="Q423" s="75" t="n">
        <v>135.84</v>
      </c>
      <c r="R423" s="75" t="n">
        <v>139.39</v>
      </c>
      <c r="S423" s="75" t="n">
        <v>144.78</v>
      </c>
      <c r="T423" s="75" t="n">
        <v>148.33</v>
      </c>
      <c r="U423" s="75" t="n">
        <v>151.67</v>
      </c>
      <c r="V423" s="75" t="n">
        <v>155.44</v>
      </c>
      <c r="W423" s="75" t="n">
        <v>159.54</v>
      </c>
      <c r="X423" s="76" t="n">
        <v>164.92</v>
      </c>
      <c r="Y423" s="77" t="s">
        <v>20</v>
      </c>
      <c r="Z423" s="78" t="n">
        <f aca="false">SUM(AA423:AL423)</f>
        <v>685.5</v>
      </c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107" t="n">
        <v>685.5</v>
      </c>
      <c r="AM423" s="56" t="s">
        <v>20</v>
      </c>
      <c r="AN423" s="80" t="n">
        <f aca="false">IF(L423=0,0,Z423/L423)</f>
        <v>0.402149490493315</v>
      </c>
      <c r="AO423" s="81" t="str">
        <f aca="false">IF(AN423="","",IF(AN423&gt;=0.9,"🟢",IF(AN423&gt;=0.7,"🟡",IF(AN423&gt;=0.5,"🟠","🔴"))))</f>
        <v>🔴</v>
      </c>
      <c r="AP423" s="82" t="n">
        <f aca="false">IF(L423=0,0,L423-Z423)</f>
        <v>1019.09</v>
      </c>
      <c r="AQ423" s="83" t="n">
        <f aca="false">IF(AP423=0,"",RANK(AP423,AP$4:AP$503,0))</f>
        <v>379</v>
      </c>
      <c r="AR423" s="84" t="s">
        <v>20</v>
      </c>
      <c r="AS423" s="141"/>
      <c r="AT423" s="141"/>
      <c r="AU423" s="141"/>
      <c r="AV423" s="141"/>
      <c r="AW423" s="141"/>
      <c r="AX423" s="141"/>
      <c r="AY423" s="142"/>
      <c r="AZ423" s="142"/>
      <c r="BA423" s="56" t="s">
        <v>20</v>
      </c>
      <c r="BB423" s="91" t="n">
        <f aca="false">SUM(L$4:L$503)/COUNTA(A$4:A$503)</f>
        <v>9494.39992</v>
      </c>
      <c r="BC423" s="92" t="n">
        <f aca="false">SUM(M$4:M$503)/COUNTA(A$4:A$503)</f>
        <v>667.20008</v>
      </c>
      <c r="BD423" s="92" t="n">
        <f aca="false">SUM(N$4:N$503)/COUNTA(A$4:A$503)</f>
        <v>697.19996</v>
      </c>
      <c r="BE423" s="92" t="n">
        <f aca="false">SUM(O$4:O$503)/COUNTA(A$4:A$503)</f>
        <v>713.9999</v>
      </c>
      <c r="BF423" s="92" t="n">
        <f aca="false">SUM(P$4:P$503)/COUNTA(A$4:A$503)</f>
        <v>732.59984</v>
      </c>
      <c r="BG423" s="92" t="n">
        <f aca="false">SUM(Q$4:Q$503)/COUNTA(A$4:A$503)</f>
        <v>756.59992</v>
      </c>
      <c r="BH423" s="92" t="n">
        <f aca="false">SUM(R$4:R$503)/COUNTA(A$4:A$503)</f>
        <v>776.40004</v>
      </c>
      <c r="BI423" s="92" t="n">
        <f aca="false">SUM(S$4:S$503)/COUNTA(A$4:A$503)</f>
        <v>806.40012</v>
      </c>
      <c r="BJ423" s="92" t="n">
        <f aca="false">SUM(T$4:T$503)/COUNTA(A$4:A$503)</f>
        <v>826.1999</v>
      </c>
      <c r="BK423" s="92" t="n">
        <f aca="false">SUM(U$4:U$503)/COUNTA(A$4:A$503)</f>
        <v>844.8002</v>
      </c>
      <c r="BL423" s="92" t="n">
        <f aca="false">SUM(V$4:V$503)/COUNTA(A$4:A$503)</f>
        <v>865.7998</v>
      </c>
      <c r="BM423" s="92" t="n">
        <f aca="false">SUM(W$4:W$503)/COUNTA(A$4:A$503)</f>
        <v>888.59982</v>
      </c>
      <c r="BN423" s="93" t="n">
        <f aca="false">SUM(X$4:X$503)/COUNTA(A$4:A$503)</f>
        <v>918.60034</v>
      </c>
      <c r="BO423" s="94" t="s">
        <v>20</v>
      </c>
      <c r="BP423" s="91" t="n">
        <f aca="false">IF(Z423&gt;=BB423,0,IFERROR(BB423+(SUMPRODUCT((Z$4:Z$503&gt;=BB$4:BB$503)*(Z$4:Z$503-BB$4:BB$503))/MAX(1,COUNTIF(Z$4:Z$503,"&lt;"&amp;BB423+0.01))),BB423))</f>
        <v>10695.5432177778</v>
      </c>
      <c r="BQ423" s="92" t="n">
        <f aca="false">IF(AA423&gt;=BC423,0,IFERROR(BC423+SUMPRODUCT((AA$4:AA$503&gt;=BC$4:BC$503)*(AA$4:AA$503-BC$4:BC$503))/MAX(1,COUNTIF(AA$4:AA$503,"&lt;"&amp;BC423+0.01)),BC423))</f>
        <v>2238.46589176471</v>
      </c>
      <c r="BR423" s="92" t="n">
        <f aca="false">IF(AB423&gt;=BD423,0,IFERROR(BD423+SUMPRODUCT((AB$4:AB$503&gt;=BD$4:BD$503)*(AB$4:AB$503-BD$4:BD$503))/MAX(1,COUNTIF(AB$4:AB$503,"&lt;"&amp;BD423+0.01)),BD423))</f>
        <v>3335.2938</v>
      </c>
      <c r="BS423" s="92" t="n">
        <f aca="false">IF(AC423&gt;=BE423,0,IFERROR(BE423+SUMPRODUCT((AC$4:AC$503&gt;=BE$4:BE$503)*(AC$4:AC$503-BE$4:BE$503))/MAX(1,COUNTIF(AC$4:AC$503,"&lt;"&amp;BE423+0.01)),BE423))</f>
        <v>6188.73352</v>
      </c>
      <c r="BT423" s="92" t="n">
        <f aca="false">IF(AD423&gt;=BF423,0,IFERROR(BF423+SUMPRODUCT((AD$4:AD$503&gt;=BF$4:BF$503)*(AD$4:AD$503-BF$4:BF$503))/MAX(1,COUNTIF(AD$4:AD$503,"&lt;"&amp;BF423+0.01)),BF423))</f>
        <v>11354.35411</v>
      </c>
      <c r="BU423" s="92" t="n">
        <f aca="false">IF(AE423&gt;=BG423,0,IFERROR(BG423+SUMPRODUCT((AE$4:AE$503&gt;=BG$4:BG$503)*(AE$4:AE$503-BG$4:BG$503))/MAX(1,COUNTIF(AE$4:AE$503,"&lt;"&amp;BG423+0.01)),BG423))</f>
        <v>7704.85920380952</v>
      </c>
      <c r="BV423" s="92" t="n">
        <f aca="false">IF(AF423&gt;=BH423,0,IFERROR(BH423+SUMPRODUCT((AF$4:AF$503&gt;=BH$4:BH$503)*(AF$4:AF$503-BH$4:BH$503))/MAX(1,COUNTIF(AF$4:AF$503,"&lt;"&amp;BH423+0.01)),BH423))</f>
        <v>9942.6503831579</v>
      </c>
      <c r="BW423" s="92" t="n">
        <f aca="false">IF(AG423&gt;=BI423,0,IFERROR(BI423+SUMPRODUCT((AG$4:AG$503&gt;=BI$4:BI$503)*(AG$4:AG$503-BI$4:BI$503))/MAX(1,COUNTIF(AG$4:AG$503,"&lt;"&amp;BI423+0.01)),BI423))</f>
        <v>9142.15870461538</v>
      </c>
      <c r="BX423" s="92" t="n">
        <f aca="false">IF(AH423&gt;=BJ423,0,IFERROR(BJ423+SUMPRODUCT((AH$4:AH$503&gt;=BJ$4:BJ$503)*(AH$4:AH$503-BJ$4:BJ$503))/MAX(1,COUNTIF(AH$4:AH$503,"&lt;"&amp;BJ423+0.01)),BJ423))</f>
        <v>5621.50263448276</v>
      </c>
      <c r="BY423" s="92" t="n">
        <f aca="false">IF(AI423&gt;=BK423,0,IFERROR(BK423+SUMPRODUCT((AI$4:AI$503&gt;=BK$4:BK$503)*(AI$4:AI$503-BK$4:BK$503))/MAX(1,COUNTIF(AI$4:AI$503,"&lt;"&amp;BK423+0.01)),BK423))</f>
        <v>7878.25652380952</v>
      </c>
      <c r="BZ423" s="92" t="n">
        <f aca="false">IF(AJ423&gt;=BL423,0,IFERROR(BL423+SUMPRODUCT((AJ$4:AJ$503&gt;=BL$4:BL$503)*(AJ$4:AJ$503-BL$4:BL$503))/MAX(1,COUNTIF(AJ$4:AJ$503,"&lt;"&amp;BL423+0.01)),BL423))</f>
        <v>6710.03292307692</v>
      </c>
      <c r="CA423" s="92" t="n">
        <f aca="false">IF(AK423&gt;=BM423,0,IFERROR(BM423+SUMPRODUCT((AK$4:AK$503&gt;=BM$4:BM$503)*(AK$4:AK$503-BM$4:BM$503))/MAX(1,COUNTIF(AK$4:AK$503,"&lt;"&amp;BM423+0.01)),BM423))</f>
        <v>7314.89836842105</v>
      </c>
      <c r="CB423" s="93" t="n">
        <f aca="false">IF(AL423&gt;=BN423,0,IFERROR(BN423+SUMPRODUCT((AL$4:AL$503&gt;=BN$4:BN$503)*(AL$4:AL$503-BN$4:BN$503))/MAX(1,COUNTIF(AL$4:AL$503,"&lt;"&amp;BN423+0.01)),BN423))</f>
        <v>3597.2614925</v>
      </c>
      <c r="CC423" s="95" t="str">
        <f aca="false">IF(AO423="🟢","VERDE",IF(AO423="🟡","AMARELO",IF(AO423="🟠","VERMELHO",IF(AO423="🔴","VERMELHO","ROXO"))))</f>
        <v>VERMELHO</v>
      </c>
      <c r="CD423" s="96" t="s">
        <v>103</v>
      </c>
      <c r="CE423" s="96" t="s">
        <v>104</v>
      </c>
    </row>
    <row r="424" customFormat="false" ht="14.25" hidden="false" customHeight="true" outlineLevel="0" collapsed="false">
      <c r="A424" s="65" t="s">
        <v>982</v>
      </c>
      <c r="B424" s="66" t="s">
        <v>983</v>
      </c>
      <c r="C424" s="67" t="s">
        <v>107</v>
      </c>
      <c r="D424" s="68" t="s">
        <v>108</v>
      </c>
      <c r="E424" s="69" t="s">
        <v>139</v>
      </c>
      <c r="F424" s="70" t="n">
        <f aca="false">IFERROR(VLOOKUP(C424,$AS$3:$AT$10,2,FALSE()),IFERROR(VLOOKUP(C424,$AS$15:$AT$22,2,FALSE()),""))</f>
        <v>132</v>
      </c>
      <c r="G424" s="71" t="n">
        <f aca="false">IFERROR(VLOOKUP(C424,$AS$3:$AX$10,6,FALSE()),IFERROR(VLOOKUP(C424,$AS$15:$AX$22,6,FALSE()),""))</f>
        <v>0.468190175850689</v>
      </c>
      <c r="H424" s="72" t="str">
        <f aca="false">IFERROR(VLOOKUP(C424,$AS$3:$AY$10,7,FALSE()),IFERROR(VLOOKUP(C424,$AS$15:$AY$22,7,FALSE()),""))</f>
        <v>🟡 AMARELO</v>
      </c>
      <c r="I424" s="72" t="str">
        <f aca="false">IFERROR(VLOOKUP(C424,$AS$3:$AZ$10,8,FALSE()),IFERROR(VLOOKUP(C424,$AS$15:$AZ$22,8,FALSE()),""))</f>
        <v>Sell Out</v>
      </c>
      <c r="J424" s="73"/>
      <c r="K424" s="69" t="s">
        <v>107</v>
      </c>
      <c r="L424" s="74" t="n">
        <v>1696.73</v>
      </c>
      <c r="M424" s="75" t="n">
        <v>119.23</v>
      </c>
      <c r="N424" s="75" t="n">
        <v>124.6</v>
      </c>
      <c r="O424" s="75" t="n">
        <v>127.6</v>
      </c>
      <c r="P424" s="75" t="n">
        <v>130.92</v>
      </c>
      <c r="Q424" s="75" t="n">
        <v>135.21</v>
      </c>
      <c r="R424" s="75" t="n">
        <v>138.75</v>
      </c>
      <c r="S424" s="75" t="n">
        <v>144.11</v>
      </c>
      <c r="T424" s="75" t="n">
        <v>147.65</v>
      </c>
      <c r="U424" s="75" t="n">
        <v>150.97</v>
      </c>
      <c r="V424" s="75" t="n">
        <v>154.73</v>
      </c>
      <c r="W424" s="75" t="n">
        <v>158.8</v>
      </c>
      <c r="X424" s="76" t="n">
        <v>164.16</v>
      </c>
      <c r="Y424" s="77" t="s">
        <v>20</v>
      </c>
      <c r="Z424" s="78" t="n">
        <f aca="false">SUM(AA424:AL424)</f>
        <v>1364.67</v>
      </c>
      <c r="AA424" s="75"/>
      <c r="AB424" s="75"/>
      <c r="AC424" s="75"/>
      <c r="AD424" s="75"/>
      <c r="AE424" s="75"/>
      <c r="AF424" s="75"/>
      <c r="AG424" s="75"/>
      <c r="AH424" s="75"/>
      <c r="AI424" s="75"/>
      <c r="AJ424" s="75" t="n">
        <v>682.33</v>
      </c>
      <c r="AK424" s="79" t="n">
        <v>682.34</v>
      </c>
      <c r="AL424" s="76"/>
      <c r="AM424" s="56" t="s">
        <v>20</v>
      </c>
      <c r="AN424" s="80" t="n">
        <f aca="false">IF(L424=0,0,Z424/L424)</f>
        <v>0.80429414226188</v>
      </c>
      <c r="AO424" s="81" t="str">
        <f aca="false">IF(AN424="","",IF(AN424&gt;=0.9,"🟢",IF(AN424&gt;=0.7,"🟡",IF(AN424&gt;=0.5,"🟠","🔴"))))</f>
        <v>🟡</v>
      </c>
      <c r="AP424" s="82" t="n">
        <f aca="false">IF(L424=0,0,L424-Z424)</f>
        <v>332.06</v>
      </c>
      <c r="AQ424" s="83" t="n">
        <f aca="false">IF(AP424=0,"",RANK(AP424,AP$4:AP$503,0))</f>
        <v>468</v>
      </c>
      <c r="AR424" s="84" t="s">
        <v>20</v>
      </c>
      <c r="AS424" s="141"/>
      <c r="AT424" s="141"/>
      <c r="AU424" s="141"/>
      <c r="AV424" s="141"/>
      <c r="AW424" s="141"/>
      <c r="AX424" s="141"/>
      <c r="AY424" s="142"/>
      <c r="AZ424" s="142"/>
      <c r="BA424" s="56" t="s">
        <v>20</v>
      </c>
      <c r="BB424" s="91" t="n">
        <f aca="false">SUM(L$4:L$503)/COUNTA(A$4:A$503)</f>
        <v>9494.39992</v>
      </c>
      <c r="BC424" s="92" t="n">
        <f aca="false">SUM(M$4:M$503)/COUNTA(A$4:A$503)</f>
        <v>667.20008</v>
      </c>
      <c r="BD424" s="92" t="n">
        <f aca="false">SUM(N$4:N$503)/COUNTA(A$4:A$503)</f>
        <v>697.19996</v>
      </c>
      <c r="BE424" s="92" t="n">
        <f aca="false">SUM(O$4:O$503)/COUNTA(A$4:A$503)</f>
        <v>713.9999</v>
      </c>
      <c r="BF424" s="92" t="n">
        <f aca="false">SUM(P$4:P$503)/COUNTA(A$4:A$503)</f>
        <v>732.59984</v>
      </c>
      <c r="BG424" s="92" t="n">
        <f aca="false">SUM(Q$4:Q$503)/COUNTA(A$4:A$503)</f>
        <v>756.59992</v>
      </c>
      <c r="BH424" s="92" t="n">
        <f aca="false">SUM(R$4:R$503)/COUNTA(A$4:A$503)</f>
        <v>776.40004</v>
      </c>
      <c r="BI424" s="92" t="n">
        <f aca="false">SUM(S$4:S$503)/COUNTA(A$4:A$503)</f>
        <v>806.40012</v>
      </c>
      <c r="BJ424" s="92" t="n">
        <f aca="false">SUM(T$4:T$503)/COUNTA(A$4:A$503)</f>
        <v>826.1999</v>
      </c>
      <c r="BK424" s="92" t="n">
        <f aca="false">SUM(U$4:U$503)/COUNTA(A$4:A$503)</f>
        <v>844.8002</v>
      </c>
      <c r="BL424" s="92" t="n">
        <f aca="false">SUM(V$4:V$503)/COUNTA(A$4:A$503)</f>
        <v>865.7998</v>
      </c>
      <c r="BM424" s="92" t="n">
        <f aca="false">SUM(W$4:W$503)/COUNTA(A$4:A$503)</f>
        <v>888.59982</v>
      </c>
      <c r="BN424" s="93" t="n">
        <f aca="false">SUM(X$4:X$503)/COUNTA(A$4:A$503)</f>
        <v>918.60034</v>
      </c>
      <c r="BO424" s="94" t="s">
        <v>20</v>
      </c>
      <c r="BP424" s="91" t="n">
        <f aca="false">IF(Z424&gt;=BB424,0,IFERROR(BB424+(SUMPRODUCT((Z$4:Z$503&gt;=BB$4:BB$503)*(Z$4:Z$503-BB$4:BB$503))/MAX(1,COUNTIF(Z$4:Z$503,"&lt;"&amp;BB424+0.01))),BB424))</f>
        <v>10695.5432177778</v>
      </c>
      <c r="BQ424" s="92" t="n">
        <f aca="false">IF(AA424&gt;=BC424,0,IFERROR(BC424+SUMPRODUCT((AA$4:AA$503&gt;=BC$4:BC$503)*(AA$4:AA$503-BC$4:BC$503))/MAX(1,COUNTIF(AA$4:AA$503,"&lt;"&amp;BC424+0.01)),BC424))</f>
        <v>2238.46589176471</v>
      </c>
      <c r="BR424" s="92" t="n">
        <f aca="false">IF(AB424&gt;=BD424,0,IFERROR(BD424+SUMPRODUCT((AB$4:AB$503&gt;=BD$4:BD$503)*(AB$4:AB$503-BD$4:BD$503))/MAX(1,COUNTIF(AB$4:AB$503,"&lt;"&amp;BD424+0.01)),BD424))</f>
        <v>3335.2938</v>
      </c>
      <c r="BS424" s="92" t="n">
        <f aca="false">IF(AC424&gt;=BE424,0,IFERROR(BE424+SUMPRODUCT((AC$4:AC$503&gt;=BE$4:BE$503)*(AC$4:AC$503-BE$4:BE$503))/MAX(1,COUNTIF(AC$4:AC$503,"&lt;"&amp;BE424+0.01)),BE424))</f>
        <v>6188.73352</v>
      </c>
      <c r="BT424" s="92" t="n">
        <f aca="false">IF(AD424&gt;=BF424,0,IFERROR(BF424+SUMPRODUCT((AD$4:AD$503&gt;=BF$4:BF$503)*(AD$4:AD$503-BF$4:BF$503))/MAX(1,COUNTIF(AD$4:AD$503,"&lt;"&amp;BF424+0.01)),BF424))</f>
        <v>11354.35411</v>
      </c>
      <c r="BU424" s="92" t="n">
        <f aca="false">IF(AE424&gt;=BG424,0,IFERROR(BG424+SUMPRODUCT((AE$4:AE$503&gt;=BG$4:BG$503)*(AE$4:AE$503-BG$4:BG$503))/MAX(1,COUNTIF(AE$4:AE$503,"&lt;"&amp;BG424+0.01)),BG424))</f>
        <v>7704.85920380952</v>
      </c>
      <c r="BV424" s="92" t="n">
        <f aca="false">IF(AF424&gt;=BH424,0,IFERROR(BH424+SUMPRODUCT((AF$4:AF$503&gt;=BH$4:BH$503)*(AF$4:AF$503-BH$4:BH$503))/MAX(1,COUNTIF(AF$4:AF$503,"&lt;"&amp;BH424+0.01)),BH424))</f>
        <v>9942.6503831579</v>
      </c>
      <c r="BW424" s="92" t="n">
        <f aca="false">IF(AG424&gt;=BI424,0,IFERROR(BI424+SUMPRODUCT((AG$4:AG$503&gt;=BI$4:BI$503)*(AG$4:AG$503-BI$4:BI$503))/MAX(1,COUNTIF(AG$4:AG$503,"&lt;"&amp;BI424+0.01)),BI424))</f>
        <v>9142.15870461538</v>
      </c>
      <c r="BX424" s="92" t="n">
        <f aca="false">IF(AH424&gt;=BJ424,0,IFERROR(BJ424+SUMPRODUCT((AH$4:AH$503&gt;=BJ$4:BJ$503)*(AH$4:AH$503-BJ$4:BJ$503))/MAX(1,COUNTIF(AH$4:AH$503,"&lt;"&amp;BJ424+0.01)),BJ424))</f>
        <v>5621.50263448276</v>
      </c>
      <c r="BY424" s="92" t="n">
        <f aca="false">IF(AI424&gt;=BK424,0,IFERROR(BK424+SUMPRODUCT((AI$4:AI$503&gt;=BK$4:BK$503)*(AI$4:AI$503-BK$4:BK$503))/MAX(1,COUNTIF(AI$4:AI$503,"&lt;"&amp;BK424+0.01)),BK424))</f>
        <v>7878.25652380952</v>
      </c>
      <c r="BZ424" s="92" t="n">
        <f aca="false">IF(AJ424&gt;=BL424,0,IFERROR(BL424+SUMPRODUCT((AJ$4:AJ$503&gt;=BL$4:BL$503)*(AJ$4:AJ$503-BL$4:BL$503))/MAX(1,COUNTIF(AJ$4:AJ$503,"&lt;"&amp;BL424+0.01)),BL424))</f>
        <v>6710.03292307692</v>
      </c>
      <c r="CA424" s="92" t="n">
        <f aca="false">IF(AK424&gt;=BM424,0,IFERROR(BM424+SUMPRODUCT((AK$4:AK$503&gt;=BM$4:BM$503)*(AK$4:AK$503-BM$4:BM$503))/MAX(1,COUNTIF(AK$4:AK$503,"&lt;"&amp;BM424+0.01)),BM424))</f>
        <v>7314.89836842105</v>
      </c>
      <c r="CB424" s="93" t="n">
        <f aca="false">IF(AL424&gt;=BN424,0,IFERROR(BN424+SUMPRODUCT((AL$4:AL$503&gt;=BN$4:BN$503)*(AL$4:AL$503-BN$4:BN$503))/MAX(1,COUNTIF(AL$4:AL$503,"&lt;"&amp;BN424+0.01)),BN424))</f>
        <v>3597.2614925</v>
      </c>
      <c r="CC424" s="95" t="str">
        <f aca="false">IF(AO424="🟢","VERDE",IF(AO424="🟡","AMARELO",IF(AO424="🟠","VERMELHO",IF(AO424="🔴","VERMELHO","ROXO"))))</f>
        <v>AMARELO</v>
      </c>
      <c r="CD424" s="96" t="s">
        <v>103</v>
      </c>
      <c r="CE424" s="96" t="s">
        <v>104</v>
      </c>
    </row>
    <row r="425" customFormat="false" ht="14.25" hidden="false" customHeight="true" outlineLevel="0" collapsed="false">
      <c r="A425" s="65" t="s">
        <v>984</v>
      </c>
      <c r="B425" s="66" t="s">
        <v>985</v>
      </c>
      <c r="C425" s="67" t="s">
        <v>107</v>
      </c>
      <c r="D425" s="68" t="s">
        <v>108</v>
      </c>
      <c r="E425" s="69" t="s">
        <v>139</v>
      </c>
      <c r="F425" s="70" t="n">
        <f aca="false">IFERROR(VLOOKUP(C425,$AS$3:$AT$10,2,FALSE()),IFERROR(VLOOKUP(C425,$AS$15:$AT$22,2,FALSE()),""))</f>
        <v>132</v>
      </c>
      <c r="G425" s="71" t="n">
        <f aca="false">IFERROR(VLOOKUP(C425,$AS$3:$AX$10,6,FALSE()),IFERROR(VLOOKUP(C425,$AS$15:$AX$22,6,FALSE()),""))</f>
        <v>0.468190175850689</v>
      </c>
      <c r="H425" s="72" t="str">
        <f aca="false">IFERROR(VLOOKUP(C425,$AS$3:$AY$10,7,FALSE()),IFERROR(VLOOKUP(C425,$AS$15:$AY$22,7,FALSE()),""))</f>
        <v>🟡 AMARELO</v>
      </c>
      <c r="I425" s="72" t="str">
        <f aca="false">IFERROR(VLOOKUP(C425,$AS$3:$AZ$10,8,FALSE()),IFERROR(VLOOKUP(C425,$AS$15:$AZ$22,8,FALSE()),""))</f>
        <v>Sell Out</v>
      </c>
      <c r="J425" s="73"/>
      <c r="K425" s="69" t="s">
        <v>107</v>
      </c>
      <c r="L425" s="74" t="n">
        <v>1696.03</v>
      </c>
      <c r="M425" s="75" t="n">
        <v>119.19</v>
      </c>
      <c r="N425" s="75" t="n">
        <v>124.54</v>
      </c>
      <c r="O425" s="75" t="n">
        <v>127.55</v>
      </c>
      <c r="P425" s="75" t="n">
        <v>130.87</v>
      </c>
      <c r="Q425" s="75" t="n">
        <v>135.16</v>
      </c>
      <c r="R425" s="75" t="n">
        <v>138.69</v>
      </c>
      <c r="S425" s="75" t="n">
        <v>144.05</v>
      </c>
      <c r="T425" s="75" t="n">
        <v>147.59</v>
      </c>
      <c r="U425" s="75" t="n">
        <v>150.91</v>
      </c>
      <c r="V425" s="75" t="n">
        <v>154.66</v>
      </c>
      <c r="W425" s="75" t="n">
        <v>158.73</v>
      </c>
      <c r="X425" s="76" t="n">
        <v>164.09</v>
      </c>
      <c r="Y425" s="77" t="s">
        <v>20</v>
      </c>
      <c r="Z425" s="78" t="n">
        <f aca="false">SUM(AA425:AL425)</f>
        <v>682.06</v>
      </c>
      <c r="AA425" s="75"/>
      <c r="AB425" s="79" t="n">
        <v>682.06</v>
      </c>
      <c r="AC425" s="75"/>
      <c r="AD425" s="75"/>
      <c r="AE425" s="75"/>
      <c r="AF425" s="75"/>
      <c r="AG425" s="75"/>
      <c r="AH425" s="75"/>
      <c r="AI425" s="75"/>
      <c r="AJ425" s="75"/>
      <c r="AK425" s="75"/>
      <c r="AL425" s="76"/>
      <c r="AM425" s="56" t="s">
        <v>20</v>
      </c>
      <c r="AN425" s="80" t="n">
        <f aca="false">IF(L425=0,0,Z425/L425)</f>
        <v>0.402150905349552</v>
      </c>
      <c r="AO425" s="81" t="str">
        <f aca="false">IF(AN425="","",IF(AN425&gt;=0.9,"🟢",IF(AN425&gt;=0.7,"🟡",IF(AN425&gt;=0.5,"🟠","🔴"))))</f>
        <v>🔴</v>
      </c>
      <c r="AP425" s="82" t="n">
        <f aca="false">IF(L425=0,0,L425-Z425)</f>
        <v>1013.97</v>
      </c>
      <c r="AQ425" s="83" t="n">
        <f aca="false">IF(AP425=0,"",RANK(AP425,AP$4:AP$503,0))</f>
        <v>381</v>
      </c>
      <c r="AR425" s="84" t="s">
        <v>20</v>
      </c>
      <c r="AS425" s="141"/>
      <c r="AT425" s="141"/>
      <c r="AU425" s="141"/>
      <c r="AV425" s="141"/>
      <c r="AW425" s="141"/>
      <c r="AX425" s="141"/>
      <c r="AY425" s="142"/>
      <c r="AZ425" s="142"/>
      <c r="BA425" s="56" t="s">
        <v>20</v>
      </c>
      <c r="BB425" s="91" t="n">
        <f aca="false">SUM(L$4:L$503)/COUNTA(A$4:A$503)</f>
        <v>9494.39992</v>
      </c>
      <c r="BC425" s="92" t="n">
        <f aca="false">SUM(M$4:M$503)/COUNTA(A$4:A$503)</f>
        <v>667.20008</v>
      </c>
      <c r="BD425" s="92" t="n">
        <f aca="false">SUM(N$4:N$503)/COUNTA(A$4:A$503)</f>
        <v>697.19996</v>
      </c>
      <c r="BE425" s="92" t="n">
        <f aca="false">SUM(O$4:O$503)/COUNTA(A$4:A$503)</f>
        <v>713.9999</v>
      </c>
      <c r="BF425" s="92" t="n">
        <f aca="false">SUM(P$4:P$503)/COUNTA(A$4:A$503)</f>
        <v>732.59984</v>
      </c>
      <c r="BG425" s="92" t="n">
        <f aca="false">SUM(Q$4:Q$503)/COUNTA(A$4:A$503)</f>
        <v>756.59992</v>
      </c>
      <c r="BH425" s="92" t="n">
        <f aca="false">SUM(R$4:R$503)/COUNTA(A$4:A$503)</f>
        <v>776.40004</v>
      </c>
      <c r="BI425" s="92" t="n">
        <f aca="false">SUM(S$4:S$503)/COUNTA(A$4:A$503)</f>
        <v>806.40012</v>
      </c>
      <c r="BJ425" s="92" t="n">
        <f aca="false">SUM(T$4:T$503)/COUNTA(A$4:A$503)</f>
        <v>826.1999</v>
      </c>
      <c r="BK425" s="92" t="n">
        <f aca="false">SUM(U$4:U$503)/COUNTA(A$4:A$503)</f>
        <v>844.8002</v>
      </c>
      <c r="BL425" s="92" t="n">
        <f aca="false">SUM(V$4:V$503)/COUNTA(A$4:A$503)</f>
        <v>865.7998</v>
      </c>
      <c r="BM425" s="92" t="n">
        <f aca="false">SUM(W$4:W$503)/COUNTA(A$4:A$503)</f>
        <v>888.59982</v>
      </c>
      <c r="BN425" s="93" t="n">
        <f aca="false">SUM(X$4:X$503)/COUNTA(A$4:A$503)</f>
        <v>918.60034</v>
      </c>
      <c r="BO425" s="94" t="s">
        <v>20</v>
      </c>
      <c r="BP425" s="91" t="n">
        <f aca="false">IF(Z425&gt;=BB425,0,IFERROR(BB425+(SUMPRODUCT((Z$4:Z$503&gt;=BB$4:BB$503)*(Z$4:Z$503-BB$4:BB$503))/MAX(1,COUNTIF(Z$4:Z$503,"&lt;"&amp;BB425+0.01))),BB425))</f>
        <v>10695.5432177778</v>
      </c>
      <c r="BQ425" s="92" t="n">
        <f aca="false">IF(AA425&gt;=BC425,0,IFERROR(BC425+SUMPRODUCT((AA$4:AA$503&gt;=BC$4:BC$503)*(AA$4:AA$503-BC$4:BC$503))/MAX(1,COUNTIF(AA$4:AA$503,"&lt;"&amp;BC425+0.01)),BC425))</f>
        <v>2238.46589176471</v>
      </c>
      <c r="BR425" s="92" t="n">
        <f aca="false">IF(AB425&gt;=BD425,0,IFERROR(BD425+SUMPRODUCT((AB$4:AB$503&gt;=BD$4:BD$503)*(AB$4:AB$503-BD$4:BD$503))/MAX(1,COUNTIF(AB$4:AB$503,"&lt;"&amp;BD425+0.01)),BD425))</f>
        <v>3335.2938</v>
      </c>
      <c r="BS425" s="92" t="n">
        <f aca="false">IF(AC425&gt;=BE425,0,IFERROR(BE425+SUMPRODUCT((AC$4:AC$503&gt;=BE$4:BE$503)*(AC$4:AC$503-BE$4:BE$503))/MAX(1,COUNTIF(AC$4:AC$503,"&lt;"&amp;BE425+0.01)),BE425))</f>
        <v>6188.73352</v>
      </c>
      <c r="BT425" s="92" t="n">
        <f aca="false">IF(AD425&gt;=BF425,0,IFERROR(BF425+SUMPRODUCT((AD$4:AD$503&gt;=BF$4:BF$503)*(AD$4:AD$503-BF$4:BF$503))/MAX(1,COUNTIF(AD$4:AD$503,"&lt;"&amp;BF425+0.01)),BF425))</f>
        <v>11354.35411</v>
      </c>
      <c r="BU425" s="92" t="n">
        <f aca="false">IF(AE425&gt;=BG425,0,IFERROR(BG425+SUMPRODUCT((AE$4:AE$503&gt;=BG$4:BG$503)*(AE$4:AE$503-BG$4:BG$503))/MAX(1,COUNTIF(AE$4:AE$503,"&lt;"&amp;BG425+0.01)),BG425))</f>
        <v>7704.85920380952</v>
      </c>
      <c r="BV425" s="92" t="n">
        <f aca="false">IF(AF425&gt;=BH425,0,IFERROR(BH425+SUMPRODUCT((AF$4:AF$503&gt;=BH$4:BH$503)*(AF$4:AF$503-BH$4:BH$503))/MAX(1,COUNTIF(AF$4:AF$503,"&lt;"&amp;BH425+0.01)),BH425))</f>
        <v>9942.6503831579</v>
      </c>
      <c r="BW425" s="92" t="n">
        <f aca="false">IF(AG425&gt;=BI425,0,IFERROR(BI425+SUMPRODUCT((AG$4:AG$503&gt;=BI$4:BI$503)*(AG$4:AG$503-BI$4:BI$503))/MAX(1,COUNTIF(AG$4:AG$503,"&lt;"&amp;BI425+0.01)),BI425))</f>
        <v>9142.15870461538</v>
      </c>
      <c r="BX425" s="92" t="n">
        <f aca="false">IF(AH425&gt;=BJ425,0,IFERROR(BJ425+SUMPRODUCT((AH$4:AH$503&gt;=BJ$4:BJ$503)*(AH$4:AH$503-BJ$4:BJ$503))/MAX(1,COUNTIF(AH$4:AH$503,"&lt;"&amp;BJ425+0.01)),BJ425))</f>
        <v>5621.50263448276</v>
      </c>
      <c r="BY425" s="92" t="n">
        <f aca="false">IF(AI425&gt;=BK425,0,IFERROR(BK425+SUMPRODUCT((AI$4:AI$503&gt;=BK$4:BK$503)*(AI$4:AI$503-BK$4:BK$503))/MAX(1,COUNTIF(AI$4:AI$503,"&lt;"&amp;BK425+0.01)),BK425))</f>
        <v>7878.25652380952</v>
      </c>
      <c r="BZ425" s="92" t="n">
        <f aca="false">IF(AJ425&gt;=BL425,0,IFERROR(BL425+SUMPRODUCT((AJ$4:AJ$503&gt;=BL$4:BL$503)*(AJ$4:AJ$503-BL$4:BL$503))/MAX(1,COUNTIF(AJ$4:AJ$503,"&lt;"&amp;BL425+0.01)),BL425))</f>
        <v>6710.03292307692</v>
      </c>
      <c r="CA425" s="92" t="n">
        <f aca="false">IF(AK425&gt;=BM425,0,IFERROR(BM425+SUMPRODUCT((AK$4:AK$503&gt;=BM$4:BM$503)*(AK$4:AK$503-BM$4:BM$503))/MAX(1,COUNTIF(AK$4:AK$503,"&lt;"&amp;BM425+0.01)),BM425))</f>
        <v>7314.89836842105</v>
      </c>
      <c r="CB425" s="93" t="n">
        <f aca="false">IF(AL425&gt;=BN425,0,IFERROR(BN425+SUMPRODUCT((AL$4:AL$503&gt;=BN$4:BN$503)*(AL$4:AL$503-BN$4:BN$503))/MAX(1,COUNTIF(AL$4:AL$503,"&lt;"&amp;BN425+0.01)),BN425))</f>
        <v>3597.2614925</v>
      </c>
      <c r="CC425" s="95" t="str">
        <f aca="false">IF(AO425="🟢","VERDE",IF(AO425="🟡","AMARELO",IF(AO425="🟠","VERMELHO",IF(AO425="🔴","VERMELHO","ROXO"))))</f>
        <v>VERMELHO</v>
      </c>
      <c r="CD425" s="96" t="s">
        <v>103</v>
      </c>
      <c r="CE425" s="96" t="s">
        <v>104</v>
      </c>
    </row>
    <row r="426" customFormat="false" ht="14.25" hidden="false" customHeight="true" outlineLevel="0" collapsed="false">
      <c r="A426" s="65" t="s">
        <v>986</v>
      </c>
      <c r="B426" s="66" t="s">
        <v>953</v>
      </c>
      <c r="C426" s="66" t="s">
        <v>102</v>
      </c>
      <c r="D426" s="68" t="s">
        <v>175</v>
      </c>
      <c r="E426" s="69" t="s">
        <v>139</v>
      </c>
      <c r="F426" s="70" t="n">
        <f aca="false">IFERROR(VLOOKUP(C426,$AS$3:$AT$10,2,FALSE()),IFERROR(VLOOKUP(C426,$AS$15:$AT$22,2,FALSE()),""))</f>
        <v>21</v>
      </c>
      <c r="G426" s="71" t="n">
        <f aca="false">IFERROR(VLOOKUP(C426,$AS$3:$AX$10,6,FALSE()),IFERROR(VLOOKUP(C426,$AS$15:$AX$22,6,FALSE()),""))</f>
        <v>0.491514556258592</v>
      </c>
      <c r="H426" s="72" t="str">
        <f aca="false">IFERROR(VLOOKUP(C426,$AS$3:$AY$10,7,FALSE()),IFERROR(VLOOKUP(C426,$AS$15:$AY$22,7,FALSE()),""))</f>
        <v>🟡 AMARELO</v>
      </c>
      <c r="I426" s="72" t="str">
        <f aca="false">IFERROR(VLOOKUP(C426,$AS$3:$AZ$10,8,FALSE()),IFERROR(VLOOKUP(C426,$AS$15:$AZ$22,8,FALSE()),""))</f>
        <v>Sell Out</v>
      </c>
      <c r="J426" s="73"/>
      <c r="K426" s="69" t="s">
        <v>107</v>
      </c>
      <c r="L426" s="74" t="n">
        <v>1686.24</v>
      </c>
      <c r="M426" s="75" t="n">
        <v>118.5</v>
      </c>
      <c r="N426" s="75" t="n">
        <v>123.82</v>
      </c>
      <c r="O426" s="75" t="n">
        <v>126.81</v>
      </c>
      <c r="P426" s="75" t="n">
        <v>130.11</v>
      </c>
      <c r="Q426" s="75" t="n">
        <v>134.37</v>
      </c>
      <c r="R426" s="75" t="n">
        <v>137.89</v>
      </c>
      <c r="S426" s="75" t="n">
        <v>143.22</v>
      </c>
      <c r="T426" s="75" t="n">
        <v>146.74</v>
      </c>
      <c r="U426" s="75" t="n">
        <v>150.04</v>
      </c>
      <c r="V426" s="75" t="n">
        <v>153.77</v>
      </c>
      <c r="W426" s="75" t="n">
        <v>157.82</v>
      </c>
      <c r="X426" s="76" t="n">
        <v>163.15</v>
      </c>
      <c r="Y426" s="77" t="s">
        <v>20</v>
      </c>
      <c r="Z426" s="78" t="n">
        <f aca="false">SUM(AA426:AL426)</f>
        <v>678</v>
      </c>
      <c r="AA426" s="75"/>
      <c r="AB426" s="75"/>
      <c r="AC426" s="75"/>
      <c r="AD426" s="75"/>
      <c r="AE426" s="75"/>
      <c r="AF426" s="75"/>
      <c r="AG426" s="75"/>
      <c r="AH426" s="75"/>
      <c r="AI426" s="79" t="n">
        <v>678</v>
      </c>
      <c r="AJ426" s="75"/>
      <c r="AK426" s="75"/>
      <c r="AL426" s="76"/>
      <c r="AM426" s="56" t="s">
        <v>20</v>
      </c>
      <c r="AN426" s="80" t="n">
        <f aca="false">IF(L426=0,0,Z426/L426)</f>
        <v>0.402077996014802</v>
      </c>
      <c r="AO426" s="81" t="str">
        <f aca="false">IF(AN426="","",IF(AN426&gt;=0.9,"🟢",IF(AN426&gt;=0.7,"🟡",IF(AN426&gt;=0.5,"🟠","🔴"))))</f>
        <v>🔴</v>
      </c>
      <c r="AP426" s="82" t="n">
        <f aca="false">IF(L426=0,0,L426-Z426)</f>
        <v>1008.24</v>
      </c>
      <c r="AQ426" s="83" t="n">
        <f aca="false">IF(AP426=0,"",RANK(AP426,AP$4:AP$503,0))</f>
        <v>382</v>
      </c>
      <c r="AR426" s="84" t="s">
        <v>20</v>
      </c>
      <c r="AS426" s="141"/>
      <c r="AT426" s="141"/>
      <c r="AU426" s="141"/>
      <c r="AV426" s="141"/>
      <c r="AW426" s="141"/>
      <c r="AX426" s="141"/>
      <c r="AY426" s="142"/>
      <c r="AZ426" s="142"/>
      <c r="BA426" s="56" t="s">
        <v>20</v>
      </c>
      <c r="BB426" s="91" t="n">
        <f aca="false">SUM(L$4:L$503)/COUNTA(A$4:A$503)</f>
        <v>9494.39992</v>
      </c>
      <c r="BC426" s="92" t="n">
        <f aca="false">SUM(M$4:M$503)/COUNTA(A$4:A$503)</f>
        <v>667.20008</v>
      </c>
      <c r="BD426" s="92" t="n">
        <f aca="false">SUM(N$4:N$503)/COUNTA(A$4:A$503)</f>
        <v>697.19996</v>
      </c>
      <c r="BE426" s="92" t="n">
        <f aca="false">SUM(O$4:O$503)/COUNTA(A$4:A$503)</f>
        <v>713.9999</v>
      </c>
      <c r="BF426" s="92" t="n">
        <f aca="false">SUM(P$4:P$503)/COUNTA(A$4:A$503)</f>
        <v>732.59984</v>
      </c>
      <c r="BG426" s="92" t="n">
        <f aca="false">SUM(Q$4:Q$503)/COUNTA(A$4:A$503)</f>
        <v>756.59992</v>
      </c>
      <c r="BH426" s="92" t="n">
        <f aca="false">SUM(R$4:R$503)/COUNTA(A$4:A$503)</f>
        <v>776.40004</v>
      </c>
      <c r="BI426" s="92" t="n">
        <f aca="false">SUM(S$4:S$503)/COUNTA(A$4:A$503)</f>
        <v>806.40012</v>
      </c>
      <c r="BJ426" s="92" t="n">
        <f aca="false">SUM(T$4:T$503)/COUNTA(A$4:A$503)</f>
        <v>826.1999</v>
      </c>
      <c r="BK426" s="92" t="n">
        <f aca="false">SUM(U$4:U$503)/COUNTA(A$4:A$503)</f>
        <v>844.8002</v>
      </c>
      <c r="BL426" s="92" t="n">
        <f aca="false">SUM(V$4:V$503)/COUNTA(A$4:A$503)</f>
        <v>865.7998</v>
      </c>
      <c r="BM426" s="92" t="n">
        <f aca="false">SUM(W$4:W$503)/COUNTA(A$4:A$503)</f>
        <v>888.59982</v>
      </c>
      <c r="BN426" s="93" t="n">
        <f aca="false">SUM(X$4:X$503)/COUNTA(A$4:A$503)</f>
        <v>918.60034</v>
      </c>
      <c r="BO426" s="94" t="s">
        <v>20</v>
      </c>
      <c r="BP426" s="91" t="n">
        <f aca="false">IF(Z426&gt;=BB426,0,IFERROR(BB426+(SUMPRODUCT((Z$4:Z$503&gt;=BB$4:BB$503)*(Z$4:Z$503-BB$4:BB$503))/MAX(1,COUNTIF(Z$4:Z$503,"&lt;"&amp;BB426+0.01))),BB426))</f>
        <v>10695.5432177778</v>
      </c>
      <c r="BQ426" s="92" t="n">
        <f aca="false">IF(AA426&gt;=BC426,0,IFERROR(BC426+SUMPRODUCT((AA$4:AA$503&gt;=BC$4:BC$503)*(AA$4:AA$503-BC$4:BC$503))/MAX(1,COUNTIF(AA$4:AA$503,"&lt;"&amp;BC426+0.01)),BC426))</f>
        <v>2238.46589176471</v>
      </c>
      <c r="BR426" s="92" t="n">
        <f aca="false">IF(AB426&gt;=BD426,0,IFERROR(BD426+SUMPRODUCT((AB$4:AB$503&gt;=BD$4:BD$503)*(AB$4:AB$503-BD$4:BD$503))/MAX(1,COUNTIF(AB$4:AB$503,"&lt;"&amp;BD426+0.01)),BD426))</f>
        <v>3335.2938</v>
      </c>
      <c r="BS426" s="92" t="n">
        <f aca="false">IF(AC426&gt;=BE426,0,IFERROR(BE426+SUMPRODUCT((AC$4:AC$503&gt;=BE$4:BE$503)*(AC$4:AC$503-BE$4:BE$503))/MAX(1,COUNTIF(AC$4:AC$503,"&lt;"&amp;BE426+0.01)),BE426))</f>
        <v>6188.73352</v>
      </c>
      <c r="BT426" s="92" t="n">
        <f aca="false">IF(AD426&gt;=BF426,0,IFERROR(BF426+SUMPRODUCT((AD$4:AD$503&gt;=BF$4:BF$503)*(AD$4:AD$503-BF$4:BF$503))/MAX(1,COUNTIF(AD$4:AD$503,"&lt;"&amp;BF426+0.01)),BF426))</f>
        <v>11354.35411</v>
      </c>
      <c r="BU426" s="92" t="n">
        <f aca="false">IF(AE426&gt;=BG426,0,IFERROR(BG426+SUMPRODUCT((AE$4:AE$503&gt;=BG$4:BG$503)*(AE$4:AE$503-BG$4:BG$503))/MAX(1,COUNTIF(AE$4:AE$503,"&lt;"&amp;BG426+0.01)),BG426))</f>
        <v>7704.85920380952</v>
      </c>
      <c r="BV426" s="92" t="n">
        <f aca="false">IF(AF426&gt;=BH426,0,IFERROR(BH426+SUMPRODUCT((AF$4:AF$503&gt;=BH$4:BH$503)*(AF$4:AF$503-BH$4:BH$503))/MAX(1,COUNTIF(AF$4:AF$503,"&lt;"&amp;BH426+0.01)),BH426))</f>
        <v>9942.6503831579</v>
      </c>
      <c r="BW426" s="92" t="n">
        <f aca="false">IF(AG426&gt;=BI426,0,IFERROR(BI426+SUMPRODUCT((AG$4:AG$503&gt;=BI$4:BI$503)*(AG$4:AG$503-BI$4:BI$503))/MAX(1,COUNTIF(AG$4:AG$503,"&lt;"&amp;BI426+0.01)),BI426))</f>
        <v>9142.15870461538</v>
      </c>
      <c r="BX426" s="92" t="n">
        <f aca="false">IF(AH426&gt;=BJ426,0,IFERROR(BJ426+SUMPRODUCT((AH$4:AH$503&gt;=BJ$4:BJ$503)*(AH$4:AH$503-BJ$4:BJ$503))/MAX(1,COUNTIF(AH$4:AH$503,"&lt;"&amp;BJ426+0.01)),BJ426))</f>
        <v>5621.50263448276</v>
      </c>
      <c r="BY426" s="92" t="n">
        <f aca="false">IF(AI426&gt;=BK426,0,IFERROR(BK426+SUMPRODUCT((AI$4:AI$503&gt;=BK$4:BK$503)*(AI$4:AI$503-BK$4:BK$503))/MAX(1,COUNTIF(AI$4:AI$503,"&lt;"&amp;BK426+0.01)),BK426))</f>
        <v>7878.25652380952</v>
      </c>
      <c r="BZ426" s="92" t="n">
        <f aca="false">IF(AJ426&gt;=BL426,0,IFERROR(BL426+SUMPRODUCT((AJ$4:AJ$503&gt;=BL$4:BL$503)*(AJ$4:AJ$503-BL$4:BL$503))/MAX(1,COUNTIF(AJ$4:AJ$503,"&lt;"&amp;BL426+0.01)),BL426))</f>
        <v>6710.03292307692</v>
      </c>
      <c r="CA426" s="92" t="n">
        <f aca="false">IF(AK426&gt;=BM426,0,IFERROR(BM426+SUMPRODUCT((AK$4:AK$503&gt;=BM$4:BM$503)*(AK$4:AK$503-BM$4:BM$503))/MAX(1,COUNTIF(AK$4:AK$503,"&lt;"&amp;BM426+0.01)),BM426))</f>
        <v>7314.89836842105</v>
      </c>
      <c r="CB426" s="93" t="n">
        <f aca="false">IF(AL426&gt;=BN426,0,IFERROR(BN426+SUMPRODUCT((AL$4:AL$503&gt;=BN$4:BN$503)*(AL$4:AL$503-BN$4:BN$503))/MAX(1,COUNTIF(AL$4:AL$503,"&lt;"&amp;BN426+0.01)),BN426))</f>
        <v>3597.2614925</v>
      </c>
      <c r="CC426" s="95" t="str">
        <f aca="false">IF(AO426="🟢","VERDE",IF(AO426="🟡","AMARELO",IF(AO426="🟠","VERMELHO",IF(AO426="🔴","VERMELHO","ROXO"))))</f>
        <v>VERMELHO</v>
      </c>
      <c r="CD426" s="96" t="s">
        <v>176</v>
      </c>
      <c r="CE426" s="96" t="s">
        <v>102</v>
      </c>
    </row>
    <row r="427" customFormat="false" ht="14.25" hidden="false" customHeight="true" outlineLevel="0" collapsed="false">
      <c r="A427" s="65" t="s">
        <v>987</v>
      </c>
      <c r="B427" s="66" t="s">
        <v>988</v>
      </c>
      <c r="C427" s="67" t="s">
        <v>158</v>
      </c>
      <c r="D427" s="68" t="s">
        <v>100</v>
      </c>
      <c r="E427" s="69" t="s">
        <v>490</v>
      </c>
      <c r="F427" s="70" t="n">
        <f aca="false">IFERROR(VLOOKUP(C427,$AS$3:$AT$10,2,FALSE()),IFERROR(VLOOKUP(C427,$AS$15:$AT$22,2,FALSE()),""))</f>
        <v>29</v>
      </c>
      <c r="G427" s="71" t="n">
        <f aca="false">IFERROR(VLOOKUP(C427,$AS$3:$AX$10,6,FALSE()),IFERROR(VLOOKUP(C427,$AS$15:$AX$22,6,FALSE()),""))</f>
        <v>0.458564072601712</v>
      </c>
      <c r="H427" s="72" t="str">
        <f aca="false">IFERROR(VLOOKUP(C427,$AS$3:$AY$10,7,FALSE()),IFERROR(VLOOKUP(C427,$AS$15:$AY$22,7,FALSE()),""))</f>
        <v>🟡 AMARELO</v>
      </c>
      <c r="I427" s="72" t="str">
        <f aca="false">IFERROR(VLOOKUP(C427,$AS$3:$AZ$10,8,FALSE()),IFERROR(VLOOKUP(C427,$AS$15:$AZ$22,8,FALSE()),""))</f>
        <v>Sell Out</v>
      </c>
      <c r="J427" s="73"/>
      <c r="K427" s="69" t="s">
        <v>158</v>
      </c>
      <c r="L427" s="74" t="n">
        <v>1679.97</v>
      </c>
      <c r="M427" s="75" t="n">
        <v>118.06</v>
      </c>
      <c r="N427" s="75" t="n">
        <v>123.36</v>
      </c>
      <c r="O427" s="75" t="n">
        <v>126.34</v>
      </c>
      <c r="P427" s="75" t="n">
        <v>129.63</v>
      </c>
      <c r="Q427" s="75" t="n">
        <v>133.87</v>
      </c>
      <c r="R427" s="75" t="n">
        <v>137.38</v>
      </c>
      <c r="S427" s="75" t="n">
        <v>142.69</v>
      </c>
      <c r="T427" s="75" t="n">
        <v>146.19</v>
      </c>
      <c r="U427" s="75" t="n">
        <v>149.48</v>
      </c>
      <c r="V427" s="75" t="n">
        <v>153.2</v>
      </c>
      <c r="W427" s="75" t="n">
        <v>157.23</v>
      </c>
      <c r="X427" s="76" t="n">
        <v>162.54</v>
      </c>
      <c r="Y427" s="77" t="s">
        <v>20</v>
      </c>
      <c r="Z427" s="78" t="n">
        <f aca="false">SUM(AA427:AL427)</f>
        <v>675.6</v>
      </c>
      <c r="AA427" s="75"/>
      <c r="AB427" s="79" t="n">
        <v>675.6</v>
      </c>
      <c r="AC427" s="75"/>
      <c r="AD427" s="75"/>
      <c r="AE427" s="75"/>
      <c r="AF427" s="75"/>
      <c r="AG427" s="75"/>
      <c r="AH427" s="75"/>
      <c r="AI427" s="75"/>
      <c r="AJ427" s="75"/>
      <c r="AK427" s="75"/>
      <c r="AL427" s="76"/>
      <c r="AM427" s="56" t="s">
        <v>20</v>
      </c>
      <c r="AN427" s="80" t="n">
        <f aca="false">IF(L427=0,0,Z427/L427)</f>
        <v>0.402150038393543</v>
      </c>
      <c r="AO427" s="81" t="str">
        <f aca="false">IF(AN427="","",IF(AN427&gt;=0.9,"🟢",IF(AN427&gt;=0.7,"🟡",IF(AN427&gt;=0.5,"🟠","🔴"))))</f>
        <v>🔴</v>
      </c>
      <c r="AP427" s="82" t="n">
        <f aca="false">IF(L427=0,0,L427-Z427)</f>
        <v>1004.37</v>
      </c>
      <c r="AQ427" s="83" t="n">
        <f aca="false">IF(AP427=0,"",RANK(AP427,AP$4:AP$503,0))</f>
        <v>384</v>
      </c>
      <c r="AR427" s="84" t="s">
        <v>20</v>
      </c>
      <c r="AS427" s="141"/>
      <c r="AT427" s="141"/>
      <c r="AU427" s="141"/>
      <c r="AV427" s="141"/>
      <c r="AW427" s="141"/>
      <c r="AX427" s="141"/>
      <c r="AY427" s="142"/>
      <c r="AZ427" s="142"/>
      <c r="BA427" s="56" t="s">
        <v>20</v>
      </c>
      <c r="BB427" s="91" t="n">
        <f aca="false">SUM(L$4:L$503)/COUNTA(A$4:A$503)</f>
        <v>9494.39992</v>
      </c>
      <c r="BC427" s="92" t="n">
        <f aca="false">SUM(M$4:M$503)/COUNTA(A$4:A$503)</f>
        <v>667.20008</v>
      </c>
      <c r="BD427" s="92" t="n">
        <f aca="false">SUM(N$4:N$503)/COUNTA(A$4:A$503)</f>
        <v>697.19996</v>
      </c>
      <c r="BE427" s="92" t="n">
        <f aca="false">SUM(O$4:O$503)/COUNTA(A$4:A$503)</f>
        <v>713.9999</v>
      </c>
      <c r="BF427" s="92" t="n">
        <f aca="false">SUM(P$4:P$503)/COUNTA(A$4:A$503)</f>
        <v>732.59984</v>
      </c>
      <c r="BG427" s="92" t="n">
        <f aca="false">SUM(Q$4:Q$503)/COUNTA(A$4:A$503)</f>
        <v>756.59992</v>
      </c>
      <c r="BH427" s="92" t="n">
        <f aca="false">SUM(R$4:R$503)/COUNTA(A$4:A$503)</f>
        <v>776.40004</v>
      </c>
      <c r="BI427" s="92" t="n">
        <f aca="false">SUM(S$4:S$503)/COUNTA(A$4:A$503)</f>
        <v>806.40012</v>
      </c>
      <c r="BJ427" s="92" t="n">
        <f aca="false">SUM(T$4:T$503)/COUNTA(A$4:A$503)</f>
        <v>826.1999</v>
      </c>
      <c r="BK427" s="92" t="n">
        <f aca="false">SUM(U$4:U$503)/COUNTA(A$4:A$503)</f>
        <v>844.8002</v>
      </c>
      <c r="BL427" s="92" t="n">
        <f aca="false">SUM(V$4:V$503)/COUNTA(A$4:A$503)</f>
        <v>865.7998</v>
      </c>
      <c r="BM427" s="92" t="n">
        <f aca="false">SUM(W$4:W$503)/COUNTA(A$4:A$503)</f>
        <v>888.59982</v>
      </c>
      <c r="BN427" s="93" t="n">
        <f aca="false">SUM(X$4:X$503)/COUNTA(A$4:A$503)</f>
        <v>918.60034</v>
      </c>
      <c r="BO427" s="94" t="s">
        <v>20</v>
      </c>
      <c r="BP427" s="91" t="n">
        <f aca="false">IF(Z427&gt;=BB427,0,IFERROR(BB427+(SUMPRODUCT((Z$4:Z$503&gt;=BB$4:BB$503)*(Z$4:Z$503-BB$4:BB$503))/MAX(1,COUNTIF(Z$4:Z$503,"&lt;"&amp;BB427+0.01))),BB427))</f>
        <v>10695.5432177778</v>
      </c>
      <c r="BQ427" s="92" t="n">
        <f aca="false">IF(AA427&gt;=BC427,0,IFERROR(BC427+SUMPRODUCT((AA$4:AA$503&gt;=BC$4:BC$503)*(AA$4:AA$503-BC$4:BC$503))/MAX(1,COUNTIF(AA$4:AA$503,"&lt;"&amp;BC427+0.01)),BC427))</f>
        <v>2238.46589176471</v>
      </c>
      <c r="BR427" s="92" t="n">
        <f aca="false">IF(AB427&gt;=BD427,0,IFERROR(BD427+SUMPRODUCT((AB$4:AB$503&gt;=BD$4:BD$503)*(AB$4:AB$503-BD$4:BD$503))/MAX(1,COUNTIF(AB$4:AB$503,"&lt;"&amp;BD427+0.01)),BD427))</f>
        <v>3335.2938</v>
      </c>
      <c r="BS427" s="92" t="n">
        <f aca="false">IF(AC427&gt;=BE427,0,IFERROR(BE427+SUMPRODUCT((AC$4:AC$503&gt;=BE$4:BE$503)*(AC$4:AC$503-BE$4:BE$503))/MAX(1,COUNTIF(AC$4:AC$503,"&lt;"&amp;BE427+0.01)),BE427))</f>
        <v>6188.73352</v>
      </c>
      <c r="BT427" s="92" t="n">
        <f aca="false">IF(AD427&gt;=BF427,0,IFERROR(BF427+SUMPRODUCT((AD$4:AD$503&gt;=BF$4:BF$503)*(AD$4:AD$503-BF$4:BF$503))/MAX(1,COUNTIF(AD$4:AD$503,"&lt;"&amp;BF427+0.01)),BF427))</f>
        <v>11354.35411</v>
      </c>
      <c r="BU427" s="92" t="n">
        <f aca="false">IF(AE427&gt;=BG427,0,IFERROR(BG427+SUMPRODUCT((AE$4:AE$503&gt;=BG$4:BG$503)*(AE$4:AE$503-BG$4:BG$503))/MAX(1,COUNTIF(AE$4:AE$503,"&lt;"&amp;BG427+0.01)),BG427))</f>
        <v>7704.85920380952</v>
      </c>
      <c r="BV427" s="92" t="n">
        <f aca="false">IF(AF427&gt;=BH427,0,IFERROR(BH427+SUMPRODUCT((AF$4:AF$503&gt;=BH$4:BH$503)*(AF$4:AF$503-BH$4:BH$503))/MAX(1,COUNTIF(AF$4:AF$503,"&lt;"&amp;BH427+0.01)),BH427))</f>
        <v>9942.6503831579</v>
      </c>
      <c r="BW427" s="92" t="n">
        <f aca="false">IF(AG427&gt;=BI427,0,IFERROR(BI427+SUMPRODUCT((AG$4:AG$503&gt;=BI$4:BI$503)*(AG$4:AG$503-BI$4:BI$503))/MAX(1,COUNTIF(AG$4:AG$503,"&lt;"&amp;BI427+0.01)),BI427))</f>
        <v>9142.15870461538</v>
      </c>
      <c r="BX427" s="92" t="n">
        <f aca="false">IF(AH427&gt;=BJ427,0,IFERROR(BJ427+SUMPRODUCT((AH$4:AH$503&gt;=BJ$4:BJ$503)*(AH$4:AH$503-BJ$4:BJ$503))/MAX(1,COUNTIF(AH$4:AH$503,"&lt;"&amp;BJ427+0.01)),BJ427))</f>
        <v>5621.50263448276</v>
      </c>
      <c r="BY427" s="92" t="n">
        <f aca="false">IF(AI427&gt;=BK427,0,IFERROR(BK427+SUMPRODUCT((AI$4:AI$503&gt;=BK$4:BK$503)*(AI$4:AI$503-BK$4:BK$503))/MAX(1,COUNTIF(AI$4:AI$503,"&lt;"&amp;BK427+0.01)),BK427))</f>
        <v>7878.25652380952</v>
      </c>
      <c r="BZ427" s="92" t="n">
        <f aca="false">IF(AJ427&gt;=BL427,0,IFERROR(BL427+SUMPRODUCT((AJ$4:AJ$503&gt;=BL$4:BL$503)*(AJ$4:AJ$503-BL$4:BL$503))/MAX(1,COUNTIF(AJ$4:AJ$503,"&lt;"&amp;BL427+0.01)),BL427))</f>
        <v>6710.03292307692</v>
      </c>
      <c r="CA427" s="92" t="n">
        <f aca="false">IF(AK427&gt;=BM427,0,IFERROR(BM427+SUMPRODUCT((AK$4:AK$503&gt;=BM$4:BM$503)*(AK$4:AK$503-BM$4:BM$503))/MAX(1,COUNTIF(AK$4:AK$503,"&lt;"&amp;BM427+0.01)),BM427))</f>
        <v>7314.89836842105</v>
      </c>
      <c r="CB427" s="93" t="n">
        <f aca="false">IF(AL427&gt;=BN427,0,IFERROR(BN427+SUMPRODUCT((AL$4:AL$503&gt;=BN$4:BN$503)*(AL$4:AL$503-BN$4:BN$503))/MAX(1,COUNTIF(AL$4:AL$503,"&lt;"&amp;BN427+0.01)),BN427))</f>
        <v>3597.2614925</v>
      </c>
      <c r="CC427" s="95" t="str">
        <f aca="false">IF(AO427="🟢","VERDE",IF(AO427="🟡","AMARELO",IF(AO427="🟠","VERMELHO",IF(AO427="🔴","VERMELHO","ROXO"))))</f>
        <v>VERMELHO</v>
      </c>
      <c r="CD427" s="96" t="s">
        <v>103</v>
      </c>
      <c r="CE427" s="96" t="s">
        <v>104</v>
      </c>
    </row>
    <row r="428" customFormat="false" ht="14.25" hidden="false" customHeight="true" outlineLevel="0" collapsed="false">
      <c r="A428" s="65" t="s">
        <v>989</v>
      </c>
      <c r="B428" s="66" t="s">
        <v>990</v>
      </c>
      <c r="C428" s="67" t="s">
        <v>107</v>
      </c>
      <c r="D428" s="68" t="s">
        <v>108</v>
      </c>
      <c r="E428" s="69" t="s">
        <v>109</v>
      </c>
      <c r="F428" s="70" t="n">
        <f aca="false">IFERROR(VLOOKUP(C428,$AS$3:$AT$10,2,FALSE()),IFERROR(VLOOKUP(C428,$AS$15:$AT$22,2,FALSE()),""))</f>
        <v>132</v>
      </c>
      <c r="G428" s="71" t="n">
        <f aca="false">IFERROR(VLOOKUP(C428,$AS$3:$AX$10,6,FALSE()),IFERROR(VLOOKUP(C428,$AS$15:$AX$22,6,FALSE()),""))</f>
        <v>0.468190175850689</v>
      </c>
      <c r="H428" s="72" t="str">
        <f aca="false">IFERROR(VLOOKUP(C428,$AS$3:$AY$10,7,FALSE()),IFERROR(VLOOKUP(C428,$AS$15:$AY$22,7,FALSE()),""))</f>
        <v>🟡 AMARELO</v>
      </c>
      <c r="I428" s="72" t="str">
        <f aca="false">IFERROR(VLOOKUP(C428,$AS$3:$AZ$10,8,FALSE()),IFERROR(VLOOKUP(C428,$AS$15:$AZ$22,8,FALSE()),""))</f>
        <v>Sell Out</v>
      </c>
      <c r="J428" s="73"/>
      <c r="K428" s="69" t="s">
        <v>107</v>
      </c>
      <c r="L428" s="74" t="n">
        <v>1679.37</v>
      </c>
      <c r="M428" s="75" t="n">
        <v>118.01</v>
      </c>
      <c r="N428" s="75" t="n">
        <v>123.32</v>
      </c>
      <c r="O428" s="75" t="n">
        <v>126.29</v>
      </c>
      <c r="P428" s="75" t="n">
        <v>129.58</v>
      </c>
      <c r="Q428" s="75" t="n">
        <v>133.83</v>
      </c>
      <c r="R428" s="75" t="n">
        <v>137.33</v>
      </c>
      <c r="S428" s="75" t="n">
        <v>142.64</v>
      </c>
      <c r="T428" s="75" t="n">
        <v>146.14</v>
      </c>
      <c r="U428" s="75" t="n">
        <v>149.43</v>
      </c>
      <c r="V428" s="75" t="n">
        <v>153.14</v>
      </c>
      <c r="W428" s="75" t="n">
        <v>157.18</v>
      </c>
      <c r="X428" s="76" t="n">
        <v>162.48</v>
      </c>
      <c r="Y428" s="77" t="s">
        <v>20</v>
      </c>
      <c r="Z428" s="78" t="n">
        <f aca="false">SUM(AA428:AL428)</f>
        <v>684.92</v>
      </c>
      <c r="AA428" s="75"/>
      <c r="AB428" s="75"/>
      <c r="AC428" s="75"/>
      <c r="AD428" s="75"/>
      <c r="AE428" s="75"/>
      <c r="AF428" s="75"/>
      <c r="AG428" s="75"/>
      <c r="AH428" s="79" t="n">
        <v>684.92</v>
      </c>
      <c r="AI428" s="75"/>
      <c r="AJ428" s="75"/>
      <c r="AK428" s="75"/>
      <c r="AL428" s="76"/>
      <c r="AM428" s="56" t="s">
        <v>20</v>
      </c>
      <c r="AN428" s="80" t="n">
        <f aca="false">IF(L428=0,0,Z428/L428)</f>
        <v>0.407843417472028</v>
      </c>
      <c r="AO428" s="81" t="str">
        <f aca="false">IF(AN428="","",IF(AN428&gt;=0.9,"🟢",IF(AN428&gt;=0.7,"🟡",IF(AN428&gt;=0.5,"🟠","🔴"))))</f>
        <v>🔴</v>
      </c>
      <c r="AP428" s="82" t="n">
        <f aca="false">IF(L428=0,0,L428-Z428)</f>
        <v>994.45</v>
      </c>
      <c r="AQ428" s="83" t="n">
        <f aca="false">IF(AP428=0,"",RANK(AP428,AP$4:AP$503,0))</f>
        <v>389</v>
      </c>
      <c r="AR428" s="84" t="s">
        <v>20</v>
      </c>
      <c r="AS428" s="141"/>
      <c r="AT428" s="141"/>
      <c r="AU428" s="141"/>
      <c r="AV428" s="141"/>
      <c r="AW428" s="141"/>
      <c r="AX428" s="141"/>
      <c r="AY428" s="142"/>
      <c r="AZ428" s="142"/>
      <c r="BA428" s="56" t="s">
        <v>20</v>
      </c>
      <c r="BB428" s="91" t="n">
        <f aca="false">SUM(L$4:L$503)/COUNTA(A$4:A$503)</f>
        <v>9494.39992</v>
      </c>
      <c r="BC428" s="92" t="n">
        <f aca="false">SUM(M$4:M$503)/COUNTA(A$4:A$503)</f>
        <v>667.20008</v>
      </c>
      <c r="BD428" s="92" t="n">
        <f aca="false">SUM(N$4:N$503)/COUNTA(A$4:A$503)</f>
        <v>697.19996</v>
      </c>
      <c r="BE428" s="92" t="n">
        <f aca="false">SUM(O$4:O$503)/COUNTA(A$4:A$503)</f>
        <v>713.9999</v>
      </c>
      <c r="BF428" s="92" t="n">
        <f aca="false">SUM(P$4:P$503)/COUNTA(A$4:A$503)</f>
        <v>732.59984</v>
      </c>
      <c r="BG428" s="92" t="n">
        <f aca="false">SUM(Q$4:Q$503)/COUNTA(A$4:A$503)</f>
        <v>756.59992</v>
      </c>
      <c r="BH428" s="92" t="n">
        <f aca="false">SUM(R$4:R$503)/COUNTA(A$4:A$503)</f>
        <v>776.40004</v>
      </c>
      <c r="BI428" s="92" t="n">
        <f aca="false">SUM(S$4:S$503)/COUNTA(A$4:A$503)</f>
        <v>806.40012</v>
      </c>
      <c r="BJ428" s="92" t="n">
        <f aca="false">SUM(T$4:T$503)/COUNTA(A$4:A$503)</f>
        <v>826.1999</v>
      </c>
      <c r="BK428" s="92" t="n">
        <f aca="false">SUM(U$4:U$503)/COUNTA(A$4:A$503)</f>
        <v>844.8002</v>
      </c>
      <c r="BL428" s="92" t="n">
        <f aca="false">SUM(V$4:V$503)/COUNTA(A$4:A$503)</f>
        <v>865.7998</v>
      </c>
      <c r="BM428" s="92" t="n">
        <f aca="false">SUM(W$4:W$503)/COUNTA(A$4:A$503)</f>
        <v>888.59982</v>
      </c>
      <c r="BN428" s="93" t="n">
        <f aca="false">SUM(X$4:X$503)/COUNTA(A$4:A$503)</f>
        <v>918.60034</v>
      </c>
      <c r="BO428" s="94" t="s">
        <v>20</v>
      </c>
      <c r="BP428" s="91" t="n">
        <f aca="false">IF(Z428&gt;=BB428,0,IFERROR(BB428+(SUMPRODUCT((Z$4:Z$503&gt;=BB$4:BB$503)*(Z$4:Z$503-BB$4:BB$503))/MAX(1,COUNTIF(Z$4:Z$503,"&lt;"&amp;BB428+0.01))),BB428))</f>
        <v>10695.5432177778</v>
      </c>
      <c r="BQ428" s="92" t="n">
        <f aca="false">IF(AA428&gt;=BC428,0,IFERROR(BC428+SUMPRODUCT((AA$4:AA$503&gt;=BC$4:BC$503)*(AA$4:AA$503-BC$4:BC$503))/MAX(1,COUNTIF(AA$4:AA$503,"&lt;"&amp;BC428+0.01)),BC428))</f>
        <v>2238.46589176471</v>
      </c>
      <c r="BR428" s="92" t="n">
        <f aca="false">IF(AB428&gt;=BD428,0,IFERROR(BD428+SUMPRODUCT((AB$4:AB$503&gt;=BD$4:BD$503)*(AB$4:AB$503-BD$4:BD$503))/MAX(1,COUNTIF(AB$4:AB$503,"&lt;"&amp;BD428+0.01)),BD428))</f>
        <v>3335.2938</v>
      </c>
      <c r="BS428" s="92" t="n">
        <f aca="false">IF(AC428&gt;=BE428,0,IFERROR(BE428+SUMPRODUCT((AC$4:AC$503&gt;=BE$4:BE$503)*(AC$4:AC$503-BE$4:BE$503))/MAX(1,COUNTIF(AC$4:AC$503,"&lt;"&amp;BE428+0.01)),BE428))</f>
        <v>6188.73352</v>
      </c>
      <c r="BT428" s="92" t="n">
        <f aca="false">IF(AD428&gt;=BF428,0,IFERROR(BF428+SUMPRODUCT((AD$4:AD$503&gt;=BF$4:BF$503)*(AD$4:AD$503-BF$4:BF$503))/MAX(1,COUNTIF(AD$4:AD$503,"&lt;"&amp;BF428+0.01)),BF428))</f>
        <v>11354.35411</v>
      </c>
      <c r="BU428" s="92" t="n">
        <f aca="false">IF(AE428&gt;=BG428,0,IFERROR(BG428+SUMPRODUCT((AE$4:AE$503&gt;=BG$4:BG$503)*(AE$4:AE$503-BG$4:BG$503))/MAX(1,COUNTIF(AE$4:AE$503,"&lt;"&amp;BG428+0.01)),BG428))</f>
        <v>7704.85920380952</v>
      </c>
      <c r="BV428" s="92" t="n">
        <f aca="false">IF(AF428&gt;=BH428,0,IFERROR(BH428+SUMPRODUCT((AF$4:AF$503&gt;=BH$4:BH$503)*(AF$4:AF$503-BH$4:BH$503))/MAX(1,COUNTIF(AF$4:AF$503,"&lt;"&amp;BH428+0.01)),BH428))</f>
        <v>9942.6503831579</v>
      </c>
      <c r="BW428" s="92" t="n">
        <f aca="false">IF(AG428&gt;=BI428,0,IFERROR(BI428+SUMPRODUCT((AG$4:AG$503&gt;=BI$4:BI$503)*(AG$4:AG$503-BI$4:BI$503))/MAX(1,COUNTIF(AG$4:AG$503,"&lt;"&amp;BI428+0.01)),BI428))</f>
        <v>9142.15870461538</v>
      </c>
      <c r="BX428" s="92" t="n">
        <f aca="false">IF(AH428&gt;=BJ428,0,IFERROR(BJ428+SUMPRODUCT((AH$4:AH$503&gt;=BJ$4:BJ$503)*(AH$4:AH$503-BJ$4:BJ$503))/MAX(1,COUNTIF(AH$4:AH$503,"&lt;"&amp;BJ428+0.01)),BJ428))</f>
        <v>5621.50263448276</v>
      </c>
      <c r="BY428" s="92" t="n">
        <f aca="false">IF(AI428&gt;=BK428,0,IFERROR(BK428+SUMPRODUCT((AI$4:AI$503&gt;=BK$4:BK$503)*(AI$4:AI$503-BK$4:BK$503))/MAX(1,COUNTIF(AI$4:AI$503,"&lt;"&amp;BK428+0.01)),BK428))</f>
        <v>7878.25652380952</v>
      </c>
      <c r="BZ428" s="92" t="n">
        <f aca="false">IF(AJ428&gt;=BL428,0,IFERROR(BL428+SUMPRODUCT((AJ$4:AJ$503&gt;=BL$4:BL$503)*(AJ$4:AJ$503-BL$4:BL$503))/MAX(1,COUNTIF(AJ$4:AJ$503,"&lt;"&amp;BL428+0.01)),BL428))</f>
        <v>6710.03292307692</v>
      </c>
      <c r="CA428" s="92" t="n">
        <f aca="false">IF(AK428&gt;=BM428,0,IFERROR(BM428+SUMPRODUCT((AK$4:AK$503&gt;=BM$4:BM$503)*(AK$4:AK$503-BM$4:BM$503))/MAX(1,COUNTIF(AK$4:AK$503,"&lt;"&amp;BM428+0.01)),BM428))</f>
        <v>7314.89836842105</v>
      </c>
      <c r="CB428" s="93" t="n">
        <f aca="false">IF(AL428&gt;=BN428,0,IFERROR(BN428+SUMPRODUCT((AL$4:AL$503&gt;=BN$4:BN$503)*(AL$4:AL$503-BN$4:BN$503))/MAX(1,COUNTIF(AL$4:AL$503,"&lt;"&amp;BN428+0.01)),BN428))</f>
        <v>3597.2614925</v>
      </c>
      <c r="CC428" s="95" t="str">
        <f aca="false">IF(AO428="🟢","VERDE",IF(AO428="🟡","AMARELO",IF(AO428="🟠","VERMELHO",IF(AO428="🔴","VERMELHO","ROXO"))))</f>
        <v>VERMELHO</v>
      </c>
      <c r="CD428" s="96" t="s">
        <v>103</v>
      </c>
      <c r="CE428" s="96" t="s">
        <v>104</v>
      </c>
    </row>
    <row r="429" customFormat="false" ht="14.25" hidden="false" customHeight="true" outlineLevel="0" collapsed="false">
      <c r="A429" s="65" t="s">
        <v>991</v>
      </c>
      <c r="B429" s="66" t="s">
        <v>992</v>
      </c>
      <c r="C429" s="67" t="s">
        <v>113</v>
      </c>
      <c r="D429" s="68" t="s">
        <v>100</v>
      </c>
      <c r="E429" s="69" t="s">
        <v>114</v>
      </c>
      <c r="F429" s="70" t="n">
        <f aca="false">IFERROR(VLOOKUP(C429,$AS$3:$AT$10,2,FALSE()),IFERROR(VLOOKUP(C429,$AS$15:$AT$22,2,FALSE()),""))</f>
        <v>49</v>
      </c>
      <c r="G429" s="71" t="n">
        <f aca="false">IFERROR(VLOOKUP(C429,$AS$3:$AX$10,6,FALSE()),IFERROR(VLOOKUP(C429,$AS$15:$AX$22,6,FALSE()),""))</f>
        <v>0.463965086137302</v>
      </c>
      <c r="H429" s="72" t="str">
        <f aca="false">IFERROR(VLOOKUP(C429,$AS$3:$AY$10,7,FALSE()),IFERROR(VLOOKUP(C429,$AS$15:$AY$22,7,FALSE()),""))</f>
        <v>🟡 AMARELO</v>
      </c>
      <c r="I429" s="72" t="str">
        <f aca="false">IFERROR(VLOOKUP(C429,$AS$3:$AZ$10,8,FALSE()),IFERROR(VLOOKUP(C429,$AS$15:$AZ$22,8,FALSE()),""))</f>
        <v>Sell Out</v>
      </c>
      <c r="J429" s="73"/>
      <c r="K429" s="69" t="s">
        <v>113</v>
      </c>
      <c r="L429" s="74" t="n">
        <v>1679.2</v>
      </c>
      <c r="M429" s="75" t="n">
        <v>118</v>
      </c>
      <c r="N429" s="75" t="n">
        <v>123.31</v>
      </c>
      <c r="O429" s="75" t="n">
        <v>126.28</v>
      </c>
      <c r="P429" s="75" t="n">
        <v>129.57</v>
      </c>
      <c r="Q429" s="75" t="n">
        <v>133.81</v>
      </c>
      <c r="R429" s="75" t="n">
        <v>137.32</v>
      </c>
      <c r="S429" s="75" t="n">
        <v>142.62</v>
      </c>
      <c r="T429" s="75" t="n">
        <v>146.12</v>
      </c>
      <c r="U429" s="75" t="n">
        <v>149.41</v>
      </c>
      <c r="V429" s="75" t="n">
        <v>153.13</v>
      </c>
      <c r="W429" s="75" t="n">
        <v>157.16</v>
      </c>
      <c r="X429" s="76" t="n">
        <v>162.47</v>
      </c>
      <c r="Y429" s="77" t="s">
        <v>20</v>
      </c>
      <c r="Z429" s="78" t="n">
        <f aca="false">SUM(AA429:AL429)</f>
        <v>675.29</v>
      </c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107" t="n">
        <v>675.29</v>
      </c>
      <c r="AM429" s="56" t="s">
        <v>20</v>
      </c>
      <c r="AN429" s="80" t="n">
        <f aca="false">IF(L429=0,0,Z429/L429)</f>
        <v>0.40214983325393</v>
      </c>
      <c r="AO429" s="81" t="str">
        <f aca="false">IF(AN429="","",IF(AN429&gt;=0.9,"🟢",IF(AN429&gt;=0.7,"🟡",IF(AN429&gt;=0.5,"🟠","🔴"))))</f>
        <v>🔴</v>
      </c>
      <c r="AP429" s="82" t="n">
        <f aca="false">IF(L429=0,0,L429-Z429)</f>
        <v>1003.91</v>
      </c>
      <c r="AQ429" s="83" t="n">
        <f aca="false">IF(AP429=0,"",RANK(AP429,AP$4:AP$503,0))</f>
        <v>385</v>
      </c>
      <c r="AR429" s="84" t="s">
        <v>20</v>
      </c>
      <c r="AS429" s="141"/>
      <c r="AT429" s="141"/>
      <c r="AU429" s="141"/>
      <c r="AV429" s="141"/>
      <c r="AW429" s="141"/>
      <c r="AX429" s="141"/>
      <c r="AY429" s="142"/>
      <c r="AZ429" s="142"/>
      <c r="BA429" s="56" t="s">
        <v>20</v>
      </c>
      <c r="BB429" s="91" t="n">
        <f aca="false">SUM(L$4:L$503)/COUNTA(A$4:A$503)</f>
        <v>9494.39992</v>
      </c>
      <c r="BC429" s="92" t="n">
        <f aca="false">SUM(M$4:M$503)/COUNTA(A$4:A$503)</f>
        <v>667.20008</v>
      </c>
      <c r="BD429" s="92" t="n">
        <f aca="false">SUM(N$4:N$503)/COUNTA(A$4:A$503)</f>
        <v>697.19996</v>
      </c>
      <c r="BE429" s="92" t="n">
        <f aca="false">SUM(O$4:O$503)/COUNTA(A$4:A$503)</f>
        <v>713.9999</v>
      </c>
      <c r="BF429" s="92" t="n">
        <f aca="false">SUM(P$4:P$503)/COUNTA(A$4:A$503)</f>
        <v>732.59984</v>
      </c>
      <c r="BG429" s="92" t="n">
        <f aca="false">SUM(Q$4:Q$503)/COUNTA(A$4:A$503)</f>
        <v>756.59992</v>
      </c>
      <c r="BH429" s="92" t="n">
        <f aca="false">SUM(R$4:R$503)/COUNTA(A$4:A$503)</f>
        <v>776.40004</v>
      </c>
      <c r="BI429" s="92" t="n">
        <f aca="false">SUM(S$4:S$503)/COUNTA(A$4:A$503)</f>
        <v>806.40012</v>
      </c>
      <c r="BJ429" s="92" t="n">
        <f aca="false">SUM(T$4:T$503)/COUNTA(A$4:A$503)</f>
        <v>826.1999</v>
      </c>
      <c r="BK429" s="92" t="n">
        <f aca="false">SUM(U$4:U$503)/COUNTA(A$4:A$503)</f>
        <v>844.8002</v>
      </c>
      <c r="BL429" s="92" t="n">
        <f aca="false">SUM(V$4:V$503)/COUNTA(A$4:A$503)</f>
        <v>865.7998</v>
      </c>
      <c r="BM429" s="92" t="n">
        <f aca="false">SUM(W$4:W$503)/COUNTA(A$4:A$503)</f>
        <v>888.59982</v>
      </c>
      <c r="BN429" s="93" t="n">
        <f aca="false">SUM(X$4:X$503)/COUNTA(A$4:A$503)</f>
        <v>918.60034</v>
      </c>
      <c r="BO429" s="94" t="s">
        <v>20</v>
      </c>
      <c r="BP429" s="91" t="n">
        <f aca="false">IF(Z429&gt;=BB429,0,IFERROR(BB429+(SUMPRODUCT((Z$4:Z$503&gt;=BB$4:BB$503)*(Z$4:Z$503-BB$4:BB$503))/MAX(1,COUNTIF(Z$4:Z$503,"&lt;"&amp;BB429+0.01))),BB429))</f>
        <v>10695.5432177778</v>
      </c>
      <c r="BQ429" s="92" t="n">
        <f aca="false">IF(AA429&gt;=BC429,0,IFERROR(BC429+SUMPRODUCT((AA$4:AA$503&gt;=BC$4:BC$503)*(AA$4:AA$503-BC$4:BC$503))/MAX(1,COUNTIF(AA$4:AA$503,"&lt;"&amp;BC429+0.01)),BC429))</f>
        <v>2238.46589176471</v>
      </c>
      <c r="BR429" s="92" t="n">
        <f aca="false">IF(AB429&gt;=BD429,0,IFERROR(BD429+SUMPRODUCT((AB$4:AB$503&gt;=BD$4:BD$503)*(AB$4:AB$503-BD$4:BD$503))/MAX(1,COUNTIF(AB$4:AB$503,"&lt;"&amp;BD429+0.01)),BD429))</f>
        <v>3335.2938</v>
      </c>
      <c r="BS429" s="92" t="n">
        <f aca="false">IF(AC429&gt;=BE429,0,IFERROR(BE429+SUMPRODUCT((AC$4:AC$503&gt;=BE$4:BE$503)*(AC$4:AC$503-BE$4:BE$503))/MAX(1,COUNTIF(AC$4:AC$503,"&lt;"&amp;BE429+0.01)),BE429))</f>
        <v>6188.73352</v>
      </c>
      <c r="BT429" s="92" t="n">
        <f aca="false">IF(AD429&gt;=BF429,0,IFERROR(BF429+SUMPRODUCT((AD$4:AD$503&gt;=BF$4:BF$503)*(AD$4:AD$503-BF$4:BF$503))/MAX(1,COUNTIF(AD$4:AD$503,"&lt;"&amp;BF429+0.01)),BF429))</f>
        <v>11354.35411</v>
      </c>
      <c r="BU429" s="92" t="n">
        <f aca="false">IF(AE429&gt;=BG429,0,IFERROR(BG429+SUMPRODUCT((AE$4:AE$503&gt;=BG$4:BG$503)*(AE$4:AE$503-BG$4:BG$503))/MAX(1,COUNTIF(AE$4:AE$503,"&lt;"&amp;BG429+0.01)),BG429))</f>
        <v>7704.85920380952</v>
      </c>
      <c r="BV429" s="92" t="n">
        <f aca="false">IF(AF429&gt;=BH429,0,IFERROR(BH429+SUMPRODUCT((AF$4:AF$503&gt;=BH$4:BH$503)*(AF$4:AF$503-BH$4:BH$503))/MAX(1,COUNTIF(AF$4:AF$503,"&lt;"&amp;BH429+0.01)),BH429))</f>
        <v>9942.6503831579</v>
      </c>
      <c r="BW429" s="92" t="n">
        <f aca="false">IF(AG429&gt;=BI429,0,IFERROR(BI429+SUMPRODUCT((AG$4:AG$503&gt;=BI$4:BI$503)*(AG$4:AG$503-BI$4:BI$503))/MAX(1,COUNTIF(AG$4:AG$503,"&lt;"&amp;BI429+0.01)),BI429))</f>
        <v>9142.15870461538</v>
      </c>
      <c r="BX429" s="92" t="n">
        <f aca="false">IF(AH429&gt;=BJ429,0,IFERROR(BJ429+SUMPRODUCT((AH$4:AH$503&gt;=BJ$4:BJ$503)*(AH$4:AH$503-BJ$4:BJ$503))/MAX(1,COUNTIF(AH$4:AH$503,"&lt;"&amp;BJ429+0.01)),BJ429))</f>
        <v>5621.50263448276</v>
      </c>
      <c r="BY429" s="92" t="n">
        <f aca="false">IF(AI429&gt;=BK429,0,IFERROR(BK429+SUMPRODUCT((AI$4:AI$503&gt;=BK$4:BK$503)*(AI$4:AI$503-BK$4:BK$503))/MAX(1,COUNTIF(AI$4:AI$503,"&lt;"&amp;BK429+0.01)),BK429))</f>
        <v>7878.25652380952</v>
      </c>
      <c r="BZ429" s="92" t="n">
        <f aca="false">IF(AJ429&gt;=BL429,0,IFERROR(BL429+SUMPRODUCT((AJ$4:AJ$503&gt;=BL$4:BL$503)*(AJ$4:AJ$503-BL$4:BL$503))/MAX(1,COUNTIF(AJ$4:AJ$503,"&lt;"&amp;BL429+0.01)),BL429))</f>
        <v>6710.03292307692</v>
      </c>
      <c r="CA429" s="92" t="n">
        <f aca="false">IF(AK429&gt;=BM429,0,IFERROR(BM429+SUMPRODUCT((AK$4:AK$503&gt;=BM$4:BM$503)*(AK$4:AK$503-BM$4:BM$503))/MAX(1,COUNTIF(AK$4:AK$503,"&lt;"&amp;BM429+0.01)),BM429))</f>
        <v>7314.89836842105</v>
      </c>
      <c r="CB429" s="93" t="n">
        <f aca="false">IF(AL429&gt;=BN429,0,IFERROR(BN429+SUMPRODUCT((AL$4:AL$503&gt;=BN$4:BN$503)*(AL$4:AL$503-BN$4:BN$503))/MAX(1,COUNTIF(AL$4:AL$503,"&lt;"&amp;BN429+0.01)),BN429))</f>
        <v>3597.2614925</v>
      </c>
      <c r="CC429" s="95" t="str">
        <f aca="false">IF(AO429="🟢","VERDE",IF(AO429="🟡","AMARELO",IF(AO429="🟠","VERMELHO",IF(AO429="🔴","VERMELHO","ROXO"))))</f>
        <v>VERMELHO</v>
      </c>
      <c r="CD429" s="96" t="s">
        <v>103</v>
      </c>
      <c r="CE429" s="96" t="s">
        <v>104</v>
      </c>
    </row>
    <row r="430" customFormat="false" ht="14.25" hidden="false" customHeight="true" outlineLevel="0" collapsed="false">
      <c r="A430" s="65" t="s">
        <v>993</v>
      </c>
      <c r="B430" s="66" t="s">
        <v>994</v>
      </c>
      <c r="C430" s="66" t="s">
        <v>110</v>
      </c>
      <c r="D430" s="68" t="s">
        <v>184</v>
      </c>
      <c r="E430" s="69" t="s">
        <v>196</v>
      </c>
      <c r="F430" s="70" t="n">
        <f aca="false">IFERROR(VLOOKUP(C430,$AS$3:$AT$10,2,FALSE()),IFERROR(VLOOKUP(C430,$AS$15:$AT$22,2,FALSE()),""))</f>
        <v>15</v>
      </c>
      <c r="G430" s="71" t="n">
        <f aca="false">IFERROR(VLOOKUP(C430,$AS$3:$AX$10,6,FALSE()),IFERROR(VLOOKUP(C430,$AS$15:$AX$22,6,FALSE()),""))</f>
        <v>0.621111876107332</v>
      </c>
      <c r="H430" s="72" t="str">
        <f aca="false">IFERROR(VLOOKUP(C430,$AS$3:$AY$10,7,FALSE()),IFERROR(VLOOKUP(C430,$AS$15:$AY$22,7,FALSE()),""))</f>
        <v>🟢 VERDE</v>
      </c>
      <c r="I430" s="72" t="str">
        <f aca="false">IFERROR(VLOOKUP(C430,$AS$3:$AZ$10,8,FALSE()),IFERROR(VLOOKUP(C430,$AS$15:$AZ$22,8,FALSE()),""))</f>
        <v>JBP</v>
      </c>
      <c r="J430" s="73"/>
      <c r="K430" s="69" t="s">
        <v>107</v>
      </c>
      <c r="L430" s="74" t="n">
        <v>1668.78</v>
      </c>
      <c r="M430" s="75" t="n">
        <v>117.27</v>
      </c>
      <c r="N430" s="75" t="n">
        <v>122.54</v>
      </c>
      <c r="O430" s="75" t="n">
        <v>125.5</v>
      </c>
      <c r="P430" s="75" t="n">
        <v>128.76</v>
      </c>
      <c r="Q430" s="75" t="n">
        <v>132.98</v>
      </c>
      <c r="R430" s="75" t="n">
        <v>136.46</v>
      </c>
      <c r="S430" s="75" t="n">
        <v>141.74</v>
      </c>
      <c r="T430" s="75" t="n">
        <v>145.22</v>
      </c>
      <c r="U430" s="75" t="n">
        <v>148.49</v>
      </c>
      <c r="V430" s="75" t="n">
        <v>152.18</v>
      </c>
      <c r="W430" s="75" t="n">
        <v>156.18</v>
      </c>
      <c r="X430" s="76" t="n">
        <v>161.46</v>
      </c>
      <c r="Y430" s="77" t="s">
        <v>20</v>
      </c>
      <c r="Z430" s="78" t="n">
        <f aca="false">SUM(AA430:AL430)</f>
        <v>671.1</v>
      </c>
      <c r="AA430" s="75"/>
      <c r="AB430" s="75"/>
      <c r="AC430" s="75"/>
      <c r="AD430" s="75"/>
      <c r="AE430" s="79" t="n">
        <v>671.1</v>
      </c>
      <c r="AF430" s="75"/>
      <c r="AG430" s="75"/>
      <c r="AH430" s="75"/>
      <c r="AI430" s="75"/>
      <c r="AJ430" s="75"/>
      <c r="AK430" s="75"/>
      <c r="AL430" s="76"/>
      <c r="AM430" s="56" t="s">
        <v>20</v>
      </c>
      <c r="AN430" s="80" t="n">
        <f aca="false">IF(L430=0,0,Z430/L430)</f>
        <v>0.40215007370654</v>
      </c>
      <c r="AO430" s="81" t="str">
        <f aca="false">IF(AN430="","",IF(AN430&gt;=0.9,"🟢",IF(AN430&gt;=0.7,"🟡",IF(AN430&gt;=0.5,"🟠","🔴"))))</f>
        <v>🔴</v>
      </c>
      <c r="AP430" s="82" t="n">
        <f aca="false">IF(L430=0,0,L430-Z430)</f>
        <v>997.68</v>
      </c>
      <c r="AQ430" s="83" t="n">
        <f aca="false">IF(AP430=0,"",RANK(AP430,AP$4:AP$503,0))</f>
        <v>386</v>
      </c>
      <c r="AR430" s="84" t="s">
        <v>20</v>
      </c>
      <c r="AS430" s="141"/>
      <c r="AT430" s="141"/>
      <c r="AU430" s="141"/>
      <c r="AV430" s="141"/>
      <c r="AW430" s="141"/>
      <c r="AX430" s="141"/>
      <c r="AY430" s="142"/>
      <c r="AZ430" s="142"/>
      <c r="BA430" s="56" t="s">
        <v>20</v>
      </c>
      <c r="BB430" s="91" t="n">
        <f aca="false">SUM(L$4:L$503)/COUNTA(A$4:A$503)</f>
        <v>9494.39992</v>
      </c>
      <c r="BC430" s="92" t="n">
        <f aca="false">SUM(M$4:M$503)/COUNTA(A$4:A$503)</f>
        <v>667.20008</v>
      </c>
      <c r="BD430" s="92" t="n">
        <f aca="false">SUM(N$4:N$503)/COUNTA(A$4:A$503)</f>
        <v>697.19996</v>
      </c>
      <c r="BE430" s="92" t="n">
        <f aca="false">SUM(O$4:O$503)/COUNTA(A$4:A$503)</f>
        <v>713.9999</v>
      </c>
      <c r="BF430" s="92" t="n">
        <f aca="false">SUM(P$4:P$503)/COUNTA(A$4:A$503)</f>
        <v>732.59984</v>
      </c>
      <c r="BG430" s="92" t="n">
        <f aca="false">SUM(Q$4:Q$503)/COUNTA(A$4:A$503)</f>
        <v>756.59992</v>
      </c>
      <c r="BH430" s="92" t="n">
        <f aca="false">SUM(R$4:R$503)/COUNTA(A$4:A$503)</f>
        <v>776.40004</v>
      </c>
      <c r="BI430" s="92" t="n">
        <f aca="false">SUM(S$4:S$503)/COUNTA(A$4:A$503)</f>
        <v>806.40012</v>
      </c>
      <c r="BJ430" s="92" t="n">
        <f aca="false">SUM(T$4:T$503)/COUNTA(A$4:A$503)</f>
        <v>826.1999</v>
      </c>
      <c r="BK430" s="92" t="n">
        <f aca="false">SUM(U$4:U$503)/COUNTA(A$4:A$503)</f>
        <v>844.8002</v>
      </c>
      <c r="BL430" s="92" t="n">
        <f aca="false">SUM(V$4:V$503)/COUNTA(A$4:A$503)</f>
        <v>865.7998</v>
      </c>
      <c r="BM430" s="92" t="n">
        <f aca="false">SUM(W$4:W$503)/COUNTA(A$4:A$503)</f>
        <v>888.59982</v>
      </c>
      <c r="BN430" s="93" t="n">
        <f aca="false">SUM(X$4:X$503)/COUNTA(A$4:A$503)</f>
        <v>918.60034</v>
      </c>
      <c r="BO430" s="94" t="s">
        <v>20</v>
      </c>
      <c r="BP430" s="91" t="n">
        <f aca="false">IF(Z430&gt;=BB430,0,IFERROR(BB430+(SUMPRODUCT((Z$4:Z$503&gt;=BB$4:BB$503)*(Z$4:Z$503-BB$4:BB$503))/MAX(1,COUNTIF(Z$4:Z$503,"&lt;"&amp;BB430+0.01))),BB430))</f>
        <v>10695.5432177778</v>
      </c>
      <c r="BQ430" s="92" t="n">
        <f aca="false">IF(AA430&gt;=BC430,0,IFERROR(BC430+SUMPRODUCT((AA$4:AA$503&gt;=BC$4:BC$503)*(AA$4:AA$503-BC$4:BC$503))/MAX(1,COUNTIF(AA$4:AA$503,"&lt;"&amp;BC430+0.01)),BC430))</f>
        <v>2238.46589176471</v>
      </c>
      <c r="BR430" s="92" t="n">
        <f aca="false">IF(AB430&gt;=BD430,0,IFERROR(BD430+SUMPRODUCT((AB$4:AB$503&gt;=BD$4:BD$503)*(AB$4:AB$503-BD$4:BD$503))/MAX(1,COUNTIF(AB$4:AB$503,"&lt;"&amp;BD430+0.01)),BD430))</f>
        <v>3335.2938</v>
      </c>
      <c r="BS430" s="92" t="n">
        <f aca="false">IF(AC430&gt;=BE430,0,IFERROR(BE430+SUMPRODUCT((AC$4:AC$503&gt;=BE$4:BE$503)*(AC$4:AC$503-BE$4:BE$503))/MAX(1,COUNTIF(AC$4:AC$503,"&lt;"&amp;BE430+0.01)),BE430))</f>
        <v>6188.73352</v>
      </c>
      <c r="BT430" s="92" t="n">
        <f aca="false">IF(AD430&gt;=BF430,0,IFERROR(BF430+SUMPRODUCT((AD$4:AD$503&gt;=BF$4:BF$503)*(AD$4:AD$503-BF$4:BF$503))/MAX(1,COUNTIF(AD$4:AD$503,"&lt;"&amp;BF430+0.01)),BF430))</f>
        <v>11354.35411</v>
      </c>
      <c r="BU430" s="92" t="n">
        <f aca="false">IF(AE430&gt;=BG430,0,IFERROR(BG430+SUMPRODUCT((AE$4:AE$503&gt;=BG$4:BG$503)*(AE$4:AE$503-BG$4:BG$503))/MAX(1,COUNTIF(AE$4:AE$503,"&lt;"&amp;BG430+0.01)),BG430))</f>
        <v>7704.85920380952</v>
      </c>
      <c r="BV430" s="92" t="n">
        <f aca="false">IF(AF430&gt;=BH430,0,IFERROR(BH430+SUMPRODUCT((AF$4:AF$503&gt;=BH$4:BH$503)*(AF$4:AF$503-BH$4:BH$503))/MAX(1,COUNTIF(AF$4:AF$503,"&lt;"&amp;BH430+0.01)),BH430))</f>
        <v>9942.6503831579</v>
      </c>
      <c r="BW430" s="92" t="n">
        <f aca="false">IF(AG430&gt;=BI430,0,IFERROR(BI430+SUMPRODUCT((AG$4:AG$503&gt;=BI$4:BI$503)*(AG$4:AG$503-BI$4:BI$503))/MAX(1,COUNTIF(AG$4:AG$503,"&lt;"&amp;BI430+0.01)),BI430))</f>
        <v>9142.15870461538</v>
      </c>
      <c r="BX430" s="92" t="n">
        <f aca="false">IF(AH430&gt;=BJ430,0,IFERROR(BJ430+SUMPRODUCT((AH$4:AH$503&gt;=BJ$4:BJ$503)*(AH$4:AH$503-BJ$4:BJ$503))/MAX(1,COUNTIF(AH$4:AH$503,"&lt;"&amp;BJ430+0.01)),BJ430))</f>
        <v>5621.50263448276</v>
      </c>
      <c r="BY430" s="92" t="n">
        <f aca="false">IF(AI430&gt;=BK430,0,IFERROR(BK430+SUMPRODUCT((AI$4:AI$503&gt;=BK$4:BK$503)*(AI$4:AI$503-BK$4:BK$503))/MAX(1,COUNTIF(AI$4:AI$503,"&lt;"&amp;BK430+0.01)),BK430))</f>
        <v>7878.25652380952</v>
      </c>
      <c r="BZ430" s="92" t="n">
        <f aca="false">IF(AJ430&gt;=BL430,0,IFERROR(BL430+SUMPRODUCT((AJ$4:AJ$503&gt;=BL$4:BL$503)*(AJ$4:AJ$503-BL$4:BL$503))/MAX(1,COUNTIF(AJ$4:AJ$503,"&lt;"&amp;BL430+0.01)),BL430))</f>
        <v>6710.03292307692</v>
      </c>
      <c r="CA430" s="92" t="n">
        <f aca="false">IF(AK430&gt;=BM430,0,IFERROR(BM430+SUMPRODUCT((AK$4:AK$503&gt;=BM$4:BM$503)*(AK$4:AK$503-BM$4:BM$503))/MAX(1,COUNTIF(AK$4:AK$503,"&lt;"&amp;BM430+0.01)),BM430))</f>
        <v>7314.89836842105</v>
      </c>
      <c r="CB430" s="93" t="n">
        <f aca="false">IF(AL430&gt;=BN430,0,IFERROR(BN430+SUMPRODUCT((AL$4:AL$503&gt;=BN$4:BN$503)*(AL$4:AL$503-BN$4:BN$503))/MAX(1,COUNTIF(AL$4:AL$503,"&lt;"&amp;BN430+0.01)),BN430))</f>
        <v>3597.2614925</v>
      </c>
      <c r="CC430" s="95" t="str">
        <f aca="false">IF(AO430="🟢","VERDE",IF(AO430="🟡","AMARELO",IF(AO430="🟠","VERMELHO",IF(AO430="🔴","VERMELHO","ROXO"))))</f>
        <v>VERMELHO</v>
      </c>
      <c r="CD430" s="96" t="s">
        <v>176</v>
      </c>
      <c r="CE430" s="96" t="s">
        <v>110</v>
      </c>
    </row>
    <row r="431" customFormat="false" ht="14.25" hidden="false" customHeight="true" outlineLevel="0" collapsed="false">
      <c r="A431" s="65" t="s">
        <v>995</v>
      </c>
      <c r="B431" s="66" t="s">
        <v>996</v>
      </c>
      <c r="C431" s="67" t="s">
        <v>158</v>
      </c>
      <c r="D431" s="68" t="s">
        <v>100</v>
      </c>
      <c r="E431" s="69" t="s">
        <v>243</v>
      </c>
      <c r="F431" s="70" t="n">
        <f aca="false">IFERROR(VLOOKUP(C431,$AS$3:$AT$10,2,FALSE()),IFERROR(VLOOKUP(C431,$AS$15:$AT$22,2,FALSE()),""))</f>
        <v>29</v>
      </c>
      <c r="G431" s="71" t="n">
        <f aca="false">IFERROR(VLOOKUP(C431,$AS$3:$AX$10,6,FALSE()),IFERROR(VLOOKUP(C431,$AS$15:$AX$22,6,FALSE()),""))</f>
        <v>0.458564072601712</v>
      </c>
      <c r="H431" s="72" t="str">
        <f aca="false">IFERROR(VLOOKUP(C431,$AS$3:$AY$10,7,FALSE()),IFERROR(VLOOKUP(C431,$AS$15:$AY$22,7,FALSE()),""))</f>
        <v>🟡 AMARELO</v>
      </c>
      <c r="I431" s="72" t="str">
        <f aca="false">IFERROR(VLOOKUP(C431,$AS$3:$AZ$10,8,FALSE()),IFERROR(VLOOKUP(C431,$AS$15:$AZ$22,8,FALSE()),""))</f>
        <v>Sell Out</v>
      </c>
      <c r="J431" s="73"/>
      <c r="K431" s="69" t="s">
        <v>158</v>
      </c>
      <c r="L431" s="74" t="n">
        <v>1668.11</v>
      </c>
      <c r="M431" s="75" t="n">
        <v>117.22</v>
      </c>
      <c r="N431" s="75" t="n">
        <v>122.49</v>
      </c>
      <c r="O431" s="75" t="n">
        <v>125.45</v>
      </c>
      <c r="P431" s="75" t="n">
        <v>128.71</v>
      </c>
      <c r="Q431" s="75" t="n">
        <v>132.93</v>
      </c>
      <c r="R431" s="75" t="n">
        <v>136.41</v>
      </c>
      <c r="S431" s="75" t="n">
        <v>141.68</v>
      </c>
      <c r="T431" s="75" t="n">
        <v>145.16</v>
      </c>
      <c r="U431" s="75" t="n">
        <v>148.43</v>
      </c>
      <c r="V431" s="75" t="n">
        <v>152.12</v>
      </c>
      <c r="W431" s="75" t="n">
        <v>156.12</v>
      </c>
      <c r="X431" s="76" t="n">
        <v>161.39</v>
      </c>
      <c r="Y431" s="77" t="s">
        <v>20</v>
      </c>
      <c r="Z431" s="78" t="n">
        <f aca="false">SUM(AA431:AL431)</f>
        <v>670.83</v>
      </c>
      <c r="AA431" s="75"/>
      <c r="AB431" s="75"/>
      <c r="AC431" s="75"/>
      <c r="AD431" s="75"/>
      <c r="AE431" s="79" t="n">
        <v>670.83</v>
      </c>
      <c r="AF431" s="75"/>
      <c r="AG431" s="75"/>
      <c r="AH431" s="75"/>
      <c r="AI431" s="75"/>
      <c r="AJ431" s="75"/>
      <c r="AK431" s="75"/>
      <c r="AL431" s="76"/>
      <c r="AM431" s="56" t="s">
        <v>20</v>
      </c>
      <c r="AN431" s="80" t="n">
        <f aca="false">IF(L431=0,0,Z431/L431)</f>
        <v>0.402149738326609</v>
      </c>
      <c r="AO431" s="81" t="str">
        <f aca="false">IF(AN431="","",IF(AN431&gt;=0.9,"🟢",IF(AN431&gt;=0.7,"🟡",IF(AN431&gt;=0.5,"🟠","🔴"))))</f>
        <v>🔴</v>
      </c>
      <c r="AP431" s="82" t="n">
        <f aca="false">IF(L431=0,0,L431-Z431)</f>
        <v>997.28</v>
      </c>
      <c r="AQ431" s="83" t="n">
        <f aca="false">IF(AP431=0,"",RANK(AP431,AP$4:AP$503,0))</f>
        <v>387</v>
      </c>
      <c r="AR431" s="84" t="s">
        <v>20</v>
      </c>
      <c r="AS431" s="141"/>
      <c r="AT431" s="141"/>
      <c r="AU431" s="141"/>
      <c r="AV431" s="141"/>
      <c r="AW431" s="141"/>
      <c r="AX431" s="141"/>
      <c r="AY431" s="142"/>
      <c r="AZ431" s="142"/>
      <c r="BA431" s="56" t="s">
        <v>20</v>
      </c>
      <c r="BB431" s="91" t="n">
        <f aca="false">SUM(L$4:L$503)/COUNTA(A$4:A$503)</f>
        <v>9494.39992</v>
      </c>
      <c r="BC431" s="92" t="n">
        <f aca="false">SUM(M$4:M$503)/COUNTA(A$4:A$503)</f>
        <v>667.20008</v>
      </c>
      <c r="BD431" s="92" t="n">
        <f aca="false">SUM(N$4:N$503)/COUNTA(A$4:A$503)</f>
        <v>697.19996</v>
      </c>
      <c r="BE431" s="92" t="n">
        <f aca="false">SUM(O$4:O$503)/COUNTA(A$4:A$503)</f>
        <v>713.9999</v>
      </c>
      <c r="BF431" s="92" t="n">
        <f aca="false">SUM(P$4:P$503)/COUNTA(A$4:A$503)</f>
        <v>732.59984</v>
      </c>
      <c r="BG431" s="92" t="n">
        <f aca="false">SUM(Q$4:Q$503)/COUNTA(A$4:A$503)</f>
        <v>756.59992</v>
      </c>
      <c r="BH431" s="92" t="n">
        <f aca="false">SUM(R$4:R$503)/COUNTA(A$4:A$503)</f>
        <v>776.40004</v>
      </c>
      <c r="BI431" s="92" t="n">
        <f aca="false">SUM(S$4:S$503)/COUNTA(A$4:A$503)</f>
        <v>806.40012</v>
      </c>
      <c r="BJ431" s="92" t="n">
        <f aca="false">SUM(T$4:T$503)/COUNTA(A$4:A$503)</f>
        <v>826.1999</v>
      </c>
      <c r="BK431" s="92" t="n">
        <f aca="false">SUM(U$4:U$503)/COUNTA(A$4:A$503)</f>
        <v>844.8002</v>
      </c>
      <c r="BL431" s="92" t="n">
        <f aca="false">SUM(V$4:V$503)/COUNTA(A$4:A$503)</f>
        <v>865.7998</v>
      </c>
      <c r="BM431" s="92" t="n">
        <f aca="false">SUM(W$4:W$503)/COUNTA(A$4:A$503)</f>
        <v>888.59982</v>
      </c>
      <c r="BN431" s="93" t="n">
        <f aca="false">SUM(X$4:X$503)/COUNTA(A$4:A$503)</f>
        <v>918.60034</v>
      </c>
      <c r="BO431" s="94" t="s">
        <v>20</v>
      </c>
      <c r="BP431" s="91" t="n">
        <f aca="false">IF(Z431&gt;=BB431,0,IFERROR(BB431+(SUMPRODUCT((Z$4:Z$503&gt;=BB$4:BB$503)*(Z$4:Z$503-BB$4:BB$503))/MAX(1,COUNTIF(Z$4:Z$503,"&lt;"&amp;BB431+0.01))),BB431))</f>
        <v>10695.5432177778</v>
      </c>
      <c r="BQ431" s="92" t="n">
        <f aca="false">IF(AA431&gt;=BC431,0,IFERROR(BC431+SUMPRODUCT((AA$4:AA$503&gt;=BC$4:BC$503)*(AA$4:AA$503-BC$4:BC$503))/MAX(1,COUNTIF(AA$4:AA$503,"&lt;"&amp;BC431+0.01)),BC431))</f>
        <v>2238.46589176471</v>
      </c>
      <c r="BR431" s="92" t="n">
        <f aca="false">IF(AB431&gt;=BD431,0,IFERROR(BD431+SUMPRODUCT((AB$4:AB$503&gt;=BD$4:BD$503)*(AB$4:AB$503-BD$4:BD$503))/MAX(1,COUNTIF(AB$4:AB$503,"&lt;"&amp;BD431+0.01)),BD431))</f>
        <v>3335.2938</v>
      </c>
      <c r="BS431" s="92" t="n">
        <f aca="false">IF(AC431&gt;=BE431,0,IFERROR(BE431+SUMPRODUCT((AC$4:AC$503&gt;=BE$4:BE$503)*(AC$4:AC$503-BE$4:BE$503))/MAX(1,COUNTIF(AC$4:AC$503,"&lt;"&amp;BE431+0.01)),BE431))</f>
        <v>6188.73352</v>
      </c>
      <c r="BT431" s="92" t="n">
        <f aca="false">IF(AD431&gt;=BF431,0,IFERROR(BF431+SUMPRODUCT((AD$4:AD$503&gt;=BF$4:BF$503)*(AD$4:AD$503-BF$4:BF$503))/MAX(1,COUNTIF(AD$4:AD$503,"&lt;"&amp;BF431+0.01)),BF431))</f>
        <v>11354.35411</v>
      </c>
      <c r="BU431" s="92" t="n">
        <f aca="false">IF(AE431&gt;=BG431,0,IFERROR(BG431+SUMPRODUCT((AE$4:AE$503&gt;=BG$4:BG$503)*(AE$4:AE$503-BG$4:BG$503))/MAX(1,COUNTIF(AE$4:AE$503,"&lt;"&amp;BG431+0.01)),BG431))</f>
        <v>7704.85920380952</v>
      </c>
      <c r="BV431" s="92" t="n">
        <f aca="false">IF(AF431&gt;=BH431,0,IFERROR(BH431+SUMPRODUCT((AF$4:AF$503&gt;=BH$4:BH$503)*(AF$4:AF$503-BH$4:BH$503))/MAX(1,COUNTIF(AF$4:AF$503,"&lt;"&amp;BH431+0.01)),BH431))</f>
        <v>9942.6503831579</v>
      </c>
      <c r="BW431" s="92" t="n">
        <f aca="false">IF(AG431&gt;=BI431,0,IFERROR(BI431+SUMPRODUCT((AG$4:AG$503&gt;=BI$4:BI$503)*(AG$4:AG$503-BI$4:BI$503))/MAX(1,COUNTIF(AG$4:AG$503,"&lt;"&amp;BI431+0.01)),BI431))</f>
        <v>9142.15870461538</v>
      </c>
      <c r="BX431" s="92" t="n">
        <f aca="false">IF(AH431&gt;=BJ431,0,IFERROR(BJ431+SUMPRODUCT((AH$4:AH$503&gt;=BJ$4:BJ$503)*(AH$4:AH$503-BJ$4:BJ$503))/MAX(1,COUNTIF(AH$4:AH$503,"&lt;"&amp;BJ431+0.01)),BJ431))</f>
        <v>5621.50263448276</v>
      </c>
      <c r="BY431" s="92" t="n">
        <f aca="false">IF(AI431&gt;=BK431,0,IFERROR(BK431+SUMPRODUCT((AI$4:AI$503&gt;=BK$4:BK$503)*(AI$4:AI$503-BK$4:BK$503))/MAX(1,COUNTIF(AI$4:AI$503,"&lt;"&amp;BK431+0.01)),BK431))</f>
        <v>7878.25652380952</v>
      </c>
      <c r="BZ431" s="92" t="n">
        <f aca="false">IF(AJ431&gt;=BL431,0,IFERROR(BL431+SUMPRODUCT((AJ$4:AJ$503&gt;=BL$4:BL$503)*(AJ$4:AJ$503-BL$4:BL$503))/MAX(1,COUNTIF(AJ$4:AJ$503,"&lt;"&amp;BL431+0.01)),BL431))</f>
        <v>6710.03292307692</v>
      </c>
      <c r="CA431" s="92" t="n">
        <f aca="false">IF(AK431&gt;=BM431,0,IFERROR(BM431+SUMPRODUCT((AK$4:AK$503&gt;=BM$4:BM$503)*(AK$4:AK$503-BM$4:BM$503))/MAX(1,COUNTIF(AK$4:AK$503,"&lt;"&amp;BM431+0.01)),BM431))</f>
        <v>7314.89836842105</v>
      </c>
      <c r="CB431" s="93" t="n">
        <f aca="false">IF(AL431&gt;=BN431,0,IFERROR(BN431+SUMPRODUCT((AL$4:AL$503&gt;=BN$4:BN$503)*(AL$4:AL$503-BN$4:BN$503))/MAX(1,COUNTIF(AL$4:AL$503,"&lt;"&amp;BN431+0.01)),BN431))</f>
        <v>3597.2614925</v>
      </c>
      <c r="CC431" s="95" t="str">
        <f aca="false">IF(AO431="🟢","VERDE",IF(AO431="🟡","AMARELO",IF(AO431="🟠","VERMELHO",IF(AO431="🔴","VERMELHO","ROXO"))))</f>
        <v>VERMELHO</v>
      </c>
      <c r="CD431" s="96" t="s">
        <v>103</v>
      </c>
      <c r="CE431" s="96" t="s">
        <v>104</v>
      </c>
    </row>
    <row r="432" customFormat="false" ht="14.25" hidden="false" customHeight="true" outlineLevel="0" collapsed="false">
      <c r="A432" s="65" t="s">
        <v>997</v>
      </c>
      <c r="B432" s="66" t="s">
        <v>998</v>
      </c>
      <c r="C432" s="67" t="s">
        <v>149</v>
      </c>
      <c r="D432" s="68" t="s">
        <v>100</v>
      </c>
      <c r="E432" s="69" t="s">
        <v>119</v>
      </c>
      <c r="F432" s="70" t="n">
        <f aca="false">IFERROR(VLOOKUP(C432,$AS$3:$AT$10,2,FALSE()),IFERROR(VLOOKUP(C432,$AS$15:$AT$22,2,FALSE()),""))</f>
        <v>29</v>
      </c>
      <c r="G432" s="71" t="n">
        <f aca="false">IFERROR(VLOOKUP(C432,$AS$3:$AX$10,6,FALSE()),IFERROR(VLOOKUP(C432,$AS$15:$AX$22,6,FALSE()),""))</f>
        <v>0.425845065256079</v>
      </c>
      <c r="H432" s="72" t="str">
        <f aca="false">IFERROR(VLOOKUP(C432,$AS$3:$AY$10,7,FALSE()),IFERROR(VLOOKUP(C432,$AS$15:$AY$22,7,FALSE()),""))</f>
        <v>🟡 AMARELO</v>
      </c>
      <c r="I432" s="72" t="str">
        <f aca="false">IFERROR(VLOOKUP(C432,$AS$3:$AZ$10,8,FALSE()),IFERROR(VLOOKUP(C432,$AS$15:$AZ$22,8,FALSE()),""))</f>
        <v>Sell Out</v>
      </c>
      <c r="J432" s="73"/>
      <c r="K432" s="69" t="s">
        <v>149</v>
      </c>
      <c r="L432" s="74" t="n">
        <v>1663.92</v>
      </c>
      <c r="M432" s="75" t="n">
        <v>116.93</v>
      </c>
      <c r="N432" s="75" t="n">
        <v>122.19</v>
      </c>
      <c r="O432" s="75" t="n">
        <v>125.13</v>
      </c>
      <c r="P432" s="75" t="n">
        <v>128.39</v>
      </c>
      <c r="Q432" s="75" t="n">
        <v>132.6</v>
      </c>
      <c r="R432" s="75" t="n">
        <v>136.07</v>
      </c>
      <c r="S432" s="75" t="n">
        <v>141.32</v>
      </c>
      <c r="T432" s="75" t="n">
        <v>144.79</v>
      </c>
      <c r="U432" s="75" t="n">
        <v>148.05</v>
      </c>
      <c r="V432" s="75" t="n">
        <v>151.73</v>
      </c>
      <c r="W432" s="75" t="n">
        <v>155.73</v>
      </c>
      <c r="X432" s="76" t="n">
        <v>160.99</v>
      </c>
      <c r="Y432" s="77" t="s">
        <v>20</v>
      </c>
      <c r="Z432" s="78" t="n">
        <f aca="false">SUM(AA432:AL432)</f>
        <v>669.15</v>
      </c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107" t="n">
        <v>669.15</v>
      </c>
      <c r="AM432" s="56" t="s">
        <v>20</v>
      </c>
      <c r="AN432" s="80" t="n">
        <f aca="false">IF(L432=0,0,Z432/L432)</f>
        <v>0.402152747728256</v>
      </c>
      <c r="AO432" s="81" t="str">
        <f aca="false">IF(AN432="","",IF(AN432&gt;=0.9,"🟢",IF(AN432&gt;=0.7,"🟡",IF(AN432&gt;=0.5,"🟠","🔴"))))</f>
        <v>🔴</v>
      </c>
      <c r="AP432" s="82" t="n">
        <f aca="false">IF(L432=0,0,L432-Z432)</f>
        <v>994.77</v>
      </c>
      <c r="AQ432" s="83" t="n">
        <f aca="false">IF(AP432=0,"",RANK(AP432,AP$4:AP$503,0))</f>
        <v>388</v>
      </c>
      <c r="AR432" s="84" t="s">
        <v>20</v>
      </c>
      <c r="AS432" s="141"/>
      <c r="AT432" s="141"/>
      <c r="AU432" s="141"/>
      <c r="AV432" s="141"/>
      <c r="AW432" s="141"/>
      <c r="AX432" s="141"/>
      <c r="AY432" s="142"/>
      <c r="AZ432" s="142"/>
      <c r="BA432" s="56" t="s">
        <v>20</v>
      </c>
      <c r="BB432" s="91" t="n">
        <f aca="false">SUM(L$4:L$503)/COUNTA(A$4:A$503)</f>
        <v>9494.39992</v>
      </c>
      <c r="BC432" s="92" t="n">
        <f aca="false">SUM(M$4:M$503)/COUNTA(A$4:A$503)</f>
        <v>667.20008</v>
      </c>
      <c r="BD432" s="92" t="n">
        <f aca="false">SUM(N$4:N$503)/COUNTA(A$4:A$503)</f>
        <v>697.19996</v>
      </c>
      <c r="BE432" s="92" t="n">
        <f aca="false">SUM(O$4:O$503)/COUNTA(A$4:A$503)</f>
        <v>713.9999</v>
      </c>
      <c r="BF432" s="92" t="n">
        <f aca="false">SUM(P$4:P$503)/COUNTA(A$4:A$503)</f>
        <v>732.59984</v>
      </c>
      <c r="BG432" s="92" t="n">
        <f aca="false">SUM(Q$4:Q$503)/COUNTA(A$4:A$503)</f>
        <v>756.59992</v>
      </c>
      <c r="BH432" s="92" t="n">
        <f aca="false">SUM(R$4:R$503)/COUNTA(A$4:A$503)</f>
        <v>776.40004</v>
      </c>
      <c r="BI432" s="92" t="n">
        <f aca="false">SUM(S$4:S$503)/COUNTA(A$4:A$503)</f>
        <v>806.40012</v>
      </c>
      <c r="BJ432" s="92" t="n">
        <f aca="false">SUM(T$4:T$503)/COUNTA(A$4:A$503)</f>
        <v>826.1999</v>
      </c>
      <c r="BK432" s="92" t="n">
        <f aca="false">SUM(U$4:U$503)/COUNTA(A$4:A$503)</f>
        <v>844.8002</v>
      </c>
      <c r="BL432" s="92" t="n">
        <f aca="false">SUM(V$4:V$503)/COUNTA(A$4:A$503)</f>
        <v>865.7998</v>
      </c>
      <c r="BM432" s="92" t="n">
        <f aca="false">SUM(W$4:W$503)/COUNTA(A$4:A$503)</f>
        <v>888.59982</v>
      </c>
      <c r="BN432" s="93" t="n">
        <f aca="false">SUM(X$4:X$503)/COUNTA(A$4:A$503)</f>
        <v>918.60034</v>
      </c>
      <c r="BO432" s="94" t="s">
        <v>20</v>
      </c>
      <c r="BP432" s="91" t="n">
        <f aca="false">IF(Z432&gt;=BB432,0,IFERROR(BB432+(SUMPRODUCT((Z$4:Z$503&gt;=BB$4:BB$503)*(Z$4:Z$503-BB$4:BB$503))/MAX(1,COUNTIF(Z$4:Z$503,"&lt;"&amp;BB432+0.01))),BB432))</f>
        <v>10695.5432177778</v>
      </c>
      <c r="BQ432" s="92" t="n">
        <f aca="false">IF(AA432&gt;=BC432,0,IFERROR(BC432+SUMPRODUCT((AA$4:AA$503&gt;=BC$4:BC$503)*(AA$4:AA$503-BC$4:BC$503))/MAX(1,COUNTIF(AA$4:AA$503,"&lt;"&amp;BC432+0.01)),BC432))</f>
        <v>2238.46589176471</v>
      </c>
      <c r="BR432" s="92" t="n">
        <f aca="false">IF(AB432&gt;=BD432,0,IFERROR(BD432+SUMPRODUCT((AB$4:AB$503&gt;=BD$4:BD$503)*(AB$4:AB$503-BD$4:BD$503))/MAX(1,COUNTIF(AB$4:AB$503,"&lt;"&amp;BD432+0.01)),BD432))</f>
        <v>3335.2938</v>
      </c>
      <c r="BS432" s="92" t="n">
        <f aca="false">IF(AC432&gt;=BE432,0,IFERROR(BE432+SUMPRODUCT((AC$4:AC$503&gt;=BE$4:BE$503)*(AC$4:AC$503-BE$4:BE$503))/MAX(1,COUNTIF(AC$4:AC$503,"&lt;"&amp;BE432+0.01)),BE432))</f>
        <v>6188.73352</v>
      </c>
      <c r="BT432" s="92" t="n">
        <f aca="false">IF(AD432&gt;=BF432,0,IFERROR(BF432+SUMPRODUCT((AD$4:AD$503&gt;=BF$4:BF$503)*(AD$4:AD$503-BF$4:BF$503))/MAX(1,COUNTIF(AD$4:AD$503,"&lt;"&amp;BF432+0.01)),BF432))</f>
        <v>11354.35411</v>
      </c>
      <c r="BU432" s="92" t="n">
        <f aca="false">IF(AE432&gt;=BG432,0,IFERROR(BG432+SUMPRODUCT((AE$4:AE$503&gt;=BG$4:BG$503)*(AE$4:AE$503-BG$4:BG$503))/MAX(1,COUNTIF(AE$4:AE$503,"&lt;"&amp;BG432+0.01)),BG432))</f>
        <v>7704.85920380952</v>
      </c>
      <c r="BV432" s="92" t="n">
        <f aca="false">IF(AF432&gt;=BH432,0,IFERROR(BH432+SUMPRODUCT((AF$4:AF$503&gt;=BH$4:BH$503)*(AF$4:AF$503-BH$4:BH$503))/MAX(1,COUNTIF(AF$4:AF$503,"&lt;"&amp;BH432+0.01)),BH432))</f>
        <v>9942.6503831579</v>
      </c>
      <c r="BW432" s="92" t="n">
        <f aca="false">IF(AG432&gt;=BI432,0,IFERROR(BI432+SUMPRODUCT((AG$4:AG$503&gt;=BI$4:BI$503)*(AG$4:AG$503-BI$4:BI$503))/MAX(1,COUNTIF(AG$4:AG$503,"&lt;"&amp;BI432+0.01)),BI432))</f>
        <v>9142.15870461538</v>
      </c>
      <c r="BX432" s="92" t="n">
        <f aca="false">IF(AH432&gt;=BJ432,0,IFERROR(BJ432+SUMPRODUCT((AH$4:AH$503&gt;=BJ$4:BJ$503)*(AH$4:AH$503-BJ$4:BJ$503))/MAX(1,COUNTIF(AH$4:AH$503,"&lt;"&amp;BJ432+0.01)),BJ432))</f>
        <v>5621.50263448276</v>
      </c>
      <c r="BY432" s="92" t="n">
        <f aca="false">IF(AI432&gt;=BK432,0,IFERROR(BK432+SUMPRODUCT((AI$4:AI$503&gt;=BK$4:BK$503)*(AI$4:AI$503-BK$4:BK$503))/MAX(1,COUNTIF(AI$4:AI$503,"&lt;"&amp;BK432+0.01)),BK432))</f>
        <v>7878.25652380952</v>
      </c>
      <c r="BZ432" s="92" t="n">
        <f aca="false">IF(AJ432&gt;=BL432,0,IFERROR(BL432+SUMPRODUCT((AJ$4:AJ$503&gt;=BL$4:BL$503)*(AJ$4:AJ$503-BL$4:BL$503))/MAX(1,COUNTIF(AJ$4:AJ$503,"&lt;"&amp;BL432+0.01)),BL432))</f>
        <v>6710.03292307692</v>
      </c>
      <c r="CA432" s="92" t="n">
        <f aca="false">IF(AK432&gt;=BM432,0,IFERROR(BM432+SUMPRODUCT((AK$4:AK$503&gt;=BM$4:BM$503)*(AK$4:AK$503-BM$4:BM$503))/MAX(1,COUNTIF(AK$4:AK$503,"&lt;"&amp;BM432+0.01)),BM432))</f>
        <v>7314.89836842105</v>
      </c>
      <c r="CB432" s="93" t="n">
        <f aca="false">IF(AL432&gt;=BN432,0,IFERROR(BN432+SUMPRODUCT((AL$4:AL$503&gt;=BN$4:BN$503)*(AL$4:AL$503-BN$4:BN$503))/MAX(1,COUNTIF(AL$4:AL$503,"&lt;"&amp;BN432+0.01)),BN432))</f>
        <v>3597.2614925</v>
      </c>
      <c r="CC432" s="95" t="str">
        <f aca="false">IF(AO432="🟢","VERDE",IF(AO432="🟡","AMARELO",IF(AO432="🟠","VERMELHO",IF(AO432="🔴","VERMELHO","ROXO"))))</f>
        <v>VERMELHO</v>
      </c>
      <c r="CD432" s="96" t="s">
        <v>103</v>
      </c>
      <c r="CE432" s="96" t="s">
        <v>104</v>
      </c>
    </row>
    <row r="433" customFormat="false" ht="14.25" hidden="false" customHeight="true" outlineLevel="0" collapsed="false">
      <c r="A433" s="65" t="s">
        <v>999</v>
      </c>
      <c r="B433" s="66" t="s">
        <v>1000</v>
      </c>
      <c r="C433" s="67" t="s">
        <v>158</v>
      </c>
      <c r="D433" s="68" t="s">
        <v>100</v>
      </c>
      <c r="E433" s="69" t="s">
        <v>243</v>
      </c>
      <c r="F433" s="70" t="n">
        <f aca="false">IFERROR(VLOOKUP(C433,$AS$3:$AT$10,2,FALSE()),IFERROR(VLOOKUP(C433,$AS$15:$AT$22,2,FALSE()),""))</f>
        <v>29</v>
      </c>
      <c r="G433" s="71" t="n">
        <f aca="false">IFERROR(VLOOKUP(C433,$AS$3:$AX$10,6,FALSE()),IFERROR(VLOOKUP(C433,$AS$15:$AX$22,6,FALSE()),""))</f>
        <v>0.458564072601712</v>
      </c>
      <c r="H433" s="72" t="str">
        <f aca="false">IFERROR(VLOOKUP(C433,$AS$3:$AY$10,7,FALSE()),IFERROR(VLOOKUP(C433,$AS$15:$AY$22,7,FALSE()),""))</f>
        <v>🟡 AMARELO</v>
      </c>
      <c r="I433" s="72" t="str">
        <f aca="false">IFERROR(VLOOKUP(C433,$AS$3:$AZ$10,8,FALSE()),IFERROR(VLOOKUP(C433,$AS$15:$AZ$22,8,FALSE()),""))</f>
        <v>Sell Out</v>
      </c>
      <c r="J433" s="73"/>
      <c r="K433" s="69" t="s">
        <v>158</v>
      </c>
      <c r="L433" s="74" t="n">
        <v>1658.72</v>
      </c>
      <c r="M433" s="75" t="n">
        <v>116.56</v>
      </c>
      <c r="N433" s="75" t="n">
        <v>121.81</v>
      </c>
      <c r="O433" s="75" t="n">
        <v>124.74</v>
      </c>
      <c r="P433" s="75" t="n">
        <v>127.99</v>
      </c>
      <c r="Q433" s="75" t="n">
        <v>132.18</v>
      </c>
      <c r="R433" s="75" t="n">
        <v>135.64</v>
      </c>
      <c r="S433" s="75" t="n">
        <v>140.88</v>
      </c>
      <c r="T433" s="75" t="n">
        <v>144.34</v>
      </c>
      <c r="U433" s="75" t="n">
        <v>147.59</v>
      </c>
      <c r="V433" s="75" t="n">
        <v>151.26</v>
      </c>
      <c r="W433" s="75" t="n">
        <v>155.24</v>
      </c>
      <c r="X433" s="76" t="n">
        <v>160.49</v>
      </c>
      <c r="Y433" s="77" t="s">
        <v>20</v>
      </c>
      <c r="Z433" s="78" t="n">
        <f aca="false">SUM(AA433:AL433)</f>
        <v>652.51</v>
      </c>
      <c r="AA433" s="75"/>
      <c r="AB433" s="75"/>
      <c r="AC433" s="75"/>
      <c r="AD433" s="75"/>
      <c r="AE433" s="75"/>
      <c r="AF433" s="79" t="n">
        <v>652.51</v>
      </c>
      <c r="AG433" s="75"/>
      <c r="AH433" s="75"/>
      <c r="AI433" s="75"/>
      <c r="AJ433" s="75"/>
      <c r="AK433" s="75"/>
      <c r="AL433" s="76"/>
      <c r="AM433" s="56" t="s">
        <v>20</v>
      </c>
      <c r="AN433" s="80" t="n">
        <f aca="false">IF(L433=0,0,Z433/L433)</f>
        <v>0.393381643677052</v>
      </c>
      <c r="AO433" s="81" t="str">
        <f aca="false">IF(AN433="","",IF(AN433&gt;=0.9,"🟢",IF(AN433&gt;=0.7,"🟡",IF(AN433&gt;=0.5,"🟠","🔴"))))</f>
        <v>🔴</v>
      </c>
      <c r="AP433" s="82" t="n">
        <f aca="false">IF(L433=0,0,L433-Z433)</f>
        <v>1006.21</v>
      </c>
      <c r="AQ433" s="83" t="n">
        <f aca="false">IF(AP433=0,"",RANK(AP433,AP$4:AP$503,0))</f>
        <v>383</v>
      </c>
      <c r="AR433" s="84" t="s">
        <v>20</v>
      </c>
      <c r="AS433" s="141"/>
      <c r="AT433" s="141"/>
      <c r="AU433" s="141"/>
      <c r="AV433" s="141"/>
      <c r="AW433" s="141"/>
      <c r="AX433" s="141"/>
      <c r="AY433" s="142"/>
      <c r="AZ433" s="142"/>
      <c r="BA433" s="56" t="s">
        <v>20</v>
      </c>
      <c r="BB433" s="91" t="n">
        <f aca="false">SUM(L$4:L$503)/COUNTA(A$4:A$503)</f>
        <v>9494.39992</v>
      </c>
      <c r="BC433" s="92" t="n">
        <f aca="false">SUM(M$4:M$503)/COUNTA(A$4:A$503)</f>
        <v>667.20008</v>
      </c>
      <c r="BD433" s="92" t="n">
        <f aca="false">SUM(N$4:N$503)/COUNTA(A$4:A$503)</f>
        <v>697.19996</v>
      </c>
      <c r="BE433" s="92" t="n">
        <f aca="false">SUM(O$4:O$503)/COUNTA(A$4:A$503)</f>
        <v>713.9999</v>
      </c>
      <c r="BF433" s="92" t="n">
        <f aca="false">SUM(P$4:P$503)/COUNTA(A$4:A$503)</f>
        <v>732.59984</v>
      </c>
      <c r="BG433" s="92" t="n">
        <f aca="false">SUM(Q$4:Q$503)/COUNTA(A$4:A$503)</f>
        <v>756.59992</v>
      </c>
      <c r="BH433" s="92" t="n">
        <f aca="false">SUM(R$4:R$503)/COUNTA(A$4:A$503)</f>
        <v>776.40004</v>
      </c>
      <c r="BI433" s="92" t="n">
        <f aca="false">SUM(S$4:S$503)/COUNTA(A$4:A$503)</f>
        <v>806.40012</v>
      </c>
      <c r="BJ433" s="92" t="n">
        <f aca="false">SUM(T$4:T$503)/COUNTA(A$4:A$503)</f>
        <v>826.1999</v>
      </c>
      <c r="BK433" s="92" t="n">
        <f aca="false">SUM(U$4:U$503)/COUNTA(A$4:A$503)</f>
        <v>844.8002</v>
      </c>
      <c r="BL433" s="92" t="n">
        <f aca="false">SUM(V$4:V$503)/COUNTA(A$4:A$503)</f>
        <v>865.7998</v>
      </c>
      <c r="BM433" s="92" t="n">
        <f aca="false">SUM(W$4:W$503)/COUNTA(A$4:A$503)</f>
        <v>888.59982</v>
      </c>
      <c r="BN433" s="93" t="n">
        <f aca="false">SUM(X$4:X$503)/COUNTA(A$4:A$503)</f>
        <v>918.60034</v>
      </c>
      <c r="BO433" s="94" t="s">
        <v>20</v>
      </c>
      <c r="BP433" s="91" t="n">
        <f aca="false">IF(Z433&gt;=BB433,0,IFERROR(BB433+(SUMPRODUCT((Z$4:Z$503&gt;=BB$4:BB$503)*(Z$4:Z$503-BB$4:BB$503))/MAX(1,COUNTIF(Z$4:Z$503,"&lt;"&amp;BB433+0.01))),BB433))</f>
        <v>10695.5432177778</v>
      </c>
      <c r="BQ433" s="92" t="n">
        <f aca="false">IF(AA433&gt;=BC433,0,IFERROR(BC433+SUMPRODUCT((AA$4:AA$503&gt;=BC$4:BC$503)*(AA$4:AA$503-BC$4:BC$503))/MAX(1,COUNTIF(AA$4:AA$503,"&lt;"&amp;BC433+0.01)),BC433))</f>
        <v>2238.46589176471</v>
      </c>
      <c r="BR433" s="92" t="n">
        <f aca="false">IF(AB433&gt;=BD433,0,IFERROR(BD433+SUMPRODUCT((AB$4:AB$503&gt;=BD$4:BD$503)*(AB$4:AB$503-BD$4:BD$503))/MAX(1,COUNTIF(AB$4:AB$503,"&lt;"&amp;BD433+0.01)),BD433))</f>
        <v>3335.2938</v>
      </c>
      <c r="BS433" s="92" t="n">
        <f aca="false">IF(AC433&gt;=BE433,0,IFERROR(BE433+SUMPRODUCT((AC$4:AC$503&gt;=BE$4:BE$503)*(AC$4:AC$503-BE$4:BE$503))/MAX(1,COUNTIF(AC$4:AC$503,"&lt;"&amp;BE433+0.01)),BE433))</f>
        <v>6188.73352</v>
      </c>
      <c r="BT433" s="92" t="n">
        <f aca="false">IF(AD433&gt;=BF433,0,IFERROR(BF433+SUMPRODUCT((AD$4:AD$503&gt;=BF$4:BF$503)*(AD$4:AD$503-BF$4:BF$503))/MAX(1,COUNTIF(AD$4:AD$503,"&lt;"&amp;BF433+0.01)),BF433))</f>
        <v>11354.35411</v>
      </c>
      <c r="BU433" s="92" t="n">
        <f aca="false">IF(AE433&gt;=BG433,0,IFERROR(BG433+SUMPRODUCT((AE$4:AE$503&gt;=BG$4:BG$503)*(AE$4:AE$503-BG$4:BG$503))/MAX(1,COUNTIF(AE$4:AE$503,"&lt;"&amp;BG433+0.01)),BG433))</f>
        <v>7704.85920380952</v>
      </c>
      <c r="BV433" s="92" t="n">
        <f aca="false">IF(AF433&gt;=BH433,0,IFERROR(BH433+SUMPRODUCT((AF$4:AF$503&gt;=BH$4:BH$503)*(AF$4:AF$503-BH$4:BH$503))/MAX(1,COUNTIF(AF$4:AF$503,"&lt;"&amp;BH433+0.01)),BH433))</f>
        <v>9942.6503831579</v>
      </c>
      <c r="BW433" s="92" t="n">
        <f aca="false">IF(AG433&gt;=BI433,0,IFERROR(BI433+SUMPRODUCT((AG$4:AG$503&gt;=BI$4:BI$503)*(AG$4:AG$503-BI$4:BI$503))/MAX(1,COUNTIF(AG$4:AG$503,"&lt;"&amp;BI433+0.01)),BI433))</f>
        <v>9142.15870461538</v>
      </c>
      <c r="BX433" s="92" t="n">
        <f aca="false">IF(AH433&gt;=BJ433,0,IFERROR(BJ433+SUMPRODUCT((AH$4:AH$503&gt;=BJ$4:BJ$503)*(AH$4:AH$503-BJ$4:BJ$503))/MAX(1,COUNTIF(AH$4:AH$503,"&lt;"&amp;BJ433+0.01)),BJ433))</f>
        <v>5621.50263448276</v>
      </c>
      <c r="BY433" s="92" t="n">
        <f aca="false">IF(AI433&gt;=BK433,0,IFERROR(BK433+SUMPRODUCT((AI$4:AI$503&gt;=BK$4:BK$503)*(AI$4:AI$503-BK$4:BK$503))/MAX(1,COUNTIF(AI$4:AI$503,"&lt;"&amp;BK433+0.01)),BK433))</f>
        <v>7878.25652380952</v>
      </c>
      <c r="BZ433" s="92" t="n">
        <f aca="false">IF(AJ433&gt;=BL433,0,IFERROR(BL433+SUMPRODUCT((AJ$4:AJ$503&gt;=BL$4:BL$503)*(AJ$4:AJ$503-BL$4:BL$503))/MAX(1,COUNTIF(AJ$4:AJ$503,"&lt;"&amp;BL433+0.01)),BL433))</f>
        <v>6710.03292307692</v>
      </c>
      <c r="CA433" s="92" t="n">
        <f aca="false">IF(AK433&gt;=BM433,0,IFERROR(BM433+SUMPRODUCT((AK$4:AK$503&gt;=BM$4:BM$503)*(AK$4:AK$503-BM$4:BM$503))/MAX(1,COUNTIF(AK$4:AK$503,"&lt;"&amp;BM433+0.01)),BM433))</f>
        <v>7314.89836842105</v>
      </c>
      <c r="CB433" s="93" t="n">
        <f aca="false">IF(AL433&gt;=BN433,0,IFERROR(BN433+SUMPRODUCT((AL$4:AL$503&gt;=BN$4:BN$503)*(AL$4:AL$503-BN$4:BN$503))/MAX(1,COUNTIF(AL$4:AL$503,"&lt;"&amp;BN433+0.01)),BN433))</f>
        <v>3597.2614925</v>
      </c>
      <c r="CC433" s="95" t="str">
        <f aca="false">IF(AO433="🟢","VERDE",IF(AO433="🟡","AMARELO",IF(AO433="🟠","VERMELHO",IF(AO433="🔴","VERMELHO","ROXO"))))</f>
        <v>VERMELHO</v>
      </c>
      <c r="CD433" s="96" t="s">
        <v>103</v>
      </c>
      <c r="CE433" s="96" t="s">
        <v>104</v>
      </c>
    </row>
    <row r="434" customFormat="false" ht="14.25" hidden="false" customHeight="true" outlineLevel="0" collapsed="false">
      <c r="A434" s="65" t="s">
        <v>1001</v>
      </c>
      <c r="B434" s="66" t="s">
        <v>1002</v>
      </c>
      <c r="C434" s="66" t="s">
        <v>110</v>
      </c>
      <c r="D434" s="68" t="s">
        <v>184</v>
      </c>
      <c r="E434" s="69" t="s">
        <v>139</v>
      </c>
      <c r="F434" s="70" t="n">
        <f aca="false">IFERROR(VLOOKUP(C434,$AS$3:$AT$10,2,FALSE()),IFERROR(VLOOKUP(C434,$AS$15:$AT$22,2,FALSE()),""))</f>
        <v>15</v>
      </c>
      <c r="G434" s="71" t="n">
        <f aca="false">IFERROR(VLOOKUP(C434,$AS$3:$AX$10,6,FALSE()),IFERROR(VLOOKUP(C434,$AS$15:$AX$22,6,FALSE()),""))</f>
        <v>0.621111876107332</v>
      </c>
      <c r="H434" s="72" t="str">
        <f aca="false">IFERROR(VLOOKUP(C434,$AS$3:$AY$10,7,FALSE()),IFERROR(VLOOKUP(C434,$AS$15:$AY$22,7,FALSE()),""))</f>
        <v>🟢 VERDE</v>
      </c>
      <c r="I434" s="72" t="str">
        <f aca="false">IFERROR(VLOOKUP(C434,$AS$3:$AZ$10,8,FALSE()),IFERROR(VLOOKUP(C434,$AS$15:$AZ$22,8,FALSE()),""))</f>
        <v>JBP</v>
      </c>
      <c r="J434" s="73"/>
      <c r="K434" s="69" t="s">
        <v>107</v>
      </c>
      <c r="L434" s="74" t="n">
        <v>1651.84</v>
      </c>
      <c r="M434" s="75" t="n">
        <v>116.08</v>
      </c>
      <c r="N434" s="75" t="n">
        <v>121.3</v>
      </c>
      <c r="O434" s="75" t="n">
        <v>124.22</v>
      </c>
      <c r="P434" s="75" t="n">
        <v>127.46</v>
      </c>
      <c r="Q434" s="75" t="n">
        <v>131.63</v>
      </c>
      <c r="R434" s="75" t="n">
        <v>135.08</v>
      </c>
      <c r="S434" s="75" t="n">
        <v>140.3</v>
      </c>
      <c r="T434" s="75" t="n">
        <v>143.74</v>
      </c>
      <c r="U434" s="75" t="n">
        <v>146.98</v>
      </c>
      <c r="V434" s="75" t="n">
        <v>150.63</v>
      </c>
      <c r="W434" s="75" t="n">
        <v>154.6</v>
      </c>
      <c r="X434" s="76" t="n">
        <v>159.82</v>
      </c>
      <c r="Y434" s="77" t="s">
        <v>20</v>
      </c>
      <c r="Z434" s="78" t="n">
        <f aca="false">SUM(AA434:AL434)</f>
        <v>687.56</v>
      </c>
      <c r="AA434" s="75"/>
      <c r="AB434" s="75"/>
      <c r="AC434" s="75"/>
      <c r="AD434" s="75"/>
      <c r="AE434" s="79" t="n">
        <v>687.56</v>
      </c>
      <c r="AF434" s="75"/>
      <c r="AG434" s="75"/>
      <c r="AH434" s="75"/>
      <c r="AI434" s="75"/>
      <c r="AJ434" s="75"/>
      <c r="AK434" s="75"/>
      <c r="AL434" s="76"/>
      <c r="AM434" s="56" t="s">
        <v>20</v>
      </c>
      <c r="AN434" s="80" t="n">
        <f aca="false">IF(L434=0,0,Z434/L434)</f>
        <v>0.416238860906625</v>
      </c>
      <c r="AO434" s="81" t="str">
        <f aca="false">IF(AN434="","",IF(AN434&gt;=0.9,"🟢",IF(AN434&gt;=0.7,"🟡",IF(AN434&gt;=0.5,"🟠","🔴"))))</f>
        <v>🔴</v>
      </c>
      <c r="AP434" s="82" t="n">
        <f aca="false">IF(L434=0,0,L434-Z434)</f>
        <v>964.28</v>
      </c>
      <c r="AQ434" s="83" t="n">
        <f aca="false">IF(AP434=0,"",RANK(AP434,AP$4:AP$503,0))</f>
        <v>400</v>
      </c>
      <c r="AR434" s="84" t="s">
        <v>20</v>
      </c>
      <c r="AS434" s="141"/>
      <c r="AT434" s="141"/>
      <c r="AU434" s="141"/>
      <c r="AV434" s="141"/>
      <c r="AW434" s="141"/>
      <c r="AX434" s="141"/>
      <c r="AY434" s="142"/>
      <c r="AZ434" s="142"/>
      <c r="BA434" s="56" t="s">
        <v>20</v>
      </c>
      <c r="BB434" s="91" t="n">
        <f aca="false">SUM(L$4:L$503)/COUNTA(A$4:A$503)</f>
        <v>9494.39992</v>
      </c>
      <c r="BC434" s="92" t="n">
        <f aca="false">SUM(M$4:M$503)/COUNTA(A$4:A$503)</f>
        <v>667.20008</v>
      </c>
      <c r="BD434" s="92" t="n">
        <f aca="false">SUM(N$4:N$503)/COUNTA(A$4:A$503)</f>
        <v>697.19996</v>
      </c>
      <c r="BE434" s="92" t="n">
        <f aca="false">SUM(O$4:O$503)/COUNTA(A$4:A$503)</f>
        <v>713.9999</v>
      </c>
      <c r="BF434" s="92" t="n">
        <f aca="false">SUM(P$4:P$503)/COUNTA(A$4:A$503)</f>
        <v>732.59984</v>
      </c>
      <c r="BG434" s="92" t="n">
        <f aca="false">SUM(Q$4:Q$503)/COUNTA(A$4:A$503)</f>
        <v>756.59992</v>
      </c>
      <c r="BH434" s="92" t="n">
        <f aca="false">SUM(R$4:R$503)/COUNTA(A$4:A$503)</f>
        <v>776.40004</v>
      </c>
      <c r="BI434" s="92" t="n">
        <f aca="false">SUM(S$4:S$503)/COUNTA(A$4:A$503)</f>
        <v>806.40012</v>
      </c>
      <c r="BJ434" s="92" t="n">
        <f aca="false">SUM(T$4:T$503)/COUNTA(A$4:A$503)</f>
        <v>826.1999</v>
      </c>
      <c r="BK434" s="92" t="n">
        <f aca="false">SUM(U$4:U$503)/COUNTA(A$4:A$503)</f>
        <v>844.8002</v>
      </c>
      <c r="BL434" s="92" t="n">
        <f aca="false">SUM(V$4:V$503)/COUNTA(A$4:A$503)</f>
        <v>865.7998</v>
      </c>
      <c r="BM434" s="92" t="n">
        <f aca="false">SUM(W$4:W$503)/COUNTA(A$4:A$503)</f>
        <v>888.59982</v>
      </c>
      <c r="BN434" s="93" t="n">
        <f aca="false">SUM(X$4:X$503)/COUNTA(A$4:A$503)</f>
        <v>918.60034</v>
      </c>
      <c r="BO434" s="94" t="s">
        <v>20</v>
      </c>
      <c r="BP434" s="91" t="n">
        <f aca="false">IF(Z434&gt;=BB434,0,IFERROR(BB434+(SUMPRODUCT((Z$4:Z$503&gt;=BB$4:BB$503)*(Z$4:Z$503-BB$4:BB$503))/MAX(1,COUNTIF(Z$4:Z$503,"&lt;"&amp;BB434+0.01))),BB434))</f>
        <v>10695.5432177778</v>
      </c>
      <c r="BQ434" s="92" t="n">
        <f aca="false">IF(AA434&gt;=BC434,0,IFERROR(BC434+SUMPRODUCT((AA$4:AA$503&gt;=BC$4:BC$503)*(AA$4:AA$503-BC$4:BC$503))/MAX(1,COUNTIF(AA$4:AA$503,"&lt;"&amp;BC434+0.01)),BC434))</f>
        <v>2238.46589176471</v>
      </c>
      <c r="BR434" s="92" t="n">
        <f aca="false">IF(AB434&gt;=BD434,0,IFERROR(BD434+SUMPRODUCT((AB$4:AB$503&gt;=BD$4:BD$503)*(AB$4:AB$503-BD$4:BD$503))/MAX(1,COUNTIF(AB$4:AB$503,"&lt;"&amp;BD434+0.01)),BD434))</f>
        <v>3335.2938</v>
      </c>
      <c r="BS434" s="92" t="n">
        <f aca="false">IF(AC434&gt;=BE434,0,IFERROR(BE434+SUMPRODUCT((AC$4:AC$503&gt;=BE$4:BE$503)*(AC$4:AC$503-BE$4:BE$503))/MAX(1,COUNTIF(AC$4:AC$503,"&lt;"&amp;BE434+0.01)),BE434))</f>
        <v>6188.73352</v>
      </c>
      <c r="BT434" s="92" t="n">
        <f aca="false">IF(AD434&gt;=BF434,0,IFERROR(BF434+SUMPRODUCT((AD$4:AD$503&gt;=BF$4:BF$503)*(AD$4:AD$503-BF$4:BF$503))/MAX(1,COUNTIF(AD$4:AD$503,"&lt;"&amp;BF434+0.01)),BF434))</f>
        <v>11354.35411</v>
      </c>
      <c r="BU434" s="92" t="n">
        <f aca="false">IF(AE434&gt;=BG434,0,IFERROR(BG434+SUMPRODUCT((AE$4:AE$503&gt;=BG$4:BG$503)*(AE$4:AE$503-BG$4:BG$503))/MAX(1,COUNTIF(AE$4:AE$503,"&lt;"&amp;BG434+0.01)),BG434))</f>
        <v>7704.85920380952</v>
      </c>
      <c r="BV434" s="92" t="n">
        <f aca="false">IF(AF434&gt;=BH434,0,IFERROR(BH434+SUMPRODUCT((AF$4:AF$503&gt;=BH$4:BH$503)*(AF$4:AF$503-BH$4:BH$503))/MAX(1,COUNTIF(AF$4:AF$503,"&lt;"&amp;BH434+0.01)),BH434))</f>
        <v>9942.6503831579</v>
      </c>
      <c r="BW434" s="92" t="n">
        <f aca="false">IF(AG434&gt;=BI434,0,IFERROR(BI434+SUMPRODUCT((AG$4:AG$503&gt;=BI$4:BI$503)*(AG$4:AG$503-BI$4:BI$503))/MAX(1,COUNTIF(AG$4:AG$503,"&lt;"&amp;BI434+0.01)),BI434))</f>
        <v>9142.15870461538</v>
      </c>
      <c r="BX434" s="92" t="n">
        <f aca="false">IF(AH434&gt;=BJ434,0,IFERROR(BJ434+SUMPRODUCT((AH$4:AH$503&gt;=BJ$4:BJ$503)*(AH$4:AH$503-BJ$4:BJ$503))/MAX(1,COUNTIF(AH$4:AH$503,"&lt;"&amp;BJ434+0.01)),BJ434))</f>
        <v>5621.50263448276</v>
      </c>
      <c r="BY434" s="92" t="n">
        <f aca="false">IF(AI434&gt;=BK434,0,IFERROR(BK434+SUMPRODUCT((AI$4:AI$503&gt;=BK$4:BK$503)*(AI$4:AI$503-BK$4:BK$503))/MAX(1,COUNTIF(AI$4:AI$503,"&lt;"&amp;BK434+0.01)),BK434))</f>
        <v>7878.25652380952</v>
      </c>
      <c r="BZ434" s="92" t="n">
        <f aca="false">IF(AJ434&gt;=BL434,0,IFERROR(BL434+SUMPRODUCT((AJ$4:AJ$503&gt;=BL$4:BL$503)*(AJ$4:AJ$503-BL$4:BL$503))/MAX(1,COUNTIF(AJ$4:AJ$503,"&lt;"&amp;BL434+0.01)),BL434))</f>
        <v>6710.03292307692</v>
      </c>
      <c r="CA434" s="92" t="n">
        <f aca="false">IF(AK434&gt;=BM434,0,IFERROR(BM434+SUMPRODUCT((AK$4:AK$503&gt;=BM$4:BM$503)*(AK$4:AK$503-BM$4:BM$503))/MAX(1,COUNTIF(AK$4:AK$503,"&lt;"&amp;BM434+0.01)),BM434))</f>
        <v>7314.89836842105</v>
      </c>
      <c r="CB434" s="93" t="n">
        <f aca="false">IF(AL434&gt;=BN434,0,IFERROR(BN434+SUMPRODUCT((AL$4:AL$503&gt;=BN$4:BN$503)*(AL$4:AL$503-BN$4:BN$503))/MAX(1,COUNTIF(AL$4:AL$503,"&lt;"&amp;BN434+0.01)),BN434))</f>
        <v>3597.2614925</v>
      </c>
      <c r="CC434" s="95" t="str">
        <f aca="false">IF(AO434="🟢","VERDE",IF(AO434="🟡","AMARELO",IF(AO434="🟠","VERMELHO",IF(AO434="🔴","VERMELHO","ROXO"))))</f>
        <v>VERMELHO</v>
      </c>
      <c r="CD434" s="96" t="s">
        <v>176</v>
      </c>
      <c r="CE434" s="96" t="s">
        <v>110</v>
      </c>
    </row>
    <row r="435" customFormat="false" ht="14.25" hidden="false" customHeight="true" outlineLevel="0" collapsed="false">
      <c r="A435" s="65" t="s">
        <v>1003</v>
      </c>
      <c r="B435" s="66" t="s">
        <v>1004</v>
      </c>
      <c r="C435" s="67" t="s">
        <v>107</v>
      </c>
      <c r="D435" s="68" t="s">
        <v>108</v>
      </c>
      <c r="E435" s="69" t="s">
        <v>139</v>
      </c>
      <c r="F435" s="70" t="n">
        <f aca="false">IFERROR(VLOOKUP(C435,$AS$3:$AT$10,2,FALSE()),IFERROR(VLOOKUP(C435,$AS$15:$AT$22,2,FALSE()),""))</f>
        <v>132</v>
      </c>
      <c r="G435" s="71" t="n">
        <f aca="false">IFERROR(VLOOKUP(C435,$AS$3:$AX$10,6,FALSE()),IFERROR(VLOOKUP(C435,$AS$15:$AX$22,6,FALSE()),""))</f>
        <v>0.468190175850689</v>
      </c>
      <c r="H435" s="72" t="str">
        <f aca="false">IFERROR(VLOOKUP(C435,$AS$3:$AY$10,7,FALSE()),IFERROR(VLOOKUP(C435,$AS$15:$AY$22,7,FALSE()),""))</f>
        <v>🟡 AMARELO</v>
      </c>
      <c r="I435" s="72" t="str">
        <f aca="false">IFERROR(VLOOKUP(C435,$AS$3:$AZ$10,8,FALSE()),IFERROR(VLOOKUP(C435,$AS$15:$AZ$22,8,FALSE()),""))</f>
        <v>Sell Out</v>
      </c>
      <c r="J435" s="73"/>
      <c r="K435" s="69" t="s">
        <v>107</v>
      </c>
      <c r="L435" s="74" t="n">
        <v>1649.11</v>
      </c>
      <c r="M435" s="75" t="n">
        <v>115.89</v>
      </c>
      <c r="N435" s="75" t="n">
        <v>121.1</v>
      </c>
      <c r="O435" s="75" t="n">
        <v>124.02</v>
      </c>
      <c r="P435" s="75" t="n">
        <v>127.25</v>
      </c>
      <c r="Q435" s="75" t="n">
        <v>131.42</v>
      </c>
      <c r="R435" s="75" t="n">
        <v>134.85</v>
      </c>
      <c r="S435" s="75" t="n">
        <v>140.07</v>
      </c>
      <c r="T435" s="75" t="n">
        <v>143.5</v>
      </c>
      <c r="U435" s="75" t="n">
        <v>146.74</v>
      </c>
      <c r="V435" s="75" t="n">
        <v>150.38</v>
      </c>
      <c r="W435" s="75" t="n">
        <v>154.34</v>
      </c>
      <c r="X435" s="76" t="n">
        <v>159.55</v>
      </c>
      <c r="Y435" s="77" t="s">
        <v>20</v>
      </c>
      <c r="Z435" s="78" t="n">
        <f aca="false">SUM(AA435:AL435)</f>
        <v>675.8</v>
      </c>
      <c r="AA435" s="75"/>
      <c r="AB435" s="75"/>
      <c r="AC435" s="75"/>
      <c r="AD435" s="75"/>
      <c r="AE435" s="75"/>
      <c r="AF435" s="75"/>
      <c r="AG435" s="75"/>
      <c r="AH435" s="75"/>
      <c r="AI435" s="75"/>
      <c r="AJ435" s="79" t="n">
        <v>675.8</v>
      </c>
      <c r="AK435" s="75"/>
      <c r="AL435" s="76"/>
      <c r="AM435" s="56" t="s">
        <v>20</v>
      </c>
      <c r="AN435" s="80" t="n">
        <f aca="false">IF(L435=0,0,Z435/L435)</f>
        <v>0.409796799485783</v>
      </c>
      <c r="AO435" s="81" t="str">
        <f aca="false">IF(AN435="","",IF(AN435&gt;=0.9,"🟢",IF(AN435&gt;=0.7,"🟡",IF(AN435&gt;=0.5,"🟠","🔴"))))</f>
        <v>🔴</v>
      </c>
      <c r="AP435" s="82" t="n">
        <f aca="false">IF(L435=0,0,L435-Z435)</f>
        <v>973.31</v>
      </c>
      <c r="AQ435" s="83" t="n">
        <f aca="false">IF(AP435=0,"",RANK(AP435,AP$4:AP$503,0))</f>
        <v>393</v>
      </c>
      <c r="AR435" s="84" t="s">
        <v>20</v>
      </c>
      <c r="AS435" s="141"/>
      <c r="AT435" s="141"/>
      <c r="AU435" s="141"/>
      <c r="AV435" s="141"/>
      <c r="AW435" s="141"/>
      <c r="AX435" s="141"/>
      <c r="AY435" s="142"/>
      <c r="AZ435" s="142"/>
      <c r="BA435" s="56" t="s">
        <v>20</v>
      </c>
      <c r="BB435" s="91" t="n">
        <f aca="false">SUM(L$4:L$503)/COUNTA(A$4:A$503)</f>
        <v>9494.39992</v>
      </c>
      <c r="BC435" s="92" t="n">
        <f aca="false">SUM(M$4:M$503)/COUNTA(A$4:A$503)</f>
        <v>667.20008</v>
      </c>
      <c r="BD435" s="92" t="n">
        <f aca="false">SUM(N$4:N$503)/COUNTA(A$4:A$503)</f>
        <v>697.19996</v>
      </c>
      <c r="BE435" s="92" t="n">
        <f aca="false">SUM(O$4:O$503)/COUNTA(A$4:A$503)</f>
        <v>713.9999</v>
      </c>
      <c r="BF435" s="92" t="n">
        <f aca="false">SUM(P$4:P$503)/COUNTA(A$4:A$503)</f>
        <v>732.59984</v>
      </c>
      <c r="BG435" s="92" t="n">
        <f aca="false">SUM(Q$4:Q$503)/COUNTA(A$4:A$503)</f>
        <v>756.59992</v>
      </c>
      <c r="BH435" s="92" t="n">
        <f aca="false">SUM(R$4:R$503)/COUNTA(A$4:A$503)</f>
        <v>776.40004</v>
      </c>
      <c r="BI435" s="92" t="n">
        <f aca="false">SUM(S$4:S$503)/COUNTA(A$4:A$503)</f>
        <v>806.40012</v>
      </c>
      <c r="BJ435" s="92" t="n">
        <f aca="false">SUM(T$4:T$503)/COUNTA(A$4:A$503)</f>
        <v>826.1999</v>
      </c>
      <c r="BK435" s="92" t="n">
        <f aca="false">SUM(U$4:U$503)/COUNTA(A$4:A$503)</f>
        <v>844.8002</v>
      </c>
      <c r="BL435" s="92" t="n">
        <f aca="false">SUM(V$4:V$503)/COUNTA(A$4:A$503)</f>
        <v>865.7998</v>
      </c>
      <c r="BM435" s="92" t="n">
        <f aca="false">SUM(W$4:W$503)/COUNTA(A$4:A$503)</f>
        <v>888.59982</v>
      </c>
      <c r="BN435" s="93" t="n">
        <f aca="false">SUM(X$4:X$503)/COUNTA(A$4:A$503)</f>
        <v>918.60034</v>
      </c>
      <c r="BO435" s="94" t="s">
        <v>20</v>
      </c>
      <c r="BP435" s="91" t="n">
        <f aca="false">IF(Z435&gt;=BB435,0,IFERROR(BB435+(SUMPRODUCT((Z$4:Z$503&gt;=BB$4:BB$503)*(Z$4:Z$503-BB$4:BB$503))/MAX(1,COUNTIF(Z$4:Z$503,"&lt;"&amp;BB435+0.01))),BB435))</f>
        <v>10695.5432177778</v>
      </c>
      <c r="BQ435" s="92" t="n">
        <f aca="false">IF(AA435&gt;=BC435,0,IFERROR(BC435+SUMPRODUCT((AA$4:AA$503&gt;=BC$4:BC$503)*(AA$4:AA$503-BC$4:BC$503))/MAX(1,COUNTIF(AA$4:AA$503,"&lt;"&amp;BC435+0.01)),BC435))</f>
        <v>2238.46589176471</v>
      </c>
      <c r="BR435" s="92" t="n">
        <f aca="false">IF(AB435&gt;=BD435,0,IFERROR(BD435+SUMPRODUCT((AB$4:AB$503&gt;=BD$4:BD$503)*(AB$4:AB$503-BD$4:BD$503))/MAX(1,COUNTIF(AB$4:AB$503,"&lt;"&amp;BD435+0.01)),BD435))</f>
        <v>3335.2938</v>
      </c>
      <c r="BS435" s="92" t="n">
        <f aca="false">IF(AC435&gt;=BE435,0,IFERROR(BE435+SUMPRODUCT((AC$4:AC$503&gt;=BE$4:BE$503)*(AC$4:AC$503-BE$4:BE$503))/MAX(1,COUNTIF(AC$4:AC$503,"&lt;"&amp;BE435+0.01)),BE435))</f>
        <v>6188.73352</v>
      </c>
      <c r="BT435" s="92" t="n">
        <f aca="false">IF(AD435&gt;=BF435,0,IFERROR(BF435+SUMPRODUCT((AD$4:AD$503&gt;=BF$4:BF$503)*(AD$4:AD$503-BF$4:BF$503))/MAX(1,COUNTIF(AD$4:AD$503,"&lt;"&amp;BF435+0.01)),BF435))</f>
        <v>11354.35411</v>
      </c>
      <c r="BU435" s="92" t="n">
        <f aca="false">IF(AE435&gt;=BG435,0,IFERROR(BG435+SUMPRODUCT((AE$4:AE$503&gt;=BG$4:BG$503)*(AE$4:AE$503-BG$4:BG$503))/MAX(1,COUNTIF(AE$4:AE$503,"&lt;"&amp;BG435+0.01)),BG435))</f>
        <v>7704.85920380952</v>
      </c>
      <c r="BV435" s="92" t="n">
        <f aca="false">IF(AF435&gt;=BH435,0,IFERROR(BH435+SUMPRODUCT((AF$4:AF$503&gt;=BH$4:BH$503)*(AF$4:AF$503-BH$4:BH$503))/MAX(1,COUNTIF(AF$4:AF$503,"&lt;"&amp;BH435+0.01)),BH435))</f>
        <v>9942.6503831579</v>
      </c>
      <c r="BW435" s="92" t="n">
        <f aca="false">IF(AG435&gt;=BI435,0,IFERROR(BI435+SUMPRODUCT((AG$4:AG$503&gt;=BI$4:BI$503)*(AG$4:AG$503-BI$4:BI$503))/MAX(1,COUNTIF(AG$4:AG$503,"&lt;"&amp;BI435+0.01)),BI435))</f>
        <v>9142.15870461538</v>
      </c>
      <c r="BX435" s="92" t="n">
        <f aca="false">IF(AH435&gt;=BJ435,0,IFERROR(BJ435+SUMPRODUCT((AH$4:AH$503&gt;=BJ$4:BJ$503)*(AH$4:AH$503-BJ$4:BJ$503))/MAX(1,COUNTIF(AH$4:AH$503,"&lt;"&amp;BJ435+0.01)),BJ435))</f>
        <v>5621.50263448276</v>
      </c>
      <c r="BY435" s="92" t="n">
        <f aca="false">IF(AI435&gt;=BK435,0,IFERROR(BK435+SUMPRODUCT((AI$4:AI$503&gt;=BK$4:BK$503)*(AI$4:AI$503-BK$4:BK$503))/MAX(1,COUNTIF(AI$4:AI$503,"&lt;"&amp;BK435+0.01)),BK435))</f>
        <v>7878.25652380952</v>
      </c>
      <c r="BZ435" s="92" t="n">
        <f aca="false">IF(AJ435&gt;=BL435,0,IFERROR(BL435+SUMPRODUCT((AJ$4:AJ$503&gt;=BL$4:BL$503)*(AJ$4:AJ$503-BL$4:BL$503))/MAX(1,COUNTIF(AJ$4:AJ$503,"&lt;"&amp;BL435+0.01)),BL435))</f>
        <v>6710.03292307692</v>
      </c>
      <c r="CA435" s="92" t="n">
        <f aca="false">IF(AK435&gt;=BM435,0,IFERROR(BM435+SUMPRODUCT((AK$4:AK$503&gt;=BM$4:BM$503)*(AK$4:AK$503-BM$4:BM$503))/MAX(1,COUNTIF(AK$4:AK$503,"&lt;"&amp;BM435+0.01)),BM435))</f>
        <v>7314.89836842105</v>
      </c>
      <c r="CB435" s="93" t="n">
        <f aca="false">IF(AL435&gt;=BN435,0,IFERROR(BN435+SUMPRODUCT((AL$4:AL$503&gt;=BN$4:BN$503)*(AL$4:AL$503-BN$4:BN$503))/MAX(1,COUNTIF(AL$4:AL$503,"&lt;"&amp;BN435+0.01)),BN435))</f>
        <v>3597.2614925</v>
      </c>
      <c r="CC435" s="95" t="str">
        <f aca="false">IF(AO435="🟢","VERDE",IF(AO435="🟡","AMARELO",IF(AO435="🟠","VERMELHO",IF(AO435="🔴","VERMELHO","ROXO"))))</f>
        <v>VERMELHO</v>
      </c>
      <c r="CD435" s="96" t="s">
        <v>103</v>
      </c>
      <c r="CE435" s="96" t="s">
        <v>104</v>
      </c>
    </row>
    <row r="436" customFormat="false" ht="14.25" hidden="false" customHeight="true" outlineLevel="0" collapsed="false">
      <c r="A436" s="65" t="s">
        <v>1005</v>
      </c>
      <c r="B436" s="66" t="s">
        <v>1006</v>
      </c>
      <c r="C436" s="67" t="s">
        <v>107</v>
      </c>
      <c r="D436" s="68" t="s">
        <v>108</v>
      </c>
      <c r="E436" s="69" t="s">
        <v>109</v>
      </c>
      <c r="F436" s="70" t="n">
        <f aca="false">IFERROR(VLOOKUP(C436,$AS$3:$AT$10,2,FALSE()),IFERROR(VLOOKUP(C436,$AS$15:$AT$22,2,FALSE()),""))</f>
        <v>132</v>
      </c>
      <c r="G436" s="71" t="n">
        <f aca="false">IFERROR(VLOOKUP(C436,$AS$3:$AX$10,6,FALSE()),IFERROR(VLOOKUP(C436,$AS$15:$AX$22,6,FALSE()),""))</f>
        <v>0.468190175850689</v>
      </c>
      <c r="H436" s="72" t="str">
        <f aca="false">IFERROR(VLOOKUP(C436,$AS$3:$AY$10,7,FALSE()),IFERROR(VLOOKUP(C436,$AS$15:$AY$22,7,FALSE()),""))</f>
        <v>🟡 AMARELO</v>
      </c>
      <c r="I436" s="72" t="str">
        <f aca="false">IFERROR(VLOOKUP(C436,$AS$3:$AZ$10,8,FALSE()),IFERROR(VLOOKUP(C436,$AS$15:$AZ$22,8,FALSE()),""))</f>
        <v>Sell Out</v>
      </c>
      <c r="J436" s="73"/>
      <c r="K436" s="69" t="s">
        <v>107</v>
      </c>
      <c r="L436" s="74" t="n">
        <v>1643.64</v>
      </c>
      <c r="M436" s="75" t="n">
        <v>115.5</v>
      </c>
      <c r="N436" s="75" t="n">
        <v>120.7</v>
      </c>
      <c r="O436" s="75" t="n">
        <v>123.61</v>
      </c>
      <c r="P436" s="75" t="n">
        <v>126.83</v>
      </c>
      <c r="Q436" s="75" t="n">
        <v>130.98</v>
      </c>
      <c r="R436" s="75" t="n">
        <v>134.41</v>
      </c>
      <c r="S436" s="75" t="n">
        <v>139.6</v>
      </c>
      <c r="T436" s="75" t="n">
        <v>143.03</v>
      </c>
      <c r="U436" s="75" t="n">
        <v>146.25</v>
      </c>
      <c r="V436" s="75" t="n">
        <v>149.88</v>
      </c>
      <c r="W436" s="75" t="n">
        <v>153.83</v>
      </c>
      <c r="X436" s="76" t="n">
        <v>159.02</v>
      </c>
      <c r="Y436" s="77" t="s">
        <v>20</v>
      </c>
      <c r="Z436" s="78" t="n">
        <f aca="false">SUM(AA436:AL436)</f>
        <v>810.36</v>
      </c>
      <c r="AA436" s="75"/>
      <c r="AB436" s="75"/>
      <c r="AC436" s="75"/>
      <c r="AD436" s="75"/>
      <c r="AE436" s="79" t="n">
        <v>810.36</v>
      </c>
      <c r="AF436" s="75"/>
      <c r="AG436" s="75"/>
      <c r="AH436" s="75"/>
      <c r="AI436" s="75"/>
      <c r="AJ436" s="75"/>
      <c r="AK436" s="75"/>
      <c r="AL436" s="76"/>
      <c r="AM436" s="56" t="s">
        <v>20</v>
      </c>
      <c r="AN436" s="80" t="n">
        <f aca="false">IF(L436=0,0,Z436/L436)</f>
        <v>0.493027670292765</v>
      </c>
      <c r="AO436" s="81" t="str">
        <f aca="false">IF(AN436="","",IF(AN436&gt;=0.9,"🟢",IF(AN436&gt;=0.7,"🟡",IF(AN436&gt;=0.5,"🟠","🔴"))))</f>
        <v>🔴</v>
      </c>
      <c r="AP436" s="82" t="n">
        <f aca="false">IF(L436=0,0,L436-Z436)</f>
        <v>833.28</v>
      </c>
      <c r="AQ436" s="83" t="n">
        <f aca="false">IF(AP436=0,"",RANK(AP436,AP$4:AP$503,0))</f>
        <v>416</v>
      </c>
      <c r="AR436" s="84" t="s">
        <v>20</v>
      </c>
      <c r="AS436" s="141"/>
      <c r="AT436" s="141"/>
      <c r="AU436" s="141"/>
      <c r="AV436" s="141"/>
      <c r="AW436" s="141"/>
      <c r="AX436" s="141"/>
      <c r="AY436" s="142"/>
      <c r="AZ436" s="142"/>
      <c r="BA436" s="56" t="s">
        <v>20</v>
      </c>
      <c r="BB436" s="91" t="n">
        <f aca="false">SUM(L$4:L$503)/COUNTA(A$4:A$503)</f>
        <v>9494.39992</v>
      </c>
      <c r="BC436" s="92" t="n">
        <f aca="false">SUM(M$4:M$503)/COUNTA(A$4:A$503)</f>
        <v>667.20008</v>
      </c>
      <c r="BD436" s="92" t="n">
        <f aca="false">SUM(N$4:N$503)/COUNTA(A$4:A$503)</f>
        <v>697.19996</v>
      </c>
      <c r="BE436" s="92" t="n">
        <f aca="false">SUM(O$4:O$503)/COUNTA(A$4:A$503)</f>
        <v>713.9999</v>
      </c>
      <c r="BF436" s="92" t="n">
        <f aca="false">SUM(P$4:P$503)/COUNTA(A$4:A$503)</f>
        <v>732.59984</v>
      </c>
      <c r="BG436" s="92" t="n">
        <f aca="false">SUM(Q$4:Q$503)/COUNTA(A$4:A$503)</f>
        <v>756.59992</v>
      </c>
      <c r="BH436" s="92" t="n">
        <f aca="false">SUM(R$4:R$503)/COUNTA(A$4:A$503)</f>
        <v>776.40004</v>
      </c>
      <c r="BI436" s="92" t="n">
        <f aca="false">SUM(S$4:S$503)/COUNTA(A$4:A$503)</f>
        <v>806.40012</v>
      </c>
      <c r="BJ436" s="92" t="n">
        <f aca="false">SUM(T$4:T$503)/COUNTA(A$4:A$503)</f>
        <v>826.1999</v>
      </c>
      <c r="BK436" s="92" t="n">
        <f aca="false">SUM(U$4:U$503)/COUNTA(A$4:A$503)</f>
        <v>844.8002</v>
      </c>
      <c r="BL436" s="92" t="n">
        <f aca="false">SUM(V$4:V$503)/COUNTA(A$4:A$503)</f>
        <v>865.7998</v>
      </c>
      <c r="BM436" s="92" t="n">
        <f aca="false">SUM(W$4:W$503)/COUNTA(A$4:A$503)</f>
        <v>888.59982</v>
      </c>
      <c r="BN436" s="93" t="n">
        <f aca="false">SUM(X$4:X$503)/COUNTA(A$4:A$503)</f>
        <v>918.60034</v>
      </c>
      <c r="BO436" s="94" t="s">
        <v>20</v>
      </c>
      <c r="BP436" s="91" t="n">
        <f aca="false">IF(Z436&gt;=BB436,0,IFERROR(BB436+(SUMPRODUCT((Z$4:Z$503&gt;=BB$4:BB$503)*(Z$4:Z$503-BB$4:BB$503))/MAX(1,COUNTIF(Z$4:Z$503,"&lt;"&amp;BB436+0.01))),BB436))</f>
        <v>10695.5432177778</v>
      </c>
      <c r="BQ436" s="92" t="n">
        <f aca="false">IF(AA436&gt;=BC436,0,IFERROR(BC436+SUMPRODUCT((AA$4:AA$503&gt;=BC$4:BC$503)*(AA$4:AA$503-BC$4:BC$503))/MAX(1,COUNTIF(AA$4:AA$503,"&lt;"&amp;BC436+0.01)),BC436))</f>
        <v>2238.46589176471</v>
      </c>
      <c r="BR436" s="92" t="n">
        <f aca="false">IF(AB436&gt;=BD436,0,IFERROR(BD436+SUMPRODUCT((AB$4:AB$503&gt;=BD$4:BD$503)*(AB$4:AB$503-BD$4:BD$503))/MAX(1,COUNTIF(AB$4:AB$503,"&lt;"&amp;BD436+0.01)),BD436))</f>
        <v>3335.2938</v>
      </c>
      <c r="BS436" s="92" t="n">
        <f aca="false">IF(AC436&gt;=BE436,0,IFERROR(BE436+SUMPRODUCT((AC$4:AC$503&gt;=BE$4:BE$503)*(AC$4:AC$503-BE$4:BE$503))/MAX(1,COUNTIF(AC$4:AC$503,"&lt;"&amp;BE436+0.01)),BE436))</f>
        <v>6188.73352</v>
      </c>
      <c r="BT436" s="92" t="n">
        <f aca="false">IF(AD436&gt;=BF436,0,IFERROR(BF436+SUMPRODUCT((AD$4:AD$503&gt;=BF$4:BF$503)*(AD$4:AD$503-BF$4:BF$503))/MAX(1,COUNTIF(AD$4:AD$503,"&lt;"&amp;BF436+0.01)),BF436))</f>
        <v>11354.35411</v>
      </c>
      <c r="BU436" s="92" t="n">
        <f aca="false">IF(AE436&gt;=BG436,0,IFERROR(BG436+SUMPRODUCT((AE$4:AE$503&gt;=BG$4:BG$503)*(AE$4:AE$503-BG$4:BG$503))/MAX(1,COUNTIF(AE$4:AE$503,"&lt;"&amp;BG436+0.01)),BG436))</f>
        <v>0</v>
      </c>
      <c r="BV436" s="92" t="n">
        <f aca="false">IF(AF436&gt;=BH436,0,IFERROR(BH436+SUMPRODUCT((AF$4:AF$503&gt;=BH$4:BH$503)*(AF$4:AF$503-BH$4:BH$503))/MAX(1,COUNTIF(AF$4:AF$503,"&lt;"&amp;BH436+0.01)),BH436))</f>
        <v>9942.6503831579</v>
      </c>
      <c r="BW436" s="92" t="n">
        <f aca="false">IF(AG436&gt;=BI436,0,IFERROR(BI436+SUMPRODUCT((AG$4:AG$503&gt;=BI$4:BI$503)*(AG$4:AG$503-BI$4:BI$503))/MAX(1,COUNTIF(AG$4:AG$503,"&lt;"&amp;BI436+0.01)),BI436))</f>
        <v>9142.15870461538</v>
      </c>
      <c r="BX436" s="92" t="n">
        <f aca="false">IF(AH436&gt;=BJ436,0,IFERROR(BJ436+SUMPRODUCT((AH$4:AH$503&gt;=BJ$4:BJ$503)*(AH$4:AH$503-BJ$4:BJ$503))/MAX(1,COUNTIF(AH$4:AH$503,"&lt;"&amp;BJ436+0.01)),BJ436))</f>
        <v>5621.50263448276</v>
      </c>
      <c r="BY436" s="92" t="n">
        <f aca="false">IF(AI436&gt;=BK436,0,IFERROR(BK436+SUMPRODUCT((AI$4:AI$503&gt;=BK$4:BK$503)*(AI$4:AI$503-BK$4:BK$503))/MAX(1,COUNTIF(AI$4:AI$503,"&lt;"&amp;BK436+0.01)),BK436))</f>
        <v>7878.25652380952</v>
      </c>
      <c r="BZ436" s="92" t="n">
        <f aca="false">IF(AJ436&gt;=BL436,0,IFERROR(BL436+SUMPRODUCT((AJ$4:AJ$503&gt;=BL$4:BL$503)*(AJ$4:AJ$503-BL$4:BL$503))/MAX(1,COUNTIF(AJ$4:AJ$503,"&lt;"&amp;BL436+0.01)),BL436))</f>
        <v>6710.03292307692</v>
      </c>
      <c r="CA436" s="92" t="n">
        <f aca="false">IF(AK436&gt;=BM436,0,IFERROR(BM436+SUMPRODUCT((AK$4:AK$503&gt;=BM$4:BM$503)*(AK$4:AK$503-BM$4:BM$503))/MAX(1,COUNTIF(AK$4:AK$503,"&lt;"&amp;BM436+0.01)),BM436))</f>
        <v>7314.89836842105</v>
      </c>
      <c r="CB436" s="93" t="n">
        <f aca="false">IF(AL436&gt;=BN436,0,IFERROR(BN436+SUMPRODUCT((AL$4:AL$503&gt;=BN$4:BN$503)*(AL$4:AL$503-BN$4:BN$503))/MAX(1,COUNTIF(AL$4:AL$503,"&lt;"&amp;BN436+0.01)),BN436))</f>
        <v>3597.2614925</v>
      </c>
      <c r="CC436" s="95" t="str">
        <f aca="false">IF(AO436="🟢","VERDE",IF(AO436="🟡","AMARELO",IF(AO436="🟠","VERMELHO",IF(AO436="🔴","VERMELHO","ROXO"))))</f>
        <v>VERMELHO</v>
      </c>
      <c r="CD436" s="96" t="s">
        <v>103</v>
      </c>
      <c r="CE436" s="96" t="s">
        <v>104</v>
      </c>
    </row>
    <row r="437" customFormat="false" ht="14.25" hidden="false" customHeight="true" outlineLevel="0" collapsed="false">
      <c r="A437" s="65" t="s">
        <v>1007</v>
      </c>
      <c r="B437" s="66" t="s">
        <v>1008</v>
      </c>
      <c r="C437" s="67" t="s">
        <v>149</v>
      </c>
      <c r="D437" s="68" t="s">
        <v>100</v>
      </c>
      <c r="E437" s="69" t="s">
        <v>119</v>
      </c>
      <c r="F437" s="70" t="n">
        <f aca="false">IFERROR(VLOOKUP(C437,$AS$3:$AT$10,2,FALSE()),IFERROR(VLOOKUP(C437,$AS$15:$AT$22,2,FALSE()),""))</f>
        <v>29</v>
      </c>
      <c r="G437" s="71" t="n">
        <f aca="false">IFERROR(VLOOKUP(C437,$AS$3:$AX$10,6,FALSE()),IFERROR(VLOOKUP(C437,$AS$15:$AX$22,6,FALSE()),""))</f>
        <v>0.425845065256079</v>
      </c>
      <c r="H437" s="72" t="str">
        <f aca="false">IFERROR(VLOOKUP(C437,$AS$3:$AY$10,7,FALSE()),IFERROR(VLOOKUP(C437,$AS$15:$AY$22,7,FALSE()),""))</f>
        <v>🟡 AMARELO</v>
      </c>
      <c r="I437" s="72" t="str">
        <f aca="false">IFERROR(VLOOKUP(C437,$AS$3:$AZ$10,8,FALSE()),IFERROR(VLOOKUP(C437,$AS$15:$AZ$22,8,FALSE()),""))</f>
        <v>Sell Out</v>
      </c>
      <c r="J437" s="73"/>
      <c r="K437" s="69" t="s">
        <v>149</v>
      </c>
      <c r="L437" s="74" t="n">
        <v>1642.29</v>
      </c>
      <c r="M437" s="75" t="n">
        <v>115.41</v>
      </c>
      <c r="N437" s="75" t="n">
        <v>120.6</v>
      </c>
      <c r="O437" s="75" t="n">
        <v>123.5</v>
      </c>
      <c r="P437" s="75" t="n">
        <v>126.72</v>
      </c>
      <c r="Q437" s="75" t="n">
        <v>130.87</v>
      </c>
      <c r="R437" s="75" t="n">
        <v>134.3</v>
      </c>
      <c r="S437" s="75" t="n">
        <v>139.49</v>
      </c>
      <c r="T437" s="75" t="n">
        <v>142.91</v>
      </c>
      <c r="U437" s="75" t="n">
        <v>146.13</v>
      </c>
      <c r="V437" s="75" t="n">
        <v>149.76</v>
      </c>
      <c r="W437" s="75" t="n">
        <v>153.71</v>
      </c>
      <c r="X437" s="76" t="n">
        <v>158.89</v>
      </c>
      <c r="Y437" s="77" t="s">
        <v>20</v>
      </c>
      <c r="Z437" s="78" t="n">
        <f aca="false">SUM(AA437:AL437)</f>
        <v>660.45</v>
      </c>
      <c r="AA437" s="75"/>
      <c r="AB437" s="75"/>
      <c r="AC437" s="75"/>
      <c r="AD437" s="75"/>
      <c r="AE437" s="75"/>
      <c r="AF437" s="75"/>
      <c r="AG437" s="75"/>
      <c r="AH437" s="75"/>
      <c r="AI437" s="75"/>
      <c r="AJ437" s="79" t="n">
        <v>660.45</v>
      </c>
      <c r="AK437" s="75"/>
      <c r="AL437" s="76"/>
      <c r="AM437" s="56" t="s">
        <v>20</v>
      </c>
      <c r="AN437" s="80" t="n">
        <f aca="false">IF(L437=0,0,Z437/L437)</f>
        <v>0.402151873298869</v>
      </c>
      <c r="AO437" s="81" t="str">
        <f aca="false">IF(AN437="","",IF(AN437&gt;=0.9,"🟢",IF(AN437&gt;=0.7,"🟡",IF(AN437&gt;=0.5,"🟠","🔴"))))</f>
        <v>🔴</v>
      </c>
      <c r="AP437" s="82" t="n">
        <f aca="false">IF(L437=0,0,L437-Z437)</f>
        <v>981.84</v>
      </c>
      <c r="AQ437" s="83" t="n">
        <f aca="false">IF(AP437=0,"",RANK(AP437,AP$4:AP$503,0))</f>
        <v>391</v>
      </c>
      <c r="AR437" s="84" t="s">
        <v>20</v>
      </c>
      <c r="AS437" s="141"/>
      <c r="AT437" s="141"/>
      <c r="AU437" s="141"/>
      <c r="AV437" s="141"/>
      <c r="AW437" s="141"/>
      <c r="AX437" s="141"/>
      <c r="AY437" s="142"/>
      <c r="AZ437" s="142"/>
      <c r="BA437" s="56" t="s">
        <v>20</v>
      </c>
      <c r="BB437" s="91" t="n">
        <f aca="false">SUM(L$4:L$503)/COUNTA(A$4:A$503)</f>
        <v>9494.39992</v>
      </c>
      <c r="BC437" s="92" t="n">
        <f aca="false">SUM(M$4:M$503)/COUNTA(A$4:A$503)</f>
        <v>667.20008</v>
      </c>
      <c r="BD437" s="92" t="n">
        <f aca="false">SUM(N$4:N$503)/COUNTA(A$4:A$503)</f>
        <v>697.19996</v>
      </c>
      <c r="BE437" s="92" t="n">
        <f aca="false">SUM(O$4:O$503)/COUNTA(A$4:A$503)</f>
        <v>713.9999</v>
      </c>
      <c r="BF437" s="92" t="n">
        <f aca="false">SUM(P$4:P$503)/COUNTA(A$4:A$503)</f>
        <v>732.59984</v>
      </c>
      <c r="BG437" s="92" t="n">
        <f aca="false">SUM(Q$4:Q$503)/COUNTA(A$4:A$503)</f>
        <v>756.59992</v>
      </c>
      <c r="BH437" s="92" t="n">
        <f aca="false">SUM(R$4:R$503)/COUNTA(A$4:A$503)</f>
        <v>776.40004</v>
      </c>
      <c r="BI437" s="92" t="n">
        <f aca="false">SUM(S$4:S$503)/COUNTA(A$4:A$503)</f>
        <v>806.40012</v>
      </c>
      <c r="BJ437" s="92" t="n">
        <f aca="false">SUM(T$4:T$503)/COUNTA(A$4:A$503)</f>
        <v>826.1999</v>
      </c>
      <c r="BK437" s="92" t="n">
        <f aca="false">SUM(U$4:U$503)/COUNTA(A$4:A$503)</f>
        <v>844.8002</v>
      </c>
      <c r="BL437" s="92" t="n">
        <f aca="false">SUM(V$4:V$503)/COUNTA(A$4:A$503)</f>
        <v>865.7998</v>
      </c>
      <c r="BM437" s="92" t="n">
        <f aca="false">SUM(W$4:W$503)/COUNTA(A$4:A$503)</f>
        <v>888.59982</v>
      </c>
      <c r="BN437" s="93" t="n">
        <f aca="false">SUM(X$4:X$503)/COUNTA(A$4:A$503)</f>
        <v>918.60034</v>
      </c>
      <c r="BO437" s="94" t="s">
        <v>20</v>
      </c>
      <c r="BP437" s="91" t="n">
        <f aca="false">IF(Z437&gt;=BB437,0,IFERROR(BB437+(SUMPRODUCT((Z$4:Z$503&gt;=BB$4:BB$503)*(Z$4:Z$503-BB$4:BB$503))/MAX(1,COUNTIF(Z$4:Z$503,"&lt;"&amp;BB437+0.01))),BB437))</f>
        <v>10695.5432177778</v>
      </c>
      <c r="BQ437" s="92" t="n">
        <f aca="false">IF(AA437&gt;=BC437,0,IFERROR(BC437+SUMPRODUCT((AA$4:AA$503&gt;=BC$4:BC$503)*(AA$4:AA$503-BC$4:BC$503))/MAX(1,COUNTIF(AA$4:AA$503,"&lt;"&amp;BC437+0.01)),BC437))</f>
        <v>2238.46589176471</v>
      </c>
      <c r="BR437" s="92" t="n">
        <f aca="false">IF(AB437&gt;=BD437,0,IFERROR(BD437+SUMPRODUCT((AB$4:AB$503&gt;=BD$4:BD$503)*(AB$4:AB$503-BD$4:BD$503))/MAX(1,COUNTIF(AB$4:AB$503,"&lt;"&amp;BD437+0.01)),BD437))</f>
        <v>3335.2938</v>
      </c>
      <c r="BS437" s="92" t="n">
        <f aca="false">IF(AC437&gt;=BE437,0,IFERROR(BE437+SUMPRODUCT((AC$4:AC$503&gt;=BE$4:BE$503)*(AC$4:AC$503-BE$4:BE$503))/MAX(1,COUNTIF(AC$4:AC$503,"&lt;"&amp;BE437+0.01)),BE437))</f>
        <v>6188.73352</v>
      </c>
      <c r="BT437" s="92" t="n">
        <f aca="false">IF(AD437&gt;=BF437,0,IFERROR(BF437+SUMPRODUCT((AD$4:AD$503&gt;=BF$4:BF$503)*(AD$4:AD$503-BF$4:BF$503))/MAX(1,COUNTIF(AD$4:AD$503,"&lt;"&amp;BF437+0.01)),BF437))</f>
        <v>11354.35411</v>
      </c>
      <c r="BU437" s="92" t="n">
        <f aca="false">IF(AE437&gt;=BG437,0,IFERROR(BG437+SUMPRODUCT((AE$4:AE$503&gt;=BG$4:BG$503)*(AE$4:AE$503-BG$4:BG$503))/MAX(1,COUNTIF(AE$4:AE$503,"&lt;"&amp;BG437+0.01)),BG437))</f>
        <v>7704.85920380952</v>
      </c>
      <c r="BV437" s="92" t="n">
        <f aca="false">IF(AF437&gt;=BH437,0,IFERROR(BH437+SUMPRODUCT((AF$4:AF$503&gt;=BH$4:BH$503)*(AF$4:AF$503-BH$4:BH$503))/MAX(1,COUNTIF(AF$4:AF$503,"&lt;"&amp;BH437+0.01)),BH437))</f>
        <v>9942.6503831579</v>
      </c>
      <c r="BW437" s="92" t="n">
        <f aca="false">IF(AG437&gt;=BI437,0,IFERROR(BI437+SUMPRODUCT((AG$4:AG$503&gt;=BI$4:BI$503)*(AG$4:AG$503-BI$4:BI$503))/MAX(1,COUNTIF(AG$4:AG$503,"&lt;"&amp;BI437+0.01)),BI437))</f>
        <v>9142.15870461538</v>
      </c>
      <c r="BX437" s="92" t="n">
        <f aca="false">IF(AH437&gt;=BJ437,0,IFERROR(BJ437+SUMPRODUCT((AH$4:AH$503&gt;=BJ$4:BJ$503)*(AH$4:AH$503-BJ$4:BJ$503))/MAX(1,COUNTIF(AH$4:AH$503,"&lt;"&amp;BJ437+0.01)),BJ437))</f>
        <v>5621.50263448276</v>
      </c>
      <c r="BY437" s="92" t="n">
        <f aca="false">IF(AI437&gt;=BK437,0,IFERROR(BK437+SUMPRODUCT((AI$4:AI$503&gt;=BK$4:BK$503)*(AI$4:AI$503-BK$4:BK$503))/MAX(1,COUNTIF(AI$4:AI$503,"&lt;"&amp;BK437+0.01)),BK437))</f>
        <v>7878.25652380952</v>
      </c>
      <c r="BZ437" s="92" t="n">
        <f aca="false">IF(AJ437&gt;=BL437,0,IFERROR(BL437+SUMPRODUCT((AJ$4:AJ$503&gt;=BL$4:BL$503)*(AJ$4:AJ$503-BL$4:BL$503))/MAX(1,COUNTIF(AJ$4:AJ$503,"&lt;"&amp;BL437+0.01)),BL437))</f>
        <v>6710.03292307692</v>
      </c>
      <c r="CA437" s="92" t="n">
        <f aca="false">IF(AK437&gt;=BM437,0,IFERROR(BM437+SUMPRODUCT((AK$4:AK$503&gt;=BM$4:BM$503)*(AK$4:AK$503-BM$4:BM$503))/MAX(1,COUNTIF(AK$4:AK$503,"&lt;"&amp;BM437+0.01)),BM437))</f>
        <v>7314.89836842105</v>
      </c>
      <c r="CB437" s="93" t="n">
        <f aca="false">IF(AL437&gt;=BN437,0,IFERROR(BN437+SUMPRODUCT((AL$4:AL$503&gt;=BN$4:BN$503)*(AL$4:AL$503-BN$4:BN$503))/MAX(1,COUNTIF(AL$4:AL$503,"&lt;"&amp;BN437+0.01)),BN437))</f>
        <v>3597.2614925</v>
      </c>
      <c r="CC437" s="95" t="str">
        <f aca="false">IF(AO437="🟢","VERDE",IF(AO437="🟡","AMARELO",IF(AO437="🟠","VERMELHO",IF(AO437="🔴","VERMELHO","ROXO"))))</f>
        <v>VERMELHO</v>
      </c>
      <c r="CD437" s="96" t="s">
        <v>103</v>
      </c>
      <c r="CE437" s="96" t="s">
        <v>104</v>
      </c>
    </row>
    <row r="438" customFormat="false" ht="14.25" hidden="false" customHeight="true" outlineLevel="0" collapsed="false">
      <c r="A438" s="65" t="s">
        <v>1009</v>
      </c>
      <c r="B438" s="66" t="s">
        <v>1010</v>
      </c>
      <c r="C438" s="67" t="s">
        <v>158</v>
      </c>
      <c r="D438" s="68" t="s">
        <v>100</v>
      </c>
      <c r="E438" s="69" t="s">
        <v>935</v>
      </c>
      <c r="F438" s="70" t="n">
        <f aca="false">IFERROR(VLOOKUP(C438,$AS$3:$AT$10,2,FALSE()),IFERROR(VLOOKUP(C438,$AS$15:$AT$22,2,FALSE()),""))</f>
        <v>29</v>
      </c>
      <c r="G438" s="71" t="n">
        <f aca="false">IFERROR(VLOOKUP(C438,$AS$3:$AX$10,6,FALSE()),IFERROR(VLOOKUP(C438,$AS$15:$AX$22,6,FALSE()),""))</f>
        <v>0.458564072601712</v>
      </c>
      <c r="H438" s="72" t="str">
        <f aca="false">IFERROR(VLOOKUP(C438,$AS$3:$AY$10,7,FALSE()),IFERROR(VLOOKUP(C438,$AS$15:$AY$22,7,FALSE()),""))</f>
        <v>🟡 AMARELO</v>
      </c>
      <c r="I438" s="72" t="str">
        <f aca="false">IFERROR(VLOOKUP(C438,$AS$3:$AZ$10,8,FALSE()),IFERROR(VLOOKUP(C438,$AS$15:$AZ$22,8,FALSE()),""))</f>
        <v>Sell Out</v>
      </c>
      <c r="J438" s="73"/>
      <c r="K438" s="69" t="s">
        <v>158</v>
      </c>
      <c r="L438" s="74" t="n">
        <v>1633.75</v>
      </c>
      <c r="M438" s="75" t="n">
        <v>114.81</v>
      </c>
      <c r="N438" s="75" t="n">
        <v>119.97</v>
      </c>
      <c r="O438" s="75" t="n">
        <v>122.86</v>
      </c>
      <c r="P438" s="75" t="n">
        <v>126.06</v>
      </c>
      <c r="Q438" s="75" t="n">
        <v>130.19</v>
      </c>
      <c r="R438" s="75" t="n">
        <v>133.6</v>
      </c>
      <c r="S438" s="75" t="n">
        <v>138.76</v>
      </c>
      <c r="T438" s="75" t="n">
        <v>142.17</v>
      </c>
      <c r="U438" s="75" t="n">
        <v>145.37</v>
      </c>
      <c r="V438" s="75" t="n">
        <v>148.98</v>
      </c>
      <c r="W438" s="75" t="n">
        <v>152.91</v>
      </c>
      <c r="X438" s="76" t="n">
        <v>158.07</v>
      </c>
      <c r="Y438" s="77" t="s">
        <v>20</v>
      </c>
      <c r="Z438" s="78" t="n">
        <f aca="false">SUM(AA438:AL438)</f>
        <v>1069.9</v>
      </c>
      <c r="AA438" s="75"/>
      <c r="AB438" s="75"/>
      <c r="AC438" s="75"/>
      <c r="AD438" s="75"/>
      <c r="AE438" s="75"/>
      <c r="AF438" s="75"/>
      <c r="AG438" s="75"/>
      <c r="AH438" s="75"/>
      <c r="AI438" s="75"/>
      <c r="AJ438" s="79" t="n">
        <v>1069.9</v>
      </c>
      <c r="AK438" s="75"/>
      <c r="AL438" s="76"/>
      <c r="AM438" s="56" t="s">
        <v>20</v>
      </c>
      <c r="AN438" s="80" t="n">
        <f aca="false">IF(L438=0,0,Z438/L438)</f>
        <v>0.654873756694721</v>
      </c>
      <c r="AO438" s="81" t="str">
        <f aca="false">IF(AN438="","",IF(AN438&gt;=0.9,"🟢",IF(AN438&gt;=0.7,"🟡",IF(AN438&gt;=0.5,"🟠","🔴"))))</f>
        <v>🟠</v>
      </c>
      <c r="AP438" s="82" t="n">
        <f aca="false">IF(L438=0,0,L438-Z438)</f>
        <v>563.85</v>
      </c>
      <c r="AQ438" s="83" t="n">
        <f aca="false">IF(AP438=0,"",RANK(AP438,AP$4:AP$503,0))</f>
        <v>448</v>
      </c>
      <c r="AR438" s="84" t="s">
        <v>20</v>
      </c>
      <c r="AS438" s="141"/>
      <c r="AT438" s="141"/>
      <c r="AU438" s="141"/>
      <c r="AV438" s="141"/>
      <c r="AW438" s="141"/>
      <c r="AX438" s="141"/>
      <c r="AY438" s="142"/>
      <c r="AZ438" s="142"/>
      <c r="BA438" s="56" t="s">
        <v>20</v>
      </c>
      <c r="BB438" s="91" t="n">
        <f aca="false">SUM(L$4:L$503)/COUNTA(A$4:A$503)</f>
        <v>9494.39992</v>
      </c>
      <c r="BC438" s="92" t="n">
        <f aca="false">SUM(M$4:M$503)/COUNTA(A$4:A$503)</f>
        <v>667.20008</v>
      </c>
      <c r="BD438" s="92" t="n">
        <f aca="false">SUM(N$4:N$503)/COUNTA(A$4:A$503)</f>
        <v>697.19996</v>
      </c>
      <c r="BE438" s="92" t="n">
        <f aca="false">SUM(O$4:O$503)/COUNTA(A$4:A$503)</f>
        <v>713.9999</v>
      </c>
      <c r="BF438" s="92" t="n">
        <f aca="false">SUM(P$4:P$503)/COUNTA(A$4:A$503)</f>
        <v>732.59984</v>
      </c>
      <c r="BG438" s="92" t="n">
        <f aca="false">SUM(Q$4:Q$503)/COUNTA(A$4:A$503)</f>
        <v>756.59992</v>
      </c>
      <c r="BH438" s="92" t="n">
        <f aca="false">SUM(R$4:R$503)/COUNTA(A$4:A$503)</f>
        <v>776.40004</v>
      </c>
      <c r="BI438" s="92" t="n">
        <f aca="false">SUM(S$4:S$503)/COUNTA(A$4:A$503)</f>
        <v>806.40012</v>
      </c>
      <c r="BJ438" s="92" t="n">
        <f aca="false">SUM(T$4:T$503)/COUNTA(A$4:A$503)</f>
        <v>826.1999</v>
      </c>
      <c r="BK438" s="92" t="n">
        <f aca="false">SUM(U$4:U$503)/COUNTA(A$4:A$503)</f>
        <v>844.8002</v>
      </c>
      <c r="BL438" s="92" t="n">
        <f aca="false">SUM(V$4:V$503)/COUNTA(A$4:A$503)</f>
        <v>865.7998</v>
      </c>
      <c r="BM438" s="92" t="n">
        <f aca="false">SUM(W$4:W$503)/COUNTA(A$4:A$503)</f>
        <v>888.59982</v>
      </c>
      <c r="BN438" s="93" t="n">
        <f aca="false">SUM(X$4:X$503)/COUNTA(A$4:A$503)</f>
        <v>918.60034</v>
      </c>
      <c r="BO438" s="94" t="s">
        <v>20</v>
      </c>
      <c r="BP438" s="91" t="n">
        <f aca="false">IF(Z438&gt;=BB438,0,IFERROR(BB438+(SUMPRODUCT((Z$4:Z$503&gt;=BB$4:BB$503)*(Z$4:Z$503-BB$4:BB$503))/MAX(1,COUNTIF(Z$4:Z$503,"&lt;"&amp;BB438+0.01))),BB438))</f>
        <v>10695.5432177778</v>
      </c>
      <c r="BQ438" s="92" t="n">
        <f aca="false">IF(AA438&gt;=BC438,0,IFERROR(BC438+SUMPRODUCT((AA$4:AA$503&gt;=BC$4:BC$503)*(AA$4:AA$503-BC$4:BC$503))/MAX(1,COUNTIF(AA$4:AA$503,"&lt;"&amp;BC438+0.01)),BC438))</f>
        <v>2238.46589176471</v>
      </c>
      <c r="BR438" s="92" t="n">
        <f aca="false">IF(AB438&gt;=BD438,0,IFERROR(BD438+SUMPRODUCT((AB$4:AB$503&gt;=BD$4:BD$503)*(AB$4:AB$503-BD$4:BD$503))/MAX(1,COUNTIF(AB$4:AB$503,"&lt;"&amp;BD438+0.01)),BD438))</f>
        <v>3335.2938</v>
      </c>
      <c r="BS438" s="92" t="n">
        <f aca="false">IF(AC438&gt;=BE438,0,IFERROR(BE438+SUMPRODUCT((AC$4:AC$503&gt;=BE$4:BE$503)*(AC$4:AC$503-BE$4:BE$503))/MAX(1,COUNTIF(AC$4:AC$503,"&lt;"&amp;BE438+0.01)),BE438))</f>
        <v>6188.73352</v>
      </c>
      <c r="BT438" s="92" t="n">
        <f aca="false">IF(AD438&gt;=BF438,0,IFERROR(BF438+SUMPRODUCT((AD$4:AD$503&gt;=BF$4:BF$503)*(AD$4:AD$503-BF$4:BF$503))/MAX(1,COUNTIF(AD$4:AD$503,"&lt;"&amp;BF438+0.01)),BF438))</f>
        <v>11354.35411</v>
      </c>
      <c r="BU438" s="92" t="n">
        <f aca="false">IF(AE438&gt;=BG438,0,IFERROR(BG438+SUMPRODUCT((AE$4:AE$503&gt;=BG$4:BG$503)*(AE$4:AE$503-BG$4:BG$503))/MAX(1,COUNTIF(AE$4:AE$503,"&lt;"&amp;BG438+0.01)),BG438))</f>
        <v>7704.85920380952</v>
      </c>
      <c r="BV438" s="92" t="n">
        <f aca="false">IF(AF438&gt;=BH438,0,IFERROR(BH438+SUMPRODUCT((AF$4:AF$503&gt;=BH$4:BH$503)*(AF$4:AF$503-BH$4:BH$503))/MAX(1,COUNTIF(AF$4:AF$503,"&lt;"&amp;BH438+0.01)),BH438))</f>
        <v>9942.6503831579</v>
      </c>
      <c r="BW438" s="92" t="n">
        <f aca="false">IF(AG438&gt;=BI438,0,IFERROR(BI438+SUMPRODUCT((AG$4:AG$503&gt;=BI$4:BI$503)*(AG$4:AG$503-BI$4:BI$503))/MAX(1,COUNTIF(AG$4:AG$503,"&lt;"&amp;BI438+0.01)),BI438))</f>
        <v>9142.15870461538</v>
      </c>
      <c r="BX438" s="92" t="n">
        <f aca="false">IF(AH438&gt;=BJ438,0,IFERROR(BJ438+SUMPRODUCT((AH$4:AH$503&gt;=BJ$4:BJ$503)*(AH$4:AH$503-BJ$4:BJ$503))/MAX(1,COUNTIF(AH$4:AH$503,"&lt;"&amp;BJ438+0.01)),BJ438))</f>
        <v>5621.50263448276</v>
      </c>
      <c r="BY438" s="92" t="n">
        <f aca="false">IF(AI438&gt;=BK438,0,IFERROR(BK438+SUMPRODUCT((AI$4:AI$503&gt;=BK$4:BK$503)*(AI$4:AI$503-BK$4:BK$503))/MAX(1,COUNTIF(AI$4:AI$503,"&lt;"&amp;BK438+0.01)),BK438))</f>
        <v>7878.25652380952</v>
      </c>
      <c r="BZ438" s="92" t="n">
        <f aca="false">IF(AJ438&gt;=BL438,0,IFERROR(BL438+SUMPRODUCT((AJ$4:AJ$503&gt;=BL$4:BL$503)*(AJ$4:AJ$503-BL$4:BL$503))/MAX(1,COUNTIF(AJ$4:AJ$503,"&lt;"&amp;BL438+0.01)),BL438))</f>
        <v>0</v>
      </c>
      <c r="CA438" s="92" t="n">
        <f aca="false">IF(AK438&gt;=BM438,0,IFERROR(BM438+SUMPRODUCT((AK$4:AK$503&gt;=BM$4:BM$503)*(AK$4:AK$503-BM$4:BM$503))/MAX(1,COUNTIF(AK$4:AK$503,"&lt;"&amp;BM438+0.01)),BM438))</f>
        <v>7314.89836842105</v>
      </c>
      <c r="CB438" s="93" t="n">
        <f aca="false">IF(AL438&gt;=BN438,0,IFERROR(BN438+SUMPRODUCT((AL$4:AL$503&gt;=BN$4:BN$503)*(AL$4:AL$503-BN$4:BN$503))/MAX(1,COUNTIF(AL$4:AL$503,"&lt;"&amp;BN438+0.01)),BN438))</f>
        <v>3597.2614925</v>
      </c>
      <c r="CC438" s="95" t="str">
        <f aca="false">IF(AO438="🟢","VERDE",IF(AO438="🟡","AMARELO",IF(AO438="🟠","VERMELHO",IF(AO438="🔴","VERMELHO","ROXO"))))</f>
        <v>VERMELHO</v>
      </c>
      <c r="CD438" s="96" t="s">
        <v>103</v>
      </c>
      <c r="CE438" s="96" t="s">
        <v>104</v>
      </c>
    </row>
    <row r="439" customFormat="false" ht="14.25" hidden="false" customHeight="true" outlineLevel="0" collapsed="false">
      <c r="A439" s="65" t="s">
        <v>1011</v>
      </c>
      <c r="B439" s="66" t="s">
        <v>1012</v>
      </c>
      <c r="C439" s="67" t="s">
        <v>107</v>
      </c>
      <c r="D439" s="68" t="s">
        <v>108</v>
      </c>
      <c r="E439" s="69" t="s">
        <v>196</v>
      </c>
      <c r="F439" s="70" t="n">
        <f aca="false">IFERROR(VLOOKUP(C439,$AS$3:$AT$10,2,FALSE()),IFERROR(VLOOKUP(C439,$AS$15:$AT$22,2,FALSE()),""))</f>
        <v>132</v>
      </c>
      <c r="G439" s="71" t="n">
        <f aca="false">IFERROR(VLOOKUP(C439,$AS$3:$AX$10,6,FALSE()),IFERROR(VLOOKUP(C439,$AS$15:$AX$22,6,FALSE()),""))</f>
        <v>0.468190175850689</v>
      </c>
      <c r="H439" s="72" t="str">
        <f aca="false">IFERROR(VLOOKUP(C439,$AS$3:$AY$10,7,FALSE()),IFERROR(VLOOKUP(C439,$AS$15:$AY$22,7,FALSE()),""))</f>
        <v>🟡 AMARELO</v>
      </c>
      <c r="I439" s="72" t="str">
        <f aca="false">IFERROR(VLOOKUP(C439,$AS$3:$AZ$10,8,FALSE()),IFERROR(VLOOKUP(C439,$AS$15:$AZ$22,8,FALSE()),""))</f>
        <v>Sell Out</v>
      </c>
      <c r="J439" s="73"/>
      <c r="K439" s="69" t="s">
        <v>107</v>
      </c>
      <c r="L439" s="74" t="n">
        <v>1624.43</v>
      </c>
      <c r="M439" s="75" t="n">
        <v>114.15</v>
      </c>
      <c r="N439" s="75" t="n">
        <v>119.29</v>
      </c>
      <c r="O439" s="75" t="n">
        <v>122.16</v>
      </c>
      <c r="P439" s="75" t="n">
        <v>125.34</v>
      </c>
      <c r="Q439" s="75" t="n">
        <v>129.45</v>
      </c>
      <c r="R439" s="75" t="n">
        <v>132.84</v>
      </c>
      <c r="S439" s="75" t="n">
        <v>137.97</v>
      </c>
      <c r="T439" s="75" t="n">
        <v>141.36</v>
      </c>
      <c r="U439" s="75" t="n">
        <v>144.54</v>
      </c>
      <c r="V439" s="75" t="n">
        <v>148.13</v>
      </c>
      <c r="W439" s="75" t="n">
        <v>152.03</v>
      </c>
      <c r="X439" s="76" t="n">
        <v>157.17</v>
      </c>
      <c r="Y439" s="77" t="s">
        <v>20</v>
      </c>
      <c r="Z439" s="78" t="n">
        <f aca="false">SUM(AA439:AL439)</f>
        <v>653.27</v>
      </c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107" t="n">
        <v>653.27</v>
      </c>
      <c r="AM439" s="56" t="s">
        <v>20</v>
      </c>
      <c r="AN439" s="80" t="n">
        <f aca="false">IF(L439=0,0,Z439/L439)</f>
        <v>0.402153370720807</v>
      </c>
      <c r="AO439" s="81" t="str">
        <f aca="false">IF(AN439="","",IF(AN439&gt;=0.9,"🟢",IF(AN439&gt;=0.7,"🟡",IF(AN439&gt;=0.5,"🟠","🔴"))))</f>
        <v>🔴</v>
      </c>
      <c r="AP439" s="82" t="n">
        <f aca="false">IF(L439=0,0,L439-Z439)</f>
        <v>971.16</v>
      </c>
      <c r="AQ439" s="83" t="n">
        <f aca="false">IF(AP439=0,"",RANK(AP439,AP$4:AP$503,0))</f>
        <v>394</v>
      </c>
      <c r="AR439" s="84" t="s">
        <v>20</v>
      </c>
      <c r="AS439" s="141"/>
      <c r="AT439" s="141"/>
      <c r="AU439" s="141"/>
      <c r="AV439" s="141"/>
      <c r="AW439" s="141"/>
      <c r="AX439" s="141"/>
      <c r="AY439" s="142"/>
      <c r="AZ439" s="142"/>
      <c r="BA439" s="56" t="s">
        <v>20</v>
      </c>
      <c r="BB439" s="91" t="n">
        <f aca="false">SUM(L$4:L$503)/COUNTA(A$4:A$503)</f>
        <v>9494.39992</v>
      </c>
      <c r="BC439" s="92" t="n">
        <f aca="false">SUM(M$4:M$503)/COUNTA(A$4:A$503)</f>
        <v>667.20008</v>
      </c>
      <c r="BD439" s="92" t="n">
        <f aca="false">SUM(N$4:N$503)/COUNTA(A$4:A$503)</f>
        <v>697.19996</v>
      </c>
      <c r="BE439" s="92" t="n">
        <f aca="false">SUM(O$4:O$503)/COUNTA(A$4:A$503)</f>
        <v>713.9999</v>
      </c>
      <c r="BF439" s="92" t="n">
        <f aca="false">SUM(P$4:P$503)/COUNTA(A$4:A$503)</f>
        <v>732.59984</v>
      </c>
      <c r="BG439" s="92" t="n">
        <f aca="false">SUM(Q$4:Q$503)/COUNTA(A$4:A$503)</f>
        <v>756.59992</v>
      </c>
      <c r="BH439" s="92" t="n">
        <f aca="false">SUM(R$4:R$503)/COUNTA(A$4:A$503)</f>
        <v>776.40004</v>
      </c>
      <c r="BI439" s="92" t="n">
        <f aca="false">SUM(S$4:S$503)/COUNTA(A$4:A$503)</f>
        <v>806.40012</v>
      </c>
      <c r="BJ439" s="92" t="n">
        <f aca="false">SUM(T$4:T$503)/COUNTA(A$4:A$503)</f>
        <v>826.1999</v>
      </c>
      <c r="BK439" s="92" t="n">
        <f aca="false">SUM(U$4:U$503)/COUNTA(A$4:A$503)</f>
        <v>844.8002</v>
      </c>
      <c r="BL439" s="92" t="n">
        <f aca="false">SUM(V$4:V$503)/COUNTA(A$4:A$503)</f>
        <v>865.7998</v>
      </c>
      <c r="BM439" s="92" t="n">
        <f aca="false">SUM(W$4:W$503)/COUNTA(A$4:A$503)</f>
        <v>888.59982</v>
      </c>
      <c r="BN439" s="93" t="n">
        <f aca="false">SUM(X$4:X$503)/COUNTA(A$4:A$503)</f>
        <v>918.60034</v>
      </c>
      <c r="BO439" s="94" t="s">
        <v>20</v>
      </c>
      <c r="BP439" s="91" t="n">
        <f aca="false">IF(Z439&gt;=BB439,0,IFERROR(BB439+(SUMPRODUCT((Z$4:Z$503&gt;=BB$4:BB$503)*(Z$4:Z$503-BB$4:BB$503))/MAX(1,COUNTIF(Z$4:Z$503,"&lt;"&amp;BB439+0.01))),BB439))</f>
        <v>10695.5432177778</v>
      </c>
      <c r="BQ439" s="92" t="n">
        <f aca="false">IF(AA439&gt;=BC439,0,IFERROR(BC439+SUMPRODUCT((AA$4:AA$503&gt;=BC$4:BC$503)*(AA$4:AA$503-BC$4:BC$503))/MAX(1,COUNTIF(AA$4:AA$503,"&lt;"&amp;BC439+0.01)),BC439))</f>
        <v>2238.46589176471</v>
      </c>
      <c r="BR439" s="92" t="n">
        <f aca="false">IF(AB439&gt;=BD439,0,IFERROR(BD439+SUMPRODUCT((AB$4:AB$503&gt;=BD$4:BD$503)*(AB$4:AB$503-BD$4:BD$503))/MAX(1,COUNTIF(AB$4:AB$503,"&lt;"&amp;BD439+0.01)),BD439))</f>
        <v>3335.2938</v>
      </c>
      <c r="BS439" s="92" t="n">
        <f aca="false">IF(AC439&gt;=BE439,0,IFERROR(BE439+SUMPRODUCT((AC$4:AC$503&gt;=BE$4:BE$503)*(AC$4:AC$503-BE$4:BE$503))/MAX(1,COUNTIF(AC$4:AC$503,"&lt;"&amp;BE439+0.01)),BE439))</f>
        <v>6188.73352</v>
      </c>
      <c r="BT439" s="92" t="n">
        <f aca="false">IF(AD439&gt;=BF439,0,IFERROR(BF439+SUMPRODUCT((AD$4:AD$503&gt;=BF$4:BF$503)*(AD$4:AD$503-BF$4:BF$503))/MAX(1,COUNTIF(AD$4:AD$503,"&lt;"&amp;BF439+0.01)),BF439))</f>
        <v>11354.35411</v>
      </c>
      <c r="BU439" s="92" t="n">
        <f aca="false">IF(AE439&gt;=BG439,0,IFERROR(BG439+SUMPRODUCT((AE$4:AE$503&gt;=BG$4:BG$503)*(AE$4:AE$503-BG$4:BG$503))/MAX(1,COUNTIF(AE$4:AE$503,"&lt;"&amp;BG439+0.01)),BG439))</f>
        <v>7704.85920380952</v>
      </c>
      <c r="BV439" s="92" t="n">
        <f aca="false">IF(AF439&gt;=BH439,0,IFERROR(BH439+SUMPRODUCT((AF$4:AF$503&gt;=BH$4:BH$503)*(AF$4:AF$503-BH$4:BH$503))/MAX(1,COUNTIF(AF$4:AF$503,"&lt;"&amp;BH439+0.01)),BH439))</f>
        <v>9942.6503831579</v>
      </c>
      <c r="BW439" s="92" t="n">
        <f aca="false">IF(AG439&gt;=BI439,0,IFERROR(BI439+SUMPRODUCT((AG$4:AG$503&gt;=BI$4:BI$503)*(AG$4:AG$503-BI$4:BI$503))/MAX(1,COUNTIF(AG$4:AG$503,"&lt;"&amp;BI439+0.01)),BI439))</f>
        <v>9142.15870461538</v>
      </c>
      <c r="BX439" s="92" t="n">
        <f aca="false">IF(AH439&gt;=BJ439,0,IFERROR(BJ439+SUMPRODUCT((AH$4:AH$503&gt;=BJ$4:BJ$503)*(AH$4:AH$503-BJ$4:BJ$503))/MAX(1,COUNTIF(AH$4:AH$503,"&lt;"&amp;BJ439+0.01)),BJ439))</f>
        <v>5621.50263448276</v>
      </c>
      <c r="BY439" s="92" t="n">
        <f aca="false">IF(AI439&gt;=BK439,0,IFERROR(BK439+SUMPRODUCT((AI$4:AI$503&gt;=BK$4:BK$503)*(AI$4:AI$503-BK$4:BK$503))/MAX(1,COUNTIF(AI$4:AI$503,"&lt;"&amp;BK439+0.01)),BK439))</f>
        <v>7878.25652380952</v>
      </c>
      <c r="BZ439" s="92" t="n">
        <f aca="false">IF(AJ439&gt;=BL439,0,IFERROR(BL439+SUMPRODUCT((AJ$4:AJ$503&gt;=BL$4:BL$503)*(AJ$4:AJ$503-BL$4:BL$503))/MAX(1,COUNTIF(AJ$4:AJ$503,"&lt;"&amp;BL439+0.01)),BL439))</f>
        <v>6710.03292307692</v>
      </c>
      <c r="CA439" s="92" t="n">
        <f aca="false">IF(AK439&gt;=BM439,0,IFERROR(BM439+SUMPRODUCT((AK$4:AK$503&gt;=BM$4:BM$503)*(AK$4:AK$503-BM$4:BM$503))/MAX(1,COUNTIF(AK$4:AK$503,"&lt;"&amp;BM439+0.01)),BM439))</f>
        <v>7314.89836842105</v>
      </c>
      <c r="CB439" s="93" t="n">
        <f aca="false">IF(AL439&gt;=BN439,0,IFERROR(BN439+SUMPRODUCT((AL$4:AL$503&gt;=BN$4:BN$503)*(AL$4:AL$503-BN$4:BN$503))/MAX(1,COUNTIF(AL$4:AL$503,"&lt;"&amp;BN439+0.01)),BN439))</f>
        <v>3597.2614925</v>
      </c>
      <c r="CC439" s="95" t="str">
        <f aca="false">IF(AO439="🟢","VERDE",IF(AO439="🟡","AMARELO",IF(AO439="🟠","VERMELHO",IF(AO439="🔴","VERMELHO","ROXO"))))</f>
        <v>VERMELHO</v>
      </c>
      <c r="CD439" s="96" t="s">
        <v>103</v>
      </c>
      <c r="CE439" s="96" t="s">
        <v>104</v>
      </c>
    </row>
    <row r="440" customFormat="false" ht="14.25" hidden="false" customHeight="true" outlineLevel="0" collapsed="false">
      <c r="A440" s="65" t="s">
        <v>1013</v>
      </c>
      <c r="B440" s="66" t="s">
        <v>1014</v>
      </c>
      <c r="C440" s="67" t="s">
        <v>118</v>
      </c>
      <c r="D440" s="68" t="s">
        <v>100</v>
      </c>
      <c r="E440" s="69" t="s">
        <v>119</v>
      </c>
      <c r="F440" s="70" t="n">
        <f aca="false">IFERROR(VLOOKUP(C440,$AS$3:$AT$10,2,FALSE()),IFERROR(VLOOKUP(C440,$AS$15:$AT$22,2,FALSE()),""))</f>
        <v>42</v>
      </c>
      <c r="G440" s="71" t="n">
        <f aca="false">IFERROR(VLOOKUP(C440,$AS$3:$AX$10,6,FALSE()),IFERROR(VLOOKUP(C440,$AS$15:$AX$22,6,FALSE()),""))</f>
        <v>0.424872083346704</v>
      </c>
      <c r="H440" s="72" t="str">
        <f aca="false">IFERROR(VLOOKUP(C440,$AS$3:$AY$10,7,FALSE()),IFERROR(VLOOKUP(C440,$AS$15:$AY$22,7,FALSE()),""))</f>
        <v>🟡 AMARELO</v>
      </c>
      <c r="I440" s="72" t="str">
        <f aca="false">IFERROR(VLOOKUP(C440,$AS$3:$AZ$10,8,FALSE()),IFERROR(VLOOKUP(C440,$AS$15:$AZ$22,8,FALSE()),""))</f>
        <v>Sell Out</v>
      </c>
      <c r="J440" s="73"/>
      <c r="K440" s="69" t="s">
        <v>118</v>
      </c>
      <c r="L440" s="74" t="n">
        <v>1622.06</v>
      </c>
      <c r="M440" s="75" t="n">
        <v>113.99</v>
      </c>
      <c r="N440" s="75" t="n">
        <v>119.11</v>
      </c>
      <c r="O440" s="75" t="n">
        <v>121.98</v>
      </c>
      <c r="P440" s="75" t="n">
        <v>125.16</v>
      </c>
      <c r="Q440" s="75" t="n">
        <v>129.26</v>
      </c>
      <c r="R440" s="75" t="n">
        <v>132.64</v>
      </c>
      <c r="S440" s="75" t="n">
        <v>137.77</v>
      </c>
      <c r="T440" s="75" t="n">
        <v>141.15</v>
      </c>
      <c r="U440" s="75" t="n">
        <v>144.33</v>
      </c>
      <c r="V440" s="75" t="n">
        <v>147.92</v>
      </c>
      <c r="W440" s="75" t="n">
        <v>151.81</v>
      </c>
      <c r="X440" s="76" t="n">
        <v>156.94</v>
      </c>
      <c r="Y440" s="77" t="s">
        <v>20</v>
      </c>
      <c r="Z440" s="78" t="n">
        <f aca="false">SUM(AA440:AL440)</f>
        <v>652.32</v>
      </c>
      <c r="AA440" s="79" t="n">
        <v>652.32</v>
      </c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6"/>
      <c r="AM440" s="56" t="s">
        <v>20</v>
      </c>
      <c r="AN440" s="80" t="n">
        <f aca="false">IF(L440=0,0,Z440/L440)</f>
        <v>0.402155284021553</v>
      </c>
      <c r="AO440" s="81" t="str">
        <f aca="false">IF(AN440="","",IF(AN440&gt;=0.9,"🟢",IF(AN440&gt;=0.7,"🟡",IF(AN440&gt;=0.5,"🟠","🔴"))))</f>
        <v>🔴</v>
      </c>
      <c r="AP440" s="82" t="n">
        <f aca="false">IF(L440=0,0,L440-Z440)</f>
        <v>969.74</v>
      </c>
      <c r="AQ440" s="83" t="n">
        <f aca="false">IF(AP440=0,"",RANK(AP440,AP$4:AP$503,0))</f>
        <v>395</v>
      </c>
      <c r="AR440" s="84" t="s">
        <v>20</v>
      </c>
      <c r="AS440" s="141"/>
      <c r="AT440" s="141"/>
      <c r="AU440" s="141"/>
      <c r="AV440" s="141"/>
      <c r="AW440" s="141"/>
      <c r="AX440" s="141"/>
      <c r="AY440" s="142"/>
      <c r="AZ440" s="142"/>
      <c r="BA440" s="56" t="s">
        <v>20</v>
      </c>
      <c r="BB440" s="91" t="n">
        <f aca="false">SUM(L$4:L$503)/COUNTA(A$4:A$503)</f>
        <v>9494.39992</v>
      </c>
      <c r="BC440" s="92" t="n">
        <f aca="false">SUM(M$4:M$503)/COUNTA(A$4:A$503)</f>
        <v>667.20008</v>
      </c>
      <c r="BD440" s="92" t="n">
        <f aca="false">SUM(N$4:N$503)/COUNTA(A$4:A$503)</f>
        <v>697.19996</v>
      </c>
      <c r="BE440" s="92" t="n">
        <f aca="false">SUM(O$4:O$503)/COUNTA(A$4:A$503)</f>
        <v>713.9999</v>
      </c>
      <c r="BF440" s="92" t="n">
        <f aca="false">SUM(P$4:P$503)/COUNTA(A$4:A$503)</f>
        <v>732.59984</v>
      </c>
      <c r="BG440" s="92" t="n">
        <f aca="false">SUM(Q$4:Q$503)/COUNTA(A$4:A$503)</f>
        <v>756.59992</v>
      </c>
      <c r="BH440" s="92" t="n">
        <f aca="false">SUM(R$4:R$503)/COUNTA(A$4:A$503)</f>
        <v>776.40004</v>
      </c>
      <c r="BI440" s="92" t="n">
        <f aca="false">SUM(S$4:S$503)/COUNTA(A$4:A$503)</f>
        <v>806.40012</v>
      </c>
      <c r="BJ440" s="92" t="n">
        <f aca="false">SUM(T$4:T$503)/COUNTA(A$4:A$503)</f>
        <v>826.1999</v>
      </c>
      <c r="BK440" s="92" t="n">
        <f aca="false">SUM(U$4:U$503)/COUNTA(A$4:A$503)</f>
        <v>844.8002</v>
      </c>
      <c r="BL440" s="92" t="n">
        <f aca="false">SUM(V$4:V$503)/COUNTA(A$4:A$503)</f>
        <v>865.7998</v>
      </c>
      <c r="BM440" s="92" t="n">
        <f aca="false">SUM(W$4:W$503)/COUNTA(A$4:A$503)</f>
        <v>888.59982</v>
      </c>
      <c r="BN440" s="93" t="n">
        <f aca="false">SUM(X$4:X$503)/COUNTA(A$4:A$503)</f>
        <v>918.60034</v>
      </c>
      <c r="BO440" s="94" t="s">
        <v>20</v>
      </c>
      <c r="BP440" s="91" t="n">
        <f aca="false">IF(Z440&gt;=BB440,0,IFERROR(BB440+(SUMPRODUCT((Z$4:Z$503&gt;=BB$4:BB$503)*(Z$4:Z$503-BB$4:BB$503))/MAX(1,COUNTIF(Z$4:Z$503,"&lt;"&amp;BB440+0.01))),BB440))</f>
        <v>10695.5432177778</v>
      </c>
      <c r="BQ440" s="92" t="n">
        <f aca="false">IF(AA440&gt;=BC440,0,IFERROR(BC440+SUMPRODUCT((AA$4:AA$503&gt;=BC$4:BC$503)*(AA$4:AA$503-BC$4:BC$503))/MAX(1,COUNTIF(AA$4:AA$503,"&lt;"&amp;BC440+0.01)),BC440))</f>
        <v>2238.46589176471</v>
      </c>
      <c r="BR440" s="92" t="n">
        <f aca="false">IF(AB440&gt;=BD440,0,IFERROR(BD440+SUMPRODUCT((AB$4:AB$503&gt;=BD$4:BD$503)*(AB$4:AB$503-BD$4:BD$503))/MAX(1,COUNTIF(AB$4:AB$503,"&lt;"&amp;BD440+0.01)),BD440))</f>
        <v>3335.2938</v>
      </c>
      <c r="BS440" s="92" t="n">
        <f aca="false">IF(AC440&gt;=BE440,0,IFERROR(BE440+SUMPRODUCT((AC$4:AC$503&gt;=BE$4:BE$503)*(AC$4:AC$503-BE$4:BE$503))/MAX(1,COUNTIF(AC$4:AC$503,"&lt;"&amp;BE440+0.01)),BE440))</f>
        <v>6188.73352</v>
      </c>
      <c r="BT440" s="92" t="n">
        <f aca="false">IF(AD440&gt;=BF440,0,IFERROR(BF440+SUMPRODUCT((AD$4:AD$503&gt;=BF$4:BF$503)*(AD$4:AD$503-BF$4:BF$503))/MAX(1,COUNTIF(AD$4:AD$503,"&lt;"&amp;BF440+0.01)),BF440))</f>
        <v>11354.35411</v>
      </c>
      <c r="BU440" s="92" t="n">
        <f aca="false">IF(AE440&gt;=BG440,0,IFERROR(BG440+SUMPRODUCT((AE$4:AE$503&gt;=BG$4:BG$503)*(AE$4:AE$503-BG$4:BG$503))/MAX(1,COUNTIF(AE$4:AE$503,"&lt;"&amp;BG440+0.01)),BG440))</f>
        <v>7704.85920380952</v>
      </c>
      <c r="BV440" s="92" t="n">
        <f aca="false">IF(AF440&gt;=BH440,0,IFERROR(BH440+SUMPRODUCT((AF$4:AF$503&gt;=BH$4:BH$503)*(AF$4:AF$503-BH$4:BH$503))/MAX(1,COUNTIF(AF$4:AF$503,"&lt;"&amp;BH440+0.01)),BH440))</f>
        <v>9942.6503831579</v>
      </c>
      <c r="BW440" s="92" t="n">
        <f aca="false">IF(AG440&gt;=BI440,0,IFERROR(BI440+SUMPRODUCT((AG$4:AG$503&gt;=BI$4:BI$503)*(AG$4:AG$503-BI$4:BI$503))/MAX(1,COUNTIF(AG$4:AG$503,"&lt;"&amp;BI440+0.01)),BI440))</f>
        <v>9142.15870461538</v>
      </c>
      <c r="BX440" s="92" t="n">
        <f aca="false">IF(AH440&gt;=BJ440,0,IFERROR(BJ440+SUMPRODUCT((AH$4:AH$503&gt;=BJ$4:BJ$503)*(AH$4:AH$503-BJ$4:BJ$503))/MAX(1,COUNTIF(AH$4:AH$503,"&lt;"&amp;BJ440+0.01)),BJ440))</f>
        <v>5621.50263448276</v>
      </c>
      <c r="BY440" s="92" t="n">
        <f aca="false">IF(AI440&gt;=BK440,0,IFERROR(BK440+SUMPRODUCT((AI$4:AI$503&gt;=BK$4:BK$503)*(AI$4:AI$503-BK$4:BK$503))/MAX(1,COUNTIF(AI$4:AI$503,"&lt;"&amp;BK440+0.01)),BK440))</f>
        <v>7878.25652380952</v>
      </c>
      <c r="BZ440" s="92" t="n">
        <f aca="false">IF(AJ440&gt;=BL440,0,IFERROR(BL440+SUMPRODUCT((AJ$4:AJ$503&gt;=BL$4:BL$503)*(AJ$4:AJ$503-BL$4:BL$503))/MAX(1,COUNTIF(AJ$4:AJ$503,"&lt;"&amp;BL440+0.01)),BL440))</f>
        <v>6710.03292307692</v>
      </c>
      <c r="CA440" s="92" t="n">
        <f aca="false">IF(AK440&gt;=BM440,0,IFERROR(BM440+SUMPRODUCT((AK$4:AK$503&gt;=BM$4:BM$503)*(AK$4:AK$503-BM$4:BM$503))/MAX(1,COUNTIF(AK$4:AK$503,"&lt;"&amp;BM440+0.01)),BM440))</f>
        <v>7314.89836842105</v>
      </c>
      <c r="CB440" s="93" t="n">
        <f aca="false">IF(AL440&gt;=BN440,0,IFERROR(BN440+SUMPRODUCT((AL$4:AL$503&gt;=BN$4:BN$503)*(AL$4:AL$503-BN$4:BN$503))/MAX(1,COUNTIF(AL$4:AL$503,"&lt;"&amp;BN440+0.01)),BN440))</f>
        <v>3597.2614925</v>
      </c>
      <c r="CC440" s="95" t="str">
        <f aca="false">IF(AO440="🟢","VERDE",IF(AO440="🟡","AMARELO",IF(AO440="🟠","VERMELHO",IF(AO440="🔴","VERMELHO","ROXO"))))</f>
        <v>VERMELHO</v>
      </c>
      <c r="CD440" s="96" t="s">
        <v>103</v>
      </c>
      <c r="CE440" s="96" t="s">
        <v>104</v>
      </c>
    </row>
    <row r="441" customFormat="false" ht="14.25" hidden="false" customHeight="true" outlineLevel="0" collapsed="false">
      <c r="A441" s="65" t="s">
        <v>1015</v>
      </c>
      <c r="B441" s="66" t="s">
        <v>1016</v>
      </c>
      <c r="C441" s="67" t="s">
        <v>107</v>
      </c>
      <c r="D441" s="68" t="s">
        <v>108</v>
      </c>
      <c r="E441" s="69" t="s">
        <v>109</v>
      </c>
      <c r="F441" s="70" t="n">
        <f aca="false">IFERROR(VLOOKUP(C441,$AS$3:$AT$10,2,FALSE()),IFERROR(VLOOKUP(C441,$AS$15:$AT$22,2,FALSE()),""))</f>
        <v>132</v>
      </c>
      <c r="G441" s="71" t="n">
        <f aca="false">IFERROR(VLOOKUP(C441,$AS$3:$AX$10,6,FALSE()),IFERROR(VLOOKUP(C441,$AS$15:$AX$22,6,FALSE()),""))</f>
        <v>0.468190175850689</v>
      </c>
      <c r="H441" s="72" t="str">
        <f aca="false">IFERROR(VLOOKUP(C441,$AS$3:$AY$10,7,FALSE()),IFERROR(VLOOKUP(C441,$AS$15:$AY$22,7,FALSE()),""))</f>
        <v>🟡 AMARELO</v>
      </c>
      <c r="I441" s="72" t="str">
        <f aca="false">IFERROR(VLOOKUP(C441,$AS$3:$AZ$10,8,FALSE()),IFERROR(VLOOKUP(C441,$AS$15:$AZ$22,8,FALSE()),""))</f>
        <v>Sell Out</v>
      </c>
      <c r="J441" s="73"/>
      <c r="K441" s="69" t="s">
        <v>107</v>
      </c>
      <c r="L441" s="74" t="n">
        <v>1621.68</v>
      </c>
      <c r="M441" s="75" t="n">
        <v>113.96</v>
      </c>
      <c r="N441" s="75" t="n">
        <v>119.08</v>
      </c>
      <c r="O441" s="75" t="n">
        <v>121.95</v>
      </c>
      <c r="P441" s="75" t="n">
        <v>125.13</v>
      </c>
      <c r="Q441" s="75" t="n">
        <v>129.23</v>
      </c>
      <c r="R441" s="75" t="n">
        <v>132.61</v>
      </c>
      <c r="S441" s="75" t="n">
        <v>137.74</v>
      </c>
      <c r="T441" s="75" t="n">
        <v>141.12</v>
      </c>
      <c r="U441" s="75" t="n">
        <v>144.3</v>
      </c>
      <c r="V441" s="75" t="n">
        <v>147.88</v>
      </c>
      <c r="W441" s="75" t="n">
        <v>151.78</v>
      </c>
      <c r="X441" s="76" t="n">
        <v>156.9</v>
      </c>
      <c r="Y441" s="77" t="s">
        <v>20</v>
      </c>
      <c r="Z441" s="78" t="n">
        <f aca="false">SUM(AA441:AL441)</f>
        <v>652.16</v>
      </c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9" t="n">
        <v>652.16</v>
      </c>
      <c r="AL441" s="76"/>
      <c r="AM441" s="56" t="s">
        <v>20</v>
      </c>
      <c r="AN441" s="80" t="n">
        <f aca="false">IF(L441=0,0,Z441/L441)</f>
        <v>0.402150855902521</v>
      </c>
      <c r="AO441" s="81" t="str">
        <f aca="false">IF(AN441="","",IF(AN441&gt;=0.9,"🟢",IF(AN441&gt;=0.7,"🟡",IF(AN441&gt;=0.5,"🟠","🔴"))))</f>
        <v>🔴</v>
      </c>
      <c r="AP441" s="82" t="n">
        <f aca="false">IF(L441=0,0,L441-Z441)</f>
        <v>969.52</v>
      </c>
      <c r="AQ441" s="83" t="n">
        <f aca="false">IF(AP441=0,"",RANK(AP441,AP$4:AP$503,0))</f>
        <v>396</v>
      </c>
      <c r="AR441" s="84" t="s">
        <v>20</v>
      </c>
      <c r="AS441" s="141"/>
      <c r="AT441" s="141"/>
      <c r="AU441" s="141"/>
      <c r="AV441" s="141"/>
      <c r="AW441" s="141"/>
      <c r="AX441" s="141"/>
      <c r="AY441" s="142"/>
      <c r="AZ441" s="142"/>
      <c r="BA441" s="56" t="s">
        <v>20</v>
      </c>
      <c r="BB441" s="91" t="n">
        <f aca="false">SUM(L$4:L$503)/COUNTA(A$4:A$503)</f>
        <v>9494.39992</v>
      </c>
      <c r="BC441" s="92" t="n">
        <f aca="false">SUM(M$4:M$503)/COUNTA(A$4:A$503)</f>
        <v>667.20008</v>
      </c>
      <c r="BD441" s="92" t="n">
        <f aca="false">SUM(N$4:N$503)/COUNTA(A$4:A$503)</f>
        <v>697.19996</v>
      </c>
      <c r="BE441" s="92" t="n">
        <f aca="false">SUM(O$4:O$503)/COUNTA(A$4:A$503)</f>
        <v>713.9999</v>
      </c>
      <c r="BF441" s="92" t="n">
        <f aca="false">SUM(P$4:P$503)/COUNTA(A$4:A$503)</f>
        <v>732.59984</v>
      </c>
      <c r="BG441" s="92" t="n">
        <f aca="false">SUM(Q$4:Q$503)/COUNTA(A$4:A$503)</f>
        <v>756.59992</v>
      </c>
      <c r="BH441" s="92" t="n">
        <f aca="false">SUM(R$4:R$503)/COUNTA(A$4:A$503)</f>
        <v>776.40004</v>
      </c>
      <c r="BI441" s="92" t="n">
        <f aca="false">SUM(S$4:S$503)/COUNTA(A$4:A$503)</f>
        <v>806.40012</v>
      </c>
      <c r="BJ441" s="92" t="n">
        <f aca="false">SUM(T$4:T$503)/COUNTA(A$4:A$503)</f>
        <v>826.1999</v>
      </c>
      <c r="BK441" s="92" t="n">
        <f aca="false">SUM(U$4:U$503)/COUNTA(A$4:A$503)</f>
        <v>844.8002</v>
      </c>
      <c r="BL441" s="92" t="n">
        <f aca="false">SUM(V$4:V$503)/COUNTA(A$4:A$503)</f>
        <v>865.7998</v>
      </c>
      <c r="BM441" s="92" t="n">
        <f aca="false">SUM(W$4:W$503)/COUNTA(A$4:A$503)</f>
        <v>888.59982</v>
      </c>
      <c r="BN441" s="93" t="n">
        <f aca="false">SUM(X$4:X$503)/COUNTA(A$4:A$503)</f>
        <v>918.60034</v>
      </c>
      <c r="BO441" s="94" t="s">
        <v>20</v>
      </c>
      <c r="BP441" s="91" t="n">
        <f aca="false">IF(Z441&gt;=BB441,0,IFERROR(BB441+(SUMPRODUCT((Z$4:Z$503&gt;=BB$4:BB$503)*(Z$4:Z$503-BB$4:BB$503))/MAX(1,COUNTIF(Z$4:Z$503,"&lt;"&amp;BB441+0.01))),BB441))</f>
        <v>10695.5432177778</v>
      </c>
      <c r="BQ441" s="92" t="n">
        <f aca="false">IF(AA441&gt;=BC441,0,IFERROR(BC441+SUMPRODUCT((AA$4:AA$503&gt;=BC$4:BC$503)*(AA$4:AA$503-BC$4:BC$503))/MAX(1,COUNTIF(AA$4:AA$503,"&lt;"&amp;BC441+0.01)),BC441))</f>
        <v>2238.46589176471</v>
      </c>
      <c r="BR441" s="92" t="n">
        <f aca="false">IF(AB441&gt;=BD441,0,IFERROR(BD441+SUMPRODUCT((AB$4:AB$503&gt;=BD$4:BD$503)*(AB$4:AB$503-BD$4:BD$503))/MAX(1,COUNTIF(AB$4:AB$503,"&lt;"&amp;BD441+0.01)),BD441))</f>
        <v>3335.2938</v>
      </c>
      <c r="BS441" s="92" t="n">
        <f aca="false">IF(AC441&gt;=BE441,0,IFERROR(BE441+SUMPRODUCT((AC$4:AC$503&gt;=BE$4:BE$503)*(AC$4:AC$503-BE$4:BE$503))/MAX(1,COUNTIF(AC$4:AC$503,"&lt;"&amp;BE441+0.01)),BE441))</f>
        <v>6188.73352</v>
      </c>
      <c r="BT441" s="92" t="n">
        <f aca="false">IF(AD441&gt;=BF441,0,IFERROR(BF441+SUMPRODUCT((AD$4:AD$503&gt;=BF$4:BF$503)*(AD$4:AD$503-BF$4:BF$503))/MAX(1,COUNTIF(AD$4:AD$503,"&lt;"&amp;BF441+0.01)),BF441))</f>
        <v>11354.35411</v>
      </c>
      <c r="BU441" s="92" t="n">
        <f aca="false">IF(AE441&gt;=BG441,0,IFERROR(BG441+SUMPRODUCT((AE$4:AE$503&gt;=BG$4:BG$503)*(AE$4:AE$503-BG$4:BG$503))/MAX(1,COUNTIF(AE$4:AE$503,"&lt;"&amp;BG441+0.01)),BG441))</f>
        <v>7704.85920380952</v>
      </c>
      <c r="BV441" s="92" t="n">
        <f aca="false">IF(AF441&gt;=BH441,0,IFERROR(BH441+SUMPRODUCT((AF$4:AF$503&gt;=BH$4:BH$503)*(AF$4:AF$503-BH$4:BH$503))/MAX(1,COUNTIF(AF$4:AF$503,"&lt;"&amp;BH441+0.01)),BH441))</f>
        <v>9942.6503831579</v>
      </c>
      <c r="BW441" s="92" t="n">
        <f aca="false">IF(AG441&gt;=BI441,0,IFERROR(BI441+SUMPRODUCT((AG$4:AG$503&gt;=BI$4:BI$503)*(AG$4:AG$503-BI$4:BI$503))/MAX(1,COUNTIF(AG$4:AG$503,"&lt;"&amp;BI441+0.01)),BI441))</f>
        <v>9142.15870461538</v>
      </c>
      <c r="BX441" s="92" t="n">
        <f aca="false">IF(AH441&gt;=BJ441,0,IFERROR(BJ441+SUMPRODUCT((AH$4:AH$503&gt;=BJ$4:BJ$503)*(AH$4:AH$503-BJ$4:BJ$503))/MAX(1,COUNTIF(AH$4:AH$503,"&lt;"&amp;BJ441+0.01)),BJ441))</f>
        <v>5621.50263448276</v>
      </c>
      <c r="BY441" s="92" t="n">
        <f aca="false">IF(AI441&gt;=BK441,0,IFERROR(BK441+SUMPRODUCT((AI$4:AI$503&gt;=BK$4:BK$503)*(AI$4:AI$503-BK$4:BK$503))/MAX(1,COUNTIF(AI$4:AI$503,"&lt;"&amp;BK441+0.01)),BK441))</f>
        <v>7878.25652380952</v>
      </c>
      <c r="BZ441" s="92" t="n">
        <f aca="false">IF(AJ441&gt;=BL441,0,IFERROR(BL441+SUMPRODUCT((AJ$4:AJ$503&gt;=BL$4:BL$503)*(AJ$4:AJ$503-BL$4:BL$503))/MAX(1,COUNTIF(AJ$4:AJ$503,"&lt;"&amp;BL441+0.01)),BL441))</f>
        <v>6710.03292307692</v>
      </c>
      <c r="CA441" s="92" t="n">
        <f aca="false">IF(AK441&gt;=BM441,0,IFERROR(BM441+SUMPRODUCT((AK$4:AK$503&gt;=BM$4:BM$503)*(AK$4:AK$503-BM$4:BM$503))/MAX(1,COUNTIF(AK$4:AK$503,"&lt;"&amp;BM441+0.01)),BM441))</f>
        <v>7314.89836842105</v>
      </c>
      <c r="CB441" s="93" t="n">
        <f aca="false">IF(AL441&gt;=BN441,0,IFERROR(BN441+SUMPRODUCT((AL$4:AL$503&gt;=BN$4:BN$503)*(AL$4:AL$503-BN$4:BN$503))/MAX(1,COUNTIF(AL$4:AL$503,"&lt;"&amp;BN441+0.01)),BN441))</f>
        <v>3597.2614925</v>
      </c>
      <c r="CC441" s="95" t="str">
        <f aca="false">IF(AO441="🟢","VERDE",IF(AO441="🟡","AMARELO",IF(AO441="🟠","VERMELHO",IF(AO441="🔴","VERMELHO","ROXO"))))</f>
        <v>VERMELHO</v>
      </c>
      <c r="CD441" s="96" t="s">
        <v>103</v>
      </c>
      <c r="CE441" s="96" t="s">
        <v>104</v>
      </c>
    </row>
    <row r="442" customFormat="false" ht="14.25" hidden="false" customHeight="true" outlineLevel="0" collapsed="false">
      <c r="A442" s="65" t="s">
        <v>1017</v>
      </c>
      <c r="B442" s="66" t="s">
        <v>1018</v>
      </c>
      <c r="C442" s="67" t="s">
        <v>99</v>
      </c>
      <c r="D442" s="68" t="s">
        <v>100</v>
      </c>
      <c r="E442" s="69" t="s">
        <v>263</v>
      </c>
      <c r="F442" s="70" t="n">
        <f aca="false">IFERROR(VLOOKUP(C442,$AS$3:$AT$10,2,FALSE()),IFERROR(VLOOKUP(C442,$AS$15:$AT$22,2,FALSE()),""))</f>
        <v>33</v>
      </c>
      <c r="G442" s="71" t="n">
        <f aca="false">IFERROR(VLOOKUP(C442,$AS$3:$AX$10,6,FALSE()),IFERROR(VLOOKUP(C442,$AS$15:$AX$22,6,FALSE()),""))</f>
        <v>0.341494038351172</v>
      </c>
      <c r="H442" s="72" t="str">
        <f aca="false">IFERROR(VLOOKUP(C442,$AS$3:$AY$10,7,FALSE()),IFERROR(VLOOKUP(C442,$AS$15:$AY$22,7,FALSE()),""))</f>
        <v>🔴 VERMELHO</v>
      </c>
      <c r="I442" s="72" t="str">
        <f aca="false">IFERROR(VLOOKUP(C442,$AS$3:$AZ$10,8,FALSE()),IFERROR(VLOOKUP(C442,$AS$15:$AZ$22,8,FALSE()),""))</f>
        <v>Positivação + Expandir</v>
      </c>
      <c r="J442" s="73"/>
      <c r="K442" s="69" t="s">
        <v>99</v>
      </c>
      <c r="L442" s="74" t="n">
        <v>1617.53</v>
      </c>
      <c r="M442" s="75" t="n">
        <v>113.67</v>
      </c>
      <c r="N442" s="75" t="n">
        <v>118.78</v>
      </c>
      <c r="O442" s="75" t="n">
        <v>121.64</v>
      </c>
      <c r="P442" s="75" t="n">
        <v>124.81</v>
      </c>
      <c r="Q442" s="75" t="n">
        <v>128.9</v>
      </c>
      <c r="R442" s="75" t="n">
        <v>132.27</v>
      </c>
      <c r="S442" s="75" t="n">
        <v>137.38</v>
      </c>
      <c r="T442" s="75" t="n">
        <v>140.76</v>
      </c>
      <c r="U442" s="75" t="n">
        <v>143.93</v>
      </c>
      <c r="V442" s="75" t="n">
        <v>147.5</v>
      </c>
      <c r="W442" s="75" t="n">
        <v>151.39</v>
      </c>
      <c r="X442" s="76" t="n">
        <v>156.5</v>
      </c>
      <c r="Y442" s="77" t="s">
        <v>20</v>
      </c>
      <c r="Z442" s="78" t="n">
        <f aca="false">SUM(AA442:AL442)</f>
        <v>650.49</v>
      </c>
      <c r="AA442" s="75"/>
      <c r="AB442" s="75"/>
      <c r="AC442" s="79" t="n">
        <v>650.49</v>
      </c>
      <c r="AD442" s="75"/>
      <c r="AE442" s="75"/>
      <c r="AF442" s="75"/>
      <c r="AG442" s="75"/>
      <c r="AH442" s="75"/>
      <c r="AI442" s="75"/>
      <c r="AJ442" s="75"/>
      <c r="AK442" s="75"/>
      <c r="AL442" s="76"/>
      <c r="AM442" s="56" t="s">
        <v>20</v>
      </c>
      <c r="AN442" s="80" t="n">
        <f aca="false">IF(L442=0,0,Z442/L442)</f>
        <v>0.402150191959345</v>
      </c>
      <c r="AO442" s="81" t="str">
        <f aca="false">IF(AN442="","",IF(AN442&gt;=0.9,"🟢",IF(AN442&gt;=0.7,"🟡",IF(AN442&gt;=0.5,"🟠","🔴"))))</f>
        <v>🔴</v>
      </c>
      <c r="AP442" s="82" t="n">
        <f aca="false">IF(L442=0,0,L442-Z442)</f>
        <v>967.04</v>
      </c>
      <c r="AQ442" s="83" t="n">
        <f aca="false">IF(AP442=0,"",RANK(AP442,AP$4:AP$503,0))</f>
        <v>397</v>
      </c>
      <c r="AR442" s="84" t="s">
        <v>20</v>
      </c>
      <c r="AS442" s="141"/>
      <c r="AT442" s="141"/>
      <c r="AU442" s="141"/>
      <c r="AV442" s="141"/>
      <c r="AW442" s="141"/>
      <c r="AX442" s="141"/>
      <c r="AY442" s="142"/>
      <c r="AZ442" s="142"/>
      <c r="BA442" s="56" t="s">
        <v>20</v>
      </c>
      <c r="BB442" s="91" t="n">
        <f aca="false">SUM(L$4:L$503)/COUNTA(A$4:A$503)</f>
        <v>9494.39992</v>
      </c>
      <c r="BC442" s="92" t="n">
        <f aca="false">SUM(M$4:M$503)/COUNTA(A$4:A$503)</f>
        <v>667.20008</v>
      </c>
      <c r="BD442" s="92" t="n">
        <f aca="false">SUM(N$4:N$503)/COUNTA(A$4:A$503)</f>
        <v>697.19996</v>
      </c>
      <c r="BE442" s="92" t="n">
        <f aca="false">SUM(O$4:O$503)/COUNTA(A$4:A$503)</f>
        <v>713.9999</v>
      </c>
      <c r="BF442" s="92" t="n">
        <f aca="false">SUM(P$4:P$503)/COUNTA(A$4:A$503)</f>
        <v>732.59984</v>
      </c>
      <c r="BG442" s="92" t="n">
        <f aca="false">SUM(Q$4:Q$503)/COUNTA(A$4:A$503)</f>
        <v>756.59992</v>
      </c>
      <c r="BH442" s="92" t="n">
        <f aca="false">SUM(R$4:R$503)/COUNTA(A$4:A$503)</f>
        <v>776.40004</v>
      </c>
      <c r="BI442" s="92" t="n">
        <f aca="false">SUM(S$4:S$503)/COUNTA(A$4:A$503)</f>
        <v>806.40012</v>
      </c>
      <c r="BJ442" s="92" t="n">
        <f aca="false">SUM(T$4:T$503)/COUNTA(A$4:A$503)</f>
        <v>826.1999</v>
      </c>
      <c r="BK442" s="92" t="n">
        <f aca="false">SUM(U$4:U$503)/COUNTA(A$4:A$503)</f>
        <v>844.8002</v>
      </c>
      <c r="BL442" s="92" t="n">
        <f aca="false">SUM(V$4:V$503)/COUNTA(A$4:A$503)</f>
        <v>865.7998</v>
      </c>
      <c r="BM442" s="92" t="n">
        <f aca="false">SUM(W$4:W$503)/COUNTA(A$4:A$503)</f>
        <v>888.59982</v>
      </c>
      <c r="BN442" s="93" t="n">
        <f aca="false">SUM(X$4:X$503)/COUNTA(A$4:A$503)</f>
        <v>918.60034</v>
      </c>
      <c r="BO442" s="94" t="s">
        <v>20</v>
      </c>
      <c r="BP442" s="91" t="n">
        <f aca="false">IF(Z442&gt;=BB442,0,IFERROR(BB442+(SUMPRODUCT((Z$4:Z$503&gt;=BB$4:BB$503)*(Z$4:Z$503-BB$4:BB$503))/MAX(1,COUNTIF(Z$4:Z$503,"&lt;"&amp;BB442+0.01))),BB442))</f>
        <v>10695.5432177778</v>
      </c>
      <c r="BQ442" s="92" t="n">
        <f aca="false">IF(AA442&gt;=BC442,0,IFERROR(BC442+SUMPRODUCT((AA$4:AA$503&gt;=BC$4:BC$503)*(AA$4:AA$503-BC$4:BC$503))/MAX(1,COUNTIF(AA$4:AA$503,"&lt;"&amp;BC442+0.01)),BC442))</f>
        <v>2238.46589176471</v>
      </c>
      <c r="BR442" s="92" t="n">
        <f aca="false">IF(AB442&gt;=BD442,0,IFERROR(BD442+SUMPRODUCT((AB$4:AB$503&gt;=BD$4:BD$503)*(AB$4:AB$503-BD$4:BD$503))/MAX(1,COUNTIF(AB$4:AB$503,"&lt;"&amp;BD442+0.01)),BD442))</f>
        <v>3335.2938</v>
      </c>
      <c r="BS442" s="92" t="n">
        <f aca="false">IF(AC442&gt;=BE442,0,IFERROR(BE442+SUMPRODUCT((AC$4:AC$503&gt;=BE$4:BE$503)*(AC$4:AC$503-BE$4:BE$503))/MAX(1,COUNTIF(AC$4:AC$503,"&lt;"&amp;BE442+0.01)),BE442))</f>
        <v>6188.73352</v>
      </c>
      <c r="BT442" s="92" t="n">
        <f aca="false">IF(AD442&gt;=BF442,0,IFERROR(BF442+SUMPRODUCT((AD$4:AD$503&gt;=BF$4:BF$503)*(AD$4:AD$503-BF$4:BF$503))/MAX(1,COUNTIF(AD$4:AD$503,"&lt;"&amp;BF442+0.01)),BF442))</f>
        <v>11354.35411</v>
      </c>
      <c r="BU442" s="92" t="n">
        <f aca="false">IF(AE442&gt;=BG442,0,IFERROR(BG442+SUMPRODUCT((AE$4:AE$503&gt;=BG$4:BG$503)*(AE$4:AE$503-BG$4:BG$503))/MAX(1,COUNTIF(AE$4:AE$503,"&lt;"&amp;BG442+0.01)),BG442))</f>
        <v>7704.85920380952</v>
      </c>
      <c r="BV442" s="92" t="n">
        <f aca="false">IF(AF442&gt;=BH442,0,IFERROR(BH442+SUMPRODUCT((AF$4:AF$503&gt;=BH$4:BH$503)*(AF$4:AF$503-BH$4:BH$503))/MAX(1,COUNTIF(AF$4:AF$503,"&lt;"&amp;BH442+0.01)),BH442))</f>
        <v>9942.6503831579</v>
      </c>
      <c r="BW442" s="92" t="n">
        <f aca="false">IF(AG442&gt;=BI442,0,IFERROR(BI442+SUMPRODUCT((AG$4:AG$503&gt;=BI$4:BI$503)*(AG$4:AG$503-BI$4:BI$503))/MAX(1,COUNTIF(AG$4:AG$503,"&lt;"&amp;BI442+0.01)),BI442))</f>
        <v>9142.15870461538</v>
      </c>
      <c r="BX442" s="92" t="n">
        <f aca="false">IF(AH442&gt;=BJ442,0,IFERROR(BJ442+SUMPRODUCT((AH$4:AH$503&gt;=BJ$4:BJ$503)*(AH$4:AH$503-BJ$4:BJ$503))/MAX(1,COUNTIF(AH$4:AH$503,"&lt;"&amp;BJ442+0.01)),BJ442))</f>
        <v>5621.50263448276</v>
      </c>
      <c r="BY442" s="92" t="n">
        <f aca="false">IF(AI442&gt;=BK442,0,IFERROR(BK442+SUMPRODUCT((AI$4:AI$503&gt;=BK$4:BK$503)*(AI$4:AI$503-BK$4:BK$503))/MAX(1,COUNTIF(AI$4:AI$503,"&lt;"&amp;BK442+0.01)),BK442))</f>
        <v>7878.25652380952</v>
      </c>
      <c r="BZ442" s="92" t="n">
        <f aca="false">IF(AJ442&gt;=BL442,0,IFERROR(BL442+SUMPRODUCT((AJ$4:AJ$503&gt;=BL$4:BL$503)*(AJ$4:AJ$503-BL$4:BL$503))/MAX(1,COUNTIF(AJ$4:AJ$503,"&lt;"&amp;BL442+0.01)),BL442))</f>
        <v>6710.03292307692</v>
      </c>
      <c r="CA442" s="92" t="n">
        <f aca="false">IF(AK442&gt;=BM442,0,IFERROR(BM442+SUMPRODUCT((AK$4:AK$503&gt;=BM$4:BM$503)*(AK$4:AK$503-BM$4:BM$503))/MAX(1,COUNTIF(AK$4:AK$503,"&lt;"&amp;BM442+0.01)),BM442))</f>
        <v>7314.89836842105</v>
      </c>
      <c r="CB442" s="93" t="n">
        <f aca="false">IF(AL442&gt;=BN442,0,IFERROR(BN442+SUMPRODUCT((AL$4:AL$503&gt;=BN$4:BN$503)*(AL$4:AL$503-BN$4:BN$503))/MAX(1,COUNTIF(AL$4:AL$503,"&lt;"&amp;BN442+0.01)),BN442))</f>
        <v>3597.2614925</v>
      </c>
      <c r="CC442" s="95" t="str">
        <f aca="false">IF(AO442="🟢","VERDE",IF(AO442="🟡","AMARELO",IF(AO442="🟠","VERMELHO",IF(AO442="🔴","VERMELHO","ROXO"))))</f>
        <v>VERMELHO</v>
      </c>
      <c r="CD442" s="96" t="s">
        <v>103</v>
      </c>
      <c r="CE442" s="96" t="s">
        <v>104</v>
      </c>
    </row>
    <row r="443" customFormat="false" ht="14.25" hidden="false" customHeight="true" outlineLevel="0" collapsed="false">
      <c r="A443" s="65" t="s">
        <v>1019</v>
      </c>
      <c r="B443" s="66" t="s">
        <v>1020</v>
      </c>
      <c r="C443" s="67" t="s">
        <v>107</v>
      </c>
      <c r="D443" s="68" t="s">
        <v>108</v>
      </c>
      <c r="E443" s="69" t="s">
        <v>139</v>
      </c>
      <c r="F443" s="70" t="n">
        <f aca="false">IFERROR(VLOOKUP(C443,$AS$3:$AT$10,2,FALSE()),IFERROR(VLOOKUP(C443,$AS$15:$AT$22,2,FALSE()),""))</f>
        <v>132</v>
      </c>
      <c r="G443" s="71" t="n">
        <f aca="false">IFERROR(VLOOKUP(C443,$AS$3:$AX$10,6,FALSE()),IFERROR(VLOOKUP(C443,$AS$15:$AX$22,6,FALSE()),""))</f>
        <v>0.468190175850689</v>
      </c>
      <c r="H443" s="72" t="str">
        <f aca="false">IFERROR(VLOOKUP(C443,$AS$3:$AY$10,7,FALSE()),IFERROR(VLOOKUP(C443,$AS$15:$AY$22,7,FALSE()),""))</f>
        <v>🟡 AMARELO</v>
      </c>
      <c r="I443" s="72" t="str">
        <f aca="false">IFERROR(VLOOKUP(C443,$AS$3:$AZ$10,8,FALSE()),IFERROR(VLOOKUP(C443,$AS$15:$AZ$22,8,FALSE()),""))</f>
        <v>Sell Out</v>
      </c>
      <c r="J443" s="73"/>
      <c r="K443" s="69" t="s">
        <v>107</v>
      </c>
      <c r="L443" s="74" t="n">
        <v>1615.75</v>
      </c>
      <c r="M443" s="75" t="n">
        <v>113.54</v>
      </c>
      <c r="N443" s="75" t="n">
        <v>118.65</v>
      </c>
      <c r="O443" s="75" t="n">
        <v>121.51</v>
      </c>
      <c r="P443" s="75" t="n">
        <v>124.67</v>
      </c>
      <c r="Q443" s="75" t="n">
        <v>128.76</v>
      </c>
      <c r="R443" s="75" t="n">
        <v>132.13</v>
      </c>
      <c r="S443" s="75" t="n">
        <v>137.23</v>
      </c>
      <c r="T443" s="75" t="n">
        <v>140.6</v>
      </c>
      <c r="U443" s="75" t="n">
        <v>143.77</v>
      </c>
      <c r="V443" s="75" t="n">
        <v>147.34</v>
      </c>
      <c r="W443" s="75" t="n">
        <v>151.22</v>
      </c>
      <c r="X443" s="76" t="n">
        <v>156.33</v>
      </c>
      <c r="Y443" s="77" t="s">
        <v>20</v>
      </c>
      <c r="Z443" s="78" t="n">
        <f aca="false">SUM(AA443:AL443)</f>
        <v>661.57</v>
      </c>
      <c r="AA443" s="75"/>
      <c r="AB443" s="75"/>
      <c r="AC443" s="75"/>
      <c r="AD443" s="75"/>
      <c r="AE443" s="75"/>
      <c r="AF443" s="79" t="n">
        <v>661.57</v>
      </c>
      <c r="AG443" s="75"/>
      <c r="AH443" s="75"/>
      <c r="AI443" s="75"/>
      <c r="AJ443" s="75"/>
      <c r="AK443" s="75"/>
      <c r="AL443" s="76"/>
      <c r="AM443" s="56" t="s">
        <v>20</v>
      </c>
      <c r="AN443" s="80" t="n">
        <f aca="false">IF(L443=0,0,Z443/L443)</f>
        <v>0.409450719480118</v>
      </c>
      <c r="AO443" s="81" t="str">
        <f aca="false">IF(AN443="","",IF(AN443&gt;=0.9,"🟢",IF(AN443&gt;=0.7,"🟡",IF(AN443&gt;=0.5,"🟠","🔴"))))</f>
        <v>🔴</v>
      </c>
      <c r="AP443" s="82" t="n">
        <f aca="false">IF(L443=0,0,L443-Z443)</f>
        <v>954.18</v>
      </c>
      <c r="AQ443" s="83" t="n">
        <f aca="false">IF(AP443=0,"",RANK(AP443,AP$4:AP$503,0))</f>
        <v>401</v>
      </c>
      <c r="AR443" s="84" t="s">
        <v>20</v>
      </c>
      <c r="AS443" s="141"/>
      <c r="AT443" s="141"/>
      <c r="AU443" s="141"/>
      <c r="AV443" s="141"/>
      <c r="AW443" s="141"/>
      <c r="AX443" s="141"/>
      <c r="AY443" s="142"/>
      <c r="AZ443" s="142"/>
      <c r="BA443" s="56" t="s">
        <v>20</v>
      </c>
      <c r="BB443" s="91" t="n">
        <f aca="false">SUM(L$4:L$503)/COUNTA(A$4:A$503)</f>
        <v>9494.39992</v>
      </c>
      <c r="BC443" s="92" t="n">
        <f aca="false">SUM(M$4:M$503)/COUNTA(A$4:A$503)</f>
        <v>667.20008</v>
      </c>
      <c r="BD443" s="92" t="n">
        <f aca="false">SUM(N$4:N$503)/COUNTA(A$4:A$503)</f>
        <v>697.19996</v>
      </c>
      <c r="BE443" s="92" t="n">
        <f aca="false">SUM(O$4:O$503)/COUNTA(A$4:A$503)</f>
        <v>713.9999</v>
      </c>
      <c r="BF443" s="92" t="n">
        <f aca="false">SUM(P$4:P$503)/COUNTA(A$4:A$503)</f>
        <v>732.59984</v>
      </c>
      <c r="BG443" s="92" t="n">
        <f aca="false">SUM(Q$4:Q$503)/COUNTA(A$4:A$503)</f>
        <v>756.59992</v>
      </c>
      <c r="BH443" s="92" t="n">
        <f aca="false">SUM(R$4:R$503)/COUNTA(A$4:A$503)</f>
        <v>776.40004</v>
      </c>
      <c r="BI443" s="92" t="n">
        <f aca="false">SUM(S$4:S$503)/COUNTA(A$4:A$503)</f>
        <v>806.40012</v>
      </c>
      <c r="BJ443" s="92" t="n">
        <f aca="false">SUM(T$4:T$503)/COUNTA(A$4:A$503)</f>
        <v>826.1999</v>
      </c>
      <c r="BK443" s="92" t="n">
        <f aca="false">SUM(U$4:U$503)/COUNTA(A$4:A$503)</f>
        <v>844.8002</v>
      </c>
      <c r="BL443" s="92" t="n">
        <f aca="false">SUM(V$4:V$503)/COUNTA(A$4:A$503)</f>
        <v>865.7998</v>
      </c>
      <c r="BM443" s="92" t="n">
        <f aca="false">SUM(W$4:W$503)/COUNTA(A$4:A$503)</f>
        <v>888.59982</v>
      </c>
      <c r="BN443" s="93" t="n">
        <f aca="false">SUM(X$4:X$503)/COUNTA(A$4:A$503)</f>
        <v>918.60034</v>
      </c>
      <c r="BO443" s="94" t="s">
        <v>20</v>
      </c>
      <c r="BP443" s="91" t="n">
        <f aca="false">IF(Z443&gt;=BB443,0,IFERROR(BB443+(SUMPRODUCT((Z$4:Z$503&gt;=BB$4:BB$503)*(Z$4:Z$503-BB$4:BB$503))/MAX(1,COUNTIF(Z$4:Z$503,"&lt;"&amp;BB443+0.01))),BB443))</f>
        <v>10695.5432177778</v>
      </c>
      <c r="BQ443" s="92" t="n">
        <f aca="false">IF(AA443&gt;=BC443,0,IFERROR(BC443+SUMPRODUCT((AA$4:AA$503&gt;=BC$4:BC$503)*(AA$4:AA$503-BC$4:BC$503))/MAX(1,COUNTIF(AA$4:AA$503,"&lt;"&amp;BC443+0.01)),BC443))</f>
        <v>2238.46589176471</v>
      </c>
      <c r="BR443" s="92" t="n">
        <f aca="false">IF(AB443&gt;=BD443,0,IFERROR(BD443+SUMPRODUCT((AB$4:AB$503&gt;=BD$4:BD$503)*(AB$4:AB$503-BD$4:BD$503))/MAX(1,COUNTIF(AB$4:AB$503,"&lt;"&amp;BD443+0.01)),BD443))</f>
        <v>3335.2938</v>
      </c>
      <c r="BS443" s="92" t="n">
        <f aca="false">IF(AC443&gt;=BE443,0,IFERROR(BE443+SUMPRODUCT((AC$4:AC$503&gt;=BE$4:BE$503)*(AC$4:AC$503-BE$4:BE$503))/MAX(1,COUNTIF(AC$4:AC$503,"&lt;"&amp;BE443+0.01)),BE443))</f>
        <v>6188.73352</v>
      </c>
      <c r="BT443" s="92" t="n">
        <f aca="false">IF(AD443&gt;=BF443,0,IFERROR(BF443+SUMPRODUCT((AD$4:AD$503&gt;=BF$4:BF$503)*(AD$4:AD$503-BF$4:BF$503))/MAX(1,COUNTIF(AD$4:AD$503,"&lt;"&amp;BF443+0.01)),BF443))</f>
        <v>11354.35411</v>
      </c>
      <c r="BU443" s="92" t="n">
        <f aca="false">IF(AE443&gt;=BG443,0,IFERROR(BG443+SUMPRODUCT((AE$4:AE$503&gt;=BG$4:BG$503)*(AE$4:AE$503-BG$4:BG$503))/MAX(1,COUNTIF(AE$4:AE$503,"&lt;"&amp;BG443+0.01)),BG443))</f>
        <v>7704.85920380952</v>
      </c>
      <c r="BV443" s="92" t="n">
        <f aca="false">IF(AF443&gt;=BH443,0,IFERROR(BH443+SUMPRODUCT((AF$4:AF$503&gt;=BH$4:BH$503)*(AF$4:AF$503-BH$4:BH$503))/MAX(1,COUNTIF(AF$4:AF$503,"&lt;"&amp;BH443+0.01)),BH443))</f>
        <v>9942.6503831579</v>
      </c>
      <c r="BW443" s="92" t="n">
        <f aca="false">IF(AG443&gt;=BI443,0,IFERROR(BI443+SUMPRODUCT((AG$4:AG$503&gt;=BI$4:BI$503)*(AG$4:AG$503-BI$4:BI$503))/MAX(1,COUNTIF(AG$4:AG$503,"&lt;"&amp;BI443+0.01)),BI443))</f>
        <v>9142.15870461538</v>
      </c>
      <c r="BX443" s="92" t="n">
        <f aca="false">IF(AH443&gt;=BJ443,0,IFERROR(BJ443+SUMPRODUCT((AH$4:AH$503&gt;=BJ$4:BJ$503)*(AH$4:AH$503-BJ$4:BJ$503))/MAX(1,COUNTIF(AH$4:AH$503,"&lt;"&amp;BJ443+0.01)),BJ443))</f>
        <v>5621.50263448276</v>
      </c>
      <c r="BY443" s="92" t="n">
        <f aca="false">IF(AI443&gt;=BK443,0,IFERROR(BK443+SUMPRODUCT((AI$4:AI$503&gt;=BK$4:BK$503)*(AI$4:AI$503-BK$4:BK$503))/MAX(1,COUNTIF(AI$4:AI$503,"&lt;"&amp;BK443+0.01)),BK443))</f>
        <v>7878.25652380952</v>
      </c>
      <c r="BZ443" s="92" t="n">
        <f aca="false">IF(AJ443&gt;=BL443,0,IFERROR(BL443+SUMPRODUCT((AJ$4:AJ$503&gt;=BL$4:BL$503)*(AJ$4:AJ$503-BL$4:BL$503))/MAX(1,COUNTIF(AJ$4:AJ$503,"&lt;"&amp;BL443+0.01)),BL443))</f>
        <v>6710.03292307692</v>
      </c>
      <c r="CA443" s="92" t="n">
        <f aca="false">IF(AK443&gt;=BM443,0,IFERROR(BM443+SUMPRODUCT((AK$4:AK$503&gt;=BM$4:BM$503)*(AK$4:AK$503-BM$4:BM$503))/MAX(1,COUNTIF(AK$4:AK$503,"&lt;"&amp;BM443+0.01)),BM443))</f>
        <v>7314.89836842105</v>
      </c>
      <c r="CB443" s="93" t="n">
        <f aca="false">IF(AL443&gt;=BN443,0,IFERROR(BN443+SUMPRODUCT((AL$4:AL$503&gt;=BN$4:BN$503)*(AL$4:AL$503-BN$4:BN$503))/MAX(1,COUNTIF(AL$4:AL$503,"&lt;"&amp;BN443+0.01)),BN443))</f>
        <v>3597.2614925</v>
      </c>
      <c r="CC443" s="95" t="str">
        <f aca="false">IF(AO443="🟢","VERDE",IF(AO443="🟡","AMARELO",IF(AO443="🟠","VERMELHO",IF(AO443="🔴","VERMELHO","ROXO"))))</f>
        <v>VERMELHO</v>
      </c>
      <c r="CD443" s="96" t="s">
        <v>103</v>
      </c>
      <c r="CE443" s="96" t="s">
        <v>104</v>
      </c>
    </row>
    <row r="444" customFormat="false" ht="14.25" hidden="false" customHeight="true" outlineLevel="0" collapsed="false">
      <c r="A444" s="65" t="s">
        <v>1021</v>
      </c>
      <c r="B444" s="66" t="s">
        <v>1022</v>
      </c>
      <c r="C444" s="67" t="s">
        <v>107</v>
      </c>
      <c r="D444" s="68" t="s">
        <v>108</v>
      </c>
      <c r="E444" s="69" t="s">
        <v>196</v>
      </c>
      <c r="F444" s="70" t="n">
        <f aca="false">IFERROR(VLOOKUP(C444,$AS$3:$AT$10,2,FALSE()),IFERROR(VLOOKUP(C444,$AS$15:$AT$22,2,FALSE()),""))</f>
        <v>132</v>
      </c>
      <c r="G444" s="71" t="n">
        <f aca="false">IFERROR(VLOOKUP(C444,$AS$3:$AX$10,6,FALSE()),IFERROR(VLOOKUP(C444,$AS$15:$AX$22,6,FALSE()),""))</f>
        <v>0.468190175850689</v>
      </c>
      <c r="H444" s="72" t="str">
        <f aca="false">IFERROR(VLOOKUP(C444,$AS$3:$AY$10,7,FALSE()),IFERROR(VLOOKUP(C444,$AS$15:$AY$22,7,FALSE()),""))</f>
        <v>🟡 AMARELO</v>
      </c>
      <c r="I444" s="72" t="str">
        <f aca="false">IFERROR(VLOOKUP(C444,$AS$3:$AZ$10,8,FALSE()),IFERROR(VLOOKUP(C444,$AS$15:$AZ$22,8,FALSE()),""))</f>
        <v>Sell Out</v>
      </c>
      <c r="J444" s="73"/>
      <c r="K444" s="69" t="s">
        <v>107</v>
      </c>
      <c r="L444" s="74" t="n">
        <v>1615.59</v>
      </c>
      <c r="M444" s="75" t="n">
        <v>113.53</v>
      </c>
      <c r="N444" s="75" t="n">
        <v>118.64</v>
      </c>
      <c r="O444" s="75" t="n">
        <v>121.5</v>
      </c>
      <c r="P444" s="75" t="n">
        <v>124.66</v>
      </c>
      <c r="Q444" s="75" t="n">
        <v>128.74</v>
      </c>
      <c r="R444" s="75" t="n">
        <v>132.11</v>
      </c>
      <c r="S444" s="75" t="n">
        <v>137.22</v>
      </c>
      <c r="T444" s="75" t="n">
        <v>140.59</v>
      </c>
      <c r="U444" s="75" t="n">
        <v>143.75</v>
      </c>
      <c r="V444" s="75" t="n">
        <v>147.33</v>
      </c>
      <c r="W444" s="75" t="n">
        <v>151.21</v>
      </c>
      <c r="X444" s="76" t="n">
        <v>156.31</v>
      </c>
      <c r="Y444" s="77" t="s">
        <v>20</v>
      </c>
      <c r="Z444" s="78" t="n">
        <f aca="false">SUM(AA444:AL444)</f>
        <v>649.71</v>
      </c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9" t="n">
        <v>649.71</v>
      </c>
      <c r="AL444" s="76"/>
      <c r="AM444" s="56" t="s">
        <v>20</v>
      </c>
      <c r="AN444" s="80" t="n">
        <f aca="false">IF(L444=0,0,Z444/L444)</f>
        <v>0.402150298033536</v>
      </c>
      <c r="AO444" s="81" t="str">
        <f aca="false">IF(AN444="","",IF(AN444&gt;=0.9,"🟢",IF(AN444&gt;=0.7,"🟡",IF(AN444&gt;=0.5,"🟠","🔴"))))</f>
        <v>🔴</v>
      </c>
      <c r="AP444" s="82" t="n">
        <f aca="false">IF(L444=0,0,L444-Z444)</f>
        <v>965.88</v>
      </c>
      <c r="AQ444" s="83" t="n">
        <f aca="false">IF(AP444=0,"",RANK(AP444,AP$4:AP$503,0))</f>
        <v>399</v>
      </c>
      <c r="AR444" s="84" t="s">
        <v>20</v>
      </c>
      <c r="AS444" s="141"/>
      <c r="AT444" s="141"/>
      <c r="AU444" s="141"/>
      <c r="AV444" s="141"/>
      <c r="AW444" s="141"/>
      <c r="AX444" s="141"/>
      <c r="AY444" s="142"/>
      <c r="AZ444" s="142"/>
      <c r="BA444" s="56" t="s">
        <v>20</v>
      </c>
      <c r="BB444" s="91" t="n">
        <f aca="false">SUM(L$4:L$503)/COUNTA(A$4:A$503)</f>
        <v>9494.39992</v>
      </c>
      <c r="BC444" s="92" t="n">
        <f aca="false">SUM(M$4:M$503)/COUNTA(A$4:A$503)</f>
        <v>667.20008</v>
      </c>
      <c r="BD444" s="92" t="n">
        <f aca="false">SUM(N$4:N$503)/COUNTA(A$4:A$503)</f>
        <v>697.19996</v>
      </c>
      <c r="BE444" s="92" t="n">
        <f aca="false">SUM(O$4:O$503)/COUNTA(A$4:A$503)</f>
        <v>713.9999</v>
      </c>
      <c r="BF444" s="92" t="n">
        <f aca="false">SUM(P$4:P$503)/COUNTA(A$4:A$503)</f>
        <v>732.59984</v>
      </c>
      <c r="BG444" s="92" t="n">
        <f aca="false">SUM(Q$4:Q$503)/COUNTA(A$4:A$503)</f>
        <v>756.59992</v>
      </c>
      <c r="BH444" s="92" t="n">
        <f aca="false">SUM(R$4:R$503)/COUNTA(A$4:A$503)</f>
        <v>776.40004</v>
      </c>
      <c r="BI444" s="92" t="n">
        <f aca="false">SUM(S$4:S$503)/COUNTA(A$4:A$503)</f>
        <v>806.40012</v>
      </c>
      <c r="BJ444" s="92" t="n">
        <f aca="false">SUM(T$4:T$503)/COUNTA(A$4:A$503)</f>
        <v>826.1999</v>
      </c>
      <c r="BK444" s="92" t="n">
        <f aca="false">SUM(U$4:U$503)/COUNTA(A$4:A$503)</f>
        <v>844.8002</v>
      </c>
      <c r="BL444" s="92" t="n">
        <f aca="false">SUM(V$4:V$503)/COUNTA(A$4:A$503)</f>
        <v>865.7998</v>
      </c>
      <c r="BM444" s="92" t="n">
        <f aca="false">SUM(W$4:W$503)/COUNTA(A$4:A$503)</f>
        <v>888.59982</v>
      </c>
      <c r="BN444" s="93" t="n">
        <f aca="false">SUM(X$4:X$503)/COUNTA(A$4:A$503)</f>
        <v>918.60034</v>
      </c>
      <c r="BO444" s="94" t="s">
        <v>20</v>
      </c>
      <c r="BP444" s="91" t="n">
        <f aca="false">IF(Z444&gt;=BB444,0,IFERROR(BB444+(SUMPRODUCT((Z$4:Z$503&gt;=BB$4:BB$503)*(Z$4:Z$503-BB$4:BB$503))/MAX(1,COUNTIF(Z$4:Z$503,"&lt;"&amp;BB444+0.01))),BB444))</f>
        <v>10695.5432177778</v>
      </c>
      <c r="BQ444" s="92" t="n">
        <f aca="false">IF(AA444&gt;=BC444,0,IFERROR(BC444+SUMPRODUCT((AA$4:AA$503&gt;=BC$4:BC$503)*(AA$4:AA$503-BC$4:BC$503))/MAX(1,COUNTIF(AA$4:AA$503,"&lt;"&amp;BC444+0.01)),BC444))</f>
        <v>2238.46589176471</v>
      </c>
      <c r="BR444" s="92" t="n">
        <f aca="false">IF(AB444&gt;=BD444,0,IFERROR(BD444+SUMPRODUCT((AB$4:AB$503&gt;=BD$4:BD$503)*(AB$4:AB$503-BD$4:BD$503))/MAX(1,COUNTIF(AB$4:AB$503,"&lt;"&amp;BD444+0.01)),BD444))</f>
        <v>3335.2938</v>
      </c>
      <c r="BS444" s="92" t="n">
        <f aca="false">IF(AC444&gt;=BE444,0,IFERROR(BE444+SUMPRODUCT((AC$4:AC$503&gt;=BE$4:BE$503)*(AC$4:AC$503-BE$4:BE$503))/MAX(1,COUNTIF(AC$4:AC$503,"&lt;"&amp;BE444+0.01)),BE444))</f>
        <v>6188.73352</v>
      </c>
      <c r="BT444" s="92" t="n">
        <f aca="false">IF(AD444&gt;=BF444,0,IFERROR(BF444+SUMPRODUCT((AD$4:AD$503&gt;=BF$4:BF$503)*(AD$4:AD$503-BF$4:BF$503))/MAX(1,COUNTIF(AD$4:AD$503,"&lt;"&amp;BF444+0.01)),BF444))</f>
        <v>11354.35411</v>
      </c>
      <c r="BU444" s="92" t="n">
        <f aca="false">IF(AE444&gt;=BG444,0,IFERROR(BG444+SUMPRODUCT((AE$4:AE$503&gt;=BG$4:BG$503)*(AE$4:AE$503-BG$4:BG$503))/MAX(1,COUNTIF(AE$4:AE$503,"&lt;"&amp;BG444+0.01)),BG444))</f>
        <v>7704.85920380952</v>
      </c>
      <c r="BV444" s="92" t="n">
        <f aca="false">IF(AF444&gt;=BH444,0,IFERROR(BH444+SUMPRODUCT((AF$4:AF$503&gt;=BH$4:BH$503)*(AF$4:AF$503-BH$4:BH$503))/MAX(1,COUNTIF(AF$4:AF$503,"&lt;"&amp;BH444+0.01)),BH444))</f>
        <v>9942.6503831579</v>
      </c>
      <c r="BW444" s="92" t="n">
        <f aca="false">IF(AG444&gt;=BI444,0,IFERROR(BI444+SUMPRODUCT((AG$4:AG$503&gt;=BI$4:BI$503)*(AG$4:AG$503-BI$4:BI$503))/MAX(1,COUNTIF(AG$4:AG$503,"&lt;"&amp;BI444+0.01)),BI444))</f>
        <v>9142.15870461538</v>
      </c>
      <c r="BX444" s="92" t="n">
        <f aca="false">IF(AH444&gt;=BJ444,0,IFERROR(BJ444+SUMPRODUCT((AH$4:AH$503&gt;=BJ$4:BJ$503)*(AH$4:AH$503-BJ$4:BJ$503))/MAX(1,COUNTIF(AH$4:AH$503,"&lt;"&amp;BJ444+0.01)),BJ444))</f>
        <v>5621.50263448276</v>
      </c>
      <c r="BY444" s="92" t="n">
        <f aca="false">IF(AI444&gt;=BK444,0,IFERROR(BK444+SUMPRODUCT((AI$4:AI$503&gt;=BK$4:BK$503)*(AI$4:AI$503-BK$4:BK$503))/MAX(1,COUNTIF(AI$4:AI$503,"&lt;"&amp;BK444+0.01)),BK444))</f>
        <v>7878.25652380952</v>
      </c>
      <c r="BZ444" s="92" t="n">
        <f aca="false">IF(AJ444&gt;=BL444,0,IFERROR(BL444+SUMPRODUCT((AJ$4:AJ$503&gt;=BL$4:BL$503)*(AJ$4:AJ$503-BL$4:BL$503))/MAX(1,COUNTIF(AJ$4:AJ$503,"&lt;"&amp;BL444+0.01)),BL444))</f>
        <v>6710.03292307692</v>
      </c>
      <c r="CA444" s="92" t="n">
        <f aca="false">IF(AK444&gt;=BM444,0,IFERROR(BM444+SUMPRODUCT((AK$4:AK$503&gt;=BM$4:BM$503)*(AK$4:AK$503-BM$4:BM$503))/MAX(1,COUNTIF(AK$4:AK$503,"&lt;"&amp;BM444+0.01)),BM444))</f>
        <v>7314.89836842105</v>
      </c>
      <c r="CB444" s="93" t="n">
        <f aca="false">IF(AL444&gt;=BN444,0,IFERROR(BN444+SUMPRODUCT((AL$4:AL$503&gt;=BN$4:BN$503)*(AL$4:AL$503-BN$4:BN$503))/MAX(1,COUNTIF(AL$4:AL$503,"&lt;"&amp;BN444+0.01)),BN444))</f>
        <v>3597.2614925</v>
      </c>
      <c r="CC444" s="95" t="str">
        <f aca="false">IF(AO444="🟢","VERDE",IF(AO444="🟡","AMARELO",IF(AO444="🟠","VERMELHO",IF(AO444="🔴","VERMELHO","ROXO"))))</f>
        <v>VERMELHO</v>
      </c>
      <c r="CD444" s="96" t="s">
        <v>103</v>
      </c>
      <c r="CE444" s="96" t="s">
        <v>104</v>
      </c>
    </row>
    <row r="445" customFormat="false" ht="14.25" hidden="false" customHeight="true" outlineLevel="0" collapsed="false">
      <c r="A445" s="65" t="s">
        <v>1023</v>
      </c>
      <c r="B445" s="66" t="s">
        <v>1024</v>
      </c>
      <c r="C445" s="67" t="s">
        <v>123</v>
      </c>
      <c r="D445" s="68" t="s">
        <v>108</v>
      </c>
      <c r="E445" s="56" t="s">
        <v>20</v>
      </c>
      <c r="F445" s="70" t="n">
        <f aca="false">IFERROR(VLOOKUP(C445,$AS$3:$AT$10,2,FALSE()),IFERROR(VLOOKUP(C445,$AS$15:$AT$22,2,FALSE()),""))</f>
        <v>49</v>
      </c>
      <c r="G445" s="71" t="n">
        <f aca="false">IFERROR(VLOOKUP(C445,$AS$3:$AX$10,6,FALSE()),IFERROR(VLOOKUP(C445,$AS$15:$AX$22,6,FALSE()),""))</f>
        <v>0.436391353881959</v>
      </c>
      <c r="H445" s="72" t="str">
        <f aca="false">IFERROR(VLOOKUP(C445,$AS$3:$AY$10,7,FALSE()),IFERROR(VLOOKUP(C445,$AS$15:$AY$22,7,FALSE()),""))</f>
        <v>🟡 AMARELO</v>
      </c>
      <c r="I445" s="72" t="str">
        <f aca="false">IFERROR(VLOOKUP(C445,$AS$3:$AZ$10,8,FALSE()),IFERROR(VLOOKUP(C445,$AS$15:$AZ$22,8,FALSE()),""))</f>
        <v>Sell Out</v>
      </c>
      <c r="J445" s="73"/>
      <c r="K445" s="56" t="s">
        <v>20</v>
      </c>
      <c r="L445" s="74" t="n">
        <v>1600.75</v>
      </c>
      <c r="M445" s="75" t="n">
        <v>112.49</v>
      </c>
      <c r="N445" s="75" t="n">
        <v>117.55</v>
      </c>
      <c r="O445" s="75" t="n">
        <v>120.38</v>
      </c>
      <c r="P445" s="75" t="n">
        <v>123.52</v>
      </c>
      <c r="Q445" s="75" t="n">
        <v>127.56</v>
      </c>
      <c r="R445" s="75" t="n">
        <v>130.9</v>
      </c>
      <c r="S445" s="75" t="n">
        <v>135.96</v>
      </c>
      <c r="T445" s="75" t="n">
        <v>139.3</v>
      </c>
      <c r="U445" s="75" t="n">
        <v>142.43</v>
      </c>
      <c r="V445" s="75" t="n">
        <v>145.97</v>
      </c>
      <c r="W445" s="75" t="n">
        <v>149.82</v>
      </c>
      <c r="X445" s="76" t="n">
        <v>154.87</v>
      </c>
      <c r="Y445" s="77" t="s">
        <v>20</v>
      </c>
      <c r="Z445" s="78" t="n">
        <f aca="false">SUM(AA445:AL445)</f>
        <v>753.19</v>
      </c>
      <c r="AA445" s="75"/>
      <c r="AB445" s="75"/>
      <c r="AC445" s="75"/>
      <c r="AD445" s="75"/>
      <c r="AE445" s="75"/>
      <c r="AF445" s="75" t="n">
        <v>753.19</v>
      </c>
      <c r="AG445" s="75"/>
      <c r="AH445" s="75"/>
      <c r="AI445" s="75"/>
      <c r="AJ445" s="75"/>
      <c r="AK445" s="75"/>
      <c r="AL445" s="76"/>
      <c r="AM445" s="56" t="s">
        <v>20</v>
      </c>
      <c r="AN445" s="80" t="n">
        <f aca="false">IF(L445=0,0,Z445/L445)</f>
        <v>0.470523192253631</v>
      </c>
      <c r="AO445" s="81" t="str">
        <f aca="false">IF(AN445="","",IF(AN445&gt;=0.9,"🟢",IF(AN445&gt;=0.7,"🟡",IF(AN445&gt;=0.5,"🟠","🔴"))))</f>
        <v>🔴</v>
      </c>
      <c r="AP445" s="82" t="n">
        <f aca="false">IF(L445=0,0,L445-Z445)</f>
        <v>847.56</v>
      </c>
      <c r="AQ445" s="83" t="n">
        <f aca="false">IF(AP445=0,"",RANK(AP445,AP$4:AP$503,0))</f>
        <v>414</v>
      </c>
      <c r="AR445" s="84" t="s">
        <v>20</v>
      </c>
      <c r="AS445" s="141"/>
      <c r="AT445" s="141"/>
      <c r="AU445" s="141"/>
      <c r="AV445" s="141"/>
      <c r="AW445" s="141"/>
      <c r="AX445" s="141"/>
      <c r="AY445" s="142"/>
      <c r="AZ445" s="142"/>
      <c r="BA445" s="56" t="s">
        <v>20</v>
      </c>
      <c r="BB445" s="91" t="n">
        <f aca="false">SUM(L$4:L$503)/COUNTA(A$4:A$503)</f>
        <v>9494.39992</v>
      </c>
      <c r="BC445" s="92" t="n">
        <f aca="false">SUM(M$4:M$503)/COUNTA(A$4:A$503)</f>
        <v>667.20008</v>
      </c>
      <c r="BD445" s="92" t="n">
        <f aca="false">SUM(N$4:N$503)/COUNTA(A$4:A$503)</f>
        <v>697.19996</v>
      </c>
      <c r="BE445" s="92" t="n">
        <f aca="false">SUM(O$4:O$503)/COUNTA(A$4:A$503)</f>
        <v>713.9999</v>
      </c>
      <c r="BF445" s="92" t="n">
        <f aca="false">SUM(P$4:P$503)/COUNTA(A$4:A$503)</f>
        <v>732.59984</v>
      </c>
      <c r="BG445" s="92" t="n">
        <f aca="false">SUM(Q$4:Q$503)/COUNTA(A$4:A$503)</f>
        <v>756.59992</v>
      </c>
      <c r="BH445" s="92" t="n">
        <f aca="false">SUM(R$4:R$503)/COUNTA(A$4:A$503)</f>
        <v>776.40004</v>
      </c>
      <c r="BI445" s="92" t="n">
        <f aca="false">SUM(S$4:S$503)/COUNTA(A$4:A$503)</f>
        <v>806.40012</v>
      </c>
      <c r="BJ445" s="92" t="n">
        <f aca="false">SUM(T$4:T$503)/COUNTA(A$4:A$503)</f>
        <v>826.1999</v>
      </c>
      <c r="BK445" s="92" t="n">
        <f aca="false">SUM(U$4:U$503)/COUNTA(A$4:A$503)</f>
        <v>844.8002</v>
      </c>
      <c r="BL445" s="92" t="n">
        <f aca="false">SUM(V$4:V$503)/COUNTA(A$4:A$503)</f>
        <v>865.7998</v>
      </c>
      <c r="BM445" s="92" t="n">
        <f aca="false">SUM(W$4:W$503)/COUNTA(A$4:A$503)</f>
        <v>888.59982</v>
      </c>
      <c r="BN445" s="93" t="n">
        <f aca="false">SUM(X$4:X$503)/COUNTA(A$4:A$503)</f>
        <v>918.60034</v>
      </c>
      <c r="BO445" s="94" t="s">
        <v>20</v>
      </c>
      <c r="BP445" s="91" t="n">
        <f aca="false">IF(Z445&gt;=BB445,0,IFERROR(BB445+(SUMPRODUCT((Z$4:Z$503&gt;=BB$4:BB$503)*(Z$4:Z$503-BB$4:BB$503))/MAX(1,COUNTIF(Z$4:Z$503,"&lt;"&amp;BB445+0.01))),BB445))</f>
        <v>10695.5432177778</v>
      </c>
      <c r="BQ445" s="92" t="n">
        <f aca="false">IF(AA445&gt;=BC445,0,IFERROR(BC445+SUMPRODUCT((AA$4:AA$503&gt;=BC$4:BC$503)*(AA$4:AA$503-BC$4:BC$503))/MAX(1,COUNTIF(AA$4:AA$503,"&lt;"&amp;BC445+0.01)),BC445))</f>
        <v>2238.46589176471</v>
      </c>
      <c r="BR445" s="92" t="n">
        <f aca="false">IF(AB445&gt;=BD445,0,IFERROR(BD445+SUMPRODUCT((AB$4:AB$503&gt;=BD$4:BD$503)*(AB$4:AB$503-BD$4:BD$503))/MAX(1,COUNTIF(AB$4:AB$503,"&lt;"&amp;BD445+0.01)),BD445))</f>
        <v>3335.2938</v>
      </c>
      <c r="BS445" s="92" t="n">
        <f aca="false">IF(AC445&gt;=BE445,0,IFERROR(BE445+SUMPRODUCT((AC$4:AC$503&gt;=BE$4:BE$503)*(AC$4:AC$503-BE$4:BE$503))/MAX(1,COUNTIF(AC$4:AC$503,"&lt;"&amp;BE445+0.01)),BE445))</f>
        <v>6188.73352</v>
      </c>
      <c r="BT445" s="92" t="n">
        <f aca="false">IF(AD445&gt;=BF445,0,IFERROR(BF445+SUMPRODUCT((AD$4:AD$503&gt;=BF$4:BF$503)*(AD$4:AD$503-BF$4:BF$503))/MAX(1,COUNTIF(AD$4:AD$503,"&lt;"&amp;BF445+0.01)),BF445))</f>
        <v>11354.35411</v>
      </c>
      <c r="BU445" s="92" t="n">
        <f aca="false">IF(AE445&gt;=BG445,0,IFERROR(BG445+SUMPRODUCT((AE$4:AE$503&gt;=BG$4:BG$503)*(AE$4:AE$503-BG$4:BG$503))/MAX(1,COUNTIF(AE$4:AE$503,"&lt;"&amp;BG445+0.01)),BG445))</f>
        <v>7704.85920380952</v>
      </c>
      <c r="BV445" s="92" t="n">
        <f aca="false">IF(AF445&gt;=BH445,0,IFERROR(BH445+SUMPRODUCT((AF$4:AF$503&gt;=BH$4:BH$503)*(AF$4:AF$503-BH$4:BH$503))/MAX(1,COUNTIF(AF$4:AF$503,"&lt;"&amp;BH445+0.01)),BH445))</f>
        <v>9942.6503831579</v>
      </c>
      <c r="BW445" s="92" t="n">
        <f aca="false">IF(AG445&gt;=BI445,0,IFERROR(BI445+SUMPRODUCT((AG$4:AG$503&gt;=BI$4:BI$503)*(AG$4:AG$503-BI$4:BI$503))/MAX(1,COUNTIF(AG$4:AG$503,"&lt;"&amp;BI445+0.01)),BI445))</f>
        <v>9142.15870461538</v>
      </c>
      <c r="BX445" s="92" t="n">
        <f aca="false">IF(AH445&gt;=BJ445,0,IFERROR(BJ445+SUMPRODUCT((AH$4:AH$503&gt;=BJ$4:BJ$503)*(AH$4:AH$503-BJ$4:BJ$503))/MAX(1,COUNTIF(AH$4:AH$503,"&lt;"&amp;BJ445+0.01)),BJ445))</f>
        <v>5621.50263448276</v>
      </c>
      <c r="BY445" s="92" t="n">
        <f aca="false">IF(AI445&gt;=BK445,0,IFERROR(BK445+SUMPRODUCT((AI$4:AI$503&gt;=BK$4:BK$503)*(AI$4:AI$503-BK$4:BK$503))/MAX(1,COUNTIF(AI$4:AI$503,"&lt;"&amp;BK445+0.01)),BK445))</f>
        <v>7878.25652380952</v>
      </c>
      <c r="BZ445" s="92" t="n">
        <f aca="false">IF(AJ445&gt;=BL445,0,IFERROR(BL445+SUMPRODUCT((AJ$4:AJ$503&gt;=BL$4:BL$503)*(AJ$4:AJ$503-BL$4:BL$503))/MAX(1,COUNTIF(AJ$4:AJ$503,"&lt;"&amp;BL445+0.01)),BL445))</f>
        <v>6710.03292307692</v>
      </c>
      <c r="CA445" s="92" t="n">
        <f aca="false">IF(AK445&gt;=BM445,0,IFERROR(BM445+SUMPRODUCT((AK$4:AK$503&gt;=BM$4:BM$503)*(AK$4:AK$503-BM$4:BM$503))/MAX(1,COUNTIF(AK$4:AK$503,"&lt;"&amp;BM445+0.01)),BM445))</f>
        <v>7314.89836842105</v>
      </c>
      <c r="CB445" s="93" t="n">
        <f aca="false">IF(AL445&gt;=BN445,0,IFERROR(BN445+SUMPRODUCT((AL$4:AL$503&gt;=BN$4:BN$503)*(AL$4:AL$503-BN$4:BN$503))/MAX(1,COUNTIF(AL$4:AL$503,"&lt;"&amp;BN445+0.01)),BN445))</f>
        <v>3597.2614925</v>
      </c>
      <c r="CC445" s="95" t="str">
        <f aca="false">IF(AO445="🟢","VERDE",IF(AO445="🟡","AMARELO",IF(AO445="🟠","VERMELHO",IF(AO445="🔴","VERMELHO","ROXO"))))</f>
        <v>VERMELHO</v>
      </c>
      <c r="CD445" s="96" t="s">
        <v>103</v>
      </c>
      <c r="CE445" s="96" t="s">
        <v>104</v>
      </c>
    </row>
    <row r="446" customFormat="false" ht="14.25" hidden="false" customHeight="true" outlineLevel="0" collapsed="false">
      <c r="A446" s="65" t="s">
        <v>1025</v>
      </c>
      <c r="B446" s="66" t="s">
        <v>1026</v>
      </c>
      <c r="C446" s="67" t="s">
        <v>107</v>
      </c>
      <c r="D446" s="68" t="s">
        <v>108</v>
      </c>
      <c r="E446" s="69" t="s">
        <v>139</v>
      </c>
      <c r="F446" s="70" t="n">
        <f aca="false">IFERROR(VLOOKUP(C446,$AS$3:$AT$10,2,FALSE()),IFERROR(VLOOKUP(C446,$AS$15:$AT$22,2,FALSE()),""))</f>
        <v>132</v>
      </c>
      <c r="G446" s="71" t="n">
        <f aca="false">IFERROR(VLOOKUP(C446,$AS$3:$AX$10,6,FALSE()),IFERROR(VLOOKUP(C446,$AS$15:$AX$22,6,FALSE()),""))</f>
        <v>0.468190175850689</v>
      </c>
      <c r="H446" s="72" t="str">
        <f aca="false">IFERROR(VLOOKUP(C446,$AS$3:$AY$10,7,FALSE()),IFERROR(VLOOKUP(C446,$AS$15:$AY$22,7,FALSE()),""))</f>
        <v>🟡 AMARELO</v>
      </c>
      <c r="I446" s="72" t="str">
        <f aca="false">IFERROR(VLOOKUP(C446,$AS$3:$AZ$10,8,FALSE()),IFERROR(VLOOKUP(C446,$AS$15:$AZ$22,8,FALSE()),""))</f>
        <v>Sell Out</v>
      </c>
      <c r="J446" s="73"/>
      <c r="K446" s="69" t="s">
        <v>107</v>
      </c>
      <c r="L446" s="74" t="n">
        <v>1593.75</v>
      </c>
      <c r="M446" s="75" t="n">
        <v>112</v>
      </c>
      <c r="N446" s="75" t="n">
        <v>117.03</v>
      </c>
      <c r="O446" s="75" t="n">
        <v>119.85</v>
      </c>
      <c r="P446" s="75" t="n">
        <v>122.98</v>
      </c>
      <c r="Q446" s="75" t="n">
        <v>127</v>
      </c>
      <c r="R446" s="75" t="n">
        <v>130.33</v>
      </c>
      <c r="S446" s="75" t="n">
        <v>135.36</v>
      </c>
      <c r="T446" s="75" t="n">
        <v>138.69</v>
      </c>
      <c r="U446" s="75" t="n">
        <v>141.81</v>
      </c>
      <c r="V446" s="75" t="n">
        <v>145.34</v>
      </c>
      <c r="W446" s="75" t="n">
        <v>149.16</v>
      </c>
      <c r="X446" s="76" t="n">
        <v>154.2</v>
      </c>
      <c r="Y446" s="77" t="s">
        <v>20</v>
      </c>
      <c r="Z446" s="78" t="n">
        <f aca="false">SUM(AA446:AL446)</f>
        <v>640.93</v>
      </c>
      <c r="AA446" s="75"/>
      <c r="AB446" s="75"/>
      <c r="AC446" s="75"/>
      <c r="AD446" s="79" t="n">
        <v>640.93</v>
      </c>
      <c r="AE446" s="75"/>
      <c r="AF446" s="75"/>
      <c r="AG446" s="75"/>
      <c r="AH446" s="75"/>
      <c r="AI446" s="75"/>
      <c r="AJ446" s="75"/>
      <c r="AK446" s="75"/>
      <c r="AL446" s="76"/>
      <c r="AM446" s="56" t="s">
        <v>20</v>
      </c>
      <c r="AN446" s="80" t="n">
        <f aca="false">IF(L446=0,0,Z446/L446)</f>
        <v>0.402152156862745</v>
      </c>
      <c r="AO446" s="81" t="str">
        <f aca="false">IF(AN446="","",IF(AN446&gt;=0.9,"🟢",IF(AN446&gt;=0.7,"🟡",IF(AN446&gt;=0.5,"🟠","🔴"))))</f>
        <v>🔴</v>
      </c>
      <c r="AP446" s="82" t="n">
        <f aca="false">IF(L446=0,0,L446-Z446)</f>
        <v>952.82</v>
      </c>
      <c r="AQ446" s="83" t="n">
        <f aca="false">IF(AP446=0,"",RANK(AP446,AP$4:AP$503,0))</f>
        <v>402</v>
      </c>
      <c r="AR446" s="84" t="s">
        <v>20</v>
      </c>
      <c r="AS446" s="141"/>
      <c r="AT446" s="141"/>
      <c r="AU446" s="141"/>
      <c r="AV446" s="141"/>
      <c r="AW446" s="141"/>
      <c r="AX446" s="141"/>
      <c r="AY446" s="142"/>
      <c r="AZ446" s="142"/>
      <c r="BA446" s="56" t="s">
        <v>20</v>
      </c>
      <c r="BB446" s="91" t="n">
        <f aca="false">SUM(L$4:L$503)/COUNTA(A$4:A$503)</f>
        <v>9494.39992</v>
      </c>
      <c r="BC446" s="92" t="n">
        <f aca="false">SUM(M$4:M$503)/COUNTA(A$4:A$503)</f>
        <v>667.20008</v>
      </c>
      <c r="BD446" s="92" t="n">
        <f aca="false">SUM(N$4:N$503)/COUNTA(A$4:A$503)</f>
        <v>697.19996</v>
      </c>
      <c r="BE446" s="92" t="n">
        <f aca="false">SUM(O$4:O$503)/COUNTA(A$4:A$503)</f>
        <v>713.9999</v>
      </c>
      <c r="BF446" s="92" t="n">
        <f aca="false">SUM(P$4:P$503)/COUNTA(A$4:A$503)</f>
        <v>732.59984</v>
      </c>
      <c r="BG446" s="92" t="n">
        <f aca="false">SUM(Q$4:Q$503)/COUNTA(A$4:A$503)</f>
        <v>756.59992</v>
      </c>
      <c r="BH446" s="92" t="n">
        <f aca="false">SUM(R$4:R$503)/COUNTA(A$4:A$503)</f>
        <v>776.40004</v>
      </c>
      <c r="BI446" s="92" t="n">
        <f aca="false">SUM(S$4:S$503)/COUNTA(A$4:A$503)</f>
        <v>806.40012</v>
      </c>
      <c r="BJ446" s="92" t="n">
        <f aca="false">SUM(T$4:T$503)/COUNTA(A$4:A$503)</f>
        <v>826.1999</v>
      </c>
      <c r="BK446" s="92" t="n">
        <f aca="false">SUM(U$4:U$503)/COUNTA(A$4:A$503)</f>
        <v>844.8002</v>
      </c>
      <c r="BL446" s="92" t="n">
        <f aca="false">SUM(V$4:V$503)/COUNTA(A$4:A$503)</f>
        <v>865.7998</v>
      </c>
      <c r="BM446" s="92" t="n">
        <f aca="false">SUM(W$4:W$503)/COUNTA(A$4:A$503)</f>
        <v>888.59982</v>
      </c>
      <c r="BN446" s="93" t="n">
        <f aca="false">SUM(X$4:X$503)/COUNTA(A$4:A$503)</f>
        <v>918.60034</v>
      </c>
      <c r="BO446" s="94" t="s">
        <v>20</v>
      </c>
      <c r="BP446" s="91" t="n">
        <f aca="false">IF(Z446&gt;=BB446,0,IFERROR(BB446+(SUMPRODUCT((Z$4:Z$503&gt;=BB$4:BB$503)*(Z$4:Z$503-BB$4:BB$503))/MAX(1,COUNTIF(Z$4:Z$503,"&lt;"&amp;BB446+0.01))),BB446))</f>
        <v>10695.5432177778</v>
      </c>
      <c r="BQ446" s="92" t="n">
        <f aca="false">IF(AA446&gt;=BC446,0,IFERROR(BC446+SUMPRODUCT((AA$4:AA$503&gt;=BC$4:BC$503)*(AA$4:AA$503-BC$4:BC$503))/MAX(1,COUNTIF(AA$4:AA$503,"&lt;"&amp;BC446+0.01)),BC446))</f>
        <v>2238.46589176471</v>
      </c>
      <c r="BR446" s="92" t="n">
        <f aca="false">IF(AB446&gt;=BD446,0,IFERROR(BD446+SUMPRODUCT((AB$4:AB$503&gt;=BD$4:BD$503)*(AB$4:AB$503-BD$4:BD$503))/MAX(1,COUNTIF(AB$4:AB$503,"&lt;"&amp;BD446+0.01)),BD446))</f>
        <v>3335.2938</v>
      </c>
      <c r="BS446" s="92" t="n">
        <f aca="false">IF(AC446&gt;=BE446,0,IFERROR(BE446+SUMPRODUCT((AC$4:AC$503&gt;=BE$4:BE$503)*(AC$4:AC$503-BE$4:BE$503))/MAX(1,COUNTIF(AC$4:AC$503,"&lt;"&amp;BE446+0.01)),BE446))</f>
        <v>6188.73352</v>
      </c>
      <c r="BT446" s="92" t="n">
        <f aca="false">IF(AD446&gt;=BF446,0,IFERROR(BF446+SUMPRODUCT((AD$4:AD$503&gt;=BF$4:BF$503)*(AD$4:AD$503-BF$4:BF$503))/MAX(1,COUNTIF(AD$4:AD$503,"&lt;"&amp;BF446+0.01)),BF446))</f>
        <v>11354.35411</v>
      </c>
      <c r="BU446" s="92" t="n">
        <f aca="false">IF(AE446&gt;=BG446,0,IFERROR(BG446+SUMPRODUCT((AE$4:AE$503&gt;=BG$4:BG$503)*(AE$4:AE$503-BG$4:BG$503))/MAX(1,COUNTIF(AE$4:AE$503,"&lt;"&amp;BG446+0.01)),BG446))</f>
        <v>7704.85920380952</v>
      </c>
      <c r="BV446" s="92" t="n">
        <f aca="false">IF(AF446&gt;=BH446,0,IFERROR(BH446+SUMPRODUCT((AF$4:AF$503&gt;=BH$4:BH$503)*(AF$4:AF$503-BH$4:BH$503))/MAX(1,COUNTIF(AF$4:AF$503,"&lt;"&amp;BH446+0.01)),BH446))</f>
        <v>9942.6503831579</v>
      </c>
      <c r="BW446" s="92" t="n">
        <f aca="false">IF(AG446&gt;=BI446,0,IFERROR(BI446+SUMPRODUCT((AG$4:AG$503&gt;=BI$4:BI$503)*(AG$4:AG$503-BI$4:BI$503))/MAX(1,COUNTIF(AG$4:AG$503,"&lt;"&amp;BI446+0.01)),BI446))</f>
        <v>9142.15870461538</v>
      </c>
      <c r="BX446" s="92" t="n">
        <f aca="false">IF(AH446&gt;=BJ446,0,IFERROR(BJ446+SUMPRODUCT((AH$4:AH$503&gt;=BJ$4:BJ$503)*(AH$4:AH$503-BJ$4:BJ$503))/MAX(1,COUNTIF(AH$4:AH$503,"&lt;"&amp;BJ446+0.01)),BJ446))</f>
        <v>5621.50263448276</v>
      </c>
      <c r="BY446" s="92" t="n">
        <f aca="false">IF(AI446&gt;=BK446,0,IFERROR(BK446+SUMPRODUCT((AI$4:AI$503&gt;=BK$4:BK$503)*(AI$4:AI$503-BK$4:BK$503))/MAX(1,COUNTIF(AI$4:AI$503,"&lt;"&amp;BK446+0.01)),BK446))</f>
        <v>7878.25652380952</v>
      </c>
      <c r="BZ446" s="92" t="n">
        <f aca="false">IF(AJ446&gt;=BL446,0,IFERROR(BL446+SUMPRODUCT((AJ$4:AJ$503&gt;=BL$4:BL$503)*(AJ$4:AJ$503-BL$4:BL$503))/MAX(1,COUNTIF(AJ$4:AJ$503,"&lt;"&amp;BL446+0.01)),BL446))</f>
        <v>6710.03292307692</v>
      </c>
      <c r="CA446" s="92" t="n">
        <f aca="false">IF(AK446&gt;=BM446,0,IFERROR(BM446+SUMPRODUCT((AK$4:AK$503&gt;=BM$4:BM$503)*(AK$4:AK$503-BM$4:BM$503))/MAX(1,COUNTIF(AK$4:AK$503,"&lt;"&amp;BM446+0.01)),BM446))</f>
        <v>7314.89836842105</v>
      </c>
      <c r="CB446" s="93" t="n">
        <f aca="false">IF(AL446&gt;=BN446,0,IFERROR(BN446+SUMPRODUCT((AL$4:AL$503&gt;=BN$4:BN$503)*(AL$4:AL$503-BN$4:BN$503))/MAX(1,COUNTIF(AL$4:AL$503,"&lt;"&amp;BN446+0.01)),BN446))</f>
        <v>3597.2614925</v>
      </c>
      <c r="CC446" s="95" t="str">
        <f aca="false">IF(AO446="🟢","VERDE",IF(AO446="🟡","AMARELO",IF(AO446="🟠","VERMELHO",IF(AO446="🔴","VERMELHO","ROXO"))))</f>
        <v>VERMELHO</v>
      </c>
      <c r="CD446" s="96" t="s">
        <v>103</v>
      </c>
      <c r="CE446" s="96" t="s">
        <v>104</v>
      </c>
    </row>
    <row r="447" customFormat="false" ht="14.25" hidden="false" customHeight="true" outlineLevel="0" collapsed="false">
      <c r="A447" s="65" t="s">
        <v>1027</v>
      </c>
      <c r="B447" s="66" t="s">
        <v>1028</v>
      </c>
      <c r="C447" s="67" t="s">
        <v>107</v>
      </c>
      <c r="D447" s="68" t="s">
        <v>108</v>
      </c>
      <c r="E447" s="69" t="s">
        <v>109</v>
      </c>
      <c r="F447" s="70" t="n">
        <f aca="false">IFERROR(VLOOKUP(C447,$AS$3:$AT$10,2,FALSE()),IFERROR(VLOOKUP(C447,$AS$15:$AT$22,2,FALSE()),""))</f>
        <v>132</v>
      </c>
      <c r="G447" s="71" t="n">
        <f aca="false">IFERROR(VLOOKUP(C447,$AS$3:$AX$10,6,FALSE()),IFERROR(VLOOKUP(C447,$AS$15:$AX$22,6,FALSE()),""))</f>
        <v>0.468190175850689</v>
      </c>
      <c r="H447" s="72" t="str">
        <f aca="false">IFERROR(VLOOKUP(C447,$AS$3:$AY$10,7,FALSE()),IFERROR(VLOOKUP(C447,$AS$15:$AY$22,7,FALSE()),""))</f>
        <v>🟡 AMARELO</v>
      </c>
      <c r="I447" s="72" t="str">
        <f aca="false">IFERROR(VLOOKUP(C447,$AS$3:$AZ$10,8,FALSE()),IFERROR(VLOOKUP(C447,$AS$15:$AZ$22,8,FALSE()),""))</f>
        <v>Sell Out</v>
      </c>
      <c r="J447" s="73"/>
      <c r="K447" s="69" t="s">
        <v>107</v>
      </c>
      <c r="L447" s="74" t="n">
        <v>1593.35</v>
      </c>
      <c r="M447" s="75" t="n">
        <v>111.97</v>
      </c>
      <c r="N447" s="75" t="n">
        <v>117</v>
      </c>
      <c r="O447" s="75" t="n">
        <v>119.82</v>
      </c>
      <c r="P447" s="75" t="n">
        <v>122.95</v>
      </c>
      <c r="Q447" s="75" t="n">
        <v>126.97</v>
      </c>
      <c r="R447" s="75" t="n">
        <v>130.3</v>
      </c>
      <c r="S447" s="75" t="n">
        <v>135.33</v>
      </c>
      <c r="T447" s="75" t="n">
        <v>138.65</v>
      </c>
      <c r="U447" s="75" t="n">
        <v>141.77</v>
      </c>
      <c r="V447" s="75" t="n">
        <v>145.3</v>
      </c>
      <c r="W447" s="75" t="n">
        <v>149.13</v>
      </c>
      <c r="X447" s="76" t="n">
        <v>154.16</v>
      </c>
      <c r="Y447" s="77" t="s">
        <v>20</v>
      </c>
      <c r="Z447" s="78" t="n">
        <f aca="false">SUM(AA447:AL447)</f>
        <v>810.36</v>
      </c>
      <c r="AA447" s="75"/>
      <c r="AB447" s="75"/>
      <c r="AC447" s="75"/>
      <c r="AD447" s="75"/>
      <c r="AE447" s="79" t="n">
        <v>810.36</v>
      </c>
      <c r="AF447" s="75"/>
      <c r="AG447" s="75"/>
      <c r="AH447" s="75"/>
      <c r="AI447" s="75"/>
      <c r="AJ447" s="75"/>
      <c r="AK447" s="75"/>
      <c r="AL447" s="76"/>
      <c r="AM447" s="56" t="s">
        <v>20</v>
      </c>
      <c r="AN447" s="80" t="n">
        <f aca="false">IF(L447=0,0,Z447/L447)</f>
        <v>0.508588822292654</v>
      </c>
      <c r="AO447" s="81" t="str">
        <f aca="false">IF(AN447="","",IF(AN447&gt;=0.9,"🟢",IF(AN447&gt;=0.7,"🟡",IF(AN447&gt;=0.5,"🟠","🔴"))))</f>
        <v>🟠</v>
      </c>
      <c r="AP447" s="82" t="n">
        <f aca="false">IF(L447=0,0,L447-Z447)</f>
        <v>782.99</v>
      </c>
      <c r="AQ447" s="83" t="n">
        <f aca="false">IF(AP447=0,"",RANK(AP447,AP$4:AP$503,0))</f>
        <v>423</v>
      </c>
      <c r="AR447" s="84" t="s">
        <v>20</v>
      </c>
      <c r="AS447" s="141"/>
      <c r="AT447" s="141"/>
      <c r="AU447" s="141"/>
      <c r="AV447" s="141"/>
      <c r="AW447" s="141"/>
      <c r="AX447" s="141"/>
      <c r="AY447" s="142"/>
      <c r="AZ447" s="142"/>
      <c r="BA447" s="56" t="s">
        <v>20</v>
      </c>
      <c r="BB447" s="91" t="n">
        <f aca="false">SUM(L$4:L$503)/COUNTA(A$4:A$503)</f>
        <v>9494.39992</v>
      </c>
      <c r="BC447" s="92" t="n">
        <f aca="false">SUM(M$4:M$503)/COUNTA(A$4:A$503)</f>
        <v>667.20008</v>
      </c>
      <c r="BD447" s="92" t="n">
        <f aca="false">SUM(N$4:N$503)/COUNTA(A$4:A$503)</f>
        <v>697.19996</v>
      </c>
      <c r="BE447" s="92" t="n">
        <f aca="false">SUM(O$4:O$503)/COUNTA(A$4:A$503)</f>
        <v>713.9999</v>
      </c>
      <c r="BF447" s="92" t="n">
        <f aca="false">SUM(P$4:P$503)/COUNTA(A$4:A$503)</f>
        <v>732.59984</v>
      </c>
      <c r="BG447" s="92" t="n">
        <f aca="false">SUM(Q$4:Q$503)/COUNTA(A$4:A$503)</f>
        <v>756.59992</v>
      </c>
      <c r="BH447" s="92" t="n">
        <f aca="false">SUM(R$4:R$503)/COUNTA(A$4:A$503)</f>
        <v>776.40004</v>
      </c>
      <c r="BI447" s="92" t="n">
        <f aca="false">SUM(S$4:S$503)/COUNTA(A$4:A$503)</f>
        <v>806.40012</v>
      </c>
      <c r="BJ447" s="92" t="n">
        <f aca="false">SUM(T$4:T$503)/COUNTA(A$4:A$503)</f>
        <v>826.1999</v>
      </c>
      <c r="BK447" s="92" t="n">
        <f aca="false">SUM(U$4:U$503)/COUNTA(A$4:A$503)</f>
        <v>844.8002</v>
      </c>
      <c r="BL447" s="92" t="n">
        <f aca="false">SUM(V$4:V$503)/COUNTA(A$4:A$503)</f>
        <v>865.7998</v>
      </c>
      <c r="BM447" s="92" t="n">
        <f aca="false">SUM(W$4:W$503)/COUNTA(A$4:A$503)</f>
        <v>888.59982</v>
      </c>
      <c r="BN447" s="93" t="n">
        <f aca="false">SUM(X$4:X$503)/COUNTA(A$4:A$503)</f>
        <v>918.60034</v>
      </c>
      <c r="BO447" s="94" t="s">
        <v>20</v>
      </c>
      <c r="BP447" s="91" t="n">
        <f aca="false">IF(Z447&gt;=BB447,0,IFERROR(BB447+(SUMPRODUCT((Z$4:Z$503&gt;=BB$4:BB$503)*(Z$4:Z$503-BB$4:BB$503))/MAX(1,COUNTIF(Z$4:Z$503,"&lt;"&amp;BB447+0.01))),BB447))</f>
        <v>10695.5432177778</v>
      </c>
      <c r="BQ447" s="92" t="n">
        <f aca="false">IF(AA447&gt;=BC447,0,IFERROR(BC447+SUMPRODUCT((AA$4:AA$503&gt;=BC$4:BC$503)*(AA$4:AA$503-BC$4:BC$503))/MAX(1,COUNTIF(AA$4:AA$503,"&lt;"&amp;BC447+0.01)),BC447))</f>
        <v>2238.46589176471</v>
      </c>
      <c r="BR447" s="92" t="n">
        <f aca="false">IF(AB447&gt;=BD447,0,IFERROR(BD447+SUMPRODUCT((AB$4:AB$503&gt;=BD$4:BD$503)*(AB$4:AB$503-BD$4:BD$503))/MAX(1,COUNTIF(AB$4:AB$503,"&lt;"&amp;BD447+0.01)),BD447))</f>
        <v>3335.2938</v>
      </c>
      <c r="BS447" s="92" t="n">
        <f aca="false">IF(AC447&gt;=BE447,0,IFERROR(BE447+SUMPRODUCT((AC$4:AC$503&gt;=BE$4:BE$503)*(AC$4:AC$503-BE$4:BE$503))/MAX(1,COUNTIF(AC$4:AC$503,"&lt;"&amp;BE447+0.01)),BE447))</f>
        <v>6188.73352</v>
      </c>
      <c r="BT447" s="92" t="n">
        <f aca="false">IF(AD447&gt;=BF447,0,IFERROR(BF447+SUMPRODUCT((AD$4:AD$503&gt;=BF$4:BF$503)*(AD$4:AD$503-BF$4:BF$503))/MAX(1,COUNTIF(AD$4:AD$503,"&lt;"&amp;BF447+0.01)),BF447))</f>
        <v>11354.35411</v>
      </c>
      <c r="BU447" s="92" t="n">
        <f aca="false">IF(AE447&gt;=BG447,0,IFERROR(BG447+SUMPRODUCT((AE$4:AE$503&gt;=BG$4:BG$503)*(AE$4:AE$503-BG$4:BG$503))/MAX(1,COUNTIF(AE$4:AE$503,"&lt;"&amp;BG447+0.01)),BG447))</f>
        <v>0</v>
      </c>
      <c r="BV447" s="92" t="n">
        <f aca="false">IF(AF447&gt;=BH447,0,IFERROR(BH447+SUMPRODUCT((AF$4:AF$503&gt;=BH$4:BH$503)*(AF$4:AF$503-BH$4:BH$503))/MAX(1,COUNTIF(AF$4:AF$503,"&lt;"&amp;BH447+0.01)),BH447))</f>
        <v>9942.6503831579</v>
      </c>
      <c r="BW447" s="92" t="n">
        <f aca="false">IF(AG447&gt;=BI447,0,IFERROR(BI447+SUMPRODUCT((AG$4:AG$503&gt;=BI$4:BI$503)*(AG$4:AG$503-BI$4:BI$503))/MAX(1,COUNTIF(AG$4:AG$503,"&lt;"&amp;BI447+0.01)),BI447))</f>
        <v>9142.15870461538</v>
      </c>
      <c r="BX447" s="92" t="n">
        <f aca="false">IF(AH447&gt;=BJ447,0,IFERROR(BJ447+SUMPRODUCT((AH$4:AH$503&gt;=BJ$4:BJ$503)*(AH$4:AH$503-BJ$4:BJ$503))/MAX(1,COUNTIF(AH$4:AH$503,"&lt;"&amp;BJ447+0.01)),BJ447))</f>
        <v>5621.50263448276</v>
      </c>
      <c r="BY447" s="92" t="n">
        <f aca="false">IF(AI447&gt;=BK447,0,IFERROR(BK447+SUMPRODUCT((AI$4:AI$503&gt;=BK$4:BK$503)*(AI$4:AI$503-BK$4:BK$503))/MAX(1,COUNTIF(AI$4:AI$503,"&lt;"&amp;BK447+0.01)),BK447))</f>
        <v>7878.25652380952</v>
      </c>
      <c r="BZ447" s="92" t="n">
        <f aca="false">IF(AJ447&gt;=BL447,0,IFERROR(BL447+SUMPRODUCT((AJ$4:AJ$503&gt;=BL$4:BL$503)*(AJ$4:AJ$503-BL$4:BL$503))/MAX(1,COUNTIF(AJ$4:AJ$503,"&lt;"&amp;BL447+0.01)),BL447))</f>
        <v>6710.03292307692</v>
      </c>
      <c r="CA447" s="92" t="n">
        <f aca="false">IF(AK447&gt;=BM447,0,IFERROR(BM447+SUMPRODUCT((AK$4:AK$503&gt;=BM$4:BM$503)*(AK$4:AK$503-BM$4:BM$503))/MAX(1,COUNTIF(AK$4:AK$503,"&lt;"&amp;BM447+0.01)),BM447))</f>
        <v>7314.89836842105</v>
      </c>
      <c r="CB447" s="93" t="n">
        <f aca="false">IF(AL447&gt;=BN447,0,IFERROR(BN447+SUMPRODUCT((AL$4:AL$503&gt;=BN$4:BN$503)*(AL$4:AL$503-BN$4:BN$503))/MAX(1,COUNTIF(AL$4:AL$503,"&lt;"&amp;BN447+0.01)),BN447))</f>
        <v>3597.2614925</v>
      </c>
      <c r="CC447" s="95" t="str">
        <f aca="false">IF(AO447="🟢","VERDE",IF(AO447="🟡","AMARELO",IF(AO447="🟠","VERMELHO",IF(AO447="🔴","VERMELHO","ROXO"))))</f>
        <v>VERMELHO</v>
      </c>
      <c r="CD447" s="96" t="s">
        <v>103</v>
      </c>
      <c r="CE447" s="96" t="s">
        <v>104</v>
      </c>
    </row>
    <row r="448" customFormat="false" ht="14.25" hidden="false" customHeight="true" outlineLevel="0" collapsed="false">
      <c r="A448" s="65" t="s">
        <v>1029</v>
      </c>
      <c r="B448" s="66" t="s">
        <v>1030</v>
      </c>
      <c r="C448" s="67" t="s">
        <v>113</v>
      </c>
      <c r="D448" s="68" t="s">
        <v>100</v>
      </c>
      <c r="E448" s="69" t="s">
        <v>114</v>
      </c>
      <c r="F448" s="70" t="n">
        <f aca="false">IFERROR(VLOOKUP(C448,$AS$3:$AT$10,2,FALSE()),IFERROR(VLOOKUP(C448,$AS$15:$AT$22,2,FALSE()),""))</f>
        <v>49</v>
      </c>
      <c r="G448" s="71" t="n">
        <f aca="false">IFERROR(VLOOKUP(C448,$AS$3:$AX$10,6,FALSE()),IFERROR(VLOOKUP(C448,$AS$15:$AX$22,6,FALSE()),""))</f>
        <v>0.463965086137302</v>
      </c>
      <c r="H448" s="72" t="str">
        <f aca="false">IFERROR(VLOOKUP(C448,$AS$3:$AY$10,7,FALSE()),IFERROR(VLOOKUP(C448,$AS$15:$AY$22,7,FALSE()),""))</f>
        <v>🟡 AMARELO</v>
      </c>
      <c r="I448" s="72" t="str">
        <f aca="false">IFERROR(VLOOKUP(C448,$AS$3:$AZ$10,8,FALSE()),IFERROR(VLOOKUP(C448,$AS$15:$AZ$22,8,FALSE()),""))</f>
        <v>Sell Out</v>
      </c>
      <c r="J448" s="73"/>
      <c r="K448" s="69" t="s">
        <v>113</v>
      </c>
      <c r="L448" s="74" t="n">
        <v>1589.09</v>
      </c>
      <c r="M448" s="75" t="n">
        <v>111.67</v>
      </c>
      <c r="N448" s="75" t="n">
        <v>116.69</v>
      </c>
      <c r="O448" s="75" t="n">
        <v>119.5</v>
      </c>
      <c r="P448" s="75" t="n">
        <v>122.62</v>
      </c>
      <c r="Q448" s="75" t="n">
        <v>126.63</v>
      </c>
      <c r="R448" s="75" t="n">
        <v>129.95</v>
      </c>
      <c r="S448" s="75" t="n">
        <v>134.97</v>
      </c>
      <c r="T448" s="75" t="n">
        <v>138.28</v>
      </c>
      <c r="U448" s="75" t="n">
        <v>141.39</v>
      </c>
      <c r="V448" s="75" t="n">
        <v>144.91</v>
      </c>
      <c r="W448" s="75" t="n">
        <v>148.73</v>
      </c>
      <c r="X448" s="76" t="n">
        <v>153.75</v>
      </c>
      <c r="Y448" s="77" t="s">
        <v>20</v>
      </c>
      <c r="Z448" s="78" t="n">
        <f aca="false">SUM(AA448:AL448)</f>
        <v>639.05</v>
      </c>
      <c r="AA448" s="75"/>
      <c r="AB448" s="75"/>
      <c r="AC448" s="79" t="n">
        <v>639.05</v>
      </c>
      <c r="AD448" s="75"/>
      <c r="AE448" s="75"/>
      <c r="AF448" s="75"/>
      <c r="AG448" s="75"/>
      <c r="AH448" s="75"/>
      <c r="AI448" s="75"/>
      <c r="AJ448" s="75"/>
      <c r="AK448" s="75"/>
      <c r="AL448" s="76"/>
      <c r="AM448" s="56" t="s">
        <v>20</v>
      </c>
      <c r="AN448" s="80" t="n">
        <f aca="false">IF(L448=0,0,Z448/L448)</f>
        <v>0.402148399398398</v>
      </c>
      <c r="AO448" s="81" t="str">
        <f aca="false">IF(AN448="","",IF(AN448&gt;=0.9,"🟢",IF(AN448&gt;=0.7,"🟡",IF(AN448&gt;=0.5,"🟠","🔴"))))</f>
        <v>🔴</v>
      </c>
      <c r="AP448" s="82" t="n">
        <f aca="false">IF(L448=0,0,L448-Z448)</f>
        <v>950.04</v>
      </c>
      <c r="AQ448" s="83" t="n">
        <f aca="false">IF(AP448=0,"",RANK(AP448,AP$4:AP$503,0))</f>
        <v>403</v>
      </c>
      <c r="AR448" s="84" t="s">
        <v>20</v>
      </c>
      <c r="AS448" s="141"/>
      <c r="AT448" s="141"/>
      <c r="AU448" s="141"/>
      <c r="AV448" s="141"/>
      <c r="AW448" s="141"/>
      <c r="AX448" s="141"/>
      <c r="AY448" s="142"/>
      <c r="AZ448" s="142"/>
      <c r="BA448" s="56" t="s">
        <v>20</v>
      </c>
      <c r="BB448" s="91" t="n">
        <f aca="false">SUM(L$4:L$503)/COUNTA(A$4:A$503)</f>
        <v>9494.39992</v>
      </c>
      <c r="BC448" s="92" t="n">
        <f aca="false">SUM(M$4:M$503)/COUNTA(A$4:A$503)</f>
        <v>667.20008</v>
      </c>
      <c r="BD448" s="92" t="n">
        <f aca="false">SUM(N$4:N$503)/COUNTA(A$4:A$503)</f>
        <v>697.19996</v>
      </c>
      <c r="BE448" s="92" t="n">
        <f aca="false">SUM(O$4:O$503)/COUNTA(A$4:A$503)</f>
        <v>713.9999</v>
      </c>
      <c r="BF448" s="92" t="n">
        <f aca="false">SUM(P$4:P$503)/COUNTA(A$4:A$503)</f>
        <v>732.59984</v>
      </c>
      <c r="BG448" s="92" t="n">
        <f aca="false">SUM(Q$4:Q$503)/COUNTA(A$4:A$503)</f>
        <v>756.59992</v>
      </c>
      <c r="BH448" s="92" t="n">
        <f aca="false">SUM(R$4:R$503)/COUNTA(A$4:A$503)</f>
        <v>776.40004</v>
      </c>
      <c r="BI448" s="92" t="n">
        <f aca="false">SUM(S$4:S$503)/COUNTA(A$4:A$503)</f>
        <v>806.40012</v>
      </c>
      <c r="BJ448" s="92" t="n">
        <f aca="false">SUM(T$4:T$503)/COUNTA(A$4:A$503)</f>
        <v>826.1999</v>
      </c>
      <c r="BK448" s="92" t="n">
        <f aca="false">SUM(U$4:U$503)/COUNTA(A$4:A$503)</f>
        <v>844.8002</v>
      </c>
      <c r="BL448" s="92" t="n">
        <f aca="false">SUM(V$4:V$503)/COUNTA(A$4:A$503)</f>
        <v>865.7998</v>
      </c>
      <c r="BM448" s="92" t="n">
        <f aca="false">SUM(W$4:W$503)/COUNTA(A$4:A$503)</f>
        <v>888.59982</v>
      </c>
      <c r="BN448" s="93" t="n">
        <f aca="false">SUM(X$4:X$503)/COUNTA(A$4:A$503)</f>
        <v>918.60034</v>
      </c>
      <c r="BO448" s="94" t="s">
        <v>20</v>
      </c>
      <c r="BP448" s="91" t="n">
        <f aca="false">IF(Z448&gt;=BB448,0,IFERROR(BB448+(SUMPRODUCT((Z$4:Z$503&gt;=BB$4:BB$503)*(Z$4:Z$503-BB$4:BB$503))/MAX(1,COUNTIF(Z$4:Z$503,"&lt;"&amp;BB448+0.01))),BB448))</f>
        <v>10695.5432177778</v>
      </c>
      <c r="BQ448" s="92" t="n">
        <f aca="false">IF(AA448&gt;=BC448,0,IFERROR(BC448+SUMPRODUCT((AA$4:AA$503&gt;=BC$4:BC$503)*(AA$4:AA$503-BC$4:BC$503))/MAX(1,COUNTIF(AA$4:AA$503,"&lt;"&amp;BC448+0.01)),BC448))</f>
        <v>2238.46589176471</v>
      </c>
      <c r="BR448" s="92" t="n">
        <f aca="false">IF(AB448&gt;=BD448,0,IFERROR(BD448+SUMPRODUCT((AB$4:AB$503&gt;=BD$4:BD$503)*(AB$4:AB$503-BD$4:BD$503))/MAX(1,COUNTIF(AB$4:AB$503,"&lt;"&amp;BD448+0.01)),BD448))</f>
        <v>3335.2938</v>
      </c>
      <c r="BS448" s="92" t="n">
        <f aca="false">IF(AC448&gt;=BE448,0,IFERROR(BE448+SUMPRODUCT((AC$4:AC$503&gt;=BE$4:BE$503)*(AC$4:AC$503-BE$4:BE$503))/MAX(1,COUNTIF(AC$4:AC$503,"&lt;"&amp;BE448+0.01)),BE448))</f>
        <v>6188.73352</v>
      </c>
      <c r="BT448" s="92" t="n">
        <f aca="false">IF(AD448&gt;=BF448,0,IFERROR(BF448+SUMPRODUCT((AD$4:AD$503&gt;=BF$4:BF$503)*(AD$4:AD$503-BF$4:BF$503))/MAX(1,COUNTIF(AD$4:AD$503,"&lt;"&amp;BF448+0.01)),BF448))</f>
        <v>11354.35411</v>
      </c>
      <c r="BU448" s="92" t="n">
        <f aca="false">IF(AE448&gt;=BG448,0,IFERROR(BG448+SUMPRODUCT((AE$4:AE$503&gt;=BG$4:BG$503)*(AE$4:AE$503-BG$4:BG$503))/MAX(1,COUNTIF(AE$4:AE$503,"&lt;"&amp;BG448+0.01)),BG448))</f>
        <v>7704.85920380952</v>
      </c>
      <c r="BV448" s="92" t="n">
        <f aca="false">IF(AF448&gt;=BH448,0,IFERROR(BH448+SUMPRODUCT((AF$4:AF$503&gt;=BH$4:BH$503)*(AF$4:AF$503-BH$4:BH$503))/MAX(1,COUNTIF(AF$4:AF$503,"&lt;"&amp;BH448+0.01)),BH448))</f>
        <v>9942.6503831579</v>
      </c>
      <c r="BW448" s="92" t="n">
        <f aca="false">IF(AG448&gt;=BI448,0,IFERROR(BI448+SUMPRODUCT((AG$4:AG$503&gt;=BI$4:BI$503)*(AG$4:AG$503-BI$4:BI$503))/MAX(1,COUNTIF(AG$4:AG$503,"&lt;"&amp;BI448+0.01)),BI448))</f>
        <v>9142.15870461538</v>
      </c>
      <c r="BX448" s="92" t="n">
        <f aca="false">IF(AH448&gt;=BJ448,0,IFERROR(BJ448+SUMPRODUCT((AH$4:AH$503&gt;=BJ$4:BJ$503)*(AH$4:AH$503-BJ$4:BJ$503))/MAX(1,COUNTIF(AH$4:AH$503,"&lt;"&amp;BJ448+0.01)),BJ448))</f>
        <v>5621.50263448276</v>
      </c>
      <c r="BY448" s="92" t="n">
        <f aca="false">IF(AI448&gt;=BK448,0,IFERROR(BK448+SUMPRODUCT((AI$4:AI$503&gt;=BK$4:BK$503)*(AI$4:AI$503-BK$4:BK$503))/MAX(1,COUNTIF(AI$4:AI$503,"&lt;"&amp;BK448+0.01)),BK448))</f>
        <v>7878.25652380952</v>
      </c>
      <c r="BZ448" s="92" t="n">
        <f aca="false">IF(AJ448&gt;=BL448,0,IFERROR(BL448+SUMPRODUCT((AJ$4:AJ$503&gt;=BL$4:BL$503)*(AJ$4:AJ$503-BL$4:BL$503))/MAX(1,COUNTIF(AJ$4:AJ$503,"&lt;"&amp;BL448+0.01)),BL448))</f>
        <v>6710.03292307692</v>
      </c>
      <c r="CA448" s="92" t="n">
        <f aca="false">IF(AK448&gt;=BM448,0,IFERROR(BM448+SUMPRODUCT((AK$4:AK$503&gt;=BM$4:BM$503)*(AK$4:AK$503-BM$4:BM$503))/MAX(1,COUNTIF(AK$4:AK$503,"&lt;"&amp;BM448+0.01)),BM448))</f>
        <v>7314.89836842105</v>
      </c>
      <c r="CB448" s="93" t="n">
        <f aca="false">IF(AL448&gt;=BN448,0,IFERROR(BN448+SUMPRODUCT((AL$4:AL$503&gt;=BN$4:BN$503)*(AL$4:AL$503-BN$4:BN$503))/MAX(1,COUNTIF(AL$4:AL$503,"&lt;"&amp;BN448+0.01)),BN448))</f>
        <v>3597.2614925</v>
      </c>
      <c r="CC448" s="95" t="str">
        <f aca="false">IF(AO448="🟢","VERDE",IF(AO448="🟡","AMARELO",IF(AO448="🟠","VERMELHO",IF(AO448="🔴","VERMELHO","ROXO"))))</f>
        <v>VERMELHO</v>
      </c>
      <c r="CD448" s="96" t="s">
        <v>103</v>
      </c>
      <c r="CE448" s="96" t="s">
        <v>104</v>
      </c>
    </row>
    <row r="449" customFormat="false" ht="14.25" hidden="false" customHeight="true" outlineLevel="0" collapsed="false">
      <c r="A449" s="65" t="s">
        <v>1031</v>
      </c>
      <c r="B449" s="66" t="s">
        <v>1032</v>
      </c>
      <c r="C449" s="67" t="s">
        <v>107</v>
      </c>
      <c r="D449" s="68" t="s">
        <v>108</v>
      </c>
      <c r="E449" s="69" t="s">
        <v>139</v>
      </c>
      <c r="F449" s="70" t="n">
        <f aca="false">IFERROR(VLOOKUP(C449,$AS$3:$AT$10,2,FALSE()),IFERROR(VLOOKUP(C449,$AS$15:$AT$22,2,FALSE()),""))</f>
        <v>132</v>
      </c>
      <c r="G449" s="71" t="n">
        <f aca="false">IFERROR(VLOOKUP(C449,$AS$3:$AX$10,6,FALSE()),IFERROR(VLOOKUP(C449,$AS$15:$AX$22,6,FALSE()),""))</f>
        <v>0.468190175850689</v>
      </c>
      <c r="H449" s="72" t="str">
        <f aca="false">IFERROR(VLOOKUP(C449,$AS$3:$AY$10,7,FALSE()),IFERROR(VLOOKUP(C449,$AS$15:$AY$22,7,FALSE()),""))</f>
        <v>🟡 AMARELO</v>
      </c>
      <c r="I449" s="72" t="str">
        <f aca="false">IFERROR(VLOOKUP(C449,$AS$3:$AZ$10,8,FALSE()),IFERROR(VLOOKUP(C449,$AS$15:$AZ$22,8,FALSE()),""))</f>
        <v>Sell Out</v>
      </c>
      <c r="J449" s="73"/>
      <c r="K449" s="69" t="s">
        <v>107</v>
      </c>
      <c r="L449" s="74" t="n">
        <v>1588.95</v>
      </c>
      <c r="M449" s="75" t="n">
        <v>111.66</v>
      </c>
      <c r="N449" s="75" t="n">
        <v>116.68</v>
      </c>
      <c r="O449" s="75" t="n">
        <v>119.49</v>
      </c>
      <c r="P449" s="75" t="n">
        <v>122.61</v>
      </c>
      <c r="Q449" s="75" t="n">
        <v>126.62</v>
      </c>
      <c r="R449" s="75" t="n">
        <v>129.94</v>
      </c>
      <c r="S449" s="75" t="n">
        <v>134.96</v>
      </c>
      <c r="T449" s="75" t="n">
        <v>138.27</v>
      </c>
      <c r="U449" s="75" t="n">
        <v>141.38</v>
      </c>
      <c r="V449" s="75" t="n">
        <v>144.9</v>
      </c>
      <c r="W449" s="75" t="n">
        <v>148.71</v>
      </c>
      <c r="X449" s="76" t="n">
        <v>153.73</v>
      </c>
      <c r="Y449" s="77" t="s">
        <v>20</v>
      </c>
      <c r="Z449" s="78" t="n">
        <f aca="false">SUM(AA449:AL449)</f>
        <v>659.3</v>
      </c>
      <c r="AA449" s="75"/>
      <c r="AB449" s="75"/>
      <c r="AC449" s="75"/>
      <c r="AD449" s="75"/>
      <c r="AE449" s="79" t="n">
        <v>659.3</v>
      </c>
      <c r="AF449" s="75"/>
      <c r="AG449" s="75"/>
      <c r="AH449" s="75"/>
      <c r="AI449" s="75"/>
      <c r="AJ449" s="75"/>
      <c r="AK449" s="75"/>
      <c r="AL449" s="76"/>
      <c r="AM449" s="56" t="s">
        <v>20</v>
      </c>
      <c r="AN449" s="80" t="n">
        <f aca="false">IF(L449=0,0,Z449/L449)</f>
        <v>0.414928097171088</v>
      </c>
      <c r="AO449" s="81" t="str">
        <f aca="false">IF(AN449="","",IF(AN449&gt;=0.9,"🟢",IF(AN449&gt;=0.7,"🟡",IF(AN449&gt;=0.5,"🟠","🔴"))))</f>
        <v>🔴</v>
      </c>
      <c r="AP449" s="82" t="n">
        <f aca="false">IF(L449=0,0,L449-Z449)</f>
        <v>929.65</v>
      </c>
      <c r="AQ449" s="83" t="n">
        <f aca="false">IF(AP449=0,"",RANK(AP449,AP$4:AP$503,0))</f>
        <v>404</v>
      </c>
      <c r="AR449" s="84" t="s">
        <v>20</v>
      </c>
      <c r="AS449" s="141"/>
      <c r="AT449" s="141"/>
      <c r="AU449" s="141"/>
      <c r="AV449" s="141"/>
      <c r="AW449" s="141"/>
      <c r="AX449" s="141"/>
      <c r="AY449" s="142"/>
      <c r="AZ449" s="142"/>
      <c r="BA449" s="56" t="s">
        <v>20</v>
      </c>
      <c r="BB449" s="91" t="n">
        <f aca="false">SUM(L$4:L$503)/COUNTA(A$4:A$503)</f>
        <v>9494.39992</v>
      </c>
      <c r="BC449" s="92" t="n">
        <f aca="false">SUM(M$4:M$503)/COUNTA(A$4:A$503)</f>
        <v>667.20008</v>
      </c>
      <c r="BD449" s="92" t="n">
        <f aca="false">SUM(N$4:N$503)/COUNTA(A$4:A$503)</f>
        <v>697.19996</v>
      </c>
      <c r="BE449" s="92" t="n">
        <f aca="false">SUM(O$4:O$503)/COUNTA(A$4:A$503)</f>
        <v>713.9999</v>
      </c>
      <c r="BF449" s="92" t="n">
        <f aca="false">SUM(P$4:P$503)/COUNTA(A$4:A$503)</f>
        <v>732.59984</v>
      </c>
      <c r="BG449" s="92" t="n">
        <f aca="false">SUM(Q$4:Q$503)/COUNTA(A$4:A$503)</f>
        <v>756.59992</v>
      </c>
      <c r="BH449" s="92" t="n">
        <f aca="false">SUM(R$4:R$503)/COUNTA(A$4:A$503)</f>
        <v>776.40004</v>
      </c>
      <c r="BI449" s="92" t="n">
        <f aca="false">SUM(S$4:S$503)/COUNTA(A$4:A$503)</f>
        <v>806.40012</v>
      </c>
      <c r="BJ449" s="92" t="n">
        <f aca="false">SUM(T$4:T$503)/COUNTA(A$4:A$503)</f>
        <v>826.1999</v>
      </c>
      <c r="BK449" s="92" t="n">
        <f aca="false">SUM(U$4:U$503)/COUNTA(A$4:A$503)</f>
        <v>844.8002</v>
      </c>
      <c r="BL449" s="92" t="n">
        <f aca="false">SUM(V$4:V$503)/COUNTA(A$4:A$503)</f>
        <v>865.7998</v>
      </c>
      <c r="BM449" s="92" t="n">
        <f aca="false">SUM(W$4:W$503)/COUNTA(A$4:A$503)</f>
        <v>888.59982</v>
      </c>
      <c r="BN449" s="93" t="n">
        <f aca="false">SUM(X$4:X$503)/COUNTA(A$4:A$503)</f>
        <v>918.60034</v>
      </c>
      <c r="BO449" s="94" t="s">
        <v>20</v>
      </c>
      <c r="BP449" s="91" t="n">
        <f aca="false">IF(Z449&gt;=BB449,0,IFERROR(BB449+(SUMPRODUCT((Z$4:Z$503&gt;=BB$4:BB$503)*(Z$4:Z$503-BB$4:BB$503))/MAX(1,COUNTIF(Z$4:Z$503,"&lt;"&amp;BB449+0.01))),BB449))</f>
        <v>10695.5432177778</v>
      </c>
      <c r="BQ449" s="92" t="n">
        <f aca="false">IF(AA449&gt;=BC449,0,IFERROR(BC449+SUMPRODUCT((AA$4:AA$503&gt;=BC$4:BC$503)*(AA$4:AA$503-BC$4:BC$503))/MAX(1,COUNTIF(AA$4:AA$503,"&lt;"&amp;BC449+0.01)),BC449))</f>
        <v>2238.46589176471</v>
      </c>
      <c r="BR449" s="92" t="n">
        <f aca="false">IF(AB449&gt;=BD449,0,IFERROR(BD449+SUMPRODUCT((AB$4:AB$503&gt;=BD$4:BD$503)*(AB$4:AB$503-BD$4:BD$503))/MAX(1,COUNTIF(AB$4:AB$503,"&lt;"&amp;BD449+0.01)),BD449))</f>
        <v>3335.2938</v>
      </c>
      <c r="BS449" s="92" t="n">
        <f aca="false">IF(AC449&gt;=BE449,0,IFERROR(BE449+SUMPRODUCT((AC$4:AC$503&gt;=BE$4:BE$503)*(AC$4:AC$503-BE$4:BE$503))/MAX(1,COUNTIF(AC$4:AC$503,"&lt;"&amp;BE449+0.01)),BE449))</f>
        <v>6188.73352</v>
      </c>
      <c r="BT449" s="92" t="n">
        <f aca="false">IF(AD449&gt;=BF449,0,IFERROR(BF449+SUMPRODUCT((AD$4:AD$503&gt;=BF$4:BF$503)*(AD$4:AD$503-BF$4:BF$503))/MAX(1,COUNTIF(AD$4:AD$503,"&lt;"&amp;BF449+0.01)),BF449))</f>
        <v>11354.35411</v>
      </c>
      <c r="BU449" s="92" t="n">
        <f aca="false">IF(AE449&gt;=BG449,0,IFERROR(BG449+SUMPRODUCT((AE$4:AE$503&gt;=BG$4:BG$503)*(AE$4:AE$503-BG$4:BG$503))/MAX(1,COUNTIF(AE$4:AE$503,"&lt;"&amp;BG449+0.01)),BG449))</f>
        <v>7704.85920380952</v>
      </c>
      <c r="BV449" s="92" t="n">
        <f aca="false">IF(AF449&gt;=BH449,0,IFERROR(BH449+SUMPRODUCT((AF$4:AF$503&gt;=BH$4:BH$503)*(AF$4:AF$503-BH$4:BH$503))/MAX(1,COUNTIF(AF$4:AF$503,"&lt;"&amp;BH449+0.01)),BH449))</f>
        <v>9942.6503831579</v>
      </c>
      <c r="BW449" s="92" t="n">
        <f aca="false">IF(AG449&gt;=BI449,0,IFERROR(BI449+SUMPRODUCT((AG$4:AG$503&gt;=BI$4:BI$503)*(AG$4:AG$503-BI$4:BI$503))/MAX(1,COUNTIF(AG$4:AG$503,"&lt;"&amp;BI449+0.01)),BI449))</f>
        <v>9142.15870461538</v>
      </c>
      <c r="BX449" s="92" t="n">
        <f aca="false">IF(AH449&gt;=BJ449,0,IFERROR(BJ449+SUMPRODUCT((AH$4:AH$503&gt;=BJ$4:BJ$503)*(AH$4:AH$503-BJ$4:BJ$503))/MAX(1,COUNTIF(AH$4:AH$503,"&lt;"&amp;BJ449+0.01)),BJ449))</f>
        <v>5621.50263448276</v>
      </c>
      <c r="BY449" s="92" t="n">
        <f aca="false">IF(AI449&gt;=BK449,0,IFERROR(BK449+SUMPRODUCT((AI$4:AI$503&gt;=BK$4:BK$503)*(AI$4:AI$503-BK$4:BK$503))/MAX(1,COUNTIF(AI$4:AI$503,"&lt;"&amp;BK449+0.01)),BK449))</f>
        <v>7878.25652380952</v>
      </c>
      <c r="BZ449" s="92" t="n">
        <f aca="false">IF(AJ449&gt;=BL449,0,IFERROR(BL449+SUMPRODUCT((AJ$4:AJ$503&gt;=BL$4:BL$503)*(AJ$4:AJ$503-BL$4:BL$503))/MAX(1,COUNTIF(AJ$4:AJ$503,"&lt;"&amp;BL449+0.01)),BL449))</f>
        <v>6710.03292307692</v>
      </c>
      <c r="CA449" s="92" t="n">
        <f aca="false">IF(AK449&gt;=BM449,0,IFERROR(BM449+SUMPRODUCT((AK$4:AK$503&gt;=BM$4:BM$503)*(AK$4:AK$503-BM$4:BM$503))/MAX(1,COUNTIF(AK$4:AK$503,"&lt;"&amp;BM449+0.01)),BM449))</f>
        <v>7314.89836842105</v>
      </c>
      <c r="CB449" s="93" t="n">
        <f aca="false">IF(AL449&gt;=BN449,0,IFERROR(BN449+SUMPRODUCT((AL$4:AL$503&gt;=BN$4:BN$503)*(AL$4:AL$503-BN$4:BN$503))/MAX(1,COUNTIF(AL$4:AL$503,"&lt;"&amp;BN449+0.01)),BN449))</f>
        <v>3597.2614925</v>
      </c>
      <c r="CC449" s="95" t="str">
        <f aca="false">IF(AO449="🟢","VERDE",IF(AO449="🟡","AMARELO",IF(AO449="🟠","VERMELHO",IF(AO449="🔴","VERMELHO","ROXO"))))</f>
        <v>VERMELHO</v>
      </c>
      <c r="CD449" s="96" t="s">
        <v>103</v>
      </c>
      <c r="CE449" s="96" t="s">
        <v>104</v>
      </c>
    </row>
    <row r="450" customFormat="false" ht="14.25" hidden="false" customHeight="true" outlineLevel="0" collapsed="false">
      <c r="A450" s="65" t="s">
        <v>1033</v>
      </c>
      <c r="B450" s="66" t="s">
        <v>1034</v>
      </c>
      <c r="C450" s="66" t="s">
        <v>102</v>
      </c>
      <c r="D450" s="68" t="s">
        <v>175</v>
      </c>
      <c r="E450" s="69" t="s">
        <v>196</v>
      </c>
      <c r="F450" s="70" t="n">
        <f aca="false">IFERROR(VLOOKUP(C450,$AS$3:$AT$10,2,FALSE()),IFERROR(VLOOKUP(C450,$AS$15:$AT$22,2,FALSE()),""))</f>
        <v>21</v>
      </c>
      <c r="G450" s="71" t="n">
        <f aca="false">IFERROR(VLOOKUP(C450,$AS$3:$AX$10,6,FALSE()),IFERROR(VLOOKUP(C450,$AS$15:$AX$22,6,FALSE()),""))</f>
        <v>0.491514556258592</v>
      </c>
      <c r="H450" s="72" t="str">
        <f aca="false">IFERROR(VLOOKUP(C450,$AS$3:$AY$10,7,FALSE()),IFERROR(VLOOKUP(C450,$AS$15:$AY$22,7,FALSE()),""))</f>
        <v>🟡 AMARELO</v>
      </c>
      <c r="I450" s="72" t="str">
        <f aca="false">IFERROR(VLOOKUP(C450,$AS$3:$AZ$10,8,FALSE()),IFERROR(VLOOKUP(C450,$AS$15:$AZ$22,8,FALSE()),""))</f>
        <v>Sell Out</v>
      </c>
      <c r="J450" s="73"/>
      <c r="K450" s="69" t="s">
        <v>107</v>
      </c>
      <c r="L450" s="74" t="n">
        <v>1573.2</v>
      </c>
      <c r="M450" s="75" t="n">
        <v>110.55</v>
      </c>
      <c r="N450" s="75" t="n">
        <v>115.52</v>
      </c>
      <c r="O450" s="75" t="n">
        <v>118.31</v>
      </c>
      <c r="P450" s="75" t="n">
        <v>121.39</v>
      </c>
      <c r="Q450" s="75" t="n">
        <v>125.37</v>
      </c>
      <c r="R450" s="75" t="n">
        <v>128.65</v>
      </c>
      <c r="S450" s="75" t="n">
        <v>133.62</v>
      </c>
      <c r="T450" s="75" t="n">
        <v>136.9</v>
      </c>
      <c r="U450" s="75" t="n">
        <v>139.98</v>
      </c>
      <c r="V450" s="75" t="n">
        <v>143.46</v>
      </c>
      <c r="W450" s="75" t="n">
        <v>147.24</v>
      </c>
      <c r="X450" s="76" t="n">
        <v>152.21</v>
      </c>
      <c r="Y450" s="77" t="s">
        <v>20</v>
      </c>
      <c r="Z450" s="78" t="n">
        <f aca="false">SUM(AA450:AL450)</f>
        <v>652.68</v>
      </c>
      <c r="AA450" s="75"/>
      <c r="AB450" s="75"/>
      <c r="AC450" s="75"/>
      <c r="AD450" s="75"/>
      <c r="AE450" s="79" t="n">
        <v>652.68</v>
      </c>
      <c r="AF450" s="75"/>
      <c r="AG450" s="75"/>
      <c r="AH450" s="75"/>
      <c r="AI450" s="75"/>
      <c r="AJ450" s="75"/>
      <c r="AK450" s="75"/>
      <c r="AL450" s="76"/>
      <c r="AM450" s="56" t="s">
        <v>20</v>
      </c>
      <c r="AN450" s="80" t="n">
        <f aca="false">IF(L450=0,0,Z450/L450)</f>
        <v>0.41487414187643</v>
      </c>
      <c r="AO450" s="81" t="str">
        <f aca="false">IF(AN450="","",IF(AN450&gt;=0.9,"🟢",IF(AN450&gt;=0.7,"🟡",IF(AN450&gt;=0.5,"🟠","🔴"))))</f>
        <v>🔴</v>
      </c>
      <c r="AP450" s="82" t="n">
        <f aca="false">IF(L450=0,0,L450-Z450)</f>
        <v>920.52</v>
      </c>
      <c r="AQ450" s="83" t="n">
        <f aca="false">IF(AP450=0,"",RANK(AP450,AP$4:AP$503,0))</f>
        <v>405</v>
      </c>
      <c r="AR450" s="84" t="s">
        <v>20</v>
      </c>
      <c r="AS450" s="141"/>
      <c r="AT450" s="141"/>
      <c r="AU450" s="141"/>
      <c r="AV450" s="141"/>
      <c r="AW450" s="141"/>
      <c r="AX450" s="141"/>
      <c r="AY450" s="142"/>
      <c r="AZ450" s="142"/>
      <c r="BA450" s="56" t="s">
        <v>20</v>
      </c>
      <c r="BB450" s="91" t="n">
        <f aca="false">SUM(L$4:L$503)/COUNTA(A$4:A$503)</f>
        <v>9494.39992</v>
      </c>
      <c r="BC450" s="92" t="n">
        <f aca="false">SUM(M$4:M$503)/COUNTA(A$4:A$503)</f>
        <v>667.20008</v>
      </c>
      <c r="BD450" s="92" t="n">
        <f aca="false">SUM(N$4:N$503)/COUNTA(A$4:A$503)</f>
        <v>697.19996</v>
      </c>
      <c r="BE450" s="92" t="n">
        <f aca="false">SUM(O$4:O$503)/COUNTA(A$4:A$503)</f>
        <v>713.9999</v>
      </c>
      <c r="BF450" s="92" t="n">
        <f aca="false">SUM(P$4:P$503)/COUNTA(A$4:A$503)</f>
        <v>732.59984</v>
      </c>
      <c r="BG450" s="92" t="n">
        <f aca="false">SUM(Q$4:Q$503)/COUNTA(A$4:A$503)</f>
        <v>756.59992</v>
      </c>
      <c r="BH450" s="92" t="n">
        <f aca="false">SUM(R$4:R$503)/COUNTA(A$4:A$503)</f>
        <v>776.40004</v>
      </c>
      <c r="BI450" s="92" t="n">
        <f aca="false">SUM(S$4:S$503)/COUNTA(A$4:A$503)</f>
        <v>806.40012</v>
      </c>
      <c r="BJ450" s="92" t="n">
        <f aca="false">SUM(T$4:T$503)/COUNTA(A$4:A$503)</f>
        <v>826.1999</v>
      </c>
      <c r="BK450" s="92" t="n">
        <f aca="false">SUM(U$4:U$503)/COUNTA(A$4:A$503)</f>
        <v>844.8002</v>
      </c>
      <c r="BL450" s="92" t="n">
        <f aca="false">SUM(V$4:V$503)/COUNTA(A$4:A$503)</f>
        <v>865.7998</v>
      </c>
      <c r="BM450" s="92" t="n">
        <f aca="false">SUM(W$4:W$503)/COUNTA(A$4:A$503)</f>
        <v>888.59982</v>
      </c>
      <c r="BN450" s="93" t="n">
        <f aca="false">SUM(X$4:X$503)/COUNTA(A$4:A$503)</f>
        <v>918.60034</v>
      </c>
      <c r="BO450" s="94" t="s">
        <v>20</v>
      </c>
      <c r="BP450" s="91" t="n">
        <f aca="false">IF(Z450&gt;=BB450,0,IFERROR(BB450+(SUMPRODUCT((Z$4:Z$503&gt;=BB$4:BB$503)*(Z$4:Z$503-BB$4:BB$503))/MAX(1,COUNTIF(Z$4:Z$503,"&lt;"&amp;BB450+0.01))),BB450))</f>
        <v>10695.5432177778</v>
      </c>
      <c r="BQ450" s="92" t="n">
        <f aca="false">IF(AA450&gt;=BC450,0,IFERROR(BC450+SUMPRODUCT((AA$4:AA$503&gt;=BC$4:BC$503)*(AA$4:AA$503-BC$4:BC$503))/MAX(1,COUNTIF(AA$4:AA$503,"&lt;"&amp;BC450+0.01)),BC450))</f>
        <v>2238.46589176471</v>
      </c>
      <c r="BR450" s="92" t="n">
        <f aca="false">IF(AB450&gt;=BD450,0,IFERROR(BD450+SUMPRODUCT((AB$4:AB$503&gt;=BD$4:BD$503)*(AB$4:AB$503-BD$4:BD$503))/MAX(1,COUNTIF(AB$4:AB$503,"&lt;"&amp;BD450+0.01)),BD450))</f>
        <v>3335.2938</v>
      </c>
      <c r="BS450" s="92" t="n">
        <f aca="false">IF(AC450&gt;=BE450,0,IFERROR(BE450+SUMPRODUCT((AC$4:AC$503&gt;=BE$4:BE$503)*(AC$4:AC$503-BE$4:BE$503))/MAX(1,COUNTIF(AC$4:AC$503,"&lt;"&amp;BE450+0.01)),BE450))</f>
        <v>6188.73352</v>
      </c>
      <c r="BT450" s="92" t="n">
        <f aca="false">IF(AD450&gt;=BF450,0,IFERROR(BF450+SUMPRODUCT((AD$4:AD$503&gt;=BF$4:BF$503)*(AD$4:AD$503-BF$4:BF$503))/MAX(1,COUNTIF(AD$4:AD$503,"&lt;"&amp;BF450+0.01)),BF450))</f>
        <v>11354.35411</v>
      </c>
      <c r="BU450" s="92" t="n">
        <f aca="false">IF(AE450&gt;=BG450,0,IFERROR(BG450+SUMPRODUCT((AE$4:AE$503&gt;=BG$4:BG$503)*(AE$4:AE$503-BG$4:BG$503))/MAX(1,COUNTIF(AE$4:AE$503,"&lt;"&amp;BG450+0.01)),BG450))</f>
        <v>7704.85920380952</v>
      </c>
      <c r="BV450" s="92" t="n">
        <f aca="false">IF(AF450&gt;=BH450,0,IFERROR(BH450+SUMPRODUCT((AF$4:AF$503&gt;=BH$4:BH$503)*(AF$4:AF$503-BH$4:BH$503))/MAX(1,COUNTIF(AF$4:AF$503,"&lt;"&amp;BH450+0.01)),BH450))</f>
        <v>9942.6503831579</v>
      </c>
      <c r="BW450" s="92" t="n">
        <f aca="false">IF(AG450&gt;=BI450,0,IFERROR(BI450+SUMPRODUCT((AG$4:AG$503&gt;=BI$4:BI$503)*(AG$4:AG$503-BI$4:BI$503))/MAX(1,COUNTIF(AG$4:AG$503,"&lt;"&amp;BI450+0.01)),BI450))</f>
        <v>9142.15870461538</v>
      </c>
      <c r="BX450" s="92" t="n">
        <f aca="false">IF(AH450&gt;=BJ450,0,IFERROR(BJ450+SUMPRODUCT((AH$4:AH$503&gt;=BJ$4:BJ$503)*(AH$4:AH$503-BJ$4:BJ$503))/MAX(1,COUNTIF(AH$4:AH$503,"&lt;"&amp;BJ450+0.01)),BJ450))</f>
        <v>5621.50263448276</v>
      </c>
      <c r="BY450" s="92" t="n">
        <f aca="false">IF(AI450&gt;=BK450,0,IFERROR(BK450+SUMPRODUCT((AI$4:AI$503&gt;=BK$4:BK$503)*(AI$4:AI$503-BK$4:BK$503))/MAX(1,COUNTIF(AI$4:AI$503,"&lt;"&amp;BK450+0.01)),BK450))</f>
        <v>7878.25652380952</v>
      </c>
      <c r="BZ450" s="92" t="n">
        <f aca="false">IF(AJ450&gt;=BL450,0,IFERROR(BL450+SUMPRODUCT((AJ$4:AJ$503&gt;=BL$4:BL$503)*(AJ$4:AJ$503-BL$4:BL$503))/MAX(1,COUNTIF(AJ$4:AJ$503,"&lt;"&amp;BL450+0.01)),BL450))</f>
        <v>6710.03292307692</v>
      </c>
      <c r="CA450" s="92" t="n">
        <f aca="false">IF(AK450&gt;=BM450,0,IFERROR(BM450+SUMPRODUCT((AK$4:AK$503&gt;=BM$4:BM$503)*(AK$4:AK$503-BM$4:BM$503))/MAX(1,COUNTIF(AK$4:AK$503,"&lt;"&amp;BM450+0.01)),BM450))</f>
        <v>7314.89836842105</v>
      </c>
      <c r="CB450" s="93" t="n">
        <f aca="false">IF(AL450&gt;=BN450,0,IFERROR(BN450+SUMPRODUCT((AL$4:AL$503&gt;=BN$4:BN$503)*(AL$4:AL$503-BN$4:BN$503))/MAX(1,COUNTIF(AL$4:AL$503,"&lt;"&amp;BN450+0.01)),BN450))</f>
        <v>3597.2614925</v>
      </c>
      <c r="CC450" s="95" t="str">
        <f aca="false">IF(AO450="🟢","VERDE",IF(AO450="🟡","AMARELO",IF(AO450="🟠","VERMELHO",IF(AO450="🔴","VERMELHO","ROXO"))))</f>
        <v>VERMELHO</v>
      </c>
      <c r="CD450" s="96" t="s">
        <v>176</v>
      </c>
      <c r="CE450" s="96" t="s">
        <v>102</v>
      </c>
    </row>
    <row r="451" customFormat="false" ht="14.25" hidden="false" customHeight="true" outlineLevel="0" collapsed="false">
      <c r="A451" s="65" t="s">
        <v>1035</v>
      </c>
      <c r="B451" s="66" t="s">
        <v>1036</v>
      </c>
      <c r="C451" s="67" t="s">
        <v>113</v>
      </c>
      <c r="D451" s="68" t="s">
        <v>100</v>
      </c>
      <c r="E451" s="69" t="s">
        <v>114</v>
      </c>
      <c r="F451" s="70" t="n">
        <f aca="false">IFERROR(VLOOKUP(C451,$AS$3:$AT$10,2,FALSE()),IFERROR(VLOOKUP(C451,$AS$15:$AT$22,2,FALSE()),""))</f>
        <v>49</v>
      </c>
      <c r="G451" s="71" t="n">
        <f aca="false">IFERROR(VLOOKUP(C451,$AS$3:$AX$10,6,FALSE()),IFERROR(VLOOKUP(C451,$AS$15:$AX$22,6,FALSE()),""))</f>
        <v>0.463965086137302</v>
      </c>
      <c r="H451" s="72" t="str">
        <f aca="false">IFERROR(VLOOKUP(C451,$AS$3:$AY$10,7,FALSE()),IFERROR(VLOOKUP(C451,$AS$15:$AY$22,7,FALSE()),""))</f>
        <v>🟡 AMARELO</v>
      </c>
      <c r="I451" s="72" t="str">
        <f aca="false">IFERROR(VLOOKUP(C451,$AS$3:$AZ$10,8,FALSE()),IFERROR(VLOOKUP(C451,$AS$15:$AZ$22,8,FALSE()),""))</f>
        <v>Sell Out</v>
      </c>
      <c r="J451" s="73"/>
      <c r="K451" s="69" t="s">
        <v>113</v>
      </c>
      <c r="L451" s="74" t="n">
        <v>1567.89</v>
      </c>
      <c r="M451" s="75" t="n">
        <v>110.18</v>
      </c>
      <c r="N451" s="75" t="n">
        <v>115.13</v>
      </c>
      <c r="O451" s="75" t="n">
        <v>117.91</v>
      </c>
      <c r="P451" s="75" t="n">
        <v>120.98</v>
      </c>
      <c r="Q451" s="75" t="n">
        <v>124.94</v>
      </c>
      <c r="R451" s="75" t="n">
        <v>128.21</v>
      </c>
      <c r="S451" s="75" t="n">
        <v>133.17</v>
      </c>
      <c r="T451" s="75" t="n">
        <v>136.44</v>
      </c>
      <c r="U451" s="75" t="n">
        <v>139.51</v>
      </c>
      <c r="V451" s="75" t="n">
        <v>142.98</v>
      </c>
      <c r="W451" s="75" t="n">
        <v>146.74</v>
      </c>
      <c r="X451" s="76" t="n">
        <v>151.7</v>
      </c>
      <c r="Y451" s="77" t="s">
        <v>20</v>
      </c>
      <c r="Z451" s="78" t="n">
        <f aca="false">SUM(AA451:AL451)</f>
        <v>818.67</v>
      </c>
      <c r="AA451" s="75"/>
      <c r="AB451" s="75"/>
      <c r="AC451" s="75"/>
      <c r="AD451" s="75"/>
      <c r="AE451" s="75"/>
      <c r="AF451" s="75"/>
      <c r="AG451" s="79" t="n">
        <v>818.67</v>
      </c>
      <c r="AH451" s="75"/>
      <c r="AI451" s="75"/>
      <c r="AJ451" s="75"/>
      <c r="AK451" s="75"/>
      <c r="AL451" s="76"/>
      <c r="AM451" s="56" t="s">
        <v>20</v>
      </c>
      <c r="AN451" s="80" t="n">
        <f aca="false">IF(L451=0,0,Z451/L451)</f>
        <v>0.522147599640281</v>
      </c>
      <c r="AO451" s="81" t="str">
        <f aca="false">IF(AN451="","",IF(AN451&gt;=0.9,"🟢",IF(AN451&gt;=0.7,"🟡",IF(AN451&gt;=0.5,"🟠","🔴"))))</f>
        <v>🟠</v>
      </c>
      <c r="AP451" s="82" t="n">
        <f aca="false">IF(L451=0,0,L451-Z451)</f>
        <v>749.22</v>
      </c>
      <c r="AQ451" s="83" t="n">
        <f aca="false">IF(AP451=0,"",RANK(AP451,AP$4:AP$503,0))</f>
        <v>424</v>
      </c>
      <c r="AR451" s="84" t="s">
        <v>20</v>
      </c>
      <c r="AS451" s="141"/>
      <c r="AT451" s="141"/>
      <c r="AU451" s="141"/>
      <c r="AV451" s="141"/>
      <c r="AW451" s="141"/>
      <c r="AX451" s="141"/>
      <c r="AY451" s="142"/>
      <c r="AZ451" s="142"/>
      <c r="BA451" s="56" t="s">
        <v>20</v>
      </c>
      <c r="BB451" s="91" t="n">
        <f aca="false">SUM(L$4:L$503)/COUNTA(A$4:A$503)</f>
        <v>9494.39992</v>
      </c>
      <c r="BC451" s="92" t="n">
        <f aca="false">SUM(M$4:M$503)/COUNTA(A$4:A$503)</f>
        <v>667.20008</v>
      </c>
      <c r="BD451" s="92" t="n">
        <f aca="false">SUM(N$4:N$503)/COUNTA(A$4:A$503)</f>
        <v>697.19996</v>
      </c>
      <c r="BE451" s="92" t="n">
        <f aca="false">SUM(O$4:O$503)/COUNTA(A$4:A$503)</f>
        <v>713.9999</v>
      </c>
      <c r="BF451" s="92" t="n">
        <f aca="false">SUM(P$4:P$503)/COUNTA(A$4:A$503)</f>
        <v>732.59984</v>
      </c>
      <c r="BG451" s="92" t="n">
        <f aca="false">SUM(Q$4:Q$503)/COUNTA(A$4:A$503)</f>
        <v>756.59992</v>
      </c>
      <c r="BH451" s="92" t="n">
        <f aca="false">SUM(R$4:R$503)/COUNTA(A$4:A$503)</f>
        <v>776.40004</v>
      </c>
      <c r="BI451" s="92" t="n">
        <f aca="false">SUM(S$4:S$503)/COUNTA(A$4:A$503)</f>
        <v>806.40012</v>
      </c>
      <c r="BJ451" s="92" t="n">
        <f aca="false">SUM(T$4:T$503)/COUNTA(A$4:A$503)</f>
        <v>826.1999</v>
      </c>
      <c r="BK451" s="92" t="n">
        <f aca="false">SUM(U$4:U$503)/COUNTA(A$4:A$503)</f>
        <v>844.8002</v>
      </c>
      <c r="BL451" s="92" t="n">
        <f aca="false">SUM(V$4:V$503)/COUNTA(A$4:A$503)</f>
        <v>865.7998</v>
      </c>
      <c r="BM451" s="92" t="n">
        <f aca="false">SUM(W$4:W$503)/COUNTA(A$4:A$503)</f>
        <v>888.59982</v>
      </c>
      <c r="BN451" s="93" t="n">
        <f aca="false">SUM(X$4:X$503)/COUNTA(A$4:A$503)</f>
        <v>918.60034</v>
      </c>
      <c r="BO451" s="94" t="s">
        <v>20</v>
      </c>
      <c r="BP451" s="91" t="n">
        <f aca="false">IF(Z451&gt;=BB451,0,IFERROR(BB451+(SUMPRODUCT((Z$4:Z$503&gt;=BB$4:BB$503)*(Z$4:Z$503-BB$4:BB$503))/MAX(1,COUNTIF(Z$4:Z$503,"&lt;"&amp;BB451+0.01))),BB451))</f>
        <v>10695.5432177778</v>
      </c>
      <c r="BQ451" s="92" t="n">
        <f aca="false">IF(AA451&gt;=BC451,0,IFERROR(BC451+SUMPRODUCT((AA$4:AA$503&gt;=BC$4:BC$503)*(AA$4:AA$503-BC$4:BC$503))/MAX(1,COUNTIF(AA$4:AA$503,"&lt;"&amp;BC451+0.01)),BC451))</f>
        <v>2238.46589176471</v>
      </c>
      <c r="BR451" s="92" t="n">
        <f aca="false">IF(AB451&gt;=BD451,0,IFERROR(BD451+SUMPRODUCT((AB$4:AB$503&gt;=BD$4:BD$503)*(AB$4:AB$503-BD$4:BD$503))/MAX(1,COUNTIF(AB$4:AB$503,"&lt;"&amp;BD451+0.01)),BD451))</f>
        <v>3335.2938</v>
      </c>
      <c r="BS451" s="92" t="n">
        <f aca="false">IF(AC451&gt;=BE451,0,IFERROR(BE451+SUMPRODUCT((AC$4:AC$503&gt;=BE$4:BE$503)*(AC$4:AC$503-BE$4:BE$503))/MAX(1,COUNTIF(AC$4:AC$503,"&lt;"&amp;BE451+0.01)),BE451))</f>
        <v>6188.73352</v>
      </c>
      <c r="BT451" s="92" t="n">
        <f aca="false">IF(AD451&gt;=BF451,0,IFERROR(BF451+SUMPRODUCT((AD$4:AD$503&gt;=BF$4:BF$503)*(AD$4:AD$503-BF$4:BF$503))/MAX(1,COUNTIF(AD$4:AD$503,"&lt;"&amp;BF451+0.01)),BF451))</f>
        <v>11354.35411</v>
      </c>
      <c r="BU451" s="92" t="n">
        <f aca="false">IF(AE451&gt;=BG451,0,IFERROR(BG451+SUMPRODUCT((AE$4:AE$503&gt;=BG$4:BG$503)*(AE$4:AE$503-BG$4:BG$503))/MAX(1,COUNTIF(AE$4:AE$503,"&lt;"&amp;BG451+0.01)),BG451))</f>
        <v>7704.85920380952</v>
      </c>
      <c r="BV451" s="92" t="n">
        <f aca="false">IF(AF451&gt;=BH451,0,IFERROR(BH451+SUMPRODUCT((AF$4:AF$503&gt;=BH$4:BH$503)*(AF$4:AF$503-BH$4:BH$503))/MAX(1,COUNTIF(AF$4:AF$503,"&lt;"&amp;BH451+0.01)),BH451))</f>
        <v>9942.6503831579</v>
      </c>
      <c r="BW451" s="92" t="n">
        <f aca="false">IF(AG451&gt;=BI451,0,IFERROR(BI451+SUMPRODUCT((AG$4:AG$503&gt;=BI$4:BI$503)*(AG$4:AG$503-BI$4:BI$503))/MAX(1,COUNTIF(AG$4:AG$503,"&lt;"&amp;BI451+0.01)),BI451))</f>
        <v>0</v>
      </c>
      <c r="BX451" s="92" t="n">
        <f aca="false">IF(AH451&gt;=BJ451,0,IFERROR(BJ451+SUMPRODUCT((AH$4:AH$503&gt;=BJ$4:BJ$503)*(AH$4:AH$503-BJ$4:BJ$503))/MAX(1,COUNTIF(AH$4:AH$503,"&lt;"&amp;BJ451+0.01)),BJ451))</f>
        <v>5621.50263448276</v>
      </c>
      <c r="BY451" s="92" t="n">
        <f aca="false">IF(AI451&gt;=BK451,0,IFERROR(BK451+SUMPRODUCT((AI$4:AI$503&gt;=BK$4:BK$503)*(AI$4:AI$503-BK$4:BK$503))/MAX(1,COUNTIF(AI$4:AI$503,"&lt;"&amp;BK451+0.01)),BK451))</f>
        <v>7878.25652380952</v>
      </c>
      <c r="BZ451" s="92" t="n">
        <f aca="false">IF(AJ451&gt;=BL451,0,IFERROR(BL451+SUMPRODUCT((AJ$4:AJ$503&gt;=BL$4:BL$503)*(AJ$4:AJ$503-BL$4:BL$503))/MAX(1,COUNTIF(AJ$4:AJ$503,"&lt;"&amp;BL451+0.01)),BL451))</f>
        <v>6710.03292307692</v>
      </c>
      <c r="CA451" s="92" t="n">
        <f aca="false">IF(AK451&gt;=BM451,0,IFERROR(BM451+SUMPRODUCT((AK$4:AK$503&gt;=BM$4:BM$503)*(AK$4:AK$503-BM$4:BM$503))/MAX(1,COUNTIF(AK$4:AK$503,"&lt;"&amp;BM451+0.01)),BM451))</f>
        <v>7314.89836842105</v>
      </c>
      <c r="CB451" s="93" t="n">
        <f aca="false">IF(AL451&gt;=BN451,0,IFERROR(BN451+SUMPRODUCT((AL$4:AL$503&gt;=BN$4:BN$503)*(AL$4:AL$503-BN$4:BN$503))/MAX(1,COUNTIF(AL$4:AL$503,"&lt;"&amp;BN451+0.01)),BN451))</f>
        <v>3597.2614925</v>
      </c>
      <c r="CC451" s="95" t="str">
        <f aca="false">IF(AO451="🟢","VERDE",IF(AO451="🟡","AMARELO",IF(AO451="🟠","VERMELHO",IF(AO451="🔴","VERMELHO","ROXO"))))</f>
        <v>VERMELHO</v>
      </c>
      <c r="CD451" s="96" t="s">
        <v>103</v>
      </c>
      <c r="CE451" s="96" t="s">
        <v>104</v>
      </c>
    </row>
    <row r="452" customFormat="false" ht="14.25" hidden="false" customHeight="true" outlineLevel="0" collapsed="false">
      <c r="A452" s="65" t="s">
        <v>1037</v>
      </c>
      <c r="B452" s="66" t="s">
        <v>1038</v>
      </c>
      <c r="C452" s="67" t="s">
        <v>118</v>
      </c>
      <c r="D452" s="68" t="s">
        <v>100</v>
      </c>
      <c r="E452" s="69" t="s">
        <v>119</v>
      </c>
      <c r="F452" s="70" t="n">
        <f aca="false">IFERROR(VLOOKUP(C452,$AS$3:$AT$10,2,FALSE()),IFERROR(VLOOKUP(C452,$AS$15:$AT$22,2,FALSE()),""))</f>
        <v>42</v>
      </c>
      <c r="G452" s="71" t="n">
        <f aca="false">IFERROR(VLOOKUP(C452,$AS$3:$AX$10,6,FALSE()),IFERROR(VLOOKUP(C452,$AS$15:$AX$22,6,FALSE()),""))</f>
        <v>0.424872083346704</v>
      </c>
      <c r="H452" s="72" t="str">
        <f aca="false">IFERROR(VLOOKUP(C452,$AS$3:$AY$10,7,FALSE()),IFERROR(VLOOKUP(C452,$AS$15:$AY$22,7,FALSE()),""))</f>
        <v>🟡 AMARELO</v>
      </c>
      <c r="I452" s="72" t="str">
        <f aca="false">IFERROR(VLOOKUP(C452,$AS$3:$AZ$10,8,FALSE()),IFERROR(VLOOKUP(C452,$AS$15:$AZ$22,8,FALSE()),""))</f>
        <v>Sell Out</v>
      </c>
      <c r="J452" s="73"/>
      <c r="K452" s="69" t="s">
        <v>118</v>
      </c>
      <c r="L452" s="74" t="n">
        <v>1565.88</v>
      </c>
      <c r="M452" s="75" t="n">
        <v>110.04</v>
      </c>
      <c r="N452" s="75" t="n">
        <v>114.99</v>
      </c>
      <c r="O452" s="75" t="n">
        <v>117.76</v>
      </c>
      <c r="P452" s="75" t="n">
        <v>120.83</v>
      </c>
      <c r="Q452" s="75" t="n">
        <v>124.78</v>
      </c>
      <c r="R452" s="75" t="n">
        <v>128.05</v>
      </c>
      <c r="S452" s="75" t="n">
        <v>133</v>
      </c>
      <c r="T452" s="75" t="n">
        <v>136.26</v>
      </c>
      <c r="U452" s="75" t="n">
        <v>139.33</v>
      </c>
      <c r="V452" s="75" t="n">
        <v>142.79</v>
      </c>
      <c r="W452" s="75" t="n">
        <v>146.55</v>
      </c>
      <c r="X452" s="76" t="n">
        <v>151.5</v>
      </c>
      <c r="Y452" s="77" t="s">
        <v>20</v>
      </c>
      <c r="Z452" s="78" t="n">
        <f aca="false">SUM(AA452:AL452)</f>
        <v>650.3</v>
      </c>
      <c r="AA452" s="75"/>
      <c r="AB452" s="75"/>
      <c r="AC452" s="75"/>
      <c r="AD452" s="75"/>
      <c r="AE452" s="75"/>
      <c r="AF452" s="75"/>
      <c r="AG452" s="75"/>
      <c r="AH452" s="79" t="n">
        <v>650.3</v>
      </c>
      <c r="AI452" s="75"/>
      <c r="AJ452" s="75"/>
      <c r="AK452" s="75"/>
      <c r="AL452" s="76"/>
      <c r="AM452" s="56" t="s">
        <v>20</v>
      </c>
      <c r="AN452" s="80" t="n">
        <f aca="false">IF(L452=0,0,Z452/L452)</f>
        <v>0.415293636804864</v>
      </c>
      <c r="AO452" s="81" t="str">
        <f aca="false">IF(AN452="","",IF(AN452&gt;=0.9,"🟢",IF(AN452&gt;=0.7,"🟡",IF(AN452&gt;=0.5,"🟠","🔴"))))</f>
        <v>🔴</v>
      </c>
      <c r="AP452" s="82" t="n">
        <f aca="false">IF(L452=0,0,L452-Z452)</f>
        <v>915.58</v>
      </c>
      <c r="AQ452" s="83" t="n">
        <f aca="false">IF(AP452=0,"",RANK(AP452,AP$4:AP$503,0))</f>
        <v>407</v>
      </c>
      <c r="AR452" s="84" t="s">
        <v>20</v>
      </c>
      <c r="AS452" s="141"/>
      <c r="AT452" s="141"/>
      <c r="AU452" s="141"/>
      <c r="AV452" s="141"/>
      <c r="AW452" s="141"/>
      <c r="AX452" s="141"/>
      <c r="AY452" s="142"/>
      <c r="AZ452" s="142"/>
      <c r="BA452" s="56" t="s">
        <v>20</v>
      </c>
      <c r="BB452" s="91" t="n">
        <f aca="false">SUM(L$4:L$503)/COUNTA(A$4:A$503)</f>
        <v>9494.39992</v>
      </c>
      <c r="BC452" s="92" t="n">
        <f aca="false">SUM(M$4:M$503)/COUNTA(A$4:A$503)</f>
        <v>667.20008</v>
      </c>
      <c r="BD452" s="92" t="n">
        <f aca="false">SUM(N$4:N$503)/COUNTA(A$4:A$503)</f>
        <v>697.19996</v>
      </c>
      <c r="BE452" s="92" t="n">
        <f aca="false">SUM(O$4:O$503)/COUNTA(A$4:A$503)</f>
        <v>713.9999</v>
      </c>
      <c r="BF452" s="92" t="n">
        <f aca="false">SUM(P$4:P$503)/COUNTA(A$4:A$503)</f>
        <v>732.59984</v>
      </c>
      <c r="BG452" s="92" t="n">
        <f aca="false">SUM(Q$4:Q$503)/COUNTA(A$4:A$503)</f>
        <v>756.59992</v>
      </c>
      <c r="BH452" s="92" t="n">
        <f aca="false">SUM(R$4:R$503)/COUNTA(A$4:A$503)</f>
        <v>776.40004</v>
      </c>
      <c r="BI452" s="92" t="n">
        <f aca="false">SUM(S$4:S$503)/COUNTA(A$4:A$503)</f>
        <v>806.40012</v>
      </c>
      <c r="BJ452" s="92" t="n">
        <f aca="false">SUM(T$4:T$503)/COUNTA(A$4:A$503)</f>
        <v>826.1999</v>
      </c>
      <c r="BK452" s="92" t="n">
        <f aca="false">SUM(U$4:U$503)/COUNTA(A$4:A$503)</f>
        <v>844.8002</v>
      </c>
      <c r="BL452" s="92" t="n">
        <f aca="false">SUM(V$4:V$503)/COUNTA(A$4:A$503)</f>
        <v>865.7998</v>
      </c>
      <c r="BM452" s="92" t="n">
        <f aca="false">SUM(W$4:W$503)/COUNTA(A$4:A$503)</f>
        <v>888.59982</v>
      </c>
      <c r="BN452" s="93" t="n">
        <f aca="false">SUM(X$4:X$503)/COUNTA(A$4:A$503)</f>
        <v>918.60034</v>
      </c>
      <c r="BO452" s="94" t="s">
        <v>20</v>
      </c>
      <c r="BP452" s="91" t="n">
        <f aca="false">IF(Z452&gt;=BB452,0,IFERROR(BB452+(SUMPRODUCT((Z$4:Z$503&gt;=BB$4:BB$503)*(Z$4:Z$503-BB$4:BB$503))/MAX(1,COUNTIF(Z$4:Z$503,"&lt;"&amp;BB452+0.01))),BB452))</f>
        <v>10695.5432177778</v>
      </c>
      <c r="BQ452" s="92" t="n">
        <f aca="false">IF(AA452&gt;=BC452,0,IFERROR(BC452+SUMPRODUCT((AA$4:AA$503&gt;=BC$4:BC$503)*(AA$4:AA$503-BC$4:BC$503))/MAX(1,COUNTIF(AA$4:AA$503,"&lt;"&amp;BC452+0.01)),BC452))</f>
        <v>2238.46589176471</v>
      </c>
      <c r="BR452" s="92" t="n">
        <f aca="false">IF(AB452&gt;=BD452,0,IFERROR(BD452+SUMPRODUCT((AB$4:AB$503&gt;=BD$4:BD$503)*(AB$4:AB$503-BD$4:BD$503))/MAX(1,COUNTIF(AB$4:AB$503,"&lt;"&amp;BD452+0.01)),BD452))</f>
        <v>3335.2938</v>
      </c>
      <c r="BS452" s="92" t="n">
        <f aca="false">IF(AC452&gt;=BE452,0,IFERROR(BE452+SUMPRODUCT((AC$4:AC$503&gt;=BE$4:BE$503)*(AC$4:AC$503-BE$4:BE$503))/MAX(1,COUNTIF(AC$4:AC$503,"&lt;"&amp;BE452+0.01)),BE452))</f>
        <v>6188.73352</v>
      </c>
      <c r="BT452" s="92" t="n">
        <f aca="false">IF(AD452&gt;=BF452,0,IFERROR(BF452+SUMPRODUCT((AD$4:AD$503&gt;=BF$4:BF$503)*(AD$4:AD$503-BF$4:BF$503))/MAX(1,COUNTIF(AD$4:AD$503,"&lt;"&amp;BF452+0.01)),BF452))</f>
        <v>11354.35411</v>
      </c>
      <c r="BU452" s="92" t="n">
        <f aca="false">IF(AE452&gt;=BG452,0,IFERROR(BG452+SUMPRODUCT((AE$4:AE$503&gt;=BG$4:BG$503)*(AE$4:AE$503-BG$4:BG$503))/MAX(1,COUNTIF(AE$4:AE$503,"&lt;"&amp;BG452+0.01)),BG452))</f>
        <v>7704.85920380952</v>
      </c>
      <c r="BV452" s="92" t="n">
        <f aca="false">IF(AF452&gt;=BH452,0,IFERROR(BH452+SUMPRODUCT((AF$4:AF$503&gt;=BH$4:BH$503)*(AF$4:AF$503-BH$4:BH$503))/MAX(1,COUNTIF(AF$4:AF$503,"&lt;"&amp;BH452+0.01)),BH452))</f>
        <v>9942.6503831579</v>
      </c>
      <c r="BW452" s="92" t="n">
        <f aca="false">IF(AG452&gt;=BI452,0,IFERROR(BI452+SUMPRODUCT((AG$4:AG$503&gt;=BI$4:BI$503)*(AG$4:AG$503-BI$4:BI$503))/MAX(1,COUNTIF(AG$4:AG$503,"&lt;"&amp;BI452+0.01)),BI452))</f>
        <v>9142.15870461538</v>
      </c>
      <c r="BX452" s="92" t="n">
        <f aca="false">IF(AH452&gt;=BJ452,0,IFERROR(BJ452+SUMPRODUCT((AH$4:AH$503&gt;=BJ$4:BJ$503)*(AH$4:AH$503-BJ$4:BJ$503))/MAX(1,COUNTIF(AH$4:AH$503,"&lt;"&amp;BJ452+0.01)),BJ452))</f>
        <v>5621.50263448276</v>
      </c>
      <c r="BY452" s="92" t="n">
        <f aca="false">IF(AI452&gt;=BK452,0,IFERROR(BK452+SUMPRODUCT((AI$4:AI$503&gt;=BK$4:BK$503)*(AI$4:AI$503-BK$4:BK$503))/MAX(1,COUNTIF(AI$4:AI$503,"&lt;"&amp;BK452+0.01)),BK452))</f>
        <v>7878.25652380952</v>
      </c>
      <c r="BZ452" s="92" t="n">
        <f aca="false">IF(AJ452&gt;=BL452,0,IFERROR(BL452+SUMPRODUCT((AJ$4:AJ$503&gt;=BL$4:BL$503)*(AJ$4:AJ$503-BL$4:BL$503))/MAX(1,COUNTIF(AJ$4:AJ$503,"&lt;"&amp;BL452+0.01)),BL452))</f>
        <v>6710.03292307692</v>
      </c>
      <c r="CA452" s="92" t="n">
        <f aca="false">IF(AK452&gt;=BM452,0,IFERROR(BM452+SUMPRODUCT((AK$4:AK$503&gt;=BM$4:BM$503)*(AK$4:AK$503-BM$4:BM$503))/MAX(1,COUNTIF(AK$4:AK$503,"&lt;"&amp;BM452+0.01)),BM452))</f>
        <v>7314.89836842105</v>
      </c>
      <c r="CB452" s="93" t="n">
        <f aca="false">IF(AL452&gt;=BN452,0,IFERROR(BN452+SUMPRODUCT((AL$4:AL$503&gt;=BN$4:BN$503)*(AL$4:AL$503-BN$4:BN$503))/MAX(1,COUNTIF(AL$4:AL$503,"&lt;"&amp;BN452+0.01)),BN452))</f>
        <v>3597.2614925</v>
      </c>
      <c r="CC452" s="95" t="str">
        <f aca="false">IF(AO452="🟢","VERDE",IF(AO452="🟡","AMARELO",IF(AO452="🟠","VERMELHO",IF(AO452="🔴","VERMELHO","ROXO"))))</f>
        <v>VERMELHO</v>
      </c>
      <c r="CD452" s="96" t="s">
        <v>103</v>
      </c>
      <c r="CE452" s="96" t="s">
        <v>104</v>
      </c>
    </row>
    <row r="453" customFormat="false" ht="14.25" hidden="false" customHeight="true" outlineLevel="0" collapsed="false">
      <c r="A453" s="65" t="s">
        <v>1039</v>
      </c>
      <c r="B453" s="66" t="s">
        <v>1040</v>
      </c>
      <c r="C453" s="67" t="s">
        <v>107</v>
      </c>
      <c r="D453" s="68" t="s">
        <v>108</v>
      </c>
      <c r="E453" s="69" t="s">
        <v>139</v>
      </c>
      <c r="F453" s="70" t="n">
        <f aca="false">IFERROR(VLOOKUP(C453,$AS$3:$AT$10,2,FALSE()),IFERROR(VLOOKUP(C453,$AS$15:$AT$22,2,FALSE()),""))</f>
        <v>132</v>
      </c>
      <c r="G453" s="71" t="n">
        <f aca="false">IFERROR(VLOOKUP(C453,$AS$3:$AX$10,6,FALSE()),IFERROR(VLOOKUP(C453,$AS$15:$AX$22,6,FALSE()),""))</f>
        <v>0.468190175850689</v>
      </c>
      <c r="H453" s="72" t="str">
        <f aca="false">IFERROR(VLOOKUP(C453,$AS$3:$AY$10,7,FALSE()),IFERROR(VLOOKUP(C453,$AS$15:$AY$22,7,FALSE()),""))</f>
        <v>🟡 AMARELO</v>
      </c>
      <c r="I453" s="72" t="str">
        <f aca="false">IFERROR(VLOOKUP(C453,$AS$3:$AZ$10,8,FALSE()),IFERROR(VLOOKUP(C453,$AS$15:$AZ$22,8,FALSE()),""))</f>
        <v>Sell Out</v>
      </c>
      <c r="J453" s="73"/>
      <c r="K453" s="69" t="s">
        <v>107</v>
      </c>
      <c r="L453" s="74" t="n">
        <v>1533.31</v>
      </c>
      <c r="M453" s="75" t="n">
        <v>107.75</v>
      </c>
      <c r="N453" s="75" t="n">
        <v>112.59</v>
      </c>
      <c r="O453" s="75" t="n">
        <v>115.31</v>
      </c>
      <c r="P453" s="75" t="n">
        <v>118.31</v>
      </c>
      <c r="Q453" s="75" t="n">
        <v>122.19</v>
      </c>
      <c r="R453" s="75" t="n">
        <v>125.39</v>
      </c>
      <c r="S453" s="75" t="n">
        <v>130.23</v>
      </c>
      <c r="T453" s="75" t="n">
        <v>133.43</v>
      </c>
      <c r="U453" s="75" t="n">
        <v>136.43</v>
      </c>
      <c r="V453" s="75" t="n">
        <v>139.82</v>
      </c>
      <c r="W453" s="75" t="n">
        <v>143.51</v>
      </c>
      <c r="X453" s="76" t="n">
        <v>148.35</v>
      </c>
      <c r="Y453" s="77" t="s">
        <v>20</v>
      </c>
      <c r="Z453" s="78" t="n">
        <f aca="false">SUM(AA453:AL453)</f>
        <v>616.62</v>
      </c>
      <c r="AA453" s="75"/>
      <c r="AB453" s="75"/>
      <c r="AC453" s="79" t="n">
        <v>616.62</v>
      </c>
      <c r="AD453" s="75"/>
      <c r="AE453" s="75"/>
      <c r="AF453" s="75"/>
      <c r="AG453" s="75"/>
      <c r="AH453" s="75"/>
      <c r="AI453" s="75"/>
      <c r="AJ453" s="75"/>
      <c r="AK453" s="75"/>
      <c r="AL453" s="76"/>
      <c r="AM453" s="56" t="s">
        <v>20</v>
      </c>
      <c r="AN453" s="80" t="n">
        <f aca="false">IF(L453=0,0,Z453/L453)</f>
        <v>0.402149597928664</v>
      </c>
      <c r="AO453" s="81" t="str">
        <f aca="false">IF(AN453="","",IF(AN453&gt;=0.9,"🟢",IF(AN453&gt;=0.7,"🟡",IF(AN453&gt;=0.5,"🟠","🔴"))))</f>
        <v>🔴</v>
      </c>
      <c r="AP453" s="82" t="n">
        <f aca="false">IF(L453=0,0,L453-Z453)</f>
        <v>916.69</v>
      </c>
      <c r="AQ453" s="83" t="n">
        <f aca="false">IF(AP453=0,"",RANK(AP453,AP$4:AP$503,0))</f>
        <v>406</v>
      </c>
      <c r="AR453" s="84" t="s">
        <v>20</v>
      </c>
      <c r="AS453" s="141"/>
      <c r="AT453" s="141"/>
      <c r="AU453" s="141"/>
      <c r="AV453" s="141"/>
      <c r="AW453" s="141"/>
      <c r="AX453" s="141"/>
      <c r="AY453" s="142"/>
      <c r="AZ453" s="142"/>
      <c r="BA453" s="56" t="s">
        <v>20</v>
      </c>
      <c r="BB453" s="91" t="n">
        <f aca="false">SUM(L$4:L$503)/COUNTA(A$4:A$503)</f>
        <v>9494.39992</v>
      </c>
      <c r="BC453" s="92" t="n">
        <f aca="false">SUM(M$4:M$503)/COUNTA(A$4:A$503)</f>
        <v>667.20008</v>
      </c>
      <c r="BD453" s="92" t="n">
        <f aca="false">SUM(N$4:N$503)/COUNTA(A$4:A$503)</f>
        <v>697.19996</v>
      </c>
      <c r="BE453" s="92" t="n">
        <f aca="false">SUM(O$4:O$503)/COUNTA(A$4:A$503)</f>
        <v>713.9999</v>
      </c>
      <c r="BF453" s="92" t="n">
        <f aca="false">SUM(P$4:P$503)/COUNTA(A$4:A$503)</f>
        <v>732.59984</v>
      </c>
      <c r="BG453" s="92" t="n">
        <f aca="false">SUM(Q$4:Q$503)/COUNTA(A$4:A$503)</f>
        <v>756.59992</v>
      </c>
      <c r="BH453" s="92" t="n">
        <f aca="false">SUM(R$4:R$503)/COUNTA(A$4:A$503)</f>
        <v>776.40004</v>
      </c>
      <c r="BI453" s="92" t="n">
        <f aca="false">SUM(S$4:S$503)/COUNTA(A$4:A$503)</f>
        <v>806.40012</v>
      </c>
      <c r="BJ453" s="92" t="n">
        <f aca="false">SUM(T$4:T$503)/COUNTA(A$4:A$503)</f>
        <v>826.1999</v>
      </c>
      <c r="BK453" s="92" t="n">
        <f aca="false">SUM(U$4:U$503)/COUNTA(A$4:A$503)</f>
        <v>844.8002</v>
      </c>
      <c r="BL453" s="92" t="n">
        <f aca="false">SUM(V$4:V$503)/COUNTA(A$4:A$503)</f>
        <v>865.7998</v>
      </c>
      <c r="BM453" s="92" t="n">
        <f aca="false">SUM(W$4:W$503)/COUNTA(A$4:A$503)</f>
        <v>888.59982</v>
      </c>
      <c r="BN453" s="93" t="n">
        <f aca="false">SUM(X$4:X$503)/COUNTA(A$4:A$503)</f>
        <v>918.60034</v>
      </c>
      <c r="BO453" s="94" t="s">
        <v>20</v>
      </c>
      <c r="BP453" s="91" t="n">
        <f aca="false">IF(Z453&gt;=BB453,0,IFERROR(BB453+(SUMPRODUCT((Z$4:Z$503&gt;=BB$4:BB$503)*(Z$4:Z$503-BB$4:BB$503))/MAX(1,COUNTIF(Z$4:Z$503,"&lt;"&amp;BB453+0.01))),BB453))</f>
        <v>10695.5432177778</v>
      </c>
      <c r="BQ453" s="92" t="n">
        <f aca="false">IF(AA453&gt;=BC453,0,IFERROR(BC453+SUMPRODUCT((AA$4:AA$503&gt;=BC$4:BC$503)*(AA$4:AA$503-BC$4:BC$503))/MAX(1,COUNTIF(AA$4:AA$503,"&lt;"&amp;BC453+0.01)),BC453))</f>
        <v>2238.46589176471</v>
      </c>
      <c r="BR453" s="92" t="n">
        <f aca="false">IF(AB453&gt;=BD453,0,IFERROR(BD453+SUMPRODUCT((AB$4:AB$503&gt;=BD$4:BD$503)*(AB$4:AB$503-BD$4:BD$503))/MAX(1,COUNTIF(AB$4:AB$503,"&lt;"&amp;BD453+0.01)),BD453))</f>
        <v>3335.2938</v>
      </c>
      <c r="BS453" s="92" t="n">
        <f aca="false">IF(AC453&gt;=BE453,0,IFERROR(BE453+SUMPRODUCT((AC$4:AC$503&gt;=BE$4:BE$503)*(AC$4:AC$503-BE$4:BE$503))/MAX(1,COUNTIF(AC$4:AC$503,"&lt;"&amp;BE453+0.01)),BE453))</f>
        <v>6188.73352</v>
      </c>
      <c r="BT453" s="92" t="n">
        <f aca="false">IF(AD453&gt;=BF453,0,IFERROR(BF453+SUMPRODUCT((AD$4:AD$503&gt;=BF$4:BF$503)*(AD$4:AD$503-BF$4:BF$503))/MAX(1,COUNTIF(AD$4:AD$503,"&lt;"&amp;BF453+0.01)),BF453))</f>
        <v>11354.35411</v>
      </c>
      <c r="BU453" s="92" t="n">
        <f aca="false">IF(AE453&gt;=BG453,0,IFERROR(BG453+SUMPRODUCT((AE$4:AE$503&gt;=BG$4:BG$503)*(AE$4:AE$503-BG$4:BG$503))/MAX(1,COUNTIF(AE$4:AE$503,"&lt;"&amp;BG453+0.01)),BG453))</f>
        <v>7704.85920380952</v>
      </c>
      <c r="BV453" s="92" t="n">
        <f aca="false">IF(AF453&gt;=BH453,0,IFERROR(BH453+SUMPRODUCT((AF$4:AF$503&gt;=BH$4:BH$503)*(AF$4:AF$503-BH$4:BH$503))/MAX(1,COUNTIF(AF$4:AF$503,"&lt;"&amp;BH453+0.01)),BH453))</f>
        <v>9942.6503831579</v>
      </c>
      <c r="BW453" s="92" t="n">
        <f aca="false">IF(AG453&gt;=BI453,0,IFERROR(BI453+SUMPRODUCT((AG$4:AG$503&gt;=BI$4:BI$503)*(AG$4:AG$503-BI$4:BI$503))/MAX(1,COUNTIF(AG$4:AG$503,"&lt;"&amp;BI453+0.01)),BI453))</f>
        <v>9142.15870461538</v>
      </c>
      <c r="BX453" s="92" t="n">
        <f aca="false">IF(AH453&gt;=BJ453,0,IFERROR(BJ453+SUMPRODUCT((AH$4:AH$503&gt;=BJ$4:BJ$503)*(AH$4:AH$503-BJ$4:BJ$503))/MAX(1,COUNTIF(AH$4:AH$503,"&lt;"&amp;BJ453+0.01)),BJ453))</f>
        <v>5621.50263448276</v>
      </c>
      <c r="BY453" s="92" t="n">
        <f aca="false">IF(AI453&gt;=BK453,0,IFERROR(BK453+SUMPRODUCT((AI$4:AI$503&gt;=BK$4:BK$503)*(AI$4:AI$503-BK$4:BK$503))/MAX(1,COUNTIF(AI$4:AI$503,"&lt;"&amp;BK453+0.01)),BK453))</f>
        <v>7878.25652380952</v>
      </c>
      <c r="BZ453" s="92" t="n">
        <f aca="false">IF(AJ453&gt;=BL453,0,IFERROR(BL453+SUMPRODUCT((AJ$4:AJ$503&gt;=BL$4:BL$503)*(AJ$4:AJ$503-BL$4:BL$503))/MAX(1,COUNTIF(AJ$4:AJ$503,"&lt;"&amp;BL453+0.01)),BL453))</f>
        <v>6710.03292307692</v>
      </c>
      <c r="CA453" s="92" t="n">
        <f aca="false">IF(AK453&gt;=BM453,0,IFERROR(BM453+SUMPRODUCT((AK$4:AK$503&gt;=BM$4:BM$503)*(AK$4:AK$503-BM$4:BM$503))/MAX(1,COUNTIF(AK$4:AK$503,"&lt;"&amp;BM453+0.01)),BM453))</f>
        <v>7314.89836842105</v>
      </c>
      <c r="CB453" s="93" t="n">
        <f aca="false">IF(AL453&gt;=BN453,0,IFERROR(BN453+SUMPRODUCT((AL$4:AL$503&gt;=BN$4:BN$503)*(AL$4:AL$503-BN$4:BN$503))/MAX(1,COUNTIF(AL$4:AL$503,"&lt;"&amp;BN453+0.01)),BN453))</f>
        <v>3597.2614925</v>
      </c>
      <c r="CC453" s="95" t="str">
        <f aca="false">IF(AO453="🟢","VERDE",IF(AO453="🟡","AMARELO",IF(AO453="🟠","VERMELHO",IF(AO453="🔴","VERMELHO","ROXO"))))</f>
        <v>VERMELHO</v>
      </c>
      <c r="CD453" s="96" t="s">
        <v>103</v>
      </c>
      <c r="CE453" s="96" t="s">
        <v>104</v>
      </c>
    </row>
    <row r="454" customFormat="false" ht="14.25" hidden="false" customHeight="true" outlineLevel="0" collapsed="false">
      <c r="A454" s="65" t="s">
        <v>1041</v>
      </c>
      <c r="B454" s="66" t="s">
        <v>1042</v>
      </c>
      <c r="C454" s="67" t="s">
        <v>149</v>
      </c>
      <c r="D454" s="68" t="s">
        <v>100</v>
      </c>
      <c r="E454" s="69" t="s">
        <v>119</v>
      </c>
      <c r="F454" s="70" t="n">
        <f aca="false">IFERROR(VLOOKUP(C454,$AS$3:$AT$10,2,FALSE()),IFERROR(VLOOKUP(C454,$AS$15:$AT$22,2,FALSE()),""))</f>
        <v>29</v>
      </c>
      <c r="G454" s="71" t="n">
        <f aca="false">IFERROR(VLOOKUP(C454,$AS$3:$AX$10,6,FALSE()),IFERROR(VLOOKUP(C454,$AS$15:$AX$22,6,FALSE()),""))</f>
        <v>0.425845065256079</v>
      </c>
      <c r="H454" s="72" t="str">
        <f aca="false">IFERROR(VLOOKUP(C454,$AS$3:$AY$10,7,FALSE()),IFERROR(VLOOKUP(C454,$AS$15:$AY$22,7,FALSE()),""))</f>
        <v>🟡 AMARELO</v>
      </c>
      <c r="I454" s="72" t="str">
        <f aca="false">IFERROR(VLOOKUP(C454,$AS$3:$AZ$10,8,FALSE()),IFERROR(VLOOKUP(C454,$AS$15:$AZ$22,8,FALSE()),""))</f>
        <v>Sell Out</v>
      </c>
      <c r="J454" s="73"/>
      <c r="K454" s="69" t="s">
        <v>149</v>
      </c>
      <c r="L454" s="74" t="n">
        <v>1525.82</v>
      </c>
      <c r="M454" s="75" t="n">
        <v>107.22</v>
      </c>
      <c r="N454" s="75" t="n">
        <v>112.05</v>
      </c>
      <c r="O454" s="75" t="n">
        <v>114.75</v>
      </c>
      <c r="P454" s="75" t="n">
        <v>117.73</v>
      </c>
      <c r="Q454" s="75" t="n">
        <v>121.59</v>
      </c>
      <c r="R454" s="75" t="n">
        <v>124.77</v>
      </c>
      <c r="S454" s="75" t="n">
        <v>129.59</v>
      </c>
      <c r="T454" s="75" t="n">
        <v>132.78</v>
      </c>
      <c r="U454" s="75" t="n">
        <v>135.77</v>
      </c>
      <c r="V454" s="75" t="n">
        <v>139.14</v>
      </c>
      <c r="W454" s="75" t="n">
        <v>142.8</v>
      </c>
      <c r="X454" s="76" t="n">
        <v>147.63</v>
      </c>
      <c r="Y454" s="77" t="s">
        <v>20</v>
      </c>
      <c r="Z454" s="78" t="n">
        <f aca="false">SUM(AA454:AL454)</f>
        <v>677.7</v>
      </c>
      <c r="AA454" s="75"/>
      <c r="AB454" s="75"/>
      <c r="AC454" s="75"/>
      <c r="AD454" s="79" t="n">
        <v>677.7</v>
      </c>
      <c r="AE454" s="75"/>
      <c r="AF454" s="75"/>
      <c r="AG454" s="75"/>
      <c r="AH454" s="75"/>
      <c r="AI454" s="75"/>
      <c r="AJ454" s="75"/>
      <c r="AK454" s="75"/>
      <c r="AL454" s="76"/>
      <c r="AM454" s="56" t="s">
        <v>20</v>
      </c>
      <c r="AN454" s="80" t="n">
        <f aca="false">IF(L454=0,0,Z454/L454)</f>
        <v>0.444154618500216</v>
      </c>
      <c r="AO454" s="81" t="str">
        <f aca="false">IF(AN454="","",IF(AN454&gt;=0.9,"🟢",IF(AN454&gt;=0.7,"🟡",IF(AN454&gt;=0.5,"🟠","🔴"))))</f>
        <v>🔴</v>
      </c>
      <c r="AP454" s="82" t="n">
        <f aca="false">IF(L454=0,0,L454-Z454)</f>
        <v>848.12</v>
      </c>
      <c r="AQ454" s="83" t="n">
        <f aca="false">IF(AP454=0,"",RANK(AP454,AP$4:AP$503,0))</f>
        <v>413</v>
      </c>
      <c r="AR454" s="84" t="s">
        <v>20</v>
      </c>
      <c r="AS454" s="141"/>
      <c r="AT454" s="141"/>
      <c r="AU454" s="141"/>
      <c r="AV454" s="141"/>
      <c r="AW454" s="141"/>
      <c r="AX454" s="141"/>
      <c r="AY454" s="142"/>
      <c r="AZ454" s="142"/>
      <c r="BA454" s="56" t="s">
        <v>20</v>
      </c>
      <c r="BB454" s="91" t="n">
        <f aca="false">SUM(L$4:L$503)/COUNTA(A$4:A$503)</f>
        <v>9494.39992</v>
      </c>
      <c r="BC454" s="92" t="n">
        <f aca="false">SUM(M$4:M$503)/COUNTA(A$4:A$503)</f>
        <v>667.20008</v>
      </c>
      <c r="BD454" s="92" t="n">
        <f aca="false">SUM(N$4:N$503)/COUNTA(A$4:A$503)</f>
        <v>697.19996</v>
      </c>
      <c r="BE454" s="92" t="n">
        <f aca="false">SUM(O$4:O$503)/COUNTA(A$4:A$503)</f>
        <v>713.9999</v>
      </c>
      <c r="BF454" s="92" t="n">
        <f aca="false">SUM(P$4:P$503)/COUNTA(A$4:A$503)</f>
        <v>732.59984</v>
      </c>
      <c r="BG454" s="92" t="n">
        <f aca="false">SUM(Q$4:Q$503)/COUNTA(A$4:A$503)</f>
        <v>756.59992</v>
      </c>
      <c r="BH454" s="92" t="n">
        <f aca="false">SUM(R$4:R$503)/COUNTA(A$4:A$503)</f>
        <v>776.40004</v>
      </c>
      <c r="BI454" s="92" t="n">
        <f aca="false">SUM(S$4:S$503)/COUNTA(A$4:A$503)</f>
        <v>806.40012</v>
      </c>
      <c r="BJ454" s="92" t="n">
        <f aca="false">SUM(T$4:T$503)/COUNTA(A$4:A$503)</f>
        <v>826.1999</v>
      </c>
      <c r="BK454" s="92" t="n">
        <f aca="false">SUM(U$4:U$503)/COUNTA(A$4:A$503)</f>
        <v>844.8002</v>
      </c>
      <c r="BL454" s="92" t="n">
        <f aca="false">SUM(V$4:V$503)/COUNTA(A$4:A$503)</f>
        <v>865.7998</v>
      </c>
      <c r="BM454" s="92" t="n">
        <f aca="false">SUM(W$4:W$503)/COUNTA(A$4:A$503)</f>
        <v>888.59982</v>
      </c>
      <c r="BN454" s="93" t="n">
        <f aca="false">SUM(X$4:X$503)/COUNTA(A$4:A$503)</f>
        <v>918.60034</v>
      </c>
      <c r="BO454" s="94" t="s">
        <v>20</v>
      </c>
      <c r="BP454" s="91" t="n">
        <f aca="false">IF(Z454&gt;=BB454,0,IFERROR(BB454+(SUMPRODUCT((Z$4:Z$503&gt;=BB$4:BB$503)*(Z$4:Z$503-BB$4:BB$503))/MAX(1,COUNTIF(Z$4:Z$503,"&lt;"&amp;BB454+0.01))),BB454))</f>
        <v>10695.5432177778</v>
      </c>
      <c r="BQ454" s="92" t="n">
        <f aca="false">IF(AA454&gt;=BC454,0,IFERROR(BC454+SUMPRODUCT((AA$4:AA$503&gt;=BC$4:BC$503)*(AA$4:AA$503-BC$4:BC$503))/MAX(1,COUNTIF(AA$4:AA$503,"&lt;"&amp;BC454+0.01)),BC454))</f>
        <v>2238.46589176471</v>
      </c>
      <c r="BR454" s="92" t="n">
        <f aca="false">IF(AB454&gt;=BD454,0,IFERROR(BD454+SUMPRODUCT((AB$4:AB$503&gt;=BD$4:BD$503)*(AB$4:AB$503-BD$4:BD$503))/MAX(1,COUNTIF(AB$4:AB$503,"&lt;"&amp;BD454+0.01)),BD454))</f>
        <v>3335.2938</v>
      </c>
      <c r="BS454" s="92" t="n">
        <f aca="false">IF(AC454&gt;=BE454,0,IFERROR(BE454+SUMPRODUCT((AC$4:AC$503&gt;=BE$4:BE$503)*(AC$4:AC$503-BE$4:BE$503))/MAX(1,COUNTIF(AC$4:AC$503,"&lt;"&amp;BE454+0.01)),BE454))</f>
        <v>6188.73352</v>
      </c>
      <c r="BT454" s="92" t="n">
        <f aca="false">IF(AD454&gt;=BF454,0,IFERROR(BF454+SUMPRODUCT((AD$4:AD$503&gt;=BF$4:BF$503)*(AD$4:AD$503-BF$4:BF$503))/MAX(1,COUNTIF(AD$4:AD$503,"&lt;"&amp;BF454+0.01)),BF454))</f>
        <v>11354.35411</v>
      </c>
      <c r="BU454" s="92" t="n">
        <f aca="false">IF(AE454&gt;=BG454,0,IFERROR(BG454+SUMPRODUCT((AE$4:AE$503&gt;=BG$4:BG$503)*(AE$4:AE$503-BG$4:BG$503))/MAX(1,COUNTIF(AE$4:AE$503,"&lt;"&amp;BG454+0.01)),BG454))</f>
        <v>7704.85920380952</v>
      </c>
      <c r="BV454" s="92" t="n">
        <f aca="false">IF(AF454&gt;=BH454,0,IFERROR(BH454+SUMPRODUCT((AF$4:AF$503&gt;=BH$4:BH$503)*(AF$4:AF$503-BH$4:BH$503))/MAX(1,COUNTIF(AF$4:AF$503,"&lt;"&amp;BH454+0.01)),BH454))</f>
        <v>9942.6503831579</v>
      </c>
      <c r="BW454" s="92" t="n">
        <f aca="false">IF(AG454&gt;=BI454,0,IFERROR(BI454+SUMPRODUCT((AG$4:AG$503&gt;=BI$4:BI$503)*(AG$4:AG$503-BI$4:BI$503))/MAX(1,COUNTIF(AG$4:AG$503,"&lt;"&amp;BI454+0.01)),BI454))</f>
        <v>9142.15870461538</v>
      </c>
      <c r="BX454" s="92" t="n">
        <f aca="false">IF(AH454&gt;=BJ454,0,IFERROR(BJ454+SUMPRODUCT((AH$4:AH$503&gt;=BJ$4:BJ$503)*(AH$4:AH$503-BJ$4:BJ$503))/MAX(1,COUNTIF(AH$4:AH$503,"&lt;"&amp;BJ454+0.01)),BJ454))</f>
        <v>5621.50263448276</v>
      </c>
      <c r="BY454" s="92" t="n">
        <f aca="false">IF(AI454&gt;=BK454,0,IFERROR(BK454+SUMPRODUCT((AI$4:AI$503&gt;=BK$4:BK$503)*(AI$4:AI$503-BK$4:BK$503))/MAX(1,COUNTIF(AI$4:AI$503,"&lt;"&amp;BK454+0.01)),BK454))</f>
        <v>7878.25652380952</v>
      </c>
      <c r="BZ454" s="92" t="n">
        <f aca="false">IF(AJ454&gt;=BL454,0,IFERROR(BL454+SUMPRODUCT((AJ$4:AJ$503&gt;=BL$4:BL$503)*(AJ$4:AJ$503-BL$4:BL$503))/MAX(1,COUNTIF(AJ$4:AJ$503,"&lt;"&amp;BL454+0.01)),BL454))</f>
        <v>6710.03292307692</v>
      </c>
      <c r="CA454" s="92" t="n">
        <f aca="false">IF(AK454&gt;=BM454,0,IFERROR(BM454+SUMPRODUCT((AK$4:AK$503&gt;=BM$4:BM$503)*(AK$4:AK$503-BM$4:BM$503))/MAX(1,COUNTIF(AK$4:AK$503,"&lt;"&amp;BM454+0.01)),BM454))</f>
        <v>7314.89836842105</v>
      </c>
      <c r="CB454" s="93" t="n">
        <f aca="false">IF(AL454&gt;=BN454,0,IFERROR(BN454+SUMPRODUCT((AL$4:AL$503&gt;=BN$4:BN$503)*(AL$4:AL$503-BN$4:BN$503))/MAX(1,COUNTIF(AL$4:AL$503,"&lt;"&amp;BN454+0.01)),BN454))</f>
        <v>3597.2614925</v>
      </c>
      <c r="CC454" s="95" t="str">
        <f aca="false">IF(AO454="🟢","VERDE",IF(AO454="🟡","AMARELO",IF(AO454="🟠","VERMELHO",IF(AO454="🔴","VERMELHO","ROXO"))))</f>
        <v>VERMELHO</v>
      </c>
      <c r="CD454" s="96" t="s">
        <v>103</v>
      </c>
      <c r="CE454" s="96" t="s">
        <v>104</v>
      </c>
    </row>
    <row r="455" customFormat="false" ht="14.25" hidden="false" customHeight="true" outlineLevel="0" collapsed="false">
      <c r="A455" s="65" t="s">
        <v>1043</v>
      </c>
      <c r="B455" s="66" t="s">
        <v>1044</v>
      </c>
      <c r="C455" s="67" t="s">
        <v>107</v>
      </c>
      <c r="D455" s="68" t="s">
        <v>108</v>
      </c>
      <c r="E455" s="69" t="s">
        <v>139</v>
      </c>
      <c r="F455" s="70" t="n">
        <f aca="false">IFERROR(VLOOKUP(C455,$AS$3:$AT$10,2,FALSE()),IFERROR(VLOOKUP(C455,$AS$15:$AT$22,2,FALSE()),""))</f>
        <v>132</v>
      </c>
      <c r="G455" s="71" t="n">
        <f aca="false">IFERROR(VLOOKUP(C455,$AS$3:$AX$10,6,FALSE()),IFERROR(VLOOKUP(C455,$AS$15:$AX$22,6,FALSE()),""))</f>
        <v>0.468190175850689</v>
      </c>
      <c r="H455" s="72" t="str">
        <f aca="false">IFERROR(VLOOKUP(C455,$AS$3:$AY$10,7,FALSE()),IFERROR(VLOOKUP(C455,$AS$15:$AY$22,7,FALSE()),""))</f>
        <v>🟡 AMARELO</v>
      </c>
      <c r="I455" s="72" t="str">
        <f aca="false">IFERROR(VLOOKUP(C455,$AS$3:$AZ$10,8,FALSE()),IFERROR(VLOOKUP(C455,$AS$15:$AZ$22,8,FALSE()),""))</f>
        <v>Sell Out</v>
      </c>
      <c r="J455" s="73"/>
      <c r="K455" s="69" t="s">
        <v>107</v>
      </c>
      <c r="L455" s="74" t="n">
        <v>1496.95</v>
      </c>
      <c r="M455" s="75" t="n">
        <v>105.2</v>
      </c>
      <c r="N455" s="75" t="n">
        <v>109.93</v>
      </c>
      <c r="O455" s="75" t="n">
        <v>112.57</v>
      </c>
      <c r="P455" s="75" t="n">
        <v>115.51</v>
      </c>
      <c r="Q455" s="75" t="n">
        <v>119.29</v>
      </c>
      <c r="R455" s="75" t="n">
        <v>122.41</v>
      </c>
      <c r="S455" s="75" t="n">
        <v>127.14</v>
      </c>
      <c r="T455" s="75" t="n">
        <v>130.26</v>
      </c>
      <c r="U455" s="75" t="n">
        <v>133.2</v>
      </c>
      <c r="V455" s="75" t="n">
        <v>136.51</v>
      </c>
      <c r="W455" s="75" t="n">
        <v>140.1</v>
      </c>
      <c r="X455" s="76" t="n">
        <v>144.83</v>
      </c>
      <c r="Y455" s="77" t="s">
        <v>20</v>
      </c>
      <c r="Z455" s="78" t="n">
        <f aca="false">SUM(AA455:AL455)</f>
        <v>612</v>
      </c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9" t="n">
        <v>612</v>
      </c>
      <c r="AL455" s="76"/>
      <c r="AM455" s="56" t="s">
        <v>20</v>
      </c>
      <c r="AN455" s="80" t="n">
        <f aca="false">IF(L455=0,0,Z455/L455)</f>
        <v>0.408831290290257</v>
      </c>
      <c r="AO455" s="81" t="str">
        <f aca="false">IF(AN455="","",IF(AN455&gt;=0.9,"🟢",IF(AN455&gt;=0.7,"🟡",IF(AN455&gt;=0.5,"🟠","🔴"))))</f>
        <v>🔴</v>
      </c>
      <c r="AP455" s="82" t="n">
        <f aca="false">IF(L455=0,0,L455-Z455)</f>
        <v>884.95</v>
      </c>
      <c r="AQ455" s="83" t="n">
        <f aca="false">IF(AP455=0,"",RANK(AP455,AP$4:AP$503,0))</f>
        <v>409</v>
      </c>
      <c r="AR455" s="84" t="s">
        <v>20</v>
      </c>
      <c r="AS455" s="141"/>
      <c r="AT455" s="141"/>
      <c r="AU455" s="141"/>
      <c r="AV455" s="141"/>
      <c r="AW455" s="141"/>
      <c r="AX455" s="141"/>
      <c r="AY455" s="142"/>
      <c r="AZ455" s="142"/>
      <c r="BA455" s="56" t="s">
        <v>20</v>
      </c>
      <c r="BB455" s="91" t="n">
        <f aca="false">SUM(L$4:L$503)/COUNTA(A$4:A$503)</f>
        <v>9494.39992</v>
      </c>
      <c r="BC455" s="92" t="n">
        <f aca="false">SUM(M$4:M$503)/COUNTA(A$4:A$503)</f>
        <v>667.20008</v>
      </c>
      <c r="BD455" s="92" t="n">
        <f aca="false">SUM(N$4:N$503)/COUNTA(A$4:A$503)</f>
        <v>697.19996</v>
      </c>
      <c r="BE455" s="92" t="n">
        <f aca="false">SUM(O$4:O$503)/COUNTA(A$4:A$503)</f>
        <v>713.9999</v>
      </c>
      <c r="BF455" s="92" t="n">
        <f aca="false">SUM(P$4:P$503)/COUNTA(A$4:A$503)</f>
        <v>732.59984</v>
      </c>
      <c r="BG455" s="92" t="n">
        <f aca="false">SUM(Q$4:Q$503)/COUNTA(A$4:A$503)</f>
        <v>756.59992</v>
      </c>
      <c r="BH455" s="92" t="n">
        <f aca="false">SUM(R$4:R$503)/COUNTA(A$4:A$503)</f>
        <v>776.40004</v>
      </c>
      <c r="BI455" s="92" t="n">
        <f aca="false">SUM(S$4:S$503)/COUNTA(A$4:A$503)</f>
        <v>806.40012</v>
      </c>
      <c r="BJ455" s="92" t="n">
        <f aca="false">SUM(T$4:T$503)/COUNTA(A$4:A$503)</f>
        <v>826.1999</v>
      </c>
      <c r="BK455" s="92" t="n">
        <f aca="false">SUM(U$4:U$503)/COUNTA(A$4:A$503)</f>
        <v>844.8002</v>
      </c>
      <c r="BL455" s="92" t="n">
        <f aca="false">SUM(V$4:V$503)/COUNTA(A$4:A$503)</f>
        <v>865.7998</v>
      </c>
      <c r="BM455" s="92" t="n">
        <f aca="false">SUM(W$4:W$503)/COUNTA(A$4:A$503)</f>
        <v>888.59982</v>
      </c>
      <c r="BN455" s="93" t="n">
        <f aca="false">SUM(X$4:X$503)/COUNTA(A$4:A$503)</f>
        <v>918.60034</v>
      </c>
      <c r="BO455" s="94" t="s">
        <v>20</v>
      </c>
      <c r="BP455" s="91" t="n">
        <f aca="false">IF(Z455&gt;=BB455,0,IFERROR(BB455+(SUMPRODUCT((Z$4:Z$503&gt;=BB$4:BB$503)*(Z$4:Z$503-BB$4:BB$503))/MAX(1,COUNTIF(Z$4:Z$503,"&lt;"&amp;BB455+0.01))),BB455))</f>
        <v>10695.5432177778</v>
      </c>
      <c r="BQ455" s="92" t="n">
        <f aca="false">IF(AA455&gt;=BC455,0,IFERROR(BC455+SUMPRODUCT((AA$4:AA$503&gt;=BC$4:BC$503)*(AA$4:AA$503-BC$4:BC$503))/MAX(1,COUNTIF(AA$4:AA$503,"&lt;"&amp;BC455+0.01)),BC455))</f>
        <v>2238.46589176471</v>
      </c>
      <c r="BR455" s="92" t="n">
        <f aca="false">IF(AB455&gt;=BD455,0,IFERROR(BD455+SUMPRODUCT((AB$4:AB$503&gt;=BD$4:BD$503)*(AB$4:AB$503-BD$4:BD$503))/MAX(1,COUNTIF(AB$4:AB$503,"&lt;"&amp;BD455+0.01)),BD455))</f>
        <v>3335.2938</v>
      </c>
      <c r="BS455" s="92" t="n">
        <f aca="false">IF(AC455&gt;=BE455,0,IFERROR(BE455+SUMPRODUCT((AC$4:AC$503&gt;=BE$4:BE$503)*(AC$4:AC$503-BE$4:BE$503))/MAX(1,COUNTIF(AC$4:AC$503,"&lt;"&amp;BE455+0.01)),BE455))</f>
        <v>6188.73352</v>
      </c>
      <c r="BT455" s="92" t="n">
        <f aca="false">IF(AD455&gt;=BF455,0,IFERROR(BF455+SUMPRODUCT((AD$4:AD$503&gt;=BF$4:BF$503)*(AD$4:AD$503-BF$4:BF$503))/MAX(1,COUNTIF(AD$4:AD$503,"&lt;"&amp;BF455+0.01)),BF455))</f>
        <v>11354.35411</v>
      </c>
      <c r="BU455" s="92" t="n">
        <f aca="false">IF(AE455&gt;=BG455,0,IFERROR(BG455+SUMPRODUCT((AE$4:AE$503&gt;=BG$4:BG$503)*(AE$4:AE$503-BG$4:BG$503))/MAX(1,COUNTIF(AE$4:AE$503,"&lt;"&amp;BG455+0.01)),BG455))</f>
        <v>7704.85920380952</v>
      </c>
      <c r="BV455" s="92" t="n">
        <f aca="false">IF(AF455&gt;=BH455,0,IFERROR(BH455+SUMPRODUCT((AF$4:AF$503&gt;=BH$4:BH$503)*(AF$4:AF$503-BH$4:BH$503))/MAX(1,COUNTIF(AF$4:AF$503,"&lt;"&amp;BH455+0.01)),BH455))</f>
        <v>9942.6503831579</v>
      </c>
      <c r="BW455" s="92" t="n">
        <f aca="false">IF(AG455&gt;=BI455,0,IFERROR(BI455+SUMPRODUCT((AG$4:AG$503&gt;=BI$4:BI$503)*(AG$4:AG$503-BI$4:BI$503))/MAX(1,COUNTIF(AG$4:AG$503,"&lt;"&amp;BI455+0.01)),BI455))</f>
        <v>9142.15870461538</v>
      </c>
      <c r="BX455" s="92" t="n">
        <f aca="false">IF(AH455&gt;=BJ455,0,IFERROR(BJ455+SUMPRODUCT((AH$4:AH$503&gt;=BJ$4:BJ$503)*(AH$4:AH$503-BJ$4:BJ$503))/MAX(1,COUNTIF(AH$4:AH$503,"&lt;"&amp;BJ455+0.01)),BJ455))</f>
        <v>5621.50263448276</v>
      </c>
      <c r="BY455" s="92" t="n">
        <f aca="false">IF(AI455&gt;=BK455,0,IFERROR(BK455+SUMPRODUCT((AI$4:AI$503&gt;=BK$4:BK$503)*(AI$4:AI$503-BK$4:BK$503))/MAX(1,COUNTIF(AI$4:AI$503,"&lt;"&amp;BK455+0.01)),BK455))</f>
        <v>7878.25652380952</v>
      </c>
      <c r="BZ455" s="92" t="n">
        <f aca="false">IF(AJ455&gt;=BL455,0,IFERROR(BL455+SUMPRODUCT((AJ$4:AJ$503&gt;=BL$4:BL$503)*(AJ$4:AJ$503-BL$4:BL$503))/MAX(1,COUNTIF(AJ$4:AJ$503,"&lt;"&amp;BL455+0.01)),BL455))</f>
        <v>6710.03292307692</v>
      </c>
      <c r="CA455" s="92" t="n">
        <f aca="false">IF(AK455&gt;=BM455,0,IFERROR(BM455+SUMPRODUCT((AK$4:AK$503&gt;=BM$4:BM$503)*(AK$4:AK$503-BM$4:BM$503))/MAX(1,COUNTIF(AK$4:AK$503,"&lt;"&amp;BM455+0.01)),BM455))</f>
        <v>7314.89836842105</v>
      </c>
      <c r="CB455" s="93" t="n">
        <f aca="false">IF(AL455&gt;=BN455,0,IFERROR(BN455+SUMPRODUCT((AL$4:AL$503&gt;=BN$4:BN$503)*(AL$4:AL$503-BN$4:BN$503))/MAX(1,COUNTIF(AL$4:AL$503,"&lt;"&amp;BN455+0.01)),BN455))</f>
        <v>3597.2614925</v>
      </c>
      <c r="CC455" s="95" t="str">
        <f aca="false">IF(AO455="🟢","VERDE",IF(AO455="🟡","AMARELO",IF(AO455="🟠","VERMELHO",IF(AO455="🔴","VERMELHO","ROXO"))))</f>
        <v>VERMELHO</v>
      </c>
      <c r="CD455" s="96" t="s">
        <v>103</v>
      </c>
      <c r="CE455" s="96" t="s">
        <v>104</v>
      </c>
    </row>
    <row r="456" customFormat="false" ht="14.25" hidden="false" customHeight="true" outlineLevel="0" collapsed="false">
      <c r="A456" s="65" t="s">
        <v>1045</v>
      </c>
      <c r="B456" s="66" t="s">
        <v>1046</v>
      </c>
      <c r="C456" s="67" t="s">
        <v>149</v>
      </c>
      <c r="D456" s="68" t="s">
        <v>100</v>
      </c>
      <c r="E456" s="69" t="s">
        <v>119</v>
      </c>
      <c r="F456" s="70" t="n">
        <f aca="false">IFERROR(VLOOKUP(C456,$AS$3:$AT$10,2,FALSE()),IFERROR(VLOOKUP(C456,$AS$15:$AT$22,2,FALSE()),""))</f>
        <v>29</v>
      </c>
      <c r="G456" s="71" t="n">
        <f aca="false">IFERROR(VLOOKUP(C456,$AS$3:$AX$10,6,FALSE()),IFERROR(VLOOKUP(C456,$AS$15:$AX$22,6,FALSE()),""))</f>
        <v>0.425845065256079</v>
      </c>
      <c r="H456" s="72" t="str">
        <f aca="false">IFERROR(VLOOKUP(C456,$AS$3:$AY$10,7,FALSE()),IFERROR(VLOOKUP(C456,$AS$15:$AY$22,7,FALSE()),""))</f>
        <v>🟡 AMARELO</v>
      </c>
      <c r="I456" s="72" t="str">
        <f aca="false">IFERROR(VLOOKUP(C456,$AS$3:$AZ$10,8,FALSE()),IFERROR(VLOOKUP(C456,$AS$15:$AZ$22,8,FALSE()),""))</f>
        <v>Sell Out</v>
      </c>
      <c r="J456" s="73"/>
      <c r="K456" s="69" t="s">
        <v>149</v>
      </c>
      <c r="L456" s="74" t="n">
        <v>1477.06</v>
      </c>
      <c r="M456" s="75" t="n">
        <v>103.8</v>
      </c>
      <c r="N456" s="75" t="n">
        <v>108.46</v>
      </c>
      <c r="O456" s="75" t="n">
        <v>111.08</v>
      </c>
      <c r="P456" s="75" t="n">
        <v>113.97</v>
      </c>
      <c r="Q456" s="75" t="n">
        <v>117.71</v>
      </c>
      <c r="R456" s="75" t="n">
        <v>120.79</v>
      </c>
      <c r="S456" s="75" t="n">
        <v>125.45</v>
      </c>
      <c r="T456" s="75" t="n">
        <v>128.53</v>
      </c>
      <c r="U456" s="75" t="n">
        <v>131.43</v>
      </c>
      <c r="V456" s="75" t="n">
        <v>134.69</v>
      </c>
      <c r="W456" s="75" t="n">
        <v>138.24</v>
      </c>
      <c r="X456" s="76" t="n">
        <v>142.91</v>
      </c>
      <c r="Y456" s="77" t="s">
        <v>20</v>
      </c>
      <c r="Z456" s="78" t="n">
        <f aca="false">SUM(AA456:AL456)</f>
        <v>681.48</v>
      </c>
      <c r="AA456" s="75"/>
      <c r="AB456" s="75"/>
      <c r="AC456" s="75"/>
      <c r="AD456" s="75"/>
      <c r="AE456" s="75"/>
      <c r="AF456" s="75"/>
      <c r="AG456" s="75"/>
      <c r="AH456" s="75"/>
      <c r="AI456" s="79" t="n">
        <v>681.48</v>
      </c>
      <c r="AJ456" s="75"/>
      <c r="AK456" s="75"/>
      <c r="AL456" s="76"/>
      <c r="AM456" s="56" t="s">
        <v>20</v>
      </c>
      <c r="AN456" s="80" t="n">
        <f aca="false">IF(L456=0,0,Z456/L456)</f>
        <v>0.461375976602169</v>
      </c>
      <c r="AO456" s="81" t="str">
        <f aca="false">IF(AN456="","",IF(AN456&gt;=0.9,"🟢",IF(AN456&gt;=0.7,"🟡",IF(AN456&gt;=0.5,"🟠","🔴"))))</f>
        <v>🔴</v>
      </c>
      <c r="AP456" s="82" t="n">
        <f aca="false">IF(L456=0,0,L456-Z456)</f>
        <v>795.58</v>
      </c>
      <c r="AQ456" s="83" t="n">
        <f aca="false">IF(AP456=0,"",RANK(AP456,AP$4:AP$503,0))</f>
        <v>422</v>
      </c>
      <c r="AR456" s="84" t="s">
        <v>20</v>
      </c>
      <c r="AS456" s="141"/>
      <c r="AT456" s="141"/>
      <c r="AU456" s="141"/>
      <c r="AV456" s="141"/>
      <c r="AW456" s="141"/>
      <c r="AX456" s="141"/>
      <c r="AY456" s="142"/>
      <c r="AZ456" s="142"/>
      <c r="BA456" s="56" t="s">
        <v>20</v>
      </c>
      <c r="BB456" s="91" t="n">
        <f aca="false">SUM(L$4:L$503)/COUNTA(A$4:A$503)</f>
        <v>9494.39992</v>
      </c>
      <c r="BC456" s="92" t="n">
        <f aca="false">SUM(M$4:M$503)/COUNTA(A$4:A$503)</f>
        <v>667.20008</v>
      </c>
      <c r="BD456" s="92" t="n">
        <f aca="false">SUM(N$4:N$503)/COUNTA(A$4:A$503)</f>
        <v>697.19996</v>
      </c>
      <c r="BE456" s="92" t="n">
        <f aca="false">SUM(O$4:O$503)/COUNTA(A$4:A$503)</f>
        <v>713.9999</v>
      </c>
      <c r="BF456" s="92" t="n">
        <f aca="false">SUM(P$4:P$503)/COUNTA(A$4:A$503)</f>
        <v>732.59984</v>
      </c>
      <c r="BG456" s="92" t="n">
        <f aca="false">SUM(Q$4:Q$503)/COUNTA(A$4:A$503)</f>
        <v>756.59992</v>
      </c>
      <c r="BH456" s="92" t="n">
        <f aca="false">SUM(R$4:R$503)/COUNTA(A$4:A$503)</f>
        <v>776.40004</v>
      </c>
      <c r="BI456" s="92" t="n">
        <f aca="false">SUM(S$4:S$503)/COUNTA(A$4:A$503)</f>
        <v>806.40012</v>
      </c>
      <c r="BJ456" s="92" t="n">
        <f aca="false">SUM(T$4:T$503)/COUNTA(A$4:A$503)</f>
        <v>826.1999</v>
      </c>
      <c r="BK456" s="92" t="n">
        <f aca="false">SUM(U$4:U$503)/COUNTA(A$4:A$503)</f>
        <v>844.8002</v>
      </c>
      <c r="BL456" s="92" t="n">
        <f aca="false">SUM(V$4:V$503)/COUNTA(A$4:A$503)</f>
        <v>865.7998</v>
      </c>
      <c r="BM456" s="92" t="n">
        <f aca="false">SUM(W$4:W$503)/COUNTA(A$4:A$503)</f>
        <v>888.59982</v>
      </c>
      <c r="BN456" s="93" t="n">
        <f aca="false">SUM(X$4:X$503)/COUNTA(A$4:A$503)</f>
        <v>918.60034</v>
      </c>
      <c r="BO456" s="94" t="s">
        <v>20</v>
      </c>
      <c r="BP456" s="91" t="n">
        <f aca="false">IF(Z456&gt;=BB456,0,IFERROR(BB456+(SUMPRODUCT((Z$4:Z$503&gt;=BB$4:BB$503)*(Z$4:Z$503-BB$4:BB$503))/MAX(1,COUNTIF(Z$4:Z$503,"&lt;"&amp;BB456+0.01))),BB456))</f>
        <v>10695.5432177778</v>
      </c>
      <c r="BQ456" s="92" t="n">
        <f aca="false">IF(AA456&gt;=BC456,0,IFERROR(BC456+SUMPRODUCT((AA$4:AA$503&gt;=BC$4:BC$503)*(AA$4:AA$503-BC$4:BC$503))/MAX(1,COUNTIF(AA$4:AA$503,"&lt;"&amp;BC456+0.01)),BC456))</f>
        <v>2238.46589176471</v>
      </c>
      <c r="BR456" s="92" t="n">
        <f aca="false">IF(AB456&gt;=BD456,0,IFERROR(BD456+SUMPRODUCT((AB$4:AB$503&gt;=BD$4:BD$503)*(AB$4:AB$503-BD$4:BD$503))/MAX(1,COUNTIF(AB$4:AB$503,"&lt;"&amp;BD456+0.01)),BD456))</f>
        <v>3335.2938</v>
      </c>
      <c r="BS456" s="92" t="n">
        <f aca="false">IF(AC456&gt;=BE456,0,IFERROR(BE456+SUMPRODUCT((AC$4:AC$503&gt;=BE$4:BE$503)*(AC$4:AC$503-BE$4:BE$503))/MAX(1,COUNTIF(AC$4:AC$503,"&lt;"&amp;BE456+0.01)),BE456))</f>
        <v>6188.73352</v>
      </c>
      <c r="BT456" s="92" t="n">
        <f aca="false">IF(AD456&gt;=BF456,0,IFERROR(BF456+SUMPRODUCT((AD$4:AD$503&gt;=BF$4:BF$503)*(AD$4:AD$503-BF$4:BF$503))/MAX(1,COUNTIF(AD$4:AD$503,"&lt;"&amp;BF456+0.01)),BF456))</f>
        <v>11354.35411</v>
      </c>
      <c r="BU456" s="92" t="n">
        <f aca="false">IF(AE456&gt;=BG456,0,IFERROR(BG456+SUMPRODUCT((AE$4:AE$503&gt;=BG$4:BG$503)*(AE$4:AE$503-BG$4:BG$503))/MAX(1,COUNTIF(AE$4:AE$503,"&lt;"&amp;BG456+0.01)),BG456))</f>
        <v>7704.85920380952</v>
      </c>
      <c r="BV456" s="92" t="n">
        <f aca="false">IF(AF456&gt;=BH456,0,IFERROR(BH456+SUMPRODUCT((AF$4:AF$503&gt;=BH$4:BH$503)*(AF$4:AF$503-BH$4:BH$503))/MAX(1,COUNTIF(AF$4:AF$503,"&lt;"&amp;BH456+0.01)),BH456))</f>
        <v>9942.6503831579</v>
      </c>
      <c r="BW456" s="92" t="n">
        <f aca="false">IF(AG456&gt;=BI456,0,IFERROR(BI456+SUMPRODUCT((AG$4:AG$503&gt;=BI$4:BI$503)*(AG$4:AG$503-BI$4:BI$503))/MAX(1,COUNTIF(AG$4:AG$503,"&lt;"&amp;BI456+0.01)),BI456))</f>
        <v>9142.15870461538</v>
      </c>
      <c r="BX456" s="92" t="n">
        <f aca="false">IF(AH456&gt;=BJ456,0,IFERROR(BJ456+SUMPRODUCT((AH$4:AH$503&gt;=BJ$4:BJ$503)*(AH$4:AH$503-BJ$4:BJ$503))/MAX(1,COUNTIF(AH$4:AH$503,"&lt;"&amp;BJ456+0.01)),BJ456))</f>
        <v>5621.50263448276</v>
      </c>
      <c r="BY456" s="92" t="n">
        <f aca="false">IF(AI456&gt;=BK456,0,IFERROR(BK456+SUMPRODUCT((AI$4:AI$503&gt;=BK$4:BK$503)*(AI$4:AI$503-BK$4:BK$503))/MAX(1,COUNTIF(AI$4:AI$503,"&lt;"&amp;BK456+0.01)),BK456))</f>
        <v>7878.25652380952</v>
      </c>
      <c r="BZ456" s="92" t="n">
        <f aca="false">IF(AJ456&gt;=BL456,0,IFERROR(BL456+SUMPRODUCT((AJ$4:AJ$503&gt;=BL$4:BL$503)*(AJ$4:AJ$503-BL$4:BL$503))/MAX(1,COUNTIF(AJ$4:AJ$503,"&lt;"&amp;BL456+0.01)),BL456))</f>
        <v>6710.03292307692</v>
      </c>
      <c r="CA456" s="92" t="n">
        <f aca="false">IF(AK456&gt;=BM456,0,IFERROR(BM456+SUMPRODUCT((AK$4:AK$503&gt;=BM$4:BM$503)*(AK$4:AK$503-BM$4:BM$503))/MAX(1,COUNTIF(AK$4:AK$503,"&lt;"&amp;BM456+0.01)),BM456))</f>
        <v>7314.89836842105</v>
      </c>
      <c r="CB456" s="93" t="n">
        <f aca="false">IF(AL456&gt;=BN456,0,IFERROR(BN456+SUMPRODUCT((AL$4:AL$503&gt;=BN$4:BN$503)*(AL$4:AL$503-BN$4:BN$503))/MAX(1,COUNTIF(AL$4:AL$503,"&lt;"&amp;BN456+0.01)),BN456))</f>
        <v>3597.2614925</v>
      </c>
      <c r="CC456" s="95" t="str">
        <f aca="false">IF(AO456="🟢","VERDE",IF(AO456="🟡","AMARELO",IF(AO456="🟠","VERMELHO",IF(AO456="🔴","VERMELHO","ROXO"))))</f>
        <v>VERMELHO</v>
      </c>
      <c r="CD456" s="96" t="s">
        <v>103</v>
      </c>
      <c r="CE456" s="96" t="s">
        <v>104</v>
      </c>
    </row>
    <row r="457" customFormat="false" ht="14.25" hidden="false" customHeight="true" outlineLevel="0" collapsed="false">
      <c r="A457" s="65" t="s">
        <v>1047</v>
      </c>
      <c r="B457" s="66" t="s">
        <v>1048</v>
      </c>
      <c r="C457" s="67" t="s">
        <v>118</v>
      </c>
      <c r="D457" s="68" t="s">
        <v>100</v>
      </c>
      <c r="E457" s="69" t="s">
        <v>119</v>
      </c>
      <c r="F457" s="70" t="n">
        <f aca="false">IFERROR(VLOOKUP(C457,$AS$3:$AT$10,2,FALSE()),IFERROR(VLOOKUP(C457,$AS$15:$AT$22,2,FALSE()),""))</f>
        <v>42</v>
      </c>
      <c r="G457" s="71" t="n">
        <f aca="false">IFERROR(VLOOKUP(C457,$AS$3:$AX$10,6,FALSE()),IFERROR(VLOOKUP(C457,$AS$15:$AX$22,6,FALSE()),""))</f>
        <v>0.424872083346704</v>
      </c>
      <c r="H457" s="72" t="str">
        <f aca="false">IFERROR(VLOOKUP(C457,$AS$3:$AY$10,7,FALSE()),IFERROR(VLOOKUP(C457,$AS$15:$AY$22,7,FALSE()),""))</f>
        <v>🟡 AMARELO</v>
      </c>
      <c r="I457" s="72" t="str">
        <f aca="false">IFERROR(VLOOKUP(C457,$AS$3:$AZ$10,8,FALSE()),IFERROR(VLOOKUP(C457,$AS$15:$AZ$22,8,FALSE()),""))</f>
        <v>Sell Out</v>
      </c>
      <c r="J457" s="73"/>
      <c r="K457" s="69" t="s">
        <v>118</v>
      </c>
      <c r="L457" s="74" t="n">
        <v>1472.48</v>
      </c>
      <c r="M457" s="75" t="n">
        <v>103.48</v>
      </c>
      <c r="N457" s="75" t="n">
        <v>108.13</v>
      </c>
      <c r="O457" s="75" t="n">
        <v>110.73</v>
      </c>
      <c r="P457" s="75" t="n">
        <v>113.62</v>
      </c>
      <c r="Q457" s="75" t="n">
        <v>117.34</v>
      </c>
      <c r="R457" s="75" t="n">
        <v>120.41</v>
      </c>
      <c r="S457" s="75" t="n">
        <v>125.06</v>
      </c>
      <c r="T457" s="75" t="n">
        <v>128.13</v>
      </c>
      <c r="U457" s="75" t="n">
        <v>131.02</v>
      </c>
      <c r="V457" s="75" t="n">
        <v>134.28</v>
      </c>
      <c r="W457" s="75" t="n">
        <v>137.81</v>
      </c>
      <c r="X457" s="76" t="n">
        <v>142.47</v>
      </c>
      <c r="Y457" s="77" t="s">
        <v>20</v>
      </c>
      <c r="Z457" s="78" t="n">
        <f aca="false">SUM(AA457:AL457)</f>
        <v>658.02</v>
      </c>
      <c r="AA457" s="75"/>
      <c r="AB457" s="75"/>
      <c r="AC457" s="75"/>
      <c r="AD457" s="75"/>
      <c r="AE457" s="75"/>
      <c r="AF457" s="75"/>
      <c r="AG457" s="75"/>
      <c r="AH457" s="79" t="n">
        <v>658.02</v>
      </c>
      <c r="AI457" s="75"/>
      <c r="AJ457" s="75"/>
      <c r="AK457" s="75"/>
      <c r="AL457" s="76"/>
      <c r="AM457" s="56" t="s">
        <v>20</v>
      </c>
      <c r="AN457" s="80" t="n">
        <f aca="false">IF(L457=0,0,Z457/L457)</f>
        <v>0.446878735195045</v>
      </c>
      <c r="AO457" s="81" t="str">
        <f aca="false">IF(AN457="","",IF(AN457&gt;=0.9,"🟢",IF(AN457&gt;=0.7,"🟡",IF(AN457&gt;=0.5,"🟠","🔴"))))</f>
        <v>🔴</v>
      </c>
      <c r="AP457" s="82" t="n">
        <f aca="false">IF(L457=0,0,L457-Z457)</f>
        <v>814.46</v>
      </c>
      <c r="AQ457" s="83" t="n">
        <f aca="false">IF(AP457=0,"",RANK(AP457,AP$4:AP$503,0))</f>
        <v>419</v>
      </c>
      <c r="AR457" s="84" t="s">
        <v>20</v>
      </c>
      <c r="AS457" s="141"/>
      <c r="AT457" s="141"/>
      <c r="AU457" s="141"/>
      <c r="AV457" s="141"/>
      <c r="AW457" s="141"/>
      <c r="AX457" s="141"/>
      <c r="AY457" s="142"/>
      <c r="AZ457" s="142"/>
      <c r="BA457" s="56" t="s">
        <v>20</v>
      </c>
      <c r="BB457" s="91" t="n">
        <f aca="false">SUM(L$4:L$503)/COUNTA(A$4:A$503)</f>
        <v>9494.39992</v>
      </c>
      <c r="BC457" s="92" t="n">
        <f aca="false">SUM(M$4:M$503)/COUNTA(A$4:A$503)</f>
        <v>667.20008</v>
      </c>
      <c r="BD457" s="92" t="n">
        <f aca="false">SUM(N$4:N$503)/COUNTA(A$4:A$503)</f>
        <v>697.19996</v>
      </c>
      <c r="BE457" s="92" t="n">
        <f aca="false">SUM(O$4:O$503)/COUNTA(A$4:A$503)</f>
        <v>713.9999</v>
      </c>
      <c r="BF457" s="92" t="n">
        <f aca="false">SUM(P$4:P$503)/COUNTA(A$4:A$503)</f>
        <v>732.59984</v>
      </c>
      <c r="BG457" s="92" t="n">
        <f aca="false">SUM(Q$4:Q$503)/COUNTA(A$4:A$503)</f>
        <v>756.59992</v>
      </c>
      <c r="BH457" s="92" t="n">
        <f aca="false">SUM(R$4:R$503)/COUNTA(A$4:A$503)</f>
        <v>776.40004</v>
      </c>
      <c r="BI457" s="92" t="n">
        <f aca="false">SUM(S$4:S$503)/COUNTA(A$4:A$503)</f>
        <v>806.40012</v>
      </c>
      <c r="BJ457" s="92" t="n">
        <f aca="false">SUM(T$4:T$503)/COUNTA(A$4:A$503)</f>
        <v>826.1999</v>
      </c>
      <c r="BK457" s="92" t="n">
        <f aca="false">SUM(U$4:U$503)/COUNTA(A$4:A$503)</f>
        <v>844.8002</v>
      </c>
      <c r="BL457" s="92" t="n">
        <f aca="false">SUM(V$4:V$503)/COUNTA(A$4:A$503)</f>
        <v>865.7998</v>
      </c>
      <c r="BM457" s="92" t="n">
        <f aca="false">SUM(W$4:W$503)/COUNTA(A$4:A$503)</f>
        <v>888.59982</v>
      </c>
      <c r="BN457" s="93" t="n">
        <f aca="false">SUM(X$4:X$503)/COUNTA(A$4:A$503)</f>
        <v>918.60034</v>
      </c>
      <c r="BO457" s="94" t="s">
        <v>20</v>
      </c>
      <c r="BP457" s="91" t="n">
        <f aca="false">IF(Z457&gt;=BB457,0,IFERROR(BB457+(SUMPRODUCT((Z$4:Z$503&gt;=BB$4:BB$503)*(Z$4:Z$503-BB$4:BB$503))/MAX(1,COUNTIF(Z$4:Z$503,"&lt;"&amp;BB457+0.01))),BB457))</f>
        <v>10695.5432177778</v>
      </c>
      <c r="BQ457" s="92" t="n">
        <f aca="false">IF(AA457&gt;=BC457,0,IFERROR(BC457+SUMPRODUCT((AA$4:AA$503&gt;=BC$4:BC$503)*(AA$4:AA$503-BC$4:BC$503))/MAX(1,COUNTIF(AA$4:AA$503,"&lt;"&amp;BC457+0.01)),BC457))</f>
        <v>2238.46589176471</v>
      </c>
      <c r="BR457" s="92" t="n">
        <f aca="false">IF(AB457&gt;=BD457,0,IFERROR(BD457+SUMPRODUCT((AB$4:AB$503&gt;=BD$4:BD$503)*(AB$4:AB$503-BD$4:BD$503))/MAX(1,COUNTIF(AB$4:AB$503,"&lt;"&amp;BD457+0.01)),BD457))</f>
        <v>3335.2938</v>
      </c>
      <c r="BS457" s="92" t="n">
        <f aca="false">IF(AC457&gt;=BE457,0,IFERROR(BE457+SUMPRODUCT((AC$4:AC$503&gt;=BE$4:BE$503)*(AC$4:AC$503-BE$4:BE$503))/MAX(1,COUNTIF(AC$4:AC$503,"&lt;"&amp;BE457+0.01)),BE457))</f>
        <v>6188.73352</v>
      </c>
      <c r="BT457" s="92" t="n">
        <f aca="false">IF(AD457&gt;=BF457,0,IFERROR(BF457+SUMPRODUCT((AD$4:AD$503&gt;=BF$4:BF$503)*(AD$4:AD$503-BF$4:BF$503))/MAX(1,COUNTIF(AD$4:AD$503,"&lt;"&amp;BF457+0.01)),BF457))</f>
        <v>11354.35411</v>
      </c>
      <c r="BU457" s="92" t="n">
        <f aca="false">IF(AE457&gt;=BG457,0,IFERROR(BG457+SUMPRODUCT((AE$4:AE$503&gt;=BG$4:BG$503)*(AE$4:AE$503-BG$4:BG$503))/MAX(1,COUNTIF(AE$4:AE$503,"&lt;"&amp;BG457+0.01)),BG457))</f>
        <v>7704.85920380952</v>
      </c>
      <c r="BV457" s="92" t="n">
        <f aca="false">IF(AF457&gt;=BH457,0,IFERROR(BH457+SUMPRODUCT((AF$4:AF$503&gt;=BH$4:BH$503)*(AF$4:AF$503-BH$4:BH$503))/MAX(1,COUNTIF(AF$4:AF$503,"&lt;"&amp;BH457+0.01)),BH457))</f>
        <v>9942.6503831579</v>
      </c>
      <c r="BW457" s="92" t="n">
        <f aca="false">IF(AG457&gt;=BI457,0,IFERROR(BI457+SUMPRODUCT((AG$4:AG$503&gt;=BI$4:BI$503)*(AG$4:AG$503-BI$4:BI$503))/MAX(1,COUNTIF(AG$4:AG$503,"&lt;"&amp;BI457+0.01)),BI457))</f>
        <v>9142.15870461538</v>
      </c>
      <c r="BX457" s="92" t="n">
        <f aca="false">IF(AH457&gt;=BJ457,0,IFERROR(BJ457+SUMPRODUCT((AH$4:AH$503&gt;=BJ$4:BJ$503)*(AH$4:AH$503-BJ$4:BJ$503))/MAX(1,COUNTIF(AH$4:AH$503,"&lt;"&amp;BJ457+0.01)),BJ457))</f>
        <v>5621.50263448276</v>
      </c>
      <c r="BY457" s="92" t="n">
        <f aca="false">IF(AI457&gt;=BK457,0,IFERROR(BK457+SUMPRODUCT((AI$4:AI$503&gt;=BK$4:BK$503)*(AI$4:AI$503-BK$4:BK$503))/MAX(1,COUNTIF(AI$4:AI$503,"&lt;"&amp;BK457+0.01)),BK457))</f>
        <v>7878.25652380952</v>
      </c>
      <c r="BZ457" s="92" t="n">
        <f aca="false">IF(AJ457&gt;=BL457,0,IFERROR(BL457+SUMPRODUCT((AJ$4:AJ$503&gt;=BL$4:BL$503)*(AJ$4:AJ$503-BL$4:BL$503))/MAX(1,COUNTIF(AJ$4:AJ$503,"&lt;"&amp;BL457+0.01)),BL457))</f>
        <v>6710.03292307692</v>
      </c>
      <c r="CA457" s="92" t="n">
        <f aca="false">IF(AK457&gt;=BM457,0,IFERROR(BM457+SUMPRODUCT((AK$4:AK$503&gt;=BM$4:BM$503)*(AK$4:AK$503-BM$4:BM$503))/MAX(1,COUNTIF(AK$4:AK$503,"&lt;"&amp;BM457+0.01)),BM457))</f>
        <v>7314.89836842105</v>
      </c>
      <c r="CB457" s="93" t="n">
        <f aca="false">IF(AL457&gt;=BN457,0,IFERROR(BN457+SUMPRODUCT((AL$4:AL$503&gt;=BN$4:BN$503)*(AL$4:AL$503-BN$4:BN$503))/MAX(1,COUNTIF(AL$4:AL$503,"&lt;"&amp;BN457+0.01)),BN457))</f>
        <v>3597.2614925</v>
      </c>
      <c r="CC457" s="95" t="str">
        <f aca="false">IF(AO457="🟢","VERDE",IF(AO457="🟡","AMARELO",IF(AO457="🟠","VERMELHO",IF(AO457="🔴","VERMELHO","ROXO"))))</f>
        <v>VERMELHO</v>
      </c>
      <c r="CD457" s="96" t="s">
        <v>103</v>
      </c>
      <c r="CE457" s="96" t="s">
        <v>104</v>
      </c>
    </row>
    <row r="458" customFormat="false" ht="14.25" hidden="false" customHeight="true" outlineLevel="0" collapsed="false">
      <c r="A458" s="65" t="s">
        <v>1049</v>
      </c>
      <c r="B458" s="66" t="s">
        <v>1050</v>
      </c>
      <c r="C458" s="67" t="s">
        <v>149</v>
      </c>
      <c r="D458" s="68" t="s">
        <v>100</v>
      </c>
      <c r="E458" s="69" t="s">
        <v>119</v>
      </c>
      <c r="F458" s="70" t="n">
        <f aca="false">IFERROR(VLOOKUP(C458,$AS$3:$AT$10,2,FALSE()),IFERROR(VLOOKUP(C458,$AS$15:$AT$22,2,FALSE()),""))</f>
        <v>29</v>
      </c>
      <c r="G458" s="71" t="n">
        <f aca="false">IFERROR(VLOOKUP(C458,$AS$3:$AX$10,6,FALSE()),IFERROR(VLOOKUP(C458,$AS$15:$AX$22,6,FALSE()),""))</f>
        <v>0.425845065256079</v>
      </c>
      <c r="H458" s="72" t="str">
        <f aca="false">IFERROR(VLOOKUP(C458,$AS$3:$AY$10,7,FALSE()),IFERROR(VLOOKUP(C458,$AS$15:$AY$22,7,FALSE()),""))</f>
        <v>🟡 AMARELO</v>
      </c>
      <c r="I458" s="72" t="str">
        <f aca="false">IFERROR(VLOOKUP(C458,$AS$3:$AZ$10,8,FALSE()),IFERROR(VLOOKUP(C458,$AS$15:$AZ$22,8,FALSE()),""))</f>
        <v>Sell Out</v>
      </c>
      <c r="J458" s="73"/>
      <c r="K458" s="69" t="s">
        <v>149</v>
      </c>
      <c r="L458" s="74" t="n">
        <v>1471.28</v>
      </c>
      <c r="M458" s="75" t="n">
        <v>103.39</v>
      </c>
      <c r="N458" s="75" t="n">
        <v>108.04</v>
      </c>
      <c r="O458" s="75" t="n">
        <v>110.64</v>
      </c>
      <c r="P458" s="75" t="n">
        <v>113.53</v>
      </c>
      <c r="Q458" s="75" t="n">
        <v>117.25</v>
      </c>
      <c r="R458" s="75" t="n">
        <v>120.31</v>
      </c>
      <c r="S458" s="75" t="n">
        <v>124.96</v>
      </c>
      <c r="T458" s="75" t="n">
        <v>128.03</v>
      </c>
      <c r="U458" s="75" t="n">
        <v>130.91</v>
      </c>
      <c r="V458" s="75" t="n">
        <v>134.17</v>
      </c>
      <c r="W458" s="75" t="n">
        <v>137.7</v>
      </c>
      <c r="X458" s="76" t="n">
        <v>142.35</v>
      </c>
      <c r="Y458" s="77" t="s">
        <v>20</v>
      </c>
      <c r="Z458" s="78" t="n">
        <f aca="false">SUM(AA458:AL458)</f>
        <v>591.68</v>
      </c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107" t="n">
        <v>591.68</v>
      </c>
      <c r="AM458" s="56" t="s">
        <v>20</v>
      </c>
      <c r="AN458" s="80" t="n">
        <f aca="false">IF(L458=0,0,Z458/L458)</f>
        <v>0.402153227121962</v>
      </c>
      <c r="AO458" s="81" t="str">
        <f aca="false">IF(AN458="","",IF(AN458&gt;=0.9,"🟢",IF(AN458&gt;=0.7,"🟡",IF(AN458&gt;=0.5,"🟠","🔴"))))</f>
        <v>🔴</v>
      </c>
      <c r="AP458" s="82" t="n">
        <f aca="false">IF(L458=0,0,L458-Z458)</f>
        <v>879.6</v>
      </c>
      <c r="AQ458" s="83" t="n">
        <f aca="false">IF(AP458=0,"",RANK(AP458,AP$4:AP$503,0))</f>
        <v>411</v>
      </c>
      <c r="AR458" s="84" t="s">
        <v>20</v>
      </c>
      <c r="AS458" s="141"/>
      <c r="AT458" s="141"/>
      <c r="AU458" s="141"/>
      <c r="AV458" s="141"/>
      <c r="AW458" s="141"/>
      <c r="AX458" s="141"/>
      <c r="AY458" s="142"/>
      <c r="AZ458" s="142"/>
      <c r="BA458" s="56" t="s">
        <v>20</v>
      </c>
      <c r="BB458" s="91" t="n">
        <f aca="false">SUM(L$4:L$503)/COUNTA(A$4:A$503)</f>
        <v>9494.39992</v>
      </c>
      <c r="BC458" s="92" t="n">
        <f aca="false">SUM(M$4:M$503)/COUNTA(A$4:A$503)</f>
        <v>667.20008</v>
      </c>
      <c r="BD458" s="92" t="n">
        <f aca="false">SUM(N$4:N$503)/COUNTA(A$4:A$503)</f>
        <v>697.19996</v>
      </c>
      <c r="BE458" s="92" t="n">
        <f aca="false">SUM(O$4:O$503)/COUNTA(A$4:A$503)</f>
        <v>713.9999</v>
      </c>
      <c r="BF458" s="92" t="n">
        <f aca="false">SUM(P$4:P$503)/COUNTA(A$4:A$503)</f>
        <v>732.59984</v>
      </c>
      <c r="BG458" s="92" t="n">
        <f aca="false">SUM(Q$4:Q$503)/COUNTA(A$4:A$503)</f>
        <v>756.59992</v>
      </c>
      <c r="BH458" s="92" t="n">
        <f aca="false">SUM(R$4:R$503)/COUNTA(A$4:A$503)</f>
        <v>776.40004</v>
      </c>
      <c r="BI458" s="92" t="n">
        <f aca="false">SUM(S$4:S$503)/COUNTA(A$4:A$503)</f>
        <v>806.40012</v>
      </c>
      <c r="BJ458" s="92" t="n">
        <f aca="false">SUM(T$4:T$503)/COUNTA(A$4:A$503)</f>
        <v>826.1999</v>
      </c>
      <c r="BK458" s="92" t="n">
        <f aca="false">SUM(U$4:U$503)/COUNTA(A$4:A$503)</f>
        <v>844.8002</v>
      </c>
      <c r="BL458" s="92" t="n">
        <f aca="false">SUM(V$4:V$503)/COUNTA(A$4:A$503)</f>
        <v>865.7998</v>
      </c>
      <c r="BM458" s="92" t="n">
        <f aca="false">SUM(W$4:W$503)/COUNTA(A$4:A$503)</f>
        <v>888.59982</v>
      </c>
      <c r="BN458" s="93" t="n">
        <f aca="false">SUM(X$4:X$503)/COUNTA(A$4:A$503)</f>
        <v>918.60034</v>
      </c>
      <c r="BO458" s="94" t="s">
        <v>20</v>
      </c>
      <c r="BP458" s="91" t="n">
        <f aca="false">IF(Z458&gt;=BB458,0,IFERROR(BB458+(SUMPRODUCT((Z$4:Z$503&gt;=BB$4:BB$503)*(Z$4:Z$503-BB$4:BB$503))/MAX(1,COUNTIF(Z$4:Z$503,"&lt;"&amp;BB458+0.01))),BB458))</f>
        <v>10695.5432177778</v>
      </c>
      <c r="BQ458" s="92" t="n">
        <f aca="false">IF(AA458&gt;=BC458,0,IFERROR(BC458+SUMPRODUCT((AA$4:AA$503&gt;=BC$4:BC$503)*(AA$4:AA$503-BC$4:BC$503))/MAX(1,COUNTIF(AA$4:AA$503,"&lt;"&amp;BC458+0.01)),BC458))</f>
        <v>2238.46589176471</v>
      </c>
      <c r="BR458" s="92" t="n">
        <f aca="false">IF(AB458&gt;=BD458,0,IFERROR(BD458+SUMPRODUCT((AB$4:AB$503&gt;=BD$4:BD$503)*(AB$4:AB$503-BD$4:BD$503))/MAX(1,COUNTIF(AB$4:AB$503,"&lt;"&amp;BD458+0.01)),BD458))</f>
        <v>3335.2938</v>
      </c>
      <c r="BS458" s="92" t="n">
        <f aca="false">IF(AC458&gt;=BE458,0,IFERROR(BE458+SUMPRODUCT((AC$4:AC$503&gt;=BE$4:BE$503)*(AC$4:AC$503-BE$4:BE$503))/MAX(1,COUNTIF(AC$4:AC$503,"&lt;"&amp;BE458+0.01)),BE458))</f>
        <v>6188.73352</v>
      </c>
      <c r="BT458" s="92" t="n">
        <f aca="false">IF(AD458&gt;=BF458,0,IFERROR(BF458+SUMPRODUCT((AD$4:AD$503&gt;=BF$4:BF$503)*(AD$4:AD$503-BF$4:BF$503))/MAX(1,COUNTIF(AD$4:AD$503,"&lt;"&amp;BF458+0.01)),BF458))</f>
        <v>11354.35411</v>
      </c>
      <c r="BU458" s="92" t="n">
        <f aca="false">IF(AE458&gt;=BG458,0,IFERROR(BG458+SUMPRODUCT((AE$4:AE$503&gt;=BG$4:BG$503)*(AE$4:AE$503-BG$4:BG$503))/MAX(1,COUNTIF(AE$4:AE$503,"&lt;"&amp;BG458+0.01)),BG458))</f>
        <v>7704.85920380952</v>
      </c>
      <c r="BV458" s="92" t="n">
        <f aca="false">IF(AF458&gt;=BH458,0,IFERROR(BH458+SUMPRODUCT((AF$4:AF$503&gt;=BH$4:BH$503)*(AF$4:AF$503-BH$4:BH$503))/MAX(1,COUNTIF(AF$4:AF$503,"&lt;"&amp;BH458+0.01)),BH458))</f>
        <v>9942.6503831579</v>
      </c>
      <c r="BW458" s="92" t="n">
        <f aca="false">IF(AG458&gt;=BI458,0,IFERROR(BI458+SUMPRODUCT((AG$4:AG$503&gt;=BI$4:BI$503)*(AG$4:AG$503-BI$4:BI$503))/MAX(1,COUNTIF(AG$4:AG$503,"&lt;"&amp;BI458+0.01)),BI458))</f>
        <v>9142.15870461538</v>
      </c>
      <c r="BX458" s="92" t="n">
        <f aca="false">IF(AH458&gt;=BJ458,0,IFERROR(BJ458+SUMPRODUCT((AH$4:AH$503&gt;=BJ$4:BJ$503)*(AH$4:AH$503-BJ$4:BJ$503))/MAX(1,COUNTIF(AH$4:AH$503,"&lt;"&amp;BJ458+0.01)),BJ458))</f>
        <v>5621.50263448276</v>
      </c>
      <c r="BY458" s="92" t="n">
        <f aca="false">IF(AI458&gt;=BK458,0,IFERROR(BK458+SUMPRODUCT((AI$4:AI$503&gt;=BK$4:BK$503)*(AI$4:AI$503-BK$4:BK$503))/MAX(1,COUNTIF(AI$4:AI$503,"&lt;"&amp;BK458+0.01)),BK458))</f>
        <v>7878.25652380952</v>
      </c>
      <c r="BZ458" s="92" t="n">
        <f aca="false">IF(AJ458&gt;=BL458,0,IFERROR(BL458+SUMPRODUCT((AJ$4:AJ$503&gt;=BL$4:BL$503)*(AJ$4:AJ$503-BL$4:BL$503))/MAX(1,COUNTIF(AJ$4:AJ$503,"&lt;"&amp;BL458+0.01)),BL458))</f>
        <v>6710.03292307692</v>
      </c>
      <c r="CA458" s="92" t="n">
        <f aca="false">IF(AK458&gt;=BM458,0,IFERROR(BM458+SUMPRODUCT((AK$4:AK$503&gt;=BM$4:BM$503)*(AK$4:AK$503-BM$4:BM$503))/MAX(1,COUNTIF(AK$4:AK$503,"&lt;"&amp;BM458+0.01)),BM458))</f>
        <v>7314.89836842105</v>
      </c>
      <c r="CB458" s="93" t="n">
        <f aca="false">IF(AL458&gt;=BN458,0,IFERROR(BN458+SUMPRODUCT((AL$4:AL$503&gt;=BN$4:BN$503)*(AL$4:AL$503-BN$4:BN$503))/MAX(1,COUNTIF(AL$4:AL$503,"&lt;"&amp;BN458+0.01)),BN458))</f>
        <v>3597.2614925</v>
      </c>
      <c r="CC458" s="95" t="str">
        <f aca="false">IF(AO458="🟢","VERDE",IF(AO458="🟡","AMARELO",IF(AO458="🟠","VERMELHO",IF(AO458="🔴","VERMELHO","ROXO"))))</f>
        <v>VERMELHO</v>
      </c>
      <c r="CD458" s="96" t="s">
        <v>103</v>
      </c>
      <c r="CE458" s="96" t="s">
        <v>104</v>
      </c>
    </row>
    <row r="459" customFormat="false" ht="14.25" hidden="false" customHeight="true" outlineLevel="0" collapsed="false">
      <c r="A459" s="65" t="s">
        <v>1051</v>
      </c>
      <c r="B459" s="66" t="s">
        <v>1052</v>
      </c>
      <c r="C459" s="67" t="s">
        <v>149</v>
      </c>
      <c r="D459" s="68" t="s">
        <v>100</v>
      </c>
      <c r="E459" s="69" t="s">
        <v>119</v>
      </c>
      <c r="F459" s="70" t="n">
        <f aca="false">IFERROR(VLOOKUP(C459,$AS$3:$AT$10,2,FALSE()),IFERROR(VLOOKUP(C459,$AS$15:$AT$22,2,FALSE()),""))</f>
        <v>29</v>
      </c>
      <c r="G459" s="71" t="n">
        <f aca="false">IFERROR(VLOOKUP(C459,$AS$3:$AX$10,6,FALSE()),IFERROR(VLOOKUP(C459,$AS$15:$AX$22,6,FALSE()),""))</f>
        <v>0.425845065256079</v>
      </c>
      <c r="H459" s="72" t="str">
        <f aca="false">IFERROR(VLOOKUP(C459,$AS$3:$AY$10,7,FALSE()),IFERROR(VLOOKUP(C459,$AS$15:$AY$22,7,FALSE()),""))</f>
        <v>🟡 AMARELO</v>
      </c>
      <c r="I459" s="72" t="str">
        <f aca="false">IFERROR(VLOOKUP(C459,$AS$3:$AZ$10,8,FALSE()),IFERROR(VLOOKUP(C459,$AS$15:$AZ$22,8,FALSE()),""))</f>
        <v>Sell Out</v>
      </c>
      <c r="J459" s="73"/>
      <c r="K459" s="69" t="s">
        <v>149</v>
      </c>
      <c r="L459" s="74" t="n">
        <v>1455.03</v>
      </c>
      <c r="M459" s="75" t="n">
        <v>102.25</v>
      </c>
      <c r="N459" s="75" t="n">
        <v>106.85</v>
      </c>
      <c r="O459" s="75" t="n">
        <v>109.42</v>
      </c>
      <c r="P459" s="75" t="n">
        <v>112.27</v>
      </c>
      <c r="Q459" s="75" t="n">
        <v>115.95</v>
      </c>
      <c r="R459" s="75" t="n">
        <v>118.98</v>
      </c>
      <c r="S459" s="75" t="n">
        <v>123.58</v>
      </c>
      <c r="T459" s="75" t="n">
        <v>126.62</v>
      </c>
      <c r="U459" s="75" t="n">
        <v>129.47</v>
      </c>
      <c r="V459" s="75" t="n">
        <v>132.68</v>
      </c>
      <c r="W459" s="75" t="n">
        <v>136.18</v>
      </c>
      <c r="X459" s="76" t="n">
        <v>140.78</v>
      </c>
      <c r="Y459" s="77" t="s">
        <v>20</v>
      </c>
      <c r="Z459" s="78" t="n">
        <f aca="false">SUM(AA459:AL459)</f>
        <v>1289.79</v>
      </c>
      <c r="AA459" s="75"/>
      <c r="AB459" s="75"/>
      <c r="AC459" s="75"/>
      <c r="AD459" s="75"/>
      <c r="AE459" s="75" t="n">
        <v>704.65</v>
      </c>
      <c r="AF459" s="79" t="n">
        <v>585.14</v>
      </c>
      <c r="AG459" s="75"/>
      <c r="AH459" s="75"/>
      <c r="AI459" s="75"/>
      <c r="AJ459" s="75"/>
      <c r="AK459" s="75"/>
      <c r="AL459" s="76"/>
      <c r="AM459" s="56" t="s">
        <v>20</v>
      </c>
      <c r="AN459" s="80" t="n">
        <f aca="false">IF(L459=0,0,Z459/L459)</f>
        <v>0.886435331230284</v>
      </c>
      <c r="AO459" s="81" t="str">
        <f aca="false">IF(AN459="","",IF(AN459&gt;=0.9,"🟢",IF(AN459&gt;=0.7,"🟡",IF(AN459&gt;=0.5,"🟠","🔴"))))</f>
        <v>🟡</v>
      </c>
      <c r="AP459" s="82" t="n">
        <f aca="false">IF(L459=0,0,L459-Z459)</f>
        <v>165.24</v>
      </c>
      <c r="AQ459" s="83" t="n">
        <f aca="false">IF(AP459=0,"",RANK(AP459,AP$4:AP$503,0))</f>
        <v>476</v>
      </c>
      <c r="AR459" s="84" t="s">
        <v>20</v>
      </c>
      <c r="AS459" s="141"/>
      <c r="AT459" s="141"/>
      <c r="AU459" s="141"/>
      <c r="AV459" s="141"/>
      <c r="AW459" s="141"/>
      <c r="AX459" s="141"/>
      <c r="AY459" s="142"/>
      <c r="AZ459" s="142"/>
      <c r="BA459" s="56" t="s">
        <v>20</v>
      </c>
      <c r="BB459" s="91" t="n">
        <f aca="false">SUM(L$4:L$503)/COUNTA(A$4:A$503)</f>
        <v>9494.39992</v>
      </c>
      <c r="BC459" s="92" t="n">
        <f aca="false">SUM(M$4:M$503)/COUNTA(A$4:A$503)</f>
        <v>667.20008</v>
      </c>
      <c r="BD459" s="92" t="n">
        <f aca="false">SUM(N$4:N$503)/COUNTA(A$4:A$503)</f>
        <v>697.19996</v>
      </c>
      <c r="BE459" s="92" t="n">
        <f aca="false">SUM(O$4:O$503)/COUNTA(A$4:A$503)</f>
        <v>713.9999</v>
      </c>
      <c r="BF459" s="92" t="n">
        <f aca="false">SUM(P$4:P$503)/COUNTA(A$4:A$503)</f>
        <v>732.59984</v>
      </c>
      <c r="BG459" s="92" t="n">
        <f aca="false">SUM(Q$4:Q$503)/COUNTA(A$4:A$503)</f>
        <v>756.59992</v>
      </c>
      <c r="BH459" s="92" t="n">
        <f aca="false">SUM(R$4:R$503)/COUNTA(A$4:A$503)</f>
        <v>776.40004</v>
      </c>
      <c r="BI459" s="92" t="n">
        <f aca="false">SUM(S$4:S$503)/COUNTA(A$4:A$503)</f>
        <v>806.40012</v>
      </c>
      <c r="BJ459" s="92" t="n">
        <f aca="false">SUM(T$4:T$503)/COUNTA(A$4:A$503)</f>
        <v>826.1999</v>
      </c>
      <c r="BK459" s="92" t="n">
        <f aca="false">SUM(U$4:U$503)/COUNTA(A$4:A$503)</f>
        <v>844.8002</v>
      </c>
      <c r="BL459" s="92" t="n">
        <f aca="false">SUM(V$4:V$503)/COUNTA(A$4:A$503)</f>
        <v>865.7998</v>
      </c>
      <c r="BM459" s="92" t="n">
        <f aca="false">SUM(W$4:W$503)/COUNTA(A$4:A$503)</f>
        <v>888.59982</v>
      </c>
      <c r="BN459" s="93" t="n">
        <f aca="false">SUM(X$4:X$503)/COUNTA(A$4:A$503)</f>
        <v>918.60034</v>
      </c>
      <c r="BO459" s="94" t="s">
        <v>20</v>
      </c>
      <c r="BP459" s="91" t="n">
        <f aca="false">IF(Z459&gt;=BB459,0,IFERROR(BB459+(SUMPRODUCT((Z$4:Z$503&gt;=BB$4:BB$503)*(Z$4:Z$503-BB$4:BB$503))/MAX(1,COUNTIF(Z$4:Z$503,"&lt;"&amp;BB459+0.01))),BB459))</f>
        <v>10695.5432177778</v>
      </c>
      <c r="BQ459" s="92" t="n">
        <f aca="false">IF(AA459&gt;=BC459,0,IFERROR(BC459+SUMPRODUCT((AA$4:AA$503&gt;=BC$4:BC$503)*(AA$4:AA$503-BC$4:BC$503))/MAX(1,COUNTIF(AA$4:AA$503,"&lt;"&amp;BC459+0.01)),BC459))</f>
        <v>2238.46589176471</v>
      </c>
      <c r="BR459" s="92" t="n">
        <f aca="false">IF(AB459&gt;=BD459,0,IFERROR(BD459+SUMPRODUCT((AB$4:AB$503&gt;=BD$4:BD$503)*(AB$4:AB$503-BD$4:BD$503))/MAX(1,COUNTIF(AB$4:AB$503,"&lt;"&amp;BD459+0.01)),BD459))</f>
        <v>3335.2938</v>
      </c>
      <c r="BS459" s="92" t="n">
        <f aca="false">IF(AC459&gt;=BE459,0,IFERROR(BE459+SUMPRODUCT((AC$4:AC$503&gt;=BE$4:BE$503)*(AC$4:AC$503-BE$4:BE$503))/MAX(1,COUNTIF(AC$4:AC$503,"&lt;"&amp;BE459+0.01)),BE459))</f>
        <v>6188.73352</v>
      </c>
      <c r="BT459" s="92" t="n">
        <f aca="false">IF(AD459&gt;=BF459,0,IFERROR(BF459+SUMPRODUCT((AD$4:AD$503&gt;=BF$4:BF$503)*(AD$4:AD$503-BF$4:BF$503))/MAX(1,COUNTIF(AD$4:AD$503,"&lt;"&amp;BF459+0.01)),BF459))</f>
        <v>11354.35411</v>
      </c>
      <c r="BU459" s="92" t="n">
        <f aca="false">IF(AE459&gt;=BG459,0,IFERROR(BG459+SUMPRODUCT((AE$4:AE$503&gt;=BG$4:BG$503)*(AE$4:AE$503-BG$4:BG$503))/MAX(1,COUNTIF(AE$4:AE$503,"&lt;"&amp;BG459+0.01)),BG459))</f>
        <v>7704.85920380952</v>
      </c>
      <c r="BV459" s="92" t="n">
        <f aca="false">IF(AF459&gt;=BH459,0,IFERROR(BH459+SUMPRODUCT((AF$4:AF$503&gt;=BH$4:BH$503)*(AF$4:AF$503-BH$4:BH$503))/MAX(1,COUNTIF(AF$4:AF$503,"&lt;"&amp;BH459+0.01)),BH459))</f>
        <v>9942.6503831579</v>
      </c>
      <c r="BW459" s="92" t="n">
        <f aca="false">IF(AG459&gt;=BI459,0,IFERROR(BI459+SUMPRODUCT((AG$4:AG$503&gt;=BI$4:BI$503)*(AG$4:AG$503-BI$4:BI$503))/MAX(1,COUNTIF(AG$4:AG$503,"&lt;"&amp;BI459+0.01)),BI459))</f>
        <v>9142.15870461538</v>
      </c>
      <c r="BX459" s="92" t="n">
        <f aca="false">IF(AH459&gt;=BJ459,0,IFERROR(BJ459+SUMPRODUCT((AH$4:AH$503&gt;=BJ$4:BJ$503)*(AH$4:AH$503-BJ$4:BJ$503))/MAX(1,COUNTIF(AH$4:AH$503,"&lt;"&amp;BJ459+0.01)),BJ459))</f>
        <v>5621.50263448276</v>
      </c>
      <c r="BY459" s="92" t="n">
        <f aca="false">IF(AI459&gt;=BK459,0,IFERROR(BK459+SUMPRODUCT((AI$4:AI$503&gt;=BK$4:BK$503)*(AI$4:AI$503-BK$4:BK$503))/MAX(1,COUNTIF(AI$4:AI$503,"&lt;"&amp;BK459+0.01)),BK459))</f>
        <v>7878.25652380952</v>
      </c>
      <c r="BZ459" s="92" t="n">
        <f aca="false">IF(AJ459&gt;=BL459,0,IFERROR(BL459+SUMPRODUCT((AJ$4:AJ$503&gt;=BL$4:BL$503)*(AJ$4:AJ$503-BL$4:BL$503))/MAX(1,COUNTIF(AJ$4:AJ$503,"&lt;"&amp;BL459+0.01)),BL459))</f>
        <v>6710.03292307692</v>
      </c>
      <c r="CA459" s="92" t="n">
        <f aca="false">IF(AK459&gt;=BM459,0,IFERROR(BM459+SUMPRODUCT((AK$4:AK$503&gt;=BM$4:BM$503)*(AK$4:AK$503-BM$4:BM$503))/MAX(1,COUNTIF(AK$4:AK$503,"&lt;"&amp;BM459+0.01)),BM459))</f>
        <v>7314.89836842105</v>
      </c>
      <c r="CB459" s="93" t="n">
        <f aca="false">IF(AL459&gt;=BN459,0,IFERROR(BN459+SUMPRODUCT((AL$4:AL$503&gt;=BN$4:BN$503)*(AL$4:AL$503-BN$4:BN$503))/MAX(1,COUNTIF(AL$4:AL$503,"&lt;"&amp;BN459+0.01)),BN459))</f>
        <v>3597.2614925</v>
      </c>
      <c r="CC459" s="95" t="str">
        <f aca="false">IF(AO459="🟢","VERDE",IF(AO459="🟡","AMARELO",IF(AO459="🟠","VERMELHO",IF(AO459="🔴","VERMELHO","ROXO"))))</f>
        <v>AMARELO</v>
      </c>
      <c r="CD459" s="96" t="s">
        <v>103</v>
      </c>
      <c r="CE459" s="96" t="s">
        <v>104</v>
      </c>
    </row>
    <row r="460" customFormat="false" ht="14.25" hidden="false" customHeight="true" outlineLevel="0" collapsed="false">
      <c r="A460" s="65" t="s">
        <v>1053</v>
      </c>
      <c r="B460" s="66" t="s">
        <v>1054</v>
      </c>
      <c r="C460" s="67" t="s">
        <v>107</v>
      </c>
      <c r="D460" s="68" t="s">
        <v>108</v>
      </c>
      <c r="E460" s="69" t="s">
        <v>109</v>
      </c>
      <c r="F460" s="70" t="n">
        <f aca="false">IFERROR(VLOOKUP(C460,$AS$3:$AT$10,2,FALSE()),IFERROR(VLOOKUP(C460,$AS$15:$AT$22,2,FALSE()),""))</f>
        <v>132</v>
      </c>
      <c r="G460" s="71" t="n">
        <f aca="false">IFERROR(VLOOKUP(C460,$AS$3:$AX$10,6,FALSE()),IFERROR(VLOOKUP(C460,$AS$15:$AX$22,6,FALSE()),""))</f>
        <v>0.468190175850689</v>
      </c>
      <c r="H460" s="72" t="str">
        <f aca="false">IFERROR(VLOOKUP(C460,$AS$3:$AY$10,7,FALSE()),IFERROR(VLOOKUP(C460,$AS$15:$AY$22,7,FALSE()),""))</f>
        <v>🟡 AMARELO</v>
      </c>
      <c r="I460" s="72" t="str">
        <f aca="false">IFERROR(VLOOKUP(C460,$AS$3:$AZ$10,8,FALSE()),IFERROR(VLOOKUP(C460,$AS$15:$AZ$22,8,FALSE()),""))</f>
        <v>Sell Out</v>
      </c>
      <c r="J460" s="73"/>
      <c r="K460" s="69" t="s">
        <v>107</v>
      </c>
      <c r="L460" s="74" t="n">
        <v>1453.8</v>
      </c>
      <c r="M460" s="75" t="n">
        <v>102.16</v>
      </c>
      <c r="N460" s="75" t="n">
        <v>106.76</v>
      </c>
      <c r="O460" s="75" t="n">
        <v>109.33</v>
      </c>
      <c r="P460" s="75" t="n">
        <v>112.18</v>
      </c>
      <c r="Q460" s="75" t="n">
        <v>115.85</v>
      </c>
      <c r="R460" s="75" t="n">
        <v>118.88</v>
      </c>
      <c r="S460" s="75" t="n">
        <v>123.48</v>
      </c>
      <c r="T460" s="75" t="n">
        <v>126.51</v>
      </c>
      <c r="U460" s="75" t="n">
        <v>129.36</v>
      </c>
      <c r="V460" s="75" t="n">
        <v>132.57</v>
      </c>
      <c r="W460" s="75" t="n">
        <v>136.06</v>
      </c>
      <c r="X460" s="76" t="n">
        <v>140.66</v>
      </c>
      <c r="Y460" s="77" t="s">
        <v>20</v>
      </c>
      <c r="Z460" s="78" t="n">
        <f aca="false">SUM(AA460:AL460)</f>
        <v>584.64</v>
      </c>
      <c r="AA460" s="75"/>
      <c r="AB460" s="75"/>
      <c r="AC460" s="75"/>
      <c r="AD460" s="75"/>
      <c r="AE460" s="75"/>
      <c r="AF460" s="75"/>
      <c r="AG460" s="75"/>
      <c r="AH460" s="75"/>
      <c r="AI460" s="75"/>
      <c r="AJ460" s="79" t="n">
        <v>120</v>
      </c>
      <c r="AK460" s="79" t="n">
        <v>464.64</v>
      </c>
      <c r="AL460" s="76"/>
      <c r="AM460" s="56" t="s">
        <v>20</v>
      </c>
      <c r="AN460" s="80" t="n">
        <f aca="false">IF(L460=0,0,Z460/L460)</f>
        <v>0.402146099876187</v>
      </c>
      <c r="AO460" s="81" t="str">
        <f aca="false">IF(AN460="","",IF(AN460&gt;=0.9,"🟢",IF(AN460&gt;=0.7,"🟡",IF(AN460&gt;=0.5,"🟠","🔴"))))</f>
        <v>🔴</v>
      </c>
      <c r="AP460" s="82" t="n">
        <f aca="false">IF(L460=0,0,L460-Z460)</f>
        <v>869.16</v>
      </c>
      <c r="AQ460" s="83" t="n">
        <f aca="false">IF(AP460=0,"",RANK(AP460,AP$4:AP$503,0))</f>
        <v>412</v>
      </c>
      <c r="AR460" s="84" t="s">
        <v>20</v>
      </c>
      <c r="AS460" s="141"/>
      <c r="AT460" s="141"/>
      <c r="AU460" s="141"/>
      <c r="AV460" s="141"/>
      <c r="AW460" s="141"/>
      <c r="AX460" s="141"/>
      <c r="AY460" s="142"/>
      <c r="AZ460" s="142"/>
      <c r="BA460" s="56" t="s">
        <v>20</v>
      </c>
      <c r="BB460" s="91" t="n">
        <f aca="false">SUM(L$4:L$503)/COUNTA(A$4:A$503)</f>
        <v>9494.39992</v>
      </c>
      <c r="BC460" s="92" t="n">
        <f aca="false">SUM(M$4:M$503)/COUNTA(A$4:A$503)</f>
        <v>667.20008</v>
      </c>
      <c r="BD460" s="92" t="n">
        <f aca="false">SUM(N$4:N$503)/COUNTA(A$4:A$503)</f>
        <v>697.19996</v>
      </c>
      <c r="BE460" s="92" t="n">
        <f aca="false">SUM(O$4:O$503)/COUNTA(A$4:A$503)</f>
        <v>713.9999</v>
      </c>
      <c r="BF460" s="92" t="n">
        <f aca="false">SUM(P$4:P$503)/COUNTA(A$4:A$503)</f>
        <v>732.59984</v>
      </c>
      <c r="BG460" s="92" t="n">
        <f aca="false">SUM(Q$4:Q$503)/COUNTA(A$4:A$503)</f>
        <v>756.59992</v>
      </c>
      <c r="BH460" s="92" t="n">
        <f aca="false">SUM(R$4:R$503)/COUNTA(A$4:A$503)</f>
        <v>776.40004</v>
      </c>
      <c r="BI460" s="92" t="n">
        <f aca="false">SUM(S$4:S$503)/COUNTA(A$4:A$503)</f>
        <v>806.40012</v>
      </c>
      <c r="BJ460" s="92" t="n">
        <f aca="false">SUM(T$4:T$503)/COUNTA(A$4:A$503)</f>
        <v>826.1999</v>
      </c>
      <c r="BK460" s="92" t="n">
        <f aca="false">SUM(U$4:U$503)/COUNTA(A$4:A$503)</f>
        <v>844.8002</v>
      </c>
      <c r="BL460" s="92" t="n">
        <f aca="false">SUM(V$4:V$503)/COUNTA(A$4:A$503)</f>
        <v>865.7998</v>
      </c>
      <c r="BM460" s="92" t="n">
        <f aca="false">SUM(W$4:W$503)/COUNTA(A$4:A$503)</f>
        <v>888.59982</v>
      </c>
      <c r="BN460" s="93" t="n">
        <f aca="false">SUM(X$4:X$503)/COUNTA(A$4:A$503)</f>
        <v>918.60034</v>
      </c>
      <c r="BO460" s="94" t="s">
        <v>20</v>
      </c>
      <c r="BP460" s="91" t="n">
        <f aca="false">IF(Z460&gt;=BB460,0,IFERROR(BB460+(SUMPRODUCT((Z$4:Z$503&gt;=BB$4:BB$503)*(Z$4:Z$503-BB$4:BB$503))/MAX(1,COUNTIF(Z$4:Z$503,"&lt;"&amp;BB460+0.01))),BB460))</f>
        <v>10695.5432177778</v>
      </c>
      <c r="BQ460" s="92" t="n">
        <f aca="false">IF(AA460&gt;=BC460,0,IFERROR(BC460+SUMPRODUCT((AA$4:AA$503&gt;=BC$4:BC$503)*(AA$4:AA$503-BC$4:BC$503))/MAX(1,COUNTIF(AA$4:AA$503,"&lt;"&amp;BC460+0.01)),BC460))</f>
        <v>2238.46589176471</v>
      </c>
      <c r="BR460" s="92" t="n">
        <f aca="false">IF(AB460&gt;=BD460,0,IFERROR(BD460+SUMPRODUCT((AB$4:AB$503&gt;=BD$4:BD$503)*(AB$4:AB$503-BD$4:BD$503))/MAX(1,COUNTIF(AB$4:AB$503,"&lt;"&amp;BD460+0.01)),BD460))</f>
        <v>3335.2938</v>
      </c>
      <c r="BS460" s="92" t="n">
        <f aca="false">IF(AC460&gt;=BE460,0,IFERROR(BE460+SUMPRODUCT((AC$4:AC$503&gt;=BE$4:BE$503)*(AC$4:AC$503-BE$4:BE$503))/MAX(1,COUNTIF(AC$4:AC$503,"&lt;"&amp;BE460+0.01)),BE460))</f>
        <v>6188.73352</v>
      </c>
      <c r="BT460" s="92" t="n">
        <f aca="false">IF(AD460&gt;=BF460,0,IFERROR(BF460+SUMPRODUCT((AD$4:AD$503&gt;=BF$4:BF$503)*(AD$4:AD$503-BF$4:BF$503))/MAX(1,COUNTIF(AD$4:AD$503,"&lt;"&amp;BF460+0.01)),BF460))</f>
        <v>11354.35411</v>
      </c>
      <c r="BU460" s="92" t="n">
        <f aca="false">IF(AE460&gt;=BG460,0,IFERROR(BG460+SUMPRODUCT((AE$4:AE$503&gt;=BG$4:BG$503)*(AE$4:AE$503-BG$4:BG$503))/MAX(1,COUNTIF(AE$4:AE$503,"&lt;"&amp;BG460+0.01)),BG460))</f>
        <v>7704.85920380952</v>
      </c>
      <c r="BV460" s="92" t="n">
        <f aca="false">IF(AF460&gt;=BH460,0,IFERROR(BH460+SUMPRODUCT((AF$4:AF$503&gt;=BH$4:BH$503)*(AF$4:AF$503-BH$4:BH$503))/MAX(1,COUNTIF(AF$4:AF$503,"&lt;"&amp;BH460+0.01)),BH460))</f>
        <v>9942.6503831579</v>
      </c>
      <c r="BW460" s="92" t="n">
        <f aca="false">IF(AG460&gt;=BI460,0,IFERROR(BI460+SUMPRODUCT((AG$4:AG$503&gt;=BI$4:BI$503)*(AG$4:AG$503-BI$4:BI$503))/MAX(1,COUNTIF(AG$4:AG$503,"&lt;"&amp;BI460+0.01)),BI460))</f>
        <v>9142.15870461538</v>
      </c>
      <c r="BX460" s="92" t="n">
        <f aca="false">IF(AH460&gt;=BJ460,0,IFERROR(BJ460+SUMPRODUCT((AH$4:AH$503&gt;=BJ$4:BJ$503)*(AH$4:AH$503-BJ$4:BJ$503))/MAX(1,COUNTIF(AH$4:AH$503,"&lt;"&amp;BJ460+0.01)),BJ460))</f>
        <v>5621.50263448276</v>
      </c>
      <c r="BY460" s="92" t="n">
        <f aca="false">IF(AI460&gt;=BK460,0,IFERROR(BK460+SUMPRODUCT((AI$4:AI$503&gt;=BK$4:BK$503)*(AI$4:AI$503-BK$4:BK$503))/MAX(1,COUNTIF(AI$4:AI$503,"&lt;"&amp;BK460+0.01)),BK460))</f>
        <v>7878.25652380952</v>
      </c>
      <c r="BZ460" s="92" t="n">
        <f aca="false">IF(AJ460&gt;=BL460,0,IFERROR(BL460+SUMPRODUCT((AJ$4:AJ$503&gt;=BL$4:BL$503)*(AJ$4:AJ$503-BL$4:BL$503))/MAX(1,COUNTIF(AJ$4:AJ$503,"&lt;"&amp;BL460+0.01)),BL460))</f>
        <v>6710.03292307692</v>
      </c>
      <c r="CA460" s="92" t="n">
        <f aca="false">IF(AK460&gt;=BM460,0,IFERROR(BM460+SUMPRODUCT((AK$4:AK$503&gt;=BM$4:BM$503)*(AK$4:AK$503-BM$4:BM$503))/MAX(1,COUNTIF(AK$4:AK$503,"&lt;"&amp;BM460+0.01)),BM460))</f>
        <v>7314.89836842105</v>
      </c>
      <c r="CB460" s="93" t="n">
        <f aca="false">IF(AL460&gt;=BN460,0,IFERROR(BN460+SUMPRODUCT((AL$4:AL$503&gt;=BN$4:BN$503)*(AL$4:AL$503-BN$4:BN$503))/MAX(1,COUNTIF(AL$4:AL$503,"&lt;"&amp;BN460+0.01)),BN460))</f>
        <v>3597.2614925</v>
      </c>
      <c r="CC460" s="95" t="str">
        <f aca="false">IF(AO460="🟢","VERDE",IF(AO460="🟡","AMARELO",IF(AO460="🟠","VERMELHO",IF(AO460="🔴","VERMELHO","ROXO"))))</f>
        <v>VERMELHO</v>
      </c>
      <c r="CD460" s="96" t="s">
        <v>103</v>
      </c>
      <c r="CE460" s="96" t="s">
        <v>104</v>
      </c>
    </row>
    <row r="461" customFormat="false" ht="14.25" hidden="false" customHeight="true" outlineLevel="0" collapsed="false">
      <c r="A461" s="65" t="s">
        <v>1055</v>
      </c>
      <c r="B461" s="66" t="s">
        <v>1056</v>
      </c>
      <c r="C461" s="67" t="s">
        <v>107</v>
      </c>
      <c r="D461" s="68" t="s">
        <v>108</v>
      </c>
      <c r="E461" s="69" t="s">
        <v>196</v>
      </c>
      <c r="F461" s="70" t="n">
        <f aca="false">IFERROR(VLOOKUP(C461,$AS$3:$AT$10,2,FALSE()),IFERROR(VLOOKUP(C461,$AS$15:$AT$22,2,FALSE()),""))</f>
        <v>132</v>
      </c>
      <c r="G461" s="71" t="n">
        <f aca="false">IFERROR(VLOOKUP(C461,$AS$3:$AX$10,6,FALSE()),IFERROR(VLOOKUP(C461,$AS$15:$AX$22,6,FALSE()),""))</f>
        <v>0.468190175850689</v>
      </c>
      <c r="H461" s="72" t="str">
        <f aca="false">IFERROR(VLOOKUP(C461,$AS$3:$AY$10,7,FALSE()),IFERROR(VLOOKUP(C461,$AS$15:$AY$22,7,FALSE()),""))</f>
        <v>🟡 AMARELO</v>
      </c>
      <c r="I461" s="72" t="str">
        <f aca="false">IFERROR(VLOOKUP(C461,$AS$3:$AZ$10,8,FALSE()),IFERROR(VLOOKUP(C461,$AS$15:$AZ$22,8,FALSE()),""))</f>
        <v>Sell Out</v>
      </c>
      <c r="J461" s="73"/>
      <c r="K461" s="69" t="s">
        <v>107</v>
      </c>
      <c r="L461" s="74" t="n">
        <v>1453.53</v>
      </c>
      <c r="M461" s="75" t="n">
        <v>102.14</v>
      </c>
      <c r="N461" s="75" t="n">
        <v>106.74</v>
      </c>
      <c r="O461" s="75" t="n">
        <v>109.31</v>
      </c>
      <c r="P461" s="75" t="n">
        <v>112.16</v>
      </c>
      <c r="Q461" s="75" t="n">
        <v>115.83</v>
      </c>
      <c r="R461" s="75" t="n">
        <v>118.86</v>
      </c>
      <c r="S461" s="75" t="n">
        <v>123.45</v>
      </c>
      <c r="T461" s="75" t="n">
        <v>126.49</v>
      </c>
      <c r="U461" s="75" t="n">
        <v>129.33</v>
      </c>
      <c r="V461" s="75" t="n">
        <v>132.55</v>
      </c>
      <c r="W461" s="75" t="n">
        <v>136.04</v>
      </c>
      <c r="X461" s="76" t="n">
        <v>140.63</v>
      </c>
      <c r="Y461" s="77" t="s">
        <v>20</v>
      </c>
      <c r="Z461" s="78" t="n">
        <f aca="false">SUM(AA461:AL461)</f>
        <v>801.51</v>
      </c>
      <c r="AA461" s="75"/>
      <c r="AB461" s="75"/>
      <c r="AC461" s="75"/>
      <c r="AD461" s="75"/>
      <c r="AE461" s="75"/>
      <c r="AF461" s="75"/>
      <c r="AG461" s="75"/>
      <c r="AH461" s="79" t="n">
        <v>801.51</v>
      </c>
      <c r="AI461" s="75"/>
      <c r="AJ461" s="75"/>
      <c r="AK461" s="75"/>
      <c r="AL461" s="76"/>
      <c r="AM461" s="56" t="s">
        <v>20</v>
      </c>
      <c r="AN461" s="80" t="n">
        <f aca="false">IF(L461=0,0,Z461/L461)</f>
        <v>0.551423087242781</v>
      </c>
      <c r="AO461" s="81" t="str">
        <f aca="false">IF(AN461="","",IF(AN461&gt;=0.9,"🟢",IF(AN461&gt;=0.7,"🟡",IF(AN461&gt;=0.5,"🟠","🔴"))))</f>
        <v>🟠</v>
      </c>
      <c r="AP461" s="82" t="n">
        <f aca="false">IF(L461=0,0,L461-Z461)</f>
        <v>652.02</v>
      </c>
      <c r="AQ461" s="83" t="n">
        <f aca="false">IF(AP461=0,"",RANK(AP461,AP$4:AP$503,0))</f>
        <v>434</v>
      </c>
      <c r="AR461" s="84" t="s">
        <v>20</v>
      </c>
      <c r="AS461" s="141"/>
      <c r="AT461" s="141"/>
      <c r="AU461" s="141"/>
      <c r="AV461" s="141"/>
      <c r="AW461" s="141"/>
      <c r="AX461" s="141"/>
      <c r="AY461" s="142"/>
      <c r="AZ461" s="142"/>
      <c r="BA461" s="56" t="s">
        <v>20</v>
      </c>
      <c r="BB461" s="91" t="n">
        <f aca="false">SUM(L$4:L$503)/COUNTA(A$4:A$503)</f>
        <v>9494.39992</v>
      </c>
      <c r="BC461" s="92" t="n">
        <f aca="false">SUM(M$4:M$503)/COUNTA(A$4:A$503)</f>
        <v>667.20008</v>
      </c>
      <c r="BD461" s="92" t="n">
        <f aca="false">SUM(N$4:N$503)/COUNTA(A$4:A$503)</f>
        <v>697.19996</v>
      </c>
      <c r="BE461" s="92" t="n">
        <f aca="false">SUM(O$4:O$503)/COUNTA(A$4:A$503)</f>
        <v>713.9999</v>
      </c>
      <c r="BF461" s="92" t="n">
        <f aca="false">SUM(P$4:P$503)/COUNTA(A$4:A$503)</f>
        <v>732.59984</v>
      </c>
      <c r="BG461" s="92" t="n">
        <f aca="false">SUM(Q$4:Q$503)/COUNTA(A$4:A$503)</f>
        <v>756.59992</v>
      </c>
      <c r="BH461" s="92" t="n">
        <f aca="false">SUM(R$4:R$503)/COUNTA(A$4:A$503)</f>
        <v>776.40004</v>
      </c>
      <c r="BI461" s="92" t="n">
        <f aca="false">SUM(S$4:S$503)/COUNTA(A$4:A$503)</f>
        <v>806.40012</v>
      </c>
      <c r="BJ461" s="92" t="n">
        <f aca="false">SUM(T$4:T$503)/COUNTA(A$4:A$503)</f>
        <v>826.1999</v>
      </c>
      <c r="BK461" s="92" t="n">
        <f aca="false">SUM(U$4:U$503)/COUNTA(A$4:A$503)</f>
        <v>844.8002</v>
      </c>
      <c r="BL461" s="92" t="n">
        <f aca="false">SUM(V$4:V$503)/COUNTA(A$4:A$503)</f>
        <v>865.7998</v>
      </c>
      <c r="BM461" s="92" t="n">
        <f aca="false">SUM(W$4:W$503)/COUNTA(A$4:A$503)</f>
        <v>888.59982</v>
      </c>
      <c r="BN461" s="93" t="n">
        <f aca="false">SUM(X$4:X$503)/COUNTA(A$4:A$503)</f>
        <v>918.60034</v>
      </c>
      <c r="BO461" s="94" t="s">
        <v>20</v>
      </c>
      <c r="BP461" s="91" t="n">
        <f aca="false">IF(Z461&gt;=BB461,0,IFERROR(BB461+(SUMPRODUCT((Z$4:Z$503&gt;=BB$4:BB$503)*(Z$4:Z$503-BB$4:BB$503))/MAX(1,COUNTIF(Z$4:Z$503,"&lt;"&amp;BB461+0.01))),BB461))</f>
        <v>10695.5432177778</v>
      </c>
      <c r="BQ461" s="92" t="n">
        <f aca="false">IF(AA461&gt;=BC461,0,IFERROR(BC461+SUMPRODUCT((AA$4:AA$503&gt;=BC$4:BC$503)*(AA$4:AA$503-BC$4:BC$503))/MAX(1,COUNTIF(AA$4:AA$503,"&lt;"&amp;BC461+0.01)),BC461))</f>
        <v>2238.46589176471</v>
      </c>
      <c r="BR461" s="92" t="n">
        <f aca="false">IF(AB461&gt;=BD461,0,IFERROR(BD461+SUMPRODUCT((AB$4:AB$503&gt;=BD$4:BD$503)*(AB$4:AB$503-BD$4:BD$503))/MAX(1,COUNTIF(AB$4:AB$503,"&lt;"&amp;BD461+0.01)),BD461))</f>
        <v>3335.2938</v>
      </c>
      <c r="BS461" s="92" t="n">
        <f aca="false">IF(AC461&gt;=BE461,0,IFERROR(BE461+SUMPRODUCT((AC$4:AC$503&gt;=BE$4:BE$503)*(AC$4:AC$503-BE$4:BE$503))/MAX(1,COUNTIF(AC$4:AC$503,"&lt;"&amp;BE461+0.01)),BE461))</f>
        <v>6188.73352</v>
      </c>
      <c r="BT461" s="92" t="n">
        <f aca="false">IF(AD461&gt;=BF461,0,IFERROR(BF461+SUMPRODUCT((AD$4:AD$503&gt;=BF$4:BF$503)*(AD$4:AD$503-BF$4:BF$503))/MAX(1,COUNTIF(AD$4:AD$503,"&lt;"&amp;BF461+0.01)),BF461))</f>
        <v>11354.35411</v>
      </c>
      <c r="BU461" s="92" t="n">
        <f aca="false">IF(AE461&gt;=BG461,0,IFERROR(BG461+SUMPRODUCT((AE$4:AE$503&gt;=BG$4:BG$503)*(AE$4:AE$503-BG$4:BG$503))/MAX(1,COUNTIF(AE$4:AE$503,"&lt;"&amp;BG461+0.01)),BG461))</f>
        <v>7704.85920380952</v>
      </c>
      <c r="BV461" s="92" t="n">
        <f aca="false">IF(AF461&gt;=BH461,0,IFERROR(BH461+SUMPRODUCT((AF$4:AF$503&gt;=BH$4:BH$503)*(AF$4:AF$503-BH$4:BH$503))/MAX(1,COUNTIF(AF$4:AF$503,"&lt;"&amp;BH461+0.01)),BH461))</f>
        <v>9942.6503831579</v>
      </c>
      <c r="BW461" s="92" t="n">
        <f aca="false">IF(AG461&gt;=BI461,0,IFERROR(BI461+SUMPRODUCT((AG$4:AG$503&gt;=BI$4:BI$503)*(AG$4:AG$503-BI$4:BI$503))/MAX(1,COUNTIF(AG$4:AG$503,"&lt;"&amp;BI461+0.01)),BI461))</f>
        <v>9142.15870461538</v>
      </c>
      <c r="BX461" s="92" t="n">
        <f aca="false">IF(AH461&gt;=BJ461,0,IFERROR(BJ461+SUMPRODUCT((AH$4:AH$503&gt;=BJ$4:BJ$503)*(AH$4:AH$503-BJ$4:BJ$503))/MAX(1,COUNTIF(AH$4:AH$503,"&lt;"&amp;BJ461+0.01)),BJ461))</f>
        <v>5621.50263448276</v>
      </c>
      <c r="BY461" s="92" t="n">
        <f aca="false">IF(AI461&gt;=BK461,0,IFERROR(BK461+SUMPRODUCT((AI$4:AI$503&gt;=BK$4:BK$503)*(AI$4:AI$503-BK$4:BK$503))/MAX(1,COUNTIF(AI$4:AI$503,"&lt;"&amp;BK461+0.01)),BK461))</f>
        <v>7878.25652380952</v>
      </c>
      <c r="BZ461" s="92" t="n">
        <f aca="false">IF(AJ461&gt;=BL461,0,IFERROR(BL461+SUMPRODUCT((AJ$4:AJ$503&gt;=BL$4:BL$503)*(AJ$4:AJ$503-BL$4:BL$503))/MAX(1,COUNTIF(AJ$4:AJ$503,"&lt;"&amp;BL461+0.01)),BL461))</f>
        <v>6710.03292307692</v>
      </c>
      <c r="CA461" s="92" t="n">
        <f aca="false">IF(AK461&gt;=BM461,0,IFERROR(BM461+SUMPRODUCT((AK$4:AK$503&gt;=BM$4:BM$503)*(AK$4:AK$503-BM$4:BM$503))/MAX(1,COUNTIF(AK$4:AK$503,"&lt;"&amp;BM461+0.01)),BM461))</f>
        <v>7314.89836842105</v>
      </c>
      <c r="CB461" s="93" t="n">
        <f aca="false">IF(AL461&gt;=BN461,0,IFERROR(BN461+SUMPRODUCT((AL$4:AL$503&gt;=BN$4:BN$503)*(AL$4:AL$503-BN$4:BN$503))/MAX(1,COUNTIF(AL$4:AL$503,"&lt;"&amp;BN461+0.01)),BN461))</f>
        <v>3597.2614925</v>
      </c>
      <c r="CC461" s="95" t="str">
        <f aca="false">IF(AO461="🟢","VERDE",IF(AO461="🟡","AMARELO",IF(AO461="🟠","VERMELHO",IF(AO461="🔴","VERMELHO","ROXO"))))</f>
        <v>VERMELHO</v>
      </c>
      <c r="CD461" s="96" t="s">
        <v>103</v>
      </c>
      <c r="CE461" s="96" t="s">
        <v>104</v>
      </c>
    </row>
    <row r="462" customFormat="false" ht="14.25" hidden="false" customHeight="true" outlineLevel="0" collapsed="false">
      <c r="A462" s="65" t="s">
        <v>1057</v>
      </c>
      <c r="B462" s="66" t="s">
        <v>1058</v>
      </c>
      <c r="C462" s="66" t="s">
        <v>66</v>
      </c>
      <c r="D462" s="68" t="s">
        <v>175</v>
      </c>
      <c r="E462" s="69" t="s">
        <v>109</v>
      </c>
      <c r="F462" s="70" t="n">
        <f aca="false">IFERROR(VLOOKUP(C462,$AS$3:$AT$10,2,FALSE()),IFERROR(VLOOKUP(C462,$AS$15:$AT$22,2,FALSE()),""))</f>
        <v>44</v>
      </c>
      <c r="G462" s="71" t="n">
        <f aca="false">IFERROR(VLOOKUP(C462,$AS$3:$AX$10,6,FALSE()),IFERROR(VLOOKUP(C462,$AS$15:$AX$22,6,FALSE()),""))</f>
        <v>0.496839506257363</v>
      </c>
      <c r="H462" s="72" t="str">
        <f aca="false">IFERROR(VLOOKUP(C462,$AS$3:$AY$10,7,FALSE()),IFERROR(VLOOKUP(C462,$AS$15:$AY$22,7,FALSE()),""))</f>
        <v>🟡 AMARELO</v>
      </c>
      <c r="I462" s="72" t="str">
        <f aca="false">IFERROR(VLOOKUP(C462,$AS$3:$AZ$10,8,FALSE()),IFERROR(VLOOKUP(C462,$AS$15:$AZ$22,8,FALSE()),""))</f>
        <v>Sell Out</v>
      </c>
      <c r="J462" s="73"/>
      <c r="K462" s="69" t="s">
        <v>107</v>
      </c>
      <c r="L462" s="74" t="n">
        <v>1452.14</v>
      </c>
      <c r="M462" s="75" t="n">
        <v>102.05</v>
      </c>
      <c r="N462" s="75" t="n">
        <v>106.63</v>
      </c>
      <c r="O462" s="75" t="n">
        <v>109.2</v>
      </c>
      <c r="P462" s="75" t="n">
        <v>112.05</v>
      </c>
      <c r="Q462" s="75" t="n">
        <v>115.72</v>
      </c>
      <c r="R462" s="75" t="n">
        <v>118.75</v>
      </c>
      <c r="S462" s="75" t="n">
        <v>123.34</v>
      </c>
      <c r="T462" s="75" t="n">
        <v>126.36</v>
      </c>
      <c r="U462" s="75" t="n">
        <v>129.21</v>
      </c>
      <c r="V462" s="75" t="n">
        <v>132.42</v>
      </c>
      <c r="W462" s="75" t="n">
        <v>135.91</v>
      </c>
      <c r="X462" s="76" t="n">
        <v>140.5</v>
      </c>
      <c r="Y462" s="77" t="s">
        <v>20</v>
      </c>
      <c r="Z462" s="78" t="n">
        <f aca="false">SUM(AA462:AL462)</f>
        <v>654.89</v>
      </c>
      <c r="AA462" s="75"/>
      <c r="AB462" s="75"/>
      <c r="AC462" s="75"/>
      <c r="AD462" s="75"/>
      <c r="AE462" s="79" t="n">
        <v>654.89</v>
      </c>
      <c r="AF462" s="75"/>
      <c r="AG462" s="75"/>
      <c r="AH462" s="75"/>
      <c r="AI462" s="75"/>
      <c r="AJ462" s="75"/>
      <c r="AK462" s="75"/>
      <c r="AL462" s="76"/>
      <c r="AM462" s="56" t="s">
        <v>20</v>
      </c>
      <c r="AN462" s="80" t="n">
        <f aca="false">IF(L462=0,0,Z462/L462)</f>
        <v>0.450982687619651</v>
      </c>
      <c r="AO462" s="81" t="str">
        <f aca="false">IF(AN462="","",IF(AN462&gt;=0.9,"🟢",IF(AN462&gt;=0.7,"🟡",IF(AN462&gt;=0.5,"🟠","🔴"))))</f>
        <v>🔴</v>
      </c>
      <c r="AP462" s="82" t="n">
        <f aca="false">IF(L462=0,0,L462-Z462)</f>
        <v>797.25</v>
      </c>
      <c r="AQ462" s="83" t="n">
        <f aca="false">IF(AP462=0,"",RANK(AP462,AP$4:AP$503,0))</f>
        <v>421</v>
      </c>
      <c r="AR462" s="84" t="s">
        <v>20</v>
      </c>
      <c r="AS462" s="141"/>
      <c r="AT462" s="141"/>
      <c r="AU462" s="141"/>
      <c r="AV462" s="141"/>
      <c r="AW462" s="141"/>
      <c r="AX462" s="141"/>
      <c r="AY462" s="142"/>
      <c r="AZ462" s="142"/>
      <c r="BA462" s="56" t="s">
        <v>20</v>
      </c>
      <c r="BB462" s="91" t="n">
        <f aca="false">SUM(L$4:L$503)/COUNTA(A$4:A$503)</f>
        <v>9494.39992</v>
      </c>
      <c r="BC462" s="92" t="n">
        <f aca="false">SUM(M$4:M$503)/COUNTA(A$4:A$503)</f>
        <v>667.20008</v>
      </c>
      <c r="BD462" s="92" t="n">
        <f aca="false">SUM(N$4:N$503)/COUNTA(A$4:A$503)</f>
        <v>697.19996</v>
      </c>
      <c r="BE462" s="92" t="n">
        <f aca="false">SUM(O$4:O$503)/COUNTA(A$4:A$503)</f>
        <v>713.9999</v>
      </c>
      <c r="BF462" s="92" t="n">
        <f aca="false">SUM(P$4:P$503)/COUNTA(A$4:A$503)</f>
        <v>732.59984</v>
      </c>
      <c r="BG462" s="92" t="n">
        <f aca="false">SUM(Q$4:Q$503)/COUNTA(A$4:A$503)</f>
        <v>756.59992</v>
      </c>
      <c r="BH462" s="92" t="n">
        <f aca="false">SUM(R$4:R$503)/COUNTA(A$4:A$503)</f>
        <v>776.40004</v>
      </c>
      <c r="BI462" s="92" t="n">
        <f aca="false">SUM(S$4:S$503)/COUNTA(A$4:A$503)</f>
        <v>806.40012</v>
      </c>
      <c r="BJ462" s="92" t="n">
        <f aca="false">SUM(T$4:T$503)/COUNTA(A$4:A$503)</f>
        <v>826.1999</v>
      </c>
      <c r="BK462" s="92" t="n">
        <f aca="false">SUM(U$4:U$503)/COUNTA(A$4:A$503)</f>
        <v>844.8002</v>
      </c>
      <c r="BL462" s="92" t="n">
        <f aca="false">SUM(V$4:V$503)/COUNTA(A$4:A$503)</f>
        <v>865.7998</v>
      </c>
      <c r="BM462" s="92" t="n">
        <f aca="false">SUM(W$4:W$503)/COUNTA(A$4:A$503)</f>
        <v>888.59982</v>
      </c>
      <c r="BN462" s="93" t="n">
        <f aca="false">SUM(X$4:X$503)/COUNTA(A$4:A$503)</f>
        <v>918.60034</v>
      </c>
      <c r="BO462" s="94" t="s">
        <v>20</v>
      </c>
      <c r="BP462" s="91" t="n">
        <f aca="false">IF(Z462&gt;=BB462,0,IFERROR(BB462+(SUMPRODUCT((Z$4:Z$503&gt;=BB$4:BB$503)*(Z$4:Z$503-BB$4:BB$503))/MAX(1,COUNTIF(Z$4:Z$503,"&lt;"&amp;BB462+0.01))),BB462))</f>
        <v>10695.5432177778</v>
      </c>
      <c r="BQ462" s="92" t="n">
        <f aca="false">IF(AA462&gt;=BC462,0,IFERROR(BC462+SUMPRODUCT((AA$4:AA$503&gt;=BC$4:BC$503)*(AA$4:AA$503-BC$4:BC$503))/MAX(1,COUNTIF(AA$4:AA$503,"&lt;"&amp;BC462+0.01)),BC462))</f>
        <v>2238.46589176471</v>
      </c>
      <c r="BR462" s="92" t="n">
        <f aca="false">IF(AB462&gt;=BD462,0,IFERROR(BD462+SUMPRODUCT((AB$4:AB$503&gt;=BD$4:BD$503)*(AB$4:AB$503-BD$4:BD$503))/MAX(1,COUNTIF(AB$4:AB$503,"&lt;"&amp;BD462+0.01)),BD462))</f>
        <v>3335.2938</v>
      </c>
      <c r="BS462" s="92" t="n">
        <f aca="false">IF(AC462&gt;=BE462,0,IFERROR(BE462+SUMPRODUCT((AC$4:AC$503&gt;=BE$4:BE$503)*(AC$4:AC$503-BE$4:BE$503))/MAX(1,COUNTIF(AC$4:AC$503,"&lt;"&amp;BE462+0.01)),BE462))</f>
        <v>6188.73352</v>
      </c>
      <c r="BT462" s="92" t="n">
        <f aca="false">IF(AD462&gt;=BF462,0,IFERROR(BF462+SUMPRODUCT((AD$4:AD$503&gt;=BF$4:BF$503)*(AD$4:AD$503-BF$4:BF$503))/MAX(1,COUNTIF(AD$4:AD$503,"&lt;"&amp;BF462+0.01)),BF462))</f>
        <v>11354.35411</v>
      </c>
      <c r="BU462" s="92" t="n">
        <f aca="false">IF(AE462&gt;=BG462,0,IFERROR(BG462+SUMPRODUCT((AE$4:AE$503&gt;=BG$4:BG$503)*(AE$4:AE$503-BG$4:BG$503))/MAX(1,COUNTIF(AE$4:AE$503,"&lt;"&amp;BG462+0.01)),BG462))</f>
        <v>7704.85920380952</v>
      </c>
      <c r="BV462" s="92" t="n">
        <f aca="false">IF(AF462&gt;=BH462,0,IFERROR(BH462+SUMPRODUCT((AF$4:AF$503&gt;=BH$4:BH$503)*(AF$4:AF$503-BH$4:BH$503))/MAX(1,COUNTIF(AF$4:AF$503,"&lt;"&amp;BH462+0.01)),BH462))</f>
        <v>9942.6503831579</v>
      </c>
      <c r="BW462" s="92" t="n">
        <f aca="false">IF(AG462&gt;=BI462,0,IFERROR(BI462+SUMPRODUCT((AG$4:AG$503&gt;=BI$4:BI$503)*(AG$4:AG$503-BI$4:BI$503))/MAX(1,COUNTIF(AG$4:AG$503,"&lt;"&amp;BI462+0.01)),BI462))</f>
        <v>9142.15870461538</v>
      </c>
      <c r="BX462" s="92" t="n">
        <f aca="false">IF(AH462&gt;=BJ462,0,IFERROR(BJ462+SUMPRODUCT((AH$4:AH$503&gt;=BJ$4:BJ$503)*(AH$4:AH$503-BJ$4:BJ$503))/MAX(1,COUNTIF(AH$4:AH$503,"&lt;"&amp;BJ462+0.01)),BJ462))</f>
        <v>5621.50263448276</v>
      </c>
      <c r="BY462" s="92" t="n">
        <f aca="false">IF(AI462&gt;=BK462,0,IFERROR(BK462+SUMPRODUCT((AI$4:AI$503&gt;=BK$4:BK$503)*(AI$4:AI$503-BK$4:BK$503))/MAX(1,COUNTIF(AI$4:AI$503,"&lt;"&amp;BK462+0.01)),BK462))</f>
        <v>7878.25652380952</v>
      </c>
      <c r="BZ462" s="92" t="n">
        <f aca="false">IF(AJ462&gt;=BL462,0,IFERROR(BL462+SUMPRODUCT((AJ$4:AJ$503&gt;=BL$4:BL$503)*(AJ$4:AJ$503-BL$4:BL$503))/MAX(1,COUNTIF(AJ$4:AJ$503,"&lt;"&amp;BL462+0.01)),BL462))</f>
        <v>6710.03292307692</v>
      </c>
      <c r="CA462" s="92" t="n">
        <f aca="false">IF(AK462&gt;=BM462,0,IFERROR(BM462+SUMPRODUCT((AK$4:AK$503&gt;=BM$4:BM$503)*(AK$4:AK$503-BM$4:BM$503))/MAX(1,COUNTIF(AK$4:AK$503,"&lt;"&amp;BM462+0.01)),BM462))</f>
        <v>7314.89836842105</v>
      </c>
      <c r="CB462" s="93" t="n">
        <f aca="false">IF(AL462&gt;=BN462,0,IFERROR(BN462+SUMPRODUCT((AL$4:AL$503&gt;=BN$4:BN$503)*(AL$4:AL$503-BN$4:BN$503))/MAX(1,COUNTIF(AL$4:AL$503,"&lt;"&amp;BN462+0.01)),BN462))</f>
        <v>3597.2614925</v>
      </c>
      <c r="CC462" s="95" t="str">
        <f aca="false">IF(AO462="🟢","VERDE",IF(AO462="🟡","AMARELO",IF(AO462="🟠","VERMELHO",IF(AO462="🔴","VERMELHO","ROXO"))))</f>
        <v>VERMELHO</v>
      </c>
      <c r="CD462" s="96" t="s">
        <v>176</v>
      </c>
      <c r="CE462" s="96" t="s">
        <v>66</v>
      </c>
    </row>
    <row r="463" customFormat="false" ht="14.25" hidden="false" customHeight="true" outlineLevel="0" collapsed="false">
      <c r="A463" s="65" t="s">
        <v>1059</v>
      </c>
      <c r="B463" s="66" t="s">
        <v>1060</v>
      </c>
      <c r="C463" s="67" t="s">
        <v>118</v>
      </c>
      <c r="D463" s="68" t="s">
        <v>100</v>
      </c>
      <c r="E463" s="69" t="s">
        <v>119</v>
      </c>
      <c r="F463" s="70" t="n">
        <f aca="false">IFERROR(VLOOKUP(C463,$AS$3:$AT$10,2,FALSE()),IFERROR(VLOOKUP(C463,$AS$15:$AT$22,2,FALSE()),""))</f>
        <v>42</v>
      </c>
      <c r="G463" s="71" t="n">
        <f aca="false">IFERROR(VLOOKUP(C463,$AS$3:$AX$10,6,FALSE()),IFERROR(VLOOKUP(C463,$AS$15:$AX$22,6,FALSE()),""))</f>
        <v>0.424872083346704</v>
      </c>
      <c r="H463" s="72" t="str">
        <f aca="false">IFERROR(VLOOKUP(C463,$AS$3:$AY$10,7,FALSE()),IFERROR(VLOOKUP(C463,$AS$15:$AY$22,7,FALSE()),""))</f>
        <v>🟡 AMARELO</v>
      </c>
      <c r="I463" s="72" t="str">
        <f aca="false">IFERROR(VLOOKUP(C463,$AS$3:$AZ$10,8,FALSE()),IFERROR(VLOOKUP(C463,$AS$15:$AZ$22,8,FALSE()),""))</f>
        <v>Sell Out</v>
      </c>
      <c r="J463" s="73"/>
      <c r="K463" s="69" t="s">
        <v>118</v>
      </c>
      <c r="L463" s="74" t="n">
        <v>1432.24</v>
      </c>
      <c r="M463" s="75" t="n">
        <v>100.65</v>
      </c>
      <c r="N463" s="75" t="n">
        <v>105.17</v>
      </c>
      <c r="O463" s="75" t="n">
        <v>107.71</v>
      </c>
      <c r="P463" s="75" t="n">
        <v>110.51</v>
      </c>
      <c r="Q463" s="75" t="n">
        <v>114.13</v>
      </c>
      <c r="R463" s="75" t="n">
        <v>117.12</v>
      </c>
      <c r="S463" s="75" t="n">
        <v>121.65</v>
      </c>
      <c r="T463" s="75" t="n">
        <v>124.63</v>
      </c>
      <c r="U463" s="75" t="n">
        <v>127.44</v>
      </c>
      <c r="V463" s="75" t="n">
        <v>130.61</v>
      </c>
      <c r="W463" s="75" t="n">
        <v>134.05</v>
      </c>
      <c r="X463" s="76" t="n">
        <v>138.57</v>
      </c>
      <c r="Y463" s="77" t="s">
        <v>20</v>
      </c>
      <c r="Z463" s="78" t="n">
        <f aca="false">SUM(AA463:AL463)</f>
        <v>1152</v>
      </c>
      <c r="AA463" s="75"/>
      <c r="AB463" s="75"/>
      <c r="AC463" s="75"/>
      <c r="AD463" s="75"/>
      <c r="AE463" s="75" t="n">
        <v>576</v>
      </c>
      <c r="AF463" s="79" t="n">
        <v>576</v>
      </c>
      <c r="AG463" s="75"/>
      <c r="AH463" s="75"/>
      <c r="AI463" s="75"/>
      <c r="AJ463" s="75"/>
      <c r="AK463" s="75"/>
      <c r="AL463" s="76"/>
      <c r="AM463" s="56" t="s">
        <v>20</v>
      </c>
      <c r="AN463" s="80" t="n">
        <f aca="false">IF(L463=0,0,Z463/L463)</f>
        <v>0.804334469083394</v>
      </c>
      <c r="AO463" s="81" t="str">
        <f aca="false">IF(AN463="","",IF(AN463&gt;=0.9,"🟢",IF(AN463&gt;=0.7,"🟡",IF(AN463&gt;=0.5,"🟠","🔴"))))</f>
        <v>🟡</v>
      </c>
      <c r="AP463" s="82" t="n">
        <f aca="false">IF(L463=0,0,L463-Z463)</f>
        <v>280.24</v>
      </c>
      <c r="AQ463" s="83" t="n">
        <f aca="false">IF(AP463=0,"",RANK(AP463,AP$4:AP$503,0))</f>
        <v>471</v>
      </c>
      <c r="AR463" s="84" t="s">
        <v>20</v>
      </c>
      <c r="AS463" s="141"/>
      <c r="AT463" s="141"/>
      <c r="AU463" s="141"/>
      <c r="AV463" s="141"/>
      <c r="AW463" s="141"/>
      <c r="AX463" s="141"/>
      <c r="AY463" s="142"/>
      <c r="AZ463" s="142"/>
      <c r="BA463" s="56" t="s">
        <v>20</v>
      </c>
      <c r="BB463" s="91" t="n">
        <f aca="false">SUM(L$4:L$503)/COUNTA(A$4:A$503)</f>
        <v>9494.39992</v>
      </c>
      <c r="BC463" s="92" t="n">
        <f aca="false">SUM(M$4:M$503)/COUNTA(A$4:A$503)</f>
        <v>667.20008</v>
      </c>
      <c r="BD463" s="92" t="n">
        <f aca="false">SUM(N$4:N$503)/COUNTA(A$4:A$503)</f>
        <v>697.19996</v>
      </c>
      <c r="BE463" s="92" t="n">
        <f aca="false">SUM(O$4:O$503)/COUNTA(A$4:A$503)</f>
        <v>713.9999</v>
      </c>
      <c r="BF463" s="92" t="n">
        <f aca="false">SUM(P$4:P$503)/COUNTA(A$4:A$503)</f>
        <v>732.59984</v>
      </c>
      <c r="BG463" s="92" t="n">
        <f aca="false">SUM(Q$4:Q$503)/COUNTA(A$4:A$503)</f>
        <v>756.59992</v>
      </c>
      <c r="BH463" s="92" t="n">
        <f aca="false">SUM(R$4:R$503)/COUNTA(A$4:A$503)</f>
        <v>776.40004</v>
      </c>
      <c r="BI463" s="92" t="n">
        <f aca="false">SUM(S$4:S$503)/COUNTA(A$4:A$503)</f>
        <v>806.40012</v>
      </c>
      <c r="BJ463" s="92" t="n">
        <f aca="false">SUM(T$4:T$503)/COUNTA(A$4:A$503)</f>
        <v>826.1999</v>
      </c>
      <c r="BK463" s="92" t="n">
        <f aca="false">SUM(U$4:U$503)/COUNTA(A$4:A$503)</f>
        <v>844.8002</v>
      </c>
      <c r="BL463" s="92" t="n">
        <f aca="false">SUM(V$4:V$503)/COUNTA(A$4:A$503)</f>
        <v>865.7998</v>
      </c>
      <c r="BM463" s="92" t="n">
        <f aca="false">SUM(W$4:W$503)/COUNTA(A$4:A$503)</f>
        <v>888.59982</v>
      </c>
      <c r="BN463" s="93" t="n">
        <f aca="false">SUM(X$4:X$503)/COUNTA(A$4:A$503)</f>
        <v>918.60034</v>
      </c>
      <c r="BO463" s="94" t="s">
        <v>20</v>
      </c>
      <c r="BP463" s="91" t="n">
        <f aca="false">IF(Z463&gt;=BB463,0,IFERROR(BB463+(SUMPRODUCT((Z$4:Z$503&gt;=BB$4:BB$503)*(Z$4:Z$503-BB$4:BB$503))/MAX(1,COUNTIF(Z$4:Z$503,"&lt;"&amp;BB463+0.01))),BB463))</f>
        <v>10695.5432177778</v>
      </c>
      <c r="BQ463" s="92" t="n">
        <f aca="false">IF(AA463&gt;=BC463,0,IFERROR(BC463+SUMPRODUCT((AA$4:AA$503&gt;=BC$4:BC$503)*(AA$4:AA$503-BC$4:BC$503))/MAX(1,COUNTIF(AA$4:AA$503,"&lt;"&amp;BC463+0.01)),BC463))</f>
        <v>2238.46589176471</v>
      </c>
      <c r="BR463" s="92" t="n">
        <f aca="false">IF(AB463&gt;=BD463,0,IFERROR(BD463+SUMPRODUCT((AB$4:AB$503&gt;=BD$4:BD$503)*(AB$4:AB$503-BD$4:BD$503))/MAX(1,COUNTIF(AB$4:AB$503,"&lt;"&amp;BD463+0.01)),BD463))</f>
        <v>3335.2938</v>
      </c>
      <c r="BS463" s="92" t="n">
        <f aca="false">IF(AC463&gt;=BE463,0,IFERROR(BE463+SUMPRODUCT((AC$4:AC$503&gt;=BE$4:BE$503)*(AC$4:AC$503-BE$4:BE$503))/MAX(1,COUNTIF(AC$4:AC$503,"&lt;"&amp;BE463+0.01)),BE463))</f>
        <v>6188.73352</v>
      </c>
      <c r="BT463" s="92" t="n">
        <f aca="false">IF(AD463&gt;=BF463,0,IFERROR(BF463+SUMPRODUCT((AD$4:AD$503&gt;=BF$4:BF$503)*(AD$4:AD$503-BF$4:BF$503))/MAX(1,COUNTIF(AD$4:AD$503,"&lt;"&amp;BF463+0.01)),BF463))</f>
        <v>11354.35411</v>
      </c>
      <c r="BU463" s="92" t="n">
        <f aca="false">IF(AE463&gt;=BG463,0,IFERROR(BG463+SUMPRODUCT((AE$4:AE$503&gt;=BG$4:BG$503)*(AE$4:AE$503-BG$4:BG$503))/MAX(1,COUNTIF(AE$4:AE$503,"&lt;"&amp;BG463+0.01)),BG463))</f>
        <v>7704.85920380952</v>
      </c>
      <c r="BV463" s="92" t="n">
        <f aca="false">IF(AF463&gt;=BH463,0,IFERROR(BH463+SUMPRODUCT((AF$4:AF$503&gt;=BH$4:BH$503)*(AF$4:AF$503-BH$4:BH$503))/MAX(1,COUNTIF(AF$4:AF$503,"&lt;"&amp;BH463+0.01)),BH463))</f>
        <v>9942.6503831579</v>
      </c>
      <c r="BW463" s="92" t="n">
        <f aca="false">IF(AG463&gt;=BI463,0,IFERROR(BI463+SUMPRODUCT((AG$4:AG$503&gt;=BI$4:BI$503)*(AG$4:AG$503-BI$4:BI$503))/MAX(1,COUNTIF(AG$4:AG$503,"&lt;"&amp;BI463+0.01)),BI463))</f>
        <v>9142.15870461538</v>
      </c>
      <c r="BX463" s="92" t="n">
        <f aca="false">IF(AH463&gt;=BJ463,0,IFERROR(BJ463+SUMPRODUCT((AH$4:AH$503&gt;=BJ$4:BJ$503)*(AH$4:AH$503-BJ$4:BJ$503))/MAX(1,COUNTIF(AH$4:AH$503,"&lt;"&amp;BJ463+0.01)),BJ463))</f>
        <v>5621.50263448276</v>
      </c>
      <c r="BY463" s="92" t="n">
        <f aca="false">IF(AI463&gt;=BK463,0,IFERROR(BK463+SUMPRODUCT((AI$4:AI$503&gt;=BK$4:BK$503)*(AI$4:AI$503-BK$4:BK$503))/MAX(1,COUNTIF(AI$4:AI$503,"&lt;"&amp;BK463+0.01)),BK463))</f>
        <v>7878.25652380952</v>
      </c>
      <c r="BZ463" s="92" t="n">
        <f aca="false">IF(AJ463&gt;=BL463,0,IFERROR(BL463+SUMPRODUCT((AJ$4:AJ$503&gt;=BL$4:BL$503)*(AJ$4:AJ$503-BL$4:BL$503))/MAX(1,COUNTIF(AJ$4:AJ$503,"&lt;"&amp;BL463+0.01)),BL463))</f>
        <v>6710.03292307692</v>
      </c>
      <c r="CA463" s="92" t="n">
        <f aca="false">IF(AK463&gt;=BM463,0,IFERROR(BM463+SUMPRODUCT((AK$4:AK$503&gt;=BM$4:BM$503)*(AK$4:AK$503-BM$4:BM$503))/MAX(1,COUNTIF(AK$4:AK$503,"&lt;"&amp;BM463+0.01)),BM463))</f>
        <v>7314.89836842105</v>
      </c>
      <c r="CB463" s="93" t="n">
        <f aca="false">IF(AL463&gt;=BN463,0,IFERROR(BN463+SUMPRODUCT((AL$4:AL$503&gt;=BN$4:BN$503)*(AL$4:AL$503-BN$4:BN$503))/MAX(1,COUNTIF(AL$4:AL$503,"&lt;"&amp;BN463+0.01)),BN463))</f>
        <v>3597.2614925</v>
      </c>
      <c r="CC463" s="95" t="str">
        <f aca="false">IF(AO463="🟢","VERDE",IF(AO463="🟡","AMARELO",IF(AO463="🟠","VERMELHO",IF(AO463="🔴","VERMELHO","ROXO"))))</f>
        <v>AMARELO</v>
      </c>
      <c r="CD463" s="96" t="s">
        <v>103</v>
      </c>
      <c r="CE463" s="96" t="s">
        <v>104</v>
      </c>
    </row>
    <row r="464" customFormat="false" ht="14.25" hidden="false" customHeight="true" outlineLevel="0" collapsed="false">
      <c r="A464" s="65" t="s">
        <v>1061</v>
      </c>
      <c r="B464" s="66" t="s">
        <v>1062</v>
      </c>
      <c r="C464" s="67" t="s">
        <v>113</v>
      </c>
      <c r="D464" s="68" t="s">
        <v>100</v>
      </c>
      <c r="E464" s="69" t="s">
        <v>260</v>
      </c>
      <c r="F464" s="70" t="n">
        <f aca="false">IFERROR(VLOOKUP(C464,$AS$3:$AT$10,2,FALSE()),IFERROR(VLOOKUP(C464,$AS$15:$AT$22,2,FALSE()),""))</f>
        <v>49</v>
      </c>
      <c r="G464" s="71" t="n">
        <f aca="false">IFERROR(VLOOKUP(C464,$AS$3:$AX$10,6,FALSE()),IFERROR(VLOOKUP(C464,$AS$15:$AX$22,6,FALSE()),""))</f>
        <v>0.463965086137302</v>
      </c>
      <c r="H464" s="72" t="str">
        <f aca="false">IFERROR(VLOOKUP(C464,$AS$3:$AY$10,7,FALSE()),IFERROR(VLOOKUP(C464,$AS$15:$AY$22,7,FALSE()),""))</f>
        <v>🟡 AMARELO</v>
      </c>
      <c r="I464" s="72" t="str">
        <f aca="false">IFERROR(VLOOKUP(C464,$AS$3:$AZ$10,8,FALSE()),IFERROR(VLOOKUP(C464,$AS$15:$AZ$22,8,FALSE()),""))</f>
        <v>Sell Out</v>
      </c>
      <c r="J464" s="73"/>
      <c r="K464" s="69" t="s">
        <v>113</v>
      </c>
      <c r="L464" s="74" t="n">
        <v>1407.39</v>
      </c>
      <c r="M464" s="75" t="n">
        <v>98.9</v>
      </c>
      <c r="N464" s="75" t="n">
        <v>103.35</v>
      </c>
      <c r="O464" s="75" t="n">
        <v>105.84</v>
      </c>
      <c r="P464" s="75" t="n">
        <v>108.6</v>
      </c>
      <c r="Q464" s="75" t="n">
        <v>112.15</v>
      </c>
      <c r="R464" s="75" t="n">
        <v>115.09</v>
      </c>
      <c r="S464" s="75" t="n">
        <v>119.53</v>
      </c>
      <c r="T464" s="75" t="n">
        <v>122.47</v>
      </c>
      <c r="U464" s="75" t="n">
        <v>125.23</v>
      </c>
      <c r="V464" s="75" t="n">
        <v>128.34</v>
      </c>
      <c r="W464" s="75" t="n">
        <v>131.72</v>
      </c>
      <c r="X464" s="76" t="n">
        <v>136.17</v>
      </c>
      <c r="Y464" s="77" t="s">
        <v>20</v>
      </c>
      <c r="Z464" s="78" t="n">
        <f aca="false">SUM(AA464:AL464)</f>
        <v>668.57</v>
      </c>
      <c r="AA464" s="75"/>
      <c r="AB464" s="75"/>
      <c r="AC464" s="75"/>
      <c r="AD464" s="75"/>
      <c r="AE464" s="75"/>
      <c r="AF464" s="75"/>
      <c r="AG464" s="75"/>
      <c r="AH464" s="75"/>
      <c r="AI464" s="79" t="n">
        <v>668.57</v>
      </c>
      <c r="AJ464" s="75"/>
      <c r="AK464" s="75"/>
      <c r="AL464" s="76"/>
      <c r="AM464" s="56" t="s">
        <v>20</v>
      </c>
      <c r="AN464" s="80" t="n">
        <f aca="false">IF(L464=0,0,Z464/L464)</f>
        <v>0.475042454472463</v>
      </c>
      <c r="AO464" s="81" t="str">
        <f aca="false">IF(AN464="","",IF(AN464&gt;=0.9,"🟢",IF(AN464&gt;=0.7,"🟡",IF(AN464&gt;=0.5,"🟠","🔴"))))</f>
        <v>🔴</v>
      </c>
      <c r="AP464" s="82" t="n">
        <f aca="false">IF(L464=0,0,L464-Z464)</f>
        <v>738.82</v>
      </c>
      <c r="AQ464" s="83" t="n">
        <f aca="false">IF(AP464=0,"",RANK(AP464,AP$4:AP$503,0))</f>
        <v>426</v>
      </c>
      <c r="AR464" s="84" t="s">
        <v>20</v>
      </c>
      <c r="AS464" s="141"/>
      <c r="AT464" s="141"/>
      <c r="AU464" s="141"/>
      <c r="AV464" s="141"/>
      <c r="AW464" s="141"/>
      <c r="AX464" s="141"/>
      <c r="AY464" s="142"/>
      <c r="AZ464" s="142"/>
      <c r="BA464" s="56" t="s">
        <v>20</v>
      </c>
      <c r="BB464" s="91" t="n">
        <f aca="false">SUM(L$4:L$503)/COUNTA(A$4:A$503)</f>
        <v>9494.39992</v>
      </c>
      <c r="BC464" s="92" t="n">
        <f aca="false">SUM(M$4:M$503)/COUNTA(A$4:A$503)</f>
        <v>667.20008</v>
      </c>
      <c r="BD464" s="92" t="n">
        <f aca="false">SUM(N$4:N$503)/COUNTA(A$4:A$503)</f>
        <v>697.19996</v>
      </c>
      <c r="BE464" s="92" t="n">
        <f aca="false">SUM(O$4:O$503)/COUNTA(A$4:A$503)</f>
        <v>713.9999</v>
      </c>
      <c r="BF464" s="92" t="n">
        <f aca="false">SUM(P$4:P$503)/COUNTA(A$4:A$503)</f>
        <v>732.59984</v>
      </c>
      <c r="BG464" s="92" t="n">
        <f aca="false">SUM(Q$4:Q$503)/COUNTA(A$4:A$503)</f>
        <v>756.59992</v>
      </c>
      <c r="BH464" s="92" t="n">
        <f aca="false">SUM(R$4:R$503)/COUNTA(A$4:A$503)</f>
        <v>776.40004</v>
      </c>
      <c r="BI464" s="92" t="n">
        <f aca="false">SUM(S$4:S$503)/COUNTA(A$4:A$503)</f>
        <v>806.40012</v>
      </c>
      <c r="BJ464" s="92" t="n">
        <f aca="false">SUM(T$4:T$503)/COUNTA(A$4:A$503)</f>
        <v>826.1999</v>
      </c>
      <c r="BK464" s="92" t="n">
        <f aca="false">SUM(U$4:U$503)/COUNTA(A$4:A$503)</f>
        <v>844.8002</v>
      </c>
      <c r="BL464" s="92" t="n">
        <f aca="false">SUM(V$4:V$503)/COUNTA(A$4:A$503)</f>
        <v>865.7998</v>
      </c>
      <c r="BM464" s="92" t="n">
        <f aca="false">SUM(W$4:W$503)/COUNTA(A$4:A$503)</f>
        <v>888.59982</v>
      </c>
      <c r="BN464" s="93" t="n">
        <f aca="false">SUM(X$4:X$503)/COUNTA(A$4:A$503)</f>
        <v>918.60034</v>
      </c>
      <c r="BO464" s="94" t="s">
        <v>20</v>
      </c>
      <c r="BP464" s="91" t="n">
        <f aca="false">IF(Z464&gt;=BB464,0,IFERROR(BB464+(SUMPRODUCT((Z$4:Z$503&gt;=BB$4:BB$503)*(Z$4:Z$503-BB$4:BB$503))/MAX(1,COUNTIF(Z$4:Z$503,"&lt;"&amp;BB464+0.01))),BB464))</f>
        <v>10695.5432177778</v>
      </c>
      <c r="BQ464" s="92" t="n">
        <f aca="false">IF(AA464&gt;=BC464,0,IFERROR(BC464+SUMPRODUCT((AA$4:AA$503&gt;=BC$4:BC$503)*(AA$4:AA$503-BC$4:BC$503))/MAX(1,COUNTIF(AA$4:AA$503,"&lt;"&amp;BC464+0.01)),BC464))</f>
        <v>2238.46589176471</v>
      </c>
      <c r="BR464" s="92" t="n">
        <f aca="false">IF(AB464&gt;=BD464,0,IFERROR(BD464+SUMPRODUCT((AB$4:AB$503&gt;=BD$4:BD$503)*(AB$4:AB$503-BD$4:BD$503))/MAX(1,COUNTIF(AB$4:AB$503,"&lt;"&amp;BD464+0.01)),BD464))</f>
        <v>3335.2938</v>
      </c>
      <c r="BS464" s="92" t="n">
        <f aca="false">IF(AC464&gt;=BE464,0,IFERROR(BE464+SUMPRODUCT((AC$4:AC$503&gt;=BE$4:BE$503)*(AC$4:AC$503-BE$4:BE$503))/MAX(1,COUNTIF(AC$4:AC$503,"&lt;"&amp;BE464+0.01)),BE464))</f>
        <v>6188.73352</v>
      </c>
      <c r="BT464" s="92" t="n">
        <f aca="false">IF(AD464&gt;=BF464,0,IFERROR(BF464+SUMPRODUCT((AD$4:AD$503&gt;=BF$4:BF$503)*(AD$4:AD$503-BF$4:BF$503))/MAX(1,COUNTIF(AD$4:AD$503,"&lt;"&amp;BF464+0.01)),BF464))</f>
        <v>11354.35411</v>
      </c>
      <c r="BU464" s="92" t="n">
        <f aca="false">IF(AE464&gt;=BG464,0,IFERROR(BG464+SUMPRODUCT((AE$4:AE$503&gt;=BG$4:BG$503)*(AE$4:AE$503-BG$4:BG$503))/MAX(1,COUNTIF(AE$4:AE$503,"&lt;"&amp;BG464+0.01)),BG464))</f>
        <v>7704.85920380952</v>
      </c>
      <c r="BV464" s="92" t="n">
        <f aca="false">IF(AF464&gt;=BH464,0,IFERROR(BH464+SUMPRODUCT((AF$4:AF$503&gt;=BH$4:BH$503)*(AF$4:AF$503-BH$4:BH$503))/MAX(1,COUNTIF(AF$4:AF$503,"&lt;"&amp;BH464+0.01)),BH464))</f>
        <v>9942.6503831579</v>
      </c>
      <c r="BW464" s="92" t="n">
        <f aca="false">IF(AG464&gt;=BI464,0,IFERROR(BI464+SUMPRODUCT((AG$4:AG$503&gt;=BI$4:BI$503)*(AG$4:AG$503-BI$4:BI$503))/MAX(1,COUNTIF(AG$4:AG$503,"&lt;"&amp;BI464+0.01)),BI464))</f>
        <v>9142.15870461538</v>
      </c>
      <c r="BX464" s="92" t="n">
        <f aca="false">IF(AH464&gt;=BJ464,0,IFERROR(BJ464+SUMPRODUCT((AH$4:AH$503&gt;=BJ$4:BJ$503)*(AH$4:AH$503-BJ$4:BJ$503))/MAX(1,COUNTIF(AH$4:AH$503,"&lt;"&amp;BJ464+0.01)),BJ464))</f>
        <v>5621.50263448276</v>
      </c>
      <c r="BY464" s="92" t="n">
        <f aca="false">IF(AI464&gt;=BK464,0,IFERROR(BK464+SUMPRODUCT((AI$4:AI$503&gt;=BK$4:BK$503)*(AI$4:AI$503-BK$4:BK$503))/MAX(1,COUNTIF(AI$4:AI$503,"&lt;"&amp;BK464+0.01)),BK464))</f>
        <v>7878.25652380952</v>
      </c>
      <c r="BZ464" s="92" t="n">
        <f aca="false">IF(AJ464&gt;=BL464,0,IFERROR(BL464+SUMPRODUCT((AJ$4:AJ$503&gt;=BL$4:BL$503)*(AJ$4:AJ$503-BL$4:BL$503))/MAX(1,COUNTIF(AJ$4:AJ$503,"&lt;"&amp;BL464+0.01)),BL464))</f>
        <v>6710.03292307692</v>
      </c>
      <c r="CA464" s="92" t="n">
        <f aca="false">IF(AK464&gt;=BM464,0,IFERROR(BM464+SUMPRODUCT((AK$4:AK$503&gt;=BM$4:BM$503)*(AK$4:AK$503-BM$4:BM$503))/MAX(1,COUNTIF(AK$4:AK$503,"&lt;"&amp;BM464+0.01)),BM464))</f>
        <v>7314.89836842105</v>
      </c>
      <c r="CB464" s="93" t="n">
        <f aca="false">IF(AL464&gt;=BN464,0,IFERROR(BN464+SUMPRODUCT((AL$4:AL$503&gt;=BN$4:BN$503)*(AL$4:AL$503-BN$4:BN$503))/MAX(1,COUNTIF(AL$4:AL$503,"&lt;"&amp;BN464+0.01)),BN464))</f>
        <v>3597.2614925</v>
      </c>
      <c r="CC464" s="95" t="str">
        <f aca="false">IF(AO464="🟢","VERDE",IF(AO464="🟡","AMARELO",IF(AO464="🟠","VERMELHO",IF(AO464="🔴","VERMELHO","ROXO"))))</f>
        <v>VERMELHO</v>
      </c>
      <c r="CD464" s="96" t="s">
        <v>103</v>
      </c>
      <c r="CE464" s="96" t="s">
        <v>104</v>
      </c>
    </row>
    <row r="465" customFormat="false" ht="14.25" hidden="false" customHeight="true" outlineLevel="0" collapsed="false">
      <c r="A465" s="65" t="s">
        <v>1063</v>
      </c>
      <c r="B465" s="66" t="s">
        <v>1064</v>
      </c>
      <c r="C465" s="67" t="s">
        <v>107</v>
      </c>
      <c r="D465" s="68" t="s">
        <v>108</v>
      </c>
      <c r="E465" s="69" t="s">
        <v>196</v>
      </c>
      <c r="F465" s="70" t="n">
        <f aca="false">IFERROR(VLOOKUP(C465,$AS$3:$AT$10,2,FALSE()),IFERROR(VLOOKUP(C465,$AS$15:$AT$22,2,FALSE()),""))</f>
        <v>132</v>
      </c>
      <c r="G465" s="71" t="n">
        <f aca="false">IFERROR(VLOOKUP(C465,$AS$3:$AX$10,6,FALSE()),IFERROR(VLOOKUP(C465,$AS$15:$AX$22,6,FALSE()),""))</f>
        <v>0.468190175850689</v>
      </c>
      <c r="H465" s="72" t="str">
        <f aca="false">IFERROR(VLOOKUP(C465,$AS$3:$AY$10,7,FALSE()),IFERROR(VLOOKUP(C465,$AS$15:$AY$22,7,FALSE()),""))</f>
        <v>🟡 AMARELO</v>
      </c>
      <c r="I465" s="72" t="str">
        <f aca="false">IFERROR(VLOOKUP(C465,$AS$3:$AZ$10,8,FALSE()),IFERROR(VLOOKUP(C465,$AS$15:$AZ$22,8,FALSE()),""))</f>
        <v>Sell Out</v>
      </c>
      <c r="J465" s="73"/>
      <c r="K465" s="69" t="s">
        <v>107</v>
      </c>
      <c r="L465" s="74" t="n">
        <v>1395.54</v>
      </c>
      <c r="M465" s="75" t="n">
        <v>98.07</v>
      </c>
      <c r="N465" s="75" t="n">
        <v>102.48</v>
      </c>
      <c r="O465" s="75" t="n">
        <v>104.95</v>
      </c>
      <c r="P465" s="75" t="n">
        <v>107.68</v>
      </c>
      <c r="Q465" s="75" t="n">
        <v>111.21</v>
      </c>
      <c r="R465" s="75" t="n">
        <v>114.12</v>
      </c>
      <c r="S465" s="75" t="n">
        <v>118.53</v>
      </c>
      <c r="T465" s="75" t="n">
        <v>121.44</v>
      </c>
      <c r="U465" s="75" t="n">
        <v>124.17</v>
      </c>
      <c r="V465" s="75" t="n">
        <v>127.26</v>
      </c>
      <c r="W465" s="75" t="n">
        <v>130.61</v>
      </c>
      <c r="X465" s="76" t="n">
        <v>135.02</v>
      </c>
      <c r="Y465" s="77" t="s">
        <v>20</v>
      </c>
      <c r="Z465" s="78" t="n">
        <f aca="false">SUM(AA465:AL465)</f>
        <v>568.6</v>
      </c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6" t="n">
        <v>568.6</v>
      </c>
      <c r="AM465" s="56" t="s">
        <v>20</v>
      </c>
      <c r="AN465" s="80" t="n">
        <f aca="false">IF(L465=0,0,Z465/L465)</f>
        <v>0.407440847270591</v>
      </c>
      <c r="AO465" s="81" t="str">
        <f aca="false">IF(AN465="","",IF(AN465&gt;=0.9,"🟢",IF(AN465&gt;=0.7,"🟡",IF(AN465&gt;=0.5,"🟠","🔴"))))</f>
        <v>🔴</v>
      </c>
      <c r="AP465" s="82" t="n">
        <f aca="false">IF(L465=0,0,L465-Z465)</f>
        <v>826.94</v>
      </c>
      <c r="AQ465" s="83" t="n">
        <f aca="false">IF(AP465=0,"",RANK(AP465,AP$4:AP$503,0))</f>
        <v>417</v>
      </c>
      <c r="AR465" s="84" t="s">
        <v>20</v>
      </c>
      <c r="AS465" s="141"/>
      <c r="AT465" s="141"/>
      <c r="AU465" s="141"/>
      <c r="AV465" s="141"/>
      <c r="AW465" s="141"/>
      <c r="AX465" s="141"/>
      <c r="AY465" s="142"/>
      <c r="AZ465" s="142"/>
      <c r="BA465" s="56" t="s">
        <v>20</v>
      </c>
      <c r="BB465" s="91" t="n">
        <f aca="false">SUM(L$4:L$503)/COUNTA(A$4:A$503)</f>
        <v>9494.39992</v>
      </c>
      <c r="BC465" s="92" t="n">
        <f aca="false">SUM(M$4:M$503)/COUNTA(A$4:A$503)</f>
        <v>667.20008</v>
      </c>
      <c r="BD465" s="92" t="n">
        <f aca="false">SUM(N$4:N$503)/COUNTA(A$4:A$503)</f>
        <v>697.19996</v>
      </c>
      <c r="BE465" s="92" t="n">
        <f aca="false">SUM(O$4:O$503)/COUNTA(A$4:A$503)</f>
        <v>713.9999</v>
      </c>
      <c r="BF465" s="92" t="n">
        <f aca="false">SUM(P$4:P$503)/COUNTA(A$4:A$503)</f>
        <v>732.59984</v>
      </c>
      <c r="BG465" s="92" t="n">
        <f aca="false">SUM(Q$4:Q$503)/COUNTA(A$4:A$503)</f>
        <v>756.59992</v>
      </c>
      <c r="BH465" s="92" t="n">
        <f aca="false">SUM(R$4:R$503)/COUNTA(A$4:A$503)</f>
        <v>776.40004</v>
      </c>
      <c r="BI465" s="92" t="n">
        <f aca="false">SUM(S$4:S$503)/COUNTA(A$4:A$503)</f>
        <v>806.40012</v>
      </c>
      <c r="BJ465" s="92" t="n">
        <f aca="false">SUM(T$4:T$503)/COUNTA(A$4:A$503)</f>
        <v>826.1999</v>
      </c>
      <c r="BK465" s="92" t="n">
        <f aca="false">SUM(U$4:U$503)/COUNTA(A$4:A$503)</f>
        <v>844.8002</v>
      </c>
      <c r="BL465" s="92" t="n">
        <f aca="false">SUM(V$4:V$503)/COUNTA(A$4:A$503)</f>
        <v>865.7998</v>
      </c>
      <c r="BM465" s="92" t="n">
        <f aca="false">SUM(W$4:W$503)/COUNTA(A$4:A$503)</f>
        <v>888.59982</v>
      </c>
      <c r="BN465" s="93" t="n">
        <f aca="false">SUM(X$4:X$503)/COUNTA(A$4:A$503)</f>
        <v>918.60034</v>
      </c>
      <c r="BO465" s="94" t="s">
        <v>20</v>
      </c>
      <c r="BP465" s="91" t="n">
        <f aca="false">IF(Z465&gt;=BB465,0,IFERROR(BB465+(SUMPRODUCT((Z$4:Z$503&gt;=BB$4:BB$503)*(Z$4:Z$503-BB$4:BB$503))/MAX(1,COUNTIF(Z$4:Z$503,"&lt;"&amp;BB465+0.01))),BB465))</f>
        <v>10695.5432177778</v>
      </c>
      <c r="BQ465" s="92" t="n">
        <f aca="false">IF(AA465&gt;=BC465,0,IFERROR(BC465+SUMPRODUCT((AA$4:AA$503&gt;=BC$4:BC$503)*(AA$4:AA$503-BC$4:BC$503))/MAX(1,COUNTIF(AA$4:AA$503,"&lt;"&amp;BC465+0.01)),BC465))</f>
        <v>2238.46589176471</v>
      </c>
      <c r="BR465" s="92" t="n">
        <f aca="false">IF(AB465&gt;=BD465,0,IFERROR(BD465+SUMPRODUCT((AB$4:AB$503&gt;=BD$4:BD$503)*(AB$4:AB$503-BD$4:BD$503))/MAX(1,COUNTIF(AB$4:AB$503,"&lt;"&amp;BD465+0.01)),BD465))</f>
        <v>3335.2938</v>
      </c>
      <c r="BS465" s="92" t="n">
        <f aca="false">IF(AC465&gt;=BE465,0,IFERROR(BE465+SUMPRODUCT((AC$4:AC$503&gt;=BE$4:BE$503)*(AC$4:AC$503-BE$4:BE$503))/MAX(1,COUNTIF(AC$4:AC$503,"&lt;"&amp;BE465+0.01)),BE465))</f>
        <v>6188.73352</v>
      </c>
      <c r="BT465" s="92" t="n">
        <f aca="false">IF(AD465&gt;=BF465,0,IFERROR(BF465+SUMPRODUCT((AD$4:AD$503&gt;=BF$4:BF$503)*(AD$4:AD$503-BF$4:BF$503))/MAX(1,COUNTIF(AD$4:AD$503,"&lt;"&amp;BF465+0.01)),BF465))</f>
        <v>11354.35411</v>
      </c>
      <c r="BU465" s="92" t="n">
        <f aca="false">IF(AE465&gt;=BG465,0,IFERROR(BG465+SUMPRODUCT((AE$4:AE$503&gt;=BG$4:BG$503)*(AE$4:AE$503-BG$4:BG$503))/MAX(1,COUNTIF(AE$4:AE$503,"&lt;"&amp;BG465+0.01)),BG465))</f>
        <v>7704.85920380952</v>
      </c>
      <c r="BV465" s="92" t="n">
        <f aca="false">IF(AF465&gt;=BH465,0,IFERROR(BH465+SUMPRODUCT((AF$4:AF$503&gt;=BH$4:BH$503)*(AF$4:AF$503-BH$4:BH$503))/MAX(1,COUNTIF(AF$4:AF$503,"&lt;"&amp;BH465+0.01)),BH465))</f>
        <v>9942.6503831579</v>
      </c>
      <c r="BW465" s="92" t="n">
        <f aca="false">IF(AG465&gt;=BI465,0,IFERROR(BI465+SUMPRODUCT((AG$4:AG$503&gt;=BI$4:BI$503)*(AG$4:AG$503-BI$4:BI$503))/MAX(1,COUNTIF(AG$4:AG$503,"&lt;"&amp;BI465+0.01)),BI465))</f>
        <v>9142.15870461538</v>
      </c>
      <c r="BX465" s="92" t="n">
        <f aca="false">IF(AH465&gt;=BJ465,0,IFERROR(BJ465+SUMPRODUCT((AH$4:AH$503&gt;=BJ$4:BJ$503)*(AH$4:AH$503-BJ$4:BJ$503))/MAX(1,COUNTIF(AH$4:AH$503,"&lt;"&amp;BJ465+0.01)),BJ465))</f>
        <v>5621.50263448276</v>
      </c>
      <c r="BY465" s="92" t="n">
        <f aca="false">IF(AI465&gt;=BK465,0,IFERROR(BK465+SUMPRODUCT((AI$4:AI$503&gt;=BK$4:BK$503)*(AI$4:AI$503-BK$4:BK$503))/MAX(1,COUNTIF(AI$4:AI$503,"&lt;"&amp;BK465+0.01)),BK465))</f>
        <v>7878.25652380952</v>
      </c>
      <c r="BZ465" s="92" t="n">
        <f aca="false">IF(AJ465&gt;=BL465,0,IFERROR(BL465+SUMPRODUCT((AJ$4:AJ$503&gt;=BL$4:BL$503)*(AJ$4:AJ$503-BL$4:BL$503))/MAX(1,COUNTIF(AJ$4:AJ$503,"&lt;"&amp;BL465+0.01)),BL465))</f>
        <v>6710.03292307692</v>
      </c>
      <c r="CA465" s="92" t="n">
        <f aca="false">IF(AK465&gt;=BM465,0,IFERROR(BM465+SUMPRODUCT((AK$4:AK$503&gt;=BM$4:BM$503)*(AK$4:AK$503-BM$4:BM$503))/MAX(1,COUNTIF(AK$4:AK$503,"&lt;"&amp;BM465+0.01)),BM465))</f>
        <v>7314.89836842105</v>
      </c>
      <c r="CB465" s="93" t="n">
        <f aca="false">IF(AL465&gt;=BN465,0,IFERROR(BN465+SUMPRODUCT((AL$4:AL$503&gt;=BN$4:BN$503)*(AL$4:AL$503-BN$4:BN$503))/MAX(1,COUNTIF(AL$4:AL$503,"&lt;"&amp;BN465+0.01)),BN465))</f>
        <v>3597.2614925</v>
      </c>
      <c r="CC465" s="95" t="str">
        <f aca="false">IF(AO465="🟢","VERDE",IF(AO465="🟡","AMARELO",IF(AO465="🟠","VERMELHO",IF(AO465="🔴","VERMELHO","ROXO"))))</f>
        <v>VERMELHO</v>
      </c>
      <c r="CD465" s="96" t="s">
        <v>103</v>
      </c>
      <c r="CE465" s="96" t="s">
        <v>104</v>
      </c>
    </row>
    <row r="466" customFormat="false" ht="14.25" hidden="false" customHeight="true" outlineLevel="0" collapsed="false">
      <c r="A466" s="65" t="s">
        <v>1065</v>
      </c>
      <c r="B466" s="66" t="s">
        <v>1066</v>
      </c>
      <c r="C466" s="67" t="s">
        <v>118</v>
      </c>
      <c r="D466" s="68" t="s">
        <v>100</v>
      </c>
      <c r="E466" s="69" t="s">
        <v>119</v>
      </c>
      <c r="F466" s="70" t="n">
        <f aca="false">IFERROR(VLOOKUP(C466,$AS$3:$AT$10,2,FALSE()),IFERROR(VLOOKUP(C466,$AS$15:$AT$22,2,FALSE()),""))</f>
        <v>42</v>
      </c>
      <c r="G466" s="71" t="n">
        <f aca="false">IFERROR(VLOOKUP(C466,$AS$3:$AX$10,6,FALSE()),IFERROR(VLOOKUP(C466,$AS$15:$AX$22,6,FALSE()),""))</f>
        <v>0.424872083346704</v>
      </c>
      <c r="H466" s="72" t="str">
        <f aca="false">IFERROR(VLOOKUP(C466,$AS$3:$AY$10,7,FALSE()),IFERROR(VLOOKUP(C466,$AS$15:$AY$22,7,FALSE()),""))</f>
        <v>🟡 AMARELO</v>
      </c>
      <c r="I466" s="72" t="str">
        <f aca="false">IFERROR(VLOOKUP(C466,$AS$3:$AZ$10,8,FALSE()),IFERROR(VLOOKUP(C466,$AS$15:$AZ$22,8,FALSE()),""))</f>
        <v>Sell Out</v>
      </c>
      <c r="J466" s="73"/>
      <c r="K466" s="69" t="s">
        <v>118</v>
      </c>
      <c r="L466" s="74" t="n">
        <v>1358.95</v>
      </c>
      <c r="M466" s="75" t="n">
        <v>95.5</v>
      </c>
      <c r="N466" s="75" t="n">
        <v>99.79</v>
      </c>
      <c r="O466" s="75" t="n">
        <v>102.2</v>
      </c>
      <c r="P466" s="75" t="n">
        <v>104.86</v>
      </c>
      <c r="Q466" s="75" t="n">
        <v>108.29</v>
      </c>
      <c r="R466" s="75" t="n">
        <v>111.13</v>
      </c>
      <c r="S466" s="75" t="n">
        <v>115.42</v>
      </c>
      <c r="T466" s="75" t="n">
        <v>118.25</v>
      </c>
      <c r="U466" s="75" t="n">
        <v>120.92</v>
      </c>
      <c r="V466" s="75" t="n">
        <v>123.92</v>
      </c>
      <c r="W466" s="75" t="n">
        <v>127.19</v>
      </c>
      <c r="X466" s="76" t="n">
        <v>131.48</v>
      </c>
      <c r="Y466" s="77" t="s">
        <v>20</v>
      </c>
      <c r="Z466" s="78" t="n">
        <f aca="false">SUM(AA466:AL466)</f>
        <v>663.8</v>
      </c>
      <c r="AA466" s="75"/>
      <c r="AB466" s="75"/>
      <c r="AC466" s="75"/>
      <c r="AD466" s="75"/>
      <c r="AE466" s="75"/>
      <c r="AF466" s="75"/>
      <c r="AG466" s="75"/>
      <c r="AH466" s="75"/>
      <c r="AI466" s="75"/>
      <c r="AJ466" s="79" t="n">
        <v>663.8</v>
      </c>
      <c r="AK466" s="75"/>
      <c r="AL466" s="76"/>
      <c r="AM466" s="56" t="s">
        <v>20</v>
      </c>
      <c r="AN466" s="80" t="n">
        <f aca="false">IF(L466=0,0,Z466/L466)</f>
        <v>0.488465359284742</v>
      </c>
      <c r="AO466" s="81" t="str">
        <f aca="false">IF(AN466="","",IF(AN466&gt;=0.9,"🟢",IF(AN466&gt;=0.7,"🟡",IF(AN466&gt;=0.5,"🟠","🔴"))))</f>
        <v>🔴</v>
      </c>
      <c r="AP466" s="82" t="n">
        <f aca="false">IF(L466=0,0,L466-Z466)</f>
        <v>695.15</v>
      </c>
      <c r="AQ466" s="83" t="n">
        <f aca="false">IF(AP466=0,"",RANK(AP466,AP$4:AP$503,0))</f>
        <v>429</v>
      </c>
      <c r="AR466" s="84" t="s">
        <v>20</v>
      </c>
      <c r="AS466" s="141"/>
      <c r="AT466" s="141"/>
      <c r="AU466" s="141"/>
      <c r="AV466" s="141"/>
      <c r="AW466" s="141"/>
      <c r="AX466" s="141"/>
      <c r="AY466" s="142"/>
      <c r="AZ466" s="142"/>
      <c r="BA466" s="56" t="s">
        <v>20</v>
      </c>
      <c r="BB466" s="91" t="n">
        <f aca="false">SUM(L$4:L$503)/COUNTA(A$4:A$503)</f>
        <v>9494.39992</v>
      </c>
      <c r="BC466" s="92" t="n">
        <f aca="false">SUM(M$4:M$503)/COUNTA(A$4:A$503)</f>
        <v>667.20008</v>
      </c>
      <c r="BD466" s="92" t="n">
        <f aca="false">SUM(N$4:N$503)/COUNTA(A$4:A$503)</f>
        <v>697.19996</v>
      </c>
      <c r="BE466" s="92" t="n">
        <f aca="false">SUM(O$4:O$503)/COUNTA(A$4:A$503)</f>
        <v>713.9999</v>
      </c>
      <c r="BF466" s="92" t="n">
        <f aca="false">SUM(P$4:P$503)/COUNTA(A$4:A$503)</f>
        <v>732.59984</v>
      </c>
      <c r="BG466" s="92" t="n">
        <f aca="false">SUM(Q$4:Q$503)/COUNTA(A$4:A$503)</f>
        <v>756.59992</v>
      </c>
      <c r="BH466" s="92" t="n">
        <f aca="false">SUM(R$4:R$503)/COUNTA(A$4:A$503)</f>
        <v>776.40004</v>
      </c>
      <c r="BI466" s="92" t="n">
        <f aca="false">SUM(S$4:S$503)/COUNTA(A$4:A$503)</f>
        <v>806.40012</v>
      </c>
      <c r="BJ466" s="92" t="n">
        <f aca="false">SUM(T$4:T$503)/COUNTA(A$4:A$503)</f>
        <v>826.1999</v>
      </c>
      <c r="BK466" s="92" t="n">
        <f aca="false">SUM(U$4:U$503)/COUNTA(A$4:A$503)</f>
        <v>844.8002</v>
      </c>
      <c r="BL466" s="92" t="n">
        <f aca="false">SUM(V$4:V$503)/COUNTA(A$4:A$503)</f>
        <v>865.7998</v>
      </c>
      <c r="BM466" s="92" t="n">
        <f aca="false">SUM(W$4:W$503)/COUNTA(A$4:A$503)</f>
        <v>888.59982</v>
      </c>
      <c r="BN466" s="93" t="n">
        <f aca="false">SUM(X$4:X$503)/COUNTA(A$4:A$503)</f>
        <v>918.60034</v>
      </c>
      <c r="BO466" s="94" t="s">
        <v>20</v>
      </c>
      <c r="BP466" s="91" t="n">
        <f aca="false">IF(Z466&gt;=BB466,0,IFERROR(BB466+(SUMPRODUCT((Z$4:Z$503&gt;=BB$4:BB$503)*(Z$4:Z$503-BB$4:BB$503))/MAX(1,COUNTIF(Z$4:Z$503,"&lt;"&amp;BB466+0.01))),BB466))</f>
        <v>10695.5432177778</v>
      </c>
      <c r="BQ466" s="92" t="n">
        <f aca="false">IF(AA466&gt;=BC466,0,IFERROR(BC466+SUMPRODUCT((AA$4:AA$503&gt;=BC$4:BC$503)*(AA$4:AA$503-BC$4:BC$503))/MAX(1,COUNTIF(AA$4:AA$503,"&lt;"&amp;BC466+0.01)),BC466))</f>
        <v>2238.46589176471</v>
      </c>
      <c r="BR466" s="92" t="n">
        <f aca="false">IF(AB466&gt;=BD466,0,IFERROR(BD466+SUMPRODUCT((AB$4:AB$503&gt;=BD$4:BD$503)*(AB$4:AB$503-BD$4:BD$503))/MAX(1,COUNTIF(AB$4:AB$503,"&lt;"&amp;BD466+0.01)),BD466))</f>
        <v>3335.2938</v>
      </c>
      <c r="BS466" s="92" t="n">
        <f aca="false">IF(AC466&gt;=BE466,0,IFERROR(BE466+SUMPRODUCT((AC$4:AC$503&gt;=BE$4:BE$503)*(AC$4:AC$503-BE$4:BE$503))/MAX(1,COUNTIF(AC$4:AC$503,"&lt;"&amp;BE466+0.01)),BE466))</f>
        <v>6188.73352</v>
      </c>
      <c r="BT466" s="92" t="n">
        <f aca="false">IF(AD466&gt;=BF466,0,IFERROR(BF466+SUMPRODUCT((AD$4:AD$503&gt;=BF$4:BF$503)*(AD$4:AD$503-BF$4:BF$503))/MAX(1,COUNTIF(AD$4:AD$503,"&lt;"&amp;BF466+0.01)),BF466))</f>
        <v>11354.35411</v>
      </c>
      <c r="BU466" s="92" t="n">
        <f aca="false">IF(AE466&gt;=BG466,0,IFERROR(BG466+SUMPRODUCT((AE$4:AE$503&gt;=BG$4:BG$503)*(AE$4:AE$503-BG$4:BG$503))/MAX(1,COUNTIF(AE$4:AE$503,"&lt;"&amp;BG466+0.01)),BG466))</f>
        <v>7704.85920380952</v>
      </c>
      <c r="BV466" s="92" t="n">
        <f aca="false">IF(AF466&gt;=BH466,0,IFERROR(BH466+SUMPRODUCT((AF$4:AF$503&gt;=BH$4:BH$503)*(AF$4:AF$503-BH$4:BH$503))/MAX(1,COUNTIF(AF$4:AF$503,"&lt;"&amp;BH466+0.01)),BH466))</f>
        <v>9942.6503831579</v>
      </c>
      <c r="BW466" s="92" t="n">
        <f aca="false">IF(AG466&gt;=BI466,0,IFERROR(BI466+SUMPRODUCT((AG$4:AG$503&gt;=BI$4:BI$503)*(AG$4:AG$503-BI$4:BI$503))/MAX(1,COUNTIF(AG$4:AG$503,"&lt;"&amp;BI466+0.01)),BI466))</f>
        <v>9142.15870461538</v>
      </c>
      <c r="BX466" s="92" t="n">
        <f aca="false">IF(AH466&gt;=BJ466,0,IFERROR(BJ466+SUMPRODUCT((AH$4:AH$503&gt;=BJ$4:BJ$503)*(AH$4:AH$503-BJ$4:BJ$503))/MAX(1,COUNTIF(AH$4:AH$503,"&lt;"&amp;BJ466+0.01)),BJ466))</f>
        <v>5621.50263448276</v>
      </c>
      <c r="BY466" s="92" t="n">
        <f aca="false">IF(AI466&gt;=BK466,0,IFERROR(BK466+SUMPRODUCT((AI$4:AI$503&gt;=BK$4:BK$503)*(AI$4:AI$503-BK$4:BK$503))/MAX(1,COUNTIF(AI$4:AI$503,"&lt;"&amp;BK466+0.01)),BK466))</f>
        <v>7878.25652380952</v>
      </c>
      <c r="BZ466" s="92" t="n">
        <f aca="false">IF(AJ466&gt;=BL466,0,IFERROR(BL466+SUMPRODUCT((AJ$4:AJ$503&gt;=BL$4:BL$503)*(AJ$4:AJ$503-BL$4:BL$503))/MAX(1,COUNTIF(AJ$4:AJ$503,"&lt;"&amp;BL466+0.01)),BL466))</f>
        <v>6710.03292307692</v>
      </c>
      <c r="CA466" s="92" t="n">
        <f aca="false">IF(AK466&gt;=BM466,0,IFERROR(BM466+SUMPRODUCT((AK$4:AK$503&gt;=BM$4:BM$503)*(AK$4:AK$503-BM$4:BM$503))/MAX(1,COUNTIF(AK$4:AK$503,"&lt;"&amp;BM466+0.01)),BM466))</f>
        <v>7314.89836842105</v>
      </c>
      <c r="CB466" s="93" t="n">
        <f aca="false">IF(AL466&gt;=BN466,0,IFERROR(BN466+SUMPRODUCT((AL$4:AL$503&gt;=BN$4:BN$503)*(AL$4:AL$503-BN$4:BN$503))/MAX(1,COUNTIF(AL$4:AL$503,"&lt;"&amp;BN466+0.01)),BN466))</f>
        <v>3597.2614925</v>
      </c>
      <c r="CC466" s="95" t="str">
        <f aca="false">IF(AO466="🟢","VERDE",IF(AO466="🟡","AMARELO",IF(AO466="🟠","VERMELHO",IF(AO466="🔴","VERMELHO","ROXO"))))</f>
        <v>VERMELHO</v>
      </c>
      <c r="CD466" s="96" t="s">
        <v>103</v>
      </c>
      <c r="CE466" s="96" t="s">
        <v>104</v>
      </c>
    </row>
    <row r="467" customFormat="false" ht="14.25" hidden="false" customHeight="true" outlineLevel="0" collapsed="false">
      <c r="A467" s="65" t="s">
        <v>1067</v>
      </c>
      <c r="B467" s="66" t="s">
        <v>1068</v>
      </c>
      <c r="C467" s="67" t="s">
        <v>113</v>
      </c>
      <c r="D467" s="68" t="s">
        <v>100</v>
      </c>
      <c r="E467" s="69" t="s">
        <v>114</v>
      </c>
      <c r="F467" s="70" t="n">
        <f aca="false">IFERROR(VLOOKUP(C467,$AS$3:$AT$10,2,FALSE()),IFERROR(VLOOKUP(C467,$AS$15:$AT$22,2,FALSE()),""))</f>
        <v>49</v>
      </c>
      <c r="G467" s="71" t="n">
        <f aca="false">IFERROR(VLOOKUP(C467,$AS$3:$AX$10,6,FALSE()),IFERROR(VLOOKUP(C467,$AS$15:$AX$22,6,FALSE()),""))</f>
        <v>0.463965086137302</v>
      </c>
      <c r="H467" s="72" t="str">
        <f aca="false">IFERROR(VLOOKUP(C467,$AS$3:$AY$10,7,FALSE()),IFERROR(VLOOKUP(C467,$AS$15:$AY$22,7,FALSE()),""))</f>
        <v>🟡 AMARELO</v>
      </c>
      <c r="I467" s="72" t="str">
        <f aca="false">IFERROR(VLOOKUP(C467,$AS$3:$AZ$10,8,FALSE()),IFERROR(VLOOKUP(C467,$AS$15:$AZ$22,8,FALSE()),""))</f>
        <v>Sell Out</v>
      </c>
      <c r="J467" s="73"/>
      <c r="K467" s="69" t="s">
        <v>113</v>
      </c>
      <c r="L467" s="74" t="n">
        <v>1356.2</v>
      </c>
      <c r="M467" s="75" t="n">
        <v>95.3</v>
      </c>
      <c r="N467" s="75" t="n">
        <v>99.59</v>
      </c>
      <c r="O467" s="75" t="n">
        <v>101.99</v>
      </c>
      <c r="P467" s="75" t="n">
        <v>104.65</v>
      </c>
      <c r="Q467" s="75" t="n">
        <v>108.07</v>
      </c>
      <c r="R467" s="75" t="n">
        <v>110.9</v>
      </c>
      <c r="S467" s="75" t="n">
        <v>115.19</v>
      </c>
      <c r="T467" s="75" t="n">
        <v>118.02</v>
      </c>
      <c r="U467" s="75" t="n">
        <v>120.67</v>
      </c>
      <c r="V467" s="75" t="n">
        <v>123.67</v>
      </c>
      <c r="W467" s="75" t="n">
        <v>126.93</v>
      </c>
      <c r="X467" s="76" t="n">
        <v>131.22</v>
      </c>
      <c r="Y467" s="77" t="s">
        <v>20</v>
      </c>
      <c r="Z467" s="78" t="n">
        <f aca="false">SUM(AA467:AL467)</f>
        <v>545.4</v>
      </c>
      <c r="AA467" s="75"/>
      <c r="AB467" s="75"/>
      <c r="AC467" s="75"/>
      <c r="AD467" s="79" t="n">
        <v>545.4</v>
      </c>
      <c r="AE467" s="75"/>
      <c r="AF467" s="75"/>
      <c r="AG467" s="75"/>
      <c r="AH467" s="75"/>
      <c r="AI467" s="75"/>
      <c r="AJ467" s="75"/>
      <c r="AK467" s="75"/>
      <c r="AL467" s="76"/>
      <c r="AM467" s="56" t="s">
        <v>20</v>
      </c>
      <c r="AN467" s="80" t="n">
        <f aca="false">IF(L467=0,0,Z467/L467)</f>
        <v>0.402153074767733</v>
      </c>
      <c r="AO467" s="81" t="str">
        <f aca="false">IF(AN467="","",IF(AN467&gt;=0.9,"🟢",IF(AN467&gt;=0.7,"🟡",IF(AN467&gt;=0.5,"🟠","🔴"))))</f>
        <v>🔴</v>
      </c>
      <c r="AP467" s="82" t="n">
        <f aca="false">IF(L467=0,0,L467-Z467)</f>
        <v>810.8</v>
      </c>
      <c r="AQ467" s="83" t="n">
        <f aca="false">IF(AP467=0,"",RANK(AP467,AP$4:AP$503,0))</f>
        <v>420</v>
      </c>
      <c r="AR467" s="84" t="s">
        <v>20</v>
      </c>
      <c r="AS467" s="141"/>
      <c r="AT467" s="141"/>
      <c r="AU467" s="141"/>
      <c r="AV467" s="141"/>
      <c r="AW467" s="141"/>
      <c r="AX467" s="141"/>
      <c r="AY467" s="142"/>
      <c r="AZ467" s="142"/>
      <c r="BA467" s="56" t="s">
        <v>20</v>
      </c>
      <c r="BB467" s="91" t="n">
        <f aca="false">SUM(L$4:L$503)/COUNTA(A$4:A$503)</f>
        <v>9494.39992</v>
      </c>
      <c r="BC467" s="92" t="n">
        <f aca="false">SUM(M$4:M$503)/COUNTA(A$4:A$503)</f>
        <v>667.20008</v>
      </c>
      <c r="BD467" s="92" t="n">
        <f aca="false">SUM(N$4:N$503)/COUNTA(A$4:A$503)</f>
        <v>697.19996</v>
      </c>
      <c r="BE467" s="92" t="n">
        <f aca="false">SUM(O$4:O$503)/COUNTA(A$4:A$503)</f>
        <v>713.9999</v>
      </c>
      <c r="BF467" s="92" t="n">
        <f aca="false">SUM(P$4:P$503)/COUNTA(A$4:A$503)</f>
        <v>732.59984</v>
      </c>
      <c r="BG467" s="92" t="n">
        <f aca="false">SUM(Q$4:Q$503)/COUNTA(A$4:A$503)</f>
        <v>756.59992</v>
      </c>
      <c r="BH467" s="92" t="n">
        <f aca="false">SUM(R$4:R$503)/COUNTA(A$4:A$503)</f>
        <v>776.40004</v>
      </c>
      <c r="BI467" s="92" t="n">
        <f aca="false">SUM(S$4:S$503)/COUNTA(A$4:A$503)</f>
        <v>806.40012</v>
      </c>
      <c r="BJ467" s="92" t="n">
        <f aca="false">SUM(T$4:T$503)/COUNTA(A$4:A$503)</f>
        <v>826.1999</v>
      </c>
      <c r="BK467" s="92" t="n">
        <f aca="false">SUM(U$4:U$503)/COUNTA(A$4:A$503)</f>
        <v>844.8002</v>
      </c>
      <c r="BL467" s="92" t="n">
        <f aca="false">SUM(V$4:V$503)/COUNTA(A$4:A$503)</f>
        <v>865.7998</v>
      </c>
      <c r="BM467" s="92" t="n">
        <f aca="false">SUM(W$4:W$503)/COUNTA(A$4:A$503)</f>
        <v>888.59982</v>
      </c>
      <c r="BN467" s="93" t="n">
        <f aca="false">SUM(X$4:X$503)/COUNTA(A$4:A$503)</f>
        <v>918.60034</v>
      </c>
      <c r="BO467" s="94" t="s">
        <v>20</v>
      </c>
      <c r="BP467" s="91" t="n">
        <f aca="false">IF(Z467&gt;=BB467,0,IFERROR(BB467+(SUMPRODUCT((Z$4:Z$503&gt;=BB$4:BB$503)*(Z$4:Z$503-BB$4:BB$503))/MAX(1,COUNTIF(Z$4:Z$503,"&lt;"&amp;BB467+0.01))),BB467))</f>
        <v>10695.5432177778</v>
      </c>
      <c r="BQ467" s="92" t="n">
        <f aca="false">IF(AA467&gt;=BC467,0,IFERROR(BC467+SUMPRODUCT((AA$4:AA$503&gt;=BC$4:BC$503)*(AA$4:AA$503-BC$4:BC$503))/MAX(1,COUNTIF(AA$4:AA$503,"&lt;"&amp;BC467+0.01)),BC467))</f>
        <v>2238.46589176471</v>
      </c>
      <c r="BR467" s="92" t="n">
        <f aca="false">IF(AB467&gt;=BD467,0,IFERROR(BD467+SUMPRODUCT((AB$4:AB$503&gt;=BD$4:BD$503)*(AB$4:AB$503-BD$4:BD$503))/MAX(1,COUNTIF(AB$4:AB$503,"&lt;"&amp;BD467+0.01)),BD467))</f>
        <v>3335.2938</v>
      </c>
      <c r="BS467" s="92" t="n">
        <f aca="false">IF(AC467&gt;=BE467,0,IFERROR(BE467+SUMPRODUCT((AC$4:AC$503&gt;=BE$4:BE$503)*(AC$4:AC$503-BE$4:BE$503))/MAX(1,COUNTIF(AC$4:AC$503,"&lt;"&amp;BE467+0.01)),BE467))</f>
        <v>6188.73352</v>
      </c>
      <c r="BT467" s="92" t="n">
        <f aca="false">IF(AD467&gt;=BF467,0,IFERROR(BF467+SUMPRODUCT((AD$4:AD$503&gt;=BF$4:BF$503)*(AD$4:AD$503-BF$4:BF$503))/MAX(1,COUNTIF(AD$4:AD$503,"&lt;"&amp;BF467+0.01)),BF467))</f>
        <v>11354.35411</v>
      </c>
      <c r="BU467" s="92" t="n">
        <f aca="false">IF(AE467&gt;=BG467,0,IFERROR(BG467+SUMPRODUCT((AE$4:AE$503&gt;=BG$4:BG$503)*(AE$4:AE$503-BG$4:BG$503))/MAX(1,COUNTIF(AE$4:AE$503,"&lt;"&amp;BG467+0.01)),BG467))</f>
        <v>7704.85920380952</v>
      </c>
      <c r="BV467" s="92" t="n">
        <f aca="false">IF(AF467&gt;=BH467,0,IFERROR(BH467+SUMPRODUCT((AF$4:AF$503&gt;=BH$4:BH$503)*(AF$4:AF$503-BH$4:BH$503))/MAX(1,COUNTIF(AF$4:AF$503,"&lt;"&amp;BH467+0.01)),BH467))</f>
        <v>9942.6503831579</v>
      </c>
      <c r="BW467" s="92" t="n">
        <f aca="false">IF(AG467&gt;=BI467,0,IFERROR(BI467+SUMPRODUCT((AG$4:AG$503&gt;=BI$4:BI$503)*(AG$4:AG$503-BI$4:BI$503))/MAX(1,COUNTIF(AG$4:AG$503,"&lt;"&amp;BI467+0.01)),BI467))</f>
        <v>9142.15870461538</v>
      </c>
      <c r="BX467" s="92" t="n">
        <f aca="false">IF(AH467&gt;=BJ467,0,IFERROR(BJ467+SUMPRODUCT((AH$4:AH$503&gt;=BJ$4:BJ$503)*(AH$4:AH$503-BJ$4:BJ$503))/MAX(1,COUNTIF(AH$4:AH$503,"&lt;"&amp;BJ467+0.01)),BJ467))</f>
        <v>5621.50263448276</v>
      </c>
      <c r="BY467" s="92" t="n">
        <f aca="false">IF(AI467&gt;=BK467,0,IFERROR(BK467+SUMPRODUCT((AI$4:AI$503&gt;=BK$4:BK$503)*(AI$4:AI$503-BK$4:BK$503))/MAX(1,COUNTIF(AI$4:AI$503,"&lt;"&amp;BK467+0.01)),BK467))</f>
        <v>7878.25652380952</v>
      </c>
      <c r="BZ467" s="92" t="n">
        <f aca="false">IF(AJ467&gt;=BL467,0,IFERROR(BL467+SUMPRODUCT((AJ$4:AJ$503&gt;=BL$4:BL$503)*(AJ$4:AJ$503-BL$4:BL$503))/MAX(1,COUNTIF(AJ$4:AJ$503,"&lt;"&amp;BL467+0.01)),BL467))</f>
        <v>6710.03292307692</v>
      </c>
      <c r="CA467" s="92" t="n">
        <f aca="false">IF(AK467&gt;=BM467,0,IFERROR(BM467+SUMPRODUCT((AK$4:AK$503&gt;=BM$4:BM$503)*(AK$4:AK$503-BM$4:BM$503))/MAX(1,COUNTIF(AK$4:AK$503,"&lt;"&amp;BM467+0.01)),BM467))</f>
        <v>7314.89836842105</v>
      </c>
      <c r="CB467" s="93" t="n">
        <f aca="false">IF(AL467&gt;=BN467,0,IFERROR(BN467+SUMPRODUCT((AL$4:AL$503&gt;=BN$4:BN$503)*(AL$4:AL$503-BN$4:BN$503))/MAX(1,COUNTIF(AL$4:AL$503,"&lt;"&amp;BN467+0.01)),BN467))</f>
        <v>3597.2614925</v>
      </c>
      <c r="CC467" s="95" t="str">
        <f aca="false">IF(AO467="🟢","VERDE",IF(AO467="🟡","AMARELO",IF(AO467="🟠","VERMELHO",IF(AO467="🔴","VERMELHO","ROXO"))))</f>
        <v>VERMELHO</v>
      </c>
      <c r="CD467" s="96" t="s">
        <v>103</v>
      </c>
      <c r="CE467" s="96" t="s">
        <v>104</v>
      </c>
    </row>
    <row r="468" customFormat="false" ht="14.25" hidden="false" customHeight="true" outlineLevel="0" collapsed="false">
      <c r="A468" s="65" t="s">
        <v>1069</v>
      </c>
      <c r="B468" s="66" t="s">
        <v>1070</v>
      </c>
      <c r="C468" s="66" t="s">
        <v>115</v>
      </c>
      <c r="D468" s="68" t="s">
        <v>184</v>
      </c>
      <c r="E468" s="69" t="s">
        <v>139</v>
      </c>
      <c r="F468" s="70" t="n">
        <f aca="false">IFERROR(VLOOKUP(C468,$AS$3:$AT$10,2,FALSE()),IFERROR(VLOOKUP(C468,$AS$15:$AT$22,2,FALSE()),""))</f>
        <v>25</v>
      </c>
      <c r="G468" s="71" t="n">
        <f aca="false">IFERROR(VLOOKUP(C468,$AS$3:$AX$10,6,FALSE()),IFERROR(VLOOKUP(C468,$AS$15:$AX$22,6,FALSE()),""))</f>
        <v>0.536751750851081</v>
      </c>
      <c r="H468" s="72" t="str">
        <f aca="false">IFERROR(VLOOKUP(C468,$AS$3:$AY$10,7,FALSE()),IFERROR(VLOOKUP(C468,$AS$15:$AY$22,7,FALSE()),""))</f>
        <v>🟡 AMARELO</v>
      </c>
      <c r="I468" s="72" t="str">
        <f aca="false">IFERROR(VLOOKUP(C468,$AS$3:$AZ$10,8,FALSE()),IFERROR(VLOOKUP(C468,$AS$15:$AZ$22,8,FALSE()),""))</f>
        <v>Sell Out</v>
      </c>
      <c r="J468" s="73"/>
      <c r="K468" s="69" t="s">
        <v>107</v>
      </c>
      <c r="L468" s="74" t="n">
        <v>1343.86</v>
      </c>
      <c r="M468" s="75" t="n">
        <v>94.44</v>
      </c>
      <c r="N468" s="75" t="n">
        <v>98.68</v>
      </c>
      <c r="O468" s="75" t="n">
        <v>101.06</v>
      </c>
      <c r="P468" s="75" t="n">
        <v>103.69</v>
      </c>
      <c r="Q468" s="75" t="n">
        <v>107.09</v>
      </c>
      <c r="R468" s="75" t="n">
        <v>109.89</v>
      </c>
      <c r="S468" s="75" t="n">
        <v>114.14</v>
      </c>
      <c r="T468" s="75" t="n">
        <v>116.94</v>
      </c>
      <c r="U468" s="75" t="n">
        <v>119.58</v>
      </c>
      <c r="V468" s="75" t="n">
        <v>122.55</v>
      </c>
      <c r="W468" s="75" t="n">
        <v>125.78</v>
      </c>
      <c r="X468" s="76" t="n">
        <v>130.02</v>
      </c>
      <c r="Y468" s="77" t="s">
        <v>20</v>
      </c>
      <c r="Z468" s="78" t="n">
        <f aca="false">SUM(AA468:AL468)</f>
        <v>660.46</v>
      </c>
      <c r="AA468" s="75"/>
      <c r="AB468" s="75"/>
      <c r="AC468" s="75"/>
      <c r="AD468" s="75"/>
      <c r="AE468" s="75"/>
      <c r="AF468" s="75"/>
      <c r="AG468" s="75"/>
      <c r="AH468" s="75"/>
      <c r="AI468" s="75"/>
      <c r="AJ468" s="79" t="n">
        <v>660.46</v>
      </c>
      <c r="AK468" s="75"/>
      <c r="AL468" s="76"/>
      <c r="AM468" s="56" t="s">
        <v>20</v>
      </c>
      <c r="AN468" s="80" t="n">
        <f aca="false">IF(L468=0,0,Z468/L468)</f>
        <v>0.491464884735017</v>
      </c>
      <c r="AO468" s="81" t="str">
        <f aca="false">IF(AN468="","",IF(AN468&gt;=0.9,"🟢",IF(AN468&gt;=0.7,"🟡",IF(AN468&gt;=0.5,"🟠","🔴"))))</f>
        <v>🔴</v>
      </c>
      <c r="AP468" s="82" t="n">
        <f aca="false">IF(L468=0,0,L468-Z468)</f>
        <v>683.4</v>
      </c>
      <c r="AQ468" s="83" t="n">
        <f aca="false">IF(AP468=0,"",RANK(AP468,AP$4:AP$503,0))</f>
        <v>430</v>
      </c>
      <c r="AR468" s="84" t="s">
        <v>20</v>
      </c>
      <c r="AS468" s="141"/>
      <c r="AT468" s="141"/>
      <c r="AU468" s="141"/>
      <c r="AV468" s="141"/>
      <c r="AW468" s="141"/>
      <c r="AX468" s="141"/>
      <c r="AY468" s="142"/>
      <c r="AZ468" s="142"/>
      <c r="BA468" s="56" t="s">
        <v>20</v>
      </c>
      <c r="BB468" s="91" t="n">
        <f aca="false">SUM(L$4:L$503)/COUNTA(A$4:A$503)</f>
        <v>9494.39992</v>
      </c>
      <c r="BC468" s="92" t="n">
        <f aca="false">SUM(M$4:M$503)/COUNTA(A$4:A$503)</f>
        <v>667.20008</v>
      </c>
      <c r="BD468" s="92" t="n">
        <f aca="false">SUM(N$4:N$503)/COUNTA(A$4:A$503)</f>
        <v>697.19996</v>
      </c>
      <c r="BE468" s="92" t="n">
        <f aca="false">SUM(O$4:O$503)/COUNTA(A$4:A$503)</f>
        <v>713.9999</v>
      </c>
      <c r="BF468" s="92" t="n">
        <f aca="false">SUM(P$4:P$503)/COUNTA(A$4:A$503)</f>
        <v>732.59984</v>
      </c>
      <c r="BG468" s="92" t="n">
        <f aca="false">SUM(Q$4:Q$503)/COUNTA(A$4:A$503)</f>
        <v>756.59992</v>
      </c>
      <c r="BH468" s="92" t="n">
        <f aca="false">SUM(R$4:R$503)/COUNTA(A$4:A$503)</f>
        <v>776.40004</v>
      </c>
      <c r="BI468" s="92" t="n">
        <f aca="false">SUM(S$4:S$503)/COUNTA(A$4:A$503)</f>
        <v>806.40012</v>
      </c>
      <c r="BJ468" s="92" t="n">
        <f aca="false">SUM(T$4:T$503)/COUNTA(A$4:A$503)</f>
        <v>826.1999</v>
      </c>
      <c r="BK468" s="92" t="n">
        <f aca="false">SUM(U$4:U$503)/COUNTA(A$4:A$503)</f>
        <v>844.8002</v>
      </c>
      <c r="BL468" s="92" t="n">
        <f aca="false">SUM(V$4:V$503)/COUNTA(A$4:A$503)</f>
        <v>865.7998</v>
      </c>
      <c r="BM468" s="92" t="n">
        <f aca="false">SUM(W$4:W$503)/COUNTA(A$4:A$503)</f>
        <v>888.59982</v>
      </c>
      <c r="BN468" s="93" t="n">
        <f aca="false">SUM(X$4:X$503)/COUNTA(A$4:A$503)</f>
        <v>918.60034</v>
      </c>
      <c r="BO468" s="94" t="s">
        <v>20</v>
      </c>
      <c r="BP468" s="91" t="n">
        <f aca="false">IF(Z468&gt;=BB468,0,IFERROR(BB468+(SUMPRODUCT((Z$4:Z$503&gt;=BB$4:BB$503)*(Z$4:Z$503-BB$4:BB$503))/MAX(1,COUNTIF(Z$4:Z$503,"&lt;"&amp;BB468+0.01))),BB468))</f>
        <v>10695.5432177778</v>
      </c>
      <c r="BQ468" s="92" t="n">
        <f aca="false">IF(AA468&gt;=BC468,0,IFERROR(BC468+SUMPRODUCT((AA$4:AA$503&gt;=BC$4:BC$503)*(AA$4:AA$503-BC$4:BC$503))/MAX(1,COUNTIF(AA$4:AA$503,"&lt;"&amp;BC468+0.01)),BC468))</f>
        <v>2238.46589176471</v>
      </c>
      <c r="BR468" s="92" t="n">
        <f aca="false">IF(AB468&gt;=BD468,0,IFERROR(BD468+SUMPRODUCT((AB$4:AB$503&gt;=BD$4:BD$503)*(AB$4:AB$503-BD$4:BD$503))/MAX(1,COUNTIF(AB$4:AB$503,"&lt;"&amp;BD468+0.01)),BD468))</f>
        <v>3335.2938</v>
      </c>
      <c r="BS468" s="92" t="n">
        <f aca="false">IF(AC468&gt;=BE468,0,IFERROR(BE468+SUMPRODUCT((AC$4:AC$503&gt;=BE$4:BE$503)*(AC$4:AC$503-BE$4:BE$503))/MAX(1,COUNTIF(AC$4:AC$503,"&lt;"&amp;BE468+0.01)),BE468))</f>
        <v>6188.73352</v>
      </c>
      <c r="BT468" s="92" t="n">
        <f aca="false">IF(AD468&gt;=BF468,0,IFERROR(BF468+SUMPRODUCT((AD$4:AD$503&gt;=BF$4:BF$503)*(AD$4:AD$503-BF$4:BF$503))/MAX(1,COUNTIF(AD$4:AD$503,"&lt;"&amp;BF468+0.01)),BF468))</f>
        <v>11354.35411</v>
      </c>
      <c r="BU468" s="92" t="n">
        <f aca="false">IF(AE468&gt;=BG468,0,IFERROR(BG468+SUMPRODUCT((AE$4:AE$503&gt;=BG$4:BG$503)*(AE$4:AE$503-BG$4:BG$503))/MAX(1,COUNTIF(AE$4:AE$503,"&lt;"&amp;BG468+0.01)),BG468))</f>
        <v>7704.85920380952</v>
      </c>
      <c r="BV468" s="92" t="n">
        <f aca="false">IF(AF468&gt;=BH468,0,IFERROR(BH468+SUMPRODUCT((AF$4:AF$503&gt;=BH$4:BH$503)*(AF$4:AF$503-BH$4:BH$503))/MAX(1,COUNTIF(AF$4:AF$503,"&lt;"&amp;BH468+0.01)),BH468))</f>
        <v>9942.6503831579</v>
      </c>
      <c r="BW468" s="92" t="n">
        <f aca="false">IF(AG468&gt;=BI468,0,IFERROR(BI468+SUMPRODUCT((AG$4:AG$503&gt;=BI$4:BI$503)*(AG$4:AG$503-BI$4:BI$503))/MAX(1,COUNTIF(AG$4:AG$503,"&lt;"&amp;BI468+0.01)),BI468))</f>
        <v>9142.15870461538</v>
      </c>
      <c r="BX468" s="92" t="n">
        <f aca="false">IF(AH468&gt;=BJ468,0,IFERROR(BJ468+SUMPRODUCT((AH$4:AH$503&gt;=BJ$4:BJ$503)*(AH$4:AH$503-BJ$4:BJ$503))/MAX(1,COUNTIF(AH$4:AH$503,"&lt;"&amp;BJ468+0.01)),BJ468))</f>
        <v>5621.50263448276</v>
      </c>
      <c r="BY468" s="92" t="n">
        <f aca="false">IF(AI468&gt;=BK468,0,IFERROR(BK468+SUMPRODUCT((AI$4:AI$503&gt;=BK$4:BK$503)*(AI$4:AI$503-BK$4:BK$503))/MAX(1,COUNTIF(AI$4:AI$503,"&lt;"&amp;BK468+0.01)),BK468))</f>
        <v>7878.25652380952</v>
      </c>
      <c r="BZ468" s="92" t="n">
        <f aca="false">IF(AJ468&gt;=BL468,0,IFERROR(BL468+SUMPRODUCT((AJ$4:AJ$503&gt;=BL$4:BL$503)*(AJ$4:AJ$503-BL$4:BL$503))/MAX(1,COUNTIF(AJ$4:AJ$503,"&lt;"&amp;BL468+0.01)),BL468))</f>
        <v>6710.03292307692</v>
      </c>
      <c r="CA468" s="92" t="n">
        <f aca="false">IF(AK468&gt;=BM468,0,IFERROR(BM468+SUMPRODUCT((AK$4:AK$503&gt;=BM$4:BM$503)*(AK$4:AK$503-BM$4:BM$503))/MAX(1,COUNTIF(AK$4:AK$503,"&lt;"&amp;BM468+0.01)),BM468))</f>
        <v>7314.89836842105</v>
      </c>
      <c r="CB468" s="93" t="n">
        <f aca="false">IF(AL468&gt;=BN468,0,IFERROR(BN468+SUMPRODUCT((AL$4:AL$503&gt;=BN$4:BN$503)*(AL$4:AL$503-BN$4:BN$503))/MAX(1,COUNTIF(AL$4:AL$503,"&lt;"&amp;BN468+0.01)),BN468))</f>
        <v>3597.2614925</v>
      </c>
      <c r="CC468" s="95" t="str">
        <f aca="false">IF(AO468="🟢","VERDE",IF(AO468="🟡","AMARELO",IF(AO468="🟠","VERMELHO",IF(AO468="🔴","VERMELHO","ROXO"))))</f>
        <v>VERMELHO</v>
      </c>
      <c r="CD468" s="96" t="s">
        <v>176</v>
      </c>
      <c r="CE468" s="96" t="s">
        <v>115</v>
      </c>
    </row>
    <row r="469" customFormat="false" ht="14.25" hidden="false" customHeight="true" outlineLevel="0" collapsed="false">
      <c r="A469" s="65" t="s">
        <v>1071</v>
      </c>
      <c r="B469" s="66" t="s">
        <v>1072</v>
      </c>
      <c r="C469" s="67" t="s">
        <v>107</v>
      </c>
      <c r="D469" s="68" t="s">
        <v>108</v>
      </c>
      <c r="E469" s="69" t="s">
        <v>109</v>
      </c>
      <c r="F469" s="70" t="n">
        <f aca="false">IFERROR(VLOOKUP(C469,$AS$3:$AT$10,2,FALSE()),IFERROR(VLOOKUP(C469,$AS$15:$AT$22,2,FALSE()),""))</f>
        <v>132</v>
      </c>
      <c r="G469" s="71" t="n">
        <f aca="false">IFERROR(VLOOKUP(C469,$AS$3:$AX$10,6,FALSE()),IFERROR(VLOOKUP(C469,$AS$15:$AX$22,6,FALSE()),""))</f>
        <v>0.468190175850689</v>
      </c>
      <c r="H469" s="72" t="str">
        <f aca="false">IFERROR(VLOOKUP(C469,$AS$3:$AY$10,7,FALSE()),IFERROR(VLOOKUP(C469,$AS$15:$AY$22,7,FALSE()),""))</f>
        <v>🟡 AMARELO</v>
      </c>
      <c r="I469" s="72" t="str">
        <f aca="false">IFERROR(VLOOKUP(C469,$AS$3:$AZ$10,8,FALSE()),IFERROR(VLOOKUP(C469,$AS$15:$AZ$22,8,FALSE()),""))</f>
        <v>Sell Out</v>
      </c>
      <c r="J469" s="73"/>
      <c r="K469" s="69" t="s">
        <v>107</v>
      </c>
      <c r="L469" s="74" t="n">
        <v>1329.1</v>
      </c>
      <c r="M469" s="75" t="n">
        <v>93.4</v>
      </c>
      <c r="N469" s="75" t="n">
        <v>97.6</v>
      </c>
      <c r="O469" s="75" t="n">
        <v>99.95</v>
      </c>
      <c r="P469" s="75" t="n">
        <v>102.56</v>
      </c>
      <c r="Q469" s="75" t="n">
        <v>105.91</v>
      </c>
      <c r="R469" s="75" t="n">
        <v>108.69</v>
      </c>
      <c r="S469" s="75" t="n">
        <v>112.89</v>
      </c>
      <c r="T469" s="75" t="n">
        <v>115.66</v>
      </c>
      <c r="U469" s="75" t="n">
        <v>118.26</v>
      </c>
      <c r="V469" s="75" t="n">
        <v>121.2</v>
      </c>
      <c r="W469" s="75" t="n">
        <v>124.39</v>
      </c>
      <c r="X469" s="76" t="n">
        <v>128.59</v>
      </c>
      <c r="Y469" s="77" t="s">
        <v>20</v>
      </c>
      <c r="Z469" s="78" t="n">
        <f aca="false">SUM(AA469:AL469)</f>
        <v>750.5</v>
      </c>
      <c r="AA469" s="75"/>
      <c r="AB469" s="75"/>
      <c r="AC469" s="75"/>
      <c r="AD469" s="75"/>
      <c r="AE469" s="75"/>
      <c r="AF469" s="75"/>
      <c r="AG469" s="75"/>
      <c r="AH469" s="79" t="n">
        <v>750.5</v>
      </c>
      <c r="AI469" s="75"/>
      <c r="AJ469" s="75"/>
      <c r="AK469" s="75"/>
      <c r="AL469" s="76"/>
      <c r="AM469" s="56" t="s">
        <v>20</v>
      </c>
      <c r="AN469" s="80" t="n">
        <f aca="false">IF(L469=0,0,Z469/L469)</f>
        <v>0.564667820329546</v>
      </c>
      <c r="AO469" s="81" t="str">
        <f aca="false">IF(AN469="","",IF(AN469&gt;=0.9,"🟢",IF(AN469&gt;=0.7,"🟡",IF(AN469&gt;=0.5,"🟠","🔴"))))</f>
        <v>🟠</v>
      </c>
      <c r="AP469" s="82" t="n">
        <f aca="false">IF(L469=0,0,L469-Z469)</f>
        <v>578.6</v>
      </c>
      <c r="AQ469" s="83" t="n">
        <f aca="false">IF(AP469=0,"",RANK(AP469,AP$4:AP$503,0))</f>
        <v>445</v>
      </c>
      <c r="AR469" s="84" t="s">
        <v>20</v>
      </c>
      <c r="AS469" s="141"/>
      <c r="AT469" s="141"/>
      <c r="AU469" s="141"/>
      <c r="AV469" s="141"/>
      <c r="AW469" s="141"/>
      <c r="AX469" s="141"/>
      <c r="AY469" s="142"/>
      <c r="AZ469" s="142"/>
      <c r="BA469" s="56" t="s">
        <v>20</v>
      </c>
      <c r="BB469" s="91" t="n">
        <f aca="false">SUM(L$4:L$503)/COUNTA(A$4:A$503)</f>
        <v>9494.39992</v>
      </c>
      <c r="BC469" s="92" t="n">
        <f aca="false">SUM(M$4:M$503)/COUNTA(A$4:A$503)</f>
        <v>667.20008</v>
      </c>
      <c r="BD469" s="92" t="n">
        <f aca="false">SUM(N$4:N$503)/COUNTA(A$4:A$503)</f>
        <v>697.19996</v>
      </c>
      <c r="BE469" s="92" t="n">
        <f aca="false">SUM(O$4:O$503)/COUNTA(A$4:A$503)</f>
        <v>713.9999</v>
      </c>
      <c r="BF469" s="92" t="n">
        <f aca="false">SUM(P$4:P$503)/COUNTA(A$4:A$503)</f>
        <v>732.59984</v>
      </c>
      <c r="BG469" s="92" t="n">
        <f aca="false">SUM(Q$4:Q$503)/COUNTA(A$4:A$503)</f>
        <v>756.59992</v>
      </c>
      <c r="BH469" s="92" t="n">
        <f aca="false">SUM(R$4:R$503)/COUNTA(A$4:A$503)</f>
        <v>776.40004</v>
      </c>
      <c r="BI469" s="92" t="n">
        <f aca="false">SUM(S$4:S$503)/COUNTA(A$4:A$503)</f>
        <v>806.40012</v>
      </c>
      <c r="BJ469" s="92" t="n">
        <f aca="false">SUM(T$4:T$503)/COUNTA(A$4:A$503)</f>
        <v>826.1999</v>
      </c>
      <c r="BK469" s="92" t="n">
        <f aca="false">SUM(U$4:U$503)/COUNTA(A$4:A$503)</f>
        <v>844.8002</v>
      </c>
      <c r="BL469" s="92" t="n">
        <f aca="false">SUM(V$4:V$503)/COUNTA(A$4:A$503)</f>
        <v>865.7998</v>
      </c>
      <c r="BM469" s="92" t="n">
        <f aca="false">SUM(W$4:W$503)/COUNTA(A$4:A$503)</f>
        <v>888.59982</v>
      </c>
      <c r="BN469" s="93" t="n">
        <f aca="false">SUM(X$4:X$503)/COUNTA(A$4:A$503)</f>
        <v>918.60034</v>
      </c>
      <c r="BO469" s="94" t="s">
        <v>20</v>
      </c>
      <c r="BP469" s="91" t="n">
        <f aca="false">IF(Z469&gt;=BB469,0,IFERROR(BB469+(SUMPRODUCT((Z$4:Z$503&gt;=BB$4:BB$503)*(Z$4:Z$503-BB$4:BB$503))/MAX(1,COUNTIF(Z$4:Z$503,"&lt;"&amp;BB469+0.01))),BB469))</f>
        <v>10695.5432177778</v>
      </c>
      <c r="BQ469" s="92" t="n">
        <f aca="false">IF(AA469&gt;=BC469,0,IFERROR(BC469+SUMPRODUCT((AA$4:AA$503&gt;=BC$4:BC$503)*(AA$4:AA$503-BC$4:BC$503))/MAX(1,COUNTIF(AA$4:AA$503,"&lt;"&amp;BC469+0.01)),BC469))</f>
        <v>2238.46589176471</v>
      </c>
      <c r="BR469" s="92" t="n">
        <f aca="false">IF(AB469&gt;=BD469,0,IFERROR(BD469+SUMPRODUCT((AB$4:AB$503&gt;=BD$4:BD$503)*(AB$4:AB$503-BD$4:BD$503))/MAX(1,COUNTIF(AB$4:AB$503,"&lt;"&amp;BD469+0.01)),BD469))</f>
        <v>3335.2938</v>
      </c>
      <c r="BS469" s="92" t="n">
        <f aca="false">IF(AC469&gt;=BE469,0,IFERROR(BE469+SUMPRODUCT((AC$4:AC$503&gt;=BE$4:BE$503)*(AC$4:AC$503-BE$4:BE$503))/MAX(1,COUNTIF(AC$4:AC$503,"&lt;"&amp;BE469+0.01)),BE469))</f>
        <v>6188.73352</v>
      </c>
      <c r="BT469" s="92" t="n">
        <f aca="false">IF(AD469&gt;=BF469,0,IFERROR(BF469+SUMPRODUCT((AD$4:AD$503&gt;=BF$4:BF$503)*(AD$4:AD$503-BF$4:BF$503))/MAX(1,COUNTIF(AD$4:AD$503,"&lt;"&amp;BF469+0.01)),BF469))</f>
        <v>11354.35411</v>
      </c>
      <c r="BU469" s="92" t="n">
        <f aca="false">IF(AE469&gt;=BG469,0,IFERROR(BG469+SUMPRODUCT((AE$4:AE$503&gt;=BG$4:BG$503)*(AE$4:AE$503-BG$4:BG$503))/MAX(1,COUNTIF(AE$4:AE$503,"&lt;"&amp;BG469+0.01)),BG469))</f>
        <v>7704.85920380952</v>
      </c>
      <c r="BV469" s="92" t="n">
        <f aca="false">IF(AF469&gt;=BH469,0,IFERROR(BH469+SUMPRODUCT((AF$4:AF$503&gt;=BH$4:BH$503)*(AF$4:AF$503-BH$4:BH$503))/MAX(1,COUNTIF(AF$4:AF$503,"&lt;"&amp;BH469+0.01)),BH469))</f>
        <v>9942.6503831579</v>
      </c>
      <c r="BW469" s="92" t="n">
        <f aca="false">IF(AG469&gt;=BI469,0,IFERROR(BI469+SUMPRODUCT((AG$4:AG$503&gt;=BI$4:BI$503)*(AG$4:AG$503-BI$4:BI$503))/MAX(1,COUNTIF(AG$4:AG$503,"&lt;"&amp;BI469+0.01)),BI469))</f>
        <v>9142.15870461538</v>
      </c>
      <c r="BX469" s="92" t="n">
        <f aca="false">IF(AH469&gt;=BJ469,0,IFERROR(BJ469+SUMPRODUCT((AH$4:AH$503&gt;=BJ$4:BJ$503)*(AH$4:AH$503-BJ$4:BJ$503))/MAX(1,COUNTIF(AH$4:AH$503,"&lt;"&amp;BJ469+0.01)),BJ469))</f>
        <v>5621.50263448276</v>
      </c>
      <c r="BY469" s="92" t="n">
        <f aca="false">IF(AI469&gt;=BK469,0,IFERROR(BK469+SUMPRODUCT((AI$4:AI$503&gt;=BK$4:BK$503)*(AI$4:AI$503-BK$4:BK$503))/MAX(1,COUNTIF(AI$4:AI$503,"&lt;"&amp;BK469+0.01)),BK469))</f>
        <v>7878.25652380952</v>
      </c>
      <c r="BZ469" s="92" t="n">
        <f aca="false">IF(AJ469&gt;=BL469,0,IFERROR(BL469+SUMPRODUCT((AJ$4:AJ$503&gt;=BL$4:BL$503)*(AJ$4:AJ$503-BL$4:BL$503))/MAX(1,COUNTIF(AJ$4:AJ$503,"&lt;"&amp;BL469+0.01)),BL469))</f>
        <v>6710.03292307692</v>
      </c>
      <c r="CA469" s="92" t="n">
        <f aca="false">IF(AK469&gt;=BM469,0,IFERROR(BM469+SUMPRODUCT((AK$4:AK$503&gt;=BM$4:BM$503)*(AK$4:AK$503-BM$4:BM$503))/MAX(1,COUNTIF(AK$4:AK$503,"&lt;"&amp;BM469+0.01)),BM469))</f>
        <v>7314.89836842105</v>
      </c>
      <c r="CB469" s="93" t="n">
        <f aca="false">IF(AL469&gt;=BN469,0,IFERROR(BN469+SUMPRODUCT((AL$4:AL$503&gt;=BN$4:BN$503)*(AL$4:AL$503-BN$4:BN$503))/MAX(1,COUNTIF(AL$4:AL$503,"&lt;"&amp;BN469+0.01)),BN469))</f>
        <v>3597.2614925</v>
      </c>
      <c r="CC469" s="95" t="str">
        <f aca="false">IF(AO469="🟢","VERDE",IF(AO469="🟡","AMARELO",IF(AO469="🟠","VERMELHO",IF(AO469="🔴","VERMELHO","ROXO"))))</f>
        <v>VERMELHO</v>
      </c>
      <c r="CD469" s="96" t="s">
        <v>103</v>
      </c>
      <c r="CE469" s="96" t="s">
        <v>104</v>
      </c>
    </row>
    <row r="470" customFormat="false" ht="14.25" hidden="false" customHeight="true" outlineLevel="0" collapsed="false">
      <c r="A470" s="65" t="s">
        <v>1073</v>
      </c>
      <c r="B470" s="66" t="s">
        <v>1074</v>
      </c>
      <c r="C470" s="67" t="s">
        <v>113</v>
      </c>
      <c r="D470" s="68" t="s">
        <v>100</v>
      </c>
      <c r="E470" s="69" t="s">
        <v>250</v>
      </c>
      <c r="F470" s="70" t="n">
        <f aca="false">IFERROR(VLOOKUP(C470,$AS$3:$AT$10,2,FALSE()),IFERROR(VLOOKUP(C470,$AS$15:$AT$22,2,FALSE()),""))</f>
        <v>49</v>
      </c>
      <c r="G470" s="71" t="n">
        <f aca="false">IFERROR(VLOOKUP(C470,$AS$3:$AX$10,6,FALSE()),IFERROR(VLOOKUP(C470,$AS$15:$AX$22,6,FALSE()),""))</f>
        <v>0.463965086137302</v>
      </c>
      <c r="H470" s="72" t="str">
        <f aca="false">IFERROR(VLOOKUP(C470,$AS$3:$AY$10,7,FALSE()),IFERROR(VLOOKUP(C470,$AS$15:$AY$22,7,FALSE()),""))</f>
        <v>🟡 AMARELO</v>
      </c>
      <c r="I470" s="72" t="str">
        <f aca="false">IFERROR(VLOOKUP(C470,$AS$3:$AZ$10,8,FALSE()),IFERROR(VLOOKUP(C470,$AS$15:$AZ$22,8,FALSE()),""))</f>
        <v>Sell Out</v>
      </c>
      <c r="J470" s="73"/>
      <c r="K470" s="69" t="s">
        <v>113</v>
      </c>
      <c r="L470" s="74" t="n">
        <v>1326.57</v>
      </c>
      <c r="M470" s="75" t="n">
        <v>93.22</v>
      </c>
      <c r="N470" s="75" t="n">
        <v>97.41</v>
      </c>
      <c r="O470" s="75" t="n">
        <v>99.76</v>
      </c>
      <c r="P470" s="75" t="n">
        <v>102.36</v>
      </c>
      <c r="Q470" s="75" t="n">
        <v>105.71</v>
      </c>
      <c r="R470" s="75" t="n">
        <v>108.48</v>
      </c>
      <c r="S470" s="75" t="n">
        <v>112.67</v>
      </c>
      <c r="T470" s="75" t="n">
        <v>115.44</v>
      </c>
      <c r="U470" s="75" t="n">
        <v>118.04</v>
      </c>
      <c r="V470" s="75" t="n">
        <v>120.97</v>
      </c>
      <c r="W470" s="75" t="n">
        <v>124.16</v>
      </c>
      <c r="X470" s="76" t="n">
        <v>128.35</v>
      </c>
      <c r="Y470" s="77" t="s">
        <v>20</v>
      </c>
      <c r="Z470" s="78" t="n">
        <f aca="false">SUM(AA470:AL470)</f>
        <v>0</v>
      </c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6"/>
      <c r="AM470" s="56" t="s">
        <v>20</v>
      </c>
      <c r="AN470" s="80" t="n">
        <f aca="false">IF(L470=0,0,Z470/L470)</f>
        <v>0</v>
      </c>
      <c r="AO470" s="81" t="str">
        <f aca="false">IF(AN470="","",IF(AN470&gt;=0.9,"🟢",IF(AN470&gt;=0.7,"🟡",IF(AN470&gt;=0.5,"🟠","🔴"))))</f>
        <v>🔴</v>
      </c>
      <c r="AP470" s="82" t="n">
        <f aca="false">IF(L470=0,0,L470-Z470)</f>
        <v>1326.57</v>
      </c>
      <c r="AQ470" s="83" t="n">
        <f aca="false">IF(AP470=0,"",RANK(AP470,AP$4:AP$503,0))</f>
        <v>345</v>
      </c>
      <c r="AR470" s="84" t="s">
        <v>20</v>
      </c>
      <c r="AS470" s="141"/>
      <c r="AT470" s="141"/>
      <c r="AU470" s="141"/>
      <c r="AV470" s="141"/>
      <c r="AW470" s="141"/>
      <c r="AX470" s="141"/>
      <c r="AY470" s="142"/>
      <c r="AZ470" s="142"/>
      <c r="BA470" s="56" t="s">
        <v>20</v>
      </c>
      <c r="BB470" s="91" t="n">
        <f aca="false">SUM(L$4:L$503)/COUNTA(A$4:A$503)</f>
        <v>9494.39992</v>
      </c>
      <c r="BC470" s="92" t="n">
        <f aca="false">SUM(M$4:M$503)/COUNTA(A$4:A$503)</f>
        <v>667.20008</v>
      </c>
      <c r="BD470" s="92" t="n">
        <f aca="false">SUM(N$4:N$503)/COUNTA(A$4:A$503)</f>
        <v>697.19996</v>
      </c>
      <c r="BE470" s="92" t="n">
        <f aca="false">SUM(O$4:O$503)/COUNTA(A$4:A$503)</f>
        <v>713.9999</v>
      </c>
      <c r="BF470" s="92" t="n">
        <f aca="false">SUM(P$4:P$503)/COUNTA(A$4:A$503)</f>
        <v>732.59984</v>
      </c>
      <c r="BG470" s="92" t="n">
        <f aca="false">SUM(Q$4:Q$503)/COUNTA(A$4:A$503)</f>
        <v>756.59992</v>
      </c>
      <c r="BH470" s="92" t="n">
        <f aca="false">SUM(R$4:R$503)/COUNTA(A$4:A$503)</f>
        <v>776.40004</v>
      </c>
      <c r="BI470" s="92" t="n">
        <f aca="false">SUM(S$4:S$503)/COUNTA(A$4:A$503)</f>
        <v>806.40012</v>
      </c>
      <c r="BJ470" s="92" t="n">
        <f aca="false">SUM(T$4:T$503)/COUNTA(A$4:A$503)</f>
        <v>826.1999</v>
      </c>
      <c r="BK470" s="92" t="n">
        <f aca="false">SUM(U$4:U$503)/COUNTA(A$4:A$503)</f>
        <v>844.8002</v>
      </c>
      <c r="BL470" s="92" t="n">
        <f aca="false">SUM(V$4:V$503)/COUNTA(A$4:A$503)</f>
        <v>865.7998</v>
      </c>
      <c r="BM470" s="92" t="n">
        <f aca="false">SUM(W$4:W$503)/COUNTA(A$4:A$503)</f>
        <v>888.59982</v>
      </c>
      <c r="BN470" s="93" t="n">
        <f aca="false">SUM(X$4:X$503)/COUNTA(A$4:A$503)</f>
        <v>918.60034</v>
      </c>
      <c r="BO470" s="94" t="s">
        <v>20</v>
      </c>
      <c r="BP470" s="91" t="n">
        <f aca="false">IF(Z470&gt;=BB470,0,IFERROR(BB470+(SUMPRODUCT((Z$4:Z$503&gt;=BB$4:BB$503)*(Z$4:Z$503-BB$4:BB$503))/MAX(1,COUNTIF(Z$4:Z$503,"&lt;"&amp;BB470+0.01))),BB470))</f>
        <v>10695.5432177778</v>
      </c>
      <c r="BQ470" s="92" t="n">
        <f aca="false">IF(AA470&gt;=BC470,0,IFERROR(BC470+SUMPRODUCT((AA$4:AA$503&gt;=BC$4:BC$503)*(AA$4:AA$503-BC$4:BC$503))/MAX(1,COUNTIF(AA$4:AA$503,"&lt;"&amp;BC470+0.01)),BC470))</f>
        <v>2238.46589176471</v>
      </c>
      <c r="BR470" s="92" t="n">
        <f aca="false">IF(AB470&gt;=BD470,0,IFERROR(BD470+SUMPRODUCT((AB$4:AB$503&gt;=BD$4:BD$503)*(AB$4:AB$503-BD$4:BD$503))/MAX(1,COUNTIF(AB$4:AB$503,"&lt;"&amp;BD470+0.01)),BD470))</f>
        <v>3335.2938</v>
      </c>
      <c r="BS470" s="92" t="n">
        <f aca="false">IF(AC470&gt;=BE470,0,IFERROR(BE470+SUMPRODUCT((AC$4:AC$503&gt;=BE$4:BE$503)*(AC$4:AC$503-BE$4:BE$503))/MAX(1,COUNTIF(AC$4:AC$503,"&lt;"&amp;BE470+0.01)),BE470))</f>
        <v>6188.73352</v>
      </c>
      <c r="BT470" s="92" t="n">
        <f aca="false">IF(AD470&gt;=BF470,0,IFERROR(BF470+SUMPRODUCT((AD$4:AD$503&gt;=BF$4:BF$503)*(AD$4:AD$503-BF$4:BF$503))/MAX(1,COUNTIF(AD$4:AD$503,"&lt;"&amp;BF470+0.01)),BF470))</f>
        <v>11354.35411</v>
      </c>
      <c r="BU470" s="92" t="n">
        <f aca="false">IF(AE470&gt;=BG470,0,IFERROR(BG470+SUMPRODUCT((AE$4:AE$503&gt;=BG$4:BG$503)*(AE$4:AE$503-BG$4:BG$503))/MAX(1,COUNTIF(AE$4:AE$503,"&lt;"&amp;BG470+0.01)),BG470))</f>
        <v>7704.85920380952</v>
      </c>
      <c r="BV470" s="92" t="n">
        <f aca="false">IF(AF470&gt;=BH470,0,IFERROR(BH470+SUMPRODUCT((AF$4:AF$503&gt;=BH$4:BH$503)*(AF$4:AF$503-BH$4:BH$503))/MAX(1,COUNTIF(AF$4:AF$503,"&lt;"&amp;BH470+0.01)),BH470))</f>
        <v>9942.6503831579</v>
      </c>
      <c r="BW470" s="92" t="n">
        <f aca="false">IF(AG470&gt;=BI470,0,IFERROR(BI470+SUMPRODUCT((AG$4:AG$503&gt;=BI$4:BI$503)*(AG$4:AG$503-BI$4:BI$503))/MAX(1,COUNTIF(AG$4:AG$503,"&lt;"&amp;BI470+0.01)),BI470))</f>
        <v>9142.15870461538</v>
      </c>
      <c r="BX470" s="92" t="n">
        <f aca="false">IF(AH470&gt;=BJ470,0,IFERROR(BJ470+SUMPRODUCT((AH$4:AH$503&gt;=BJ$4:BJ$503)*(AH$4:AH$503-BJ$4:BJ$503))/MAX(1,COUNTIF(AH$4:AH$503,"&lt;"&amp;BJ470+0.01)),BJ470))</f>
        <v>5621.50263448276</v>
      </c>
      <c r="BY470" s="92" t="n">
        <f aca="false">IF(AI470&gt;=BK470,0,IFERROR(BK470+SUMPRODUCT((AI$4:AI$503&gt;=BK$4:BK$503)*(AI$4:AI$503-BK$4:BK$503))/MAX(1,COUNTIF(AI$4:AI$503,"&lt;"&amp;BK470+0.01)),BK470))</f>
        <v>7878.25652380952</v>
      </c>
      <c r="BZ470" s="92" t="n">
        <f aca="false">IF(AJ470&gt;=BL470,0,IFERROR(BL470+SUMPRODUCT((AJ$4:AJ$503&gt;=BL$4:BL$503)*(AJ$4:AJ$503-BL$4:BL$503))/MAX(1,COUNTIF(AJ$4:AJ$503,"&lt;"&amp;BL470+0.01)),BL470))</f>
        <v>6710.03292307692</v>
      </c>
      <c r="CA470" s="92" t="n">
        <f aca="false">IF(AK470&gt;=BM470,0,IFERROR(BM470+SUMPRODUCT((AK$4:AK$503&gt;=BM$4:BM$503)*(AK$4:AK$503-BM$4:BM$503))/MAX(1,COUNTIF(AK$4:AK$503,"&lt;"&amp;BM470+0.01)),BM470))</f>
        <v>7314.89836842105</v>
      </c>
      <c r="CB470" s="93" t="n">
        <f aca="false">IF(AL470&gt;=BN470,0,IFERROR(BN470+SUMPRODUCT((AL$4:AL$503&gt;=BN$4:BN$503)*(AL$4:AL$503-BN$4:BN$503))/MAX(1,COUNTIF(AL$4:AL$503,"&lt;"&amp;BN470+0.01)),BN470))</f>
        <v>3597.2614925</v>
      </c>
      <c r="CC470" s="95" t="str">
        <f aca="false">IF(AO470="🟢","VERDE",IF(AO470="🟡","AMARELO",IF(AO470="🟠","VERMELHO",IF(AO470="🔴","VERMELHO","ROXO"))))</f>
        <v>VERMELHO</v>
      </c>
      <c r="CD470" s="96" t="s">
        <v>103</v>
      </c>
      <c r="CE470" s="96" t="s">
        <v>104</v>
      </c>
    </row>
    <row r="471" customFormat="false" ht="14.25" hidden="false" customHeight="true" outlineLevel="0" collapsed="false">
      <c r="A471" s="65" t="s">
        <v>1075</v>
      </c>
      <c r="B471" s="66" t="s">
        <v>1076</v>
      </c>
      <c r="C471" s="67" t="s">
        <v>107</v>
      </c>
      <c r="D471" s="68" t="s">
        <v>108</v>
      </c>
      <c r="E471" s="69" t="s">
        <v>139</v>
      </c>
      <c r="F471" s="70" t="n">
        <f aca="false">IFERROR(VLOOKUP(C471,$AS$3:$AT$10,2,FALSE()),IFERROR(VLOOKUP(C471,$AS$15:$AT$22,2,FALSE()),""))</f>
        <v>132</v>
      </c>
      <c r="G471" s="71" t="n">
        <f aca="false">IFERROR(VLOOKUP(C471,$AS$3:$AX$10,6,FALSE()),IFERROR(VLOOKUP(C471,$AS$15:$AX$22,6,FALSE()),""))</f>
        <v>0.468190175850689</v>
      </c>
      <c r="H471" s="72" t="str">
        <f aca="false">IFERROR(VLOOKUP(C471,$AS$3:$AY$10,7,FALSE()),IFERROR(VLOOKUP(C471,$AS$15:$AY$22,7,FALSE()),""))</f>
        <v>🟡 AMARELO</v>
      </c>
      <c r="I471" s="72" t="str">
        <f aca="false">IFERROR(VLOOKUP(C471,$AS$3:$AZ$10,8,FALSE()),IFERROR(VLOOKUP(C471,$AS$15:$AZ$22,8,FALSE()),""))</f>
        <v>Sell Out</v>
      </c>
      <c r="J471" s="73"/>
      <c r="K471" s="69" t="s">
        <v>107</v>
      </c>
      <c r="L471" s="74" t="n">
        <v>1306.04</v>
      </c>
      <c r="M471" s="75" t="n">
        <v>91.78</v>
      </c>
      <c r="N471" s="75" t="n">
        <v>95.91</v>
      </c>
      <c r="O471" s="75" t="n">
        <v>98.22</v>
      </c>
      <c r="P471" s="75" t="n">
        <v>100.77</v>
      </c>
      <c r="Q471" s="75" t="n">
        <v>104.08</v>
      </c>
      <c r="R471" s="75" t="n">
        <v>106.8</v>
      </c>
      <c r="S471" s="75" t="n">
        <v>110.93</v>
      </c>
      <c r="T471" s="75" t="n">
        <v>113.65</v>
      </c>
      <c r="U471" s="75" t="n">
        <v>116.21</v>
      </c>
      <c r="V471" s="75" t="n">
        <v>119.1</v>
      </c>
      <c r="W471" s="75" t="n">
        <v>122.23</v>
      </c>
      <c r="X471" s="76" t="n">
        <v>126.36</v>
      </c>
      <c r="Y471" s="77" t="s">
        <v>20</v>
      </c>
      <c r="Z471" s="78" t="n">
        <f aca="false">SUM(AA471:AL471)</f>
        <v>781.38</v>
      </c>
      <c r="AA471" s="75"/>
      <c r="AB471" s="75"/>
      <c r="AC471" s="75"/>
      <c r="AD471" s="75"/>
      <c r="AE471" s="75"/>
      <c r="AF471" s="75"/>
      <c r="AG471" s="75"/>
      <c r="AH471" s="75"/>
      <c r="AI471" s="79" t="n">
        <v>781.38</v>
      </c>
      <c r="AJ471" s="75"/>
      <c r="AK471" s="75"/>
      <c r="AL471" s="76"/>
      <c r="AM471" s="56" t="s">
        <v>20</v>
      </c>
      <c r="AN471" s="80" t="n">
        <f aca="false">IF(L471=0,0,Z471/L471)</f>
        <v>0.598281829040458</v>
      </c>
      <c r="AO471" s="81" t="str">
        <f aca="false">IF(AN471="","",IF(AN471&gt;=0.9,"🟢",IF(AN471&gt;=0.7,"🟡",IF(AN471&gt;=0.5,"🟠","🔴"))))</f>
        <v>🟠</v>
      </c>
      <c r="AP471" s="82" t="n">
        <f aca="false">IF(L471=0,0,L471-Z471)</f>
        <v>524.66</v>
      </c>
      <c r="AQ471" s="83" t="n">
        <f aca="false">IF(AP471=0,"",RANK(AP471,AP$4:AP$503,0))</f>
        <v>451</v>
      </c>
      <c r="AR471" s="84" t="s">
        <v>20</v>
      </c>
      <c r="AS471" s="141"/>
      <c r="AT471" s="141"/>
      <c r="AU471" s="141"/>
      <c r="AV471" s="141"/>
      <c r="AW471" s="141"/>
      <c r="AX471" s="141"/>
      <c r="AY471" s="142"/>
      <c r="AZ471" s="142"/>
      <c r="BA471" s="56" t="s">
        <v>20</v>
      </c>
      <c r="BB471" s="91" t="n">
        <f aca="false">SUM(L$4:L$503)/COUNTA(A$4:A$503)</f>
        <v>9494.39992</v>
      </c>
      <c r="BC471" s="92" t="n">
        <f aca="false">SUM(M$4:M$503)/COUNTA(A$4:A$503)</f>
        <v>667.20008</v>
      </c>
      <c r="BD471" s="92" t="n">
        <f aca="false">SUM(N$4:N$503)/COUNTA(A$4:A$503)</f>
        <v>697.19996</v>
      </c>
      <c r="BE471" s="92" t="n">
        <f aca="false">SUM(O$4:O$503)/COUNTA(A$4:A$503)</f>
        <v>713.9999</v>
      </c>
      <c r="BF471" s="92" t="n">
        <f aca="false">SUM(P$4:P$503)/COUNTA(A$4:A$503)</f>
        <v>732.59984</v>
      </c>
      <c r="BG471" s="92" t="n">
        <f aca="false">SUM(Q$4:Q$503)/COUNTA(A$4:A$503)</f>
        <v>756.59992</v>
      </c>
      <c r="BH471" s="92" t="n">
        <f aca="false">SUM(R$4:R$503)/COUNTA(A$4:A$503)</f>
        <v>776.40004</v>
      </c>
      <c r="BI471" s="92" t="n">
        <f aca="false">SUM(S$4:S$503)/COUNTA(A$4:A$503)</f>
        <v>806.40012</v>
      </c>
      <c r="BJ471" s="92" t="n">
        <f aca="false">SUM(T$4:T$503)/COUNTA(A$4:A$503)</f>
        <v>826.1999</v>
      </c>
      <c r="BK471" s="92" t="n">
        <f aca="false">SUM(U$4:U$503)/COUNTA(A$4:A$503)</f>
        <v>844.8002</v>
      </c>
      <c r="BL471" s="92" t="n">
        <f aca="false">SUM(V$4:V$503)/COUNTA(A$4:A$503)</f>
        <v>865.7998</v>
      </c>
      <c r="BM471" s="92" t="n">
        <f aca="false">SUM(W$4:W$503)/COUNTA(A$4:A$503)</f>
        <v>888.59982</v>
      </c>
      <c r="BN471" s="93" t="n">
        <f aca="false">SUM(X$4:X$503)/COUNTA(A$4:A$503)</f>
        <v>918.60034</v>
      </c>
      <c r="BO471" s="94" t="s">
        <v>20</v>
      </c>
      <c r="BP471" s="91" t="n">
        <f aca="false">IF(Z471&gt;=BB471,0,IFERROR(BB471+(SUMPRODUCT((Z$4:Z$503&gt;=BB$4:BB$503)*(Z$4:Z$503-BB$4:BB$503))/MAX(1,COUNTIF(Z$4:Z$503,"&lt;"&amp;BB471+0.01))),BB471))</f>
        <v>10695.5432177778</v>
      </c>
      <c r="BQ471" s="92" t="n">
        <f aca="false">IF(AA471&gt;=BC471,0,IFERROR(BC471+SUMPRODUCT((AA$4:AA$503&gt;=BC$4:BC$503)*(AA$4:AA$503-BC$4:BC$503))/MAX(1,COUNTIF(AA$4:AA$503,"&lt;"&amp;BC471+0.01)),BC471))</f>
        <v>2238.46589176471</v>
      </c>
      <c r="BR471" s="92" t="n">
        <f aca="false">IF(AB471&gt;=BD471,0,IFERROR(BD471+SUMPRODUCT((AB$4:AB$503&gt;=BD$4:BD$503)*(AB$4:AB$503-BD$4:BD$503))/MAX(1,COUNTIF(AB$4:AB$503,"&lt;"&amp;BD471+0.01)),BD471))</f>
        <v>3335.2938</v>
      </c>
      <c r="BS471" s="92" t="n">
        <f aca="false">IF(AC471&gt;=BE471,0,IFERROR(BE471+SUMPRODUCT((AC$4:AC$503&gt;=BE$4:BE$503)*(AC$4:AC$503-BE$4:BE$503))/MAX(1,COUNTIF(AC$4:AC$503,"&lt;"&amp;BE471+0.01)),BE471))</f>
        <v>6188.73352</v>
      </c>
      <c r="BT471" s="92" t="n">
        <f aca="false">IF(AD471&gt;=BF471,0,IFERROR(BF471+SUMPRODUCT((AD$4:AD$503&gt;=BF$4:BF$503)*(AD$4:AD$503-BF$4:BF$503))/MAX(1,COUNTIF(AD$4:AD$503,"&lt;"&amp;BF471+0.01)),BF471))</f>
        <v>11354.35411</v>
      </c>
      <c r="BU471" s="92" t="n">
        <f aca="false">IF(AE471&gt;=BG471,0,IFERROR(BG471+SUMPRODUCT((AE$4:AE$503&gt;=BG$4:BG$503)*(AE$4:AE$503-BG$4:BG$503))/MAX(1,COUNTIF(AE$4:AE$503,"&lt;"&amp;BG471+0.01)),BG471))</f>
        <v>7704.85920380952</v>
      </c>
      <c r="BV471" s="92" t="n">
        <f aca="false">IF(AF471&gt;=BH471,0,IFERROR(BH471+SUMPRODUCT((AF$4:AF$503&gt;=BH$4:BH$503)*(AF$4:AF$503-BH$4:BH$503))/MAX(1,COUNTIF(AF$4:AF$503,"&lt;"&amp;BH471+0.01)),BH471))</f>
        <v>9942.6503831579</v>
      </c>
      <c r="BW471" s="92" t="n">
        <f aca="false">IF(AG471&gt;=BI471,0,IFERROR(BI471+SUMPRODUCT((AG$4:AG$503&gt;=BI$4:BI$503)*(AG$4:AG$503-BI$4:BI$503))/MAX(1,COUNTIF(AG$4:AG$503,"&lt;"&amp;BI471+0.01)),BI471))</f>
        <v>9142.15870461538</v>
      </c>
      <c r="BX471" s="92" t="n">
        <f aca="false">IF(AH471&gt;=BJ471,0,IFERROR(BJ471+SUMPRODUCT((AH$4:AH$503&gt;=BJ$4:BJ$503)*(AH$4:AH$503-BJ$4:BJ$503))/MAX(1,COUNTIF(AH$4:AH$503,"&lt;"&amp;BJ471+0.01)),BJ471))</f>
        <v>5621.50263448276</v>
      </c>
      <c r="BY471" s="92" t="n">
        <f aca="false">IF(AI471&gt;=BK471,0,IFERROR(BK471+SUMPRODUCT((AI$4:AI$503&gt;=BK$4:BK$503)*(AI$4:AI$503-BK$4:BK$503))/MAX(1,COUNTIF(AI$4:AI$503,"&lt;"&amp;BK471+0.01)),BK471))</f>
        <v>7878.25652380952</v>
      </c>
      <c r="BZ471" s="92" t="n">
        <f aca="false">IF(AJ471&gt;=BL471,0,IFERROR(BL471+SUMPRODUCT((AJ$4:AJ$503&gt;=BL$4:BL$503)*(AJ$4:AJ$503-BL$4:BL$503))/MAX(1,COUNTIF(AJ$4:AJ$503,"&lt;"&amp;BL471+0.01)),BL471))</f>
        <v>6710.03292307692</v>
      </c>
      <c r="CA471" s="92" t="n">
        <f aca="false">IF(AK471&gt;=BM471,0,IFERROR(BM471+SUMPRODUCT((AK$4:AK$503&gt;=BM$4:BM$503)*(AK$4:AK$503-BM$4:BM$503))/MAX(1,COUNTIF(AK$4:AK$503,"&lt;"&amp;BM471+0.01)),BM471))</f>
        <v>7314.89836842105</v>
      </c>
      <c r="CB471" s="93" t="n">
        <f aca="false">IF(AL471&gt;=BN471,0,IFERROR(BN471+SUMPRODUCT((AL$4:AL$503&gt;=BN$4:BN$503)*(AL$4:AL$503-BN$4:BN$503))/MAX(1,COUNTIF(AL$4:AL$503,"&lt;"&amp;BN471+0.01)),BN471))</f>
        <v>3597.2614925</v>
      </c>
      <c r="CC471" s="95" t="str">
        <f aca="false">IF(AO471="🟢","VERDE",IF(AO471="🟡","AMARELO",IF(AO471="🟠","VERMELHO",IF(AO471="🔴","VERMELHO","ROXO"))))</f>
        <v>VERMELHO</v>
      </c>
      <c r="CD471" s="96" t="s">
        <v>103</v>
      </c>
      <c r="CE471" s="96" t="s">
        <v>104</v>
      </c>
    </row>
    <row r="472" customFormat="false" ht="14.25" hidden="false" customHeight="true" outlineLevel="0" collapsed="false">
      <c r="A472" s="65" t="s">
        <v>1077</v>
      </c>
      <c r="B472" s="66" t="s">
        <v>1078</v>
      </c>
      <c r="C472" s="67" t="s">
        <v>107</v>
      </c>
      <c r="D472" s="68" t="s">
        <v>108</v>
      </c>
      <c r="E472" s="69" t="s">
        <v>109</v>
      </c>
      <c r="F472" s="70" t="n">
        <f aca="false">IFERROR(VLOOKUP(C472,$AS$3:$AT$10,2,FALSE()),IFERROR(VLOOKUP(C472,$AS$15:$AT$22,2,FALSE()),""))</f>
        <v>132</v>
      </c>
      <c r="G472" s="71" t="n">
        <f aca="false">IFERROR(VLOOKUP(C472,$AS$3:$AX$10,6,FALSE()),IFERROR(VLOOKUP(C472,$AS$15:$AX$22,6,FALSE()),""))</f>
        <v>0.468190175850689</v>
      </c>
      <c r="H472" s="72" t="str">
        <f aca="false">IFERROR(VLOOKUP(C472,$AS$3:$AY$10,7,FALSE()),IFERROR(VLOOKUP(C472,$AS$15:$AY$22,7,FALSE()),""))</f>
        <v>🟡 AMARELO</v>
      </c>
      <c r="I472" s="72" t="str">
        <f aca="false">IFERROR(VLOOKUP(C472,$AS$3:$AZ$10,8,FALSE()),IFERROR(VLOOKUP(C472,$AS$15:$AZ$22,8,FALSE()),""))</f>
        <v>Sell Out</v>
      </c>
      <c r="J472" s="73"/>
      <c r="K472" s="69" t="s">
        <v>107</v>
      </c>
      <c r="L472" s="74" t="n">
        <v>1270.21</v>
      </c>
      <c r="M472" s="75" t="n">
        <v>89.26</v>
      </c>
      <c r="N472" s="75" t="n">
        <v>93.28</v>
      </c>
      <c r="O472" s="75" t="n">
        <v>95.52</v>
      </c>
      <c r="P472" s="75" t="n">
        <v>98.01</v>
      </c>
      <c r="Q472" s="75" t="n">
        <v>101.22</v>
      </c>
      <c r="R472" s="75" t="n">
        <v>103.87</v>
      </c>
      <c r="S472" s="75" t="n">
        <v>107.89</v>
      </c>
      <c r="T472" s="75" t="n">
        <v>110.53</v>
      </c>
      <c r="U472" s="75" t="n">
        <v>113.02</v>
      </c>
      <c r="V472" s="75" t="n">
        <v>115.83</v>
      </c>
      <c r="W472" s="75" t="n">
        <v>118.88</v>
      </c>
      <c r="X472" s="76" t="n">
        <v>122.9</v>
      </c>
      <c r="Y472" s="77" t="s">
        <v>20</v>
      </c>
      <c r="Z472" s="78" t="n">
        <f aca="false">SUM(AA472:AL472)</f>
        <v>708.5</v>
      </c>
      <c r="AA472" s="75"/>
      <c r="AB472" s="75"/>
      <c r="AC472" s="75"/>
      <c r="AD472" s="75"/>
      <c r="AE472" s="75"/>
      <c r="AF472" s="75"/>
      <c r="AG472" s="75"/>
      <c r="AH472" s="79" t="n">
        <v>708.5</v>
      </c>
      <c r="AI472" s="75"/>
      <c r="AJ472" s="75"/>
      <c r="AK472" s="75"/>
      <c r="AL472" s="76"/>
      <c r="AM472" s="56" t="s">
        <v>20</v>
      </c>
      <c r="AN472" s="80" t="n">
        <f aca="false">IF(L472=0,0,Z472/L472)</f>
        <v>0.557781784114438</v>
      </c>
      <c r="AO472" s="81" t="str">
        <f aca="false">IF(AN472="","",IF(AN472&gt;=0.9,"🟢",IF(AN472&gt;=0.7,"🟡",IF(AN472&gt;=0.5,"🟠","🔴"))))</f>
        <v>🟠</v>
      </c>
      <c r="AP472" s="82" t="n">
        <f aca="false">IF(L472=0,0,L472-Z472)</f>
        <v>561.71</v>
      </c>
      <c r="AQ472" s="83" t="n">
        <f aca="false">IF(AP472=0,"",RANK(AP472,AP$4:AP$503,0))</f>
        <v>449</v>
      </c>
      <c r="AR472" s="84" t="s">
        <v>20</v>
      </c>
      <c r="AS472" s="141"/>
      <c r="AT472" s="141"/>
      <c r="AU472" s="141"/>
      <c r="AV472" s="141"/>
      <c r="AW472" s="141"/>
      <c r="AX472" s="141"/>
      <c r="AY472" s="142"/>
      <c r="AZ472" s="142"/>
      <c r="BA472" s="56" t="s">
        <v>20</v>
      </c>
      <c r="BB472" s="91" t="n">
        <f aca="false">SUM(L$4:L$503)/COUNTA(A$4:A$503)</f>
        <v>9494.39992</v>
      </c>
      <c r="BC472" s="92" t="n">
        <f aca="false">SUM(M$4:M$503)/COUNTA(A$4:A$503)</f>
        <v>667.20008</v>
      </c>
      <c r="BD472" s="92" t="n">
        <f aca="false">SUM(N$4:N$503)/COUNTA(A$4:A$503)</f>
        <v>697.19996</v>
      </c>
      <c r="BE472" s="92" t="n">
        <f aca="false">SUM(O$4:O$503)/COUNTA(A$4:A$503)</f>
        <v>713.9999</v>
      </c>
      <c r="BF472" s="92" t="n">
        <f aca="false">SUM(P$4:P$503)/COUNTA(A$4:A$503)</f>
        <v>732.59984</v>
      </c>
      <c r="BG472" s="92" t="n">
        <f aca="false">SUM(Q$4:Q$503)/COUNTA(A$4:A$503)</f>
        <v>756.59992</v>
      </c>
      <c r="BH472" s="92" t="n">
        <f aca="false">SUM(R$4:R$503)/COUNTA(A$4:A$503)</f>
        <v>776.40004</v>
      </c>
      <c r="BI472" s="92" t="n">
        <f aca="false">SUM(S$4:S$503)/COUNTA(A$4:A$503)</f>
        <v>806.40012</v>
      </c>
      <c r="BJ472" s="92" t="n">
        <f aca="false">SUM(T$4:T$503)/COUNTA(A$4:A$503)</f>
        <v>826.1999</v>
      </c>
      <c r="BK472" s="92" t="n">
        <f aca="false">SUM(U$4:U$503)/COUNTA(A$4:A$503)</f>
        <v>844.8002</v>
      </c>
      <c r="BL472" s="92" t="n">
        <f aca="false">SUM(V$4:V$503)/COUNTA(A$4:A$503)</f>
        <v>865.7998</v>
      </c>
      <c r="BM472" s="92" t="n">
        <f aca="false">SUM(W$4:W$503)/COUNTA(A$4:A$503)</f>
        <v>888.59982</v>
      </c>
      <c r="BN472" s="93" t="n">
        <f aca="false">SUM(X$4:X$503)/COUNTA(A$4:A$503)</f>
        <v>918.60034</v>
      </c>
      <c r="BO472" s="94" t="s">
        <v>20</v>
      </c>
      <c r="BP472" s="91" t="n">
        <f aca="false">IF(Z472&gt;=BB472,0,IFERROR(BB472+(SUMPRODUCT((Z$4:Z$503&gt;=BB$4:BB$503)*(Z$4:Z$503-BB$4:BB$503))/MAX(1,COUNTIF(Z$4:Z$503,"&lt;"&amp;BB472+0.01))),BB472))</f>
        <v>10695.5432177778</v>
      </c>
      <c r="BQ472" s="92" t="n">
        <f aca="false">IF(AA472&gt;=BC472,0,IFERROR(BC472+SUMPRODUCT((AA$4:AA$503&gt;=BC$4:BC$503)*(AA$4:AA$503-BC$4:BC$503))/MAX(1,COUNTIF(AA$4:AA$503,"&lt;"&amp;BC472+0.01)),BC472))</f>
        <v>2238.46589176471</v>
      </c>
      <c r="BR472" s="92" t="n">
        <f aca="false">IF(AB472&gt;=BD472,0,IFERROR(BD472+SUMPRODUCT((AB$4:AB$503&gt;=BD$4:BD$503)*(AB$4:AB$503-BD$4:BD$503))/MAX(1,COUNTIF(AB$4:AB$503,"&lt;"&amp;BD472+0.01)),BD472))</f>
        <v>3335.2938</v>
      </c>
      <c r="BS472" s="92" t="n">
        <f aca="false">IF(AC472&gt;=BE472,0,IFERROR(BE472+SUMPRODUCT((AC$4:AC$503&gt;=BE$4:BE$503)*(AC$4:AC$503-BE$4:BE$503))/MAX(1,COUNTIF(AC$4:AC$503,"&lt;"&amp;BE472+0.01)),BE472))</f>
        <v>6188.73352</v>
      </c>
      <c r="BT472" s="92" t="n">
        <f aca="false">IF(AD472&gt;=BF472,0,IFERROR(BF472+SUMPRODUCT((AD$4:AD$503&gt;=BF$4:BF$503)*(AD$4:AD$503-BF$4:BF$503))/MAX(1,COUNTIF(AD$4:AD$503,"&lt;"&amp;BF472+0.01)),BF472))</f>
        <v>11354.35411</v>
      </c>
      <c r="BU472" s="92" t="n">
        <f aca="false">IF(AE472&gt;=BG472,0,IFERROR(BG472+SUMPRODUCT((AE$4:AE$503&gt;=BG$4:BG$503)*(AE$4:AE$503-BG$4:BG$503))/MAX(1,COUNTIF(AE$4:AE$503,"&lt;"&amp;BG472+0.01)),BG472))</f>
        <v>7704.85920380952</v>
      </c>
      <c r="BV472" s="92" t="n">
        <f aca="false">IF(AF472&gt;=BH472,0,IFERROR(BH472+SUMPRODUCT((AF$4:AF$503&gt;=BH$4:BH$503)*(AF$4:AF$503-BH$4:BH$503))/MAX(1,COUNTIF(AF$4:AF$503,"&lt;"&amp;BH472+0.01)),BH472))</f>
        <v>9942.6503831579</v>
      </c>
      <c r="BW472" s="92" t="n">
        <f aca="false">IF(AG472&gt;=BI472,0,IFERROR(BI472+SUMPRODUCT((AG$4:AG$503&gt;=BI$4:BI$503)*(AG$4:AG$503-BI$4:BI$503))/MAX(1,COUNTIF(AG$4:AG$503,"&lt;"&amp;BI472+0.01)),BI472))</f>
        <v>9142.15870461538</v>
      </c>
      <c r="BX472" s="92" t="n">
        <f aca="false">IF(AH472&gt;=BJ472,0,IFERROR(BJ472+SUMPRODUCT((AH$4:AH$503&gt;=BJ$4:BJ$503)*(AH$4:AH$503-BJ$4:BJ$503))/MAX(1,COUNTIF(AH$4:AH$503,"&lt;"&amp;BJ472+0.01)),BJ472))</f>
        <v>5621.50263448276</v>
      </c>
      <c r="BY472" s="92" t="n">
        <f aca="false">IF(AI472&gt;=BK472,0,IFERROR(BK472+SUMPRODUCT((AI$4:AI$503&gt;=BK$4:BK$503)*(AI$4:AI$503-BK$4:BK$503))/MAX(1,COUNTIF(AI$4:AI$503,"&lt;"&amp;BK472+0.01)),BK472))</f>
        <v>7878.25652380952</v>
      </c>
      <c r="BZ472" s="92" t="n">
        <f aca="false">IF(AJ472&gt;=BL472,0,IFERROR(BL472+SUMPRODUCT((AJ$4:AJ$503&gt;=BL$4:BL$503)*(AJ$4:AJ$503-BL$4:BL$503))/MAX(1,COUNTIF(AJ$4:AJ$503,"&lt;"&amp;BL472+0.01)),BL472))</f>
        <v>6710.03292307692</v>
      </c>
      <c r="CA472" s="92" t="n">
        <f aca="false">IF(AK472&gt;=BM472,0,IFERROR(BM472+SUMPRODUCT((AK$4:AK$503&gt;=BM$4:BM$503)*(AK$4:AK$503-BM$4:BM$503))/MAX(1,COUNTIF(AK$4:AK$503,"&lt;"&amp;BM472+0.01)),BM472))</f>
        <v>7314.89836842105</v>
      </c>
      <c r="CB472" s="93" t="n">
        <f aca="false">IF(AL472&gt;=BN472,0,IFERROR(BN472+SUMPRODUCT((AL$4:AL$503&gt;=BN$4:BN$503)*(AL$4:AL$503-BN$4:BN$503))/MAX(1,COUNTIF(AL$4:AL$503,"&lt;"&amp;BN472+0.01)),BN472))</f>
        <v>3597.2614925</v>
      </c>
      <c r="CC472" s="95" t="str">
        <f aca="false">IF(AO472="🟢","VERDE",IF(AO472="🟡","AMARELO",IF(AO472="🟠","VERMELHO",IF(AO472="🔴","VERMELHO","ROXO"))))</f>
        <v>VERMELHO</v>
      </c>
      <c r="CD472" s="96" t="s">
        <v>103</v>
      </c>
      <c r="CE472" s="96" t="s">
        <v>104</v>
      </c>
    </row>
    <row r="473" customFormat="false" ht="14.25" hidden="false" customHeight="true" outlineLevel="0" collapsed="false">
      <c r="A473" s="65" t="s">
        <v>1079</v>
      </c>
      <c r="B473" s="66" t="s">
        <v>1080</v>
      </c>
      <c r="C473" s="67" t="s">
        <v>107</v>
      </c>
      <c r="D473" s="68" t="s">
        <v>108</v>
      </c>
      <c r="E473" s="69" t="s">
        <v>196</v>
      </c>
      <c r="F473" s="70" t="n">
        <f aca="false">IFERROR(VLOOKUP(C473,$AS$3:$AT$10,2,FALSE()),IFERROR(VLOOKUP(C473,$AS$15:$AT$22,2,FALSE()),""))</f>
        <v>132</v>
      </c>
      <c r="G473" s="71" t="n">
        <f aca="false">IFERROR(VLOOKUP(C473,$AS$3:$AX$10,6,FALSE()),IFERROR(VLOOKUP(C473,$AS$15:$AX$22,6,FALSE()),""))</f>
        <v>0.468190175850689</v>
      </c>
      <c r="H473" s="72" t="str">
        <f aca="false">IFERROR(VLOOKUP(C473,$AS$3:$AY$10,7,FALSE()),IFERROR(VLOOKUP(C473,$AS$15:$AY$22,7,FALSE()),""))</f>
        <v>🟡 AMARELO</v>
      </c>
      <c r="I473" s="72" t="str">
        <f aca="false">IFERROR(VLOOKUP(C473,$AS$3:$AZ$10,8,FALSE()),IFERROR(VLOOKUP(C473,$AS$15:$AZ$22,8,FALSE()),""))</f>
        <v>Sell Out</v>
      </c>
      <c r="J473" s="73"/>
      <c r="K473" s="69" t="s">
        <v>107</v>
      </c>
      <c r="L473" s="74" t="n">
        <v>1260.48</v>
      </c>
      <c r="M473" s="75" t="n">
        <v>88.58</v>
      </c>
      <c r="N473" s="75" t="n">
        <v>92.56</v>
      </c>
      <c r="O473" s="75" t="n">
        <v>94.79</v>
      </c>
      <c r="P473" s="75" t="n">
        <v>97.26</v>
      </c>
      <c r="Q473" s="75" t="n">
        <v>100.45</v>
      </c>
      <c r="R473" s="75" t="n">
        <v>103.07</v>
      </c>
      <c r="S473" s="75" t="n">
        <v>107.06</v>
      </c>
      <c r="T473" s="75" t="n">
        <v>109.69</v>
      </c>
      <c r="U473" s="75" t="n">
        <v>112.16</v>
      </c>
      <c r="V473" s="75" t="n">
        <v>114.94</v>
      </c>
      <c r="W473" s="75" t="n">
        <v>117.97</v>
      </c>
      <c r="X473" s="76" t="n">
        <v>121.95</v>
      </c>
      <c r="Y473" s="77" t="s">
        <v>20</v>
      </c>
      <c r="Z473" s="78" t="n">
        <f aca="false">SUM(AA473:AL473)</f>
        <v>1939.9</v>
      </c>
      <c r="AA473" s="75"/>
      <c r="AB473" s="75"/>
      <c r="AC473" s="75"/>
      <c r="AD473" s="75"/>
      <c r="AE473" s="75"/>
      <c r="AF473" s="75"/>
      <c r="AG473" s="75"/>
      <c r="AH473" s="75"/>
      <c r="AI473" s="75"/>
      <c r="AJ473" s="79" t="n">
        <v>1939.9</v>
      </c>
      <c r="AK473" s="75"/>
      <c r="AL473" s="76"/>
      <c r="AM473" s="56" t="s">
        <v>20</v>
      </c>
      <c r="AN473" s="80" t="n">
        <f aca="false">IF(L473=0,0,Z473/L473)</f>
        <v>1.53901688245748</v>
      </c>
      <c r="AO473" s="81" t="str">
        <f aca="false">IF(AN473="","",IF(AN473&gt;=0.9,"🟢",IF(AN473&gt;=0.7,"🟡",IF(AN473&gt;=0.5,"🟠","🔴"))))</f>
        <v>🟢</v>
      </c>
      <c r="AP473" s="82" t="n">
        <f aca="false">IF(L473=0,0,L473-Z473)</f>
        <v>-679.42</v>
      </c>
      <c r="AQ473" s="83" t="n">
        <f aca="false">IF(AP473=0,"",RANK(AP473,AP$4:AP$503,0))</f>
        <v>493</v>
      </c>
      <c r="AR473" s="84" t="s">
        <v>20</v>
      </c>
      <c r="AS473" s="141"/>
      <c r="AT473" s="141"/>
      <c r="AU473" s="141"/>
      <c r="AV473" s="141"/>
      <c r="AW473" s="141"/>
      <c r="AX473" s="141"/>
      <c r="AY473" s="142"/>
      <c r="AZ473" s="142"/>
      <c r="BA473" s="56" t="s">
        <v>20</v>
      </c>
      <c r="BB473" s="91" t="n">
        <f aca="false">SUM(L$4:L$503)/COUNTA(A$4:A$503)</f>
        <v>9494.39992</v>
      </c>
      <c r="BC473" s="92" t="n">
        <f aca="false">SUM(M$4:M$503)/COUNTA(A$4:A$503)</f>
        <v>667.20008</v>
      </c>
      <c r="BD473" s="92" t="n">
        <f aca="false">SUM(N$4:N$503)/COUNTA(A$4:A$503)</f>
        <v>697.19996</v>
      </c>
      <c r="BE473" s="92" t="n">
        <f aca="false">SUM(O$4:O$503)/COUNTA(A$4:A$503)</f>
        <v>713.9999</v>
      </c>
      <c r="BF473" s="92" t="n">
        <f aca="false">SUM(P$4:P$503)/COUNTA(A$4:A$503)</f>
        <v>732.59984</v>
      </c>
      <c r="BG473" s="92" t="n">
        <f aca="false">SUM(Q$4:Q$503)/COUNTA(A$4:A$503)</f>
        <v>756.59992</v>
      </c>
      <c r="BH473" s="92" t="n">
        <f aca="false">SUM(R$4:R$503)/COUNTA(A$4:A$503)</f>
        <v>776.40004</v>
      </c>
      <c r="BI473" s="92" t="n">
        <f aca="false">SUM(S$4:S$503)/COUNTA(A$4:A$503)</f>
        <v>806.40012</v>
      </c>
      <c r="BJ473" s="92" t="n">
        <f aca="false">SUM(T$4:T$503)/COUNTA(A$4:A$503)</f>
        <v>826.1999</v>
      </c>
      <c r="BK473" s="92" t="n">
        <f aca="false">SUM(U$4:U$503)/COUNTA(A$4:A$503)</f>
        <v>844.8002</v>
      </c>
      <c r="BL473" s="92" t="n">
        <f aca="false">SUM(V$4:V$503)/COUNTA(A$4:A$503)</f>
        <v>865.7998</v>
      </c>
      <c r="BM473" s="92" t="n">
        <f aca="false">SUM(W$4:W$503)/COUNTA(A$4:A$503)</f>
        <v>888.59982</v>
      </c>
      <c r="BN473" s="93" t="n">
        <f aca="false">SUM(X$4:X$503)/COUNTA(A$4:A$503)</f>
        <v>918.60034</v>
      </c>
      <c r="BO473" s="94" t="s">
        <v>20</v>
      </c>
      <c r="BP473" s="91" t="n">
        <f aca="false">IF(Z473&gt;=BB473,0,IFERROR(BB473+(SUMPRODUCT((Z$4:Z$503&gt;=BB$4:BB$503)*(Z$4:Z$503-BB$4:BB$503))/MAX(1,COUNTIF(Z$4:Z$503,"&lt;"&amp;BB473+0.01))),BB473))</f>
        <v>10695.5432177778</v>
      </c>
      <c r="BQ473" s="92" t="n">
        <f aca="false">IF(AA473&gt;=BC473,0,IFERROR(BC473+SUMPRODUCT((AA$4:AA$503&gt;=BC$4:BC$503)*(AA$4:AA$503-BC$4:BC$503))/MAX(1,COUNTIF(AA$4:AA$503,"&lt;"&amp;BC473+0.01)),BC473))</f>
        <v>2238.46589176471</v>
      </c>
      <c r="BR473" s="92" t="n">
        <f aca="false">IF(AB473&gt;=BD473,0,IFERROR(BD473+SUMPRODUCT((AB$4:AB$503&gt;=BD$4:BD$503)*(AB$4:AB$503-BD$4:BD$503))/MAX(1,COUNTIF(AB$4:AB$503,"&lt;"&amp;BD473+0.01)),BD473))</f>
        <v>3335.2938</v>
      </c>
      <c r="BS473" s="92" t="n">
        <f aca="false">IF(AC473&gt;=BE473,0,IFERROR(BE473+SUMPRODUCT((AC$4:AC$503&gt;=BE$4:BE$503)*(AC$4:AC$503-BE$4:BE$503))/MAX(1,COUNTIF(AC$4:AC$503,"&lt;"&amp;BE473+0.01)),BE473))</f>
        <v>6188.73352</v>
      </c>
      <c r="BT473" s="92" t="n">
        <f aca="false">IF(AD473&gt;=BF473,0,IFERROR(BF473+SUMPRODUCT((AD$4:AD$503&gt;=BF$4:BF$503)*(AD$4:AD$503-BF$4:BF$503))/MAX(1,COUNTIF(AD$4:AD$503,"&lt;"&amp;BF473+0.01)),BF473))</f>
        <v>11354.35411</v>
      </c>
      <c r="BU473" s="92" t="n">
        <f aca="false">IF(AE473&gt;=BG473,0,IFERROR(BG473+SUMPRODUCT((AE$4:AE$503&gt;=BG$4:BG$503)*(AE$4:AE$503-BG$4:BG$503))/MAX(1,COUNTIF(AE$4:AE$503,"&lt;"&amp;BG473+0.01)),BG473))</f>
        <v>7704.85920380952</v>
      </c>
      <c r="BV473" s="92" t="n">
        <f aca="false">IF(AF473&gt;=BH473,0,IFERROR(BH473+SUMPRODUCT((AF$4:AF$503&gt;=BH$4:BH$503)*(AF$4:AF$503-BH$4:BH$503))/MAX(1,COUNTIF(AF$4:AF$503,"&lt;"&amp;BH473+0.01)),BH473))</f>
        <v>9942.6503831579</v>
      </c>
      <c r="BW473" s="92" t="n">
        <f aca="false">IF(AG473&gt;=BI473,0,IFERROR(BI473+SUMPRODUCT((AG$4:AG$503&gt;=BI$4:BI$503)*(AG$4:AG$503-BI$4:BI$503))/MAX(1,COUNTIF(AG$4:AG$503,"&lt;"&amp;BI473+0.01)),BI473))</f>
        <v>9142.15870461538</v>
      </c>
      <c r="BX473" s="92" t="n">
        <f aca="false">IF(AH473&gt;=BJ473,0,IFERROR(BJ473+SUMPRODUCT((AH$4:AH$503&gt;=BJ$4:BJ$503)*(AH$4:AH$503-BJ$4:BJ$503))/MAX(1,COUNTIF(AH$4:AH$503,"&lt;"&amp;BJ473+0.01)),BJ473))</f>
        <v>5621.50263448276</v>
      </c>
      <c r="BY473" s="92" t="n">
        <f aca="false">IF(AI473&gt;=BK473,0,IFERROR(BK473+SUMPRODUCT((AI$4:AI$503&gt;=BK$4:BK$503)*(AI$4:AI$503-BK$4:BK$503))/MAX(1,COUNTIF(AI$4:AI$503,"&lt;"&amp;BK473+0.01)),BK473))</f>
        <v>7878.25652380952</v>
      </c>
      <c r="BZ473" s="92" t="n">
        <f aca="false">IF(AJ473&gt;=BL473,0,IFERROR(BL473+SUMPRODUCT((AJ$4:AJ$503&gt;=BL$4:BL$503)*(AJ$4:AJ$503-BL$4:BL$503))/MAX(1,COUNTIF(AJ$4:AJ$503,"&lt;"&amp;BL473+0.01)),BL473))</f>
        <v>0</v>
      </c>
      <c r="CA473" s="92" t="n">
        <f aca="false">IF(AK473&gt;=BM473,0,IFERROR(BM473+SUMPRODUCT((AK$4:AK$503&gt;=BM$4:BM$503)*(AK$4:AK$503-BM$4:BM$503))/MAX(1,COUNTIF(AK$4:AK$503,"&lt;"&amp;BM473+0.01)),BM473))</f>
        <v>7314.89836842105</v>
      </c>
      <c r="CB473" s="93" t="n">
        <f aca="false">IF(AL473&gt;=BN473,0,IFERROR(BN473+SUMPRODUCT((AL$4:AL$503&gt;=BN$4:BN$503)*(AL$4:AL$503-BN$4:BN$503))/MAX(1,COUNTIF(AL$4:AL$503,"&lt;"&amp;BN473+0.01)),BN473))</f>
        <v>3597.2614925</v>
      </c>
      <c r="CC473" s="95" t="str">
        <f aca="false">IF(AO473="🟢","VERDE",IF(AO473="🟡","AMARELO",IF(AO473="🟠","VERMELHO",IF(AO473="🔴","VERMELHO","ROXO"))))</f>
        <v>VERDE</v>
      </c>
      <c r="CD473" s="96" t="s">
        <v>103</v>
      </c>
      <c r="CE473" s="96" t="s">
        <v>104</v>
      </c>
    </row>
    <row r="474" customFormat="false" ht="14.25" hidden="false" customHeight="true" outlineLevel="0" collapsed="false">
      <c r="A474" s="65" t="s">
        <v>1081</v>
      </c>
      <c r="B474" s="66" t="s">
        <v>1082</v>
      </c>
      <c r="C474" s="66" t="s">
        <v>110</v>
      </c>
      <c r="D474" s="68" t="s">
        <v>184</v>
      </c>
      <c r="E474" s="69" t="s">
        <v>196</v>
      </c>
      <c r="F474" s="70" t="n">
        <f aca="false">IFERROR(VLOOKUP(C474,$AS$3:$AT$10,2,FALSE()),IFERROR(VLOOKUP(C474,$AS$15:$AT$22,2,FALSE()),""))</f>
        <v>15</v>
      </c>
      <c r="G474" s="71" t="n">
        <f aca="false">IFERROR(VLOOKUP(C474,$AS$3:$AX$10,6,FALSE()),IFERROR(VLOOKUP(C474,$AS$15:$AX$22,6,FALSE()),""))</f>
        <v>0.621111876107332</v>
      </c>
      <c r="H474" s="72" t="str">
        <f aca="false">IFERROR(VLOOKUP(C474,$AS$3:$AY$10,7,FALSE()),IFERROR(VLOOKUP(C474,$AS$15:$AY$22,7,FALSE()),""))</f>
        <v>🟢 VERDE</v>
      </c>
      <c r="I474" s="72" t="str">
        <f aca="false">IFERROR(VLOOKUP(C474,$AS$3:$AZ$10,8,FALSE()),IFERROR(VLOOKUP(C474,$AS$15:$AZ$22,8,FALSE()),""))</f>
        <v>JBP</v>
      </c>
      <c r="J474" s="73"/>
      <c r="K474" s="69" t="s">
        <v>107</v>
      </c>
      <c r="L474" s="74" t="n">
        <v>1183.38</v>
      </c>
      <c r="M474" s="75" t="n">
        <v>83.16</v>
      </c>
      <c r="N474" s="75" t="n">
        <v>86.9</v>
      </c>
      <c r="O474" s="75" t="n">
        <v>88.99</v>
      </c>
      <c r="P474" s="75" t="n">
        <v>91.31</v>
      </c>
      <c r="Q474" s="75" t="n">
        <v>94.3</v>
      </c>
      <c r="R474" s="75" t="n">
        <v>96.77</v>
      </c>
      <c r="S474" s="75" t="n">
        <v>100.51</v>
      </c>
      <c r="T474" s="75" t="n">
        <v>102.98</v>
      </c>
      <c r="U474" s="75" t="n">
        <v>105.3</v>
      </c>
      <c r="V474" s="75" t="n">
        <v>107.91</v>
      </c>
      <c r="W474" s="75" t="n">
        <v>110.76</v>
      </c>
      <c r="X474" s="76" t="n">
        <v>114.49</v>
      </c>
      <c r="Y474" s="77" t="s">
        <v>20</v>
      </c>
      <c r="Z474" s="78" t="n">
        <f aca="false">SUM(AA474:AL474)</f>
        <v>475.9</v>
      </c>
      <c r="AA474" s="79" t="n">
        <v>475.9</v>
      </c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6"/>
      <c r="AM474" s="56" t="s">
        <v>20</v>
      </c>
      <c r="AN474" s="80" t="n">
        <f aca="false">IF(L474=0,0,Z474/L474)</f>
        <v>0.402153154523484</v>
      </c>
      <c r="AO474" s="81" t="str">
        <f aca="false">IF(AN474="","",IF(AN474&gt;=0.9,"🟢",IF(AN474&gt;=0.7,"🟡",IF(AN474&gt;=0.5,"🟠","🔴"))))</f>
        <v>🔴</v>
      </c>
      <c r="AP474" s="82" t="n">
        <f aca="false">IF(L474=0,0,L474-Z474)</f>
        <v>707.48</v>
      </c>
      <c r="AQ474" s="83" t="n">
        <f aca="false">IF(AP474=0,"",RANK(AP474,AP$4:AP$503,0))</f>
        <v>428</v>
      </c>
      <c r="AR474" s="84" t="s">
        <v>20</v>
      </c>
      <c r="AS474" s="141"/>
      <c r="AT474" s="141"/>
      <c r="AU474" s="141"/>
      <c r="AV474" s="141"/>
      <c r="AW474" s="141"/>
      <c r="AX474" s="141"/>
      <c r="AY474" s="142"/>
      <c r="AZ474" s="142"/>
      <c r="BA474" s="56" t="s">
        <v>20</v>
      </c>
      <c r="BB474" s="91" t="n">
        <f aca="false">SUM(L$4:L$503)/COUNTA(A$4:A$503)</f>
        <v>9494.39992</v>
      </c>
      <c r="BC474" s="92" t="n">
        <f aca="false">SUM(M$4:M$503)/COUNTA(A$4:A$503)</f>
        <v>667.20008</v>
      </c>
      <c r="BD474" s="92" t="n">
        <f aca="false">SUM(N$4:N$503)/COUNTA(A$4:A$503)</f>
        <v>697.19996</v>
      </c>
      <c r="BE474" s="92" t="n">
        <f aca="false">SUM(O$4:O$503)/COUNTA(A$4:A$503)</f>
        <v>713.9999</v>
      </c>
      <c r="BF474" s="92" t="n">
        <f aca="false">SUM(P$4:P$503)/COUNTA(A$4:A$503)</f>
        <v>732.59984</v>
      </c>
      <c r="BG474" s="92" t="n">
        <f aca="false">SUM(Q$4:Q$503)/COUNTA(A$4:A$503)</f>
        <v>756.59992</v>
      </c>
      <c r="BH474" s="92" t="n">
        <f aca="false">SUM(R$4:R$503)/COUNTA(A$4:A$503)</f>
        <v>776.40004</v>
      </c>
      <c r="BI474" s="92" t="n">
        <f aca="false">SUM(S$4:S$503)/COUNTA(A$4:A$503)</f>
        <v>806.40012</v>
      </c>
      <c r="BJ474" s="92" t="n">
        <f aca="false">SUM(T$4:T$503)/COUNTA(A$4:A$503)</f>
        <v>826.1999</v>
      </c>
      <c r="BK474" s="92" t="n">
        <f aca="false">SUM(U$4:U$503)/COUNTA(A$4:A$503)</f>
        <v>844.8002</v>
      </c>
      <c r="BL474" s="92" t="n">
        <f aca="false">SUM(V$4:V$503)/COUNTA(A$4:A$503)</f>
        <v>865.7998</v>
      </c>
      <c r="BM474" s="92" t="n">
        <f aca="false">SUM(W$4:W$503)/COUNTA(A$4:A$503)</f>
        <v>888.59982</v>
      </c>
      <c r="BN474" s="93" t="n">
        <f aca="false">SUM(X$4:X$503)/COUNTA(A$4:A$503)</f>
        <v>918.60034</v>
      </c>
      <c r="BO474" s="94" t="s">
        <v>20</v>
      </c>
      <c r="BP474" s="91" t="n">
        <f aca="false">IF(Z474&gt;=BB474,0,IFERROR(BB474+(SUMPRODUCT((Z$4:Z$503&gt;=BB$4:BB$503)*(Z$4:Z$503-BB$4:BB$503))/MAX(1,COUNTIF(Z$4:Z$503,"&lt;"&amp;BB474+0.01))),BB474))</f>
        <v>10695.5432177778</v>
      </c>
      <c r="BQ474" s="92" t="n">
        <f aca="false">IF(AA474&gt;=BC474,0,IFERROR(BC474+SUMPRODUCT((AA$4:AA$503&gt;=BC$4:BC$503)*(AA$4:AA$503-BC$4:BC$503))/MAX(1,COUNTIF(AA$4:AA$503,"&lt;"&amp;BC474+0.01)),BC474))</f>
        <v>2238.46589176471</v>
      </c>
      <c r="BR474" s="92" t="n">
        <f aca="false">IF(AB474&gt;=BD474,0,IFERROR(BD474+SUMPRODUCT((AB$4:AB$503&gt;=BD$4:BD$503)*(AB$4:AB$503-BD$4:BD$503))/MAX(1,COUNTIF(AB$4:AB$503,"&lt;"&amp;BD474+0.01)),BD474))</f>
        <v>3335.2938</v>
      </c>
      <c r="BS474" s="92" t="n">
        <f aca="false">IF(AC474&gt;=BE474,0,IFERROR(BE474+SUMPRODUCT((AC$4:AC$503&gt;=BE$4:BE$503)*(AC$4:AC$503-BE$4:BE$503))/MAX(1,COUNTIF(AC$4:AC$503,"&lt;"&amp;BE474+0.01)),BE474))</f>
        <v>6188.73352</v>
      </c>
      <c r="BT474" s="92" t="n">
        <f aca="false">IF(AD474&gt;=BF474,0,IFERROR(BF474+SUMPRODUCT((AD$4:AD$503&gt;=BF$4:BF$503)*(AD$4:AD$503-BF$4:BF$503))/MAX(1,COUNTIF(AD$4:AD$503,"&lt;"&amp;BF474+0.01)),BF474))</f>
        <v>11354.35411</v>
      </c>
      <c r="BU474" s="92" t="n">
        <f aca="false">IF(AE474&gt;=BG474,0,IFERROR(BG474+SUMPRODUCT((AE$4:AE$503&gt;=BG$4:BG$503)*(AE$4:AE$503-BG$4:BG$503))/MAX(1,COUNTIF(AE$4:AE$503,"&lt;"&amp;BG474+0.01)),BG474))</f>
        <v>7704.85920380952</v>
      </c>
      <c r="BV474" s="92" t="n">
        <f aca="false">IF(AF474&gt;=BH474,0,IFERROR(BH474+SUMPRODUCT((AF$4:AF$503&gt;=BH$4:BH$503)*(AF$4:AF$503-BH$4:BH$503))/MAX(1,COUNTIF(AF$4:AF$503,"&lt;"&amp;BH474+0.01)),BH474))</f>
        <v>9942.6503831579</v>
      </c>
      <c r="BW474" s="92" t="n">
        <f aca="false">IF(AG474&gt;=BI474,0,IFERROR(BI474+SUMPRODUCT((AG$4:AG$503&gt;=BI$4:BI$503)*(AG$4:AG$503-BI$4:BI$503))/MAX(1,COUNTIF(AG$4:AG$503,"&lt;"&amp;BI474+0.01)),BI474))</f>
        <v>9142.15870461538</v>
      </c>
      <c r="BX474" s="92" t="n">
        <f aca="false">IF(AH474&gt;=BJ474,0,IFERROR(BJ474+SUMPRODUCT((AH$4:AH$503&gt;=BJ$4:BJ$503)*(AH$4:AH$503-BJ$4:BJ$503))/MAX(1,COUNTIF(AH$4:AH$503,"&lt;"&amp;BJ474+0.01)),BJ474))</f>
        <v>5621.50263448276</v>
      </c>
      <c r="BY474" s="92" t="n">
        <f aca="false">IF(AI474&gt;=BK474,0,IFERROR(BK474+SUMPRODUCT((AI$4:AI$503&gt;=BK$4:BK$503)*(AI$4:AI$503-BK$4:BK$503))/MAX(1,COUNTIF(AI$4:AI$503,"&lt;"&amp;BK474+0.01)),BK474))</f>
        <v>7878.25652380952</v>
      </c>
      <c r="BZ474" s="92" t="n">
        <f aca="false">IF(AJ474&gt;=BL474,0,IFERROR(BL474+SUMPRODUCT((AJ$4:AJ$503&gt;=BL$4:BL$503)*(AJ$4:AJ$503-BL$4:BL$503))/MAX(1,COUNTIF(AJ$4:AJ$503,"&lt;"&amp;BL474+0.01)),BL474))</f>
        <v>6710.03292307692</v>
      </c>
      <c r="CA474" s="92" t="n">
        <f aca="false">IF(AK474&gt;=BM474,0,IFERROR(BM474+SUMPRODUCT((AK$4:AK$503&gt;=BM$4:BM$503)*(AK$4:AK$503-BM$4:BM$503))/MAX(1,COUNTIF(AK$4:AK$503,"&lt;"&amp;BM474+0.01)),BM474))</f>
        <v>7314.89836842105</v>
      </c>
      <c r="CB474" s="93" t="n">
        <f aca="false">IF(AL474&gt;=BN474,0,IFERROR(BN474+SUMPRODUCT((AL$4:AL$503&gt;=BN$4:BN$503)*(AL$4:AL$503-BN$4:BN$503))/MAX(1,COUNTIF(AL$4:AL$503,"&lt;"&amp;BN474+0.01)),BN474))</f>
        <v>3597.2614925</v>
      </c>
      <c r="CC474" s="95" t="str">
        <f aca="false">IF(AO474="🟢","VERDE",IF(AO474="🟡","AMARELO",IF(AO474="🟠","VERMELHO",IF(AO474="🔴","VERMELHO","ROXO"))))</f>
        <v>VERMELHO</v>
      </c>
      <c r="CD474" s="96" t="s">
        <v>176</v>
      </c>
      <c r="CE474" s="96" t="s">
        <v>110</v>
      </c>
    </row>
    <row r="475" customFormat="false" ht="14.25" hidden="false" customHeight="true" outlineLevel="0" collapsed="false">
      <c r="A475" s="65" t="s">
        <v>1083</v>
      </c>
      <c r="B475" s="66" t="s">
        <v>1084</v>
      </c>
      <c r="C475" s="67" t="s">
        <v>107</v>
      </c>
      <c r="D475" s="68" t="s">
        <v>108</v>
      </c>
      <c r="E475" s="69" t="s">
        <v>196</v>
      </c>
      <c r="F475" s="70" t="n">
        <f aca="false">IFERROR(VLOOKUP(C475,$AS$3:$AT$10,2,FALSE()),IFERROR(VLOOKUP(C475,$AS$15:$AT$22,2,FALSE()),""))</f>
        <v>132</v>
      </c>
      <c r="G475" s="71" t="n">
        <f aca="false">IFERROR(VLOOKUP(C475,$AS$3:$AX$10,6,FALSE()),IFERROR(VLOOKUP(C475,$AS$15:$AX$22,6,FALSE()),""))</f>
        <v>0.468190175850689</v>
      </c>
      <c r="H475" s="72" t="str">
        <f aca="false">IFERROR(VLOOKUP(C475,$AS$3:$AY$10,7,FALSE()),IFERROR(VLOOKUP(C475,$AS$15:$AY$22,7,FALSE()),""))</f>
        <v>🟡 AMARELO</v>
      </c>
      <c r="I475" s="72" t="str">
        <f aca="false">IFERROR(VLOOKUP(C475,$AS$3:$AZ$10,8,FALSE()),IFERROR(VLOOKUP(C475,$AS$15:$AZ$22,8,FALSE()),""))</f>
        <v>Sell Out</v>
      </c>
      <c r="J475" s="73"/>
      <c r="K475" s="69" t="s">
        <v>107</v>
      </c>
      <c r="L475" s="74" t="n">
        <v>1118.97</v>
      </c>
      <c r="M475" s="75" t="n">
        <v>78.63</v>
      </c>
      <c r="N475" s="75" t="n">
        <v>82.17</v>
      </c>
      <c r="O475" s="75" t="n">
        <v>84.15</v>
      </c>
      <c r="P475" s="75" t="n">
        <v>86.34</v>
      </c>
      <c r="Q475" s="75" t="n">
        <v>89.17</v>
      </c>
      <c r="R475" s="75" t="n">
        <v>91.5</v>
      </c>
      <c r="S475" s="75" t="n">
        <v>95.04</v>
      </c>
      <c r="T475" s="75" t="n">
        <v>97.37</v>
      </c>
      <c r="U475" s="75" t="n">
        <v>99.57</v>
      </c>
      <c r="V475" s="75" t="n">
        <v>102.04</v>
      </c>
      <c r="W475" s="75" t="n">
        <v>104.73</v>
      </c>
      <c r="X475" s="76" t="n">
        <v>108.26</v>
      </c>
      <c r="Y475" s="77" t="s">
        <v>20</v>
      </c>
      <c r="Z475" s="78" t="n">
        <f aca="false">SUM(AA475:AL475)</f>
        <v>900</v>
      </c>
      <c r="AA475" s="75"/>
      <c r="AB475" s="79" t="n">
        <v>900</v>
      </c>
      <c r="AC475" s="75"/>
      <c r="AD475" s="75"/>
      <c r="AE475" s="75"/>
      <c r="AF475" s="75"/>
      <c r="AG475" s="75"/>
      <c r="AH475" s="75"/>
      <c r="AI475" s="75"/>
      <c r="AJ475" s="75"/>
      <c r="AK475" s="75"/>
      <c r="AL475" s="76"/>
      <c r="AM475" s="56" t="s">
        <v>20</v>
      </c>
      <c r="AN475" s="80" t="n">
        <f aca="false">IF(L475=0,0,Z475/L475)</f>
        <v>0.804311107536395</v>
      </c>
      <c r="AO475" s="81" t="str">
        <f aca="false">IF(AN475="","",IF(AN475&gt;=0.9,"🟢",IF(AN475&gt;=0.7,"🟡",IF(AN475&gt;=0.5,"🟠","🔴"))))</f>
        <v>🟡</v>
      </c>
      <c r="AP475" s="82" t="n">
        <f aca="false">IF(L475=0,0,L475-Z475)</f>
        <v>218.97</v>
      </c>
      <c r="AQ475" s="83" t="n">
        <f aca="false">IF(AP475=0,"",RANK(AP475,AP$4:AP$503,0))</f>
        <v>474</v>
      </c>
      <c r="AR475" s="84" t="s">
        <v>20</v>
      </c>
      <c r="AS475" s="141"/>
      <c r="AT475" s="141"/>
      <c r="AU475" s="141"/>
      <c r="AV475" s="141"/>
      <c r="AW475" s="141"/>
      <c r="AX475" s="141"/>
      <c r="AY475" s="142"/>
      <c r="AZ475" s="142"/>
      <c r="BA475" s="56" t="s">
        <v>20</v>
      </c>
      <c r="BB475" s="91" t="n">
        <f aca="false">SUM(L$4:L$503)/COUNTA(A$4:A$503)</f>
        <v>9494.39992</v>
      </c>
      <c r="BC475" s="92" t="n">
        <f aca="false">SUM(M$4:M$503)/COUNTA(A$4:A$503)</f>
        <v>667.20008</v>
      </c>
      <c r="BD475" s="92" t="n">
        <f aca="false">SUM(N$4:N$503)/COUNTA(A$4:A$503)</f>
        <v>697.19996</v>
      </c>
      <c r="BE475" s="92" t="n">
        <f aca="false">SUM(O$4:O$503)/COUNTA(A$4:A$503)</f>
        <v>713.9999</v>
      </c>
      <c r="BF475" s="92" t="n">
        <f aca="false">SUM(P$4:P$503)/COUNTA(A$4:A$503)</f>
        <v>732.59984</v>
      </c>
      <c r="BG475" s="92" t="n">
        <f aca="false">SUM(Q$4:Q$503)/COUNTA(A$4:A$503)</f>
        <v>756.59992</v>
      </c>
      <c r="BH475" s="92" t="n">
        <f aca="false">SUM(R$4:R$503)/COUNTA(A$4:A$503)</f>
        <v>776.40004</v>
      </c>
      <c r="BI475" s="92" t="n">
        <f aca="false">SUM(S$4:S$503)/COUNTA(A$4:A$503)</f>
        <v>806.40012</v>
      </c>
      <c r="BJ475" s="92" t="n">
        <f aca="false">SUM(T$4:T$503)/COUNTA(A$4:A$503)</f>
        <v>826.1999</v>
      </c>
      <c r="BK475" s="92" t="n">
        <f aca="false">SUM(U$4:U$503)/COUNTA(A$4:A$503)</f>
        <v>844.8002</v>
      </c>
      <c r="BL475" s="92" t="n">
        <f aca="false">SUM(V$4:V$503)/COUNTA(A$4:A$503)</f>
        <v>865.7998</v>
      </c>
      <c r="BM475" s="92" t="n">
        <f aca="false">SUM(W$4:W$503)/COUNTA(A$4:A$503)</f>
        <v>888.59982</v>
      </c>
      <c r="BN475" s="93" t="n">
        <f aca="false">SUM(X$4:X$503)/COUNTA(A$4:A$503)</f>
        <v>918.60034</v>
      </c>
      <c r="BO475" s="94" t="s">
        <v>20</v>
      </c>
      <c r="BP475" s="91" t="n">
        <f aca="false">IF(Z475&gt;=BB475,0,IFERROR(BB475+(SUMPRODUCT((Z$4:Z$503&gt;=BB$4:BB$503)*(Z$4:Z$503-BB$4:BB$503))/MAX(1,COUNTIF(Z$4:Z$503,"&lt;"&amp;BB475+0.01))),BB475))</f>
        <v>10695.5432177778</v>
      </c>
      <c r="BQ475" s="92" t="n">
        <f aca="false">IF(AA475&gt;=BC475,0,IFERROR(BC475+SUMPRODUCT((AA$4:AA$503&gt;=BC$4:BC$503)*(AA$4:AA$503-BC$4:BC$503))/MAX(1,COUNTIF(AA$4:AA$503,"&lt;"&amp;BC475+0.01)),BC475))</f>
        <v>2238.46589176471</v>
      </c>
      <c r="BR475" s="92" t="n">
        <f aca="false">IF(AB475&gt;=BD475,0,IFERROR(BD475+SUMPRODUCT((AB$4:AB$503&gt;=BD$4:BD$503)*(AB$4:AB$503-BD$4:BD$503))/MAX(1,COUNTIF(AB$4:AB$503,"&lt;"&amp;BD475+0.01)),BD475))</f>
        <v>0</v>
      </c>
      <c r="BS475" s="92" t="n">
        <f aca="false">IF(AC475&gt;=BE475,0,IFERROR(BE475+SUMPRODUCT((AC$4:AC$503&gt;=BE$4:BE$503)*(AC$4:AC$503-BE$4:BE$503))/MAX(1,COUNTIF(AC$4:AC$503,"&lt;"&amp;BE475+0.01)),BE475))</f>
        <v>6188.73352</v>
      </c>
      <c r="BT475" s="92" t="n">
        <f aca="false">IF(AD475&gt;=BF475,0,IFERROR(BF475+SUMPRODUCT((AD$4:AD$503&gt;=BF$4:BF$503)*(AD$4:AD$503-BF$4:BF$503))/MAX(1,COUNTIF(AD$4:AD$503,"&lt;"&amp;BF475+0.01)),BF475))</f>
        <v>11354.35411</v>
      </c>
      <c r="BU475" s="92" t="n">
        <f aca="false">IF(AE475&gt;=BG475,0,IFERROR(BG475+SUMPRODUCT((AE$4:AE$503&gt;=BG$4:BG$503)*(AE$4:AE$503-BG$4:BG$503))/MAX(1,COUNTIF(AE$4:AE$503,"&lt;"&amp;BG475+0.01)),BG475))</f>
        <v>7704.85920380952</v>
      </c>
      <c r="BV475" s="92" t="n">
        <f aca="false">IF(AF475&gt;=BH475,0,IFERROR(BH475+SUMPRODUCT((AF$4:AF$503&gt;=BH$4:BH$503)*(AF$4:AF$503-BH$4:BH$503))/MAX(1,COUNTIF(AF$4:AF$503,"&lt;"&amp;BH475+0.01)),BH475))</f>
        <v>9942.6503831579</v>
      </c>
      <c r="BW475" s="92" t="n">
        <f aca="false">IF(AG475&gt;=BI475,0,IFERROR(BI475+SUMPRODUCT((AG$4:AG$503&gt;=BI$4:BI$503)*(AG$4:AG$503-BI$4:BI$503))/MAX(1,COUNTIF(AG$4:AG$503,"&lt;"&amp;BI475+0.01)),BI475))</f>
        <v>9142.15870461538</v>
      </c>
      <c r="BX475" s="92" t="n">
        <f aca="false">IF(AH475&gt;=BJ475,0,IFERROR(BJ475+SUMPRODUCT((AH$4:AH$503&gt;=BJ$4:BJ$503)*(AH$4:AH$503-BJ$4:BJ$503))/MAX(1,COUNTIF(AH$4:AH$503,"&lt;"&amp;BJ475+0.01)),BJ475))</f>
        <v>5621.50263448276</v>
      </c>
      <c r="BY475" s="92" t="n">
        <f aca="false">IF(AI475&gt;=BK475,0,IFERROR(BK475+SUMPRODUCT((AI$4:AI$503&gt;=BK$4:BK$503)*(AI$4:AI$503-BK$4:BK$503))/MAX(1,COUNTIF(AI$4:AI$503,"&lt;"&amp;BK475+0.01)),BK475))</f>
        <v>7878.25652380952</v>
      </c>
      <c r="BZ475" s="92" t="n">
        <f aca="false">IF(AJ475&gt;=BL475,0,IFERROR(BL475+SUMPRODUCT((AJ$4:AJ$503&gt;=BL$4:BL$503)*(AJ$4:AJ$503-BL$4:BL$503))/MAX(1,COUNTIF(AJ$4:AJ$503,"&lt;"&amp;BL475+0.01)),BL475))</f>
        <v>6710.03292307692</v>
      </c>
      <c r="CA475" s="92" t="n">
        <f aca="false">IF(AK475&gt;=BM475,0,IFERROR(BM475+SUMPRODUCT((AK$4:AK$503&gt;=BM$4:BM$503)*(AK$4:AK$503-BM$4:BM$503))/MAX(1,COUNTIF(AK$4:AK$503,"&lt;"&amp;BM475+0.01)),BM475))</f>
        <v>7314.89836842105</v>
      </c>
      <c r="CB475" s="93" t="n">
        <f aca="false">IF(AL475&gt;=BN475,0,IFERROR(BN475+SUMPRODUCT((AL$4:AL$503&gt;=BN$4:BN$503)*(AL$4:AL$503-BN$4:BN$503))/MAX(1,COUNTIF(AL$4:AL$503,"&lt;"&amp;BN475+0.01)),BN475))</f>
        <v>3597.2614925</v>
      </c>
      <c r="CC475" s="95" t="str">
        <f aca="false">IF(AO475="🟢","VERDE",IF(AO475="🟡","AMARELO",IF(AO475="🟠","VERMELHO",IF(AO475="🔴","VERMELHO","ROXO"))))</f>
        <v>AMARELO</v>
      </c>
      <c r="CD475" s="96" t="s">
        <v>103</v>
      </c>
      <c r="CE475" s="96" t="s">
        <v>104</v>
      </c>
    </row>
    <row r="476" customFormat="false" ht="14.25" hidden="false" customHeight="true" outlineLevel="0" collapsed="false">
      <c r="A476" s="65" t="s">
        <v>1085</v>
      </c>
      <c r="B476" s="66" t="s">
        <v>1086</v>
      </c>
      <c r="C476" s="66" t="s">
        <v>66</v>
      </c>
      <c r="D476" s="68" t="s">
        <v>175</v>
      </c>
      <c r="E476" s="69" t="s">
        <v>139</v>
      </c>
      <c r="F476" s="70" t="n">
        <f aca="false">IFERROR(VLOOKUP(C476,$AS$3:$AT$10,2,FALSE()),IFERROR(VLOOKUP(C476,$AS$15:$AT$22,2,FALSE()),""))</f>
        <v>44</v>
      </c>
      <c r="G476" s="71" t="n">
        <f aca="false">IFERROR(VLOOKUP(C476,$AS$3:$AX$10,6,FALSE()),IFERROR(VLOOKUP(C476,$AS$15:$AX$22,6,FALSE()),""))</f>
        <v>0.496839506257363</v>
      </c>
      <c r="H476" s="72" t="str">
        <f aca="false">IFERROR(VLOOKUP(C476,$AS$3:$AY$10,7,FALSE()),IFERROR(VLOOKUP(C476,$AS$15:$AY$22,7,FALSE()),""))</f>
        <v>🟡 AMARELO</v>
      </c>
      <c r="I476" s="72" t="str">
        <f aca="false">IFERROR(VLOOKUP(C476,$AS$3:$AZ$10,8,FALSE()),IFERROR(VLOOKUP(C476,$AS$15:$AZ$22,8,FALSE()),""))</f>
        <v>Sell Out</v>
      </c>
      <c r="J476" s="73"/>
      <c r="K476" s="69" t="s">
        <v>107</v>
      </c>
      <c r="L476" s="74" t="n">
        <v>1115.01</v>
      </c>
      <c r="M476" s="75" t="n">
        <v>78.35</v>
      </c>
      <c r="N476" s="75" t="n">
        <v>81.88</v>
      </c>
      <c r="O476" s="75" t="n">
        <v>83.85</v>
      </c>
      <c r="P476" s="75" t="n">
        <v>86.04</v>
      </c>
      <c r="Q476" s="75" t="n">
        <v>88.85</v>
      </c>
      <c r="R476" s="75" t="n">
        <v>91.18</v>
      </c>
      <c r="S476" s="75" t="n">
        <v>94.7</v>
      </c>
      <c r="T476" s="75" t="n">
        <v>97.03</v>
      </c>
      <c r="U476" s="75" t="n">
        <v>99.21</v>
      </c>
      <c r="V476" s="75" t="n">
        <v>101.68</v>
      </c>
      <c r="W476" s="75" t="n">
        <v>104.36</v>
      </c>
      <c r="X476" s="76" t="n">
        <v>107.88</v>
      </c>
      <c r="Y476" s="77" t="s">
        <v>20</v>
      </c>
      <c r="Z476" s="78" t="n">
        <f aca="false">SUM(AA476:AL476)</f>
        <v>448.4</v>
      </c>
      <c r="AA476" s="79" t="n">
        <v>448.4</v>
      </c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6"/>
      <c r="AM476" s="56" t="s">
        <v>20</v>
      </c>
      <c r="AN476" s="80" t="n">
        <f aca="false">IF(L476=0,0,Z476/L476)</f>
        <v>0.402148859651483</v>
      </c>
      <c r="AO476" s="81" t="str">
        <f aca="false">IF(AN476="","",IF(AN476&gt;=0.9,"🟢",IF(AN476&gt;=0.7,"🟡",IF(AN476&gt;=0.5,"🟠","🔴"))))</f>
        <v>🔴</v>
      </c>
      <c r="AP476" s="82" t="n">
        <f aca="false">IF(L476=0,0,L476-Z476)</f>
        <v>666.61</v>
      </c>
      <c r="AQ476" s="83" t="n">
        <f aca="false">IF(AP476=0,"",RANK(AP476,AP$4:AP$503,0))</f>
        <v>431</v>
      </c>
      <c r="AR476" s="84" t="s">
        <v>20</v>
      </c>
      <c r="AS476" s="141"/>
      <c r="AT476" s="141"/>
      <c r="AU476" s="141"/>
      <c r="AV476" s="141"/>
      <c r="AW476" s="141"/>
      <c r="AX476" s="141"/>
      <c r="AY476" s="142"/>
      <c r="AZ476" s="142"/>
      <c r="BA476" s="56" t="s">
        <v>20</v>
      </c>
      <c r="BB476" s="91" t="n">
        <f aca="false">SUM(L$4:L$503)/COUNTA(A$4:A$503)</f>
        <v>9494.39992</v>
      </c>
      <c r="BC476" s="92" t="n">
        <f aca="false">SUM(M$4:M$503)/COUNTA(A$4:A$503)</f>
        <v>667.20008</v>
      </c>
      <c r="BD476" s="92" t="n">
        <f aca="false">SUM(N$4:N$503)/COUNTA(A$4:A$503)</f>
        <v>697.19996</v>
      </c>
      <c r="BE476" s="92" t="n">
        <f aca="false">SUM(O$4:O$503)/COUNTA(A$4:A$503)</f>
        <v>713.9999</v>
      </c>
      <c r="BF476" s="92" t="n">
        <f aca="false">SUM(P$4:P$503)/COUNTA(A$4:A$503)</f>
        <v>732.59984</v>
      </c>
      <c r="BG476" s="92" t="n">
        <f aca="false">SUM(Q$4:Q$503)/COUNTA(A$4:A$503)</f>
        <v>756.59992</v>
      </c>
      <c r="BH476" s="92" t="n">
        <f aca="false">SUM(R$4:R$503)/COUNTA(A$4:A$503)</f>
        <v>776.40004</v>
      </c>
      <c r="BI476" s="92" t="n">
        <f aca="false">SUM(S$4:S$503)/COUNTA(A$4:A$503)</f>
        <v>806.40012</v>
      </c>
      <c r="BJ476" s="92" t="n">
        <f aca="false">SUM(T$4:T$503)/COUNTA(A$4:A$503)</f>
        <v>826.1999</v>
      </c>
      <c r="BK476" s="92" t="n">
        <f aca="false">SUM(U$4:U$503)/COUNTA(A$4:A$503)</f>
        <v>844.8002</v>
      </c>
      <c r="BL476" s="92" t="n">
        <f aca="false">SUM(V$4:V$503)/COUNTA(A$4:A$503)</f>
        <v>865.7998</v>
      </c>
      <c r="BM476" s="92" t="n">
        <f aca="false">SUM(W$4:W$503)/COUNTA(A$4:A$503)</f>
        <v>888.59982</v>
      </c>
      <c r="BN476" s="93" t="n">
        <f aca="false">SUM(X$4:X$503)/COUNTA(A$4:A$503)</f>
        <v>918.60034</v>
      </c>
      <c r="BO476" s="94" t="s">
        <v>20</v>
      </c>
      <c r="BP476" s="91" t="n">
        <f aca="false">IF(Z476&gt;=BB476,0,IFERROR(BB476+(SUMPRODUCT((Z$4:Z$503&gt;=BB$4:BB$503)*(Z$4:Z$503-BB$4:BB$503))/MAX(1,COUNTIF(Z$4:Z$503,"&lt;"&amp;BB476+0.01))),BB476))</f>
        <v>10695.5432177778</v>
      </c>
      <c r="BQ476" s="92" t="n">
        <f aca="false">IF(AA476&gt;=BC476,0,IFERROR(BC476+SUMPRODUCT((AA$4:AA$503&gt;=BC$4:BC$503)*(AA$4:AA$503-BC$4:BC$503))/MAX(1,COUNTIF(AA$4:AA$503,"&lt;"&amp;BC476+0.01)),BC476))</f>
        <v>2238.46589176471</v>
      </c>
      <c r="BR476" s="92" t="n">
        <f aca="false">IF(AB476&gt;=BD476,0,IFERROR(BD476+SUMPRODUCT((AB$4:AB$503&gt;=BD$4:BD$503)*(AB$4:AB$503-BD$4:BD$503))/MAX(1,COUNTIF(AB$4:AB$503,"&lt;"&amp;BD476+0.01)),BD476))</f>
        <v>3335.2938</v>
      </c>
      <c r="BS476" s="92" t="n">
        <f aca="false">IF(AC476&gt;=BE476,0,IFERROR(BE476+SUMPRODUCT((AC$4:AC$503&gt;=BE$4:BE$503)*(AC$4:AC$503-BE$4:BE$503))/MAX(1,COUNTIF(AC$4:AC$503,"&lt;"&amp;BE476+0.01)),BE476))</f>
        <v>6188.73352</v>
      </c>
      <c r="BT476" s="92" t="n">
        <f aca="false">IF(AD476&gt;=BF476,0,IFERROR(BF476+SUMPRODUCT((AD$4:AD$503&gt;=BF$4:BF$503)*(AD$4:AD$503-BF$4:BF$503))/MAX(1,COUNTIF(AD$4:AD$503,"&lt;"&amp;BF476+0.01)),BF476))</f>
        <v>11354.35411</v>
      </c>
      <c r="BU476" s="92" t="n">
        <f aca="false">IF(AE476&gt;=BG476,0,IFERROR(BG476+SUMPRODUCT((AE$4:AE$503&gt;=BG$4:BG$503)*(AE$4:AE$503-BG$4:BG$503))/MAX(1,COUNTIF(AE$4:AE$503,"&lt;"&amp;BG476+0.01)),BG476))</f>
        <v>7704.85920380952</v>
      </c>
      <c r="BV476" s="92" t="n">
        <f aca="false">IF(AF476&gt;=BH476,0,IFERROR(BH476+SUMPRODUCT((AF$4:AF$503&gt;=BH$4:BH$503)*(AF$4:AF$503-BH$4:BH$503))/MAX(1,COUNTIF(AF$4:AF$503,"&lt;"&amp;BH476+0.01)),BH476))</f>
        <v>9942.6503831579</v>
      </c>
      <c r="BW476" s="92" t="n">
        <f aca="false">IF(AG476&gt;=BI476,0,IFERROR(BI476+SUMPRODUCT((AG$4:AG$503&gt;=BI$4:BI$503)*(AG$4:AG$503-BI$4:BI$503))/MAX(1,COUNTIF(AG$4:AG$503,"&lt;"&amp;BI476+0.01)),BI476))</f>
        <v>9142.15870461538</v>
      </c>
      <c r="BX476" s="92" t="n">
        <f aca="false">IF(AH476&gt;=BJ476,0,IFERROR(BJ476+SUMPRODUCT((AH$4:AH$503&gt;=BJ$4:BJ$503)*(AH$4:AH$503-BJ$4:BJ$503))/MAX(1,COUNTIF(AH$4:AH$503,"&lt;"&amp;BJ476+0.01)),BJ476))</f>
        <v>5621.50263448276</v>
      </c>
      <c r="BY476" s="92" t="n">
        <f aca="false">IF(AI476&gt;=BK476,0,IFERROR(BK476+SUMPRODUCT((AI$4:AI$503&gt;=BK$4:BK$503)*(AI$4:AI$503-BK$4:BK$503))/MAX(1,COUNTIF(AI$4:AI$503,"&lt;"&amp;BK476+0.01)),BK476))</f>
        <v>7878.25652380952</v>
      </c>
      <c r="BZ476" s="92" t="n">
        <f aca="false">IF(AJ476&gt;=BL476,0,IFERROR(BL476+SUMPRODUCT((AJ$4:AJ$503&gt;=BL$4:BL$503)*(AJ$4:AJ$503-BL$4:BL$503))/MAX(1,COUNTIF(AJ$4:AJ$503,"&lt;"&amp;BL476+0.01)),BL476))</f>
        <v>6710.03292307692</v>
      </c>
      <c r="CA476" s="92" t="n">
        <f aca="false">IF(AK476&gt;=BM476,0,IFERROR(BM476+SUMPRODUCT((AK$4:AK$503&gt;=BM$4:BM$503)*(AK$4:AK$503-BM$4:BM$503))/MAX(1,COUNTIF(AK$4:AK$503,"&lt;"&amp;BM476+0.01)),BM476))</f>
        <v>7314.89836842105</v>
      </c>
      <c r="CB476" s="93" t="n">
        <f aca="false">IF(AL476&gt;=BN476,0,IFERROR(BN476+SUMPRODUCT((AL$4:AL$503&gt;=BN$4:BN$503)*(AL$4:AL$503-BN$4:BN$503))/MAX(1,COUNTIF(AL$4:AL$503,"&lt;"&amp;BN476+0.01)),BN476))</f>
        <v>3597.2614925</v>
      </c>
      <c r="CC476" s="95" t="str">
        <f aca="false">IF(AO476="🟢","VERDE",IF(AO476="🟡","AMARELO",IF(AO476="🟠","VERMELHO",IF(AO476="🔴","VERMELHO","ROXO"))))</f>
        <v>VERMELHO</v>
      </c>
      <c r="CD476" s="96" t="s">
        <v>176</v>
      </c>
      <c r="CE476" s="96" t="s">
        <v>66</v>
      </c>
    </row>
    <row r="477" customFormat="false" ht="14.25" hidden="false" customHeight="true" outlineLevel="0" collapsed="false">
      <c r="A477" s="65" t="s">
        <v>1087</v>
      </c>
      <c r="B477" s="66" t="s">
        <v>1088</v>
      </c>
      <c r="C477" s="67" t="s">
        <v>113</v>
      </c>
      <c r="D477" s="68" t="s">
        <v>100</v>
      </c>
      <c r="E477" s="69" t="s">
        <v>250</v>
      </c>
      <c r="F477" s="70" t="n">
        <f aca="false">IFERROR(VLOOKUP(C477,$AS$3:$AT$10,2,FALSE()),IFERROR(VLOOKUP(C477,$AS$15:$AT$22,2,FALSE()),""))</f>
        <v>49</v>
      </c>
      <c r="G477" s="71" t="n">
        <f aca="false">IFERROR(VLOOKUP(C477,$AS$3:$AX$10,6,FALSE()),IFERROR(VLOOKUP(C477,$AS$15:$AX$22,6,FALSE()),""))</f>
        <v>0.463965086137302</v>
      </c>
      <c r="H477" s="72" t="str">
        <f aca="false">IFERROR(VLOOKUP(C477,$AS$3:$AY$10,7,FALSE()),IFERROR(VLOOKUP(C477,$AS$15:$AY$22,7,FALSE()),""))</f>
        <v>🟡 AMARELO</v>
      </c>
      <c r="I477" s="72" t="str">
        <f aca="false">IFERROR(VLOOKUP(C477,$AS$3:$AZ$10,8,FALSE()),IFERROR(VLOOKUP(C477,$AS$15:$AZ$22,8,FALSE()),""))</f>
        <v>Sell Out</v>
      </c>
      <c r="J477" s="73"/>
      <c r="K477" s="69" t="s">
        <v>113</v>
      </c>
      <c r="L477" s="74" t="n">
        <v>1105.93</v>
      </c>
      <c r="M477" s="75" t="n">
        <v>77.72</v>
      </c>
      <c r="N477" s="75" t="n">
        <v>81.21</v>
      </c>
      <c r="O477" s="75" t="n">
        <v>83.17</v>
      </c>
      <c r="P477" s="75" t="n">
        <v>85.33</v>
      </c>
      <c r="Q477" s="75" t="n">
        <v>88.13</v>
      </c>
      <c r="R477" s="75" t="n">
        <v>90.44</v>
      </c>
      <c r="S477" s="75" t="n">
        <v>93.93</v>
      </c>
      <c r="T477" s="75" t="n">
        <v>96.24</v>
      </c>
      <c r="U477" s="75" t="n">
        <v>98.4</v>
      </c>
      <c r="V477" s="75" t="n">
        <v>100.85</v>
      </c>
      <c r="W477" s="75" t="n">
        <v>103.51</v>
      </c>
      <c r="X477" s="76" t="n">
        <v>107</v>
      </c>
      <c r="Y477" s="77" t="s">
        <v>20</v>
      </c>
      <c r="Z477" s="78" t="n">
        <f aca="false">SUM(AA477:AL477)</f>
        <v>0</v>
      </c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6"/>
      <c r="AM477" s="56" t="s">
        <v>20</v>
      </c>
      <c r="AN477" s="80" t="n">
        <f aca="false">IF(L477=0,0,Z477/L477)</f>
        <v>0</v>
      </c>
      <c r="AO477" s="81" t="str">
        <f aca="false">IF(AN477="","",IF(AN477&gt;=0.9,"🟢",IF(AN477&gt;=0.7,"🟡",IF(AN477&gt;=0.5,"🟠","🔴"))))</f>
        <v>🔴</v>
      </c>
      <c r="AP477" s="82" t="n">
        <f aca="false">IF(L477=0,0,L477-Z477)</f>
        <v>1105.93</v>
      </c>
      <c r="AQ477" s="83" t="n">
        <f aca="false">IF(AP477=0,"",RANK(AP477,AP$4:AP$503,0))</f>
        <v>373</v>
      </c>
      <c r="AR477" s="84" t="s">
        <v>20</v>
      </c>
      <c r="AS477" s="141"/>
      <c r="AT477" s="141"/>
      <c r="AU477" s="141"/>
      <c r="AV477" s="141"/>
      <c r="AW477" s="141"/>
      <c r="AX477" s="141"/>
      <c r="AY477" s="142"/>
      <c r="AZ477" s="142"/>
      <c r="BA477" s="56" t="s">
        <v>20</v>
      </c>
      <c r="BB477" s="91" t="n">
        <f aca="false">SUM(L$4:L$503)/COUNTA(A$4:A$503)</f>
        <v>9494.39992</v>
      </c>
      <c r="BC477" s="92" t="n">
        <f aca="false">SUM(M$4:M$503)/COUNTA(A$4:A$503)</f>
        <v>667.20008</v>
      </c>
      <c r="BD477" s="92" t="n">
        <f aca="false">SUM(N$4:N$503)/COUNTA(A$4:A$503)</f>
        <v>697.19996</v>
      </c>
      <c r="BE477" s="92" t="n">
        <f aca="false">SUM(O$4:O$503)/COUNTA(A$4:A$503)</f>
        <v>713.9999</v>
      </c>
      <c r="BF477" s="92" t="n">
        <f aca="false">SUM(P$4:P$503)/COUNTA(A$4:A$503)</f>
        <v>732.59984</v>
      </c>
      <c r="BG477" s="92" t="n">
        <f aca="false">SUM(Q$4:Q$503)/COUNTA(A$4:A$503)</f>
        <v>756.59992</v>
      </c>
      <c r="BH477" s="92" t="n">
        <f aca="false">SUM(R$4:R$503)/COUNTA(A$4:A$503)</f>
        <v>776.40004</v>
      </c>
      <c r="BI477" s="92" t="n">
        <f aca="false">SUM(S$4:S$503)/COUNTA(A$4:A$503)</f>
        <v>806.40012</v>
      </c>
      <c r="BJ477" s="92" t="n">
        <f aca="false">SUM(T$4:T$503)/COUNTA(A$4:A$503)</f>
        <v>826.1999</v>
      </c>
      <c r="BK477" s="92" t="n">
        <f aca="false">SUM(U$4:U$503)/COUNTA(A$4:A$503)</f>
        <v>844.8002</v>
      </c>
      <c r="BL477" s="92" t="n">
        <f aca="false">SUM(V$4:V$503)/COUNTA(A$4:A$503)</f>
        <v>865.7998</v>
      </c>
      <c r="BM477" s="92" t="n">
        <f aca="false">SUM(W$4:W$503)/COUNTA(A$4:A$503)</f>
        <v>888.59982</v>
      </c>
      <c r="BN477" s="93" t="n">
        <f aca="false">SUM(X$4:X$503)/COUNTA(A$4:A$503)</f>
        <v>918.60034</v>
      </c>
      <c r="BO477" s="94" t="s">
        <v>20</v>
      </c>
      <c r="BP477" s="91" t="n">
        <f aca="false">IF(Z477&gt;=BB477,0,IFERROR(BB477+(SUMPRODUCT((Z$4:Z$503&gt;=BB$4:BB$503)*(Z$4:Z$503-BB$4:BB$503))/MAX(1,COUNTIF(Z$4:Z$503,"&lt;"&amp;BB477+0.01))),BB477))</f>
        <v>10695.5432177778</v>
      </c>
      <c r="BQ477" s="92" t="n">
        <f aca="false">IF(AA477&gt;=BC477,0,IFERROR(BC477+SUMPRODUCT((AA$4:AA$503&gt;=BC$4:BC$503)*(AA$4:AA$503-BC$4:BC$503))/MAX(1,COUNTIF(AA$4:AA$503,"&lt;"&amp;BC477+0.01)),BC477))</f>
        <v>2238.46589176471</v>
      </c>
      <c r="BR477" s="92" t="n">
        <f aca="false">IF(AB477&gt;=BD477,0,IFERROR(BD477+SUMPRODUCT((AB$4:AB$503&gt;=BD$4:BD$503)*(AB$4:AB$503-BD$4:BD$503))/MAX(1,COUNTIF(AB$4:AB$503,"&lt;"&amp;BD477+0.01)),BD477))</f>
        <v>3335.2938</v>
      </c>
      <c r="BS477" s="92" t="n">
        <f aca="false">IF(AC477&gt;=BE477,0,IFERROR(BE477+SUMPRODUCT((AC$4:AC$503&gt;=BE$4:BE$503)*(AC$4:AC$503-BE$4:BE$503))/MAX(1,COUNTIF(AC$4:AC$503,"&lt;"&amp;BE477+0.01)),BE477))</f>
        <v>6188.73352</v>
      </c>
      <c r="BT477" s="92" t="n">
        <f aca="false">IF(AD477&gt;=BF477,0,IFERROR(BF477+SUMPRODUCT((AD$4:AD$503&gt;=BF$4:BF$503)*(AD$4:AD$503-BF$4:BF$503))/MAX(1,COUNTIF(AD$4:AD$503,"&lt;"&amp;BF477+0.01)),BF477))</f>
        <v>11354.35411</v>
      </c>
      <c r="BU477" s="92" t="n">
        <f aca="false">IF(AE477&gt;=BG477,0,IFERROR(BG477+SUMPRODUCT((AE$4:AE$503&gt;=BG$4:BG$503)*(AE$4:AE$503-BG$4:BG$503))/MAX(1,COUNTIF(AE$4:AE$503,"&lt;"&amp;BG477+0.01)),BG477))</f>
        <v>7704.85920380952</v>
      </c>
      <c r="BV477" s="92" t="n">
        <f aca="false">IF(AF477&gt;=BH477,0,IFERROR(BH477+SUMPRODUCT((AF$4:AF$503&gt;=BH$4:BH$503)*(AF$4:AF$503-BH$4:BH$503))/MAX(1,COUNTIF(AF$4:AF$503,"&lt;"&amp;BH477+0.01)),BH477))</f>
        <v>9942.6503831579</v>
      </c>
      <c r="BW477" s="92" t="n">
        <f aca="false">IF(AG477&gt;=BI477,0,IFERROR(BI477+SUMPRODUCT((AG$4:AG$503&gt;=BI$4:BI$503)*(AG$4:AG$503-BI$4:BI$503))/MAX(1,COUNTIF(AG$4:AG$503,"&lt;"&amp;BI477+0.01)),BI477))</f>
        <v>9142.15870461538</v>
      </c>
      <c r="BX477" s="92" t="n">
        <f aca="false">IF(AH477&gt;=BJ477,0,IFERROR(BJ477+SUMPRODUCT((AH$4:AH$503&gt;=BJ$4:BJ$503)*(AH$4:AH$503-BJ$4:BJ$503))/MAX(1,COUNTIF(AH$4:AH$503,"&lt;"&amp;BJ477+0.01)),BJ477))</f>
        <v>5621.50263448276</v>
      </c>
      <c r="BY477" s="92" t="n">
        <f aca="false">IF(AI477&gt;=BK477,0,IFERROR(BK477+SUMPRODUCT((AI$4:AI$503&gt;=BK$4:BK$503)*(AI$4:AI$503-BK$4:BK$503))/MAX(1,COUNTIF(AI$4:AI$503,"&lt;"&amp;BK477+0.01)),BK477))</f>
        <v>7878.25652380952</v>
      </c>
      <c r="BZ477" s="92" t="n">
        <f aca="false">IF(AJ477&gt;=BL477,0,IFERROR(BL477+SUMPRODUCT((AJ$4:AJ$503&gt;=BL$4:BL$503)*(AJ$4:AJ$503-BL$4:BL$503))/MAX(1,COUNTIF(AJ$4:AJ$503,"&lt;"&amp;BL477+0.01)),BL477))</f>
        <v>6710.03292307692</v>
      </c>
      <c r="CA477" s="92" t="n">
        <f aca="false">IF(AK477&gt;=BM477,0,IFERROR(BM477+SUMPRODUCT((AK$4:AK$503&gt;=BM$4:BM$503)*(AK$4:AK$503-BM$4:BM$503))/MAX(1,COUNTIF(AK$4:AK$503,"&lt;"&amp;BM477+0.01)),BM477))</f>
        <v>7314.89836842105</v>
      </c>
      <c r="CB477" s="93" t="n">
        <f aca="false">IF(AL477&gt;=BN477,0,IFERROR(BN477+SUMPRODUCT((AL$4:AL$503&gt;=BN$4:BN$503)*(AL$4:AL$503-BN$4:BN$503))/MAX(1,COUNTIF(AL$4:AL$503,"&lt;"&amp;BN477+0.01)),BN477))</f>
        <v>3597.2614925</v>
      </c>
      <c r="CC477" s="95" t="str">
        <f aca="false">IF(AO477="🟢","VERDE",IF(AO477="🟡","AMARELO",IF(AO477="🟠","VERMELHO",IF(AO477="🔴","VERMELHO","ROXO"))))</f>
        <v>VERMELHO</v>
      </c>
      <c r="CD477" s="96" t="s">
        <v>103</v>
      </c>
      <c r="CE477" s="96" t="s">
        <v>104</v>
      </c>
    </row>
    <row r="478" customFormat="false" ht="14.25" hidden="false" customHeight="true" outlineLevel="0" collapsed="false">
      <c r="A478" s="65" t="s">
        <v>1089</v>
      </c>
      <c r="B478" s="66" t="s">
        <v>1090</v>
      </c>
      <c r="C478" s="67" t="s">
        <v>113</v>
      </c>
      <c r="D478" s="68" t="s">
        <v>100</v>
      </c>
      <c r="E478" s="69" t="s">
        <v>114</v>
      </c>
      <c r="F478" s="70" t="n">
        <f aca="false">IFERROR(VLOOKUP(C478,$AS$3:$AT$10,2,FALSE()),IFERROR(VLOOKUP(C478,$AS$15:$AT$22,2,FALSE()),""))</f>
        <v>49</v>
      </c>
      <c r="G478" s="71" t="n">
        <f aca="false">IFERROR(VLOOKUP(C478,$AS$3:$AX$10,6,FALSE()),IFERROR(VLOOKUP(C478,$AS$15:$AX$22,6,FALSE()),""))</f>
        <v>0.463965086137302</v>
      </c>
      <c r="H478" s="72" t="str">
        <f aca="false">IFERROR(VLOOKUP(C478,$AS$3:$AY$10,7,FALSE()),IFERROR(VLOOKUP(C478,$AS$15:$AY$22,7,FALSE()),""))</f>
        <v>🟡 AMARELO</v>
      </c>
      <c r="I478" s="72" t="str">
        <f aca="false">IFERROR(VLOOKUP(C478,$AS$3:$AZ$10,8,FALSE()),IFERROR(VLOOKUP(C478,$AS$15:$AZ$22,8,FALSE()),""))</f>
        <v>Sell Out</v>
      </c>
      <c r="J478" s="73"/>
      <c r="K478" s="69" t="s">
        <v>113</v>
      </c>
      <c r="L478" s="74" t="n">
        <v>1097.48</v>
      </c>
      <c r="M478" s="75" t="n">
        <v>77.12</v>
      </c>
      <c r="N478" s="75" t="n">
        <v>80.59</v>
      </c>
      <c r="O478" s="75" t="n">
        <v>82.53</v>
      </c>
      <c r="P478" s="75" t="n">
        <v>84.68</v>
      </c>
      <c r="Q478" s="75" t="n">
        <v>87.46</v>
      </c>
      <c r="R478" s="75" t="n">
        <v>89.75</v>
      </c>
      <c r="S478" s="75" t="n">
        <v>93.22</v>
      </c>
      <c r="T478" s="75" t="n">
        <v>95.5</v>
      </c>
      <c r="U478" s="75" t="n">
        <v>97.65</v>
      </c>
      <c r="V478" s="75" t="n">
        <v>100.08</v>
      </c>
      <c r="W478" s="75" t="n">
        <v>102.72</v>
      </c>
      <c r="X478" s="76" t="n">
        <v>106.18</v>
      </c>
      <c r="Y478" s="77" t="s">
        <v>20</v>
      </c>
      <c r="Z478" s="78" t="n">
        <f aca="false">SUM(AA478:AL478)</f>
        <v>658.55</v>
      </c>
      <c r="AA478" s="75"/>
      <c r="AB478" s="75"/>
      <c r="AC478" s="75"/>
      <c r="AD478" s="75"/>
      <c r="AE478" s="75"/>
      <c r="AF478" s="75"/>
      <c r="AG478" s="75"/>
      <c r="AH478" s="79" t="n">
        <v>658.55</v>
      </c>
      <c r="AI478" s="75"/>
      <c r="AJ478" s="75"/>
      <c r="AK478" s="75"/>
      <c r="AL478" s="76"/>
      <c r="AM478" s="56" t="s">
        <v>20</v>
      </c>
      <c r="AN478" s="80" t="n">
        <f aca="false">IF(L478=0,0,Z478/L478)</f>
        <v>0.600056493056821</v>
      </c>
      <c r="AO478" s="81" t="str">
        <f aca="false">IF(AN478="","",IF(AN478&gt;=0.9,"🟢",IF(AN478&gt;=0.7,"🟡",IF(AN478&gt;=0.5,"🟠","🔴"))))</f>
        <v>🟠</v>
      </c>
      <c r="AP478" s="82" t="n">
        <f aca="false">IF(L478=0,0,L478-Z478)</f>
        <v>438.93</v>
      </c>
      <c r="AQ478" s="83" t="n">
        <f aca="false">IF(AP478=0,"",RANK(AP478,AP$4:AP$503,0))</f>
        <v>459</v>
      </c>
      <c r="AR478" s="84" t="s">
        <v>20</v>
      </c>
      <c r="AS478" s="141"/>
      <c r="AT478" s="141"/>
      <c r="AU478" s="141"/>
      <c r="AV478" s="141"/>
      <c r="AW478" s="141"/>
      <c r="AX478" s="141"/>
      <c r="AY478" s="142"/>
      <c r="AZ478" s="142"/>
      <c r="BA478" s="56" t="s">
        <v>20</v>
      </c>
      <c r="BB478" s="91" t="n">
        <f aca="false">SUM(L$4:L$503)/COUNTA(A$4:A$503)</f>
        <v>9494.39992</v>
      </c>
      <c r="BC478" s="92" t="n">
        <f aca="false">SUM(M$4:M$503)/COUNTA(A$4:A$503)</f>
        <v>667.20008</v>
      </c>
      <c r="BD478" s="92" t="n">
        <f aca="false">SUM(N$4:N$503)/COUNTA(A$4:A$503)</f>
        <v>697.19996</v>
      </c>
      <c r="BE478" s="92" t="n">
        <f aca="false">SUM(O$4:O$503)/COUNTA(A$4:A$503)</f>
        <v>713.9999</v>
      </c>
      <c r="BF478" s="92" t="n">
        <f aca="false">SUM(P$4:P$503)/COUNTA(A$4:A$503)</f>
        <v>732.59984</v>
      </c>
      <c r="BG478" s="92" t="n">
        <f aca="false">SUM(Q$4:Q$503)/COUNTA(A$4:A$503)</f>
        <v>756.59992</v>
      </c>
      <c r="BH478" s="92" t="n">
        <f aca="false">SUM(R$4:R$503)/COUNTA(A$4:A$503)</f>
        <v>776.40004</v>
      </c>
      <c r="BI478" s="92" t="n">
        <f aca="false">SUM(S$4:S$503)/COUNTA(A$4:A$503)</f>
        <v>806.40012</v>
      </c>
      <c r="BJ478" s="92" t="n">
        <f aca="false">SUM(T$4:T$503)/COUNTA(A$4:A$503)</f>
        <v>826.1999</v>
      </c>
      <c r="BK478" s="92" t="n">
        <f aca="false">SUM(U$4:U$503)/COUNTA(A$4:A$503)</f>
        <v>844.8002</v>
      </c>
      <c r="BL478" s="92" t="n">
        <f aca="false">SUM(V$4:V$503)/COUNTA(A$4:A$503)</f>
        <v>865.7998</v>
      </c>
      <c r="BM478" s="92" t="n">
        <f aca="false">SUM(W$4:W$503)/COUNTA(A$4:A$503)</f>
        <v>888.59982</v>
      </c>
      <c r="BN478" s="93" t="n">
        <f aca="false">SUM(X$4:X$503)/COUNTA(A$4:A$503)</f>
        <v>918.60034</v>
      </c>
      <c r="BO478" s="94" t="s">
        <v>20</v>
      </c>
      <c r="BP478" s="91" t="n">
        <f aca="false">IF(Z478&gt;=BB478,0,IFERROR(BB478+(SUMPRODUCT((Z$4:Z$503&gt;=BB$4:BB$503)*(Z$4:Z$503-BB$4:BB$503))/MAX(1,COUNTIF(Z$4:Z$503,"&lt;"&amp;BB478+0.01))),BB478))</f>
        <v>10695.5432177778</v>
      </c>
      <c r="BQ478" s="92" t="n">
        <f aca="false">IF(AA478&gt;=BC478,0,IFERROR(BC478+SUMPRODUCT((AA$4:AA$503&gt;=BC$4:BC$503)*(AA$4:AA$503-BC$4:BC$503))/MAX(1,COUNTIF(AA$4:AA$503,"&lt;"&amp;BC478+0.01)),BC478))</f>
        <v>2238.46589176471</v>
      </c>
      <c r="BR478" s="92" t="n">
        <f aca="false">IF(AB478&gt;=BD478,0,IFERROR(BD478+SUMPRODUCT((AB$4:AB$503&gt;=BD$4:BD$503)*(AB$4:AB$503-BD$4:BD$503))/MAX(1,COUNTIF(AB$4:AB$503,"&lt;"&amp;BD478+0.01)),BD478))</f>
        <v>3335.2938</v>
      </c>
      <c r="BS478" s="92" t="n">
        <f aca="false">IF(AC478&gt;=BE478,0,IFERROR(BE478+SUMPRODUCT((AC$4:AC$503&gt;=BE$4:BE$503)*(AC$4:AC$503-BE$4:BE$503))/MAX(1,COUNTIF(AC$4:AC$503,"&lt;"&amp;BE478+0.01)),BE478))</f>
        <v>6188.73352</v>
      </c>
      <c r="BT478" s="92" t="n">
        <f aca="false">IF(AD478&gt;=BF478,0,IFERROR(BF478+SUMPRODUCT((AD$4:AD$503&gt;=BF$4:BF$503)*(AD$4:AD$503-BF$4:BF$503))/MAX(1,COUNTIF(AD$4:AD$503,"&lt;"&amp;BF478+0.01)),BF478))</f>
        <v>11354.35411</v>
      </c>
      <c r="BU478" s="92" t="n">
        <f aca="false">IF(AE478&gt;=BG478,0,IFERROR(BG478+SUMPRODUCT((AE$4:AE$503&gt;=BG$4:BG$503)*(AE$4:AE$503-BG$4:BG$503))/MAX(1,COUNTIF(AE$4:AE$503,"&lt;"&amp;BG478+0.01)),BG478))</f>
        <v>7704.85920380952</v>
      </c>
      <c r="BV478" s="92" t="n">
        <f aca="false">IF(AF478&gt;=BH478,0,IFERROR(BH478+SUMPRODUCT((AF$4:AF$503&gt;=BH$4:BH$503)*(AF$4:AF$503-BH$4:BH$503))/MAX(1,COUNTIF(AF$4:AF$503,"&lt;"&amp;BH478+0.01)),BH478))</f>
        <v>9942.6503831579</v>
      </c>
      <c r="BW478" s="92" t="n">
        <f aca="false">IF(AG478&gt;=BI478,0,IFERROR(BI478+SUMPRODUCT((AG$4:AG$503&gt;=BI$4:BI$503)*(AG$4:AG$503-BI$4:BI$503))/MAX(1,COUNTIF(AG$4:AG$503,"&lt;"&amp;BI478+0.01)),BI478))</f>
        <v>9142.15870461538</v>
      </c>
      <c r="BX478" s="92" t="n">
        <f aca="false">IF(AH478&gt;=BJ478,0,IFERROR(BJ478+SUMPRODUCT((AH$4:AH$503&gt;=BJ$4:BJ$503)*(AH$4:AH$503-BJ$4:BJ$503))/MAX(1,COUNTIF(AH$4:AH$503,"&lt;"&amp;BJ478+0.01)),BJ478))</f>
        <v>5621.50263448276</v>
      </c>
      <c r="BY478" s="92" t="n">
        <f aca="false">IF(AI478&gt;=BK478,0,IFERROR(BK478+SUMPRODUCT((AI$4:AI$503&gt;=BK$4:BK$503)*(AI$4:AI$503-BK$4:BK$503))/MAX(1,COUNTIF(AI$4:AI$503,"&lt;"&amp;BK478+0.01)),BK478))</f>
        <v>7878.25652380952</v>
      </c>
      <c r="BZ478" s="92" t="n">
        <f aca="false">IF(AJ478&gt;=BL478,0,IFERROR(BL478+SUMPRODUCT((AJ$4:AJ$503&gt;=BL$4:BL$503)*(AJ$4:AJ$503-BL$4:BL$503))/MAX(1,COUNTIF(AJ$4:AJ$503,"&lt;"&amp;BL478+0.01)),BL478))</f>
        <v>6710.03292307692</v>
      </c>
      <c r="CA478" s="92" t="n">
        <f aca="false">IF(AK478&gt;=BM478,0,IFERROR(BM478+SUMPRODUCT((AK$4:AK$503&gt;=BM$4:BM$503)*(AK$4:AK$503-BM$4:BM$503))/MAX(1,COUNTIF(AK$4:AK$503,"&lt;"&amp;BM478+0.01)),BM478))</f>
        <v>7314.89836842105</v>
      </c>
      <c r="CB478" s="93" t="n">
        <f aca="false">IF(AL478&gt;=BN478,0,IFERROR(BN478+SUMPRODUCT((AL$4:AL$503&gt;=BN$4:BN$503)*(AL$4:AL$503-BN$4:BN$503))/MAX(1,COUNTIF(AL$4:AL$503,"&lt;"&amp;BN478+0.01)),BN478))</f>
        <v>3597.2614925</v>
      </c>
      <c r="CC478" s="95" t="str">
        <f aca="false">IF(AO478="🟢","VERDE",IF(AO478="🟡","AMARELO",IF(AO478="🟠","VERMELHO",IF(AO478="🔴","VERMELHO","ROXO"))))</f>
        <v>VERMELHO</v>
      </c>
      <c r="CD478" s="96" t="s">
        <v>103</v>
      </c>
      <c r="CE478" s="96" t="s">
        <v>104</v>
      </c>
    </row>
    <row r="479" customFormat="false" ht="14.25" hidden="false" customHeight="true" outlineLevel="0" collapsed="false">
      <c r="A479" s="65" t="s">
        <v>1091</v>
      </c>
      <c r="B479" s="66" t="s">
        <v>1092</v>
      </c>
      <c r="C479" s="67" t="s">
        <v>123</v>
      </c>
      <c r="D479" s="68" t="s">
        <v>108</v>
      </c>
      <c r="E479" s="56" t="s">
        <v>20</v>
      </c>
      <c r="F479" s="70" t="n">
        <f aca="false">IFERROR(VLOOKUP(C479,$AS$3:$AT$10,2,FALSE()),IFERROR(VLOOKUP(C479,$AS$15:$AT$22,2,FALSE()),""))</f>
        <v>49</v>
      </c>
      <c r="G479" s="71" t="n">
        <f aca="false">IFERROR(VLOOKUP(C479,$AS$3:$AX$10,6,FALSE()),IFERROR(VLOOKUP(C479,$AS$15:$AX$22,6,FALSE()),""))</f>
        <v>0.436391353881959</v>
      </c>
      <c r="H479" s="72" t="str">
        <f aca="false">IFERROR(VLOOKUP(C479,$AS$3:$AY$10,7,FALSE()),IFERROR(VLOOKUP(C479,$AS$15:$AY$22,7,FALSE()),""))</f>
        <v>🟡 AMARELO</v>
      </c>
      <c r="I479" s="72" t="str">
        <f aca="false">IFERROR(VLOOKUP(C479,$AS$3:$AZ$10,8,FALSE()),IFERROR(VLOOKUP(C479,$AS$15:$AZ$22,8,FALSE()),""))</f>
        <v>Sell Out</v>
      </c>
      <c r="J479" s="73"/>
      <c r="K479" s="56" t="s">
        <v>20</v>
      </c>
      <c r="L479" s="74" t="n">
        <v>1080.89</v>
      </c>
      <c r="M479" s="75" t="n">
        <v>75.96</v>
      </c>
      <c r="N479" s="75" t="n">
        <v>79.37</v>
      </c>
      <c r="O479" s="75" t="n">
        <v>81.29</v>
      </c>
      <c r="P479" s="75" t="n">
        <v>83.4</v>
      </c>
      <c r="Q479" s="75" t="n">
        <v>86.13</v>
      </c>
      <c r="R479" s="75" t="n">
        <v>88.39</v>
      </c>
      <c r="S479" s="75" t="n">
        <v>91.8</v>
      </c>
      <c r="T479" s="75" t="n">
        <v>94.06</v>
      </c>
      <c r="U479" s="75" t="n">
        <v>96.18</v>
      </c>
      <c r="V479" s="75" t="n">
        <v>98.57</v>
      </c>
      <c r="W479" s="75" t="n">
        <v>101.16</v>
      </c>
      <c r="X479" s="76" t="n">
        <v>104.58</v>
      </c>
      <c r="Y479" s="77" t="s">
        <v>20</v>
      </c>
      <c r="Z479" s="78" t="n">
        <f aca="false">SUM(AA479:AL479)</f>
        <v>434.68</v>
      </c>
      <c r="AA479" s="75"/>
      <c r="AB479" s="75"/>
      <c r="AC479" s="75" t="n">
        <v>434.68</v>
      </c>
      <c r="AD479" s="75"/>
      <c r="AE479" s="75"/>
      <c r="AF479" s="75"/>
      <c r="AG479" s="75"/>
      <c r="AH479" s="75"/>
      <c r="AI479" s="75"/>
      <c r="AJ479" s="75"/>
      <c r="AK479" s="75"/>
      <c r="AL479" s="76"/>
      <c r="AM479" s="56" t="s">
        <v>20</v>
      </c>
      <c r="AN479" s="80" t="n">
        <f aca="false">IF(L479=0,0,Z479/L479)</f>
        <v>0.402150080026645</v>
      </c>
      <c r="AO479" s="81" t="str">
        <f aca="false">IF(AN479="","",IF(AN479&gt;=0.9,"🟢",IF(AN479&gt;=0.7,"🟡",IF(AN479&gt;=0.5,"🟠","🔴"))))</f>
        <v>🔴</v>
      </c>
      <c r="AP479" s="82" t="n">
        <f aca="false">IF(L479=0,0,L479-Z479)</f>
        <v>646.21</v>
      </c>
      <c r="AQ479" s="83" t="n">
        <f aca="false">IF(AP479=0,"",RANK(AP479,AP$4:AP$503,0))</f>
        <v>435</v>
      </c>
      <c r="AR479" s="84" t="s">
        <v>20</v>
      </c>
      <c r="AS479" s="141"/>
      <c r="AT479" s="141"/>
      <c r="AU479" s="141"/>
      <c r="AV479" s="141"/>
      <c r="AW479" s="141"/>
      <c r="AX479" s="141"/>
      <c r="AY479" s="142"/>
      <c r="AZ479" s="142"/>
      <c r="BA479" s="56" t="s">
        <v>20</v>
      </c>
      <c r="BB479" s="91" t="n">
        <f aca="false">SUM(L$4:L$503)/COUNTA(A$4:A$503)</f>
        <v>9494.39992</v>
      </c>
      <c r="BC479" s="92" t="n">
        <f aca="false">SUM(M$4:M$503)/COUNTA(A$4:A$503)</f>
        <v>667.20008</v>
      </c>
      <c r="BD479" s="92" t="n">
        <f aca="false">SUM(N$4:N$503)/COUNTA(A$4:A$503)</f>
        <v>697.19996</v>
      </c>
      <c r="BE479" s="92" t="n">
        <f aca="false">SUM(O$4:O$503)/COUNTA(A$4:A$503)</f>
        <v>713.9999</v>
      </c>
      <c r="BF479" s="92" t="n">
        <f aca="false">SUM(P$4:P$503)/COUNTA(A$4:A$503)</f>
        <v>732.59984</v>
      </c>
      <c r="BG479" s="92" t="n">
        <f aca="false">SUM(Q$4:Q$503)/COUNTA(A$4:A$503)</f>
        <v>756.59992</v>
      </c>
      <c r="BH479" s="92" t="n">
        <f aca="false">SUM(R$4:R$503)/COUNTA(A$4:A$503)</f>
        <v>776.40004</v>
      </c>
      <c r="BI479" s="92" t="n">
        <f aca="false">SUM(S$4:S$503)/COUNTA(A$4:A$503)</f>
        <v>806.40012</v>
      </c>
      <c r="BJ479" s="92" t="n">
        <f aca="false">SUM(T$4:T$503)/COUNTA(A$4:A$503)</f>
        <v>826.1999</v>
      </c>
      <c r="BK479" s="92" t="n">
        <f aca="false">SUM(U$4:U$503)/COUNTA(A$4:A$503)</f>
        <v>844.8002</v>
      </c>
      <c r="BL479" s="92" t="n">
        <f aca="false">SUM(V$4:V$503)/COUNTA(A$4:A$503)</f>
        <v>865.7998</v>
      </c>
      <c r="BM479" s="92" t="n">
        <f aca="false">SUM(W$4:W$503)/COUNTA(A$4:A$503)</f>
        <v>888.59982</v>
      </c>
      <c r="BN479" s="93" t="n">
        <f aca="false">SUM(X$4:X$503)/COUNTA(A$4:A$503)</f>
        <v>918.60034</v>
      </c>
      <c r="BO479" s="94" t="s">
        <v>20</v>
      </c>
      <c r="BP479" s="91" t="n">
        <f aca="false">IF(Z479&gt;=BB479,0,IFERROR(BB479+(SUMPRODUCT((Z$4:Z$503&gt;=BB$4:BB$503)*(Z$4:Z$503-BB$4:BB$503))/MAX(1,COUNTIF(Z$4:Z$503,"&lt;"&amp;BB479+0.01))),BB479))</f>
        <v>10695.5432177778</v>
      </c>
      <c r="BQ479" s="92" t="n">
        <f aca="false">IF(AA479&gt;=BC479,0,IFERROR(BC479+SUMPRODUCT((AA$4:AA$503&gt;=BC$4:BC$503)*(AA$4:AA$503-BC$4:BC$503))/MAX(1,COUNTIF(AA$4:AA$503,"&lt;"&amp;BC479+0.01)),BC479))</f>
        <v>2238.46589176471</v>
      </c>
      <c r="BR479" s="92" t="n">
        <f aca="false">IF(AB479&gt;=BD479,0,IFERROR(BD479+SUMPRODUCT((AB$4:AB$503&gt;=BD$4:BD$503)*(AB$4:AB$503-BD$4:BD$503))/MAX(1,COUNTIF(AB$4:AB$503,"&lt;"&amp;BD479+0.01)),BD479))</f>
        <v>3335.2938</v>
      </c>
      <c r="BS479" s="92" t="n">
        <f aca="false">IF(AC479&gt;=BE479,0,IFERROR(BE479+SUMPRODUCT((AC$4:AC$503&gt;=BE$4:BE$503)*(AC$4:AC$503-BE$4:BE$503))/MAX(1,COUNTIF(AC$4:AC$503,"&lt;"&amp;BE479+0.01)),BE479))</f>
        <v>6188.73352</v>
      </c>
      <c r="BT479" s="92" t="n">
        <f aca="false">IF(AD479&gt;=BF479,0,IFERROR(BF479+SUMPRODUCT((AD$4:AD$503&gt;=BF$4:BF$503)*(AD$4:AD$503-BF$4:BF$503))/MAX(1,COUNTIF(AD$4:AD$503,"&lt;"&amp;BF479+0.01)),BF479))</f>
        <v>11354.35411</v>
      </c>
      <c r="BU479" s="92" t="n">
        <f aca="false">IF(AE479&gt;=BG479,0,IFERROR(BG479+SUMPRODUCT((AE$4:AE$503&gt;=BG$4:BG$503)*(AE$4:AE$503-BG$4:BG$503))/MAX(1,COUNTIF(AE$4:AE$503,"&lt;"&amp;BG479+0.01)),BG479))</f>
        <v>7704.85920380952</v>
      </c>
      <c r="BV479" s="92" t="n">
        <f aca="false">IF(AF479&gt;=BH479,0,IFERROR(BH479+SUMPRODUCT((AF$4:AF$503&gt;=BH$4:BH$503)*(AF$4:AF$503-BH$4:BH$503))/MAX(1,COUNTIF(AF$4:AF$503,"&lt;"&amp;BH479+0.01)),BH479))</f>
        <v>9942.6503831579</v>
      </c>
      <c r="BW479" s="92" t="n">
        <f aca="false">IF(AG479&gt;=BI479,0,IFERROR(BI479+SUMPRODUCT((AG$4:AG$503&gt;=BI$4:BI$503)*(AG$4:AG$503-BI$4:BI$503))/MAX(1,COUNTIF(AG$4:AG$503,"&lt;"&amp;BI479+0.01)),BI479))</f>
        <v>9142.15870461538</v>
      </c>
      <c r="BX479" s="92" t="n">
        <f aca="false">IF(AH479&gt;=BJ479,0,IFERROR(BJ479+SUMPRODUCT((AH$4:AH$503&gt;=BJ$4:BJ$503)*(AH$4:AH$503-BJ$4:BJ$503))/MAX(1,COUNTIF(AH$4:AH$503,"&lt;"&amp;BJ479+0.01)),BJ479))</f>
        <v>5621.50263448276</v>
      </c>
      <c r="BY479" s="92" t="n">
        <f aca="false">IF(AI479&gt;=BK479,0,IFERROR(BK479+SUMPRODUCT((AI$4:AI$503&gt;=BK$4:BK$503)*(AI$4:AI$503-BK$4:BK$503))/MAX(1,COUNTIF(AI$4:AI$503,"&lt;"&amp;BK479+0.01)),BK479))</f>
        <v>7878.25652380952</v>
      </c>
      <c r="BZ479" s="92" t="n">
        <f aca="false">IF(AJ479&gt;=BL479,0,IFERROR(BL479+SUMPRODUCT((AJ$4:AJ$503&gt;=BL$4:BL$503)*(AJ$4:AJ$503-BL$4:BL$503))/MAX(1,COUNTIF(AJ$4:AJ$503,"&lt;"&amp;BL479+0.01)),BL479))</f>
        <v>6710.03292307692</v>
      </c>
      <c r="CA479" s="92" t="n">
        <f aca="false">IF(AK479&gt;=BM479,0,IFERROR(BM479+SUMPRODUCT((AK$4:AK$503&gt;=BM$4:BM$503)*(AK$4:AK$503-BM$4:BM$503))/MAX(1,COUNTIF(AK$4:AK$503,"&lt;"&amp;BM479+0.01)),BM479))</f>
        <v>7314.89836842105</v>
      </c>
      <c r="CB479" s="93" t="n">
        <f aca="false">IF(AL479&gt;=BN479,0,IFERROR(BN479+SUMPRODUCT((AL$4:AL$503&gt;=BN$4:BN$503)*(AL$4:AL$503-BN$4:BN$503))/MAX(1,COUNTIF(AL$4:AL$503,"&lt;"&amp;BN479+0.01)),BN479))</f>
        <v>3597.2614925</v>
      </c>
      <c r="CC479" s="95" t="str">
        <f aca="false">IF(AO479="🟢","VERDE",IF(AO479="🟡","AMARELO",IF(AO479="🟠","VERMELHO",IF(AO479="🔴","VERMELHO","ROXO"))))</f>
        <v>VERMELHO</v>
      </c>
      <c r="CD479" s="96" t="s">
        <v>103</v>
      </c>
      <c r="CE479" s="96" t="s">
        <v>104</v>
      </c>
    </row>
    <row r="480" customFormat="false" ht="14.25" hidden="false" customHeight="true" outlineLevel="0" collapsed="false">
      <c r="A480" s="65" t="s">
        <v>1093</v>
      </c>
      <c r="B480" s="66" t="s">
        <v>1094</v>
      </c>
      <c r="C480" s="67" t="s">
        <v>123</v>
      </c>
      <c r="D480" s="68" t="s">
        <v>108</v>
      </c>
      <c r="E480" s="56" t="s">
        <v>20</v>
      </c>
      <c r="F480" s="70" t="n">
        <f aca="false">IFERROR(VLOOKUP(C480,$AS$3:$AT$10,2,FALSE()),IFERROR(VLOOKUP(C480,$AS$15:$AT$22,2,FALSE()),""))</f>
        <v>49</v>
      </c>
      <c r="G480" s="71" t="n">
        <f aca="false">IFERROR(VLOOKUP(C480,$AS$3:$AX$10,6,FALSE()),IFERROR(VLOOKUP(C480,$AS$15:$AX$22,6,FALSE()),""))</f>
        <v>0.436391353881959</v>
      </c>
      <c r="H480" s="72" t="str">
        <f aca="false">IFERROR(VLOOKUP(C480,$AS$3:$AY$10,7,FALSE()),IFERROR(VLOOKUP(C480,$AS$15:$AY$22,7,FALSE()),""))</f>
        <v>🟡 AMARELO</v>
      </c>
      <c r="I480" s="72" t="str">
        <f aca="false">IFERROR(VLOOKUP(C480,$AS$3:$AZ$10,8,FALSE()),IFERROR(VLOOKUP(C480,$AS$15:$AZ$22,8,FALSE()),""))</f>
        <v>Sell Out</v>
      </c>
      <c r="J480" s="73"/>
      <c r="K480" s="56" t="s">
        <v>20</v>
      </c>
      <c r="L480" s="74" t="n">
        <v>1079.19</v>
      </c>
      <c r="M480" s="75" t="n">
        <v>75.84</v>
      </c>
      <c r="N480" s="75" t="n">
        <v>79.25</v>
      </c>
      <c r="O480" s="75" t="n">
        <v>81.16</v>
      </c>
      <c r="P480" s="75" t="n">
        <v>83.27</v>
      </c>
      <c r="Q480" s="75" t="n">
        <v>86</v>
      </c>
      <c r="R480" s="75" t="n">
        <v>88.25</v>
      </c>
      <c r="S480" s="75" t="n">
        <v>91.66</v>
      </c>
      <c r="T480" s="75" t="n">
        <v>93.91</v>
      </c>
      <c r="U480" s="75" t="n">
        <v>96.03</v>
      </c>
      <c r="V480" s="75" t="n">
        <v>98.41</v>
      </c>
      <c r="W480" s="75" t="n">
        <v>101</v>
      </c>
      <c r="X480" s="76" t="n">
        <v>104.41</v>
      </c>
      <c r="Y480" s="77" t="s">
        <v>20</v>
      </c>
      <c r="Z480" s="78" t="n">
        <f aca="false">SUM(AA480:AL480)</f>
        <v>433.84</v>
      </c>
      <c r="AA480" s="75"/>
      <c r="AB480" s="75"/>
      <c r="AC480" s="75"/>
      <c r="AD480" s="75"/>
      <c r="AE480" s="75"/>
      <c r="AF480" s="75"/>
      <c r="AG480" s="75"/>
      <c r="AH480" s="75"/>
      <c r="AI480" s="75" t="n">
        <v>433.84</v>
      </c>
      <c r="AJ480" s="75"/>
      <c r="AK480" s="75"/>
      <c r="AL480" s="76"/>
      <c r="AM480" s="56" t="s">
        <v>20</v>
      </c>
      <c r="AN480" s="80" t="n">
        <f aca="false">IF(L480=0,0,Z480/L480)</f>
        <v>0.402005207609411</v>
      </c>
      <c r="AO480" s="81" t="str">
        <f aca="false">IF(AN480="","",IF(AN480&gt;=0.9,"🟢",IF(AN480&gt;=0.7,"🟡",IF(AN480&gt;=0.5,"🟠","🔴"))))</f>
        <v>🔴</v>
      </c>
      <c r="AP480" s="82" t="n">
        <f aca="false">IF(L480=0,0,L480-Z480)</f>
        <v>645.35</v>
      </c>
      <c r="AQ480" s="83" t="n">
        <f aca="false">IF(AP480=0,"",RANK(AP480,AP$4:AP$503,0))</f>
        <v>436</v>
      </c>
      <c r="AR480" s="84" t="s">
        <v>20</v>
      </c>
      <c r="AS480" s="141"/>
      <c r="AT480" s="141"/>
      <c r="AU480" s="141"/>
      <c r="AV480" s="141"/>
      <c r="AW480" s="141"/>
      <c r="AX480" s="141"/>
      <c r="AY480" s="142"/>
      <c r="AZ480" s="142"/>
      <c r="BA480" s="56" t="s">
        <v>20</v>
      </c>
      <c r="BB480" s="91" t="n">
        <f aca="false">SUM(L$4:L$503)/COUNTA(A$4:A$503)</f>
        <v>9494.39992</v>
      </c>
      <c r="BC480" s="92" t="n">
        <f aca="false">SUM(M$4:M$503)/COUNTA(A$4:A$503)</f>
        <v>667.20008</v>
      </c>
      <c r="BD480" s="92" t="n">
        <f aca="false">SUM(N$4:N$503)/COUNTA(A$4:A$503)</f>
        <v>697.19996</v>
      </c>
      <c r="BE480" s="92" t="n">
        <f aca="false">SUM(O$4:O$503)/COUNTA(A$4:A$503)</f>
        <v>713.9999</v>
      </c>
      <c r="BF480" s="92" t="n">
        <f aca="false">SUM(P$4:P$503)/COUNTA(A$4:A$503)</f>
        <v>732.59984</v>
      </c>
      <c r="BG480" s="92" t="n">
        <f aca="false">SUM(Q$4:Q$503)/COUNTA(A$4:A$503)</f>
        <v>756.59992</v>
      </c>
      <c r="BH480" s="92" t="n">
        <f aca="false">SUM(R$4:R$503)/COUNTA(A$4:A$503)</f>
        <v>776.40004</v>
      </c>
      <c r="BI480" s="92" t="n">
        <f aca="false">SUM(S$4:S$503)/COUNTA(A$4:A$503)</f>
        <v>806.40012</v>
      </c>
      <c r="BJ480" s="92" t="n">
        <f aca="false">SUM(T$4:T$503)/COUNTA(A$4:A$503)</f>
        <v>826.1999</v>
      </c>
      <c r="BK480" s="92" t="n">
        <f aca="false">SUM(U$4:U$503)/COUNTA(A$4:A$503)</f>
        <v>844.8002</v>
      </c>
      <c r="BL480" s="92" t="n">
        <f aca="false">SUM(V$4:V$503)/COUNTA(A$4:A$503)</f>
        <v>865.7998</v>
      </c>
      <c r="BM480" s="92" t="n">
        <f aca="false">SUM(W$4:W$503)/COUNTA(A$4:A$503)</f>
        <v>888.59982</v>
      </c>
      <c r="BN480" s="93" t="n">
        <f aca="false">SUM(X$4:X$503)/COUNTA(A$4:A$503)</f>
        <v>918.60034</v>
      </c>
      <c r="BO480" s="94" t="s">
        <v>20</v>
      </c>
      <c r="BP480" s="91" t="n">
        <f aca="false">IF(Z480&gt;=BB480,0,IFERROR(BB480+(SUMPRODUCT((Z$4:Z$503&gt;=BB$4:BB$503)*(Z$4:Z$503-BB$4:BB$503))/MAX(1,COUNTIF(Z$4:Z$503,"&lt;"&amp;BB480+0.01))),BB480))</f>
        <v>10695.5432177778</v>
      </c>
      <c r="BQ480" s="92" t="n">
        <f aca="false">IF(AA480&gt;=BC480,0,IFERROR(BC480+SUMPRODUCT((AA$4:AA$503&gt;=BC$4:BC$503)*(AA$4:AA$503-BC$4:BC$503))/MAX(1,COUNTIF(AA$4:AA$503,"&lt;"&amp;BC480+0.01)),BC480))</f>
        <v>2238.46589176471</v>
      </c>
      <c r="BR480" s="92" t="n">
        <f aca="false">IF(AB480&gt;=BD480,0,IFERROR(BD480+SUMPRODUCT((AB$4:AB$503&gt;=BD$4:BD$503)*(AB$4:AB$503-BD$4:BD$503))/MAX(1,COUNTIF(AB$4:AB$503,"&lt;"&amp;BD480+0.01)),BD480))</f>
        <v>3335.2938</v>
      </c>
      <c r="BS480" s="92" t="n">
        <f aca="false">IF(AC480&gt;=BE480,0,IFERROR(BE480+SUMPRODUCT((AC$4:AC$503&gt;=BE$4:BE$503)*(AC$4:AC$503-BE$4:BE$503))/MAX(1,COUNTIF(AC$4:AC$503,"&lt;"&amp;BE480+0.01)),BE480))</f>
        <v>6188.73352</v>
      </c>
      <c r="BT480" s="92" t="n">
        <f aca="false">IF(AD480&gt;=BF480,0,IFERROR(BF480+SUMPRODUCT((AD$4:AD$503&gt;=BF$4:BF$503)*(AD$4:AD$503-BF$4:BF$503))/MAX(1,COUNTIF(AD$4:AD$503,"&lt;"&amp;BF480+0.01)),BF480))</f>
        <v>11354.35411</v>
      </c>
      <c r="BU480" s="92" t="n">
        <f aca="false">IF(AE480&gt;=BG480,0,IFERROR(BG480+SUMPRODUCT((AE$4:AE$503&gt;=BG$4:BG$503)*(AE$4:AE$503-BG$4:BG$503))/MAX(1,COUNTIF(AE$4:AE$503,"&lt;"&amp;BG480+0.01)),BG480))</f>
        <v>7704.85920380952</v>
      </c>
      <c r="BV480" s="92" t="n">
        <f aca="false">IF(AF480&gt;=BH480,0,IFERROR(BH480+SUMPRODUCT((AF$4:AF$503&gt;=BH$4:BH$503)*(AF$4:AF$503-BH$4:BH$503))/MAX(1,COUNTIF(AF$4:AF$503,"&lt;"&amp;BH480+0.01)),BH480))</f>
        <v>9942.6503831579</v>
      </c>
      <c r="BW480" s="92" t="n">
        <f aca="false">IF(AG480&gt;=BI480,0,IFERROR(BI480+SUMPRODUCT((AG$4:AG$503&gt;=BI$4:BI$503)*(AG$4:AG$503-BI$4:BI$503))/MAX(1,COUNTIF(AG$4:AG$503,"&lt;"&amp;BI480+0.01)),BI480))</f>
        <v>9142.15870461538</v>
      </c>
      <c r="BX480" s="92" t="n">
        <f aca="false">IF(AH480&gt;=BJ480,0,IFERROR(BJ480+SUMPRODUCT((AH$4:AH$503&gt;=BJ$4:BJ$503)*(AH$4:AH$503-BJ$4:BJ$503))/MAX(1,COUNTIF(AH$4:AH$503,"&lt;"&amp;BJ480+0.01)),BJ480))</f>
        <v>5621.50263448276</v>
      </c>
      <c r="BY480" s="92" t="n">
        <f aca="false">IF(AI480&gt;=BK480,0,IFERROR(BK480+SUMPRODUCT((AI$4:AI$503&gt;=BK$4:BK$503)*(AI$4:AI$503-BK$4:BK$503))/MAX(1,COUNTIF(AI$4:AI$503,"&lt;"&amp;BK480+0.01)),BK480))</f>
        <v>7878.25652380952</v>
      </c>
      <c r="BZ480" s="92" t="n">
        <f aca="false">IF(AJ480&gt;=BL480,0,IFERROR(BL480+SUMPRODUCT((AJ$4:AJ$503&gt;=BL$4:BL$503)*(AJ$4:AJ$503-BL$4:BL$503))/MAX(1,COUNTIF(AJ$4:AJ$503,"&lt;"&amp;BL480+0.01)),BL480))</f>
        <v>6710.03292307692</v>
      </c>
      <c r="CA480" s="92" t="n">
        <f aca="false">IF(AK480&gt;=BM480,0,IFERROR(BM480+SUMPRODUCT((AK$4:AK$503&gt;=BM$4:BM$503)*(AK$4:AK$503-BM$4:BM$503))/MAX(1,COUNTIF(AK$4:AK$503,"&lt;"&amp;BM480+0.01)),BM480))</f>
        <v>7314.89836842105</v>
      </c>
      <c r="CB480" s="93" t="n">
        <f aca="false">IF(AL480&gt;=BN480,0,IFERROR(BN480+SUMPRODUCT((AL$4:AL$503&gt;=BN$4:BN$503)*(AL$4:AL$503-BN$4:BN$503))/MAX(1,COUNTIF(AL$4:AL$503,"&lt;"&amp;BN480+0.01)),BN480))</f>
        <v>3597.2614925</v>
      </c>
      <c r="CC480" s="95" t="str">
        <f aca="false">IF(AO480="🟢","VERDE",IF(AO480="🟡","AMARELO",IF(AO480="🟠","VERMELHO",IF(AO480="🔴","VERMELHO","ROXO"))))</f>
        <v>VERMELHO</v>
      </c>
      <c r="CD480" s="96" t="s">
        <v>103</v>
      </c>
      <c r="CE480" s="96" t="s">
        <v>104</v>
      </c>
    </row>
    <row r="481" customFormat="false" ht="14.25" hidden="false" customHeight="true" outlineLevel="0" collapsed="false">
      <c r="A481" s="65" t="s">
        <v>1095</v>
      </c>
      <c r="B481" s="66" t="s">
        <v>1096</v>
      </c>
      <c r="C481" s="66" t="s">
        <v>66</v>
      </c>
      <c r="D481" s="68" t="s">
        <v>175</v>
      </c>
      <c r="E481" s="69" t="s">
        <v>139</v>
      </c>
      <c r="F481" s="70" t="n">
        <f aca="false">IFERROR(VLOOKUP(C481,$AS$3:$AT$10,2,FALSE()),IFERROR(VLOOKUP(C481,$AS$15:$AT$22,2,FALSE()),""))</f>
        <v>44</v>
      </c>
      <c r="G481" s="71" t="n">
        <f aca="false">IFERROR(VLOOKUP(C481,$AS$3:$AX$10,6,FALSE()),IFERROR(VLOOKUP(C481,$AS$15:$AX$22,6,FALSE()),""))</f>
        <v>0.496839506257363</v>
      </c>
      <c r="H481" s="72" t="str">
        <f aca="false">IFERROR(VLOOKUP(C481,$AS$3:$AY$10,7,FALSE()),IFERROR(VLOOKUP(C481,$AS$15:$AY$22,7,FALSE()),""))</f>
        <v>🟡 AMARELO</v>
      </c>
      <c r="I481" s="72" t="str">
        <f aca="false">IFERROR(VLOOKUP(C481,$AS$3:$AZ$10,8,FALSE()),IFERROR(VLOOKUP(C481,$AS$15:$AZ$22,8,FALSE()),""))</f>
        <v>Sell Out</v>
      </c>
      <c r="J481" s="73"/>
      <c r="K481" s="69" t="s">
        <v>107</v>
      </c>
      <c r="L481" s="74" t="n">
        <v>1036.18</v>
      </c>
      <c r="M481" s="75" t="n">
        <v>72.82</v>
      </c>
      <c r="N481" s="75" t="n">
        <v>76.09</v>
      </c>
      <c r="O481" s="75" t="n">
        <v>77.92</v>
      </c>
      <c r="P481" s="75" t="n">
        <v>79.95</v>
      </c>
      <c r="Q481" s="75" t="n">
        <v>82.57</v>
      </c>
      <c r="R481" s="75" t="n">
        <v>84.73</v>
      </c>
      <c r="S481" s="75" t="n">
        <v>88.01</v>
      </c>
      <c r="T481" s="75" t="n">
        <v>90.17</v>
      </c>
      <c r="U481" s="75" t="n">
        <v>92.2</v>
      </c>
      <c r="V481" s="75" t="n">
        <v>94.49</v>
      </c>
      <c r="W481" s="75" t="n">
        <v>96.98</v>
      </c>
      <c r="X481" s="76" t="n">
        <v>100.25</v>
      </c>
      <c r="Y481" s="77" t="s">
        <v>20</v>
      </c>
      <c r="Z481" s="78" t="n">
        <f aca="false">SUM(AA481:AL481)</f>
        <v>416.7</v>
      </c>
      <c r="AA481" s="75"/>
      <c r="AB481" s="75"/>
      <c r="AC481" s="79" t="n">
        <v>416.7</v>
      </c>
      <c r="AD481" s="75"/>
      <c r="AE481" s="75"/>
      <c r="AF481" s="75"/>
      <c r="AG481" s="75"/>
      <c r="AH481" s="75"/>
      <c r="AI481" s="75"/>
      <c r="AJ481" s="75"/>
      <c r="AK481" s="75"/>
      <c r="AL481" s="76"/>
      <c r="AM481" s="56" t="s">
        <v>20</v>
      </c>
      <c r="AN481" s="80" t="n">
        <f aca="false">IF(L481=0,0,Z481/L481)</f>
        <v>0.40215020556274</v>
      </c>
      <c r="AO481" s="81" t="str">
        <f aca="false">IF(AN481="","",IF(AN481&gt;=0.9,"🟢",IF(AN481&gt;=0.7,"🟡",IF(AN481&gt;=0.5,"🟠","🔴"))))</f>
        <v>🔴</v>
      </c>
      <c r="AP481" s="82" t="n">
        <f aca="false">IF(L481=0,0,L481-Z481)</f>
        <v>619.48</v>
      </c>
      <c r="AQ481" s="83" t="n">
        <f aca="false">IF(AP481=0,"",RANK(AP481,AP$4:AP$503,0))</f>
        <v>439</v>
      </c>
      <c r="AR481" s="84" t="s">
        <v>20</v>
      </c>
      <c r="AS481" s="141"/>
      <c r="AT481" s="141"/>
      <c r="AU481" s="141"/>
      <c r="AV481" s="141"/>
      <c r="AW481" s="141"/>
      <c r="AX481" s="141"/>
      <c r="AY481" s="142"/>
      <c r="AZ481" s="142"/>
      <c r="BA481" s="56" t="s">
        <v>20</v>
      </c>
      <c r="BB481" s="91" t="n">
        <f aca="false">SUM(L$4:L$503)/COUNTA(A$4:A$503)</f>
        <v>9494.39992</v>
      </c>
      <c r="BC481" s="92" t="n">
        <f aca="false">SUM(M$4:M$503)/COUNTA(A$4:A$503)</f>
        <v>667.20008</v>
      </c>
      <c r="BD481" s="92" t="n">
        <f aca="false">SUM(N$4:N$503)/COUNTA(A$4:A$503)</f>
        <v>697.19996</v>
      </c>
      <c r="BE481" s="92" t="n">
        <f aca="false">SUM(O$4:O$503)/COUNTA(A$4:A$503)</f>
        <v>713.9999</v>
      </c>
      <c r="BF481" s="92" t="n">
        <f aca="false">SUM(P$4:P$503)/COUNTA(A$4:A$503)</f>
        <v>732.59984</v>
      </c>
      <c r="BG481" s="92" t="n">
        <f aca="false">SUM(Q$4:Q$503)/COUNTA(A$4:A$503)</f>
        <v>756.59992</v>
      </c>
      <c r="BH481" s="92" t="n">
        <f aca="false">SUM(R$4:R$503)/COUNTA(A$4:A$503)</f>
        <v>776.40004</v>
      </c>
      <c r="BI481" s="92" t="n">
        <f aca="false">SUM(S$4:S$503)/COUNTA(A$4:A$503)</f>
        <v>806.40012</v>
      </c>
      <c r="BJ481" s="92" t="n">
        <f aca="false">SUM(T$4:T$503)/COUNTA(A$4:A$503)</f>
        <v>826.1999</v>
      </c>
      <c r="BK481" s="92" t="n">
        <f aca="false">SUM(U$4:U$503)/COUNTA(A$4:A$503)</f>
        <v>844.8002</v>
      </c>
      <c r="BL481" s="92" t="n">
        <f aca="false">SUM(V$4:V$503)/COUNTA(A$4:A$503)</f>
        <v>865.7998</v>
      </c>
      <c r="BM481" s="92" t="n">
        <f aca="false">SUM(W$4:W$503)/COUNTA(A$4:A$503)</f>
        <v>888.59982</v>
      </c>
      <c r="BN481" s="93" t="n">
        <f aca="false">SUM(X$4:X$503)/COUNTA(A$4:A$503)</f>
        <v>918.60034</v>
      </c>
      <c r="BO481" s="94" t="s">
        <v>20</v>
      </c>
      <c r="BP481" s="91" t="n">
        <f aca="false">IF(Z481&gt;=BB481,0,IFERROR(BB481+(SUMPRODUCT((Z$4:Z$503&gt;=BB$4:BB$503)*(Z$4:Z$503-BB$4:BB$503))/MAX(1,COUNTIF(Z$4:Z$503,"&lt;"&amp;BB481+0.01))),BB481))</f>
        <v>10695.5432177778</v>
      </c>
      <c r="BQ481" s="92" t="n">
        <f aca="false">IF(AA481&gt;=BC481,0,IFERROR(BC481+SUMPRODUCT((AA$4:AA$503&gt;=BC$4:BC$503)*(AA$4:AA$503-BC$4:BC$503))/MAX(1,COUNTIF(AA$4:AA$503,"&lt;"&amp;BC481+0.01)),BC481))</f>
        <v>2238.46589176471</v>
      </c>
      <c r="BR481" s="92" t="n">
        <f aca="false">IF(AB481&gt;=BD481,0,IFERROR(BD481+SUMPRODUCT((AB$4:AB$503&gt;=BD$4:BD$503)*(AB$4:AB$503-BD$4:BD$503))/MAX(1,COUNTIF(AB$4:AB$503,"&lt;"&amp;BD481+0.01)),BD481))</f>
        <v>3335.2938</v>
      </c>
      <c r="BS481" s="92" t="n">
        <f aca="false">IF(AC481&gt;=BE481,0,IFERROR(BE481+SUMPRODUCT((AC$4:AC$503&gt;=BE$4:BE$503)*(AC$4:AC$503-BE$4:BE$503))/MAX(1,COUNTIF(AC$4:AC$503,"&lt;"&amp;BE481+0.01)),BE481))</f>
        <v>6188.73352</v>
      </c>
      <c r="BT481" s="92" t="n">
        <f aca="false">IF(AD481&gt;=BF481,0,IFERROR(BF481+SUMPRODUCT((AD$4:AD$503&gt;=BF$4:BF$503)*(AD$4:AD$503-BF$4:BF$503))/MAX(1,COUNTIF(AD$4:AD$503,"&lt;"&amp;BF481+0.01)),BF481))</f>
        <v>11354.35411</v>
      </c>
      <c r="BU481" s="92" t="n">
        <f aca="false">IF(AE481&gt;=BG481,0,IFERROR(BG481+SUMPRODUCT((AE$4:AE$503&gt;=BG$4:BG$503)*(AE$4:AE$503-BG$4:BG$503))/MAX(1,COUNTIF(AE$4:AE$503,"&lt;"&amp;BG481+0.01)),BG481))</f>
        <v>7704.85920380952</v>
      </c>
      <c r="BV481" s="92" t="n">
        <f aca="false">IF(AF481&gt;=BH481,0,IFERROR(BH481+SUMPRODUCT((AF$4:AF$503&gt;=BH$4:BH$503)*(AF$4:AF$503-BH$4:BH$503))/MAX(1,COUNTIF(AF$4:AF$503,"&lt;"&amp;BH481+0.01)),BH481))</f>
        <v>9942.6503831579</v>
      </c>
      <c r="BW481" s="92" t="n">
        <f aca="false">IF(AG481&gt;=BI481,0,IFERROR(BI481+SUMPRODUCT((AG$4:AG$503&gt;=BI$4:BI$503)*(AG$4:AG$503-BI$4:BI$503))/MAX(1,COUNTIF(AG$4:AG$503,"&lt;"&amp;BI481+0.01)),BI481))</f>
        <v>9142.15870461538</v>
      </c>
      <c r="BX481" s="92" t="n">
        <f aca="false">IF(AH481&gt;=BJ481,0,IFERROR(BJ481+SUMPRODUCT((AH$4:AH$503&gt;=BJ$4:BJ$503)*(AH$4:AH$503-BJ$4:BJ$503))/MAX(1,COUNTIF(AH$4:AH$503,"&lt;"&amp;BJ481+0.01)),BJ481))</f>
        <v>5621.50263448276</v>
      </c>
      <c r="BY481" s="92" t="n">
        <f aca="false">IF(AI481&gt;=BK481,0,IFERROR(BK481+SUMPRODUCT((AI$4:AI$503&gt;=BK$4:BK$503)*(AI$4:AI$503-BK$4:BK$503))/MAX(1,COUNTIF(AI$4:AI$503,"&lt;"&amp;BK481+0.01)),BK481))</f>
        <v>7878.25652380952</v>
      </c>
      <c r="BZ481" s="92" t="n">
        <f aca="false">IF(AJ481&gt;=BL481,0,IFERROR(BL481+SUMPRODUCT((AJ$4:AJ$503&gt;=BL$4:BL$503)*(AJ$4:AJ$503-BL$4:BL$503))/MAX(1,COUNTIF(AJ$4:AJ$503,"&lt;"&amp;BL481+0.01)),BL481))</f>
        <v>6710.03292307692</v>
      </c>
      <c r="CA481" s="92" t="n">
        <f aca="false">IF(AK481&gt;=BM481,0,IFERROR(BM481+SUMPRODUCT((AK$4:AK$503&gt;=BM$4:BM$503)*(AK$4:AK$503-BM$4:BM$503))/MAX(1,COUNTIF(AK$4:AK$503,"&lt;"&amp;BM481+0.01)),BM481))</f>
        <v>7314.89836842105</v>
      </c>
      <c r="CB481" s="93" t="n">
        <f aca="false">IF(AL481&gt;=BN481,0,IFERROR(BN481+SUMPRODUCT((AL$4:AL$503&gt;=BN$4:BN$503)*(AL$4:AL$503-BN$4:BN$503))/MAX(1,COUNTIF(AL$4:AL$503,"&lt;"&amp;BN481+0.01)),BN481))</f>
        <v>3597.2614925</v>
      </c>
      <c r="CC481" s="95" t="str">
        <f aca="false">IF(AO481="🟢","VERDE",IF(AO481="🟡","AMARELO",IF(AO481="🟠","VERMELHO",IF(AO481="🔴","VERMELHO","ROXO"))))</f>
        <v>VERMELHO</v>
      </c>
      <c r="CD481" s="96" t="s">
        <v>176</v>
      </c>
      <c r="CE481" s="96" t="s">
        <v>66</v>
      </c>
    </row>
    <row r="482" customFormat="false" ht="14.25" hidden="false" customHeight="true" outlineLevel="0" collapsed="false">
      <c r="A482" s="65" t="s">
        <v>1097</v>
      </c>
      <c r="B482" s="66" t="s">
        <v>1098</v>
      </c>
      <c r="C482" s="67" t="s">
        <v>107</v>
      </c>
      <c r="D482" s="68" t="s">
        <v>108</v>
      </c>
      <c r="E482" s="69" t="s">
        <v>196</v>
      </c>
      <c r="F482" s="70" t="n">
        <f aca="false">IFERROR(VLOOKUP(C482,$AS$3:$AT$10,2,FALSE()),IFERROR(VLOOKUP(C482,$AS$15:$AT$22,2,FALSE()),""))</f>
        <v>132</v>
      </c>
      <c r="G482" s="71" t="n">
        <f aca="false">IFERROR(VLOOKUP(C482,$AS$3:$AX$10,6,FALSE()),IFERROR(VLOOKUP(C482,$AS$15:$AX$22,6,FALSE()),""))</f>
        <v>0.468190175850689</v>
      </c>
      <c r="H482" s="72" t="str">
        <f aca="false">IFERROR(VLOOKUP(C482,$AS$3:$AY$10,7,FALSE()),IFERROR(VLOOKUP(C482,$AS$15:$AY$22,7,FALSE()),""))</f>
        <v>🟡 AMARELO</v>
      </c>
      <c r="I482" s="72" t="str">
        <f aca="false">IFERROR(VLOOKUP(C482,$AS$3:$AZ$10,8,FALSE()),IFERROR(VLOOKUP(C482,$AS$15:$AZ$22,8,FALSE()),""))</f>
        <v>Sell Out</v>
      </c>
      <c r="J482" s="73"/>
      <c r="K482" s="69" t="s">
        <v>107</v>
      </c>
      <c r="L482" s="74" t="n">
        <v>1007.58</v>
      </c>
      <c r="M482" s="75" t="n">
        <v>70.81</v>
      </c>
      <c r="N482" s="75" t="n">
        <v>73.99</v>
      </c>
      <c r="O482" s="75" t="n">
        <v>75.77</v>
      </c>
      <c r="P482" s="75" t="n">
        <v>77.75</v>
      </c>
      <c r="Q482" s="75" t="n">
        <v>80.29</v>
      </c>
      <c r="R482" s="75" t="n">
        <v>82.39</v>
      </c>
      <c r="S482" s="75" t="n">
        <v>85.58</v>
      </c>
      <c r="T482" s="75" t="n">
        <v>87.68</v>
      </c>
      <c r="U482" s="75" t="n">
        <v>89.65</v>
      </c>
      <c r="V482" s="75" t="n">
        <v>91.88</v>
      </c>
      <c r="W482" s="75" t="n">
        <v>94.3</v>
      </c>
      <c r="X482" s="76" t="n">
        <v>97.49</v>
      </c>
      <c r="Y482" s="77" t="s">
        <v>20</v>
      </c>
      <c r="Z482" s="78" t="n">
        <f aca="false">SUM(AA482:AL482)</f>
        <v>1317.57</v>
      </c>
      <c r="AA482" s="75"/>
      <c r="AB482" s="75"/>
      <c r="AC482" s="75"/>
      <c r="AD482" s="75" t="n">
        <v>838.45</v>
      </c>
      <c r="AE482" s="79" t="n">
        <v>479.12</v>
      </c>
      <c r="AF482" s="75"/>
      <c r="AG482" s="75"/>
      <c r="AH482" s="75"/>
      <c r="AI482" s="75"/>
      <c r="AJ482" s="75"/>
      <c r="AK482" s="75"/>
      <c r="AL482" s="76"/>
      <c r="AM482" s="56" t="s">
        <v>20</v>
      </c>
      <c r="AN482" s="80" t="n">
        <f aca="false">IF(L482=0,0,Z482/L482)</f>
        <v>1.30765795271839</v>
      </c>
      <c r="AO482" s="81" t="str">
        <f aca="false">IF(AN482="","",IF(AN482&gt;=0.9,"🟢",IF(AN482&gt;=0.7,"🟡",IF(AN482&gt;=0.5,"🟠","🔴"))))</f>
        <v>🟢</v>
      </c>
      <c r="AP482" s="82" t="n">
        <f aca="false">IF(L482=0,0,L482-Z482)</f>
        <v>-309.99</v>
      </c>
      <c r="AQ482" s="83" t="n">
        <f aca="false">IF(AP482=0,"",RANK(AP482,AP$4:AP$503,0))</f>
        <v>491</v>
      </c>
      <c r="AR482" s="84" t="s">
        <v>20</v>
      </c>
      <c r="AS482" s="141"/>
      <c r="AT482" s="141"/>
      <c r="AU482" s="141"/>
      <c r="AV482" s="141"/>
      <c r="AW482" s="141"/>
      <c r="AX482" s="141"/>
      <c r="AY482" s="142"/>
      <c r="AZ482" s="142"/>
      <c r="BA482" s="56" t="s">
        <v>20</v>
      </c>
      <c r="BB482" s="91" t="n">
        <f aca="false">SUM(L$4:L$503)/COUNTA(A$4:A$503)</f>
        <v>9494.39992</v>
      </c>
      <c r="BC482" s="92" t="n">
        <f aca="false">SUM(M$4:M$503)/COUNTA(A$4:A$503)</f>
        <v>667.20008</v>
      </c>
      <c r="BD482" s="92" t="n">
        <f aca="false">SUM(N$4:N$503)/COUNTA(A$4:A$503)</f>
        <v>697.19996</v>
      </c>
      <c r="BE482" s="92" t="n">
        <f aca="false">SUM(O$4:O$503)/COUNTA(A$4:A$503)</f>
        <v>713.9999</v>
      </c>
      <c r="BF482" s="92" t="n">
        <f aca="false">SUM(P$4:P$503)/COUNTA(A$4:A$503)</f>
        <v>732.59984</v>
      </c>
      <c r="BG482" s="92" t="n">
        <f aca="false">SUM(Q$4:Q$503)/COUNTA(A$4:A$503)</f>
        <v>756.59992</v>
      </c>
      <c r="BH482" s="92" t="n">
        <f aca="false">SUM(R$4:R$503)/COUNTA(A$4:A$503)</f>
        <v>776.40004</v>
      </c>
      <c r="BI482" s="92" t="n">
        <f aca="false">SUM(S$4:S$503)/COUNTA(A$4:A$503)</f>
        <v>806.40012</v>
      </c>
      <c r="BJ482" s="92" t="n">
        <f aca="false">SUM(T$4:T$503)/COUNTA(A$4:A$503)</f>
        <v>826.1999</v>
      </c>
      <c r="BK482" s="92" t="n">
        <f aca="false">SUM(U$4:U$503)/COUNTA(A$4:A$503)</f>
        <v>844.8002</v>
      </c>
      <c r="BL482" s="92" t="n">
        <f aca="false">SUM(V$4:V$503)/COUNTA(A$4:A$503)</f>
        <v>865.7998</v>
      </c>
      <c r="BM482" s="92" t="n">
        <f aca="false">SUM(W$4:W$503)/COUNTA(A$4:A$503)</f>
        <v>888.59982</v>
      </c>
      <c r="BN482" s="93" t="n">
        <f aca="false">SUM(X$4:X$503)/COUNTA(A$4:A$503)</f>
        <v>918.60034</v>
      </c>
      <c r="BO482" s="94" t="s">
        <v>20</v>
      </c>
      <c r="BP482" s="91" t="n">
        <f aca="false">IF(Z482&gt;=BB482,0,IFERROR(BB482+(SUMPRODUCT((Z$4:Z$503&gt;=BB$4:BB$503)*(Z$4:Z$503-BB$4:BB$503))/MAX(1,COUNTIF(Z$4:Z$503,"&lt;"&amp;BB482+0.01))),BB482))</f>
        <v>10695.5432177778</v>
      </c>
      <c r="BQ482" s="92" t="n">
        <f aca="false">IF(AA482&gt;=BC482,0,IFERROR(BC482+SUMPRODUCT((AA$4:AA$503&gt;=BC$4:BC$503)*(AA$4:AA$503-BC$4:BC$503))/MAX(1,COUNTIF(AA$4:AA$503,"&lt;"&amp;BC482+0.01)),BC482))</f>
        <v>2238.46589176471</v>
      </c>
      <c r="BR482" s="92" t="n">
        <f aca="false">IF(AB482&gt;=BD482,0,IFERROR(BD482+SUMPRODUCT((AB$4:AB$503&gt;=BD$4:BD$503)*(AB$4:AB$503-BD$4:BD$503))/MAX(1,COUNTIF(AB$4:AB$503,"&lt;"&amp;BD482+0.01)),BD482))</f>
        <v>3335.2938</v>
      </c>
      <c r="BS482" s="92" t="n">
        <f aca="false">IF(AC482&gt;=BE482,0,IFERROR(BE482+SUMPRODUCT((AC$4:AC$503&gt;=BE$4:BE$503)*(AC$4:AC$503-BE$4:BE$503))/MAX(1,COUNTIF(AC$4:AC$503,"&lt;"&amp;BE482+0.01)),BE482))</f>
        <v>6188.73352</v>
      </c>
      <c r="BT482" s="92" t="n">
        <f aca="false">IF(AD482&gt;=BF482,0,IFERROR(BF482+SUMPRODUCT((AD$4:AD$503&gt;=BF$4:BF$503)*(AD$4:AD$503-BF$4:BF$503))/MAX(1,COUNTIF(AD$4:AD$503,"&lt;"&amp;BF482+0.01)),BF482))</f>
        <v>0</v>
      </c>
      <c r="BU482" s="92" t="n">
        <f aca="false">IF(AE482&gt;=BG482,0,IFERROR(BG482+SUMPRODUCT((AE$4:AE$503&gt;=BG$4:BG$503)*(AE$4:AE$503-BG$4:BG$503))/MAX(1,COUNTIF(AE$4:AE$503,"&lt;"&amp;BG482+0.01)),BG482))</f>
        <v>7704.85920380952</v>
      </c>
      <c r="BV482" s="92" t="n">
        <f aca="false">IF(AF482&gt;=BH482,0,IFERROR(BH482+SUMPRODUCT((AF$4:AF$503&gt;=BH$4:BH$503)*(AF$4:AF$503-BH$4:BH$503))/MAX(1,COUNTIF(AF$4:AF$503,"&lt;"&amp;BH482+0.01)),BH482))</f>
        <v>9942.6503831579</v>
      </c>
      <c r="BW482" s="92" t="n">
        <f aca="false">IF(AG482&gt;=BI482,0,IFERROR(BI482+SUMPRODUCT((AG$4:AG$503&gt;=BI$4:BI$503)*(AG$4:AG$503-BI$4:BI$503))/MAX(1,COUNTIF(AG$4:AG$503,"&lt;"&amp;BI482+0.01)),BI482))</f>
        <v>9142.15870461538</v>
      </c>
      <c r="BX482" s="92" t="n">
        <f aca="false">IF(AH482&gt;=BJ482,0,IFERROR(BJ482+SUMPRODUCT((AH$4:AH$503&gt;=BJ$4:BJ$503)*(AH$4:AH$503-BJ$4:BJ$503))/MAX(1,COUNTIF(AH$4:AH$503,"&lt;"&amp;BJ482+0.01)),BJ482))</f>
        <v>5621.50263448276</v>
      </c>
      <c r="BY482" s="92" t="n">
        <f aca="false">IF(AI482&gt;=BK482,0,IFERROR(BK482+SUMPRODUCT((AI$4:AI$503&gt;=BK$4:BK$503)*(AI$4:AI$503-BK$4:BK$503))/MAX(1,COUNTIF(AI$4:AI$503,"&lt;"&amp;BK482+0.01)),BK482))</f>
        <v>7878.25652380952</v>
      </c>
      <c r="BZ482" s="92" t="n">
        <f aca="false">IF(AJ482&gt;=BL482,0,IFERROR(BL482+SUMPRODUCT((AJ$4:AJ$503&gt;=BL$4:BL$503)*(AJ$4:AJ$503-BL$4:BL$503))/MAX(1,COUNTIF(AJ$4:AJ$503,"&lt;"&amp;BL482+0.01)),BL482))</f>
        <v>6710.03292307692</v>
      </c>
      <c r="CA482" s="92" t="n">
        <f aca="false">IF(AK482&gt;=BM482,0,IFERROR(BM482+SUMPRODUCT((AK$4:AK$503&gt;=BM$4:BM$503)*(AK$4:AK$503-BM$4:BM$503))/MAX(1,COUNTIF(AK$4:AK$503,"&lt;"&amp;BM482+0.01)),BM482))</f>
        <v>7314.89836842105</v>
      </c>
      <c r="CB482" s="93" t="n">
        <f aca="false">IF(AL482&gt;=BN482,0,IFERROR(BN482+SUMPRODUCT((AL$4:AL$503&gt;=BN$4:BN$503)*(AL$4:AL$503-BN$4:BN$503))/MAX(1,COUNTIF(AL$4:AL$503,"&lt;"&amp;BN482+0.01)),BN482))</f>
        <v>3597.2614925</v>
      </c>
      <c r="CC482" s="95" t="str">
        <f aca="false">IF(AO482="🟢","VERDE",IF(AO482="🟡","AMARELO",IF(AO482="🟠","VERMELHO",IF(AO482="🔴","VERMELHO","ROXO"))))</f>
        <v>VERDE</v>
      </c>
      <c r="CD482" s="96" t="s">
        <v>103</v>
      </c>
      <c r="CE482" s="96" t="s">
        <v>104</v>
      </c>
    </row>
    <row r="483" customFormat="false" ht="14.25" hidden="false" customHeight="true" outlineLevel="0" collapsed="false">
      <c r="A483" s="65" t="s">
        <v>1099</v>
      </c>
      <c r="B483" s="66" t="s">
        <v>1100</v>
      </c>
      <c r="C483" s="67" t="s">
        <v>113</v>
      </c>
      <c r="D483" s="68" t="s">
        <v>100</v>
      </c>
      <c r="E483" s="69" t="s">
        <v>114</v>
      </c>
      <c r="F483" s="70" t="n">
        <f aca="false">IFERROR(VLOOKUP(C483,$AS$3:$AT$10,2,FALSE()),IFERROR(VLOOKUP(C483,$AS$15:$AT$22,2,FALSE()),""))</f>
        <v>49</v>
      </c>
      <c r="G483" s="71" t="n">
        <f aca="false">IFERROR(VLOOKUP(C483,$AS$3:$AX$10,6,FALSE()),IFERROR(VLOOKUP(C483,$AS$15:$AX$22,6,FALSE()),""))</f>
        <v>0.463965086137302</v>
      </c>
      <c r="H483" s="72" t="str">
        <f aca="false">IFERROR(VLOOKUP(C483,$AS$3:$AY$10,7,FALSE()),IFERROR(VLOOKUP(C483,$AS$15:$AY$22,7,FALSE()),""))</f>
        <v>🟡 AMARELO</v>
      </c>
      <c r="I483" s="72" t="str">
        <f aca="false">IFERROR(VLOOKUP(C483,$AS$3:$AZ$10,8,FALSE()),IFERROR(VLOOKUP(C483,$AS$15:$AZ$22,8,FALSE()),""))</f>
        <v>Sell Out</v>
      </c>
      <c r="J483" s="73"/>
      <c r="K483" s="69" t="s">
        <v>113</v>
      </c>
      <c r="L483" s="74" t="n">
        <v>988.68</v>
      </c>
      <c r="M483" s="75" t="n">
        <v>69.48</v>
      </c>
      <c r="N483" s="75" t="n">
        <v>72.6</v>
      </c>
      <c r="O483" s="75" t="n">
        <v>74.35</v>
      </c>
      <c r="P483" s="75" t="n">
        <v>76.29</v>
      </c>
      <c r="Q483" s="75" t="n">
        <v>78.79</v>
      </c>
      <c r="R483" s="75" t="n">
        <v>80.85</v>
      </c>
      <c r="S483" s="75" t="n">
        <v>83.97</v>
      </c>
      <c r="T483" s="75" t="n">
        <v>86.03</v>
      </c>
      <c r="U483" s="75" t="n">
        <v>87.97</v>
      </c>
      <c r="V483" s="75" t="n">
        <v>90.16</v>
      </c>
      <c r="W483" s="75" t="n">
        <v>92.53</v>
      </c>
      <c r="X483" s="76" t="n">
        <v>95.66</v>
      </c>
      <c r="Y483" s="77" t="s">
        <v>20</v>
      </c>
      <c r="Z483" s="78" t="n">
        <f aca="false">SUM(AA483:AL483)</f>
        <v>397.6</v>
      </c>
      <c r="AA483" s="75"/>
      <c r="AB483" s="79" t="n">
        <v>397.6</v>
      </c>
      <c r="AC483" s="75"/>
      <c r="AD483" s="75"/>
      <c r="AE483" s="75"/>
      <c r="AF483" s="75"/>
      <c r="AG483" s="75"/>
      <c r="AH483" s="75"/>
      <c r="AI483" s="75"/>
      <c r="AJ483" s="75"/>
      <c r="AK483" s="75"/>
      <c r="AL483" s="76"/>
      <c r="AM483" s="56" t="s">
        <v>20</v>
      </c>
      <c r="AN483" s="80" t="n">
        <f aca="false">IF(L483=0,0,Z483/L483)</f>
        <v>0.402152364769187</v>
      </c>
      <c r="AO483" s="81" t="str">
        <f aca="false">IF(AN483="","",IF(AN483&gt;=0.9,"🟢",IF(AN483&gt;=0.7,"🟡",IF(AN483&gt;=0.5,"🟠","🔴"))))</f>
        <v>🔴</v>
      </c>
      <c r="AP483" s="82" t="n">
        <f aca="false">IF(L483=0,0,L483-Z483)</f>
        <v>591.08</v>
      </c>
      <c r="AQ483" s="83" t="n">
        <f aca="false">IF(AP483=0,"",RANK(AP483,AP$4:AP$503,0))</f>
        <v>443</v>
      </c>
      <c r="AR483" s="84" t="s">
        <v>20</v>
      </c>
      <c r="AS483" s="141"/>
      <c r="AT483" s="141"/>
      <c r="AU483" s="141"/>
      <c r="AV483" s="141"/>
      <c r="AW483" s="141"/>
      <c r="AX483" s="141"/>
      <c r="AY483" s="142"/>
      <c r="AZ483" s="142"/>
      <c r="BA483" s="56" t="s">
        <v>20</v>
      </c>
      <c r="BB483" s="91" t="n">
        <f aca="false">SUM(L$4:L$503)/COUNTA(A$4:A$503)</f>
        <v>9494.39992</v>
      </c>
      <c r="BC483" s="92" t="n">
        <f aca="false">SUM(M$4:M$503)/COUNTA(A$4:A$503)</f>
        <v>667.20008</v>
      </c>
      <c r="BD483" s="92" t="n">
        <f aca="false">SUM(N$4:N$503)/COUNTA(A$4:A$503)</f>
        <v>697.19996</v>
      </c>
      <c r="BE483" s="92" t="n">
        <f aca="false">SUM(O$4:O$503)/COUNTA(A$4:A$503)</f>
        <v>713.9999</v>
      </c>
      <c r="BF483" s="92" t="n">
        <f aca="false">SUM(P$4:P$503)/COUNTA(A$4:A$503)</f>
        <v>732.59984</v>
      </c>
      <c r="BG483" s="92" t="n">
        <f aca="false">SUM(Q$4:Q$503)/COUNTA(A$4:A$503)</f>
        <v>756.59992</v>
      </c>
      <c r="BH483" s="92" t="n">
        <f aca="false">SUM(R$4:R$503)/COUNTA(A$4:A$503)</f>
        <v>776.40004</v>
      </c>
      <c r="BI483" s="92" t="n">
        <f aca="false">SUM(S$4:S$503)/COUNTA(A$4:A$503)</f>
        <v>806.40012</v>
      </c>
      <c r="BJ483" s="92" t="n">
        <f aca="false">SUM(T$4:T$503)/COUNTA(A$4:A$503)</f>
        <v>826.1999</v>
      </c>
      <c r="BK483" s="92" t="n">
        <f aca="false">SUM(U$4:U$503)/COUNTA(A$4:A$503)</f>
        <v>844.8002</v>
      </c>
      <c r="BL483" s="92" t="n">
        <f aca="false">SUM(V$4:V$503)/COUNTA(A$4:A$503)</f>
        <v>865.7998</v>
      </c>
      <c r="BM483" s="92" t="n">
        <f aca="false">SUM(W$4:W$503)/COUNTA(A$4:A$503)</f>
        <v>888.59982</v>
      </c>
      <c r="BN483" s="93" t="n">
        <f aca="false">SUM(X$4:X$503)/COUNTA(A$4:A$503)</f>
        <v>918.60034</v>
      </c>
      <c r="BO483" s="94" t="s">
        <v>20</v>
      </c>
      <c r="BP483" s="91" t="n">
        <f aca="false">IF(Z483&gt;=BB483,0,IFERROR(BB483+(SUMPRODUCT((Z$4:Z$503&gt;=BB$4:BB$503)*(Z$4:Z$503-BB$4:BB$503))/MAX(1,COUNTIF(Z$4:Z$503,"&lt;"&amp;BB483+0.01))),BB483))</f>
        <v>10695.5432177778</v>
      </c>
      <c r="BQ483" s="92" t="n">
        <f aca="false">IF(AA483&gt;=BC483,0,IFERROR(BC483+SUMPRODUCT((AA$4:AA$503&gt;=BC$4:BC$503)*(AA$4:AA$503-BC$4:BC$503))/MAX(1,COUNTIF(AA$4:AA$503,"&lt;"&amp;BC483+0.01)),BC483))</f>
        <v>2238.46589176471</v>
      </c>
      <c r="BR483" s="92" t="n">
        <f aca="false">IF(AB483&gt;=BD483,0,IFERROR(BD483+SUMPRODUCT((AB$4:AB$503&gt;=BD$4:BD$503)*(AB$4:AB$503-BD$4:BD$503))/MAX(1,COUNTIF(AB$4:AB$503,"&lt;"&amp;BD483+0.01)),BD483))</f>
        <v>3335.2938</v>
      </c>
      <c r="BS483" s="92" t="n">
        <f aca="false">IF(AC483&gt;=BE483,0,IFERROR(BE483+SUMPRODUCT((AC$4:AC$503&gt;=BE$4:BE$503)*(AC$4:AC$503-BE$4:BE$503))/MAX(1,COUNTIF(AC$4:AC$503,"&lt;"&amp;BE483+0.01)),BE483))</f>
        <v>6188.73352</v>
      </c>
      <c r="BT483" s="92" t="n">
        <f aca="false">IF(AD483&gt;=BF483,0,IFERROR(BF483+SUMPRODUCT((AD$4:AD$503&gt;=BF$4:BF$503)*(AD$4:AD$503-BF$4:BF$503))/MAX(1,COUNTIF(AD$4:AD$503,"&lt;"&amp;BF483+0.01)),BF483))</f>
        <v>11354.35411</v>
      </c>
      <c r="BU483" s="92" t="n">
        <f aca="false">IF(AE483&gt;=BG483,0,IFERROR(BG483+SUMPRODUCT((AE$4:AE$503&gt;=BG$4:BG$503)*(AE$4:AE$503-BG$4:BG$503))/MAX(1,COUNTIF(AE$4:AE$503,"&lt;"&amp;BG483+0.01)),BG483))</f>
        <v>7704.85920380952</v>
      </c>
      <c r="BV483" s="92" t="n">
        <f aca="false">IF(AF483&gt;=BH483,0,IFERROR(BH483+SUMPRODUCT((AF$4:AF$503&gt;=BH$4:BH$503)*(AF$4:AF$503-BH$4:BH$503))/MAX(1,COUNTIF(AF$4:AF$503,"&lt;"&amp;BH483+0.01)),BH483))</f>
        <v>9942.6503831579</v>
      </c>
      <c r="BW483" s="92" t="n">
        <f aca="false">IF(AG483&gt;=BI483,0,IFERROR(BI483+SUMPRODUCT((AG$4:AG$503&gt;=BI$4:BI$503)*(AG$4:AG$503-BI$4:BI$503))/MAX(1,COUNTIF(AG$4:AG$503,"&lt;"&amp;BI483+0.01)),BI483))</f>
        <v>9142.15870461538</v>
      </c>
      <c r="BX483" s="92" t="n">
        <f aca="false">IF(AH483&gt;=BJ483,0,IFERROR(BJ483+SUMPRODUCT((AH$4:AH$503&gt;=BJ$4:BJ$503)*(AH$4:AH$503-BJ$4:BJ$503))/MAX(1,COUNTIF(AH$4:AH$503,"&lt;"&amp;BJ483+0.01)),BJ483))</f>
        <v>5621.50263448276</v>
      </c>
      <c r="BY483" s="92" t="n">
        <f aca="false">IF(AI483&gt;=BK483,0,IFERROR(BK483+SUMPRODUCT((AI$4:AI$503&gt;=BK$4:BK$503)*(AI$4:AI$503-BK$4:BK$503))/MAX(1,COUNTIF(AI$4:AI$503,"&lt;"&amp;BK483+0.01)),BK483))</f>
        <v>7878.25652380952</v>
      </c>
      <c r="BZ483" s="92" t="n">
        <f aca="false">IF(AJ483&gt;=BL483,0,IFERROR(BL483+SUMPRODUCT((AJ$4:AJ$503&gt;=BL$4:BL$503)*(AJ$4:AJ$503-BL$4:BL$503))/MAX(1,COUNTIF(AJ$4:AJ$503,"&lt;"&amp;BL483+0.01)),BL483))</f>
        <v>6710.03292307692</v>
      </c>
      <c r="CA483" s="92" t="n">
        <f aca="false">IF(AK483&gt;=BM483,0,IFERROR(BM483+SUMPRODUCT((AK$4:AK$503&gt;=BM$4:BM$503)*(AK$4:AK$503-BM$4:BM$503))/MAX(1,COUNTIF(AK$4:AK$503,"&lt;"&amp;BM483+0.01)),BM483))</f>
        <v>7314.89836842105</v>
      </c>
      <c r="CB483" s="93" t="n">
        <f aca="false">IF(AL483&gt;=BN483,0,IFERROR(BN483+SUMPRODUCT((AL$4:AL$503&gt;=BN$4:BN$503)*(AL$4:AL$503-BN$4:BN$503))/MAX(1,COUNTIF(AL$4:AL$503,"&lt;"&amp;BN483+0.01)),BN483))</f>
        <v>3597.2614925</v>
      </c>
      <c r="CC483" s="95" t="str">
        <f aca="false">IF(AO483="🟢","VERDE",IF(AO483="🟡","AMARELO",IF(AO483="🟠","VERMELHO",IF(AO483="🔴","VERMELHO","ROXO"))))</f>
        <v>VERMELHO</v>
      </c>
      <c r="CD483" s="96" t="s">
        <v>103</v>
      </c>
      <c r="CE483" s="96" t="s">
        <v>104</v>
      </c>
    </row>
    <row r="484" customFormat="false" ht="14.25" hidden="false" customHeight="true" outlineLevel="0" collapsed="false">
      <c r="A484" s="65" t="n">
        <v>21757527000135</v>
      </c>
      <c r="B484" s="66" t="s">
        <v>1101</v>
      </c>
      <c r="C484" s="67" t="s">
        <v>107</v>
      </c>
      <c r="D484" s="68" t="s">
        <v>108</v>
      </c>
      <c r="E484" s="69" t="s">
        <v>109</v>
      </c>
      <c r="F484" s="70" t="n">
        <f aca="false">IFERROR(VLOOKUP(C484,$AS$3:$AT$10,2,FALSE()),IFERROR(VLOOKUP(C484,$AS$15:$AT$22,2,FALSE()),""))</f>
        <v>132</v>
      </c>
      <c r="G484" s="71" t="n">
        <f aca="false">IFERROR(VLOOKUP(C484,$AS$3:$AX$10,6,FALSE()),IFERROR(VLOOKUP(C484,$AS$15:$AX$22,6,FALSE()),""))</f>
        <v>0.468190175850689</v>
      </c>
      <c r="H484" s="72" t="str">
        <f aca="false">IFERROR(VLOOKUP(C484,$AS$3:$AY$10,7,FALSE()),IFERROR(VLOOKUP(C484,$AS$15:$AY$22,7,FALSE()),""))</f>
        <v>🟡 AMARELO</v>
      </c>
      <c r="I484" s="72" t="str">
        <f aca="false">IFERROR(VLOOKUP(C484,$AS$3:$AZ$10,8,FALSE()),IFERROR(VLOOKUP(C484,$AS$15:$AZ$22,8,FALSE()),""))</f>
        <v>Sell Out</v>
      </c>
      <c r="J484" s="73"/>
      <c r="K484" s="69" t="s">
        <v>107</v>
      </c>
      <c r="L484" s="74" t="n">
        <v>981.15</v>
      </c>
      <c r="M484" s="75" t="n">
        <v>68.95</v>
      </c>
      <c r="N484" s="75" t="n">
        <v>72.05</v>
      </c>
      <c r="O484" s="75" t="n">
        <v>73.78</v>
      </c>
      <c r="P484" s="75" t="n">
        <v>75.71</v>
      </c>
      <c r="Q484" s="75" t="n">
        <v>78.19</v>
      </c>
      <c r="R484" s="75" t="n">
        <v>80.23</v>
      </c>
      <c r="S484" s="75" t="n">
        <v>83.33</v>
      </c>
      <c r="T484" s="75" t="n">
        <v>85.38</v>
      </c>
      <c r="U484" s="75" t="n">
        <v>87.3</v>
      </c>
      <c r="V484" s="75" t="n">
        <v>89.47</v>
      </c>
      <c r="W484" s="75" t="n">
        <v>91.83</v>
      </c>
      <c r="X484" s="76" t="n">
        <v>94.93</v>
      </c>
      <c r="Y484" s="77" t="s">
        <v>20</v>
      </c>
      <c r="Z484" s="78" t="n">
        <f aca="false">SUM(AA484:AL484)</f>
        <v>674.11</v>
      </c>
      <c r="AA484" s="75"/>
      <c r="AB484" s="75"/>
      <c r="AC484" s="75"/>
      <c r="AD484" s="75"/>
      <c r="AE484" s="75"/>
      <c r="AF484" s="79" t="n">
        <v>674.11</v>
      </c>
      <c r="AG484" s="75"/>
      <c r="AH484" s="75"/>
      <c r="AI484" s="75"/>
      <c r="AJ484" s="75"/>
      <c r="AK484" s="75"/>
      <c r="AL484" s="76"/>
      <c r="AM484" s="56" t="s">
        <v>20</v>
      </c>
      <c r="AN484" s="80" t="n">
        <f aca="false">IF(L484=0,0,Z484/L484)</f>
        <v>0.687061101768333</v>
      </c>
      <c r="AO484" s="81" t="str">
        <f aca="false">IF(AN484="","",IF(AN484&gt;=0.9,"🟢",IF(AN484&gt;=0.7,"🟡",IF(AN484&gt;=0.5,"🟠","🔴"))))</f>
        <v>🟠</v>
      </c>
      <c r="AP484" s="82" t="n">
        <f aca="false">IF(L484=0,0,L484-Z484)</f>
        <v>307.04</v>
      </c>
      <c r="AQ484" s="83" t="n">
        <f aca="false">IF(AP484=0,"",RANK(AP484,AP$4:AP$503,0))</f>
        <v>470</v>
      </c>
      <c r="AR484" s="84" t="s">
        <v>20</v>
      </c>
      <c r="AS484" s="141"/>
      <c r="AT484" s="141"/>
      <c r="AU484" s="141"/>
      <c r="AV484" s="141"/>
      <c r="AW484" s="141"/>
      <c r="AX484" s="141"/>
      <c r="AY484" s="142"/>
      <c r="AZ484" s="142"/>
      <c r="BA484" s="56" t="s">
        <v>20</v>
      </c>
      <c r="BB484" s="91" t="n">
        <f aca="false">SUM(L$4:L$503)/COUNTA(A$4:A$503)</f>
        <v>9494.39992</v>
      </c>
      <c r="BC484" s="92" t="n">
        <f aca="false">SUM(M$4:M$503)/COUNTA(A$4:A$503)</f>
        <v>667.20008</v>
      </c>
      <c r="BD484" s="92" t="n">
        <f aca="false">SUM(N$4:N$503)/COUNTA(A$4:A$503)</f>
        <v>697.19996</v>
      </c>
      <c r="BE484" s="92" t="n">
        <f aca="false">SUM(O$4:O$503)/COUNTA(A$4:A$503)</f>
        <v>713.9999</v>
      </c>
      <c r="BF484" s="92" t="n">
        <f aca="false">SUM(P$4:P$503)/COUNTA(A$4:A$503)</f>
        <v>732.59984</v>
      </c>
      <c r="BG484" s="92" t="n">
        <f aca="false">SUM(Q$4:Q$503)/COUNTA(A$4:A$503)</f>
        <v>756.59992</v>
      </c>
      <c r="BH484" s="92" t="n">
        <f aca="false">SUM(R$4:R$503)/COUNTA(A$4:A$503)</f>
        <v>776.40004</v>
      </c>
      <c r="BI484" s="92" t="n">
        <f aca="false">SUM(S$4:S$503)/COUNTA(A$4:A$503)</f>
        <v>806.40012</v>
      </c>
      <c r="BJ484" s="92" t="n">
        <f aca="false">SUM(T$4:T$503)/COUNTA(A$4:A$503)</f>
        <v>826.1999</v>
      </c>
      <c r="BK484" s="92" t="n">
        <f aca="false">SUM(U$4:U$503)/COUNTA(A$4:A$503)</f>
        <v>844.8002</v>
      </c>
      <c r="BL484" s="92" t="n">
        <f aca="false">SUM(V$4:V$503)/COUNTA(A$4:A$503)</f>
        <v>865.7998</v>
      </c>
      <c r="BM484" s="92" t="n">
        <f aca="false">SUM(W$4:W$503)/COUNTA(A$4:A$503)</f>
        <v>888.59982</v>
      </c>
      <c r="BN484" s="93" t="n">
        <f aca="false">SUM(X$4:X$503)/COUNTA(A$4:A$503)</f>
        <v>918.60034</v>
      </c>
      <c r="BO484" s="94" t="s">
        <v>20</v>
      </c>
      <c r="BP484" s="91" t="n">
        <f aca="false">IF(Z484&gt;=BB484,0,IFERROR(BB484+(SUMPRODUCT((Z$4:Z$503&gt;=BB$4:BB$503)*(Z$4:Z$503-BB$4:BB$503))/MAX(1,COUNTIF(Z$4:Z$503,"&lt;"&amp;BB484+0.01))),BB484))</f>
        <v>10695.5432177778</v>
      </c>
      <c r="BQ484" s="92" t="n">
        <f aca="false">IF(AA484&gt;=BC484,0,IFERROR(BC484+SUMPRODUCT((AA$4:AA$503&gt;=BC$4:BC$503)*(AA$4:AA$503-BC$4:BC$503))/MAX(1,COUNTIF(AA$4:AA$503,"&lt;"&amp;BC484+0.01)),BC484))</f>
        <v>2238.46589176471</v>
      </c>
      <c r="BR484" s="92" t="n">
        <f aca="false">IF(AB484&gt;=BD484,0,IFERROR(BD484+SUMPRODUCT((AB$4:AB$503&gt;=BD$4:BD$503)*(AB$4:AB$503-BD$4:BD$503))/MAX(1,COUNTIF(AB$4:AB$503,"&lt;"&amp;BD484+0.01)),BD484))</f>
        <v>3335.2938</v>
      </c>
      <c r="BS484" s="92" t="n">
        <f aca="false">IF(AC484&gt;=BE484,0,IFERROR(BE484+SUMPRODUCT((AC$4:AC$503&gt;=BE$4:BE$503)*(AC$4:AC$503-BE$4:BE$503))/MAX(1,COUNTIF(AC$4:AC$503,"&lt;"&amp;BE484+0.01)),BE484))</f>
        <v>6188.73352</v>
      </c>
      <c r="BT484" s="92" t="n">
        <f aca="false">IF(AD484&gt;=BF484,0,IFERROR(BF484+SUMPRODUCT((AD$4:AD$503&gt;=BF$4:BF$503)*(AD$4:AD$503-BF$4:BF$503))/MAX(1,COUNTIF(AD$4:AD$503,"&lt;"&amp;BF484+0.01)),BF484))</f>
        <v>11354.35411</v>
      </c>
      <c r="BU484" s="92" t="n">
        <f aca="false">IF(AE484&gt;=BG484,0,IFERROR(BG484+SUMPRODUCT((AE$4:AE$503&gt;=BG$4:BG$503)*(AE$4:AE$503-BG$4:BG$503))/MAX(1,COUNTIF(AE$4:AE$503,"&lt;"&amp;BG484+0.01)),BG484))</f>
        <v>7704.85920380952</v>
      </c>
      <c r="BV484" s="92" t="n">
        <f aca="false">IF(AF484&gt;=BH484,0,IFERROR(BH484+SUMPRODUCT((AF$4:AF$503&gt;=BH$4:BH$503)*(AF$4:AF$503-BH$4:BH$503))/MAX(1,COUNTIF(AF$4:AF$503,"&lt;"&amp;BH484+0.01)),BH484))</f>
        <v>9942.6503831579</v>
      </c>
      <c r="BW484" s="92" t="n">
        <f aca="false">IF(AG484&gt;=BI484,0,IFERROR(BI484+SUMPRODUCT((AG$4:AG$503&gt;=BI$4:BI$503)*(AG$4:AG$503-BI$4:BI$503))/MAX(1,COUNTIF(AG$4:AG$503,"&lt;"&amp;BI484+0.01)),BI484))</f>
        <v>9142.15870461538</v>
      </c>
      <c r="BX484" s="92" t="n">
        <f aca="false">IF(AH484&gt;=BJ484,0,IFERROR(BJ484+SUMPRODUCT((AH$4:AH$503&gt;=BJ$4:BJ$503)*(AH$4:AH$503-BJ$4:BJ$503))/MAX(1,COUNTIF(AH$4:AH$503,"&lt;"&amp;BJ484+0.01)),BJ484))</f>
        <v>5621.50263448276</v>
      </c>
      <c r="BY484" s="92" t="n">
        <f aca="false">IF(AI484&gt;=BK484,0,IFERROR(BK484+SUMPRODUCT((AI$4:AI$503&gt;=BK$4:BK$503)*(AI$4:AI$503-BK$4:BK$503))/MAX(1,COUNTIF(AI$4:AI$503,"&lt;"&amp;BK484+0.01)),BK484))</f>
        <v>7878.25652380952</v>
      </c>
      <c r="BZ484" s="92" t="n">
        <f aca="false">IF(AJ484&gt;=BL484,0,IFERROR(BL484+SUMPRODUCT((AJ$4:AJ$503&gt;=BL$4:BL$503)*(AJ$4:AJ$503-BL$4:BL$503))/MAX(1,COUNTIF(AJ$4:AJ$503,"&lt;"&amp;BL484+0.01)),BL484))</f>
        <v>6710.03292307692</v>
      </c>
      <c r="CA484" s="92" t="n">
        <f aca="false">IF(AK484&gt;=BM484,0,IFERROR(BM484+SUMPRODUCT((AK$4:AK$503&gt;=BM$4:BM$503)*(AK$4:AK$503-BM$4:BM$503))/MAX(1,COUNTIF(AK$4:AK$503,"&lt;"&amp;BM484+0.01)),BM484))</f>
        <v>7314.89836842105</v>
      </c>
      <c r="CB484" s="93" t="n">
        <f aca="false">IF(AL484&gt;=BN484,0,IFERROR(BN484+SUMPRODUCT((AL$4:AL$503&gt;=BN$4:BN$503)*(AL$4:AL$503-BN$4:BN$503))/MAX(1,COUNTIF(AL$4:AL$503,"&lt;"&amp;BN484+0.01)),BN484))</f>
        <v>3597.2614925</v>
      </c>
      <c r="CC484" s="95" t="str">
        <f aca="false">IF(AO484="🟢","VERDE",IF(AO484="🟡","AMARELO",IF(AO484="🟠","VERMELHO",IF(AO484="🔴","VERMELHO","ROXO"))))</f>
        <v>VERMELHO</v>
      </c>
      <c r="CD484" s="96" t="s">
        <v>103</v>
      </c>
      <c r="CE484" s="96" t="s">
        <v>104</v>
      </c>
    </row>
    <row r="485" customFormat="false" ht="14.25" hidden="false" customHeight="true" outlineLevel="0" collapsed="false">
      <c r="A485" s="65" t="n">
        <v>33760983000113</v>
      </c>
      <c r="B485" s="66" t="s">
        <v>1102</v>
      </c>
      <c r="C485" s="66" t="s">
        <v>110</v>
      </c>
      <c r="D485" s="68" t="s">
        <v>184</v>
      </c>
      <c r="E485" s="69" t="s">
        <v>139</v>
      </c>
      <c r="F485" s="70" t="n">
        <f aca="false">IFERROR(VLOOKUP(C485,$AS$3:$AT$10,2,FALSE()),IFERROR(VLOOKUP(C485,$AS$15:$AT$22,2,FALSE()),""))</f>
        <v>15</v>
      </c>
      <c r="G485" s="71" t="n">
        <f aca="false">IFERROR(VLOOKUP(C485,$AS$3:$AX$10,6,FALSE()),IFERROR(VLOOKUP(C485,$AS$15:$AX$22,6,FALSE()),""))</f>
        <v>0.621111876107332</v>
      </c>
      <c r="H485" s="72" t="str">
        <f aca="false">IFERROR(VLOOKUP(C485,$AS$3:$AY$10,7,FALSE()),IFERROR(VLOOKUP(C485,$AS$15:$AY$22,7,FALSE()),""))</f>
        <v>🟢 VERDE</v>
      </c>
      <c r="I485" s="72" t="str">
        <f aca="false">IFERROR(VLOOKUP(C485,$AS$3:$AZ$10,8,FALSE()),IFERROR(VLOOKUP(C485,$AS$15:$AZ$22,8,FALSE()),""))</f>
        <v>JBP</v>
      </c>
      <c r="J485" s="73"/>
      <c r="K485" s="69" t="s">
        <v>107</v>
      </c>
      <c r="L485" s="74" t="n">
        <v>959.98</v>
      </c>
      <c r="M485" s="75" t="n">
        <v>67.46</v>
      </c>
      <c r="N485" s="75" t="n">
        <v>70.49</v>
      </c>
      <c r="O485" s="75" t="n">
        <v>72.19</v>
      </c>
      <c r="P485" s="75" t="n">
        <v>74.07</v>
      </c>
      <c r="Q485" s="75" t="n">
        <v>76.5</v>
      </c>
      <c r="R485" s="75" t="n">
        <v>78.5</v>
      </c>
      <c r="S485" s="75" t="n">
        <v>81.54</v>
      </c>
      <c r="T485" s="75" t="n">
        <v>83.54</v>
      </c>
      <c r="U485" s="75" t="n">
        <v>85.42</v>
      </c>
      <c r="V485" s="75" t="n">
        <v>87.54</v>
      </c>
      <c r="W485" s="75" t="n">
        <v>89.85</v>
      </c>
      <c r="X485" s="76" t="n">
        <v>92.88</v>
      </c>
      <c r="Y485" s="77" t="s">
        <v>20</v>
      </c>
      <c r="Z485" s="78" t="n">
        <f aca="false">SUM(AA485:AL485)</f>
        <v>386.06</v>
      </c>
      <c r="AA485" s="75"/>
      <c r="AB485" s="79" t="n">
        <v>386.06</v>
      </c>
      <c r="AC485" s="75"/>
      <c r="AD485" s="75"/>
      <c r="AE485" s="75"/>
      <c r="AF485" s="75"/>
      <c r="AG485" s="75"/>
      <c r="AH485" s="75"/>
      <c r="AI485" s="75"/>
      <c r="AJ485" s="75"/>
      <c r="AK485" s="75"/>
      <c r="AL485" s="76"/>
      <c r="AM485" s="56" t="s">
        <v>20</v>
      </c>
      <c r="AN485" s="80" t="n">
        <f aca="false">IF(L485=0,0,Z485/L485)</f>
        <v>0.402154211546074</v>
      </c>
      <c r="AO485" s="81" t="str">
        <f aca="false">IF(AN485="","",IF(AN485&gt;=0.9,"🟢",IF(AN485&gt;=0.7,"🟡",IF(AN485&gt;=0.5,"🟠","🔴"))))</f>
        <v>🔴</v>
      </c>
      <c r="AP485" s="82" t="n">
        <f aca="false">IF(L485=0,0,L485-Z485)</f>
        <v>573.92</v>
      </c>
      <c r="AQ485" s="83" t="n">
        <f aca="false">IF(AP485=0,"",RANK(AP485,AP$4:AP$503,0))</f>
        <v>446</v>
      </c>
      <c r="AR485" s="84" t="s">
        <v>20</v>
      </c>
      <c r="AS485" s="141"/>
      <c r="AT485" s="141"/>
      <c r="AU485" s="141"/>
      <c r="AV485" s="141"/>
      <c r="AW485" s="141"/>
      <c r="AX485" s="141"/>
      <c r="AY485" s="142"/>
      <c r="AZ485" s="142"/>
      <c r="BA485" s="56" t="s">
        <v>20</v>
      </c>
      <c r="BB485" s="91" t="n">
        <f aca="false">SUM(L$4:L$503)/COUNTA(A$4:A$503)</f>
        <v>9494.39992</v>
      </c>
      <c r="BC485" s="92" t="n">
        <f aca="false">SUM(M$4:M$503)/COUNTA(A$4:A$503)</f>
        <v>667.20008</v>
      </c>
      <c r="BD485" s="92" t="n">
        <f aca="false">SUM(N$4:N$503)/COUNTA(A$4:A$503)</f>
        <v>697.19996</v>
      </c>
      <c r="BE485" s="92" t="n">
        <f aca="false">SUM(O$4:O$503)/COUNTA(A$4:A$503)</f>
        <v>713.9999</v>
      </c>
      <c r="BF485" s="92" t="n">
        <f aca="false">SUM(P$4:P$503)/COUNTA(A$4:A$503)</f>
        <v>732.59984</v>
      </c>
      <c r="BG485" s="92" t="n">
        <f aca="false">SUM(Q$4:Q$503)/COUNTA(A$4:A$503)</f>
        <v>756.59992</v>
      </c>
      <c r="BH485" s="92" t="n">
        <f aca="false">SUM(R$4:R$503)/COUNTA(A$4:A$503)</f>
        <v>776.40004</v>
      </c>
      <c r="BI485" s="92" t="n">
        <f aca="false">SUM(S$4:S$503)/COUNTA(A$4:A$503)</f>
        <v>806.40012</v>
      </c>
      <c r="BJ485" s="92" t="n">
        <f aca="false">SUM(T$4:T$503)/COUNTA(A$4:A$503)</f>
        <v>826.1999</v>
      </c>
      <c r="BK485" s="92" t="n">
        <f aca="false">SUM(U$4:U$503)/COUNTA(A$4:A$503)</f>
        <v>844.8002</v>
      </c>
      <c r="BL485" s="92" t="n">
        <f aca="false">SUM(V$4:V$503)/COUNTA(A$4:A$503)</f>
        <v>865.7998</v>
      </c>
      <c r="BM485" s="92" t="n">
        <f aca="false">SUM(W$4:W$503)/COUNTA(A$4:A$503)</f>
        <v>888.59982</v>
      </c>
      <c r="BN485" s="93" t="n">
        <f aca="false">SUM(X$4:X$503)/COUNTA(A$4:A$503)</f>
        <v>918.60034</v>
      </c>
      <c r="BO485" s="94" t="s">
        <v>20</v>
      </c>
      <c r="BP485" s="91" t="n">
        <f aca="false">IF(Z485&gt;=BB485,0,IFERROR(BB485+(SUMPRODUCT((Z$4:Z$503&gt;=BB$4:BB$503)*(Z$4:Z$503-BB$4:BB$503))/MAX(1,COUNTIF(Z$4:Z$503,"&lt;"&amp;BB485+0.01))),BB485))</f>
        <v>10695.5432177778</v>
      </c>
      <c r="BQ485" s="92" t="n">
        <f aca="false">IF(AA485&gt;=BC485,0,IFERROR(BC485+SUMPRODUCT((AA$4:AA$503&gt;=BC$4:BC$503)*(AA$4:AA$503-BC$4:BC$503))/MAX(1,COUNTIF(AA$4:AA$503,"&lt;"&amp;BC485+0.01)),BC485))</f>
        <v>2238.46589176471</v>
      </c>
      <c r="BR485" s="92" t="n">
        <f aca="false">IF(AB485&gt;=BD485,0,IFERROR(BD485+SUMPRODUCT((AB$4:AB$503&gt;=BD$4:BD$503)*(AB$4:AB$503-BD$4:BD$503))/MAX(1,COUNTIF(AB$4:AB$503,"&lt;"&amp;BD485+0.01)),BD485))</f>
        <v>3335.2938</v>
      </c>
      <c r="BS485" s="92" t="n">
        <f aca="false">IF(AC485&gt;=BE485,0,IFERROR(BE485+SUMPRODUCT((AC$4:AC$503&gt;=BE$4:BE$503)*(AC$4:AC$503-BE$4:BE$503))/MAX(1,COUNTIF(AC$4:AC$503,"&lt;"&amp;BE485+0.01)),BE485))</f>
        <v>6188.73352</v>
      </c>
      <c r="BT485" s="92" t="n">
        <f aca="false">IF(AD485&gt;=BF485,0,IFERROR(BF485+SUMPRODUCT((AD$4:AD$503&gt;=BF$4:BF$503)*(AD$4:AD$503-BF$4:BF$503))/MAX(1,COUNTIF(AD$4:AD$503,"&lt;"&amp;BF485+0.01)),BF485))</f>
        <v>11354.35411</v>
      </c>
      <c r="BU485" s="92" t="n">
        <f aca="false">IF(AE485&gt;=BG485,0,IFERROR(BG485+SUMPRODUCT((AE$4:AE$503&gt;=BG$4:BG$503)*(AE$4:AE$503-BG$4:BG$503))/MAX(1,COUNTIF(AE$4:AE$503,"&lt;"&amp;BG485+0.01)),BG485))</f>
        <v>7704.85920380952</v>
      </c>
      <c r="BV485" s="92" t="n">
        <f aca="false">IF(AF485&gt;=BH485,0,IFERROR(BH485+SUMPRODUCT((AF$4:AF$503&gt;=BH$4:BH$503)*(AF$4:AF$503-BH$4:BH$503))/MAX(1,COUNTIF(AF$4:AF$503,"&lt;"&amp;BH485+0.01)),BH485))</f>
        <v>9942.6503831579</v>
      </c>
      <c r="BW485" s="92" t="n">
        <f aca="false">IF(AG485&gt;=BI485,0,IFERROR(BI485+SUMPRODUCT((AG$4:AG$503&gt;=BI$4:BI$503)*(AG$4:AG$503-BI$4:BI$503))/MAX(1,COUNTIF(AG$4:AG$503,"&lt;"&amp;BI485+0.01)),BI485))</f>
        <v>9142.15870461538</v>
      </c>
      <c r="BX485" s="92" t="n">
        <f aca="false">IF(AH485&gt;=BJ485,0,IFERROR(BJ485+SUMPRODUCT((AH$4:AH$503&gt;=BJ$4:BJ$503)*(AH$4:AH$503-BJ$4:BJ$503))/MAX(1,COUNTIF(AH$4:AH$503,"&lt;"&amp;BJ485+0.01)),BJ485))</f>
        <v>5621.50263448276</v>
      </c>
      <c r="BY485" s="92" t="n">
        <f aca="false">IF(AI485&gt;=BK485,0,IFERROR(BK485+SUMPRODUCT((AI$4:AI$503&gt;=BK$4:BK$503)*(AI$4:AI$503-BK$4:BK$503))/MAX(1,COUNTIF(AI$4:AI$503,"&lt;"&amp;BK485+0.01)),BK485))</f>
        <v>7878.25652380952</v>
      </c>
      <c r="BZ485" s="92" t="n">
        <f aca="false">IF(AJ485&gt;=BL485,0,IFERROR(BL485+SUMPRODUCT((AJ$4:AJ$503&gt;=BL$4:BL$503)*(AJ$4:AJ$503-BL$4:BL$503))/MAX(1,COUNTIF(AJ$4:AJ$503,"&lt;"&amp;BL485+0.01)),BL485))</f>
        <v>6710.03292307692</v>
      </c>
      <c r="CA485" s="92" t="n">
        <f aca="false">IF(AK485&gt;=BM485,0,IFERROR(BM485+SUMPRODUCT((AK$4:AK$503&gt;=BM$4:BM$503)*(AK$4:AK$503-BM$4:BM$503))/MAX(1,COUNTIF(AK$4:AK$503,"&lt;"&amp;BM485+0.01)),BM485))</f>
        <v>7314.89836842105</v>
      </c>
      <c r="CB485" s="93" t="n">
        <f aca="false">IF(AL485&gt;=BN485,0,IFERROR(BN485+SUMPRODUCT((AL$4:AL$503&gt;=BN$4:BN$503)*(AL$4:AL$503-BN$4:BN$503))/MAX(1,COUNTIF(AL$4:AL$503,"&lt;"&amp;BN485+0.01)),BN485))</f>
        <v>3597.2614925</v>
      </c>
      <c r="CC485" s="95" t="str">
        <f aca="false">IF(AO485="🟢","VERDE",IF(AO485="🟡","AMARELO",IF(AO485="🟠","VERMELHO",IF(AO485="🔴","VERMELHO","ROXO"))))</f>
        <v>VERMELHO</v>
      </c>
      <c r="CD485" s="96" t="s">
        <v>176</v>
      </c>
      <c r="CE485" s="96" t="s">
        <v>110</v>
      </c>
    </row>
    <row r="486" customFormat="false" ht="14.25" hidden="false" customHeight="true" outlineLevel="0" collapsed="false">
      <c r="A486" s="65" t="n">
        <v>53401615000196</v>
      </c>
      <c r="B486" s="66" t="s">
        <v>1103</v>
      </c>
      <c r="C486" s="67" t="s">
        <v>158</v>
      </c>
      <c r="D486" s="68" t="s">
        <v>100</v>
      </c>
      <c r="E486" s="69" t="s">
        <v>347</v>
      </c>
      <c r="F486" s="70" t="n">
        <f aca="false">IFERROR(VLOOKUP(C486,$AS$3:$AT$10,2,FALSE()),IFERROR(VLOOKUP(C486,$AS$15:$AT$22,2,FALSE()),""))</f>
        <v>29</v>
      </c>
      <c r="G486" s="71" t="n">
        <f aca="false">IFERROR(VLOOKUP(C486,$AS$3:$AX$10,6,FALSE()),IFERROR(VLOOKUP(C486,$AS$15:$AX$22,6,FALSE()),""))</f>
        <v>0.458564072601712</v>
      </c>
      <c r="H486" s="72" t="str">
        <f aca="false">IFERROR(VLOOKUP(C486,$AS$3:$AY$10,7,FALSE()),IFERROR(VLOOKUP(C486,$AS$15:$AY$22,7,FALSE()),""))</f>
        <v>🟡 AMARELO</v>
      </c>
      <c r="I486" s="72" t="str">
        <f aca="false">IFERROR(VLOOKUP(C486,$AS$3:$AZ$10,8,FALSE()),IFERROR(VLOOKUP(C486,$AS$15:$AZ$22,8,FALSE()),""))</f>
        <v>Sell Out</v>
      </c>
      <c r="J486" s="73"/>
      <c r="K486" s="69" t="s">
        <v>158</v>
      </c>
      <c r="L486" s="74" t="n">
        <v>950.77</v>
      </c>
      <c r="M486" s="75" t="n">
        <v>66.81</v>
      </c>
      <c r="N486" s="75" t="n">
        <v>69.82</v>
      </c>
      <c r="O486" s="75" t="n">
        <v>71.5</v>
      </c>
      <c r="P486" s="75" t="n">
        <v>73.36</v>
      </c>
      <c r="Q486" s="75" t="n">
        <v>75.77</v>
      </c>
      <c r="R486" s="75" t="n">
        <v>77.75</v>
      </c>
      <c r="S486" s="75" t="n">
        <v>80.75</v>
      </c>
      <c r="T486" s="75" t="n">
        <v>82.74</v>
      </c>
      <c r="U486" s="75" t="n">
        <v>84.6</v>
      </c>
      <c r="V486" s="75" t="n">
        <v>86.7</v>
      </c>
      <c r="W486" s="75" t="n">
        <v>88.98</v>
      </c>
      <c r="X486" s="76" t="n">
        <v>91.99</v>
      </c>
      <c r="Y486" s="77" t="s">
        <v>20</v>
      </c>
      <c r="Z486" s="78" t="n">
        <f aca="false">SUM(AA486:AL486)</f>
        <v>457.95</v>
      </c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107" t="n">
        <v>457.95</v>
      </c>
      <c r="AM486" s="56" t="s">
        <v>20</v>
      </c>
      <c r="AN486" s="80" t="n">
        <f aca="false">IF(L486=0,0,Z486/L486)</f>
        <v>0.481662231664861</v>
      </c>
      <c r="AO486" s="81" t="str">
        <f aca="false">IF(AN486="","",IF(AN486&gt;=0.9,"🟢",IF(AN486&gt;=0.7,"🟡",IF(AN486&gt;=0.5,"🟠","🔴"))))</f>
        <v>🔴</v>
      </c>
      <c r="AP486" s="82" t="n">
        <f aca="false">IF(L486=0,0,L486-Z486)</f>
        <v>492.82</v>
      </c>
      <c r="AQ486" s="83" t="n">
        <f aca="false">IF(AP486=0,"",RANK(AP486,AP$4:AP$503,0))</f>
        <v>453</v>
      </c>
      <c r="AR486" s="84" t="s">
        <v>20</v>
      </c>
      <c r="AS486" s="141"/>
      <c r="AT486" s="141"/>
      <c r="AU486" s="141"/>
      <c r="AV486" s="141"/>
      <c r="AW486" s="141"/>
      <c r="AX486" s="141"/>
      <c r="AY486" s="142"/>
      <c r="AZ486" s="142"/>
      <c r="BA486" s="56" t="s">
        <v>20</v>
      </c>
      <c r="BB486" s="91" t="n">
        <f aca="false">SUM(L$4:L$503)/COUNTA(A$4:A$503)</f>
        <v>9494.39992</v>
      </c>
      <c r="BC486" s="92" t="n">
        <f aca="false">SUM(M$4:M$503)/COUNTA(A$4:A$503)</f>
        <v>667.20008</v>
      </c>
      <c r="BD486" s="92" t="n">
        <f aca="false">SUM(N$4:N$503)/COUNTA(A$4:A$503)</f>
        <v>697.19996</v>
      </c>
      <c r="BE486" s="92" t="n">
        <f aca="false">SUM(O$4:O$503)/COUNTA(A$4:A$503)</f>
        <v>713.9999</v>
      </c>
      <c r="BF486" s="92" t="n">
        <f aca="false">SUM(P$4:P$503)/COUNTA(A$4:A$503)</f>
        <v>732.59984</v>
      </c>
      <c r="BG486" s="92" t="n">
        <f aca="false">SUM(Q$4:Q$503)/COUNTA(A$4:A$503)</f>
        <v>756.59992</v>
      </c>
      <c r="BH486" s="92" t="n">
        <f aca="false">SUM(R$4:R$503)/COUNTA(A$4:A$503)</f>
        <v>776.40004</v>
      </c>
      <c r="BI486" s="92" t="n">
        <f aca="false">SUM(S$4:S$503)/COUNTA(A$4:A$503)</f>
        <v>806.40012</v>
      </c>
      <c r="BJ486" s="92" t="n">
        <f aca="false">SUM(T$4:T$503)/COUNTA(A$4:A$503)</f>
        <v>826.1999</v>
      </c>
      <c r="BK486" s="92" t="n">
        <f aca="false">SUM(U$4:U$503)/COUNTA(A$4:A$503)</f>
        <v>844.8002</v>
      </c>
      <c r="BL486" s="92" t="n">
        <f aca="false">SUM(V$4:V$503)/COUNTA(A$4:A$503)</f>
        <v>865.7998</v>
      </c>
      <c r="BM486" s="92" t="n">
        <f aca="false">SUM(W$4:W$503)/COUNTA(A$4:A$503)</f>
        <v>888.59982</v>
      </c>
      <c r="BN486" s="93" t="n">
        <f aca="false">SUM(X$4:X$503)/COUNTA(A$4:A$503)</f>
        <v>918.60034</v>
      </c>
      <c r="BO486" s="94" t="s">
        <v>20</v>
      </c>
      <c r="BP486" s="91" t="n">
        <f aca="false">IF(Z486&gt;=BB486,0,IFERROR(BB486+(SUMPRODUCT((Z$4:Z$503&gt;=BB$4:BB$503)*(Z$4:Z$503-BB$4:BB$503))/MAX(1,COUNTIF(Z$4:Z$503,"&lt;"&amp;BB486+0.01))),BB486))</f>
        <v>10695.5432177778</v>
      </c>
      <c r="BQ486" s="92" t="n">
        <f aca="false">IF(AA486&gt;=BC486,0,IFERROR(BC486+SUMPRODUCT((AA$4:AA$503&gt;=BC$4:BC$503)*(AA$4:AA$503-BC$4:BC$503))/MAX(1,COUNTIF(AA$4:AA$503,"&lt;"&amp;BC486+0.01)),BC486))</f>
        <v>2238.46589176471</v>
      </c>
      <c r="BR486" s="92" t="n">
        <f aca="false">IF(AB486&gt;=BD486,0,IFERROR(BD486+SUMPRODUCT((AB$4:AB$503&gt;=BD$4:BD$503)*(AB$4:AB$503-BD$4:BD$503))/MAX(1,COUNTIF(AB$4:AB$503,"&lt;"&amp;BD486+0.01)),BD486))</f>
        <v>3335.2938</v>
      </c>
      <c r="BS486" s="92" t="n">
        <f aca="false">IF(AC486&gt;=BE486,0,IFERROR(BE486+SUMPRODUCT((AC$4:AC$503&gt;=BE$4:BE$503)*(AC$4:AC$503-BE$4:BE$503))/MAX(1,COUNTIF(AC$4:AC$503,"&lt;"&amp;BE486+0.01)),BE486))</f>
        <v>6188.73352</v>
      </c>
      <c r="BT486" s="92" t="n">
        <f aca="false">IF(AD486&gt;=BF486,0,IFERROR(BF486+SUMPRODUCT((AD$4:AD$503&gt;=BF$4:BF$503)*(AD$4:AD$503-BF$4:BF$503))/MAX(1,COUNTIF(AD$4:AD$503,"&lt;"&amp;BF486+0.01)),BF486))</f>
        <v>11354.35411</v>
      </c>
      <c r="BU486" s="92" t="n">
        <f aca="false">IF(AE486&gt;=BG486,0,IFERROR(BG486+SUMPRODUCT((AE$4:AE$503&gt;=BG$4:BG$503)*(AE$4:AE$503-BG$4:BG$503))/MAX(1,COUNTIF(AE$4:AE$503,"&lt;"&amp;BG486+0.01)),BG486))</f>
        <v>7704.85920380952</v>
      </c>
      <c r="BV486" s="92" t="n">
        <f aca="false">IF(AF486&gt;=BH486,0,IFERROR(BH486+SUMPRODUCT((AF$4:AF$503&gt;=BH$4:BH$503)*(AF$4:AF$503-BH$4:BH$503))/MAX(1,COUNTIF(AF$4:AF$503,"&lt;"&amp;BH486+0.01)),BH486))</f>
        <v>9942.6503831579</v>
      </c>
      <c r="BW486" s="92" t="n">
        <f aca="false">IF(AG486&gt;=BI486,0,IFERROR(BI486+SUMPRODUCT((AG$4:AG$503&gt;=BI$4:BI$503)*(AG$4:AG$503-BI$4:BI$503))/MAX(1,COUNTIF(AG$4:AG$503,"&lt;"&amp;BI486+0.01)),BI486))</f>
        <v>9142.15870461538</v>
      </c>
      <c r="BX486" s="92" t="n">
        <f aca="false">IF(AH486&gt;=BJ486,0,IFERROR(BJ486+SUMPRODUCT((AH$4:AH$503&gt;=BJ$4:BJ$503)*(AH$4:AH$503-BJ$4:BJ$503))/MAX(1,COUNTIF(AH$4:AH$503,"&lt;"&amp;BJ486+0.01)),BJ486))</f>
        <v>5621.50263448276</v>
      </c>
      <c r="BY486" s="92" t="n">
        <f aca="false">IF(AI486&gt;=BK486,0,IFERROR(BK486+SUMPRODUCT((AI$4:AI$503&gt;=BK$4:BK$503)*(AI$4:AI$503-BK$4:BK$503))/MAX(1,COUNTIF(AI$4:AI$503,"&lt;"&amp;BK486+0.01)),BK486))</f>
        <v>7878.25652380952</v>
      </c>
      <c r="BZ486" s="92" t="n">
        <f aca="false">IF(AJ486&gt;=BL486,0,IFERROR(BL486+SUMPRODUCT((AJ$4:AJ$503&gt;=BL$4:BL$503)*(AJ$4:AJ$503-BL$4:BL$503))/MAX(1,COUNTIF(AJ$4:AJ$503,"&lt;"&amp;BL486+0.01)),BL486))</f>
        <v>6710.03292307692</v>
      </c>
      <c r="CA486" s="92" t="n">
        <f aca="false">IF(AK486&gt;=BM486,0,IFERROR(BM486+SUMPRODUCT((AK$4:AK$503&gt;=BM$4:BM$503)*(AK$4:AK$503-BM$4:BM$503))/MAX(1,COUNTIF(AK$4:AK$503,"&lt;"&amp;BM486+0.01)),BM486))</f>
        <v>7314.89836842105</v>
      </c>
      <c r="CB486" s="93" t="n">
        <f aca="false">IF(AL486&gt;=BN486,0,IFERROR(BN486+SUMPRODUCT((AL$4:AL$503&gt;=BN$4:BN$503)*(AL$4:AL$503-BN$4:BN$503))/MAX(1,COUNTIF(AL$4:AL$503,"&lt;"&amp;BN486+0.01)),BN486))</f>
        <v>3597.2614925</v>
      </c>
      <c r="CC486" s="95" t="str">
        <f aca="false">IF(AO486="🟢","VERDE",IF(AO486="🟡","AMARELO",IF(AO486="🟠","VERMELHO",IF(AO486="🔴","VERMELHO","ROXO"))))</f>
        <v>VERMELHO</v>
      </c>
      <c r="CD486" s="96" t="s">
        <v>103</v>
      </c>
      <c r="CE486" s="96" t="s">
        <v>104</v>
      </c>
    </row>
    <row r="487" customFormat="false" ht="14.25" hidden="false" customHeight="true" outlineLevel="0" collapsed="false">
      <c r="A487" s="65" t="n">
        <v>34338664000187</v>
      </c>
      <c r="B487" s="66" t="s">
        <v>1104</v>
      </c>
      <c r="C487" s="67" t="s">
        <v>99</v>
      </c>
      <c r="D487" s="68" t="s">
        <v>100</v>
      </c>
      <c r="E487" s="69" t="s">
        <v>101</v>
      </c>
      <c r="F487" s="70" t="n">
        <f aca="false">IFERROR(VLOOKUP(C487,$AS$3:$AT$10,2,FALSE()),IFERROR(VLOOKUP(C487,$AS$15:$AT$22,2,FALSE()),""))</f>
        <v>33</v>
      </c>
      <c r="G487" s="71" t="n">
        <f aca="false">IFERROR(VLOOKUP(C487,$AS$3:$AX$10,6,FALSE()),IFERROR(VLOOKUP(C487,$AS$15:$AX$22,6,FALSE()),""))</f>
        <v>0.341494038351172</v>
      </c>
      <c r="H487" s="72" t="str">
        <f aca="false">IFERROR(VLOOKUP(C487,$AS$3:$AY$10,7,FALSE()),IFERROR(VLOOKUP(C487,$AS$15:$AY$22,7,FALSE()),""))</f>
        <v>🔴 VERMELHO</v>
      </c>
      <c r="I487" s="72" t="str">
        <f aca="false">IFERROR(VLOOKUP(C487,$AS$3:$AZ$10,8,FALSE()),IFERROR(VLOOKUP(C487,$AS$15:$AZ$22,8,FALSE()),""))</f>
        <v>Positivação + Expandir</v>
      </c>
      <c r="J487" s="73"/>
      <c r="K487" s="69" t="s">
        <v>99</v>
      </c>
      <c r="L487" s="74" t="n">
        <v>944.76</v>
      </c>
      <c r="M487" s="75" t="n">
        <v>66.39</v>
      </c>
      <c r="N487" s="75" t="n">
        <v>69.38</v>
      </c>
      <c r="O487" s="75" t="n">
        <v>71.05</v>
      </c>
      <c r="P487" s="75" t="n">
        <v>72.9</v>
      </c>
      <c r="Q487" s="75" t="n">
        <v>75.29</v>
      </c>
      <c r="R487" s="75" t="n">
        <v>77.26</v>
      </c>
      <c r="S487" s="75" t="n">
        <v>80.24</v>
      </c>
      <c r="T487" s="75" t="n">
        <v>82.21</v>
      </c>
      <c r="U487" s="75" t="n">
        <v>84.06</v>
      </c>
      <c r="V487" s="75" t="n">
        <v>86.15</v>
      </c>
      <c r="W487" s="75" t="n">
        <v>88.42</v>
      </c>
      <c r="X487" s="76" t="n">
        <v>91.41</v>
      </c>
      <c r="Y487" s="77" t="s">
        <v>20</v>
      </c>
      <c r="Z487" s="78" t="n">
        <f aca="false">SUM(AA487:AL487)</f>
        <v>379.94</v>
      </c>
      <c r="AA487" s="79" t="n">
        <v>379.94</v>
      </c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6"/>
      <c r="AM487" s="56" t="s">
        <v>20</v>
      </c>
      <c r="AN487" s="80" t="n">
        <f aca="false">IF(L487=0,0,Z487/L487)</f>
        <v>0.402155044667429</v>
      </c>
      <c r="AO487" s="81" t="str">
        <f aca="false">IF(AN487="","",IF(AN487&gt;=0.9,"🟢",IF(AN487&gt;=0.7,"🟡",IF(AN487&gt;=0.5,"🟠","🔴"))))</f>
        <v>🔴</v>
      </c>
      <c r="AP487" s="82" t="n">
        <f aca="false">IF(L487=0,0,L487-Z487)</f>
        <v>564.82</v>
      </c>
      <c r="AQ487" s="83" t="n">
        <f aca="false">IF(AP487=0,"",RANK(AP487,AP$4:AP$503,0))</f>
        <v>447</v>
      </c>
      <c r="AR487" s="84" t="s">
        <v>20</v>
      </c>
      <c r="AS487" s="141"/>
      <c r="AT487" s="141"/>
      <c r="AU487" s="141"/>
      <c r="AV487" s="141"/>
      <c r="AW487" s="141"/>
      <c r="AX487" s="141"/>
      <c r="AY487" s="142"/>
      <c r="AZ487" s="142"/>
      <c r="BA487" s="56" t="s">
        <v>20</v>
      </c>
      <c r="BB487" s="91" t="n">
        <f aca="false">SUM(L$4:L$503)/COUNTA(A$4:A$503)</f>
        <v>9494.39992</v>
      </c>
      <c r="BC487" s="92" t="n">
        <f aca="false">SUM(M$4:M$503)/COUNTA(A$4:A$503)</f>
        <v>667.20008</v>
      </c>
      <c r="BD487" s="92" t="n">
        <f aca="false">SUM(N$4:N$503)/COUNTA(A$4:A$503)</f>
        <v>697.19996</v>
      </c>
      <c r="BE487" s="92" t="n">
        <f aca="false">SUM(O$4:O$503)/COUNTA(A$4:A$503)</f>
        <v>713.9999</v>
      </c>
      <c r="BF487" s="92" t="n">
        <f aca="false">SUM(P$4:P$503)/COUNTA(A$4:A$503)</f>
        <v>732.59984</v>
      </c>
      <c r="BG487" s="92" t="n">
        <f aca="false">SUM(Q$4:Q$503)/COUNTA(A$4:A$503)</f>
        <v>756.59992</v>
      </c>
      <c r="BH487" s="92" t="n">
        <f aca="false">SUM(R$4:R$503)/COUNTA(A$4:A$503)</f>
        <v>776.40004</v>
      </c>
      <c r="BI487" s="92" t="n">
        <f aca="false">SUM(S$4:S$503)/COUNTA(A$4:A$503)</f>
        <v>806.40012</v>
      </c>
      <c r="BJ487" s="92" t="n">
        <f aca="false">SUM(T$4:T$503)/COUNTA(A$4:A$503)</f>
        <v>826.1999</v>
      </c>
      <c r="BK487" s="92" t="n">
        <f aca="false">SUM(U$4:U$503)/COUNTA(A$4:A$503)</f>
        <v>844.8002</v>
      </c>
      <c r="BL487" s="92" t="n">
        <f aca="false">SUM(V$4:V$503)/COUNTA(A$4:A$503)</f>
        <v>865.7998</v>
      </c>
      <c r="BM487" s="92" t="n">
        <f aca="false">SUM(W$4:W$503)/COUNTA(A$4:A$503)</f>
        <v>888.59982</v>
      </c>
      <c r="BN487" s="93" t="n">
        <f aca="false">SUM(X$4:X$503)/COUNTA(A$4:A$503)</f>
        <v>918.60034</v>
      </c>
      <c r="BO487" s="94" t="s">
        <v>20</v>
      </c>
      <c r="BP487" s="91" t="n">
        <f aca="false">IF(Z487&gt;=BB487,0,IFERROR(BB487+(SUMPRODUCT((Z$4:Z$503&gt;=BB$4:BB$503)*(Z$4:Z$503-BB$4:BB$503))/MAX(1,COUNTIF(Z$4:Z$503,"&lt;"&amp;BB487+0.01))),BB487))</f>
        <v>10695.5432177778</v>
      </c>
      <c r="BQ487" s="92" t="n">
        <f aca="false">IF(AA487&gt;=BC487,0,IFERROR(BC487+SUMPRODUCT((AA$4:AA$503&gt;=BC$4:BC$503)*(AA$4:AA$503-BC$4:BC$503))/MAX(1,COUNTIF(AA$4:AA$503,"&lt;"&amp;BC487+0.01)),BC487))</f>
        <v>2238.46589176471</v>
      </c>
      <c r="BR487" s="92" t="n">
        <f aca="false">IF(AB487&gt;=BD487,0,IFERROR(BD487+SUMPRODUCT((AB$4:AB$503&gt;=BD$4:BD$503)*(AB$4:AB$503-BD$4:BD$503))/MAX(1,COUNTIF(AB$4:AB$503,"&lt;"&amp;BD487+0.01)),BD487))</f>
        <v>3335.2938</v>
      </c>
      <c r="BS487" s="92" t="n">
        <f aca="false">IF(AC487&gt;=BE487,0,IFERROR(BE487+SUMPRODUCT((AC$4:AC$503&gt;=BE$4:BE$503)*(AC$4:AC$503-BE$4:BE$503))/MAX(1,COUNTIF(AC$4:AC$503,"&lt;"&amp;BE487+0.01)),BE487))</f>
        <v>6188.73352</v>
      </c>
      <c r="BT487" s="92" t="n">
        <f aca="false">IF(AD487&gt;=BF487,0,IFERROR(BF487+SUMPRODUCT((AD$4:AD$503&gt;=BF$4:BF$503)*(AD$4:AD$503-BF$4:BF$503))/MAX(1,COUNTIF(AD$4:AD$503,"&lt;"&amp;BF487+0.01)),BF487))</f>
        <v>11354.35411</v>
      </c>
      <c r="BU487" s="92" t="n">
        <f aca="false">IF(AE487&gt;=BG487,0,IFERROR(BG487+SUMPRODUCT((AE$4:AE$503&gt;=BG$4:BG$503)*(AE$4:AE$503-BG$4:BG$503))/MAX(1,COUNTIF(AE$4:AE$503,"&lt;"&amp;BG487+0.01)),BG487))</f>
        <v>7704.85920380952</v>
      </c>
      <c r="BV487" s="92" t="n">
        <f aca="false">IF(AF487&gt;=BH487,0,IFERROR(BH487+SUMPRODUCT((AF$4:AF$503&gt;=BH$4:BH$503)*(AF$4:AF$503-BH$4:BH$503))/MAX(1,COUNTIF(AF$4:AF$503,"&lt;"&amp;BH487+0.01)),BH487))</f>
        <v>9942.6503831579</v>
      </c>
      <c r="BW487" s="92" t="n">
        <f aca="false">IF(AG487&gt;=BI487,0,IFERROR(BI487+SUMPRODUCT((AG$4:AG$503&gt;=BI$4:BI$503)*(AG$4:AG$503-BI$4:BI$503))/MAX(1,COUNTIF(AG$4:AG$503,"&lt;"&amp;BI487+0.01)),BI487))</f>
        <v>9142.15870461538</v>
      </c>
      <c r="BX487" s="92" t="n">
        <f aca="false">IF(AH487&gt;=BJ487,0,IFERROR(BJ487+SUMPRODUCT((AH$4:AH$503&gt;=BJ$4:BJ$503)*(AH$4:AH$503-BJ$4:BJ$503))/MAX(1,COUNTIF(AH$4:AH$503,"&lt;"&amp;BJ487+0.01)),BJ487))</f>
        <v>5621.50263448276</v>
      </c>
      <c r="BY487" s="92" t="n">
        <f aca="false">IF(AI487&gt;=BK487,0,IFERROR(BK487+SUMPRODUCT((AI$4:AI$503&gt;=BK$4:BK$503)*(AI$4:AI$503-BK$4:BK$503))/MAX(1,COUNTIF(AI$4:AI$503,"&lt;"&amp;BK487+0.01)),BK487))</f>
        <v>7878.25652380952</v>
      </c>
      <c r="BZ487" s="92" t="n">
        <f aca="false">IF(AJ487&gt;=BL487,0,IFERROR(BL487+SUMPRODUCT((AJ$4:AJ$503&gt;=BL$4:BL$503)*(AJ$4:AJ$503-BL$4:BL$503))/MAX(1,COUNTIF(AJ$4:AJ$503,"&lt;"&amp;BL487+0.01)),BL487))</f>
        <v>6710.03292307692</v>
      </c>
      <c r="CA487" s="92" t="n">
        <f aca="false">IF(AK487&gt;=BM487,0,IFERROR(BM487+SUMPRODUCT((AK$4:AK$503&gt;=BM$4:BM$503)*(AK$4:AK$503-BM$4:BM$503))/MAX(1,COUNTIF(AK$4:AK$503,"&lt;"&amp;BM487+0.01)),BM487))</f>
        <v>7314.89836842105</v>
      </c>
      <c r="CB487" s="93" t="n">
        <f aca="false">IF(AL487&gt;=BN487,0,IFERROR(BN487+SUMPRODUCT((AL$4:AL$503&gt;=BN$4:BN$503)*(AL$4:AL$503-BN$4:BN$503))/MAX(1,COUNTIF(AL$4:AL$503,"&lt;"&amp;BN487+0.01)),BN487))</f>
        <v>3597.2614925</v>
      </c>
      <c r="CC487" s="95" t="str">
        <f aca="false">IF(AO487="🟢","VERDE",IF(AO487="🟡","AMARELO",IF(AO487="🟠","VERMELHO",IF(AO487="🔴","VERMELHO","ROXO"))))</f>
        <v>VERMELHO</v>
      </c>
      <c r="CD487" s="96" t="s">
        <v>103</v>
      </c>
      <c r="CE487" s="96" t="s">
        <v>104</v>
      </c>
    </row>
    <row r="488" customFormat="false" ht="14.25" hidden="false" customHeight="true" outlineLevel="0" collapsed="false">
      <c r="A488" s="65" t="n">
        <v>1665966000100</v>
      </c>
      <c r="B488" s="66" t="s">
        <v>1105</v>
      </c>
      <c r="C488" s="67" t="s">
        <v>107</v>
      </c>
      <c r="D488" s="68" t="s">
        <v>108</v>
      </c>
      <c r="E488" s="69" t="s">
        <v>109</v>
      </c>
      <c r="F488" s="70" t="n">
        <f aca="false">IFERROR(VLOOKUP(C488,$AS$3:$AT$10,2,FALSE()),IFERROR(VLOOKUP(C488,$AS$15:$AT$22,2,FALSE()),""))</f>
        <v>132</v>
      </c>
      <c r="G488" s="71" t="n">
        <f aca="false">IFERROR(VLOOKUP(C488,$AS$3:$AX$10,6,FALSE()),IFERROR(VLOOKUP(C488,$AS$15:$AX$22,6,FALSE()),""))</f>
        <v>0.468190175850689</v>
      </c>
      <c r="H488" s="72" t="str">
        <f aca="false">IFERROR(VLOOKUP(C488,$AS$3:$AY$10,7,FALSE()),IFERROR(VLOOKUP(C488,$AS$15:$AY$22,7,FALSE()),""))</f>
        <v>🟡 AMARELO</v>
      </c>
      <c r="I488" s="72" t="str">
        <f aca="false">IFERROR(VLOOKUP(C488,$AS$3:$AZ$10,8,FALSE()),IFERROR(VLOOKUP(C488,$AS$15:$AZ$22,8,FALSE()),""))</f>
        <v>Sell Out</v>
      </c>
      <c r="J488" s="73"/>
      <c r="K488" s="69" t="s">
        <v>107</v>
      </c>
      <c r="L488" s="74" t="n">
        <v>938.32</v>
      </c>
      <c r="M488" s="75" t="n">
        <v>65.94</v>
      </c>
      <c r="N488" s="75" t="n">
        <v>68.9</v>
      </c>
      <c r="O488" s="75" t="n">
        <v>70.56</v>
      </c>
      <c r="P488" s="75" t="n">
        <v>72.4</v>
      </c>
      <c r="Q488" s="75" t="n">
        <v>74.77</v>
      </c>
      <c r="R488" s="75" t="n">
        <v>76.73</v>
      </c>
      <c r="S488" s="75" t="n">
        <v>79.7</v>
      </c>
      <c r="T488" s="75" t="n">
        <v>81.65</v>
      </c>
      <c r="U488" s="75" t="n">
        <v>83.49</v>
      </c>
      <c r="V488" s="75" t="n">
        <v>85.57</v>
      </c>
      <c r="W488" s="75" t="n">
        <v>87.82</v>
      </c>
      <c r="X488" s="76" t="n">
        <v>90.79</v>
      </c>
      <c r="Y488" s="77" t="s">
        <v>20</v>
      </c>
      <c r="Z488" s="78" t="n">
        <f aca="false">SUM(AA488:AL488)</f>
        <v>678.53</v>
      </c>
      <c r="AA488" s="75"/>
      <c r="AB488" s="75"/>
      <c r="AC488" s="75"/>
      <c r="AD488" s="75"/>
      <c r="AE488" s="75"/>
      <c r="AF488" s="79" t="n">
        <v>678.53</v>
      </c>
      <c r="AG488" s="75"/>
      <c r="AH488" s="75"/>
      <c r="AI488" s="75"/>
      <c r="AJ488" s="75"/>
      <c r="AK488" s="75"/>
      <c r="AL488" s="76"/>
      <c r="AM488" s="56" t="s">
        <v>20</v>
      </c>
      <c r="AN488" s="80" t="n">
        <f aca="false">IF(L488=0,0,Z488/L488)</f>
        <v>0.723132833148606</v>
      </c>
      <c r="AO488" s="81" t="str">
        <f aca="false">IF(AN488="","",IF(AN488&gt;=0.9,"🟢",IF(AN488&gt;=0.7,"🟡",IF(AN488&gt;=0.5,"🟠","🔴"))))</f>
        <v>🟡</v>
      </c>
      <c r="AP488" s="82" t="n">
        <f aca="false">IF(L488=0,0,L488-Z488)</f>
        <v>259.79</v>
      </c>
      <c r="AQ488" s="83" t="n">
        <f aca="false">IF(AP488=0,"",RANK(AP488,AP$4:AP$503,0))</f>
        <v>472</v>
      </c>
      <c r="AR488" s="84" t="s">
        <v>20</v>
      </c>
      <c r="AS488" s="141"/>
      <c r="AT488" s="141"/>
      <c r="AU488" s="141"/>
      <c r="AV488" s="141"/>
      <c r="AW488" s="141"/>
      <c r="AX488" s="141"/>
      <c r="AY488" s="142"/>
      <c r="AZ488" s="142"/>
      <c r="BA488" s="56" t="s">
        <v>20</v>
      </c>
      <c r="BB488" s="91" t="n">
        <f aca="false">SUM(L$4:L$503)/COUNTA(A$4:A$503)</f>
        <v>9494.39992</v>
      </c>
      <c r="BC488" s="92" t="n">
        <f aca="false">SUM(M$4:M$503)/COUNTA(A$4:A$503)</f>
        <v>667.20008</v>
      </c>
      <c r="BD488" s="92" t="n">
        <f aca="false">SUM(N$4:N$503)/COUNTA(A$4:A$503)</f>
        <v>697.19996</v>
      </c>
      <c r="BE488" s="92" t="n">
        <f aca="false">SUM(O$4:O$503)/COUNTA(A$4:A$503)</f>
        <v>713.9999</v>
      </c>
      <c r="BF488" s="92" t="n">
        <f aca="false">SUM(P$4:P$503)/COUNTA(A$4:A$503)</f>
        <v>732.59984</v>
      </c>
      <c r="BG488" s="92" t="n">
        <f aca="false">SUM(Q$4:Q$503)/COUNTA(A$4:A$503)</f>
        <v>756.59992</v>
      </c>
      <c r="BH488" s="92" t="n">
        <f aca="false">SUM(R$4:R$503)/COUNTA(A$4:A$503)</f>
        <v>776.40004</v>
      </c>
      <c r="BI488" s="92" t="n">
        <f aca="false">SUM(S$4:S$503)/COUNTA(A$4:A$503)</f>
        <v>806.40012</v>
      </c>
      <c r="BJ488" s="92" t="n">
        <f aca="false">SUM(T$4:T$503)/COUNTA(A$4:A$503)</f>
        <v>826.1999</v>
      </c>
      <c r="BK488" s="92" t="n">
        <f aca="false">SUM(U$4:U$503)/COUNTA(A$4:A$503)</f>
        <v>844.8002</v>
      </c>
      <c r="BL488" s="92" t="n">
        <f aca="false">SUM(V$4:V$503)/COUNTA(A$4:A$503)</f>
        <v>865.7998</v>
      </c>
      <c r="BM488" s="92" t="n">
        <f aca="false">SUM(W$4:W$503)/COUNTA(A$4:A$503)</f>
        <v>888.59982</v>
      </c>
      <c r="BN488" s="93" t="n">
        <f aca="false">SUM(X$4:X$503)/COUNTA(A$4:A$503)</f>
        <v>918.60034</v>
      </c>
      <c r="BO488" s="94" t="s">
        <v>20</v>
      </c>
      <c r="BP488" s="91" t="n">
        <f aca="false">IF(Z488&gt;=BB488,0,IFERROR(BB488+(SUMPRODUCT((Z$4:Z$503&gt;=BB$4:BB$503)*(Z$4:Z$503-BB$4:BB$503))/MAX(1,COUNTIF(Z$4:Z$503,"&lt;"&amp;BB488+0.01))),BB488))</f>
        <v>10695.5432177778</v>
      </c>
      <c r="BQ488" s="92" t="n">
        <f aca="false">IF(AA488&gt;=BC488,0,IFERROR(BC488+SUMPRODUCT((AA$4:AA$503&gt;=BC$4:BC$503)*(AA$4:AA$503-BC$4:BC$503))/MAX(1,COUNTIF(AA$4:AA$503,"&lt;"&amp;BC488+0.01)),BC488))</f>
        <v>2238.46589176471</v>
      </c>
      <c r="BR488" s="92" t="n">
        <f aca="false">IF(AB488&gt;=BD488,0,IFERROR(BD488+SUMPRODUCT((AB$4:AB$503&gt;=BD$4:BD$503)*(AB$4:AB$503-BD$4:BD$503))/MAX(1,COUNTIF(AB$4:AB$503,"&lt;"&amp;BD488+0.01)),BD488))</f>
        <v>3335.2938</v>
      </c>
      <c r="BS488" s="92" t="n">
        <f aca="false">IF(AC488&gt;=BE488,0,IFERROR(BE488+SUMPRODUCT((AC$4:AC$503&gt;=BE$4:BE$503)*(AC$4:AC$503-BE$4:BE$503))/MAX(1,COUNTIF(AC$4:AC$503,"&lt;"&amp;BE488+0.01)),BE488))</f>
        <v>6188.73352</v>
      </c>
      <c r="BT488" s="92" t="n">
        <f aca="false">IF(AD488&gt;=BF488,0,IFERROR(BF488+SUMPRODUCT((AD$4:AD$503&gt;=BF$4:BF$503)*(AD$4:AD$503-BF$4:BF$503))/MAX(1,COUNTIF(AD$4:AD$503,"&lt;"&amp;BF488+0.01)),BF488))</f>
        <v>11354.35411</v>
      </c>
      <c r="BU488" s="92" t="n">
        <f aca="false">IF(AE488&gt;=BG488,0,IFERROR(BG488+SUMPRODUCT((AE$4:AE$503&gt;=BG$4:BG$503)*(AE$4:AE$503-BG$4:BG$503))/MAX(1,COUNTIF(AE$4:AE$503,"&lt;"&amp;BG488+0.01)),BG488))</f>
        <v>7704.85920380952</v>
      </c>
      <c r="BV488" s="92" t="n">
        <f aca="false">IF(AF488&gt;=BH488,0,IFERROR(BH488+SUMPRODUCT((AF$4:AF$503&gt;=BH$4:BH$503)*(AF$4:AF$503-BH$4:BH$503))/MAX(1,COUNTIF(AF$4:AF$503,"&lt;"&amp;BH488+0.01)),BH488))</f>
        <v>9942.6503831579</v>
      </c>
      <c r="BW488" s="92" t="n">
        <f aca="false">IF(AG488&gt;=BI488,0,IFERROR(BI488+SUMPRODUCT((AG$4:AG$503&gt;=BI$4:BI$503)*(AG$4:AG$503-BI$4:BI$503))/MAX(1,COUNTIF(AG$4:AG$503,"&lt;"&amp;BI488+0.01)),BI488))</f>
        <v>9142.15870461538</v>
      </c>
      <c r="BX488" s="92" t="n">
        <f aca="false">IF(AH488&gt;=BJ488,0,IFERROR(BJ488+SUMPRODUCT((AH$4:AH$503&gt;=BJ$4:BJ$503)*(AH$4:AH$503-BJ$4:BJ$503))/MAX(1,COUNTIF(AH$4:AH$503,"&lt;"&amp;BJ488+0.01)),BJ488))</f>
        <v>5621.50263448276</v>
      </c>
      <c r="BY488" s="92" t="n">
        <f aca="false">IF(AI488&gt;=BK488,0,IFERROR(BK488+SUMPRODUCT((AI$4:AI$503&gt;=BK$4:BK$503)*(AI$4:AI$503-BK$4:BK$503))/MAX(1,COUNTIF(AI$4:AI$503,"&lt;"&amp;BK488+0.01)),BK488))</f>
        <v>7878.25652380952</v>
      </c>
      <c r="BZ488" s="92" t="n">
        <f aca="false">IF(AJ488&gt;=BL488,0,IFERROR(BL488+SUMPRODUCT((AJ$4:AJ$503&gt;=BL$4:BL$503)*(AJ$4:AJ$503-BL$4:BL$503))/MAX(1,COUNTIF(AJ$4:AJ$503,"&lt;"&amp;BL488+0.01)),BL488))</f>
        <v>6710.03292307692</v>
      </c>
      <c r="CA488" s="92" t="n">
        <f aca="false">IF(AK488&gt;=BM488,0,IFERROR(BM488+SUMPRODUCT((AK$4:AK$503&gt;=BM$4:BM$503)*(AK$4:AK$503-BM$4:BM$503))/MAX(1,COUNTIF(AK$4:AK$503,"&lt;"&amp;BM488+0.01)),BM488))</f>
        <v>7314.89836842105</v>
      </c>
      <c r="CB488" s="93" t="n">
        <f aca="false">IF(AL488&gt;=BN488,0,IFERROR(BN488+SUMPRODUCT((AL$4:AL$503&gt;=BN$4:BN$503)*(AL$4:AL$503-BN$4:BN$503))/MAX(1,COUNTIF(AL$4:AL$503,"&lt;"&amp;BN488+0.01)),BN488))</f>
        <v>3597.2614925</v>
      </c>
      <c r="CC488" s="95" t="str">
        <f aca="false">IF(AO488="🟢","VERDE",IF(AO488="🟡","AMARELO",IF(AO488="🟠","VERMELHO",IF(AO488="🔴","VERMELHO","ROXO"))))</f>
        <v>AMARELO</v>
      </c>
      <c r="CD488" s="96" t="s">
        <v>103</v>
      </c>
      <c r="CE488" s="96" t="s">
        <v>104</v>
      </c>
    </row>
    <row r="489" customFormat="false" ht="14.25" hidden="false" customHeight="true" outlineLevel="0" collapsed="false">
      <c r="A489" s="65" t="n">
        <v>43144817000146</v>
      </c>
      <c r="B489" s="66" t="s">
        <v>1106</v>
      </c>
      <c r="C489" s="67" t="s">
        <v>118</v>
      </c>
      <c r="D489" s="68" t="s">
        <v>100</v>
      </c>
      <c r="E489" s="69" t="s">
        <v>119</v>
      </c>
      <c r="F489" s="70" t="n">
        <f aca="false">IFERROR(VLOOKUP(C489,$AS$3:$AT$10,2,FALSE()),IFERROR(VLOOKUP(C489,$AS$15:$AT$22,2,FALSE()),""))</f>
        <v>42</v>
      </c>
      <c r="G489" s="71" t="n">
        <f aca="false">IFERROR(VLOOKUP(C489,$AS$3:$AX$10,6,FALSE()),IFERROR(VLOOKUP(C489,$AS$15:$AX$22,6,FALSE()),""))</f>
        <v>0.424872083346704</v>
      </c>
      <c r="H489" s="72" t="str">
        <f aca="false">IFERROR(VLOOKUP(C489,$AS$3:$AY$10,7,FALSE()),IFERROR(VLOOKUP(C489,$AS$15:$AY$22,7,FALSE()),""))</f>
        <v>🟡 AMARELO</v>
      </c>
      <c r="I489" s="72" t="str">
        <f aca="false">IFERROR(VLOOKUP(C489,$AS$3:$AZ$10,8,FALSE()),IFERROR(VLOOKUP(C489,$AS$15:$AZ$22,8,FALSE()),""))</f>
        <v>Sell Out</v>
      </c>
      <c r="J489" s="73"/>
      <c r="K489" s="69" t="s">
        <v>118</v>
      </c>
      <c r="L489" s="74" t="n">
        <v>732.95</v>
      </c>
      <c r="M489" s="75" t="n">
        <v>51.51</v>
      </c>
      <c r="N489" s="75" t="n">
        <v>53.82</v>
      </c>
      <c r="O489" s="75" t="n">
        <v>55.12</v>
      </c>
      <c r="P489" s="75" t="n">
        <v>56.55</v>
      </c>
      <c r="Q489" s="75" t="n">
        <v>58.41</v>
      </c>
      <c r="R489" s="75" t="n">
        <v>59.94</v>
      </c>
      <c r="S489" s="75" t="n">
        <v>62.25</v>
      </c>
      <c r="T489" s="75" t="n">
        <v>63.78</v>
      </c>
      <c r="U489" s="75" t="n">
        <v>65.22</v>
      </c>
      <c r="V489" s="75" t="n">
        <v>66.84</v>
      </c>
      <c r="W489" s="75" t="n">
        <v>68.6</v>
      </c>
      <c r="X489" s="76" t="n">
        <v>70.91</v>
      </c>
      <c r="Y489" s="77" t="s">
        <v>20</v>
      </c>
      <c r="Z489" s="78" t="n">
        <f aca="false">SUM(AA489:AL489)</f>
        <v>294.75</v>
      </c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107" t="n">
        <v>294.75</v>
      </c>
      <c r="AM489" s="56" t="s">
        <v>20</v>
      </c>
      <c r="AN489" s="80" t="n">
        <f aca="false">IF(L489=0,0,Z489/L489)</f>
        <v>0.402142028787775</v>
      </c>
      <c r="AO489" s="81" t="str">
        <f aca="false">IF(AN489="","",IF(AN489&gt;=0.9,"🟢",IF(AN489&gt;=0.7,"🟡",IF(AN489&gt;=0.5,"🟠","🔴"))))</f>
        <v>🔴</v>
      </c>
      <c r="AP489" s="82" t="n">
        <f aca="false">IF(L489=0,0,L489-Z489)</f>
        <v>438.2</v>
      </c>
      <c r="AQ489" s="83" t="n">
        <f aca="false">IF(AP489=0,"",RANK(AP489,AP$4:AP$503,0))</f>
        <v>460</v>
      </c>
      <c r="AR489" s="84" t="s">
        <v>20</v>
      </c>
      <c r="AS489" s="141"/>
      <c r="AT489" s="141"/>
      <c r="AU489" s="141"/>
      <c r="AV489" s="141"/>
      <c r="AW489" s="141"/>
      <c r="AX489" s="141"/>
      <c r="AY489" s="142"/>
      <c r="AZ489" s="142"/>
      <c r="BA489" s="56" t="s">
        <v>20</v>
      </c>
      <c r="BB489" s="91" t="n">
        <f aca="false">SUM(L$4:L$503)/COUNTA(A$4:A$503)</f>
        <v>9494.39992</v>
      </c>
      <c r="BC489" s="92" t="n">
        <f aca="false">SUM(M$4:M$503)/COUNTA(A$4:A$503)</f>
        <v>667.20008</v>
      </c>
      <c r="BD489" s="92" t="n">
        <f aca="false">SUM(N$4:N$503)/COUNTA(A$4:A$503)</f>
        <v>697.19996</v>
      </c>
      <c r="BE489" s="92" t="n">
        <f aca="false">SUM(O$4:O$503)/COUNTA(A$4:A$503)</f>
        <v>713.9999</v>
      </c>
      <c r="BF489" s="92" t="n">
        <f aca="false">SUM(P$4:P$503)/COUNTA(A$4:A$503)</f>
        <v>732.59984</v>
      </c>
      <c r="BG489" s="92" t="n">
        <f aca="false">SUM(Q$4:Q$503)/COUNTA(A$4:A$503)</f>
        <v>756.59992</v>
      </c>
      <c r="BH489" s="92" t="n">
        <f aca="false">SUM(R$4:R$503)/COUNTA(A$4:A$503)</f>
        <v>776.40004</v>
      </c>
      <c r="BI489" s="92" t="n">
        <f aca="false">SUM(S$4:S$503)/COUNTA(A$4:A$503)</f>
        <v>806.40012</v>
      </c>
      <c r="BJ489" s="92" t="n">
        <f aca="false">SUM(T$4:T$503)/COUNTA(A$4:A$503)</f>
        <v>826.1999</v>
      </c>
      <c r="BK489" s="92" t="n">
        <f aca="false">SUM(U$4:U$503)/COUNTA(A$4:A$503)</f>
        <v>844.8002</v>
      </c>
      <c r="BL489" s="92" t="n">
        <f aca="false">SUM(V$4:V$503)/COUNTA(A$4:A$503)</f>
        <v>865.7998</v>
      </c>
      <c r="BM489" s="92" t="n">
        <f aca="false">SUM(W$4:W$503)/COUNTA(A$4:A$503)</f>
        <v>888.59982</v>
      </c>
      <c r="BN489" s="93" t="n">
        <f aca="false">SUM(X$4:X$503)/COUNTA(A$4:A$503)</f>
        <v>918.60034</v>
      </c>
      <c r="BO489" s="94" t="s">
        <v>20</v>
      </c>
      <c r="BP489" s="91" t="n">
        <f aca="false">IF(Z489&gt;=BB489,0,IFERROR(BB489+(SUMPRODUCT((Z$4:Z$503&gt;=BB$4:BB$503)*(Z$4:Z$503-BB$4:BB$503))/MAX(1,COUNTIF(Z$4:Z$503,"&lt;"&amp;BB489+0.01))),BB489))</f>
        <v>10695.5432177778</v>
      </c>
      <c r="BQ489" s="92" t="n">
        <f aca="false">IF(AA489&gt;=BC489,0,IFERROR(BC489+SUMPRODUCT((AA$4:AA$503&gt;=BC$4:BC$503)*(AA$4:AA$503-BC$4:BC$503))/MAX(1,COUNTIF(AA$4:AA$503,"&lt;"&amp;BC489+0.01)),BC489))</f>
        <v>2238.46589176471</v>
      </c>
      <c r="BR489" s="92" t="n">
        <f aca="false">IF(AB489&gt;=BD489,0,IFERROR(BD489+SUMPRODUCT((AB$4:AB$503&gt;=BD$4:BD$503)*(AB$4:AB$503-BD$4:BD$503))/MAX(1,COUNTIF(AB$4:AB$503,"&lt;"&amp;BD489+0.01)),BD489))</f>
        <v>3335.2938</v>
      </c>
      <c r="BS489" s="92" t="n">
        <f aca="false">IF(AC489&gt;=BE489,0,IFERROR(BE489+SUMPRODUCT((AC$4:AC$503&gt;=BE$4:BE$503)*(AC$4:AC$503-BE$4:BE$503))/MAX(1,COUNTIF(AC$4:AC$503,"&lt;"&amp;BE489+0.01)),BE489))</f>
        <v>6188.73352</v>
      </c>
      <c r="BT489" s="92" t="n">
        <f aca="false">IF(AD489&gt;=BF489,0,IFERROR(BF489+SUMPRODUCT((AD$4:AD$503&gt;=BF$4:BF$503)*(AD$4:AD$503-BF$4:BF$503))/MAX(1,COUNTIF(AD$4:AD$503,"&lt;"&amp;BF489+0.01)),BF489))</f>
        <v>11354.35411</v>
      </c>
      <c r="BU489" s="92" t="n">
        <f aca="false">IF(AE489&gt;=BG489,0,IFERROR(BG489+SUMPRODUCT((AE$4:AE$503&gt;=BG$4:BG$503)*(AE$4:AE$503-BG$4:BG$503))/MAX(1,COUNTIF(AE$4:AE$503,"&lt;"&amp;BG489+0.01)),BG489))</f>
        <v>7704.85920380952</v>
      </c>
      <c r="BV489" s="92" t="n">
        <f aca="false">IF(AF489&gt;=BH489,0,IFERROR(BH489+SUMPRODUCT((AF$4:AF$503&gt;=BH$4:BH$503)*(AF$4:AF$503-BH$4:BH$503))/MAX(1,COUNTIF(AF$4:AF$503,"&lt;"&amp;BH489+0.01)),BH489))</f>
        <v>9942.6503831579</v>
      </c>
      <c r="BW489" s="92" t="n">
        <f aca="false">IF(AG489&gt;=BI489,0,IFERROR(BI489+SUMPRODUCT((AG$4:AG$503&gt;=BI$4:BI$503)*(AG$4:AG$503-BI$4:BI$503))/MAX(1,COUNTIF(AG$4:AG$503,"&lt;"&amp;BI489+0.01)),BI489))</f>
        <v>9142.15870461538</v>
      </c>
      <c r="BX489" s="92" t="n">
        <f aca="false">IF(AH489&gt;=BJ489,0,IFERROR(BJ489+SUMPRODUCT((AH$4:AH$503&gt;=BJ$4:BJ$503)*(AH$4:AH$503-BJ$4:BJ$503))/MAX(1,COUNTIF(AH$4:AH$503,"&lt;"&amp;BJ489+0.01)),BJ489))</f>
        <v>5621.50263448276</v>
      </c>
      <c r="BY489" s="92" t="n">
        <f aca="false">IF(AI489&gt;=BK489,0,IFERROR(BK489+SUMPRODUCT((AI$4:AI$503&gt;=BK$4:BK$503)*(AI$4:AI$503-BK$4:BK$503))/MAX(1,COUNTIF(AI$4:AI$503,"&lt;"&amp;BK489+0.01)),BK489))</f>
        <v>7878.25652380952</v>
      </c>
      <c r="BZ489" s="92" t="n">
        <f aca="false">IF(AJ489&gt;=BL489,0,IFERROR(BL489+SUMPRODUCT((AJ$4:AJ$503&gt;=BL$4:BL$503)*(AJ$4:AJ$503-BL$4:BL$503))/MAX(1,COUNTIF(AJ$4:AJ$503,"&lt;"&amp;BL489+0.01)),BL489))</f>
        <v>6710.03292307692</v>
      </c>
      <c r="CA489" s="92" t="n">
        <f aca="false">IF(AK489&gt;=BM489,0,IFERROR(BM489+SUMPRODUCT((AK$4:AK$503&gt;=BM$4:BM$503)*(AK$4:AK$503-BM$4:BM$503))/MAX(1,COUNTIF(AK$4:AK$503,"&lt;"&amp;BM489+0.01)),BM489))</f>
        <v>7314.89836842105</v>
      </c>
      <c r="CB489" s="93" t="n">
        <f aca="false">IF(AL489&gt;=BN489,0,IFERROR(BN489+SUMPRODUCT((AL$4:AL$503&gt;=BN$4:BN$503)*(AL$4:AL$503-BN$4:BN$503))/MAX(1,COUNTIF(AL$4:AL$503,"&lt;"&amp;BN489+0.01)),BN489))</f>
        <v>3597.2614925</v>
      </c>
      <c r="CC489" s="95" t="str">
        <f aca="false">IF(AO489="🟢","VERDE",IF(AO489="🟡","AMARELO",IF(AO489="🟠","VERMELHO",IF(AO489="🔴","VERMELHO","ROXO"))))</f>
        <v>VERMELHO</v>
      </c>
      <c r="CD489" s="96" t="s">
        <v>103</v>
      </c>
      <c r="CE489" s="96" t="s">
        <v>104</v>
      </c>
    </row>
    <row r="490" customFormat="false" ht="14.25" hidden="false" customHeight="true" outlineLevel="0" collapsed="false">
      <c r="A490" s="65" t="n">
        <v>26839789000162</v>
      </c>
      <c r="B490" s="66" t="s">
        <v>1107</v>
      </c>
      <c r="C490" s="67" t="s">
        <v>113</v>
      </c>
      <c r="D490" s="68" t="s">
        <v>100</v>
      </c>
      <c r="E490" s="69" t="s">
        <v>260</v>
      </c>
      <c r="F490" s="70" t="n">
        <f aca="false">IFERROR(VLOOKUP(C490,$AS$3:$AT$10,2,FALSE()),IFERROR(VLOOKUP(C490,$AS$15:$AT$22,2,FALSE()),""))</f>
        <v>49</v>
      </c>
      <c r="G490" s="71" t="n">
        <f aca="false">IFERROR(VLOOKUP(C490,$AS$3:$AX$10,6,FALSE()),IFERROR(VLOOKUP(C490,$AS$15:$AX$22,6,FALSE()),""))</f>
        <v>0.463965086137302</v>
      </c>
      <c r="H490" s="72" t="str">
        <f aca="false">IFERROR(VLOOKUP(C490,$AS$3:$AY$10,7,FALSE()),IFERROR(VLOOKUP(C490,$AS$15:$AY$22,7,FALSE()),""))</f>
        <v>🟡 AMARELO</v>
      </c>
      <c r="I490" s="72" t="str">
        <f aca="false">IFERROR(VLOOKUP(C490,$AS$3:$AZ$10,8,FALSE()),IFERROR(VLOOKUP(C490,$AS$15:$AZ$22,8,FALSE()),""))</f>
        <v>Sell Out</v>
      </c>
      <c r="J490" s="73"/>
      <c r="K490" s="69" t="s">
        <v>113</v>
      </c>
      <c r="L490" s="74" t="n">
        <v>715.53</v>
      </c>
      <c r="M490" s="75" t="n">
        <v>50.28</v>
      </c>
      <c r="N490" s="75" t="n">
        <v>52.54</v>
      </c>
      <c r="O490" s="75" t="n">
        <v>53.81</v>
      </c>
      <c r="P490" s="75" t="n">
        <v>55.21</v>
      </c>
      <c r="Q490" s="75" t="n">
        <v>57.02</v>
      </c>
      <c r="R490" s="75" t="n">
        <v>58.51</v>
      </c>
      <c r="S490" s="75" t="n">
        <v>60.77</v>
      </c>
      <c r="T490" s="75" t="n">
        <v>62.27</v>
      </c>
      <c r="U490" s="75" t="n">
        <v>63.67</v>
      </c>
      <c r="V490" s="75" t="n">
        <v>65.25</v>
      </c>
      <c r="W490" s="75" t="n">
        <v>66.97</v>
      </c>
      <c r="X490" s="76" t="n">
        <v>69.23</v>
      </c>
      <c r="Y490" s="77" t="s">
        <v>20</v>
      </c>
      <c r="Z490" s="78" t="n">
        <f aca="false">SUM(AA490:AL490)</f>
        <v>287.76</v>
      </c>
      <c r="AA490" s="79" t="n">
        <v>287.76</v>
      </c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6"/>
      <c r="AM490" s="56" t="s">
        <v>20</v>
      </c>
      <c r="AN490" s="80" t="n">
        <f aca="false">IF(L490=0,0,Z490/L490)</f>
        <v>0.402163431302671</v>
      </c>
      <c r="AO490" s="81" t="str">
        <f aca="false">IF(AN490="","",IF(AN490&gt;=0.9,"🟢",IF(AN490&gt;=0.7,"🟡",IF(AN490&gt;=0.5,"🟠","🔴"))))</f>
        <v>🔴</v>
      </c>
      <c r="AP490" s="82" t="n">
        <f aca="false">IF(L490=0,0,L490-Z490)</f>
        <v>427.77</v>
      </c>
      <c r="AQ490" s="83" t="n">
        <f aca="false">IF(AP490=0,"",RANK(AP490,AP$4:AP$503,0))</f>
        <v>461</v>
      </c>
      <c r="AR490" s="84" t="s">
        <v>20</v>
      </c>
      <c r="AS490" s="141"/>
      <c r="AT490" s="141"/>
      <c r="AU490" s="141"/>
      <c r="AV490" s="141"/>
      <c r="AW490" s="141"/>
      <c r="AX490" s="141"/>
      <c r="AY490" s="142"/>
      <c r="AZ490" s="142"/>
      <c r="BA490" s="56" t="s">
        <v>20</v>
      </c>
      <c r="BB490" s="91" t="n">
        <f aca="false">SUM(L$4:L$503)/COUNTA(A$4:A$503)</f>
        <v>9494.39992</v>
      </c>
      <c r="BC490" s="92" t="n">
        <f aca="false">SUM(M$4:M$503)/COUNTA(A$4:A$503)</f>
        <v>667.20008</v>
      </c>
      <c r="BD490" s="92" t="n">
        <f aca="false">SUM(N$4:N$503)/COUNTA(A$4:A$503)</f>
        <v>697.19996</v>
      </c>
      <c r="BE490" s="92" t="n">
        <f aca="false">SUM(O$4:O$503)/COUNTA(A$4:A$503)</f>
        <v>713.9999</v>
      </c>
      <c r="BF490" s="92" t="n">
        <f aca="false">SUM(P$4:P$503)/COUNTA(A$4:A$503)</f>
        <v>732.59984</v>
      </c>
      <c r="BG490" s="92" t="n">
        <f aca="false">SUM(Q$4:Q$503)/COUNTA(A$4:A$503)</f>
        <v>756.59992</v>
      </c>
      <c r="BH490" s="92" t="n">
        <f aca="false">SUM(R$4:R$503)/COUNTA(A$4:A$503)</f>
        <v>776.40004</v>
      </c>
      <c r="BI490" s="92" t="n">
        <f aca="false">SUM(S$4:S$503)/COUNTA(A$4:A$503)</f>
        <v>806.40012</v>
      </c>
      <c r="BJ490" s="92" t="n">
        <f aca="false">SUM(T$4:T$503)/COUNTA(A$4:A$503)</f>
        <v>826.1999</v>
      </c>
      <c r="BK490" s="92" t="n">
        <f aca="false">SUM(U$4:U$503)/COUNTA(A$4:A$503)</f>
        <v>844.8002</v>
      </c>
      <c r="BL490" s="92" t="n">
        <f aca="false">SUM(V$4:V$503)/COUNTA(A$4:A$503)</f>
        <v>865.7998</v>
      </c>
      <c r="BM490" s="92" t="n">
        <f aca="false">SUM(W$4:W$503)/COUNTA(A$4:A$503)</f>
        <v>888.59982</v>
      </c>
      <c r="BN490" s="93" t="n">
        <f aca="false">SUM(X$4:X$503)/COUNTA(A$4:A$503)</f>
        <v>918.60034</v>
      </c>
      <c r="BO490" s="94" t="s">
        <v>20</v>
      </c>
      <c r="BP490" s="91" t="n">
        <f aca="false">IF(Z490&gt;=BB490,0,IFERROR(BB490+(SUMPRODUCT((Z$4:Z$503&gt;=BB$4:BB$503)*(Z$4:Z$503-BB$4:BB$503))/MAX(1,COUNTIF(Z$4:Z$503,"&lt;"&amp;BB490+0.01))),BB490))</f>
        <v>10695.5432177778</v>
      </c>
      <c r="BQ490" s="92" t="n">
        <f aca="false">IF(AA490&gt;=BC490,0,IFERROR(BC490+SUMPRODUCT((AA$4:AA$503&gt;=BC$4:BC$503)*(AA$4:AA$503-BC$4:BC$503))/MAX(1,COUNTIF(AA$4:AA$503,"&lt;"&amp;BC490+0.01)),BC490))</f>
        <v>2238.46589176471</v>
      </c>
      <c r="BR490" s="92" t="n">
        <f aca="false">IF(AB490&gt;=BD490,0,IFERROR(BD490+SUMPRODUCT((AB$4:AB$503&gt;=BD$4:BD$503)*(AB$4:AB$503-BD$4:BD$503))/MAX(1,COUNTIF(AB$4:AB$503,"&lt;"&amp;BD490+0.01)),BD490))</f>
        <v>3335.2938</v>
      </c>
      <c r="BS490" s="92" t="n">
        <f aca="false">IF(AC490&gt;=BE490,0,IFERROR(BE490+SUMPRODUCT((AC$4:AC$503&gt;=BE$4:BE$503)*(AC$4:AC$503-BE$4:BE$503))/MAX(1,COUNTIF(AC$4:AC$503,"&lt;"&amp;BE490+0.01)),BE490))</f>
        <v>6188.73352</v>
      </c>
      <c r="BT490" s="92" t="n">
        <f aca="false">IF(AD490&gt;=BF490,0,IFERROR(BF490+SUMPRODUCT((AD$4:AD$503&gt;=BF$4:BF$503)*(AD$4:AD$503-BF$4:BF$503))/MAX(1,COUNTIF(AD$4:AD$503,"&lt;"&amp;BF490+0.01)),BF490))</f>
        <v>11354.35411</v>
      </c>
      <c r="BU490" s="92" t="n">
        <f aca="false">IF(AE490&gt;=BG490,0,IFERROR(BG490+SUMPRODUCT((AE$4:AE$503&gt;=BG$4:BG$503)*(AE$4:AE$503-BG$4:BG$503))/MAX(1,COUNTIF(AE$4:AE$503,"&lt;"&amp;BG490+0.01)),BG490))</f>
        <v>7704.85920380952</v>
      </c>
      <c r="BV490" s="92" t="n">
        <f aca="false">IF(AF490&gt;=BH490,0,IFERROR(BH490+SUMPRODUCT((AF$4:AF$503&gt;=BH$4:BH$503)*(AF$4:AF$503-BH$4:BH$503))/MAX(1,COUNTIF(AF$4:AF$503,"&lt;"&amp;BH490+0.01)),BH490))</f>
        <v>9942.6503831579</v>
      </c>
      <c r="BW490" s="92" t="n">
        <f aca="false">IF(AG490&gt;=BI490,0,IFERROR(BI490+SUMPRODUCT((AG$4:AG$503&gt;=BI$4:BI$503)*(AG$4:AG$503-BI$4:BI$503))/MAX(1,COUNTIF(AG$4:AG$503,"&lt;"&amp;BI490+0.01)),BI490))</f>
        <v>9142.15870461538</v>
      </c>
      <c r="BX490" s="92" t="n">
        <f aca="false">IF(AH490&gt;=BJ490,0,IFERROR(BJ490+SUMPRODUCT((AH$4:AH$503&gt;=BJ$4:BJ$503)*(AH$4:AH$503-BJ$4:BJ$503))/MAX(1,COUNTIF(AH$4:AH$503,"&lt;"&amp;BJ490+0.01)),BJ490))</f>
        <v>5621.50263448276</v>
      </c>
      <c r="BY490" s="92" t="n">
        <f aca="false">IF(AI490&gt;=BK490,0,IFERROR(BK490+SUMPRODUCT((AI$4:AI$503&gt;=BK$4:BK$503)*(AI$4:AI$503-BK$4:BK$503))/MAX(1,COUNTIF(AI$4:AI$503,"&lt;"&amp;BK490+0.01)),BK490))</f>
        <v>7878.25652380952</v>
      </c>
      <c r="BZ490" s="92" t="n">
        <f aca="false">IF(AJ490&gt;=BL490,0,IFERROR(BL490+SUMPRODUCT((AJ$4:AJ$503&gt;=BL$4:BL$503)*(AJ$4:AJ$503-BL$4:BL$503))/MAX(1,COUNTIF(AJ$4:AJ$503,"&lt;"&amp;BL490+0.01)),BL490))</f>
        <v>6710.03292307692</v>
      </c>
      <c r="CA490" s="92" t="n">
        <f aca="false">IF(AK490&gt;=BM490,0,IFERROR(BM490+SUMPRODUCT((AK$4:AK$503&gt;=BM$4:BM$503)*(AK$4:AK$503-BM$4:BM$503))/MAX(1,COUNTIF(AK$4:AK$503,"&lt;"&amp;BM490+0.01)),BM490))</f>
        <v>7314.89836842105</v>
      </c>
      <c r="CB490" s="93" t="n">
        <f aca="false">IF(AL490&gt;=BN490,0,IFERROR(BN490+SUMPRODUCT((AL$4:AL$503&gt;=BN$4:BN$503)*(AL$4:AL$503-BN$4:BN$503))/MAX(1,COUNTIF(AL$4:AL$503,"&lt;"&amp;BN490+0.01)),BN490))</f>
        <v>3597.2614925</v>
      </c>
      <c r="CC490" s="95" t="str">
        <f aca="false">IF(AO490="🟢","VERDE",IF(AO490="🟡","AMARELO",IF(AO490="🟠","VERMELHO",IF(AO490="🔴","VERMELHO","ROXO"))))</f>
        <v>VERMELHO</v>
      </c>
      <c r="CD490" s="96" t="s">
        <v>103</v>
      </c>
      <c r="CE490" s="96" t="s">
        <v>104</v>
      </c>
    </row>
    <row r="491" customFormat="false" ht="14.25" hidden="false" customHeight="true" outlineLevel="0" collapsed="false">
      <c r="A491" s="65" t="n">
        <v>24778921000148</v>
      </c>
      <c r="B491" s="66" t="s">
        <v>1108</v>
      </c>
      <c r="C491" s="67" t="s">
        <v>118</v>
      </c>
      <c r="D491" s="68" t="s">
        <v>100</v>
      </c>
      <c r="E491" s="69" t="s">
        <v>119</v>
      </c>
      <c r="F491" s="70" t="n">
        <f aca="false">IFERROR(VLOOKUP(C491,$AS$3:$AT$10,2,FALSE()),IFERROR(VLOOKUP(C491,$AS$15:$AT$22,2,FALSE()),""))</f>
        <v>42</v>
      </c>
      <c r="G491" s="71" t="n">
        <f aca="false">IFERROR(VLOOKUP(C491,$AS$3:$AX$10,6,FALSE()),IFERROR(VLOOKUP(C491,$AS$15:$AX$22,6,FALSE()),""))</f>
        <v>0.424872083346704</v>
      </c>
      <c r="H491" s="72" t="str">
        <f aca="false">IFERROR(VLOOKUP(C491,$AS$3:$AY$10,7,FALSE()),IFERROR(VLOOKUP(C491,$AS$15:$AY$22,7,FALSE()),""))</f>
        <v>🟡 AMARELO</v>
      </c>
      <c r="I491" s="72" t="str">
        <f aca="false">IFERROR(VLOOKUP(C491,$AS$3:$AZ$10,8,FALSE()),IFERROR(VLOOKUP(C491,$AS$15:$AZ$22,8,FALSE()),""))</f>
        <v>Sell Out</v>
      </c>
      <c r="J491" s="73"/>
      <c r="K491" s="69" t="s">
        <v>118</v>
      </c>
      <c r="L491" s="74" t="n">
        <v>667.81</v>
      </c>
      <c r="M491" s="75" t="n">
        <v>46.93</v>
      </c>
      <c r="N491" s="75" t="n">
        <v>49.04</v>
      </c>
      <c r="O491" s="75" t="n">
        <v>50.22</v>
      </c>
      <c r="P491" s="75" t="n">
        <v>51.53</v>
      </c>
      <c r="Q491" s="75" t="n">
        <v>53.22</v>
      </c>
      <c r="R491" s="75" t="n">
        <v>54.61</v>
      </c>
      <c r="S491" s="75" t="n">
        <v>56.72</v>
      </c>
      <c r="T491" s="75" t="n">
        <v>58.11</v>
      </c>
      <c r="U491" s="75" t="n">
        <v>59.42</v>
      </c>
      <c r="V491" s="75" t="n">
        <v>60.9</v>
      </c>
      <c r="W491" s="75" t="n">
        <v>62.5</v>
      </c>
      <c r="X491" s="76" t="n">
        <v>64.61</v>
      </c>
      <c r="Y491" s="77" t="s">
        <v>20</v>
      </c>
      <c r="Z491" s="78" t="n">
        <f aca="false">SUM(AA491:AL491)</f>
        <v>268.56</v>
      </c>
      <c r="AA491" s="75"/>
      <c r="AB491" s="75"/>
      <c r="AC491" s="75"/>
      <c r="AD491" s="75"/>
      <c r="AE491" s="75"/>
      <c r="AF491" s="75"/>
      <c r="AG491" s="75"/>
      <c r="AH491" s="75"/>
      <c r="AI491" s="75"/>
      <c r="AJ491" s="79" t="n">
        <v>268.56</v>
      </c>
      <c r="AK491" s="75"/>
      <c r="AL491" s="76"/>
      <c r="AM491" s="56" t="s">
        <v>20</v>
      </c>
      <c r="AN491" s="80" t="n">
        <f aca="false">IF(L491=0,0,Z491/L491)</f>
        <v>0.402150312214552</v>
      </c>
      <c r="AO491" s="81" t="str">
        <f aca="false">IF(AN491="","",IF(AN491&gt;=0.9,"🟢",IF(AN491&gt;=0.7,"🟡",IF(AN491&gt;=0.5,"🟠","🔴"))))</f>
        <v>🔴</v>
      </c>
      <c r="AP491" s="82" t="n">
        <f aca="false">IF(L491=0,0,L491-Z491)</f>
        <v>399.25</v>
      </c>
      <c r="AQ491" s="83" t="n">
        <f aca="false">IF(AP491=0,"",RANK(AP491,AP$4:AP$503,0))</f>
        <v>462</v>
      </c>
      <c r="AR491" s="84" t="s">
        <v>20</v>
      </c>
      <c r="AS491" s="141"/>
      <c r="AT491" s="141"/>
      <c r="AU491" s="141"/>
      <c r="AV491" s="141"/>
      <c r="AW491" s="141"/>
      <c r="AX491" s="141"/>
      <c r="AY491" s="142"/>
      <c r="AZ491" s="142"/>
      <c r="BA491" s="56" t="s">
        <v>20</v>
      </c>
      <c r="BB491" s="91" t="n">
        <f aca="false">SUM(L$4:L$503)/COUNTA(A$4:A$503)</f>
        <v>9494.39992</v>
      </c>
      <c r="BC491" s="92" t="n">
        <f aca="false">SUM(M$4:M$503)/COUNTA(A$4:A$503)</f>
        <v>667.20008</v>
      </c>
      <c r="BD491" s="92" t="n">
        <f aca="false">SUM(N$4:N$503)/COUNTA(A$4:A$503)</f>
        <v>697.19996</v>
      </c>
      <c r="BE491" s="92" t="n">
        <f aca="false">SUM(O$4:O$503)/COUNTA(A$4:A$503)</f>
        <v>713.9999</v>
      </c>
      <c r="BF491" s="92" t="n">
        <f aca="false">SUM(P$4:P$503)/COUNTA(A$4:A$503)</f>
        <v>732.59984</v>
      </c>
      <c r="BG491" s="92" t="n">
        <f aca="false">SUM(Q$4:Q$503)/COUNTA(A$4:A$503)</f>
        <v>756.59992</v>
      </c>
      <c r="BH491" s="92" t="n">
        <f aca="false">SUM(R$4:R$503)/COUNTA(A$4:A$503)</f>
        <v>776.40004</v>
      </c>
      <c r="BI491" s="92" t="n">
        <f aca="false">SUM(S$4:S$503)/COUNTA(A$4:A$503)</f>
        <v>806.40012</v>
      </c>
      <c r="BJ491" s="92" t="n">
        <f aca="false">SUM(T$4:T$503)/COUNTA(A$4:A$503)</f>
        <v>826.1999</v>
      </c>
      <c r="BK491" s="92" t="n">
        <f aca="false">SUM(U$4:U$503)/COUNTA(A$4:A$503)</f>
        <v>844.8002</v>
      </c>
      <c r="BL491" s="92" t="n">
        <f aca="false">SUM(V$4:V$503)/COUNTA(A$4:A$503)</f>
        <v>865.7998</v>
      </c>
      <c r="BM491" s="92" t="n">
        <f aca="false">SUM(W$4:W$503)/COUNTA(A$4:A$503)</f>
        <v>888.59982</v>
      </c>
      <c r="BN491" s="93" t="n">
        <f aca="false">SUM(X$4:X$503)/COUNTA(A$4:A$503)</f>
        <v>918.60034</v>
      </c>
      <c r="BO491" s="94" t="s">
        <v>20</v>
      </c>
      <c r="BP491" s="91" t="n">
        <f aca="false">IF(Z491&gt;=BB491,0,IFERROR(BB491+(SUMPRODUCT((Z$4:Z$503&gt;=BB$4:BB$503)*(Z$4:Z$503-BB$4:BB$503))/MAX(1,COUNTIF(Z$4:Z$503,"&lt;"&amp;BB491+0.01))),BB491))</f>
        <v>10695.5432177778</v>
      </c>
      <c r="BQ491" s="92" t="n">
        <f aca="false">IF(AA491&gt;=BC491,0,IFERROR(BC491+SUMPRODUCT((AA$4:AA$503&gt;=BC$4:BC$503)*(AA$4:AA$503-BC$4:BC$503))/MAX(1,COUNTIF(AA$4:AA$503,"&lt;"&amp;BC491+0.01)),BC491))</f>
        <v>2238.46589176471</v>
      </c>
      <c r="BR491" s="92" t="n">
        <f aca="false">IF(AB491&gt;=BD491,0,IFERROR(BD491+SUMPRODUCT((AB$4:AB$503&gt;=BD$4:BD$503)*(AB$4:AB$503-BD$4:BD$503))/MAX(1,COUNTIF(AB$4:AB$503,"&lt;"&amp;BD491+0.01)),BD491))</f>
        <v>3335.2938</v>
      </c>
      <c r="BS491" s="92" t="n">
        <f aca="false">IF(AC491&gt;=BE491,0,IFERROR(BE491+SUMPRODUCT((AC$4:AC$503&gt;=BE$4:BE$503)*(AC$4:AC$503-BE$4:BE$503))/MAX(1,COUNTIF(AC$4:AC$503,"&lt;"&amp;BE491+0.01)),BE491))</f>
        <v>6188.73352</v>
      </c>
      <c r="BT491" s="92" t="n">
        <f aca="false">IF(AD491&gt;=BF491,0,IFERROR(BF491+SUMPRODUCT((AD$4:AD$503&gt;=BF$4:BF$503)*(AD$4:AD$503-BF$4:BF$503))/MAX(1,COUNTIF(AD$4:AD$503,"&lt;"&amp;BF491+0.01)),BF491))</f>
        <v>11354.35411</v>
      </c>
      <c r="BU491" s="92" t="n">
        <f aca="false">IF(AE491&gt;=BG491,0,IFERROR(BG491+SUMPRODUCT((AE$4:AE$503&gt;=BG$4:BG$503)*(AE$4:AE$503-BG$4:BG$503))/MAX(1,COUNTIF(AE$4:AE$503,"&lt;"&amp;BG491+0.01)),BG491))</f>
        <v>7704.85920380952</v>
      </c>
      <c r="BV491" s="92" t="n">
        <f aca="false">IF(AF491&gt;=BH491,0,IFERROR(BH491+SUMPRODUCT((AF$4:AF$503&gt;=BH$4:BH$503)*(AF$4:AF$503-BH$4:BH$503))/MAX(1,COUNTIF(AF$4:AF$503,"&lt;"&amp;BH491+0.01)),BH491))</f>
        <v>9942.6503831579</v>
      </c>
      <c r="BW491" s="92" t="n">
        <f aca="false">IF(AG491&gt;=BI491,0,IFERROR(BI491+SUMPRODUCT((AG$4:AG$503&gt;=BI$4:BI$503)*(AG$4:AG$503-BI$4:BI$503))/MAX(1,COUNTIF(AG$4:AG$503,"&lt;"&amp;BI491+0.01)),BI491))</f>
        <v>9142.15870461538</v>
      </c>
      <c r="BX491" s="92" t="n">
        <f aca="false">IF(AH491&gt;=BJ491,0,IFERROR(BJ491+SUMPRODUCT((AH$4:AH$503&gt;=BJ$4:BJ$503)*(AH$4:AH$503-BJ$4:BJ$503))/MAX(1,COUNTIF(AH$4:AH$503,"&lt;"&amp;BJ491+0.01)),BJ491))</f>
        <v>5621.50263448276</v>
      </c>
      <c r="BY491" s="92" t="n">
        <f aca="false">IF(AI491&gt;=BK491,0,IFERROR(BK491+SUMPRODUCT((AI$4:AI$503&gt;=BK$4:BK$503)*(AI$4:AI$503-BK$4:BK$503))/MAX(1,COUNTIF(AI$4:AI$503,"&lt;"&amp;BK491+0.01)),BK491))</f>
        <v>7878.25652380952</v>
      </c>
      <c r="BZ491" s="92" t="n">
        <f aca="false">IF(AJ491&gt;=BL491,0,IFERROR(BL491+SUMPRODUCT((AJ$4:AJ$503&gt;=BL$4:BL$503)*(AJ$4:AJ$503-BL$4:BL$503))/MAX(1,COUNTIF(AJ$4:AJ$503,"&lt;"&amp;BL491+0.01)),BL491))</f>
        <v>6710.03292307692</v>
      </c>
      <c r="CA491" s="92" t="n">
        <f aca="false">IF(AK491&gt;=BM491,0,IFERROR(BM491+SUMPRODUCT((AK$4:AK$503&gt;=BM$4:BM$503)*(AK$4:AK$503-BM$4:BM$503))/MAX(1,COUNTIF(AK$4:AK$503,"&lt;"&amp;BM491+0.01)),BM491))</f>
        <v>7314.89836842105</v>
      </c>
      <c r="CB491" s="93" t="n">
        <f aca="false">IF(AL491&gt;=BN491,0,IFERROR(BN491+SUMPRODUCT((AL$4:AL$503&gt;=BN$4:BN$503)*(AL$4:AL$503-BN$4:BN$503))/MAX(1,COUNTIF(AL$4:AL$503,"&lt;"&amp;BN491+0.01)),BN491))</f>
        <v>3597.2614925</v>
      </c>
      <c r="CC491" s="95" t="str">
        <f aca="false">IF(AO491="🟢","VERDE",IF(AO491="🟡","AMARELO",IF(AO491="🟠","VERMELHO",IF(AO491="🔴","VERMELHO","ROXO"))))</f>
        <v>VERMELHO</v>
      </c>
      <c r="CD491" s="96" t="s">
        <v>103</v>
      </c>
      <c r="CE491" s="96" t="s">
        <v>104</v>
      </c>
    </row>
    <row r="492" customFormat="false" ht="14.25" hidden="false" customHeight="true" outlineLevel="0" collapsed="false">
      <c r="A492" s="65" t="n">
        <v>54116382000142</v>
      </c>
      <c r="B492" s="66" t="s">
        <v>1109</v>
      </c>
      <c r="C492" s="66" t="s">
        <v>66</v>
      </c>
      <c r="D492" s="68" t="s">
        <v>175</v>
      </c>
      <c r="E492" s="69" t="s">
        <v>139</v>
      </c>
      <c r="F492" s="70" t="n">
        <f aca="false">IFERROR(VLOOKUP(C492,$AS$3:$AT$10,2,FALSE()),IFERROR(VLOOKUP(C492,$AS$15:$AT$22,2,FALSE()),""))</f>
        <v>44</v>
      </c>
      <c r="G492" s="71" t="n">
        <f aca="false">IFERROR(VLOOKUP(C492,$AS$3:$AX$10,6,FALSE()),IFERROR(VLOOKUP(C492,$AS$15:$AX$22,6,FALSE()),""))</f>
        <v>0.496839506257363</v>
      </c>
      <c r="H492" s="72" t="str">
        <f aca="false">IFERROR(VLOOKUP(C492,$AS$3:$AY$10,7,FALSE()),IFERROR(VLOOKUP(C492,$AS$15:$AY$22,7,FALSE()),""))</f>
        <v>🟡 AMARELO</v>
      </c>
      <c r="I492" s="72" t="str">
        <f aca="false">IFERROR(VLOOKUP(C492,$AS$3:$AZ$10,8,FALSE()),IFERROR(VLOOKUP(C492,$AS$15:$AZ$22,8,FALSE()),""))</f>
        <v>Sell Out</v>
      </c>
      <c r="J492" s="73"/>
      <c r="K492" s="69" t="s">
        <v>107</v>
      </c>
      <c r="L492" s="74" t="n">
        <v>478.93</v>
      </c>
      <c r="M492" s="75" t="n">
        <v>33.66</v>
      </c>
      <c r="N492" s="75" t="n">
        <v>35.17</v>
      </c>
      <c r="O492" s="75" t="n">
        <v>36.02</v>
      </c>
      <c r="P492" s="75" t="n">
        <v>36.95</v>
      </c>
      <c r="Q492" s="75" t="n">
        <v>38.17</v>
      </c>
      <c r="R492" s="75" t="n">
        <v>39.16</v>
      </c>
      <c r="S492" s="75" t="n">
        <v>40.68</v>
      </c>
      <c r="T492" s="75" t="n">
        <v>41.68</v>
      </c>
      <c r="U492" s="75" t="n">
        <v>42.61</v>
      </c>
      <c r="V492" s="75" t="n">
        <v>43.67</v>
      </c>
      <c r="W492" s="75" t="n">
        <v>44.82</v>
      </c>
      <c r="X492" s="76" t="n">
        <v>46.34</v>
      </c>
      <c r="Y492" s="77" t="s">
        <v>20</v>
      </c>
      <c r="Z492" s="78" t="n">
        <f aca="false">SUM(AA492:AL492)</f>
        <v>1072.6</v>
      </c>
      <c r="AA492" s="79" t="n">
        <v>192.6</v>
      </c>
      <c r="AB492" s="75"/>
      <c r="AC492" s="75"/>
      <c r="AD492" s="75"/>
      <c r="AE492" s="75" t="n">
        <v>880</v>
      </c>
      <c r="AF492" s="75"/>
      <c r="AG492" s="75"/>
      <c r="AH492" s="75"/>
      <c r="AI492" s="75"/>
      <c r="AJ492" s="75"/>
      <c r="AK492" s="75"/>
      <c r="AL492" s="76"/>
      <c r="AM492" s="56" t="s">
        <v>20</v>
      </c>
      <c r="AN492" s="80" t="n">
        <f aca="false">IF(L492=0,0,Z492/L492)</f>
        <v>2.23957572087779</v>
      </c>
      <c r="AO492" s="81" t="str">
        <f aca="false">IF(AN492="","",IF(AN492&gt;=0.9,"🟢",IF(AN492&gt;=0.7,"🟡",IF(AN492&gt;=0.5,"🟠","🔴"))))</f>
        <v>🟢</v>
      </c>
      <c r="AP492" s="82" t="n">
        <f aca="false">IF(L492=0,0,L492-Z492)</f>
        <v>-593.67</v>
      </c>
      <c r="AQ492" s="83" t="n">
        <f aca="false">IF(AP492=0,"",RANK(AP492,AP$4:AP$503,0))</f>
        <v>492</v>
      </c>
      <c r="AR492" s="84" t="s">
        <v>20</v>
      </c>
      <c r="AS492" s="141"/>
      <c r="AT492" s="141"/>
      <c r="AU492" s="141"/>
      <c r="AV492" s="141"/>
      <c r="AW492" s="141"/>
      <c r="AX492" s="141"/>
      <c r="AY492" s="142"/>
      <c r="AZ492" s="142"/>
      <c r="BA492" s="56" t="s">
        <v>20</v>
      </c>
      <c r="BB492" s="91" t="n">
        <f aca="false">SUM(L$4:L$503)/COUNTA(A$4:A$503)</f>
        <v>9494.39992</v>
      </c>
      <c r="BC492" s="92" t="n">
        <f aca="false">SUM(M$4:M$503)/COUNTA(A$4:A$503)</f>
        <v>667.20008</v>
      </c>
      <c r="BD492" s="92" t="n">
        <f aca="false">SUM(N$4:N$503)/COUNTA(A$4:A$503)</f>
        <v>697.19996</v>
      </c>
      <c r="BE492" s="92" t="n">
        <f aca="false">SUM(O$4:O$503)/COUNTA(A$4:A$503)</f>
        <v>713.9999</v>
      </c>
      <c r="BF492" s="92" t="n">
        <f aca="false">SUM(P$4:P$503)/COUNTA(A$4:A$503)</f>
        <v>732.59984</v>
      </c>
      <c r="BG492" s="92" t="n">
        <f aca="false">SUM(Q$4:Q$503)/COUNTA(A$4:A$503)</f>
        <v>756.59992</v>
      </c>
      <c r="BH492" s="92" t="n">
        <f aca="false">SUM(R$4:R$503)/COUNTA(A$4:A$503)</f>
        <v>776.40004</v>
      </c>
      <c r="BI492" s="92" t="n">
        <f aca="false">SUM(S$4:S$503)/COUNTA(A$4:A$503)</f>
        <v>806.40012</v>
      </c>
      <c r="BJ492" s="92" t="n">
        <f aca="false">SUM(T$4:T$503)/COUNTA(A$4:A$503)</f>
        <v>826.1999</v>
      </c>
      <c r="BK492" s="92" t="n">
        <f aca="false">SUM(U$4:U$503)/COUNTA(A$4:A$503)</f>
        <v>844.8002</v>
      </c>
      <c r="BL492" s="92" t="n">
        <f aca="false">SUM(V$4:V$503)/COUNTA(A$4:A$503)</f>
        <v>865.7998</v>
      </c>
      <c r="BM492" s="92" t="n">
        <f aca="false">SUM(W$4:W$503)/COUNTA(A$4:A$503)</f>
        <v>888.59982</v>
      </c>
      <c r="BN492" s="93" t="n">
        <f aca="false">SUM(X$4:X$503)/COUNTA(A$4:A$503)</f>
        <v>918.60034</v>
      </c>
      <c r="BO492" s="94" t="s">
        <v>20</v>
      </c>
      <c r="BP492" s="91" t="n">
        <f aca="false">IF(Z492&gt;=BB492,0,IFERROR(BB492+(SUMPRODUCT((Z$4:Z$503&gt;=BB$4:BB$503)*(Z$4:Z$503-BB$4:BB$503))/MAX(1,COUNTIF(Z$4:Z$503,"&lt;"&amp;BB492+0.01))),BB492))</f>
        <v>10695.5432177778</v>
      </c>
      <c r="BQ492" s="92" t="n">
        <f aca="false">IF(AA492&gt;=BC492,0,IFERROR(BC492+SUMPRODUCT((AA$4:AA$503&gt;=BC$4:BC$503)*(AA$4:AA$503-BC$4:BC$503))/MAX(1,COUNTIF(AA$4:AA$503,"&lt;"&amp;BC492+0.01)),BC492))</f>
        <v>2238.46589176471</v>
      </c>
      <c r="BR492" s="92" t="n">
        <f aca="false">IF(AB492&gt;=BD492,0,IFERROR(BD492+SUMPRODUCT((AB$4:AB$503&gt;=BD$4:BD$503)*(AB$4:AB$503-BD$4:BD$503))/MAX(1,COUNTIF(AB$4:AB$503,"&lt;"&amp;BD492+0.01)),BD492))</f>
        <v>3335.2938</v>
      </c>
      <c r="BS492" s="92" t="n">
        <f aca="false">IF(AC492&gt;=BE492,0,IFERROR(BE492+SUMPRODUCT((AC$4:AC$503&gt;=BE$4:BE$503)*(AC$4:AC$503-BE$4:BE$503))/MAX(1,COUNTIF(AC$4:AC$503,"&lt;"&amp;BE492+0.01)),BE492))</f>
        <v>6188.73352</v>
      </c>
      <c r="BT492" s="92" t="n">
        <f aca="false">IF(AD492&gt;=BF492,0,IFERROR(BF492+SUMPRODUCT((AD$4:AD$503&gt;=BF$4:BF$503)*(AD$4:AD$503-BF$4:BF$503))/MAX(1,COUNTIF(AD$4:AD$503,"&lt;"&amp;BF492+0.01)),BF492))</f>
        <v>11354.35411</v>
      </c>
      <c r="BU492" s="92" t="n">
        <f aca="false">IF(AE492&gt;=BG492,0,IFERROR(BG492+SUMPRODUCT((AE$4:AE$503&gt;=BG$4:BG$503)*(AE$4:AE$503-BG$4:BG$503))/MAX(1,COUNTIF(AE$4:AE$503,"&lt;"&amp;BG492+0.01)),BG492))</f>
        <v>0</v>
      </c>
      <c r="BV492" s="92" t="n">
        <f aca="false">IF(AF492&gt;=BH492,0,IFERROR(BH492+SUMPRODUCT((AF$4:AF$503&gt;=BH$4:BH$503)*(AF$4:AF$503-BH$4:BH$503))/MAX(1,COUNTIF(AF$4:AF$503,"&lt;"&amp;BH492+0.01)),BH492))</f>
        <v>9942.6503831579</v>
      </c>
      <c r="BW492" s="92" t="n">
        <f aca="false">IF(AG492&gt;=BI492,0,IFERROR(BI492+SUMPRODUCT((AG$4:AG$503&gt;=BI$4:BI$503)*(AG$4:AG$503-BI$4:BI$503))/MAX(1,COUNTIF(AG$4:AG$503,"&lt;"&amp;BI492+0.01)),BI492))</f>
        <v>9142.15870461538</v>
      </c>
      <c r="BX492" s="92" t="n">
        <f aca="false">IF(AH492&gt;=BJ492,0,IFERROR(BJ492+SUMPRODUCT((AH$4:AH$503&gt;=BJ$4:BJ$503)*(AH$4:AH$503-BJ$4:BJ$503))/MAX(1,COUNTIF(AH$4:AH$503,"&lt;"&amp;BJ492+0.01)),BJ492))</f>
        <v>5621.50263448276</v>
      </c>
      <c r="BY492" s="92" t="n">
        <f aca="false">IF(AI492&gt;=BK492,0,IFERROR(BK492+SUMPRODUCT((AI$4:AI$503&gt;=BK$4:BK$503)*(AI$4:AI$503-BK$4:BK$503))/MAX(1,COUNTIF(AI$4:AI$503,"&lt;"&amp;BK492+0.01)),BK492))</f>
        <v>7878.25652380952</v>
      </c>
      <c r="BZ492" s="92" t="n">
        <f aca="false">IF(AJ492&gt;=BL492,0,IFERROR(BL492+SUMPRODUCT((AJ$4:AJ$503&gt;=BL$4:BL$503)*(AJ$4:AJ$503-BL$4:BL$503))/MAX(1,COUNTIF(AJ$4:AJ$503,"&lt;"&amp;BL492+0.01)),BL492))</f>
        <v>6710.03292307692</v>
      </c>
      <c r="CA492" s="92" t="n">
        <f aca="false">IF(AK492&gt;=BM492,0,IFERROR(BM492+SUMPRODUCT((AK$4:AK$503&gt;=BM$4:BM$503)*(AK$4:AK$503-BM$4:BM$503))/MAX(1,COUNTIF(AK$4:AK$503,"&lt;"&amp;BM492+0.01)),BM492))</f>
        <v>7314.89836842105</v>
      </c>
      <c r="CB492" s="93" t="n">
        <f aca="false">IF(AL492&gt;=BN492,0,IFERROR(BN492+SUMPRODUCT((AL$4:AL$503&gt;=BN$4:BN$503)*(AL$4:AL$503-BN$4:BN$503))/MAX(1,COUNTIF(AL$4:AL$503,"&lt;"&amp;BN492+0.01)),BN492))</f>
        <v>3597.2614925</v>
      </c>
      <c r="CC492" s="95" t="str">
        <f aca="false">IF(AO492="🟢","VERDE",IF(AO492="🟡","AMARELO",IF(AO492="🟠","VERMELHO",IF(AO492="🔴","VERMELHO","ROXO"))))</f>
        <v>VERDE</v>
      </c>
      <c r="CD492" s="96" t="s">
        <v>176</v>
      </c>
      <c r="CE492" s="96" t="s">
        <v>66</v>
      </c>
    </row>
    <row r="493" customFormat="false" ht="14.25" hidden="false" customHeight="true" outlineLevel="0" collapsed="false">
      <c r="A493" s="65" t="n">
        <v>57107436000100</v>
      </c>
      <c r="B493" s="66" t="s">
        <v>1110</v>
      </c>
      <c r="C493" s="66" t="s">
        <v>66</v>
      </c>
      <c r="D493" s="68" t="s">
        <v>175</v>
      </c>
      <c r="E493" s="69" t="s">
        <v>139</v>
      </c>
      <c r="F493" s="70" t="n">
        <f aca="false">IFERROR(VLOOKUP(C493,$AS$3:$AT$10,2,FALSE()),IFERROR(VLOOKUP(C493,$AS$15:$AT$22,2,FALSE()),""))</f>
        <v>44</v>
      </c>
      <c r="G493" s="71" t="n">
        <f aca="false">IFERROR(VLOOKUP(C493,$AS$3:$AX$10,6,FALSE()),IFERROR(VLOOKUP(C493,$AS$15:$AX$22,6,FALSE()),""))</f>
        <v>0.496839506257363</v>
      </c>
      <c r="H493" s="72" t="str">
        <f aca="false">IFERROR(VLOOKUP(C493,$AS$3:$AY$10,7,FALSE()),IFERROR(VLOOKUP(C493,$AS$15:$AY$22,7,FALSE()),""))</f>
        <v>🟡 AMARELO</v>
      </c>
      <c r="I493" s="72" t="str">
        <f aca="false">IFERROR(VLOOKUP(C493,$AS$3:$AZ$10,8,FALSE()),IFERROR(VLOOKUP(C493,$AS$15:$AZ$22,8,FALSE()),""))</f>
        <v>Sell Out</v>
      </c>
      <c r="J493" s="73"/>
      <c r="K493" s="69" t="s">
        <v>107</v>
      </c>
      <c r="L493" s="74" t="n">
        <v>318.96</v>
      </c>
      <c r="M493" s="75" t="n">
        <v>22.41</v>
      </c>
      <c r="N493" s="75" t="n">
        <v>23.42</v>
      </c>
      <c r="O493" s="75" t="n">
        <v>23.99</v>
      </c>
      <c r="P493" s="75" t="n">
        <v>24.61</v>
      </c>
      <c r="Q493" s="75" t="n">
        <v>25.42</v>
      </c>
      <c r="R493" s="75" t="n">
        <v>26.08</v>
      </c>
      <c r="S493" s="75" t="n">
        <v>27.09</v>
      </c>
      <c r="T493" s="75" t="n">
        <v>27.76</v>
      </c>
      <c r="U493" s="75" t="n">
        <v>28.38</v>
      </c>
      <c r="V493" s="75" t="n">
        <v>29.09</v>
      </c>
      <c r="W493" s="75" t="n">
        <v>29.85</v>
      </c>
      <c r="X493" s="76" t="n">
        <v>30.86</v>
      </c>
      <c r="Y493" s="77" t="s">
        <v>20</v>
      </c>
      <c r="Z493" s="78" t="n">
        <f aca="false">SUM(AA493:AL493)</f>
        <v>128.27</v>
      </c>
      <c r="AA493" s="79" t="n">
        <v>128.27</v>
      </c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6"/>
      <c r="AM493" s="56" t="s">
        <v>20</v>
      </c>
      <c r="AN493" s="80" t="n">
        <f aca="false">IF(L493=0,0,Z493/L493)</f>
        <v>0.40215073990469</v>
      </c>
      <c r="AO493" s="81" t="str">
        <f aca="false">IF(AN493="","",IF(AN493&gt;=0.9,"🟢",IF(AN493&gt;=0.7,"🟡",IF(AN493&gt;=0.5,"🟠","🔴"))))</f>
        <v>🔴</v>
      </c>
      <c r="AP493" s="82" t="n">
        <f aca="false">IF(L493=0,0,L493-Z493)</f>
        <v>190.69</v>
      </c>
      <c r="AQ493" s="83" t="n">
        <f aca="false">IF(AP493=0,"",RANK(AP493,AP$4:AP$503,0))</f>
        <v>475</v>
      </c>
      <c r="AR493" s="84" t="s">
        <v>20</v>
      </c>
      <c r="AS493" s="141"/>
      <c r="AT493" s="141"/>
      <c r="AU493" s="141"/>
      <c r="AV493" s="141"/>
      <c r="AW493" s="141"/>
      <c r="AX493" s="141"/>
      <c r="AY493" s="142"/>
      <c r="AZ493" s="142"/>
      <c r="BA493" s="56" t="s">
        <v>20</v>
      </c>
      <c r="BB493" s="91" t="n">
        <f aca="false">SUM(L$4:L$503)/COUNTA(A$4:A$503)</f>
        <v>9494.39992</v>
      </c>
      <c r="BC493" s="92" t="n">
        <f aca="false">SUM(M$4:M$503)/COUNTA(A$4:A$503)</f>
        <v>667.20008</v>
      </c>
      <c r="BD493" s="92" t="n">
        <f aca="false">SUM(N$4:N$503)/COUNTA(A$4:A$503)</f>
        <v>697.19996</v>
      </c>
      <c r="BE493" s="92" t="n">
        <f aca="false">SUM(O$4:O$503)/COUNTA(A$4:A$503)</f>
        <v>713.9999</v>
      </c>
      <c r="BF493" s="92" t="n">
        <f aca="false">SUM(P$4:P$503)/COUNTA(A$4:A$503)</f>
        <v>732.59984</v>
      </c>
      <c r="BG493" s="92" t="n">
        <f aca="false">SUM(Q$4:Q$503)/COUNTA(A$4:A$503)</f>
        <v>756.59992</v>
      </c>
      <c r="BH493" s="92" t="n">
        <f aca="false">SUM(R$4:R$503)/COUNTA(A$4:A$503)</f>
        <v>776.40004</v>
      </c>
      <c r="BI493" s="92" t="n">
        <f aca="false">SUM(S$4:S$503)/COUNTA(A$4:A$503)</f>
        <v>806.40012</v>
      </c>
      <c r="BJ493" s="92" t="n">
        <f aca="false">SUM(T$4:T$503)/COUNTA(A$4:A$503)</f>
        <v>826.1999</v>
      </c>
      <c r="BK493" s="92" t="n">
        <f aca="false">SUM(U$4:U$503)/COUNTA(A$4:A$503)</f>
        <v>844.8002</v>
      </c>
      <c r="BL493" s="92" t="n">
        <f aca="false">SUM(V$4:V$503)/COUNTA(A$4:A$503)</f>
        <v>865.7998</v>
      </c>
      <c r="BM493" s="92" t="n">
        <f aca="false">SUM(W$4:W$503)/COUNTA(A$4:A$503)</f>
        <v>888.59982</v>
      </c>
      <c r="BN493" s="93" t="n">
        <f aca="false">SUM(X$4:X$503)/COUNTA(A$4:A$503)</f>
        <v>918.60034</v>
      </c>
      <c r="BO493" s="94" t="s">
        <v>20</v>
      </c>
      <c r="BP493" s="91" t="n">
        <f aca="false">IF(Z493&gt;=BB493,0,IFERROR(BB493+(SUMPRODUCT((Z$4:Z$503&gt;=BB$4:BB$503)*(Z$4:Z$503-BB$4:BB$503))/MAX(1,COUNTIF(Z$4:Z$503,"&lt;"&amp;BB493+0.01))),BB493))</f>
        <v>10695.5432177778</v>
      </c>
      <c r="BQ493" s="92" t="n">
        <f aca="false">IF(AA493&gt;=BC493,0,IFERROR(BC493+SUMPRODUCT((AA$4:AA$503&gt;=BC$4:BC$503)*(AA$4:AA$503-BC$4:BC$503))/MAX(1,COUNTIF(AA$4:AA$503,"&lt;"&amp;BC493+0.01)),BC493))</f>
        <v>2238.46589176471</v>
      </c>
      <c r="BR493" s="92" t="n">
        <f aca="false">IF(AB493&gt;=BD493,0,IFERROR(BD493+SUMPRODUCT((AB$4:AB$503&gt;=BD$4:BD$503)*(AB$4:AB$503-BD$4:BD$503))/MAX(1,COUNTIF(AB$4:AB$503,"&lt;"&amp;BD493+0.01)),BD493))</f>
        <v>3335.2938</v>
      </c>
      <c r="BS493" s="92" t="n">
        <f aca="false">IF(AC493&gt;=BE493,0,IFERROR(BE493+SUMPRODUCT((AC$4:AC$503&gt;=BE$4:BE$503)*(AC$4:AC$503-BE$4:BE$503))/MAX(1,COUNTIF(AC$4:AC$503,"&lt;"&amp;BE493+0.01)),BE493))</f>
        <v>6188.73352</v>
      </c>
      <c r="BT493" s="92" t="n">
        <f aca="false">IF(AD493&gt;=BF493,0,IFERROR(BF493+SUMPRODUCT((AD$4:AD$503&gt;=BF$4:BF$503)*(AD$4:AD$503-BF$4:BF$503))/MAX(1,COUNTIF(AD$4:AD$503,"&lt;"&amp;BF493+0.01)),BF493))</f>
        <v>11354.35411</v>
      </c>
      <c r="BU493" s="92" t="n">
        <f aca="false">IF(AE493&gt;=BG493,0,IFERROR(BG493+SUMPRODUCT((AE$4:AE$503&gt;=BG$4:BG$503)*(AE$4:AE$503-BG$4:BG$503))/MAX(1,COUNTIF(AE$4:AE$503,"&lt;"&amp;BG493+0.01)),BG493))</f>
        <v>7704.85920380952</v>
      </c>
      <c r="BV493" s="92" t="n">
        <f aca="false">IF(AF493&gt;=BH493,0,IFERROR(BH493+SUMPRODUCT((AF$4:AF$503&gt;=BH$4:BH$503)*(AF$4:AF$503-BH$4:BH$503))/MAX(1,COUNTIF(AF$4:AF$503,"&lt;"&amp;BH493+0.01)),BH493))</f>
        <v>9942.6503831579</v>
      </c>
      <c r="BW493" s="92" t="n">
        <f aca="false">IF(AG493&gt;=BI493,0,IFERROR(BI493+SUMPRODUCT((AG$4:AG$503&gt;=BI$4:BI$503)*(AG$4:AG$503-BI$4:BI$503))/MAX(1,COUNTIF(AG$4:AG$503,"&lt;"&amp;BI493+0.01)),BI493))</f>
        <v>9142.15870461538</v>
      </c>
      <c r="BX493" s="92" t="n">
        <f aca="false">IF(AH493&gt;=BJ493,0,IFERROR(BJ493+SUMPRODUCT((AH$4:AH$503&gt;=BJ$4:BJ$503)*(AH$4:AH$503-BJ$4:BJ$503))/MAX(1,COUNTIF(AH$4:AH$503,"&lt;"&amp;BJ493+0.01)),BJ493))</f>
        <v>5621.50263448276</v>
      </c>
      <c r="BY493" s="92" t="n">
        <f aca="false">IF(AI493&gt;=BK493,0,IFERROR(BK493+SUMPRODUCT((AI$4:AI$503&gt;=BK$4:BK$503)*(AI$4:AI$503-BK$4:BK$503))/MAX(1,COUNTIF(AI$4:AI$503,"&lt;"&amp;BK493+0.01)),BK493))</f>
        <v>7878.25652380952</v>
      </c>
      <c r="BZ493" s="92" t="n">
        <f aca="false">IF(AJ493&gt;=BL493,0,IFERROR(BL493+SUMPRODUCT((AJ$4:AJ$503&gt;=BL$4:BL$503)*(AJ$4:AJ$503-BL$4:BL$503))/MAX(1,COUNTIF(AJ$4:AJ$503,"&lt;"&amp;BL493+0.01)),BL493))</f>
        <v>6710.03292307692</v>
      </c>
      <c r="CA493" s="92" t="n">
        <f aca="false">IF(AK493&gt;=BM493,0,IFERROR(BM493+SUMPRODUCT((AK$4:AK$503&gt;=BM$4:BM$503)*(AK$4:AK$503-BM$4:BM$503))/MAX(1,COUNTIF(AK$4:AK$503,"&lt;"&amp;BM493+0.01)),BM493))</f>
        <v>7314.89836842105</v>
      </c>
      <c r="CB493" s="93" t="n">
        <f aca="false">IF(AL493&gt;=BN493,0,IFERROR(BN493+SUMPRODUCT((AL$4:AL$503&gt;=BN$4:BN$503)*(AL$4:AL$503-BN$4:BN$503))/MAX(1,COUNTIF(AL$4:AL$503,"&lt;"&amp;BN493+0.01)),BN493))</f>
        <v>3597.2614925</v>
      </c>
      <c r="CC493" s="95" t="str">
        <f aca="false">IF(AO493="🟢","VERDE",IF(AO493="🟡","AMARELO",IF(AO493="🟠","VERMELHO",IF(AO493="🔴","VERMELHO","ROXO"))))</f>
        <v>VERMELHO</v>
      </c>
      <c r="CD493" s="96" t="s">
        <v>176</v>
      </c>
      <c r="CE493" s="96" t="s">
        <v>66</v>
      </c>
    </row>
    <row r="494" customFormat="false" ht="14.25" hidden="false" customHeight="true" outlineLevel="0" collapsed="false">
      <c r="A494" s="65" t="n">
        <v>23395636000185</v>
      </c>
      <c r="B494" s="66" t="s">
        <v>1111</v>
      </c>
      <c r="C494" s="66" t="s">
        <v>124</v>
      </c>
      <c r="D494" s="68" t="s">
        <v>184</v>
      </c>
      <c r="E494" s="69" t="s">
        <v>146</v>
      </c>
      <c r="F494" s="70" t="n">
        <f aca="false">IFERROR(VLOOKUP(C494,$AS$3:$AT$10,2,FALSE()),IFERROR(VLOOKUP(C494,$AS$15:$AT$22,2,FALSE()),""))</f>
        <v>7</v>
      </c>
      <c r="G494" s="71" t="n">
        <f aca="false">IFERROR(VLOOKUP(C494,$AS$3:$AX$10,6,FALSE()),IFERROR(VLOOKUP(C494,$AS$15:$AX$22,6,FALSE()),""))</f>
        <v>0.421338416191415</v>
      </c>
      <c r="H494" s="72" t="str">
        <f aca="false">IFERROR(VLOOKUP(C494,$AS$3:$AY$10,7,FALSE()),IFERROR(VLOOKUP(C494,$AS$15:$AY$22,7,FALSE()),""))</f>
        <v>🟡 AMARELO</v>
      </c>
      <c r="I494" s="72" t="str">
        <f aca="false">IFERROR(VLOOKUP(C494,$AS$3:$AZ$10,8,FALSE()),IFERROR(VLOOKUP(C494,$AS$15:$AZ$22,8,FALSE()),""))</f>
        <v>Sell Out</v>
      </c>
      <c r="J494" s="73"/>
      <c r="K494" s="69" t="s">
        <v>145</v>
      </c>
      <c r="L494" s="74" t="n">
        <v>0</v>
      </c>
      <c r="M494" s="75" t="n">
        <v>0</v>
      </c>
      <c r="N494" s="75" t="n">
        <v>0</v>
      </c>
      <c r="O494" s="75" t="n">
        <v>0</v>
      </c>
      <c r="P494" s="75" t="n">
        <v>0</v>
      </c>
      <c r="Q494" s="75" t="n">
        <v>0</v>
      </c>
      <c r="R494" s="75" t="n">
        <v>0</v>
      </c>
      <c r="S494" s="75" t="n">
        <v>0</v>
      </c>
      <c r="T494" s="75" t="n">
        <v>0</v>
      </c>
      <c r="U494" s="75" t="n">
        <v>0</v>
      </c>
      <c r="V494" s="75" t="n">
        <v>0</v>
      </c>
      <c r="W494" s="75" t="n">
        <v>0</v>
      </c>
      <c r="X494" s="76" t="n">
        <v>0</v>
      </c>
      <c r="Y494" s="77" t="s">
        <v>20</v>
      </c>
      <c r="Z494" s="78" t="n">
        <f aca="false">SUM(AA494:AL494)</f>
        <v>0</v>
      </c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6"/>
      <c r="AM494" s="56" t="s">
        <v>20</v>
      </c>
      <c r="AN494" s="80" t="n">
        <f aca="false">IF(L494=0,0,Z494/L494)</f>
        <v>0</v>
      </c>
      <c r="AO494" s="81" t="str">
        <f aca="false">IF(AN494="","",IF(AN494&gt;=0.9,"🟢",IF(AN494&gt;=0.7,"🟡",IF(AN494&gt;=0.5,"🟠","🔴"))))</f>
        <v>🔴</v>
      </c>
      <c r="AP494" s="82" t="n">
        <f aca="false">IF(L494=0,0,L494-Z494)</f>
        <v>0</v>
      </c>
      <c r="AQ494" s="83" t="str">
        <f aca="false">IF(AP494=0,"",RANK(AP494,AP$4:AP$503,0))</f>
        <v/>
      </c>
      <c r="AR494" s="84" t="s">
        <v>20</v>
      </c>
      <c r="AS494" s="141"/>
      <c r="AT494" s="141"/>
      <c r="AU494" s="141"/>
      <c r="AV494" s="141"/>
      <c r="AW494" s="141"/>
      <c r="AX494" s="141"/>
      <c r="AY494" s="142"/>
      <c r="AZ494" s="142"/>
      <c r="BA494" s="56" t="s">
        <v>20</v>
      </c>
      <c r="BB494" s="91" t="n">
        <f aca="false">SUM(L$4:L$503)/COUNTA(A$4:A$503)</f>
        <v>9494.39992</v>
      </c>
      <c r="BC494" s="92" t="n">
        <f aca="false">SUM(M$4:M$503)/COUNTA(A$4:A$503)</f>
        <v>667.20008</v>
      </c>
      <c r="BD494" s="92" t="n">
        <f aca="false">SUM(N$4:N$503)/COUNTA(A$4:A$503)</f>
        <v>697.19996</v>
      </c>
      <c r="BE494" s="92" t="n">
        <f aca="false">SUM(O$4:O$503)/COUNTA(A$4:A$503)</f>
        <v>713.9999</v>
      </c>
      <c r="BF494" s="92" t="n">
        <f aca="false">SUM(P$4:P$503)/COUNTA(A$4:A$503)</f>
        <v>732.59984</v>
      </c>
      <c r="BG494" s="92" t="n">
        <f aca="false">SUM(Q$4:Q$503)/COUNTA(A$4:A$503)</f>
        <v>756.59992</v>
      </c>
      <c r="BH494" s="92" t="n">
        <f aca="false">SUM(R$4:R$503)/COUNTA(A$4:A$503)</f>
        <v>776.40004</v>
      </c>
      <c r="BI494" s="92" t="n">
        <f aca="false">SUM(S$4:S$503)/COUNTA(A$4:A$503)</f>
        <v>806.40012</v>
      </c>
      <c r="BJ494" s="92" t="n">
        <f aca="false">SUM(T$4:T$503)/COUNTA(A$4:A$503)</f>
        <v>826.1999</v>
      </c>
      <c r="BK494" s="92" t="n">
        <f aca="false">SUM(U$4:U$503)/COUNTA(A$4:A$503)</f>
        <v>844.8002</v>
      </c>
      <c r="BL494" s="92" t="n">
        <f aca="false">SUM(V$4:V$503)/COUNTA(A$4:A$503)</f>
        <v>865.7998</v>
      </c>
      <c r="BM494" s="92" t="n">
        <f aca="false">SUM(W$4:W$503)/COUNTA(A$4:A$503)</f>
        <v>888.59982</v>
      </c>
      <c r="BN494" s="93" t="n">
        <f aca="false">SUM(X$4:X$503)/COUNTA(A$4:A$503)</f>
        <v>918.60034</v>
      </c>
      <c r="BO494" s="94" t="s">
        <v>20</v>
      </c>
      <c r="BP494" s="91" t="n">
        <f aca="false">IF(Z494&gt;=BB494,0,IFERROR(BB494+(SUMPRODUCT((Z$4:Z$503&gt;=BB$4:BB$503)*(Z$4:Z$503-BB$4:BB$503))/MAX(1,COUNTIF(Z$4:Z$503,"&lt;"&amp;BB494+0.01))),BB494))</f>
        <v>10695.5432177778</v>
      </c>
      <c r="BQ494" s="92" t="n">
        <f aca="false">IF(AA494&gt;=BC494,0,IFERROR(BC494+SUMPRODUCT((AA$4:AA$503&gt;=BC$4:BC$503)*(AA$4:AA$503-BC$4:BC$503))/MAX(1,COUNTIF(AA$4:AA$503,"&lt;"&amp;BC494+0.01)),BC494))</f>
        <v>2238.46589176471</v>
      </c>
      <c r="BR494" s="92" t="n">
        <f aca="false">IF(AB494&gt;=BD494,0,IFERROR(BD494+SUMPRODUCT((AB$4:AB$503&gt;=BD$4:BD$503)*(AB$4:AB$503-BD$4:BD$503))/MAX(1,COUNTIF(AB$4:AB$503,"&lt;"&amp;BD494+0.01)),BD494))</f>
        <v>3335.2938</v>
      </c>
      <c r="BS494" s="92" t="n">
        <f aca="false">IF(AC494&gt;=BE494,0,IFERROR(BE494+SUMPRODUCT((AC$4:AC$503&gt;=BE$4:BE$503)*(AC$4:AC$503-BE$4:BE$503))/MAX(1,COUNTIF(AC$4:AC$503,"&lt;"&amp;BE494+0.01)),BE494))</f>
        <v>6188.73352</v>
      </c>
      <c r="BT494" s="92" t="n">
        <f aca="false">IF(AD494&gt;=BF494,0,IFERROR(BF494+SUMPRODUCT((AD$4:AD$503&gt;=BF$4:BF$503)*(AD$4:AD$503-BF$4:BF$503))/MAX(1,COUNTIF(AD$4:AD$503,"&lt;"&amp;BF494+0.01)),BF494))</f>
        <v>11354.35411</v>
      </c>
      <c r="BU494" s="92" t="n">
        <f aca="false">IF(AE494&gt;=BG494,0,IFERROR(BG494+SUMPRODUCT((AE$4:AE$503&gt;=BG$4:BG$503)*(AE$4:AE$503-BG$4:BG$503))/MAX(1,COUNTIF(AE$4:AE$503,"&lt;"&amp;BG494+0.01)),BG494))</f>
        <v>7704.85920380952</v>
      </c>
      <c r="BV494" s="92" t="n">
        <f aca="false">IF(AF494&gt;=BH494,0,IFERROR(BH494+SUMPRODUCT((AF$4:AF$503&gt;=BH$4:BH$503)*(AF$4:AF$503-BH$4:BH$503))/MAX(1,COUNTIF(AF$4:AF$503,"&lt;"&amp;BH494+0.01)),BH494))</f>
        <v>9942.6503831579</v>
      </c>
      <c r="BW494" s="92" t="n">
        <f aca="false">IF(AG494&gt;=BI494,0,IFERROR(BI494+SUMPRODUCT((AG$4:AG$503&gt;=BI$4:BI$503)*(AG$4:AG$503-BI$4:BI$503))/MAX(1,COUNTIF(AG$4:AG$503,"&lt;"&amp;BI494+0.01)),BI494))</f>
        <v>9142.15870461538</v>
      </c>
      <c r="BX494" s="92" t="n">
        <f aca="false">IF(AH494&gt;=BJ494,0,IFERROR(BJ494+SUMPRODUCT((AH$4:AH$503&gt;=BJ$4:BJ$503)*(AH$4:AH$503-BJ$4:BJ$503))/MAX(1,COUNTIF(AH$4:AH$503,"&lt;"&amp;BJ494+0.01)),BJ494))</f>
        <v>5621.50263448276</v>
      </c>
      <c r="BY494" s="92" t="n">
        <f aca="false">IF(AI494&gt;=BK494,0,IFERROR(BK494+SUMPRODUCT((AI$4:AI$503&gt;=BK$4:BK$503)*(AI$4:AI$503-BK$4:BK$503))/MAX(1,COUNTIF(AI$4:AI$503,"&lt;"&amp;BK494+0.01)),BK494))</f>
        <v>7878.25652380952</v>
      </c>
      <c r="BZ494" s="92" t="n">
        <f aca="false">IF(AJ494&gt;=BL494,0,IFERROR(BL494+SUMPRODUCT((AJ$4:AJ$503&gt;=BL$4:BL$503)*(AJ$4:AJ$503-BL$4:BL$503))/MAX(1,COUNTIF(AJ$4:AJ$503,"&lt;"&amp;BL494+0.01)),BL494))</f>
        <v>6710.03292307692</v>
      </c>
      <c r="CA494" s="92" t="n">
        <f aca="false">IF(AK494&gt;=BM494,0,IFERROR(BM494+SUMPRODUCT((AK$4:AK$503&gt;=BM$4:BM$503)*(AK$4:AK$503-BM$4:BM$503))/MAX(1,COUNTIF(AK$4:AK$503,"&lt;"&amp;BM494+0.01)),BM494))</f>
        <v>7314.89836842105</v>
      </c>
      <c r="CB494" s="93" t="n">
        <f aca="false">IF(AL494&gt;=BN494,0,IFERROR(BN494+SUMPRODUCT((AL$4:AL$503&gt;=BN$4:BN$503)*(AL$4:AL$503-BN$4:BN$503))/MAX(1,COUNTIF(AL$4:AL$503,"&lt;"&amp;BN494+0.01)),BN494))</f>
        <v>3597.2614925</v>
      </c>
      <c r="CC494" s="95" t="str">
        <f aca="false">IF(AO494="🟢","VERDE",IF(AO494="🟡","AMARELO",IF(AO494="🟠","VERMELHO",IF(AO494="🔴","VERMELHO","ROXO"))))</f>
        <v>VERMELHO</v>
      </c>
      <c r="CD494" s="96" t="s">
        <v>176</v>
      </c>
      <c r="CE494" s="96" t="s">
        <v>124</v>
      </c>
    </row>
    <row r="495" customFormat="false" ht="14.25" hidden="false" customHeight="true" outlineLevel="0" collapsed="false">
      <c r="A495" s="65" t="n">
        <v>15737471000154</v>
      </c>
      <c r="B495" s="66" t="s">
        <v>1112</v>
      </c>
      <c r="C495" s="66" t="s">
        <v>110</v>
      </c>
      <c r="D495" s="68" t="s">
        <v>184</v>
      </c>
      <c r="E495" s="69" t="s">
        <v>146</v>
      </c>
      <c r="F495" s="70" t="n">
        <f aca="false">IFERROR(VLOOKUP(C495,$AS$3:$AT$10,2,FALSE()),IFERROR(VLOOKUP(C495,$AS$15:$AT$22,2,FALSE()),""))</f>
        <v>15</v>
      </c>
      <c r="G495" s="71" t="n">
        <f aca="false">IFERROR(VLOOKUP(C495,$AS$3:$AX$10,6,FALSE()),IFERROR(VLOOKUP(C495,$AS$15:$AX$22,6,FALSE()),""))</f>
        <v>0.621111876107332</v>
      </c>
      <c r="H495" s="72" t="str">
        <f aca="false">IFERROR(VLOOKUP(C495,$AS$3:$AY$10,7,FALSE()),IFERROR(VLOOKUP(C495,$AS$15:$AY$22,7,FALSE()),""))</f>
        <v>🟢 VERDE</v>
      </c>
      <c r="I495" s="72" t="str">
        <f aca="false">IFERROR(VLOOKUP(C495,$AS$3:$AZ$10,8,FALSE()),IFERROR(VLOOKUP(C495,$AS$15:$AZ$22,8,FALSE()),""))</f>
        <v>JBP</v>
      </c>
      <c r="J495" s="73"/>
      <c r="K495" s="69" t="s">
        <v>145</v>
      </c>
      <c r="L495" s="74" t="n">
        <v>0</v>
      </c>
      <c r="M495" s="75" t="n">
        <v>0</v>
      </c>
      <c r="N495" s="75" t="n">
        <v>0</v>
      </c>
      <c r="O495" s="75" t="n">
        <v>0</v>
      </c>
      <c r="P495" s="75" t="n">
        <v>0</v>
      </c>
      <c r="Q495" s="75" t="n">
        <v>0</v>
      </c>
      <c r="R495" s="75" t="n">
        <v>0</v>
      </c>
      <c r="S495" s="75" t="n">
        <v>0</v>
      </c>
      <c r="T495" s="75" t="n">
        <v>0</v>
      </c>
      <c r="U495" s="75" t="n">
        <v>0</v>
      </c>
      <c r="V495" s="75" t="n">
        <v>0</v>
      </c>
      <c r="W495" s="75" t="n">
        <v>0</v>
      </c>
      <c r="X495" s="76" t="n">
        <v>0</v>
      </c>
      <c r="Y495" s="77" t="s">
        <v>20</v>
      </c>
      <c r="Z495" s="78" t="n">
        <f aca="false">SUM(AA495:AL495)</f>
        <v>0</v>
      </c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6"/>
      <c r="AM495" s="56" t="s">
        <v>20</v>
      </c>
      <c r="AN495" s="80" t="n">
        <f aca="false">IF(L495=0,0,Z495/L495)</f>
        <v>0</v>
      </c>
      <c r="AO495" s="81" t="str">
        <f aca="false">IF(AN495="","",IF(AN495&gt;=0.9,"🟢",IF(AN495&gt;=0.7,"🟡",IF(AN495&gt;=0.5,"🟠","🔴"))))</f>
        <v>🔴</v>
      </c>
      <c r="AP495" s="82" t="n">
        <f aca="false">IF(L495=0,0,L495-Z495)</f>
        <v>0</v>
      </c>
      <c r="AQ495" s="83" t="str">
        <f aca="false">IF(AP495=0,"",RANK(AP495,AP$4:AP$503,0))</f>
        <v/>
      </c>
      <c r="AR495" s="84" t="s">
        <v>20</v>
      </c>
      <c r="AS495" s="141"/>
      <c r="AT495" s="141"/>
      <c r="AU495" s="141"/>
      <c r="AV495" s="141"/>
      <c r="AW495" s="141"/>
      <c r="AX495" s="141"/>
      <c r="AY495" s="142"/>
      <c r="AZ495" s="142"/>
      <c r="BA495" s="56" t="s">
        <v>20</v>
      </c>
      <c r="BB495" s="91" t="n">
        <f aca="false">SUM(L$4:L$503)/COUNTA(A$4:A$503)</f>
        <v>9494.39992</v>
      </c>
      <c r="BC495" s="92" t="n">
        <f aca="false">SUM(M$4:M$503)/COUNTA(A$4:A$503)</f>
        <v>667.20008</v>
      </c>
      <c r="BD495" s="92" t="n">
        <f aca="false">SUM(N$4:N$503)/COUNTA(A$4:A$503)</f>
        <v>697.19996</v>
      </c>
      <c r="BE495" s="92" t="n">
        <f aca="false">SUM(O$4:O$503)/COUNTA(A$4:A$503)</f>
        <v>713.9999</v>
      </c>
      <c r="BF495" s="92" t="n">
        <f aca="false">SUM(P$4:P$503)/COUNTA(A$4:A$503)</f>
        <v>732.59984</v>
      </c>
      <c r="BG495" s="92" t="n">
        <f aca="false">SUM(Q$4:Q$503)/COUNTA(A$4:A$503)</f>
        <v>756.59992</v>
      </c>
      <c r="BH495" s="92" t="n">
        <f aca="false">SUM(R$4:R$503)/COUNTA(A$4:A$503)</f>
        <v>776.40004</v>
      </c>
      <c r="BI495" s="92" t="n">
        <f aca="false">SUM(S$4:S$503)/COUNTA(A$4:A$503)</f>
        <v>806.40012</v>
      </c>
      <c r="BJ495" s="92" t="n">
        <f aca="false">SUM(T$4:T$503)/COUNTA(A$4:A$503)</f>
        <v>826.1999</v>
      </c>
      <c r="BK495" s="92" t="n">
        <f aca="false">SUM(U$4:U$503)/COUNTA(A$4:A$503)</f>
        <v>844.8002</v>
      </c>
      <c r="BL495" s="92" t="n">
        <f aca="false">SUM(V$4:V$503)/COUNTA(A$4:A$503)</f>
        <v>865.7998</v>
      </c>
      <c r="BM495" s="92" t="n">
        <f aca="false">SUM(W$4:W$503)/COUNTA(A$4:A$503)</f>
        <v>888.59982</v>
      </c>
      <c r="BN495" s="93" t="n">
        <f aca="false">SUM(X$4:X$503)/COUNTA(A$4:A$503)</f>
        <v>918.60034</v>
      </c>
      <c r="BO495" s="94" t="s">
        <v>20</v>
      </c>
      <c r="BP495" s="91" t="n">
        <f aca="false">IF(Z495&gt;=BB495,0,IFERROR(BB495+(SUMPRODUCT((Z$4:Z$503&gt;=BB$4:BB$503)*(Z$4:Z$503-BB$4:BB$503))/MAX(1,COUNTIF(Z$4:Z$503,"&lt;"&amp;BB495+0.01))),BB495))</f>
        <v>10695.5432177778</v>
      </c>
      <c r="BQ495" s="92" t="n">
        <f aca="false">IF(AA495&gt;=BC495,0,IFERROR(BC495+SUMPRODUCT((AA$4:AA$503&gt;=BC$4:BC$503)*(AA$4:AA$503-BC$4:BC$503))/MAX(1,COUNTIF(AA$4:AA$503,"&lt;"&amp;BC495+0.01)),BC495))</f>
        <v>2238.46589176471</v>
      </c>
      <c r="BR495" s="92" t="n">
        <f aca="false">IF(AB495&gt;=BD495,0,IFERROR(BD495+SUMPRODUCT((AB$4:AB$503&gt;=BD$4:BD$503)*(AB$4:AB$503-BD$4:BD$503))/MAX(1,COUNTIF(AB$4:AB$503,"&lt;"&amp;BD495+0.01)),BD495))</f>
        <v>3335.2938</v>
      </c>
      <c r="BS495" s="92" t="n">
        <f aca="false">IF(AC495&gt;=BE495,0,IFERROR(BE495+SUMPRODUCT((AC$4:AC$503&gt;=BE$4:BE$503)*(AC$4:AC$503-BE$4:BE$503))/MAX(1,COUNTIF(AC$4:AC$503,"&lt;"&amp;BE495+0.01)),BE495))</f>
        <v>6188.73352</v>
      </c>
      <c r="BT495" s="92" t="n">
        <f aca="false">IF(AD495&gt;=BF495,0,IFERROR(BF495+SUMPRODUCT((AD$4:AD$503&gt;=BF$4:BF$503)*(AD$4:AD$503-BF$4:BF$503))/MAX(1,COUNTIF(AD$4:AD$503,"&lt;"&amp;BF495+0.01)),BF495))</f>
        <v>11354.35411</v>
      </c>
      <c r="BU495" s="92" t="n">
        <f aca="false">IF(AE495&gt;=BG495,0,IFERROR(BG495+SUMPRODUCT((AE$4:AE$503&gt;=BG$4:BG$503)*(AE$4:AE$503-BG$4:BG$503))/MAX(1,COUNTIF(AE$4:AE$503,"&lt;"&amp;BG495+0.01)),BG495))</f>
        <v>7704.85920380952</v>
      </c>
      <c r="BV495" s="92" t="n">
        <f aca="false">IF(AF495&gt;=BH495,0,IFERROR(BH495+SUMPRODUCT((AF$4:AF$503&gt;=BH$4:BH$503)*(AF$4:AF$503-BH$4:BH$503))/MAX(1,COUNTIF(AF$4:AF$503,"&lt;"&amp;BH495+0.01)),BH495))</f>
        <v>9942.6503831579</v>
      </c>
      <c r="BW495" s="92" t="n">
        <f aca="false">IF(AG495&gt;=BI495,0,IFERROR(BI495+SUMPRODUCT((AG$4:AG$503&gt;=BI$4:BI$503)*(AG$4:AG$503-BI$4:BI$503))/MAX(1,COUNTIF(AG$4:AG$503,"&lt;"&amp;BI495+0.01)),BI495))</f>
        <v>9142.15870461538</v>
      </c>
      <c r="BX495" s="92" t="n">
        <f aca="false">IF(AH495&gt;=BJ495,0,IFERROR(BJ495+SUMPRODUCT((AH$4:AH$503&gt;=BJ$4:BJ$503)*(AH$4:AH$503-BJ$4:BJ$503))/MAX(1,COUNTIF(AH$4:AH$503,"&lt;"&amp;BJ495+0.01)),BJ495))</f>
        <v>5621.50263448276</v>
      </c>
      <c r="BY495" s="92" t="n">
        <f aca="false">IF(AI495&gt;=BK495,0,IFERROR(BK495+SUMPRODUCT((AI$4:AI$503&gt;=BK$4:BK$503)*(AI$4:AI$503-BK$4:BK$503))/MAX(1,COUNTIF(AI$4:AI$503,"&lt;"&amp;BK495+0.01)),BK495))</f>
        <v>7878.25652380952</v>
      </c>
      <c r="BZ495" s="92" t="n">
        <f aca="false">IF(AJ495&gt;=BL495,0,IFERROR(BL495+SUMPRODUCT((AJ$4:AJ$503&gt;=BL$4:BL$503)*(AJ$4:AJ$503-BL$4:BL$503))/MAX(1,COUNTIF(AJ$4:AJ$503,"&lt;"&amp;BL495+0.01)),BL495))</f>
        <v>6710.03292307692</v>
      </c>
      <c r="CA495" s="92" t="n">
        <f aca="false">IF(AK495&gt;=BM495,0,IFERROR(BM495+SUMPRODUCT((AK$4:AK$503&gt;=BM$4:BM$503)*(AK$4:AK$503-BM$4:BM$503))/MAX(1,COUNTIF(AK$4:AK$503,"&lt;"&amp;BM495+0.01)),BM495))</f>
        <v>7314.89836842105</v>
      </c>
      <c r="CB495" s="93" t="n">
        <f aca="false">IF(AL495&gt;=BN495,0,IFERROR(BN495+SUMPRODUCT((AL$4:AL$503&gt;=BN$4:BN$503)*(AL$4:AL$503-BN$4:BN$503))/MAX(1,COUNTIF(AL$4:AL$503,"&lt;"&amp;BN495+0.01)),BN495))</f>
        <v>3597.2614925</v>
      </c>
      <c r="CC495" s="95" t="str">
        <f aca="false">IF(AO495="🟢","VERDE",IF(AO495="🟡","AMARELO",IF(AO495="🟠","VERMELHO",IF(AO495="🔴","VERMELHO","ROXO"))))</f>
        <v>VERMELHO</v>
      </c>
      <c r="CD495" s="96" t="s">
        <v>176</v>
      </c>
      <c r="CE495" s="96" t="s">
        <v>110</v>
      </c>
    </row>
    <row r="496" customFormat="false" ht="14.25" hidden="false" customHeight="true" outlineLevel="0" collapsed="false">
      <c r="A496" s="65" t="n">
        <v>23395636000509</v>
      </c>
      <c r="B496" s="66" t="s">
        <v>1113</v>
      </c>
      <c r="C496" s="66" t="s">
        <v>124</v>
      </c>
      <c r="D496" s="68" t="s">
        <v>184</v>
      </c>
      <c r="E496" s="69" t="s">
        <v>1114</v>
      </c>
      <c r="F496" s="70" t="n">
        <f aca="false">IFERROR(VLOOKUP(C496,$AS$3:$AT$10,2,FALSE()),IFERROR(VLOOKUP(C496,$AS$15:$AT$22,2,FALSE()),""))</f>
        <v>7</v>
      </c>
      <c r="G496" s="71" t="n">
        <f aca="false">IFERROR(VLOOKUP(C496,$AS$3:$AX$10,6,FALSE()),IFERROR(VLOOKUP(C496,$AS$15:$AX$22,6,FALSE()),""))</f>
        <v>0.421338416191415</v>
      </c>
      <c r="H496" s="72" t="str">
        <f aca="false">IFERROR(VLOOKUP(C496,$AS$3:$AY$10,7,FALSE()),IFERROR(VLOOKUP(C496,$AS$15:$AY$22,7,FALSE()),""))</f>
        <v>🟡 AMARELO</v>
      </c>
      <c r="I496" s="72" t="str">
        <f aca="false">IFERROR(VLOOKUP(C496,$AS$3:$AZ$10,8,FALSE()),IFERROR(VLOOKUP(C496,$AS$15:$AZ$22,8,FALSE()),""))</f>
        <v>Sell Out</v>
      </c>
      <c r="J496" s="73"/>
      <c r="K496" s="69" t="s">
        <v>145</v>
      </c>
      <c r="L496" s="74" t="n">
        <v>0</v>
      </c>
      <c r="M496" s="75" t="n">
        <v>0</v>
      </c>
      <c r="N496" s="75" t="n">
        <v>0</v>
      </c>
      <c r="O496" s="75" t="n">
        <v>0</v>
      </c>
      <c r="P496" s="75" t="n">
        <v>0</v>
      </c>
      <c r="Q496" s="75" t="n">
        <v>0</v>
      </c>
      <c r="R496" s="75" t="n">
        <v>0</v>
      </c>
      <c r="S496" s="75" t="n">
        <v>0</v>
      </c>
      <c r="T496" s="75" t="n">
        <v>0</v>
      </c>
      <c r="U496" s="75" t="n">
        <v>0</v>
      </c>
      <c r="V496" s="75" t="n">
        <v>0</v>
      </c>
      <c r="W496" s="75" t="n">
        <v>0</v>
      </c>
      <c r="X496" s="76" t="n">
        <v>0</v>
      </c>
      <c r="Y496" s="77" t="s">
        <v>20</v>
      </c>
      <c r="Z496" s="78" t="n">
        <f aca="false">SUM(AA496:AL496)</f>
        <v>0</v>
      </c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6"/>
      <c r="AM496" s="56" t="s">
        <v>20</v>
      </c>
      <c r="AN496" s="80" t="n">
        <f aca="false">IF(L496=0,0,Z496/L496)</f>
        <v>0</v>
      </c>
      <c r="AO496" s="81" t="str">
        <f aca="false">IF(AN496="","",IF(AN496&gt;=0.9,"🟢",IF(AN496&gt;=0.7,"🟡",IF(AN496&gt;=0.5,"🟠","🔴"))))</f>
        <v>🔴</v>
      </c>
      <c r="AP496" s="82" t="n">
        <f aca="false">IF(L496=0,0,L496-Z496)</f>
        <v>0</v>
      </c>
      <c r="AQ496" s="83" t="str">
        <f aca="false">IF(AP496=0,"",RANK(AP496,AP$4:AP$503,0))</f>
        <v/>
      </c>
      <c r="AR496" s="84" t="s">
        <v>20</v>
      </c>
      <c r="AS496" s="141"/>
      <c r="AT496" s="141"/>
      <c r="AU496" s="141"/>
      <c r="AV496" s="141"/>
      <c r="AW496" s="141"/>
      <c r="AX496" s="141"/>
      <c r="AY496" s="142"/>
      <c r="AZ496" s="142"/>
      <c r="BA496" s="56" t="s">
        <v>20</v>
      </c>
      <c r="BB496" s="91" t="n">
        <f aca="false">SUM(L$4:L$503)/COUNTA(A$4:A$503)</f>
        <v>9494.39992</v>
      </c>
      <c r="BC496" s="92" t="n">
        <f aca="false">SUM(M$4:M$503)/COUNTA(A$4:A$503)</f>
        <v>667.20008</v>
      </c>
      <c r="BD496" s="92" t="n">
        <f aca="false">SUM(N$4:N$503)/COUNTA(A$4:A$503)</f>
        <v>697.19996</v>
      </c>
      <c r="BE496" s="92" t="n">
        <f aca="false">SUM(O$4:O$503)/COUNTA(A$4:A$503)</f>
        <v>713.9999</v>
      </c>
      <c r="BF496" s="92" t="n">
        <f aca="false">SUM(P$4:P$503)/COUNTA(A$4:A$503)</f>
        <v>732.59984</v>
      </c>
      <c r="BG496" s="92" t="n">
        <f aca="false">SUM(Q$4:Q$503)/COUNTA(A$4:A$503)</f>
        <v>756.59992</v>
      </c>
      <c r="BH496" s="92" t="n">
        <f aca="false">SUM(R$4:R$503)/COUNTA(A$4:A$503)</f>
        <v>776.40004</v>
      </c>
      <c r="BI496" s="92" t="n">
        <f aca="false">SUM(S$4:S$503)/COUNTA(A$4:A$503)</f>
        <v>806.40012</v>
      </c>
      <c r="BJ496" s="92" t="n">
        <f aca="false">SUM(T$4:T$503)/COUNTA(A$4:A$503)</f>
        <v>826.1999</v>
      </c>
      <c r="BK496" s="92" t="n">
        <f aca="false">SUM(U$4:U$503)/COUNTA(A$4:A$503)</f>
        <v>844.8002</v>
      </c>
      <c r="BL496" s="92" t="n">
        <f aca="false">SUM(V$4:V$503)/COUNTA(A$4:A$503)</f>
        <v>865.7998</v>
      </c>
      <c r="BM496" s="92" t="n">
        <f aca="false">SUM(W$4:W$503)/COUNTA(A$4:A$503)</f>
        <v>888.59982</v>
      </c>
      <c r="BN496" s="93" t="n">
        <f aca="false">SUM(X$4:X$503)/COUNTA(A$4:A$503)</f>
        <v>918.60034</v>
      </c>
      <c r="BO496" s="94" t="s">
        <v>20</v>
      </c>
      <c r="BP496" s="91" t="n">
        <f aca="false">IF(Z496&gt;=BB496,0,IFERROR(BB496+(SUMPRODUCT((Z$4:Z$503&gt;=BB$4:BB$503)*(Z$4:Z$503-BB$4:BB$503))/MAX(1,COUNTIF(Z$4:Z$503,"&lt;"&amp;BB496+0.01))),BB496))</f>
        <v>10695.5432177778</v>
      </c>
      <c r="BQ496" s="92" t="n">
        <f aca="false">IF(AA496&gt;=BC496,0,IFERROR(BC496+SUMPRODUCT((AA$4:AA$503&gt;=BC$4:BC$503)*(AA$4:AA$503-BC$4:BC$503))/MAX(1,COUNTIF(AA$4:AA$503,"&lt;"&amp;BC496+0.01)),BC496))</f>
        <v>2238.46589176471</v>
      </c>
      <c r="BR496" s="92" t="n">
        <f aca="false">IF(AB496&gt;=BD496,0,IFERROR(BD496+SUMPRODUCT((AB$4:AB$503&gt;=BD$4:BD$503)*(AB$4:AB$503-BD$4:BD$503))/MAX(1,COUNTIF(AB$4:AB$503,"&lt;"&amp;BD496+0.01)),BD496))</f>
        <v>3335.2938</v>
      </c>
      <c r="BS496" s="92" t="n">
        <f aca="false">IF(AC496&gt;=BE496,0,IFERROR(BE496+SUMPRODUCT((AC$4:AC$503&gt;=BE$4:BE$503)*(AC$4:AC$503-BE$4:BE$503))/MAX(1,COUNTIF(AC$4:AC$503,"&lt;"&amp;BE496+0.01)),BE496))</f>
        <v>6188.73352</v>
      </c>
      <c r="BT496" s="92" t="n">
        <f aca="false">IF(AD496&gt;=BF496,0,IFERROR(BF496+SUMPRODUCT((AD$4:AD$503&gt;=BF$4:BF$503)*(AD$4:AD$503-BF$4:BF$503))/MAX(1,COUNTIF(AD$4:AD$503,"&lt;"&amp;BF496+0.01)),BF496))</f>
        <v>11354.35411</v>
      </c>
      <c r="BU496" s="92" t="n">
        <f aca="false">IF(AE496&gt;=BG496,0,IFERROR(BG496+SUMPRODUCT((AE$4:AE$503&gt;=BG$4:BG$503)*(AE$4:AE$503-BG$4:BG$503))/MAX(1,COUNTIF(AE$4:AE$503,"&lt;"&amp;BG496+0.01)),BG496))</f>
        <v>7704.85920380952</v>
      </c>
      <c r="BV496" s="92" t="n">
        <f aca="false">IF(AF496&gt;=BH496,0,IFERROR(BH496+SUMPRODUCT((AF$4:AF$503&gt;=BH$4:BH$503)*(AF$4:AF$503-BH$4:BH$503))/MAX(1,COUNTIF(AF$4:AF$503,"&lt;"&amp;BH496+0.01)),BH496))</f>
        <v>9942.6503831579</v>
      </c>
      <c r="BW496" s="92" t="n">
        <f aca="false">IF(AG496&gt;=BI496,0,IFERROR(BI496+SUMPRODUCT((AG$4:AG$503&gt;=BI$4:BI$503)*(AG$4:AG$503-BI$4:BI$503))/MAX(1,COUNTIF(AG$4:AG$503,"&lt;"&amp;BI496+0.01)),BI496))</f>
        <v>9142.15870461538</v>
      </c>
      <c r="BX496" s="92" t="n">
        <f aca="false">IF(AH496&gt;=BJ496,0,IFERROR(BJ496+SUMPRODUCT((AH$4:AH$503&gt;=BJ$4:BJ$503)*(AH$4:AH$503-BJ$4:BJ$503))/MAX(1,COUNTIF(AH$4:AH$503,"&lt;"&amp;BJ496+0.01)),BJ496))</f>
        <v>5621.50263448276</v>
      </c>
      <c r="BY496" s="92" t="n">
        <f aca="false">IF(AI496&gt;=BK496,0,IFERROR(BK496+SUMPRODUCT((AI$4:AI$503&gt;=BK$4:BK$503)*(AI$4:AI$503-BK$4:BK$503))/MAX(1,COUNTIF(AI$4:AI$503,"&lt;"&amp;BK496+0.01)),BK496))</f>
        <v>7878.25652380952</v>
      </c>
      <c r="BZ496" s="92" t="n">
        <f aca="false">IF(AJ496&gt;=BL496,0,IFERROR(BL496+SUMPRODUCT((AJ$4:AJ$503&gt;=BL$4:BL$503)*(AJ$4:AJ$503-BL$4:BL$503))/MAX(1,COUNTIF(AJ$4:AJ$503,"&lt;"&amp;BL496+0.01)),BL496))</f>
        <v>6710.03292307692</v>
      </c>
      <c r="CA496" s="92" t="n">
        <f aca="false">IF(AK496&gt;=BM496,0,IFERROR(BM496+SUMPRODUCT((AK$4:AK$503&gt;=BM$4:BM$503)*(AK$4:AK$503-BM$4:BM$503))/MAX(1,COUNTIF(AK$4:AK$503,"&lt;"&amp;BM496+0.01)),BM496))</f>
        <v>7314.89836842105</v>
      </c>
      <c r="CB496" s="93" t="n">
        <f aca="false">IF(AL496&gt;=BN496,0,IFERROR(BN496+SUMPRODUCT((AL$4:AL$503&gt;=BN$4:BN$503)*(AL$4:AL$503-BN$4:BN$503))/MAX(1,COUNTIF(AL$4:AL$503,"&lt;"&amp;BN496+0.01)),BN496))</f>
        <v>3597.2614925</v>
      </c>
      <c r="CC496" s="95" t="str">
        <f aca="false">IF(AO496="🟢","VERDE",IF(AO496="🟡","AMARELO",IF(AO496="🟠","VERMELHO",IF(AO496="🔴","VERMELHO","ROXO"))))</f>
        <v>VERMELHO</v>
      </c>
      <c r="CD496" s="96" t="s">
        <v>176</v>
      </c>
      <c r="CE496" s="96" t="s">
        <v>124</v>
      </c>
    </row>
    <row r="497" customFormat="false" ht="14.25" hidden="false" customHeight="true" outlineLevel="0" collapsed="false">
      <c r="A497" s="65" t="n">
        <v>52728269000192</v>
      </c>
      <c r="B497" s="66" t="s">
        <v>1115</v>
      </c>
      <c r="C497" s="66" t="s">
        <v>124</v>
      </c>
      <c r="D497" s="68" t="s">
        <v>184</v>
      </c>
      <c r="E497" s="69" t="s">
        <v>127</v>
      </c>
      <c r="F497" s="70" t="n">
        <f aca="false">IFERROR(VLOOKUP(C497,$AS$3:$AT$10,2,FALSE()),IFERROR(VLOOKUP(C497,$AS$15:$AT$22,2,FALSE()),""))</f>
        <v>7</v>
      </c>
      <c r="G497" s="71" t="n">
        <f aca="false">IFERROR(VLOOKUP(C497,$AS$3:$AX$10,6,FALSE()),IFERROR(VLOOKUP(C497,$AS$15:$AX$22,6,FALSE()),""))</f>
        <v>0.421338416191415</v>
      </c>
      <c r="H497" s="72" t="str">
        <f aca="false">IFERROR(VLOOKUP(C497,$AS$3:$AY$10,7,FALSE()),IFERROR(VLOOKUP(C497,$AS$15:$AY$22,7,FALSE()),""))</f>
        <v>🟡 AMARELO</v>
      </c>
      <c r="I497" s="72" t="str">
        <f aca="false">IFERROR(VLOOKUP(C497,$AS$3:$AZ$10,8,FALSE()),IFERROR(VLOOKUP(C497,$AS$15:$AZ$22,8,FALSE()),""))</f>
        <v>Sell Out</v>
      </c>
      <c r="J497" s="73"/>
      <c r="K497" s="69" t="s">
        <v>99</v>
      </c>
      <c r="L497" s="74" t="n">
        <v>0</v>
      </c>
      <c r="M497" s="75" t="n">
        <v>0</v>
      </c>
      <c r="N497" s="75" t="n">
        <v>0</v>
      </c>
      <c r="O497" s="75" t="n">
        <v>0</v>
      </c>
      <c r="P497" s="75" t="n">
        <v>0</v>
      </c>
      <c r="Q497" s="75" t="n">
        <v>0</v>
      </c>
      <c r="R497" s="75" t="n">
        <v>0</v>
      </c>
      <c r="S497" s="75" t="n">
        <v>0</v>
      </c>
      <c r="T497" s="75" t="n">
        <v>0</v>
      </c>
      <c r="U497" s="75" t="n">
        <v>0</v>
      </c>
      <c r="V497" s="75" t="n">
        <v>0</v>
      </c>
      <c r="W497" s="75" t="n">
        <v>0</v>
      </c>
      <c r="X497" s="76" t="n">
        <v>0</v>
      </c>
      <c r="Y497" s="77" t="s">
        <v>20</v>
      </c>
      <c r="Z497" s="78" t="n">
        <f aca="false">SUM(AA497:AL497)</f>
        <v>0</v>
      </c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6"/>
      <c r="AM497" s="56" t="s">
        <v>20</v>
      </c>
      <c r="AN497" s="80" t="n">
        <f aca="false">IF(L497=0,0,Z497/L497)</f>
        <v>0</v>
      </c>
      <c r="AO497" s="81" t="str">
        <f aca="false">IF(AN497="","",IF(AN497&gt;=0.9,"🟢",IF(AN497&gt;=0.7,"🟡",IF(AN497&gt;=0.5,"🟠","🔴"))))</f>
        <v>🔴</v>
      </c>
      <c r="AP497" s="82" t="n">
        <f aca="false">IF(L497=0,0,L497-Z497)</f>
        <v>0</v>
      </c>
      <c r="AQ497" s="83" t="str">
        <f aca="false">IF(AP497=0,"",RANK(AP497,AP$4:AP$503,0))</f>
        <v/>
      </c>
      <c r="AR497" s="84" t="s">
        <v>20</v>
      </c>
      <c r="AS497" s="141"/>
      <c r="AT497" s="141"/>
      <c r="AU497" s="141"/>
      <c r="AV497" s="141"/>
      <c r="AW497" s="141"/>
      <c r="AX497" s="141"/>
      <c r="AY497" s="142"/>
      <c r="AZ497" s="142"/>
      <c r="BA497" s="56" t="s">
        <v>20</v>
      </c>
      <c r="BB497" s="91" t="n">
        <f aca="false">SUM(L$4:L$503)/COUNTA(A$4:A$503)</f>
        <v>9494.39992</v>
      </c>
      <c r="BC497" s="92" t="n">
        <f aca="false">SUM(M$4:M$503)/COUNTA(A$4:A$503)</f>
        <v>667.20008</v>
      </c>
      <c r="BD497" s="92" t="n">
        <f aca="false">SUM(N$4:N$503)/COUNTA(A$4:A$503)</f>
        <v>697.19996</v>
      </c>
      <c r="BE497" s="92" t="n">
        <f aca="false">SUM(O$4:O$503)/COUNTA(A$4:A$503)</f>
        <v>713.9999</v>
      </c>
      <c r="BF497" s="92" t="n">
        <f aca="false">SUM(P$4:P$503)/COUNTA(A$4:A$503)</f>
        <v>732.59984</v>
      </c>
      <c r="BG497" s="92" t="n">
        <f aca="false">SUM(Q$4:Q$503)/COUNTA(A$4:A$503)</f>
        <v>756.59992</v>
      </c>
      <c r="BH497" s="92" t="n">
        <f aca="false">SUM(R$4:R$503)/COUNTA(A$4:A$503)</f>
        <v>776.40004</v>
      </c>
      <c r="BI497" s="92" t="n">
        <f aca="false">SUM(S$4:S$503)/COUNTA(A$4:A$503)</f>
        <v>806.40012</v>
      </c>
      <c r="BJ497" s="92" t="n">
        <f aca="false">SUM(T$4:T$503)/COUNTA(A$4:A$503)</f>
        <v>826.1999</v>
      </c>
      <c r="BK497" s="92" t="n">
        <f aca="false">SUM(U$4:U$503)/COUNTA(A$4:A$503)</f>
        <v>844.8002</v>
      </c>
      <c r="BL497" s="92" t="n">
        <f aca="false">SUM(V$4:V$503)/COUNTA(A$4:A$503)</f>
        <v>865.7998</v>
      </c>
      <c r="BM497" s="92" t="n">
        <f aca="false">SUM(W$4:W$503)/COUNTA(A$4:A$503)</f>
        <v>888.59982</v>
      </c>
      <c r="BN497" s="93" t="n">
        <f aca="false">SUM(X$4:X$503)/COUNTA(A$4:A$503)</f>
        <v>918.60034</v>
      </c>
      <c r="BO497" s="94" t="s">
        <v>20</v>
      </c>
      <c r="BP497" s="91" t="n">
        <f aca="false">IF(Z497&gt;=BB497,0,IFERROR(BB497+(SUMPRODUCT((Z$4:Z$503&gt;=BB$4:BB$503)*(Z$4:Z$503-BB$4:BB$503))/MAX(1,COUNTIF(Z$4:Z$503,"&lt;"&amp;BB497+0.01))),BB497))</f>
        <v>10695.5432177778</v>
      </c>
      <c r="BQ497" s="92" t="n">
        <f aca="false">IF(AA497&gt;=BC497,0,IFERROR(BC497+SUMPRODUCT((AA$4:AA$503&gt;=BC$4:BC$503)*(AA$4:AA$503-BC$4:BC$503))/MAX(1,COUNTIF(AA$4:AA$503,"&lt;"&amp;BC497+0.01)),BC497))</f>
        <v>2238.46589176471</v>
      </c>
      <c r="BR497" s="92" t="n">
        <f aca="false">IF(AB497&gt;=BD497,0,IFERROR(BD497+SUMPRODUCT((AB$4:AB$503&gt;=BD$4:BD$503)*(AB$4:AB$503-BD$4:BD$503))/MAX(1,COUNTIF(AB$4:AB$503,"&lt;"&amp;BD497+0.01)),BD497))</f>
        <v>3335.2938</v>
      </c>
      <c r="BS497" s="92" t="n">
        <f aca="false">IF(AC497&gt;=BE497,0,IFERROR(BE497+SUMPRODUCT((AC$4:AC$503&gt;=BE$4:BE$503)*(AC$4:AC$503-BE$4:BE$503))/MAX(1,COUNTIF(AC$4:AC$503,"&lt;"&amp;BE497+0.01)),BE497))</f>
        <v>6188.73352</v>
      </c>
      <c r="BT497" s="92" t="n">
        <f aca="false">IF(AD497&gt;=BF497,0,IFERROR(BF497+SUMPRODUCT((AD$4:AD$503&gt;=BF$4:BF$503)*(AD$4:AD$503-BF$4:BF$503))/MAX(1,COUNTIF(AD$4:AD$503,"&lt;"&amp;BF497+0.01)),BF497))</f>
        <v>11354.35411</v>
      </c>
      <c r="BU497" s="92" t="n">
        <f aca="false">IF(AE497&gt;=BG497,0,IFERROR(BG497+SUMPRODUCT((AE$4:AE$503&gt;=BG$4:BG$503)*(AE$4:AE$503-BG$4:BG$503))/MAX(1,COUNTIF(AE$4:AE$503,"&lt;"&amp;BG497+0.01)),BG497))</f>
        <v>7704.85920380952</v>
      </c>
      <c r="BV497" s="92" t="n">
        <f aca="false">IF(AF497&gt;=BH497,0,IFERROR(BH497+SUMPRODUCT((AF$4:AF$503&gt;=BH$4:BH$503)*(AF$4:AF$503-BH$4:BH$503))/MAX(1,COUNTIF(AF$4:AF$503,"&lt;"&amp;BH497+0.01)),BH497))</f>
        <v>9942.6503831579</v>
      </c>
      <c r="BW497" s="92" t="n">
        <f aca="false">IF(AG497&gt;=BI497,0,IFERROR(BI497+SUMPRODUCT((AG$4:AG$503&gt;=BI$4:BI$503)*(AG$4:AG$503-BI$4:BI$503))/MAX(1,COUNTIF(AG$4:AG$503,"&lt;"&amp;BI497+0.01)),BI497))</f>
        <v>9142.15870461538</v>
      </c>
      <c r="BX497" s="92" t="n">
        <f aca="false">IF(AH497&gt;=BJ497,0,IFERROR(BJ497+SUMPRODUCT((AH$4:AH$503&gt;=BJ$4:BJ$503)*(AH$4:AH$503-BJ$4:BJ$503))/MAX(1,COUNTIF(AH$4:AH$503,"&lt;"&amp;BJ497+0.01)),BJ497))</f>
        <v>5621.50263448276</v>
      </c>
      <c r="BY497" s="92" t="n">
        <f aca="false">IF(AI497&gt;=BK497,0,IFERROR(BK497+SUMPRODUCT((AI$4:AI$503&gt;=BK$4:BK$503)*(AI$4:AI$503-BK$4:BK$503))/MAX(1,COUNTIF(AI$4:AI$503,"&lt;"&amp;BK497+0.01)),BK497))</f>
        <v>7878.25652380952</v>
      </c>
      <c r="BZ497" s="92" t="n">
        <f aca="false">IF(AJ497&gt;=BL497,0,IFERROR(BL497+SUMPRODUCT((AJ$4:AJ$503&gt;=BL$4:BL$503)*(AJ$4:AJ$503-BL$4:BL$503))/MAX(1,COUNTIF(AJ$4:AJ$503,"&lt;"&amp;BL497+0.01)),BL497))</f>
        <v>6710.03292307692</v>
      </c>
      <c r="CA497" s="92" t="n">
        <f aca="false">IF(AK497&gt;=BM497,0,IFERROR(BM497+SUMPRODUCT((AK$4:AK$503&gt;=BM$4:BM$503)*(AK$4:AK$503-BM$4:BM$503))/MAX(1,COUNTIF(AK$4:AK$503,"&lt;"&amp;BM497+0.01)),BM497))</f>
        <v>7314.89836842105</v>
      </c>
      <c r="CB497" s="93" t="n">
        <f aca="false">IF(AL497&gt;=BN497,0,IFERROR(BN497+SUMPRODUCT((AL$4:AL$503&gt;=BN$4:BN$503)*(AL$4:AL$503-BN$4:BN$503))/MAX(1,COUNTIF(AL$4:AL$503,"&lt;"&amp;BN497+0.01)),BN497))</f>
        <v>3597.2614925</v>
      </c>
      <c r="CC497" s="95" t="str">
        <f aca="false">IF(AO497="🟢","VERDE",IF(AO497="🟡","AMARELO",IF(AO497="🟠","VERMELHO",IF(AO497="🔴","VERMELHO","ROXO"))))</f>
        <v>VERMELHO</v>
      </c>
      <c r="CD497" s="96" t="s">
        <v>176</v>
      </c>
      <c r="CE497" s="96" t="s">
        <v>124</v>
      </c>
    </row>
    <row r="498" customFormat="false" ht="14.25" hidden="false" customHeight="true" outlineLevel="0" collapsed="false">
      <c r="A498" s="65" t="n">
        <v>41371321000180</v>
      </c>
      <c r="B498" s="66" t="s">
        <v>1116</v>
      </c>
      <c r="C498" s="66" t="s">
        <v>110</v>
      </c>
      <c r="D498" s="68" t="s">
        <v>184</v>
      </c>
      <c r="E498" s="69" t="s">
        <v>935</v>
      </c>
      <c r="F498" s="70" t="n">
        <f aca="false">IFERROR(VLOOKUP(C498,$AS$3:$AT$10,2,FALSE()),IFERROR(VLOOKUP(C498,$AS$15:$AT$22,2,FALSE()),""))</f>
        <v>15</v>
      </c>
      <c r="G498" s="71" t="n">
        <f aca="false">IFERROR(VLOOKUP(C498,$AS$3:$AX$10,6,FALSE()),IFERROR(VLOOKUP(C498,$AS$15:$AX$22,6,FALSE()),""))</f>
        <v>0.621111876107332</v>
      </c>
      <c r="H498" s="72" t="str">
        <f aca="false">IFERROR(VLOOKUP(C498,$AS$3:$AY$10,7,FALSE()),IFERROR(VLOOKUP(C498,$AS$15:$AY$22,7,FALSE()),""))</f>
        <v>🟢 VERDE</v>
      </c>
      <c r="I498" s="72" t="str">
        <f aca="false">IFERROR(VLOOKUP(C498,$AS$3:$AZ$10,8,FALSE()),IFERROR(VLOOKUP(C498,$AS$15:$AZ$22,8,FALSE()),""))</f>
        <v>JBP</v>
      </c>
      <c r="J498" s="73"/>
      <c r="K498" s="69" t="s">
        <v>158</v>
      </c>
      <c r="L498" s="74" t="n">
        <v>0</v>
      </c>
      <c r="M498" s="75" t="n">
        <v>0</v>
      </c>
      <c r="N498" s="75" t="n">
        <v>0</v>
      </c>
      <c r="O498" s="75" t="n">
        <v>0</v>
      </c>
      <c r="P498" s="75" t="n">
        <v>0</v>
      </c>
      <c r="Q498" s="75" t="n">
        <v>0</v>
      </c>
      <c r="R498" s="75" t="n">
        <v>0</v>
      </c>
      <c r="S498" s="75" t="n">
        <v>0</v>
      </c>
      <c r="T498" s="75" t="n">
        <v>0</v>
      </c>
      <c r="U498" s="75" t="n">
        <v>0</v>
      </c>
      <c r="V498" s="75" t="n">
        <v>0</v>
      </c>
      <c r="W498" s="75" t="n">
        <v>0</v>
      </c>
      <c r="X498" s="76" t="n">
        <v>0</v>
      </c>
      <c r="Y498" s="77" t="s">
        <v>20</v>
      </c>
      <c r="Z498" s="78" t="n">
        <f aca="false">SUM(AA498:AL498)</f>
        <v>0</v>
      </c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6"/>
      <c r="AM498" s="56" t="s">
        <v>20</v>
      </c>
      <c r="AN498" s="80" t="n">
        <f aca="false">IF(L498=0,0,Z498/L498)</f>
        <v>0</v>
      </c>
      <c r="AO498" s="81" t="str">
        <f aca="false">IF(AN498="","",IF(AN498&gt;=0.9,"🟢",IF(AN498&gt;=0.7,"🟡",IF(AN498&gt;=0.5,"🟠","🔴"))))</f>
        <v>🔴</v>
      </c>
      <c r="AP498" s="82" t="n">
        <f aca="false">IF(L498=0,0,L498-Z498)</f>
        <v>0</v>
      </c>
      <c r="AQ498" s="83" t="str">
        <f aca="false">IF(AP498=0,"",RANK(AP498,AP$4:AP$503,0))</f>
        <v/>
      </c>
      <c r="AR498" s="84" t="s">
        <v>20</v>
      </c>
      <c r="AS498" s="141"/>
      <c r="AT498" s="141"/>
      <c r="AU498" s="141"/>
      <c r="AV498" s="141"/>
      <c r="AW498" s="141"/>
      <c r="AX498" s="141"/>
      <c r="AY498" s="142"/>
      <c r="AZ498" s="142"/>
      <c r="BA498" s="56" t="s">
        <v>20</v>
      </c>
      <c r="BB498" s="91" t="n">
        <f aca="false">SUM(L$4:L$503)/COUNTA(A$4:A$503)</f>
        <v>9494.39992</v>
      </c>
      <c r="BC498" s="92" t="n">
        <f aca="false">SUM(M$4:M$503)/COUNTA(A$4:A$503)</f>
        <v>667.20008</v>
      </c>
      <c r="BD498" s="92" t="n">
        <f aca="false">SUM(N$4:N$503)/COUNTA(A$4:A$503)</f>
        <v>697.19996</v>
      </c>
      <c r="BE498" s="92" t="n">
        <f aca="false">SUM(O$4:O$503)/COUNTA(A$4:A$503)</f>
        <v>713.9999</v>
      </c>
      <c r="BF498" s="92" t="n">
        <f aca="false">SUM(P$4:P$503)/COUNTA(A$4:A$503)</f>
        <v>732.59984</v>
      </c>
      <c r="BG498" s="92" t="n">
        <f aca="false">SUM(Q$4:Q$503)/COUNTA(A$4:A$503)</f>
        <v>756.59992</v>
      </c>
      <c r="BH498" s="92" t="n">
        <f aca="false">SUM(R$4:R$503)/COUNTA(A$4:A$503)</f>
        <v>776.40004</v>
      </c>
      <c r="BI498" s="92" t="n">
        <f aca="false">SUM(S$4:S$503)/COUNTA(A$4:A$503)</f>
        <v>806.40012</v>
      </c>
      <c r="BJ498" s="92" t="n">
        <f aca="false">SUM(T$4:T$503)/COUNTA(A$4:A$503)</f>
        <v>826.1999</v>
      </c>
      <c r="BK498" s="92" t="n">
        <f aca="false">SUM(U$4:U$503)/COUNTA(A$4:A$503)</f>
        <v>844.8002</v>
      </c>
      <c r="BL498" s="92" t="n">
        <f aca="false">SUM(V$4:V$503)/COUNTA(A$4:A$503)</f>
        <v>865.7998</v>
      </c>
      <c r="BM498" s="92" t="n">
        <f aca="false">SUM(W$4:W$503)/COUNTA(A$4:A$503)</f>
        <v>888.59982</v>
      </c>
      <c r="BN498" s="93" t="n">
        <f aca="false">SUM(X$4:X$503)/COUNTA(A$4:A$503)</f>
        <v>918.60034</v>
      </c>
      <c r="BO498" s="94" t="s">
        <v>20</v>
      </c>
      <c r="BP498" s="91" t="n">
        <f aca="false">IF(Z498&gt;=BB498,0,IFERROR(BB498+(SUMPRODUCT((Z$4:Z$503&gt;=BB$4:BB$503)*(Z$4:Z$503-BB$4:BB$503))/MAX(1,COUNTIF(Z$4:Z$503,"&lt;"&amp;BB498+0.01))),BB498))</f>
        <v>10695.5432177778</v>
      </c>
      <c r="BQ498" s="92" t="n">
        <f aca="false">IF(AA498&gt;=BC498,0,IFERROR(BC498+SUMPRODUCT((AA$4:AA$503&gt;=BC$4:BC$503)*(AA$4:AA$503-BC$4:BC$503))/MAX(1,COUNTIF(AA$4:AA$503,"&lt;"&amp;BC498+0.01)),BC498))</f>
        <v>2238.46589176471</v>
      </c>
      <c r="BR498" s="92" t="n">
        <f aca="false">IF(AB498&gt;=BD498,0,IFERROR(BD498+SUMPRODUCT((AB$4:AB$503&gt;=BD$4:BD$503)*(AB$4:AB$503-BD$4:BD$503))/MAX(1,COUNTIF(AB$4:AB$503,"&lt;"&amp;BD498+0.01)),BD498))</f>
        <v>3335.2938</v>
      </c>
      <c r="BS498" s="92" t="n">
        <f aca="false">IF(AC498&gt;=BE498,0,IFERROR(BE498+SUMPRODUCT((AC$4:AC$503&gt;=BE$4:BE$503)*(AC$4:AC$503-BE$4:BE$503))/MAX(1,COUNTIF(AC$4:AC$503,"&lt;"&amp;BE498+0.01)),BE498))</f>
        <v>6188.73352</v>
      </c>
      <c r="BT498" s="92" t="n">
        <f aca="false">IF(AD498&gt;=BF498,0,IFERROR(BF498+SUMPRODUCT((AD$4:AD$503&gt;=BF$4:BF$503)*(AD$4:AD$503-BF$4:BF$503))/MAX(1,COUNTIF(AD$4:AD$503,"&lt;"&amp;BF498+0.01)),BF498))</f>
        <v>11354.35411</v>
      </c>
      <c r="BU498" s="92" t="n">
        <f aca="false">IF(AE498&gt;=BG498,0,IFERROR(BG498+SUMPRODUCT((AE$4:AE$503&gt;=BG$4:BG$503)*(AE$4:AE$503-BG$4:BG$503))/MAX(1,COUNTIF(AE$4:AE$503,"&lt;"&amp;BG498+0.01)),BG498))</f>
        <v>7704.85920380952</v>
      </c>
      <c r="BV498" s="92" t="n">
        <f aca="false">IF(AF498&gt;=BH498,0,IFERROR(BH498+SUMPRODUCT((AF$4:AF$503&gt;=BH$4:BH$503)*(AF$4:AF$503-BH$4:BH$503))/MAX(1,COUNTIF(AF$4:AF$503,"&lt;"&amp;BH498+0.01)),BH498))</f>
        <v>9942.6503831579</v>
      </c>
      <c r="BW498" s="92" t="n">
        <f aca="false">IF(AG498&gt;=BI498,0,IFERROR(BI498+SUMPRODUCT((AG$4:AG$503&gt;=BI$4:BI$503)*(AG$4:AG$503-BI$4:BI$503))/MAX(1,COUNTIF(AG$4:AG$503,"&lt;"&amp;BI498+0.01)),BI498))</f>
        <v>9142.15870461538</v>
      </c>
      <c r="BX498" s="92" t="n">
        <f aca="false">IF(AH498&gt;=BJ498,0,IFERROR(BJ498+SUMPRODUCT((AH$4:AH$503&gt;=BJ$4:BJ$503)*(AH$4:AH$503-BJ$4:BJ$503))/MAX(1,COUNTIF(AH$4:AH$503,"&lt;"&amp;BJ498+0.01)),BJ498))</f>
        <v>5621.50263448276</v>
      </c>
      <c r="BY498" s="92" t="n">
        <f aca="false">IF(AI498&gt;=BK498,0,IFERROR(BK498+SUMPRODUCT((AI$4:AI$503&gt;=BK$4:BK$503)*(AI$4:AI$503-BK$4:BK$503))/MAX(1,COUNTIF(AI$4:AI$503,"&lt;"&amp;BK498+0.01)),BK498))</f>
        <v>7878.25652380952</v>
      </c>
      <c r="BZ498" s="92" t="n">
        <f aca="false">IF(AJ498&gt;=BL498,0,IFERROR(BL498+SUMPRODUCT((AJ$4:AJ$503&gt;=BL$4:BL$503)*(AJ$4:AJ$503-BL$4:BL$503))/MAX(1,COUNTIF(AJ$4:AJ$503,"&lt;"&amp;BL498+0.01)),BL498))</f>
        <v>6710.03292307692</v>
      </c>
      <c r="CA498" s="92" t="n">
        <f aca="false">IF(AK498&gt;=BM498,0,IFERROR(BM498+SUMPRODUCT((AK$4:AK$503&gt;=BM$4:BM$503)*(AK$4:AK$503-BM$4:BM$503))/MAX(1,COUNTIF(AK$4:AK$503,"&lt;"&amp;BM498+0.01)),BM498))</f>
        <v>7314.89836842105</v>
      </c>
      <c r="CB498" s="93" t="n">
        <f aca="false">IF(AL498&gt;=BN498,0,IFERROR(BN498+SUMPRODUCT((AL$4:AL$503&gt;=BN$4:BN$503)*(AL$4:AL$503-BN$4:BN$503))/MAX(1,COUNTIF(AL$4:AL$503,"&lt;"&amp;BN498+0.01)),BN498))</f>
        <v>3597.2614925</v>
      </c>
      <c r="CC498" s="95" t="str">
        <f aca="false">IF(AO498="🟢","VERDE",IF(AO498="🟡","AMARELO",IF(AO498="🟠","VERMELHO",IF(AO498="🔴","VERMELHO","ROXO"))))</f>
        <v>VERMELHO</v>
      </c>
      <c r="CD498" s="96" t="s">
        <v>176</v>
      </c>
      <c r="CE498" s="96" t="s">
        <v>110</v>
      </c>
    </row>
    <row r="499" customFormat="false" ht="14.25" hidden="false" customHeight="true" outlineLevel="0" collapsed="false">
      <c r="A499" s="65" t="n">
        <v>38287062000107</v>
      </c>
      <c r="B499" s="66" t="s">
        <v>1117</v>
      </c>
      <c r="C499" s="66" t="s">
        <v>115</v>
      </c>
      <c r="D499" s="68" t="s">
        <v>184</v>
      </c>
      <c r="E499" s="69" t="s">
        <v>101</v>
      </c>
      <c r="F499" s="70" t="n">
        <f aca="false">IFERROR(VLOOKUP(C499,$AS$3:$AT$10,2,FALSE()),IFERROR(VLOOKUP(C499,$AS$15:$AT$22,2,FALSE()),""))</f>
        <v>25</v>
      </c>
      <c r="G499" s="71" t="n">
        <f aca="false">IFERROR(VLOOKUP(C499,$AS$3:$AX$10,6,FALSE()),IFERROR(VLOOKUP(C499,$AS$15:$AX$22,6,FALSE()),""))</f>
        <v>0.536751750851081</v>
      </c>
      <c r="H499" s="72" t="str">
        <f aca="false">IFERROR(VLOOKUP(C499,$AS$3:$AY$10,7,FALSE()),IFERROR(VLOOKUP(C499,$AS$15:$AY$22,7,FALSE()),""))</f>
        <v>🟡 AMARELO</v>
      </c>
      <c r="I499" s="72" t="str">
        <f aca="false">IFERROR(VLOOKUP(C499,$AS$3:$AZ$10,8,FALSE()),IFERROR(VLOOKUP(C499,$AS$15:$AZ$22,8,FALSE()),""))</f>
        <v>Sell Out</v>
      </c>
      <c r="J499" s="73"/>
      <c r="K499" s="69" t="s">
        <v>99</v>
      </c>
      <c r="L499" s="74" t="n">
        <v>0</v>
      </c>
      <c r="M499" s="75" t="n">
        <v>0</v>
      </c>
      <c r="N499" s="75" t="n">
        <v>0</v>
      </c>
      <c r="O499" s="75" t="n">
        <v>0</v>
      </c>
      <c r="P499" s="75" t="n">
        <v>0</v>
      </c>
      <c r="Q499" s="75" t="n">
        <v>0</v>
      </c>
      <c r="R499" s="75" t="n">
        <v>0</v>
      </c>
      <c r="S499" s="75" t="n">
        <v>0</v>
      </c>
      <c r="T499" s="75" t="n">
        <v>0</v>
      </c>
      <c r="U499" s="75" t="n">
        <v>0</v>
      </c>
      <c r="V499" s="75" t="n">
        <v>0</v>
      </c>
      <c r="W499" s="75" t="n">
        <v>0</v>
      </c>
      <c r="X499" s="76" t="n">
        <v>0</v>
      </c>
      <c r="Y499" s="77" t="s">
        <v>20</v>
      </c>
      <c r="Z499" s="78" t="n">
        <f aca="false">SUM(AA499:AL499)</f>
        <v>0</v>
      </c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6"/>
      <c r="AM499" s="56" t="s">
        <v>20</v>
      </c>
      <c r="AN499" s="80" t="n">
        <f aca="false">IF(L499=0,0,Z499/L499)</f>
        <v>0</v>
      </c>
      <c r="AO499" s="81" t="str">
        <f aca="false">IF(AN499="","",IF(AN499&gt;=0.9,"🟢",IF(AN499&gt;=0.7,"🟡",IF(AN499&gt;=0.5,"🟠","🔴"))))</f>
        <v>🔴</v>
      </c>
      <c r="AP499" s="82" t="n">
        <f aca="false">IF(L499=0,0,L499-Z499)</f>
        <v>0</v>
      </c>
      <c r="AQ499" s="83" t="str">
        <f aca="false">IF(AP499=0,"",RANK(AP499,AP$4:AP$503,0))</f>
        <v/>
      </c>
      <c r="AR499" s="84" t="s">
        <v>20</v>
      </c>
      <c r="AS499" s="141"/>
      <c r="AT499" s="141"/>
      <c r="AU499" s="141"/>
      <c r="AV499" s="141"/>
      <c r="AW499" s="141"/>
      <c r="AX499" s="141"/>
      <c r="AY499" s="142"/>
      <c r="AZ499" s="142"/>
      <c r="BA499" s="56" t="s">
        <v>20</v>
      </c>
      <c r="BB499" s="91" t="n">
        <f aca="false">SUM(L$4:L$503)/COUNTA(A$4:A$503)</f>
        <v>9494.39992</v>
      </c>
      <c r="BC499" s="92" t="n">
        <f aca="false">SUM(M$4:M$503)/COUNTA(A$4:A$503)</f>
        <v>667.20008</v>
      </c>
      <c r="BD499" s="92" t="n">
        <f aca="false">SUM(N$4:N$503)/COUNTA(A$4:A$503)</f>
        <v>697.19996</v>
      </c>
      <c r="BE499" s="92" t="n">
        <f aca="false">SUM(O$4:O$503)/COUNTA(A$4:A$503)</f>
        <v>713.9999</v>
      </c>
      <c r="BF499" s="92" t="n">
        <f aca="false">SUM(P$4:P$503)/COUNTA(A$4:A$503)</f>
        <v>732.59984</v>
      </c>
      <c r="BG499" s="92" t="n">
        <f aca="false">SUM(Q$4:Q$503)/COUNTA(A$4:A$503)</f>
        <v>756.59992</v>
      </c>
      <c r="BH499" s="92" t="n">
        <f aca="false">SUM(R$4:R$503)/COUNTA(A$4:A$503)</f>
        <v>776.40004</v>
      </c>
      <c r="BI499" s="92" t="n">
        <f aca="false">SUM(S$4:S$503)/COUNTA(A$4:A$503)</f>
        <v>806.40012</v>
      </c>
      <c r="BJ499" s="92" t="n">
        <f aca="false">SUM(T$4:T$503)/COUNTA(A$4:A$503)</f>
        <v>826.1999</v>
      </c>
      <c r="BK499" s="92" t="n">
        <f aca="false">SUM(U$4:U$503)/COUNTA(A$4:A$503)</f>
        <v>844.8002</v>
      </c>
      <c r="BL499" s="92" t="n">
        <f aca="false">SUM(V$4:V$503)/COUNTA(A$4:A$503)</f>
        <v>865.7998</v>
      </c>
      <c r="BM499" s="92" t="n">
        <f aca="false">SUM(W$4:W$503)/COUNTA(A$4:A$503)</f>
        <v>888.59982</v>
      </c>
      <c r="BN499" s="93" t="n">
        <f aca="false">SUM(X$4:X$503)/COUNTA(A$4:A$503)</f>
        <v>918.60034</v>
      </c>
      <c r="BO499" s="94" t="s">
        <v>20</v>
      </c>
      <c r="BP499" s="91" t="n">
        <f aca="false">IF(Z499&gt;=BB499,0,IFERROR(BB499+(SUMPRODUCT((Z$4:Z$503&gt;=BB$4:BB$503)*(Z$4:Z$503-BB$4:BB$503))/MAX(1,COUNTIF(Z$4:Z$503,"&lt;"&amp;BB499+0.01))),BB499))</f>
        <v>10695.5432177778</v>
      </c>
      <c r="BQ499" s="92" t="n">
        <f aca="false">IF(AA499&gt;=BC499,0,IFERROR(BC499+SUMPRODUCT((AA$4:AA$503&gt;=BC$4:BC$503)*(AA$4:AA$503-BC$4:BC$503))/MAX(1,COUNTIF(AA$4:AA$503,"&lt;"&amp;BC499+0.01)),BC499))</f>
        <v>2238.46589176471</v>
      </c>
      <c r="BR499" s="92" t="n">
        <f aca="false">IF(AB499&gt;=BD499,0,IFERROR(BD499+SUMPRODUCT((AB$4:AB$503&gt;=BD$4:BD$503)*(AB$4:AB$503-BD$4:BD$503))/MAX(1,COUNTIF(AB$4:AB$503,"&lt;"&amp;BD499+0.01)),BD499))</f>
        <v>3335.2938</v>
      </c>
      <c r="BS499" s="92" t="n">
        <f aca="false">IF(AC499&gt;=BE499,0,IFERROR(BE499+SUMPRODUCT((AC$4:AC$503&gt;=BE$4:BE$503)*(AC$4:AC$503-BE$4:BE$503))/MAX(1,COUNTIF(AC$4:AC$503,"&lt;"&amp;BE499+0.01)),BE499))</f>
        <v>6188.73352</v>
      </c>
      <c r="BT499" s="92" t="n">
        <f aca="false">IF(AD499&gt;=BF499,0,IFERROR(BF499+SUMPRODUCT((AD$4:AD$503&gt;=BF$4:BF$503)*(AD$4:AD$503-BF$4:BF$503))/MAX(1,COUNTIF(AD$4:AD$503,"&lt;"&amp;BF499+0.01)),BF499))</f>
        <v>11354.35411</v>
      </c>
      <c r="BU499" s="92" t="n">
        <f aca="false">IF(AE499&gt;=BG499,0,IFERROR(BG499+SUMPRODUCT((AE$4:AE$503&gt;=BG$4:BG$503)*(AE$4:AE$503-BG$4:BG$503))/MAX(1,COUNTIF(AE$4:AE$503,"&lt;"&amp;BG499+0.01)),BG499))</f>
        <v>7704.85920380952</v>
      </c>
      <c r="BV499" s="92" t="n">
        <f aca="false">IF(AF499&gt;=BH499,0,IFERROR(BH499+SUMPRODUCT((AF$4:AF$503&gt;=BH$4:BH$503)*(AF$4:AF$503-BH$4:BH$503))/MAX(1,COUNTIF(AF$4:AF$503,"&lt;"&amp;BH499+0.01)),BH499))</f>
        <v>9942.6503831579</v>
      </c>
      <c r="BW499" s="92" t="n">
        <f aca="false">IF(AG499&gt;=BI499,0,IFERROR(BI499+SUMPRODUCT((AG$4:AG$503&gt;=BI$4:BI$503)*(AG$4:AG$503-BI$4:BI$503))/MAX(1,COUNTIF(AG$4:AG$503,"&lt;"&amp;BI499+0.01)),BI499))</f>
        <v>9142.15870461538</v>
      </c>
      <c r="BX499" s="92" t="n">
        <f aca="false">IF(AH499&gt;=BJ499,0,IFERROR(BJ499+SUMPRODUCT((AH$4:AH$503&gt;=BJ$4:BJ$503)*(AH$4:AH$503-BJ$4:BJ$503))/MAX(1,COUNTIF(AH$4:AH$503,"&lt;"&amp;BJ499+0.01)),BJ499))</f>
        <v>5621.50263448276</v>
      </c>
      <c r="BY499" s="92" t="n">
        <f aca="false">IF(AI499&gt;=BK499,0,IFERROR(BK499+SUMPRODUCT((AI$4:AI$503&gt;=BK$4:BK$503)*(AI$4:AI$503-BK$4:BK$503))/MAX(1,COUNTIF(AI$4:AI$503,"&lt;"&amp;BK499+0.01)),BK499))</f>
        <v>7878.25652380952</v>
      </c>
      <c r="BZ499" s="92" t="n">
        <f aca="false">IF(AJ499&gt;=BL499,0,IFERROR(BL499+SUMPRODUCT((AJ$4:AJ$503&gt;=BL$4:BL$503)*(AJ$4:AJ$503-BL$4:BL$503))/MAX(1,COUNTIF(AJ$4:AJ$503,"&lt;"&amp;BL499+0.01)),BL499))</f>
        <v>6710.03292307692</v>
      </c>
      <c r="CA499" s="92" t="n">
        <f aca="false">IF(AK499&gt;=BM499,0,IFERROR(BM499+SUMPRODUCT((AK$4:AK$503&gt;=BM$4:BM$503)*(AK$4:AK$503-BM$4:BM$503))/MAX(1,COUNTIF(AK$4:AK$503,"&lt;"&amp;BM499+0.01)),BM499))</f>
        <v>7314.89836842105</v>
      </c>
      <c r="CB499" s="93" t="n">
        <f aca="false">IF(AL499&gt;=BN499,0,IFERROR(BN499+SUMPRODUCT((AL$4:AL$503&gt;=BN$4:BN$503)*(AL$4:AL$503-BN$4:BN$503))/MAX(1,COUNTIF(AL$4:AL$503,"&lt;"&amp;BN499+0.01)),BN499))</f>
        <v>3597.2614925</v>
      </c>
      <c r="CC499" s="95" t="str">
        <f aca="false">IF(AO499="🟢","VERDE",IF(AO499="🟡","AMARELO",IF(AO499="🟠","VERMELHO",IF(AO499="🔴","VERMELHO","ROXO"))))</f>
        <v>VERMELHO</v>
      </c>
      <c r="CD499" s="96" t="s">
        <v>176</v>
      </c>
      <c r="CE499" s="96" t="s">
        <v>115</v>
      </c>
    </row>
    <row r="500" customFormat="false" ht="14.25" hidden="false" customHeight="true" outlineLevel="0" collapsed="false">
      <c r="A500" s="65" t="n">
        <v>23584490000116</v>
      </c>
      <c r="B500" s="66" t="s">
        <v>1118</v>
      </c>
      <c r="C500" s="66" t="s">
        <v>102</v>
      </c>
      <c r="D500" s="68" t="s">
        <v>175</v>
      </c>
      <c r="E500" s="69" t="s">
        <v>114</v>
      </c>
      <c r="F500" s="70" t="n">
        <f aca="false">IFERROR(VLOOKUP(C500,$AS$3:$AT$10,2,FALSE()),IFERROR(VLOOKUP(C500,$AS$15:$AT$22,2,FALSE()),""))</f>
        <v>21</v>
      </c>
      <c r="G500" s="71" t="n">
        <f aca="false">IFERROR(VLOOKUP(C500,$AS$3:$AX$10,6,FALSE()),IFERROR(VLOOKUP(C500,$AS$15:$AX$22,6,FALSE()),""))</f>
        <v>0.491514556258592</v>
      </c>
      <c r="H500" s="72" t="str">
        <f aca="false">IFERROR(VLOOKUP(C500,$AS$3:$AY$10,7,FALSE()),IFERROR(VLOOKUP(C500,$AS$15:$AY$22,7,FALSE()),""))</f>
        <v>🟡 AMARELO</v>
      </c>
      <c r="I500" s="72" t="str">
        <f aca="false">IFERROR(VLOOKUP(C500,$AS$3:$AZ$10,8,FALSE()),IFERROR(VLOOKUP(C500,$AS$15:$AZ$22,8,FALSE()),""))</f>
        <v>Sell Out</v>
      </c>
      <c r="J500" s="73"/>
      <c r="K500" s="69" t="s">
        <v>113</v>
      </c>
      <c r="L500" s="74" t="n">
        <v>0</v>
      </c>
      <c r="M500" s="75" t="n">
        <v>0</v>
      </c>
      <c r="N500" s="75" t="n">
        <v>0</v>
      </c>
      <c r="O500" s="75" t="n">
        <v>0</v>
      </c>
      <c r="P500" s="75" t="n">
        <v>0</v>
      </c>
      <c r="Q500" s="75" t="n">
        <v>0</v>
      </c>
      <c r="R500" s="75" t="n">
        <v>0</v>
      </c>
      <c r="S500" s="75" t="n">
        <v>0</v>
      </c>
      <c r="T500" s="75" t="n">
        <v>0</v>
      </c>
      <c r="U500" s="75" t="n">
        <v>0</v>
      </c>
      <c r="V500" s="75" t="n">
        <v>0</v>
      </c>
      <c r="W500" s="75" t="n">
        <v>0</v>
      </c>
      <c r="X500" s="76" t="n">
        <v>0</v>
      </c>
      <c r="Y500" s="77" t="s">
        <v>20</v>
      </c>
      <c r="Z500" s="78" t="n">
        <f aca="false">SUM(AA500:AL500)</f>
        <v>0</v>
      </c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6"/>
      <c r="AM500" s="56" t="s">
        <v>20</v>
      </c>
      <c r="AN500" s="80" t="n">
        <f aca="false">IF(L500=0,0,Z500/L500)</f>
        <v>0</v>
      </c>
      <c r="AO500" s="81" t="str">
        <f aca="false">IF(AN500="","",IF(AN500&gt;=0.9,"🟢",IF(AN500&gt;=0.7,"🟡",IF(AN500&gt;=0.5,"🟠","🔴"))))</f>
        <v>🔴</v>
      </c>
      <c r="AP500" s="82" t="n">
        <f aca="false">IF(L500=0,0,L500-Z500)</f>
        <v>0</v>
      </c>
      <c r="AQ500" s="83" t="str">
        <f aca="false">IF(AP500=0,"",RANK(AP500,AP$4:AP$503,0))</f>
        <v/>
      </c>
      <c r="AR500" s="84" t="s">
        <v>20</v>
      </c>
      <c r="AS500" s="141"/>
      <c r="AT500" s="141"/>
      <c r="AU500" s="141"/>
      <c r="AV500" s="141"/>
      <c r="AW500" s="141"/>
      <c r="AX500" s="141"/>
      <c r="AY500" s="142"/>
      <c r="AZ500" s="142"/>
      <c r="BA500" s="56" t="s">
        <v>20</v>
      </c>
      <c r="BB500" s="91" t="n">
        <f aca="false">SUM(L$4:L$503)/COUNTA(A$4:A$503)</f>
        <v>9494.39992</v>
      </c>
      <c r="BC500" s="92" t="n">
        <f aca="false">SUM(M$4:M$503)/COUNTA(A$4:A$503)</f>
        <v>667.20008</v>
      </c>
      <c r="BD500" s="92" t="n">
        <f aca="false">SUM(N$4:N$503)/COUNTA(A$4:A$503)</f>
        <v>697.19996</v>
      </c>
      <c r="BE500" s="92" t="n">
        <f aca="false">SUM(O$4:O$503)/COUNTA(A$4:A$503)</f>
        <v>713.9999</v>
      </c>
      <c r="BF500" s="92" t="n">
        <f aca="false">SUM(P$4:P$503)/COUNTA(A$4:A$503)</f>
        <v>732.59984</v>
      </c>
      <c r="BG500" s="92" t="n">
        <f aca="false">SUM(Q$4:Q$503)/COUNTA(A$4:A$503)</f>
        <v>756.59992</v>
      </c>
      <c r="BH500" s="92" t="n">
        <f aca="false">SUM(R$4:R$503)/COUNTA(A$4:A$503)</f>
        <v>776.40004</v>
      </c>
      <c r="BI500" s="92" t="n">
        <f aca="false">SUM(S$4:S$503)/COUNTA(A$4:A$503)</f>
        <v>806.40012</v>
      </c>
      <c r="BJ500" s="92" t="n">
        <f aca="false">SUM(T$4:T$503)/COUNTA(A$4:A$503)</f>
        <v>826.1999</v>
      </c>
      <c r="BK500" s="92" t="n">
        <f aca="false">SUM(U$4:U$503)/COUNTA(A$4:A$503)</f>
        <v>844.8002</v>
      </c>
      <c r="BL500" s="92" t="n">
        <f aca="false">SUM(V$4:V$503)/COUNTA(A$4:A$503)</f>
        <v>865.7998</v>
      </c>
      <c r="BM500" s="92" t="n">
        <f aca="false">SUM(W$4:W$503)/COUNTA(A$4:A$503)</f>
        <v>888.59982</v>
      </c>
      <c r="BN500" s="93" t="n">
        <f aca="false">SUM(X$4:X$503)/COUNTA(A$4:A$503)</f>
        <v>918.60034</v>
      </c>
      <c r="BO500" s="94" t="s">
        <v>20</v>
      </c>
      <c r="BP500" s="91" t="n">
        <f aca="false">IF(Z500&gt;=BB500,0,IFERROR(BB500+(SUMPRODUCT((Z$4:Z$503&gt;=BB$4:BB$503)*(Z$4:Z$503-BB$4:BB$503))/MAX(1,COUNTIF(Z$4:Z$503,"&lt;"&amp;BB500+0.01))),BB500))</f>
        <v>10695.5432177778</v>
      </c>
      <c r="BQ500" s="92" t="n">
        <f aca="false">IF(AA500&gt;=BC500,0,IFERROR(BC500+SUMPRODUCT((AA$4:AA$503&gt;=BC$4:BC$503)*(AA$4:AA$503-BC$4:BC$503))/MAX(1,COUNTIF(AA$4:AA$503,"&lt;"&amp;BC500+0.01)),BC500))</f>
        <v>2238.46589176471</v>
      </c>
      <c r="BR500" s="92" t="n">
        <f aca="false">IF(AB500&gt;=BD500,0,IFERROR(BD500+SUMPRODUCT((AB$4:AB$503&gt;=BD$4:BD$503)*(AB$4:AB$503-BD$4:BD$503))/MAX(1,COUNTIF(AB$4:AB$503,"&lt;"&amp;BD500+0.01)),BD500))</f>
        <v>3335.2938</v>
      </c>
      <c r="BS500" s="92" t="n">
        <f aca="false">IF(AC500&gt;=BE500,0,IFERROR(BE500+SUMPRODUCT((AC$4:AC$503&gt;=BE$4:BE$503)*(AC$4:AC$503-BE$4:BE$503))/MAX(1,COUNTIF(AC$4:AC$503,"&lt;"&amp;BE500+0.01)),BE500))</f>
        <v>6188.73352</v>
      </c>
      <c r="BT500" s="92" t="n">
        <f aca="false">IF(AD500&gt;=BF500,0,IFERROR(BF500+SUMPRODUCT((AD$4:AD$503&gt;=BF$4:BF$503)*(AD$4:AD$503-BF$4:BF$503))/MAX(1,COUNTIF(AD$4:AD$503,"&lt;"&amp;BF500+0.01)),BF500))</f>
        <v>11354.35411</v>
      </c>
      <c r="BU500" s="92" t="n">
        <f aca="false">IF(AE500&gt;=BG500,0,IFERROR(BG500+SUMPRODUCT((AE$4:AE$503&gt;=BG$4:BG$503)*(AE$4:AE$503-BG$4:BG$503))/MAX(1,COUNTIF(AE$4:AE$503,"&lt;"&amp;BG500+0.01)),BG500))</f>
        <v>7704.85920380952</v>
      </c>
      <c r="BV500" s="92" t="n">
        <f aca="false">IF(AF500&gt;=BH500,0,IFERROR(BH500+SUMPRODUCT((AF$4:AF$503&gt;=BH$4:BH$503)*(AF$4:AF$503-BH$4:BH$503))/MAX(1,COUNTIF(AF$4:AF$503,"&lt;"&amp;BH500+0.01)),BH500))</f>
        <v>9942.6503831579</v>
      </c>
      <c r="BW500" s="92" t="n">
        <f aca="false">IF(AG500&gt;=BI500,0,IFERROR(BI500+SUMPRODUCT((AG$4:AG$503&gt;=BI$4:BI$503)*(AG$4:AG$503-BI$4:BI$503))/MAX(1,COUNTIF(AG$4:AG$503,"&lt;"&amp;BI500+0.01)),BI500))</f>
        <v>9142.15870461538</v>
      </c>
      <c r="BX500" s="92" t="n">
        <f aca="false">IF(AH500&gt;=BJ500,0,IFERROR(BJ500+SUMPRODUCT((AH$4:AH$503&gt;=BJ$4:BJ$503)*(AH$4:AH$503-BJ$4:BJ$503))/MAX(1,COUNTIF(AH$4:AH$503,"&lt;"&amp;BJ500+0.01)),BJ500))</f>
        <v>5621.50263448276</v>
      </c>
      <c r="BY500" s="92" t="n">
        <f aca="false">IF(AI500&gt;=BK500,0,IFERROR(BK500+SUMPRODUCT((AI$4:AI$503&gt;=BK$4:BK$503)*(AI$4:AI$503-BK$4:BK$503))/MAX(1,COUNTIF(AI$4:AI$503,"&lt;"&amp;BK500+0.01)),BK500))</f>
        <v>7878.25652380952</v>
      </c>
      <c r="BZ500" s="92" t="n">
        <f aca="false">IF(AJ500&gt;=BL500,0,IFERROR(BL500+SUMPRODUCT((AJ$4:AJ$503&gt;=BL$4:BL$503)*(AJ$4:AJ$503-BL$4:BL$503))/MAX(1,COUNTIF(AJ$4:AJ$503,"&lt;"&amp;BL500+0.01)),BL500))</f>
        <v>6710.03292307692</v>
      </c>
      <c r="CA500" s="92" t="n">
        <f aca="false">IF(AK500&gt;=BM500,0,IFERROR(BM500+SUMPRODUCT((AK$4:AK$503&gt;=BM$4:BM$503)*(AK$4:AK$503-BM$4:BM$503))/MAX(1,COUNTIF(AK$4:AK$503,"&lt;"&amp;BM500+0.01)),BM500))</f>
        <v>7314.89836842105</v>
      </c>
      <c r="CB500" s="93" t="n">
        <f aca="false">IF(AL500&gt;=BN500,0,IFERROR(BN500+SUMPRODUCT((AL$4:AL$503&gt;=BN$4:BN$503)*(AL$4:AL$503-BN$4:BN$503))/MAX(1,COUNTIF(AL$4:AL$503,"&lt;"&amp;BN500+0.01)),BN500))</f>
        <v>3597.2614925</v>
      </c>
      <c r="CC500" s="95" t="str">
        <f aca="false">IF(AO500="🟢","VERDE",IF(AO500="🟡","AMARELO",IF(AO500="🟠","VERMELHO",IF(AO500="🔴","VERMELHO","ROXO"))))</f>
        <v>VERMELHO</v>
      </c>
      <c r="CD500" s="96" t="s">
        <v>176</v>
      </c>
      <c r="CE500" s="96" t="s">
        <v>102</v>
      </c>
    </row>
    <row r="501" customFormat="false" ht="14.25" hidden="false" customHeight="true" outlineLevel="0" collapsed="false">
      <c r="A501" s="65" t="n">
        <v>32288356000169</v>
      </c>
      <c r="B501" s="66" t="s">
        <v>1119</v>
      </c>
      <c r="C501" s="66" t="s">
        <v>102</v>
      </c>
      <c r="D501" s="68" t="s">
        <v>175</v>
      </c>
      <c r="E501" s="69" t="s">
        <v>114</v>
      </c>
      <c r="F501" s="70" t="n">
        <f aca="false">IFERROR(VLOOKUP(C501,$AS$3:$AT$10,2,FALSE()),IFERROR(VLOOKUP(C501,$AS$15:$AT$22,2,FALSE()),""))</f>
        <v>21</v>
      </c>
      <c r="G501" s="71" t="n">
        <f aca="false">IFERROR(VLOOKUP(C501,$AS$3:$AX$10,6,FALSE()),IFERROR(VLOOKUP(C501,$AS$15:$AX$22,6,FALSE()),""))</f>
        <v>0.491514556258592</v>
      </c>
      <c r="H501" s="72" t="str">
        <f aca="false">IFERROR(VLOOKUP(C501,$AS$3:$AY$10,7,FALSE()),IFERROR(VLOOKUP(C501,$AS$15:$AY$22,7,FALSE()),""))</f>
        <v>🟡 AMARELO</v>
      </c>
      <c r="I501" s="72" t="str">
        <f aca="false">IFERROR(VLOOKUP(C501,$AS$3:$AZ$10,8,FALSE()),IFERROR(VLOOKUP(C501,$AS$15:$AZ$22,8,FALSE()),""))</f>
        <v>Sell Out</v>
      </c>
      <c r="J501" s="73"/>
      <c r="K501" s="69" t="s">
        <v>113</v>
      </c>
      <c r="L501" s="74" t="n">
        <v>0</v>
      </c>
      <c r="M501" s="75" t="n">
        <v>0</v>
      </c>
      <c r="N501" s="75" t="n">
        <v>0</v>
      </c>
      <c r="O501" s="75" t="n">
        <v>0</v>
      </c>
      <c r="P501" s="75" t="n">
        <v>0</v>
      </c>
      <c r="Q501" s="75" t="n">
        <v>0</v>
      </c>
      <c r="R501" s="75" t="n">
        <v>0</v>
      </c>
      <c r="S501" s="75" t="n">
        <v>0</v>
      </c>
      <c r="T501" s="75" t="n">
        <v>0</v>
      </c>
      <c r="U501" s="75" t="n">
        <v>0</v>
      </c>
      <c r="V501" s="75" t="n">
        <v>0</v>
      </c>
      <c r="W501" s="75" t="n">
        <v>0</v>
      </c>
      <c r="X501" s="76" t="n">
        <v>0</v>
      </c>
      <c r="Y501" s="77" t="s">
        <v>20</v>
      </c>
      <c r="Z501" s="78" t="n">
        <f aca="false">SUM(AA501:AL501)</f>
        <v>0</v>
      </c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6"/>
      <c r="AM501" s="56" t="s">
        <v>20</v>
      </c>
      <c r="AN501" s="80" t="n">
        <f aca="false">IF(L501=0,0,Z501/L501)</f>
        <v>0</v>
      </c>
      <c r="AO501" s="81" t="str">
        <f aca="false">IF(AN501="","",IF(AN501&gt;=0.9,"🟢",IF(AN501&gt;=0.7,"🟡",IF(AN501&gt;=0.5,"🟠","🔴"))))</f>
        <v>🔴</v>
      </c>
      <c r="AP501" s="82" t="n">
        <f aca="false">IF(L501=0,0,L501-Z501)</f>
        <v>0</v>
      </c>
      <c r="AQ501" s="83" t="str">
        <f aca="false">IF(AP501=0,"",RANK(AP501,AP$4:AP$503,0))</f>
        <v/>
      </c>
      <c r="AR501" s="84" t="s">
        <v>20</v>
      </c>
      <c r="AS501" s="141"/>
      <c r="AT501" s="141"/>
      <c r="AU501" s="141"/>
      <c r="AV501" s="141"/>
      <c r="AW501" s="141"/>
      <c r="AX501" s="141"/>
      <c r="AY501" s="142"/>
      <c r="AZ501" s="142"/>
      <c r="BA501" s="56" t="s">
        <v>20</v>
      </c>
      <c r="BB501" s="91" t="n">
        <f aca="false">SUM(L$4:L$503)/COUNTA(A$4:A$503)</f>
        <v>9494.39992</v>
      </c>
      <c r="BC501" s="92" t="n">
        <f aca="false">SUM(M$4:M$503)/COUNTA(A$4:A$503)</f>
        <v>667.20008</v>
      </c>
      <c r="BD501" s="92" t="n">
        <f aca="false">SUM(N$4:N$503)/COUNTA(A$4:A$503)</f>
        <v>697.19996</v>
      </c>
      <c r="BE501" s="92" t="n">
        <f aca="false">SUM(O$4:O$503)/COUNTA(A$4:A$503)</f>
        <v>713.9999</v>
      </c>
      <c r="BF501" s="92" t="n">
        <f aca="false">SUM(P$4:P$503)/COUNTA(A$4:A$503)</f>
        <v>732.59984</v>
      </c>
      <c r="BG501" s="92" t="n">
        <f aca="false">SUM(Q$4:Q$503)/COUNTA(A$4:A$503)</f>
        <v>756.59992</v>
      </c>
      <c r="BH501" s="92" t="n">
        <f aca="false">SUM(R$4:R$503)/COUNTA(A$4:A$503)</f>
        <v>776.40004</v>
      </c>
      <c r="BI501" s="92" t="n">
        <f aca="false">SUM(S$4:S$503)/COUNTA(A$4:A$503)</f>
        <v>806.40012</v>
      </c>
      <c r="BJ501" s="92" t="n">
        <f aca="false">SUM(T$4:T$503)/COUNTA(A$4:A$503)</f>
        <v>826.1999</v>
      </c>
      <c r="BK501" s="92" t="n">
        <f aca="false">SUM(U$4:U$503)/COUNTA(A$4:A$503)</f>
        <v>844.8002</v>
      </c>
      <c r="BL501" s="92" t="n">
        <f aca="false">SUM(V$4:V$503)/COUNTA(A$4:A$503)</f>
        <v>865.7998</v>
      </c>
      <c r="BM501" s="92" t="n">
        <f aca="false">SUM(W$4:W$503)/COUNTA(A$4:A$503)</f>
        <v>888.59982</v>
      </c>
      <c r="BN501" s="93" t="n">
        <f aca="false">SUM(X$4:X$503)/COUNTA(A$4:A$503)</f>
        <v>918.60034</v>
      </c>
      <c r="BO501" s="94" t="s">
        <v>20</v>
      </c>
      <c r="BP501" s="91" t="n">
        <f aca="false">IF(Z501&gt;=BB501,0,IFERROR(BB501+(SUMPRODUCT((Z$4:Z$503&gt;=BB$4:BB$503)*(Z$4:Z$503-BB$4:BB$503))/MAX(1,COUNTIF(Z$4:Z$503,"&lt;"&amp;BB501+0.01))),BB501))</f>
        <v>10695.5432177778</v>
      </c>
      <c r="BQ501" s="92" t="n">
        <f aca="false">IF(AA501&gt;=BC501,0,IFERROR(BC501+SUMPRODUCT((AA$4:AA$503&gt;=BC$4:BC$503)*(AA$4:AA$503-BC$4:BC$503))/MAX(1,COUNTIF(AA$4:AA$503,"&lt;"&amp;BC501+0.01)),BC501))</f>
        <v>2238.46589176471</v>
      </c>
      <c r="BR501" s="92" t="n">
        <f aca="false">IF(AB501&gt;=BD501,0,IFERROR(BD501+SUMPRODUCT((AB$4:AB$503&gt;=BD$4:BD$503)*(AB$4:AB$503-BD$4:BD$503))/MAX(1,COUNTIF(AB$4:AB$503,"&lt;"&amp;BD501+0.01)),BD501))</f>
        <v>3335.2938</v>
      </c>
      <c r="BS501" s="92" t="n">
        <f aca="false">IF(AC501&gt;=BE501,0,IFERROR(BE501+SUMPRODUCT((AC$4:AC$503&gt;=BE$4:BE$503)*(AC$4:AC$503-BE$4:BE$503))/MAX(1,COUNTIF(AC$4:AC$503,"&lt;"&amp;BE501+0.01)),BE501))</f>
        <v>6188.73352</v>
      </c>
      <c r="BT501" s="92" t="n">
        <f aca="false">IF(AD501&gt;=BF501,0,IFERROR(BF501+SUMPRODUCT((AD$4:AD$503&gt;=BF$4:BF$503)*(AD$4:AD$503-BF$4:BF$503))/MAX(1,COUNTIF(AD$4:AD$503,"&lt;"&amp;BF501+0.01)),BF501))</f>
        <v>11354.35411</v>
      </c>
      <c r="BU501" s="92" t="n">
        <f aca="false">IF(AE501&gt;=BG501,0,IFERROR(BG501+SUMPRODUCT((AE$4:AE$503&gt;=BG$4:BG$503)*(AE$4:AE$503-BG$4:BG$503))/MAX(1,COUNTIF(AE$4:AE$503,"&lt;"&amp;BG501+0.01)),BG501))</f>
        <v>7704.85920380952</v>
      </c>
      <c r="BV501" s="92" t="n">
        <f aca="false">IF(AF501&gt;=BH501,0,IFERROR(BH501+SUMPRODUCT((AF$4:AF$503&gt;=BH$4:BH$503)*(AF$4:AF$503-BH$4:BH$503))/MAX(1,COUNTIF(AF$4:AF$503,"&lt;"&amp;BH501+0.01)),BH501))</f>
        <v>9942.6503831579</v>
      </c>
      <c r="BW501" s="92" t="n">
        <f aca="false">IF(AG501&gt;=BI501,0,IFERROR(BI501+SUMPRODUCT((AG$4:AG$503&gt;=BI$4:BI$503)*(AG$4:AG$503-BI$4:BI$503))/MAX(1,COUNTIF(AG$4:AG$503,"&lt;"&amp;BI501+0.01)),BI501))</f>
        <v>9142.15870461538</v>
      </c>
      <c r="BX501" s="92" t="n">
        <f aca="false">IF(AH501&gt;=BJ501,0,IFERROR(BJ501+SUMPRODUCT((AH$4:AH$503&gt;=BJ$4:BJ$503)*(AH$4:AH$503-BJ$4:BJ$503))/MAX(1,COUNTIF(AH$4:AH$503,"&lt;"&amp;BJ501+0.01)),BJ501))</f>
        <v>5621.50263448276</v>
      </c>
      <c r="BY501" s="92" t="n">
        <f aca="false">IF(AI501&gt;=BK501,0,IFERROR(BK501+SUMPRODUCT((AI$4:AI$503&gt;=BK$4:BK$503)*(AI$4:AI$503-BK$4:BK$503))/MAX(1,COUNTIF(AI$4:AI$503,"&lt;"&amp;BK501+0.01)),BK501))</f>
        <v>7878.25652380952</v>
      </c>
      <c r="BZ501" s="92" t="n">
        <f aca="false">IF(AJ501&gt;=BL501,0,IFERROR(BL501+SUMPRODUCT((AJ$4:AJ$503&gt;=BL$4:BL$503)*(AJ$4:AJ$503-BL$4:BL$503))/MAX(1,COUNTIF(AJ$4:AJ$503,"&lt;"&amp;BL501+0.01)),BL501))</f>
        <v>6710.03292307692</v>
      </c>
      <c r="CA501" s="92" t="n">
        <f aca="false">IF(AK501&gt;=BM501,0,IFERROR(BM501+SUMPRODUCT((AK$4:AK$503&gt;=BM$4:BM$503)*(AK$4:AK$503-BM$4:BM$503))/MAX(1,COUNTIF(AK$4:AK$503,"&lt;"&amp;BM501+0.01)),BM501))</f>
        <v>7314.89836842105</v>
      </c>
      <c r="CB501" s="93" t="n">
        <f aca="false">IF(AL501&gt;=BN501,0,IFERROR(BN501+SUMPRODUCT((AL$4:AL$503&gt;=BN$4:BN$503)*(AL$4:AL$503-BN$4:BN$503))/MAX(1,COUNTIF(AL$4:AL$503,"&lt;"&amp;BN501+0.01)),BN501))</f>
        <v>3597.2614925</v>
      </c>
      <c r="CC501" s="95" t="str">
        <f aca="false">IF(AO501="🟢","VERDE",IF(AO501="🟡","AMARELO",IF(AO501="🟠","VERMELHO",IF(AO501="🔴","VERMELHO","ROXO"))))</f>
        <v>VERMELHO</v>
      </c>
      <c r="CD501" s="96" t="s">
        <v>176</v>
      </c>
      <c r="CE501" s="96" t="s">
        <v>102</v>
      </c>
    </row>
    <row r="502" customFormat="false" ht="14.25" hidden="false" customHeight="true" outlineLevel="0" collapsed="false">
      <c r="A502" s="65" t="n">
        <v>45540775000198</v>
      </c>
      <c r="B502" s="66" t="s">
        <v>1120</v>
      </c>
      <c r="C502" s="66" t="s">
        <v>110</v>
      </c>
      <c r="D502" s="68" t="s">
        <v>184</v>
      </c>
      <c r="E502" s="69" t="s">
        <v>119</v>
      </c>
      <c r="F502" s="70" t="n">
        <f aca="false">IFERROR(VLOOKUP(C502,$AS$3:$AT$10,2,FALSE()),IFERROR(VLOOKUP(C502,$AS$15:$AT$22,2,FALSE()),""))</f>
        <v>15</v>
      </c>
      <c r="G502" s="71" t="n">
        <f aca="false">IFERROR(VLOOKUP(C502,$AS$3:$AX$10,6,FALSE()),IFERROR(VLOOKUP(C502,$AS$15:$AX$22,6,FALSE()),""))</f>
        <v>0.621111876107332</v>
      </c>
      <c r="H502" s="72" t="str">
        <f aca="false">IFERROR(VLOOKUP(C502,$AS$3:$AY$10,7,FALSE()),IFERROR(VLOOKUP(C502,$AS$15:$AY$22,7,FALSE()),""))</f>
        <v>🟢 VERDE</v>
      </c>
      <c r="I502" s="72" t="str">
        <f aca="false">IFERROR(VLOOKUP(C502,$AS$3:$AZ$10,8,FALSE()),IFERROR(VLOOKUP(C502,$AS$15:$AZ$22,8,FALSE()),""))</f>
        <v>JBP</v>
      </c>
      <c r="J502" s="73"/>
      <c r="K502" s="69" t="s">
        <v>118</v>
      </c>
      <c r="L502" s="74" t="n">
        <v>0</v>
      </c>
      <c r="M502" s="75" t="n">
        <v>0</v>
      </c>
      <c r="N502" s="75" t="n">
        <v>0</v>
      </c>
      <c r="O502" s="75" t="n">
        <v>0</v>
      </c>
      <c r="P502" s="75" t="n">
        <v>0</v>
      </c>
      <c r="Q502" s="75" t="n">
        <v>0</v>
      </c>
      <c r="R502" s="75" t="n">
        <v>0</v>
      </c>
      <c r="S502" s="75" t="n">
        <v>0</v>
      </c>
      <c r="T502" s="75" t="n">
        <v>0</v>
      </c>
      <c r="U502" s="75" t="n">
        <v>0</v>
      </c>
      <c r="V502" s="75" t="n">
        <v>0</v>
      </c>
      <c r="W502" s="75" t="n">
        <v>0</v>
      </c>
      <c r="X502" s="76" t="n">
        <v>0</v>
      </c>
      <c r="Y502" s="77" t="s">
        <v>20</v>
      </c>
      <c r="Z502" s="78" t="n">
        <f aca="false">SUM(AA502:AL502)</f>
        <v>0</v>
      </c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6"/>
      <c r="AM502" s="56" t="s">
        <v>20</v>
      </c>
      <c r="AN502" s="80" t="n">
        <f aca="false">IF(L502=0,0,Z502/L502)</f>
        <v>0</v>
      </c>
      <c r="AO502" s="81" t="str">
        <f aca="false">IF(AN502="","",IF(AN502&gt;=0.9,"🟢",IF(AN502&gt;=0.7,"🟡",IF(AN502&gt;=0.5,"🟠","🔴"))))</f>
        <v>🔴</v>
      </c>
      <c r="AP502" s="82" t="n">
        <f aca="false">IF(L502=0,0,L502-Z502)</f>
        <v>0</v>
      </c>
      <c r="AQ502" s="83" t="str">
        <f aca="false">IF(AP502=0,"",RANK(AP502,AP$4:AP$503,0))</f>
        <v/>
      </c>
      <c r="AR502" s="84" t="s">
        <v>20</v>
      </c>
      <c r="AS502" s="141"/>
      <c r="AT502" s="141"/>
      <c r="AU502" s="141"/>
      <c r="AV502" s="141"/>
      <c r="AW502" s="141"/>
      <c r="AX502" s="141"/>
      <c r="AY502" s="142"/>
      <c r="AZ502" s="142"/>
      <c r="BA502" s="56" t="s">
        <v>20</v>
      </c>
      <c r="BB502" s="91" t="n">
        <f aca="false">SUM(L$4:L$503)/COUNTA(A$4:A$503)</f>
        <v>9494.39992</v>
      </c>
      <c r="BC502" s="92" t="n">
        <f aca="false">SUM(M$4:M$503)/COUNTA(A$4:A$503)</f>
        <v>667.20008</v>
      </c>
      <c r="BD502" s="92" t="n">
        <f aca="false">SUM(N$4:N$503)/COUNTA(A$4:A$503)</f>
        <v>697.19996</v>
      </c>
      <c r="BE502" s="92" t="n">
        <f aca="false">SUM(O$4:O$503)/COUNTA(A$4:A$503)</f>
        <v>713.9999</v>
      </c>
      <c r="BF502" s="92" t="n">
        <f aca="false">SUM(P$4:P$503)/COUNTA(A$4:A$503)</f>
        <v>732.59984</v>
      </c>
      <c r="BG502" s="92" t="n">
        <f aca="false">SUM(Q$4:Q$503)/COUNTA(A$4:A$503)</f>
        <v>756.59992</v>
      </c>
      <c r="BH502" s="92" t="n">
        <f aca="false">SUM(R$4:R$503)/COUNTA(A$4:A$503)</f>
        <v>776.40004</v>
      </c>
      <c r="BI502" s="92" t="n">
        <f aca="false">SUM(S$4:S$503)/COUNTA(A$4:A$503)</f>
        <v>806.40012</v>
      </c>
      <c r="BJ502" s="92" t="n">
        <f aca="false">SUM(T$4:T$503)/COUNTA(A$4:A$503)</f>
        <v>826.1999</v>
      </c>
      <c r="BK502" s="92" t="n">
        <f aca="false">SUM(U$4:U$503)/COUNTA(A$4:A$503)</f>
        <v>844.8002</v>
      </c>
      <c r="BL502" s="92" t="n">
        <f aca="false">SUM(V$4:V$503)/COUNTA(A$4:A$503)</f>
        <v>865.7998</v>
      </c>
      <c r="BM502" s="92" t="n">
        <f aca="false">SUM(W$4:W$503)/COUNTA(A$4:A$503)</f>
        <v>888.59982</v>
      </c>
      <c r="BN502" s="93" t="n">
        <f aca="false">SUM(X$4:X$503)/COUNTA(A$4:A$503)</f>
        <v>918.60034</v>
      </c>
      <c r="BO502" s="94" t="s">
        <v>20</v>
      </c>
      <c r="BP502" s="91" t="n">
        <f aca="false">IF(Z502&gt;=BB502,0,IFERROR(BB502+(SUMPRODUCT((Z$4:Z$503&gt;=BB$4:BB$503)*(Z$4:Z$503-BB$4:BB$503))/MAX(1,COUNTIF(Z$4:Z$503,"&lt;"&amp;BB502+0.01))),BB502))</f>
        <v>10695.5432177778</v>
      </c>
      <c r="BQ502" s="92" t="n">
        <f aca="false">IF(AA502&gt;=BC502,0,IFERROR(BC502+SUMPRODUCT((AA$4:AA$503&gt;=BC$4:BC$503)*(AA$4:AA$503-BC$4:BC$503))/MAX(1,COUNTIF(AA$4:AA$503,"&lt;"&amp;BC502+0.01)),BC502))</f>
        <v>2238.46589176471</v>
      </c>
      <c r="BR502" s="92" t="n">
        <f aca="false">IF(AB502&gt;=BD502,0,IFERROR(BD502+SUMPRODUCT((AB$4:AB$503&gt;=BD$4:BD$503)*(AB$4:AB$503-BD$4:BD$503))/MAX(1,COUNTIF(AB$4:AB$503,"&lt;"&amp;BD502+0.01)),BD502))</f>
        <v>3335.2938</v>
      </c>
      <c r="BS502" s="92" t="n">
        <f aca="false">IF(AC502&gt;=BE502,0,IFERROR(BE502+SUMPRODUCT((AC$4:AC$503&gt;=BE$4:BE$503)*(AC$4:AC$503-BE$4:BE$503))/MAX(1,COUNTIF(AC$4:AC$503,"&lt;"&amp;BE502+0.01)),BE502))</f>
        <v>6188.73352</v>
      </c>
      <c r="BT502" s="92" t="n">
        <f aca="false">IF(AD502&gt;=BF502,0,IFERROR(BF502+SUMPRODUCT((AD$4:AD$503&gt;=BF$4:BF$503)*(AD$4:AD$503-BF$4:BF$503))/MAX(1,COUNTIF(AD$4:AD$503,"&lt;"&amp;BF502+0.01)),BF502))</f>
        <v>11354.35411</v>
      </c>
      <c r="BU502" s="92" t="n">
        <f aca="false">IF(AE502&gt;=BG502,0,IFERROR(BG502+SUMPRODUCT((AE$4:AE$503&gt;=BG$4:BG$503)*(AE$4:AE$503-BG$4:BG$503))/MAX(1,COUNTIF(AE$4:AE$503,"&lt;"&amp;BG502+0.01)),BG502))</f>
        <v>7704.85920380952</v>
      </c>
      <c r="BV502" s="92" t="n">
        <f aca="false">IF(AF502&gt;=BH502,0,IFERROR(BH502+SUMPRODUCT((AF$4:AF$503&gt;=BH$4:BH$503)*(AF$4:AF$503-BH$4:BH$503))/MAX(1,COUNTIF(AF$4:AF$503,"&lt;"&amp;BH502+0.01)),BH502))</f>
        <v>9942.6503831579</v>
      </c>
      <c r="BW502" s="92" t="n">
        <f aca="false">IF(AG502&gt;=BI502,0,IFERROR(BI502+SUMPRODUCT((AG$4:AG$503&gt;=BI$4:BI$503)*(AG$4:AG$503-BI$4:BI$503))/MAX(1,COUNTIF(AG$4:AG$503,"&lt;"&amp;BI502+0.01)),BI502))</f>
        <v>9142.15870461538</v>
      </c>
      <c r="BX502" s="92" t="n">
        <f aca="false">IF(AH502&gt;=BJ502,0,IFERROR(BJ502+SUMPRODUCT((AH$4:AH$503&gt;=BJ$4:BJ$503)*(AH$4:AH$503-BJ$4:BJ$503))/MAX(1,COUNTIF(AH$4:AH$503,"&lt;"&amp;BJ502+0.01)),BJ502))</f>
        <v>5621.50263448276</v>
      </c>
      <c r="BY502" s="92" t="n">
        <f aca="false">IF(AI502&gt;=BK502,0,IFERROR(BK502+SUMPRODUCT((AI$4:AI$503&gt;=BK$4:BK$503)*(AI$4:AI$503-BK$4:BK$503))/MAX(1,COUNTIF(AI$4:AI$503,"&lt;"&amp;BK502+0.01)),BK502))</f>
        <v>7878.25652380952</v>
      </c>
      <c r="BZ502" s="92" t="n">
        <f aca="false">IF(AJ502&gt;=BL502,0,IFERROR(BL502+SUMPRODUCT((AJ$4:AJ$503&gt;=BL$4:BL$503)*(AJ$4:AJ$503-BL$4:BL$503))/MAX(1,COUNTIF(AJ$4:AJ$503,"&lt;"&amp;BL502+0.01)),BL502))</f>
        <v>6710.03292307692</v>
      </c>
      <c r="CA502" s="92" t="n">
        <f aca="false">IF(AK502&gt;=BM502,0,IFERROR(BM502+SUMPRODUCT((AK$4:AK$503&gt;=BM$4:BM$503)*(AK$4:AK$503-BM$4:BM$503))/MAX(1,COUNTIF(AK$4:AK$503,"&lt;"&amp;BM502+0.01)),BM502))</f>
        <v>7314.89836842105</v>
      </c>
      <c r="CB502" s="93" t="n">
        <f aca="false">IF(AL502&gt;=BN502,0,IFERROR(BN502+SUMPRODUCT((AL$4:AL$503&gt;=BN$4:BN$503)*(AL$4:AL$503-BN$4:BN$503))/MAX(1,COUNTIF(AL$4:AL$503,"&lt;"&amp;BN502+0.01)),BN502))</f>
        <v>3597.2614925</v>
      </c>
      <c r="CC502" s="95" t="str">
        <f aca="false">IF(AO502="🟢","VERDE",IF(AO502="🟡","AMARELO",IF(AO502="🟠","VERMELHO",IF(AO502="🔴","VERMELHO","ROXO"))))</f>
        <v>VERMELHO</v>
      </c>
      <c r="CD502" s="96" t="s">
        <v>176</v>
      </c>
      <c r="CE502" s="96" t="s">
        <v>110</v>
      </c>
    </row>
    <row r="503" customFormat="false" ht="14.25" hidden="false" customHeight="true" outlineLevel="0" collapsed="false">
      <c r="A503" s="143" t="n">
        <v>51144831000178</v>
      </c>
      <c r="B503" s="144" t="s">
        <v>1121</v>
      </c>
      <c r="C503" s="144" t="s">
        <v>128</v>
      </c>
      <c r="D503" s="145" t="s">
        <v>184</v>
      </c>
      <c r="E503" s="69" t="s">
        <v>119</v>
      </c>
      <c r="F503" s="146" t="n">
        <f aca="false">IFERROR(VLOOKUP(C503,$AS$3:$AT$10,2,FALSE()),IFERROR(VLOOKUP(C503,$AS$15:$AT$22,2,FALSE()),""))</f>
        <v>3</v>
      </c>
      <c r="G503" s="147" t="n">
        <f aca="false">IFERROR(VLOOKUP(C503,$AS$3:$AX$10,6,FALSE()),IFERROR(VLOOKUP(C503,$AS$15:$AX$22,6,FALSE()),""))</f>
        <v>0.414897665958825</v>
      </c>
      <c r="H503" s="148" t="str">
        <f aca="false">IFERROR(VLOOKUP(C503,$AS$3:$AY$10,7,FALSE()),IFERROR(VLOOKUP(C503,$AS$15:$AY$22,7,FALSE()),""))</f>
        <v>🟡 AMARELO</v>
      </c>
      <c r="I503" s="148" t="str">
        <f aca="false">IFERROR(VLOOKUP(C503,$AS$3:$AZ$10,8,FALSE()),IFERROR(VLOOKUP(C503,$AS$15:$AZ$22,8,FALSE()),""))</f>
        <v>Sell Out</v>
      </c>
      <c r="J503" s="149"/>
      <c r="K503" s="69" t="s">
        <v>118</v>
      </c>
      <c r="L503" s="150" t="n">
        <v>0</v>
      </c>
      <c r="M503" s="151" t="n">
        <v>0</v>
      </c>
      <c r="N503" s="151" t="n">
        <v>0</v>
      </c>
      <c r="O503" s="151" t="n">
        <v>0</v>
      </c>
      <c r="P503" s="151" t="n">
        <v>0</v>
      </c>
      <c r="Q503" s="151" t="n">
        <v>0</v>
      </c>
      <c r="R503" s="151" t="n">
        <v>0</v>
      </c>
      <c r="S503" s="151" t="n">
        <v>0</v>
      </c>
      <c r="T503" s="151" t="n">
        <v>0</v>
      </c>
      <c r="U503" s="151" t="n">
        <v>0</v>
      </c>
      <c r="V503" s="151" t="n">
        <v>0</v>
      </c>
      <c r="W503" s="151" t="n">
        <v>0</v>
      </c>
      <c r="X503" s="152" t="n">
        <v>0</v>
      </c>
      <c r="Y503" s="77" t="s">
        <v>20</v>
      </c>
      <c r="Z503" s="153" t="n">
        <f aca="false">SUM(AA503:AL503)</f>
        <v>0</v>
      </c>
      <c r="AA503" s="151"/>
      <c r="AB503" s="151"/>
      <c r="AC503" s="151"/>
      <c r="AD503" s="151"/>
      <c r="AE503" s="151"/>
      <c r="AF503" s="151"/>
      <c r="AG503" s="151"/>
      <c r="AH503" s="151"/>
      <c r="AI503" s="151"/>
      <c r="AJ503" s="151"/>
      <c r="AK503" s="151"/>
      <c r="AL503" s="152"/>
      <c r="AM503" s="56" t="s">
        <v>20</v>
      </c>
      <c r="AN503" s="154" t="n">
        <f aca="false">IF(L503=0,0,Z503/L503)</f>
        <v>0</v>
      </c>
      <c r="AO503" s="155" t="str">
        <f aca="false">IF(AN503="","",IF(AN503&gt;=0.9,"🟢",IF(AN503&gt;=0.7,"🟡",IF(AN503&gt;=0.5,"🟠","🔴"))))</f>
        <v>🔴</v>
      </c>
      <c r="AP503" s="156" t="n">
        <f aca="false">IF(L503=0,0,L503-Z503)</f>
        <v>0</v>
      </c>
      <c r="AQ503" s="157" t="str">
        <f aca="false">IF(AP503=0,"",RANK(AP503,AP$4:AP$503,0))</f>
        <v/>
      </c>
      <c r="AR503" s="84" t="s">
        <v>20</v>
      </c>
      <c r="AS503" s="141"/>
      <c r="AT503" s="141"/>
      <c r="AU503" s="141"/>
      <c r="AV503" s="141"/>
      <c r="AW503" s="141"/>
      <c r="AX503" s="141"/>
      <c r="AY503" s="142"/>
      <c r="AZ503" s="142"/>
      <c r="BA503" s="56" t="s">
        <v>20</v>
      </c>
      <c r="BB503" s="158" t="n">
        <f aca="false">SUM(L$4:L$503)/COUNTA(A$4:A$503)</f>
        <v>9494.39992</v>
      </c>
      <c r="BC503" s="159" t="n">
        <f aca="false">SUM(M$4:M$503)/COUNTA(A$4:A$503)</f>
        <v>667.20008</v>
      </c>
      <c r="BD503" s="159" t="n">
        <f aca="false">SUM(N$4:N$503)/COUNTA(A$4:A$503)</f>
        <v>697.19996</v>
      </c>
      <c r="BE503" s="159" t="n">
        <f aca="false">SUM(O$4:O$503)/COUNTA(A$4:A$503)</f>
        <v>713.9999</v>
      </c>
      <c r="BF503" s="159" t="n">
        <f aca="false">SUM(P$4:P$503)/COUNTA(A$4:A$503)</f>
        <v>732.59984</v>
      </c>
      <c r="BG503" s="159" t="n">
        <f aca="false">SUM(Q$4:Q$503)/COUNTA(A$4:A$503)</f>
        <v>756.59992</v>
      </c>
      <c r="BH503" s="159" t="n">
        <f aca="false">SUM(R$4:R$503)/COUNTA(A$4:A$503)</f>
        <v>776.40004</v>
      </c>
      <c r="BI503" s="159" t="n">
        <f aca="false">SUM(S$4:S$503)/COUNTA(A$4:A$503)</f>
        <v>806.40012</v>
      </c>
      <c r="BJ503" s="159" t="n">
        <f aca="false">SUM(T$4:T$503)/COUNTA(A$4:A$503)</f>
        <v>826.1999</v>
      </c>
      <c r="BK503" s="159" t="n">
        <f aca="false">SUM(U$4:U$503)/COUNTA(A$4:A$503)</f>
        <v>844.8002</v>
      </c>
      <c r="BL503" s="159" t="n">
        <f aca="false">SUM(V$4:V$503)/COUNTA(A$4:A$503)</f>
        <v>865.7998</v>
      </c>
      <c r="BM503" s="159" t="n">
        <f aca="false">SUM(W$4:W$503)/COUNTA(A$4:A$503)</f>
        <v>888.59982</v>
      </c>
      <c r="BN503" s="160" t="n">
        <f aca="false">SUM(X$4:X$503)/COUNTA(A$4:A$503)</f>
        <v>918.60034</v>
      </c>
      <c r="BO503" s="94" t="s">
        <v>20</v>
      </c>
      <c r="BP503" s="158" t="n">
        <f aca="false">IF(Z503&gt;=BB503,0,IFERROR(BB503+(SUMPRODUCT((Z$4:Z$503&gt;=BB$4:BB$503)*(Z$4:Z$503-BB$4:BB$503))/MAX(1,COUNTIF(Z$4:Z$503,"&lt;"&amp;BB503+0.01))),BB503))</f>
        <v>10695.5432177778</v>
      </c>
      <c r="BQ503" s="159" t="n">
        <f aca="false">IF(AA503&gt;=BC503,0,IFERROR(BC503+SUMPRODUCT((AA$4:AA$503&gt;=BC$4:BC$503)*(AA$4:AA$503-BC$4:BC$503))/MAX(1,COUNTIF(AA$4:AA$503,"&lt;"&amp;BC503+0.01)),BC503))</f>
        <v>2238.46589176471</v>
      </c>
      <c r="BR503" s="159" t="n">
        <f aca="false">IF(AB503&gt;=BD503,0,IFERROR(BD503+SUMPRODUCT((AB$4:AB$503&gt;=BD$4:BD$503)*(AB$4:AB$503-BD$4:BD$503))/MAX(1,COUNTIF(AB$4:AB$503,"&lt;"&amp;BD503+0.01)),BD503))</f>
        <v>3335.2938</v>
      </c>
      <c r="BS503" s="159" t="n">
        <f aca="false">IF(AC503&gt;=BE503,0,IFERROR(BE503+SUMPRODUCT((AC$4:AC$503&gt;=BE$4:BE$503)*(AC$4:AC$503-BE$4:BE$503))/MAX(1,COUNTIF(AC$4:AC$503,"&lt;"&amp;BE503+0.01)),BE503))</f>
        <v>6188.73352</v>
      </c>
      <c r="BT503" s="159" t="n">
        <f aca="false">IF(AD503&gt;=BF503,0,IFERROR(BF503+SUMPRODUCT((AD$4:AD$503&gt;=BF$4:BF$503)*(AD$4:AD$503-BF$4:BF$503))/MAX(1,COUNTIF(AD$4:AD$503,"&lt;"&amp;BF503+0.01)),BF503))</f>
        <v>11354.35411</v>
      </c>
      <c r="BU503" s="159" t="n">
        <f aca="false">IF(AE503&gt;=BG503,0,IFERROR(BG503+SUMPRODUCT((AE$4:AE$503&gt;=BG$4:BG$503)*(AE$4:AE$503-BG$4:BG$503))/MAX(1,COUNTIF(AE$4:AE$503,"&lt;"&amp;BG503+0.01)),BG503))</f>
        <v>7704.85920380952</v>
      </c>
      <c r="BV503" s="159" t="n">
        <f aca="false">IF(AF503&gt;=BH503,0,IFERROR(BH503+SUMPRODUCT((AF$4:AF$503&gt;=BH$4:BH$503)*(AF$4:AF$503-BH$4:BH$503))/MAX(1,COUNTIF(AF$4:AF$503,"&lt;"&amp;BH503+0.01)),BH503))</f>
        <v>9942.6503831579</v>
      </c>
      <c r="BW503" s="159" t="n">
        <f aca="false">IF(AG503&gt;=BI503,0,IFERROR(BI503+SUMPRODUCT((AG$4:AG$503&gt;=BI$4:BI$503)*(AG$4:AG$503-BI$4:BI$503))/MAX(1,COUNTIF(AG$4:AG$503,"&lt;"&amp;BI503+0.01)),BI503))</f>
        <v>9142.15870461538</v>
      </c>
      <c r="BX503" s="159" t="n">
        <f aca="false">IF(AH503&gt;=BJ503,0,IFERROR(BJ503+SUMPRODUCT((AH$4:AH$503&gt;=BJ$4:BJ$503)*(AH$4:AH$503-BJ$4:BJ$503))/MAX(1,COUNTIF(AH$4:AH$503,"&lt;"&amp;BJ503+0.01)),BJ503))</f>
        <v>5621.50263448276</v>
      </c>
      <c r="BY503" s="159" t="n">
        <f aca="false">IF(AI503&gt;=BK503,0,IFERROR(BK503+SUMPRODUCT((AI$4:AI$503&gt;=BK$4:BK$503)*(AI$4:AI$503-BK$4:BK$503))/MAX(1,COUNTIF(AI$4:AI$503,"&lt;"&amp;BK503+0.01)),BK503))</f>
        <v>7878.25652380952</v>
      </c>
      <c r="BZ503" s="159" t="n">
        <f aca="false">IF(AJ503&gt;=BL503,0,IFERROR(BL503+SUMPRODUCT((AJ$4:AJ$503&gt;=BL$4:BL$503)*(AJ$4:AJ$503-BL$4:BL$503))/MAX(1,COUNTIF(AJ$4:AJ$503,"&lt;"&amp;BL503+0.01)),BL503))</f>
        <v>6710.03292307692</v>
      </c>
      <c r="CA503" s="159" t="n">
        <f aca="false">IF(AK503&gt;=BM503,0,IFERROR(BM503+SUMPRODUCT((AK$4:AK$503&gt;=BM$4:BM$503)*(AK$4:AK$503-BM$4:BM$503))/MAX(1,COUNTIF(AK$4:AK$503,"&lt;"&amp;BM503+0.01)),BM503))</f>
        <v>7314.89836842105</v>
      </c>
      <c r="CB503" s="160" t="n">
        <f aca="false">IF(AL503&gt;=BN503,0,IFERROR(BN503+SUMPRODUCT((AL$4:AL$503&gt;=BN$4:BN$503)*(AL$4:AL$503-BN$4:BN$503))/MAX(1,COUNTIF(AL$4:AL$503,"&lt;"&amp;BN503+0.01)),BN503))</f>
        <v>3597.2614925</v>
      </c>
      <c r="CC503" s="95" t="str">
        <f aca="false">IF(AO503="🟢","VERDE",IF(AO503="🟡","AMARELO",IF(AO503="🟠","VERMELHO",IF(AO503="🔴","VERMELHO","ROXO"))))</f>
        <v>VERMELHO</v>
      </c>
      <c r="CD503" s="96" t="s">
        <v>176</v>
      </c>
      <c r="CE503" s="96" t="s">
        <v>128</v>
      </c>
    </row>
    <row r="504" customFormat="false" ht="14.25" hidden="false" customHeight="true" outlineLevel="0" collapsed="false">
      <c r="A504" s="161" t="s">
        <v>1122</v>
      </c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62" t="n">
        <f aca="false">SUM(L4:L503)</f>
        <v>4747199.96</v>
      </c>
      <c r="M504" s="162" t="n">
        <f aca="false">SUM(M4:M503)</f>
        <v>333600.04</v>
      </c>
      <c r="N504" s="162" t="n">
        <f aca="false">SUM(N4:N503)</f>
        <v>348599.98</v>
      </c>
      <c r="O504" s="162" t="n">
        <f aca="false">SUM(O4:O503)</f>
        <v>356999.95</v>
      </c>
      <c r="P504" s="162" t="n">
        <f aca="false">SUM(P4:P503)</f>
        <v>366299.92</v>
      </c>
      <c r="Q504" s="162" t="n">
        <f aca="false">SUM(Q4:Q503)</f>
        <v>378299.96</v>
      </c>
      <c r="R504" s="162" t="n">
        <f aca="false">SUM(R4:R503)</f>
        <v>388200.02</v>
      </c>
      <c r="S504" s="162" t="n">
        <f aca="false">SUM(S4:S503)</f>
        <v>403200.06</v>
      </c>
      <c r="T504" s="162" t="n">
        <f aca="false">SUM(T4:T503)</f>
        <v>413099.95</v>
      </c>
      <c r="U504" s="162" t="n">
        <f aca="false">SUM(U4:U503)</f>
        <v>422400.1</v>
      </c>
      <c r="V504" s="162" t="n">
        <f aca="false">SUM(V4:V503)</f>
        <v>432899.9</v>
      </c>
      <c r="W504" s="162" t="n">
        <f aca="false">SUM(W4:W503)</f>
        <v>444299.91</v>
      </c>
      <c r="X504" s="162" t="n">
        <f aca="false">SUM(X4:X503)</f>
        <v>459300.17</v>
      </c>
      <c r="Y504" s="163"/>
      <c r="Z504" s="164" t="n">
        <f aca="false">SUM(Z4:Z503)</f>
        <v>2149389.1</v>
      </c>
      <c r="AA504" s="164" t="n">
        <f aca="false">SUM(AA4:AA503)</f>
        <v>43265.53</v>
      </c>
      <c r="AB504" s="162" t="n">
        <f aca="false">SUM(AB4:AB503)</f>
        <v>38004.48</v>
      </c>
      <c r="AC504" s="162" t="n">
        <f aca="false">SUM(AC4:AC503)</f>
        <v>120928.45</v>
      </c>
      <c r="AD504" s="162" t="n">
        <f aca="false">SUM(AD4:AD503)</f>
        <v>217224.72</v>
      </c>
      <c r="AE504" s="162" t="n">
        <f aca="false">SUM(AE4:AE503)</f>
        <v>206347.05</v>
      </c>
      <c r="AF504" s="162" t="n">
        <f aca="false">SUM(AF4:AF503)</f>
        <v>253590.52</v>
      </c>
      <c r="AG504" s="162" t="n">
        <f aca="false">SUM(AG4:AG503)</f>
        <v>174049.7</v>
      </c>
      <c r="AH504" s="162" t="n">
        <f aca="false">SUM(AH4:AH503)</f>
        <v>235033.48</v>
      </c>
      <c r="AI504" s="162" t="n">
        <f aca="false">SUM(AI4:AI503)</f>
        <v>234690.3</v>
      </c>
      <c r="AJ504" s="162" t="n">
        <f aca="false">SUM(AJ4:AJ503)</f>
        <v>260195</v>
      </c>
      <c r="AK504" s="162" t="n">
        <f aca="false">SUM(AK4:AK503)</f>
        <v>196016.58</v>
      </c>
      <c r="AL504" s="162" t="n">
        <f aca="false">SUM(AL4:AL503)</f>
        <v>170043.29</v>
      </c>
      <c r="AM504" s="56" t="s">
        <v>20</v>
      </c>
      <c r="AN504" s="165" t="n">
        <f aca="false">IF(L504=0,0,Z504/L504)</f>
        <v>0.452769868156133</v>
      </c>
      <c r="AO504" s="141"/>
      <c r="AP504" s="164" t="n">
        <f aca="false">SUM(AP4:AP503)</f>
        <v>2597810.86</v>
      </c>
      <c r="AQ504" s="166"/>
      <c r="AR504" s="141"/>
      <c r="AS504" s="141"/>
      <c r="AT504" s="141"/>
      <c r="AU504" s="141"/>
      <c r="AV504" s="141"/>
      <c r="AW504" s="141"/>
      <c r="AX504" s="141"/>
      <c r="AY504" s="142"/>
      <c r="AZ504" s="142"/>
      <c r="BA504" s="141"/>
      <c r="BB504" s="142"/>
      <c r="BC504" s="142"/>
      <c r="BD504" s="142"/>
      <c r="BE504" s="142"/>
      <c r="BF504" s="142"/>
      <c r="BG504" s="142"/>
      <c r="BH504" s="142"/>
      <c r="BI504" s="142"/>
      <c r="BJ504" s="142"/>
      <c r="BK504" s="142"/>
      <c r="BL504" s="142"/>
      <c r="BM504" s="142"/>
      <c r="BN504" s="142"/>
      <c r="BO504" s="141"/>
      <c r="BP504" s="167"/>
      <c r="BQ504" s="142"/>
      <c r="BR504" s="142"/>
      <c r="BS504" s="142"/>
      <c r="BT504" s="142"/>
      <c r="BU504" s="142"/>
      <c r="BV504" s="142"/>
      <c r="BW504" s="142"/>
      <c r="BX504" s="142"/>
      <c r="BY504" s="142"/>
      <c r="BZ504" s="142"/>
      <c r="CA504" s="142"/>
      <c r="CB504" s="142"/>
    </row>
  </sheetData>
  <mergeCells count="2">
    <mergeCell ref="BB2:BN2"/>
    <mergeCell ref="BP2:C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6" min="4" style="1" width="16"/>
    <col collapsed="false" customWidth="true" hidden="false" outlineLevel="0" max="8" min="7" style="1" width="14"/>
    <col collapsed="false" customWidth="true" hidden="false" outlineLevel="0" max="13" min="9" style="1" width="10"/>
    <col collapsed="false" customWidth="true" hidden="false" outlineLevel="0" max="14" min="14" style="1" width="16"/>
  </cols>
  <sheetData>
    <row r="1" customFormat="false" ht="23.25" hidden="false" customHeight="true" outlineLevel="0" collapsed="false">
      <c r="A1" s="168" t="s">
        <v>1123</v>
      </c>
      <c r="H1" s="169" t="s">
        <v>1124</v>
      </c>
    </row>
    <row r="3" customFormat="false" ht="15" hidden="false" customHeight="true" outlineLevel="0" collapsed="false">
      <c r="A3" s="168" t="s">
        <v>1125</v>
      </c>
      <c r="C3" s="168" t="s">
        <v>12</v>
      </c>
      <c r="D3" s="168" t="s">
        <v>1126</v>
      </c>
      <c r="E3" s="168" t="s">
        <v>1127</v>
      </c>
      <c r="F3" s="168" t="s">
        <v>63</v>
      </c>
      <c r="G3" s="168" t="s">
        <v>1128</v>
      </c>
      <c r="I3" s="168" t="s">
        <v>1129</v>
      </c>
      <c r="J3" s="168" t="s">
        <v>1130</v>
      </c>
      <c r="K3" s="168" t="s">
        <v>1131</v>
      </c>
      <c r="L3" s="168" t="s">
        <v>1132</v>
      </c>
    </row>
    <row r="4" customFormat="false" ht="15" hidden="false" customHeight="true" outlineLevel="0" collapsed="false">
      <c r="A4" s="168" t="s">
        <v>1122</v>
      </c>
      <c r="C4" s="170" t="n">
        <v>661</v>
      </c>
      <c r="D4" s="171" t="n">
        <v>1914745.74</v>
      </c>
      <c r="E4" s="171" t="n">
        <v>4761598.81</v>
      </c>
      <c r="F4" s="171" t="n">
        <v>2846853.07</v>
      </c>
      <c r="G4" s="172" t="n">
        <v>0.4021</v>
      </c>
      <c r="I4" s="170" t="n">
        <v>129</v>
      </c>
      <c r="J4" s="170" t="n">
        <v>65</v>
      </c>
      <c r="K4" s="170" t="n">
        <v>298</v>
      </c>
      <c r="L4" s="170" t="n">
        <v>169</v>
      </c>
    </row>
    <row r="6" customFormat="false" ht="15" hidden="false" customHeight="true" outlineLevel="0" collapsed="false">
      <c r="A6" s="168" t="s">
        <v>1133</v>
      </c>
    </row>
    <row r="7" customFormat="false" ht="15" hidden="false" customHeight="true" outlineLevel="0" collapsed="false">
      <c r="A7" s="168" t="s">
        <v>1134</v>
      </c>
      <c r="B7" s="168" t="s">
        <v>1135</v>
      </c>
      <c r="C7" s="168" t="s">
        <v>1136</v>
      </c>
      <c r="D7" s="168" t="s">
        <v>1137</v>
      </c>
      <c r="E7" s="168" t="s">
        <v>1138</v>
      </c>
      <c r="F7" s="168" t="s">
        <v>1139</v>
      </c>
      <c r="G7" s="168" t="s">
        <v>1140</v>
      </c>
      <c r="H7" s="168" t="s">
        <v>1141</v>
      </c>
      <c r="I7" s="168" t="s">
        <v>1142</v>
      </c>
      <c r="J7" s="168" t="s">
        <v>1143</v>
      </c>
      <c r="K7" s="168" t="s">
        <v>1144</v>
      </c>
      <c r="L7" s="168" t="s">
        <v>1145</v>
      </c>
      <c r="M7" s="168" t="s">
        <v>1146</v>
      </c>
      <c r="N7" s="168" t="s">
        <v>1122</v>
      </c>
    </row>
    <row r="8" customFormat="false" ht="15" hidden="false" customHeight="true" outlineLevel="0" collapsed="false">
      <c r="A8" s="169" t="s">
        <v>1147</v>
      </c>
      <c r="B8" s="171" t="n">
        <v>86531.06</v>
      </c>
      <c r="C8" s="171" t="n">
        <v>76008.96</v>
      </c>
      <c r="D8" s="171" t="n">
        <v>224904.26</v>
      </c>
      <c r="E8" s="171" t="n">
        <v>341935.26</v>
      </c>
      <c r="F8" s="171" t="n">
        <v>459801.18</v>
      </c>
      <c r="G8" s="171" t="n">
        <v>443881.66</v>
      </c>
      <c r="H8" s="171" t="n">
        <v>321213.96</v>
      </c>
      <c r="I8" s="171" t="n">
        <v>438728.1</v>
      </c>
      <c r="J8" s="171" t="n">
        <v>403250.36</v>
      </c>
      <c r="K8" s="171" t="n">
        <v>550032.36</v>
      </c>
      <c r="L8" s="171" t="n">
        <v>555347.4</v>
      </c>
      <c r="M8" s="171" t="n">
        <v>379940.98</v>
      </c>
      <c r="N8" s="173" t="n">
        <v>4281575.54</v>
      </c>
    </row>
    <row r="9" customFormat="false" ht="15" hidden="false" customHeight="true" outlineLevel="0" collapsed="false">
      <c r="A9" s="169" t="s">
        <v>1148</v>
      </c>
      <c r="B9" s="170" t="n">
        <v>33</v>
      </c>
      <c r="C9" s="170" t="n">
        <v>27</v>
      </c>
      <c r="D9" s="170" t="n">
        <v>55</v>
      </c>
      <c r="E9" s="170" t="n">
        <v>66</v>
      </c>
      <c r="F9" s="170" t="n">
        <v>80</v>
      </c>
      <c r="G9" s="170" t="n">
        <v>105</v>
      </c>
      <c r="H9" s="170" t="n">
        <v>81</v>
      </c>
      <c r="I9" s="170" t="n">
        <v>119</v>
      </c>
      <c r="J9" s="170" t="n">
        <v>96</v>
      </c>
      <c r="K9" s="170" t="n">
        <v>119</v>
      </c>
      <c r="L9" s="170" t="n">
        <v>97</v>
      </c>
      <c r="M9" s="170" t="n">
        <v>93</v>
      </c>
    </row>
    <row r="11" customFormat="false" ht="15" hidden="false" customHeight="true" outlineLevel="0" collapsed="false">
      <c r="A11" s="168" t="s">
        <v>1149</v>
      </c>
    </row>
    <row r="12" customFormat="false" ht="15" hidden="false" customHeight="true" outlineLevel="0" collapsed="false">
      <c r="A12" s="168"/>
      <c r="B12" s="168" t="s">
        <v>1150</v>
      </c>
      <c r="C12" s="168" t="s">
        <v>1151</v>
      </c>
      <c r="D12" s="168" t="s">
        <v>1152</v>
      </c>
      <c r="E12" s="168" t="s">
        <v>1153</v>
      </c>
      <c r="F12" s="168" t="s">
        <v>1154</v>
      </c>
      <c r="G12" s="168" t="s">
        <v>1155</v>
      </c>
      <c r="H12" s="168" t="s">
        <v>1156</v>
      </c>
      <c r="I12" s="168" t="s">
        <v>1157</v>
      </c>
      <c r="J12" s="168" t="s">
        <v>1158</v>
      </c>
      <c r="K12" s="168" t="s">
        <v>1159</v>
      </c>
      <c r="L12" s="168" t="s">
        <v>1160</v>
      </c>
      <c r="M12" s="168" t="s">
        <v>1161</v>
      </c>
      <c r="N12" s="168" t="s">
        <v>1122</v>
      </c>
    </row>
    <row r="13" customFormat="false" ht="15" hidden="false" customHeight="true" outlineLevel="0" collapsed="false">
      <c r="A13" s="169" t="s">
        <v>1162</v>
      </c>
      <c r="B13" s="171" t="n">
        <v>43265</v>
      </c>
      <c r="C13" s="171" t="n">
        <v>38004</v>
      </c>
      <c r="D13" s="171" t="n">
        <v>113363</v>
      </c>
      <c r="E13" s="171" t="n">
        <v>17994</v>
      </c>
      <c r="F13" s="171" t="n">
        <v>233485</v>
      </c>
      <c r="G13" s="171" t="n">
        <v>223750</v>
      </c>
      <c r="H13" s="171" t="n">
        <v>161139</v>
      </c>
      <c r="I13" s="171" t="n">
        <v>220074</v>
      </c>
      <c r="J13" s="171" t="n">
        <v>202758</v>
      </c>
      <c r="K13" s="171" t="n">
        <v>275460</v>
      </c>
      <c r="L13" s="171" t="n">
        <v>0</v>
      </c>
      <c r="M13" s="171" t="n">
        <v>0</v>
      </c>
      <c r="N13" s="173" t="n">
        <v>1529292</v>
      </c>
    </row>
    <row r="14" customFormat="false" ht="15" hidden="false" customHeight="true" outlineLevel="0" collapsed="false">
      <c r="A14" s="169" t="s">
        <v>1163</v>
      </c>
      <c r="B14" s="171" t="n">
        <v>333600</v>
      </c>
      <c r="C14" s="171" t="n">
        <v>348600</v>
      </c>
      <c r="D14" s="171" t="n">
        <v>357000</v>
      </c>
      <c r="E14" s="171" t="n">
        <v>366300</v>
      </c>
      <c r="F14" s="171" t="n">
        <v>378300</v>
      </c>
      <c r="G14" s="171" t="n">
        <v>388200</v>
      </c>
      <c r="H14" s="171" t="n">
        <v>403200</v>
      </c>
      <c r="I14" s="171" t="n">
        <v>413100</v>
      </c>
      <c r="J14" s="171" t="n">
        <v>422400</v>
      </c>
      <c r="K14" s="171" t="n">
        <v>432900</v>
      </c>
      <c r="L14" s="171" t="n">
        <v>444300</v>
      </c>
      <c r="M14" s="171" t="n">
        <v>459300</v>
      </c>
      <c r="N14" s="173" t="n">
        <v>4747200</v>
      </c>
    </row>
    <row r="15" customFormat="false" ht="15" hidden="false" customHeight="true" outlineLevel="0" collapsed="false">
      <c r="A15" s="169" t="s">
        <v>1164</v>
      </c>
      <c r="B15" s="172" t="n">
        <v>0.129691</v>
      </c>
      <c r="C15" s="172" t="n">
        <v>0.109019</v>
      </c>
      <c r="D15" s="172" t="n">
        <v>0.317543</v>
      </c>
      <c r="E15" s="172" t="n">
        <v>0.049124</v>
      </c>
      <c r="F15" s="172" t="n">
        <v>0.617195</v>
      </c>
      <c r="G15" s="172" t="n">
        <v>0.576378</v>
      </c>
      <c r="H15" s="172" t="n">
        <v>0.39965</v>
      </c>
      <c r="I15" s="172" t="n">
        <v>0.532738</v>
      </c>
      <c r="J15" s="172" t="n">
        <v>0.480014</v>
      </c>
      <c r="K15" s="172" t="n">
        <v>0.636313</v>
      </c>
      <c r="L15" s="172" t="n">
        <v>0</v>
      </c>
      <c r="M15" s="172" t="n">
        <v>0</v>
      </c>
    </row>
    <row r="17" customFormat="false" ht="15" hidden="false" customHeight="true" outlineLevel="0" collapsed="false">
      <c r="A17" s="168" t="s">
        <v>1165</v>
      </c>
    </row>
    <row r="18" customFormat="false" ht="15" hidden="false" customHeight="true" outlineLevel="0" collapsed="false">
      <c r="A18" s="168" t="s">
        <v>27</v>
      </c>
      <c r="B18" s="168" t="s">
        <v>1166</v>
      </c>
      <c r="C18" s="168" t="s">
        <v>1167</v>
      </c>
      <c r="D18" s="168" t="s">
        <v>1168</v>
      </c>
      <c r="E18" s="168" t="s">
        <v>1129</v>
      </c>
      <c r="F18" s="168" t="s">
        <v>1130</v>
      </c>
      <c r="G18" s="168" t="s">
        <v>1131</v>
      </c>
      <c r="H18" s="168" t="s">
        <v>1132</v>
      </c>
    </row>
    <row r="19" customFormat="false" ht="15" hidden="false" customHeight="true" outlineLevel="0" collapsed="false">
      <c r="A19" s="169" t="s">
        <v>139</v>
      </c>
      <c r="B19" s="170" t="n">
        <v>203</v>
      </c>
      <c r="C19" s="171" t="n">
        <v>396870.95</v>
      </c>
      <c r="D19" s="171" t="n">
        <v>1750070.01</v>
      </c>
      <c r="E19" s="170" t="n">
        <v>108</v>
      </c>
      <c r="F19" s="170" t="n">
        <v>19</v>
      </c>
      <c r="G19" s="170" t="n">
        <v>0</v>
      </c>
      <c r="H19" s="170" t="n">
        <v>76</v>
      </c>
    </row>
    <row r="20" customFormat="false" ht="15" hidden="false" customHeight="true" outlineLevel="0" collapsed="false">
      <c r="A20" s="169" t="s">
        <v>119</v>
      </c>
      <c r="B20" s="170" t="n">
        <v>99</v>
      </c>
      <c r="C20" s="171" t="n">
        <v>320538.29</v>
      </c>
      <c r="D20" s="171" t="n">
        <v>615473.87</v>
      </c>
      <c r="E20" s="170" t="n">
        <v>74</v>
      </c>
      <c r="F20" s="170" t="n">
        <v>10</v>
      </c>
      <c r="G20" s="170" t="n">
        <v>0</v>
      </c>
      <c r="H20" s="170" t="n">
        <v>15</v>
      </c>
    </row>
    <row r="21" customFormat="false" ht="15" hidden="false" customHeight="true" outlineLevel="0" collapsed="false">
      <c r="A21" s="169" t="s">
        <v>109</v>
      </c>
      <c r="B21" s="170" t="n">
        <v>85</v>
      </c>
      <c r="C21" s="171" t="n">
        <v>308408.1</v>
      </c>
      <c r="D21" s="171" t="n">
        <v>563427.09</v>
      </c>
      <c r="E21" s="170" t="n">
        <v>72</v>
      </c>
      <c r="F21" s="170" t="n">
        <v>5</v>
      </c>
      <c r="G21" s="170" t="n">
        <v>0</v>
      </c>
      <c r="H21" s="170" t="n">
        <v>8</v>
      </c>
    </row>
    <row r="22" customFormat="false" ht="15" hidden="false" customHeight="true" outlineLevel="0" collapsed="false">
      <c r="A22" s="169" t="s">
        <v>114</v>
      </c>
      <c r="B22" s="170" t="n">
        <v>34</v>
      </c>
      <c r="C22" s="171" t="n">
        <v>152787.93</v>
      </c>
      <c r="D22" s="171" t="n">
        <v>211121.9</v>
      </c>
      <c r="E22" s="170" t="n">
        <v>27</v>
      </c>
      <c r="F22" s="170" t="n">
        <v>3</v>
      </c>
      <c r="G22" s="170" t="n">
        <v>0</v>
      </c>
      <c r="H22" s="170" t="n">
        <v>4</v>
      </c>
    </row>
    <row r="23" customFormat="false" ht="15" hidden="false" customHeight="true" outlineLevel="0" collapsed="false">
      <c r="A23" s="169" t="s">
        <v>196</v>
      </c>
      <c r="B23" s="170" t="n">
        <v>73</v>
      </c>
      <c r="C23" s="171" t="n">
        <v>125853.27</v>
      </c>
      <c r="D23" s="171" t="n">
        <v>530465.41</v>
      </c>
      <c r="E23" s="170" t="n">
        <v>42</v>
      </c>
      <c r="F23" s="170" t="n">
        <v>4</v>
      </c>
      <c r="G23" s="170" t="n">
        <v>0</v>
      </c>
      <c r="H23" s="170" t="n">
        <v>27</v>
      </c>
    </row>
    <row r="24" customFormat="false" ht="15" hidden="false" customHeight="true" outlineLevel="0" collapsed="false">
      <c r="A24" s="169" t="s">
        <v>187</v>
      </c>
      <c r="B24" s="170" t="n">
        <v>16</v>
      </c>
      <c r="C24" s="171" t="n">
        <v>123572.49</v>
      </c>
      <c r="D24" s="171" t="n">
        <v>90513.75</v>
      </c>
      <c r="E24" s="170" t="n">
        <v>13</v>
      </c>
      <c r="F24" s="170" t="n">
        <v>2</v>
      </c>
      <c r="G24" s="170" t="n">
        <v>0</v>
      </c>
      <c r="H24" s="170" t="n">
        <v>1</v>
      </c>
    </row>
    <row r="25" customFormat="false" ht="15" hidden="false" customHeight="true" outlineLevel="0" collapsed="false">
      <c r="A25" s="169" t="s">
        <v>101</v>
      </c>
      <c r="B25" s="170" t="n">
        <v>14</v>
      </c>
      <c r="C25" s="171" t="n">
        <v>121416.34</v>
      </c>
      <c r="D25" s="171" t="n">
        <v>94271.58</v>
      </c>
      <c r="E25" s="170" t="n">
        <v>11</v>
      </c>
      <c r="F25" s="170" t="n">
        <v>0</v>
      </c>
      <c r="G25" s="170" t="n">
        <v>0</v>
      </c>
      <c r="H25" s="170" t="n">
        <v>3</v>
      </c>
    </row>
    <row r="26" customFormat="false" ht="15" hidden="false" customHeight="true" outlineLevel="0" collapsed="false">
      <c r="A26" s="169" t="s">
        <v>127</v>
      </c>
      <c r="B26" s="170" t="n">
        <v>20</v>
      </c>
      <c r="C26" s="171" t="n">
        <v>80281.33</v>
      </c>
      <c r="D26" s="171" t="n">
        <v>118891.75</v>
      </c>
      <c r="E26" s="170" t="n">
        <v>13</v>
      </c>
      <c r="F26" s="170" t="n">
        <v>4</v>
      </c>
      <c r="G26" s="170" t="n">
        <v>0</v>
      </c>
      <c r="H26" s="170" t="n">
        <v>3</v>
      </c>
    </row>
    <row r="27" customFormat="false" ht="15" hidden="false" customHeight="true" outlineLevel="0" collapsed="false">
      <c r="A27" s="169" t="s">
        <v>260</v>
      </c>
      <c r="B27" s="170" t="n">
        <v>30</v>
      </c>
      <c r="C27" s="171" t="n">
        <v>75528.99</v>
      </c>
      <c r="D27" s="171" t="n">
        <v>199206.75</v>
      </c>
      <c r="E27" s="170" t="n">
        <v>18</v>
      </c>
      <c r="F27" s="170" t="n">
        <v>7</v>
      </c>
      <c r="G27" s="170" t="n">
        <v>0</v>
      </c>
      <c r="H27" s="170" t="n">
        <v>5</v>
      </c>
    </row>
    <row r="28" customFormat="false" ht="15" hidden="false" customHeight="true" outlineLevel="0" collapsed="false">
      <c r="A28" s="169" t="s">
        <v>146</v>
      </c>
      <c r="B28" s="170" t="n">
        <v>13</v>
      </c>
      <c r="C28" s="171" t="n">
        <v>47948.75</v>
      </c>
      <c r="D28" s="171" t="n">
        <v>91572.08</v>
      </c>
      <c r="E28" s="170" t="n">
        <v>7</v>
      </c>
      <c r="F28" s="170" t="n">
        <v>0</v>
      </c>
      <c r="G28" s="170" t="n">
        <v>0</v>
      </c>
      <c r="H28" s="170" t="n">
        <v>6</v>
      </c>
    </row>
    <row r="29" customFormat="false" ht="15" hidden="false" customHeight="true" outlineLevel="0" collapsed="false">
      <c r="A29" s="169" t="s">
        <v>243</v>
      </c>
      <c r="B29" s="170" t="n">
        <v>17</v>
      </c>
      <c r="C29" s="171" t="n">
        <v>41930.08</v>
      </c>
      <c r="D29" s="171" t="n">
        <v>128061.9</v>
      </c>
      <c r="E29" s="170" t="n">
        <v>10</v>
      </c>
      <c r="F29" s="170" t="n">
        <v>4</v>
      </c>
      <c r="G29" s="170" t="n">
        <v>0</v>
      </c>
      <c r="H29" s="170" t="n">
        <v>3</v>
      </c>
    </row>
    <row r="30" customFormat="false" ht="15" hidden="false" customHeight="true" outlineLevel="0" collapsed="false">
      <c r="A30" s="169" t="s">
        <v>250</v>
      </c>
      <c r="B30" s="170" t="n">
        <v>9</v>
      </c>
      <c r="C30" s="171" t="n">
        <v>24031.41</v>
      </c>
      <c r="D30" s="171" t="n">
        <v>52440.58</v>
      </c>
      <c r="E30" s="170" t="n">
        <v>6</v>
      </c>
      <c r="F30" s="170" t="n">
        <v>1</v>
      </c>
      <c r="G30" s="170" t="n">
        <v>0</v>
      </c>
      <c r="H30" s="170" t="n">
        <v>2</v>
      </c>
    </row>
    <row r="31" customFormat="false" ht="15" hidden="false" customHeight="true" outlineLevel="0" collapsed="false">
      <c r="A31" s="169" t="s">
        <v>420</v>
      </c>
      <c r="B31" s="170" t="n">
        <v>10</v>
      </c>
      <c r="C31" s="171" t="n">
        <v>23121.98</v>
      </c>
      <c r="D31" s="171" t="n">
        <v>67574.25</v>
      </c>
      <c r="E31" s="170" t="n">
        <v>5</v>
      </c>
      <c r="F31" s="170" t="n">
        <v>2</v>
      </c>
      <c r="G31" s="170" t="n">
        <v>0</v>
      </c>
      <c r="H31" s="170" t="n">
        <v>3</v>
      </c>
    </row>
    <row r="32" customFormat="false" ht="15" hidden="false" customHeight="true" outlineLevel="0" collapsed="false">
      <c r="A32" s="169" t="s">
        <v>263</v>
      </c>
      <c r="B32" s="170" t="n">
        <v>5</v>
      </c>
      <c r="C32" s="171" t="n">
        <v>21937.98</v>
      </c>
      <c r="D32" s="171" t="n">
        <v>28077.5</v>
      </c>
      <c r="E32" s="170" t="n">
        <v>5</v>
      </c>
      <c r="F32" s="170" t="n">
        <v>0</v>
      </c>
      <c r="G32" s="170" t="n">
        <v>0</v>
      </c>
      <c r="H32" s="170" t="n">
        <v>0</v>
      </c>
    </row>
    <row r="33" customFormat="false" ht="15" hidden="false" customHeight="true" outlineLevel="0" collapsed="false">
      <c r="A33" s="169" t="s">
        <v>281</v>
      </c>
      <c r="B33" s="170" t="n">
        <v>6</v>
      </c>
      <c r="C33" s="171" t="n">
        <v>14426.88</v>
      </c>
      <c r="D33" s="171" t="n">
        <v>39893.79</v>
      </c>
      <c r="E33" s="170" t="n">
        <v>3</v>
      </c>
      <c r="F33" s="170" t="n">
        <v>0</v>
      </c>
      <c r="G33" s="170" t="n">
        <v>0</v>
      </c>
      <c r="H33" s="170" t="n">
        <v>3</v>
      </c>
    </row>
    <row r="34" customFormat="false" ht="15" hidden="false" customHeight="true" outlineLevel="0" collapsed="false">
      <c r="A34" s="169" t="s">
        <v>311</v>
      </c>
      <c r="B34" s="170" t="n">
        <v>8</v>
      </c>
      <c r="C34" s="171" t="n">
        <v>13732.71</v>
      </c>
      <c r="D34" s="171" t="n">
        <v>50139.08</v>
      </c>
      <c r="E34" s="170" t="n">
        <v>3</v>
      </c>
      <c r="F34" s="170" t="n">
        <v>1</v>
      </c>
      <c r="G34" s="170" t="n">
        <v>0</v>
      </c>
      <c r="H34" s="170" t="n">
        <v>4</v>
      </c>
    </row>
    <row r="35" customFormat="false" ht="15" hidden="false" customHeight="true" outlineLevel="0" collapsed="false">
      <c r="A35" s="169" t="s">
        <v>347</v>
      </c>
      <c r="B35" s="170" t="n">
        <v>6</v>
      </c>
      <c r="C35" s="171" t="n">
        <v>7446.5</v>
      </c>
      <c r="D35" s="171" t="n">
        <v>44034.65</v>
      </c>
      <c r="E35" s="170" t="n">
        <v>4</v>
      </c>
      <c r="F35" s="170" t="n">
        <v>0</v>
      </c>
      <c r="G35" s="170" t="n">
        <v>0</v>
      </c>
      <c r="H35" s="170" t="n">
        <v>2</v>
      </c>
    </row>
    <row r="36" customFormat="false" ht="15" hidden="false" customHeight="true" outlineLevel="0" collapsed="false">
      <c r="A36" s="169" t="s">
        <v>513</v>
      </c>
      <c r="B36" s="170" t="n">
        <v>2</v>
      </c>
      <c r="C36" s="171" t="n">
        <v>4066.48</v>
      </c>
      <c r="D36" s="171" t="n">
        <v>15815.5</v>
      </c>
      <c r="E36" s="170" t="n">
        <v>1</v>
      </c>
      <c r="F36" s="170" t="n">
        <v>1</v>
      </c>
      <c r="G36" s="170" t="n">
        <v>0</v>
      </c>
      <c r="H36" s="170" t="n">
        <v>0</v>
      </c>
    </row>
    <row r="37" customFormat="false" ht="15" hidden="false" customHeight="true" outlineLevel="0" collapsed="false">
      <c r="A37" s="169" t="s">
        <v>490</v>
      </c>
      <c r="B37" s="170" t="n">
        <v>2</v>
      </c>
      <c r="C37" s="171" t="n">
        <v>3423.01</v>
      </c>
      <c r="D37" s="171" t="n">
        <v>11231</v>
      </c>
      <c r="E37" s="170" t="n">
        <v>1</v>
      </c>
      <c r="F37" s="170" t="n">
        <v>1</v>
      </c>
      <c r="G37" s="170" t="n">
        <v>0</v>
      </c>
      <c r="H37" s="170" t="n">
        <v>0</v>
      </c>
    </row>
    <row r="38" customFormat="false" ht="15" hidden="false" customHeight="true" outlineLevel="0" collapsed="false">
      <c r="A38" s="169" t="s">
        <v>467</v>
      </c>
      <c r="B38" s="170" t="n">
        <v>1</v>
      </c>
      <c r="C38" s="171" t="n">
        <v>2956.02</v>
      </c>
      <c r="D38" s="171" t="n">
        <v>5615.5</v>
      </c>
      <c r="E38" s="170" t="n">
        <v>0</v>
      </c>
      <c r="F38" s="170" t="n">
        <v>1</v>
      </c>
      <c r="G38" s="170" t="n">
        <v>0</v>
      </c>
      <c r="H38" s="170" t="n">
        <v>0</v>
      </c>
    </row>
    <row r="39" customFormat="false" ht="15" hidden="false" customHeight="true" outlineLevel="0" collapsed="false">
      <c r="A39" s="169" t="s">
        <v>692</v>
      </c>
      <c r="B39" s="170" t="n">
        <v>2</v>
      </c>
      <c r="C39" s="171" t="n">
        <v>1526.05</v>
      </c>
      <c r="D39" s="171" t="n">
        <v>16490.5</v>
      </c>
      <c r="E39" s="170" t="n">
        <v>1</v>
      </c>
      <c r="F39" s="170" t="n">
        <v>0</v>
      </c>
      <c r="G39" s="170" t="n">
        <v>0</v>
      </c>
      <c r="H39" s="170" t="n">
        <v>1</v>
      </c>
    </row>
    <row r="40" customFormat="false" ht="15" hidden="false" customHeight="true" outlineLevel="0" collapsed="false">
      <c r="A40" s="169" t="s">
        <v>935</v>
      </c>
      <c r="B40" s="170" t="n">
        <v>3</v>
      </c>
      <c r="C40" s="171" t="n">
        <v>1487.8</v>
      </c>
      <c r="D40" s="171" t="n">
        <v>17797.04</v>
      </c>
      <c r="E40" s="170" t="n">
        <v>2</v>
      </c>
      <c r="F40" s="170" t="n">
        <v>0</v>
      </c>
      <c r="G40" s="170" t="n">
        <v>0</v>
      </c>
      <c r="H40" s="170" t="n">
        <v>1</v>
      </c>
    </row>
    <row r="41" customFormat="false" ht="15" hidden="false" customHeight="true" outlineLevel="0" collapsed="false">
      <c r="A41" s="169" t="s">
        <v>717</v>
      </c>
      <c r="B41" s="170" t="n">
        <v>1</v>
      </c>
      <c r="C41" s="171" t="n">
        <v>1452.4</v>
      </c>
      <c r="D41" s="171" t="n">
        <v>6566.04</v>
      </c>
      <c r="E41" s="170" t="n">
        <v>1</v>
      </c>
      <c r="F41" s="170" t="n">
        <v>0</v>
      </c>
      <c r="G41" s="170" t="n">
        <v>0</v>
      </c>
      <c r="H41" s="170" t="n">
        <v>0</v>
      </c>
    </row>
    <row r="42" customFormat="false" ht="15" hidden="false" customHeight="true" outlineLevel="0" collapsed="false">
      <c r="A42" s="169" t="s">
        <v>1114</v>
      </c>
      <c r="B42" s="170" t="n">
        <v>2</v>
      </c>
      <c r="C42" s="171" t="n">
        <v>0</v>
      </c>
      <c r="D42" s="171" t="n">
        <v>12847.29</v>
      </c>
      <c r="E42" s="170" t="n">
        <v>0</v>
      </c>
      <c r="F42" s="170" t="n">
        <v>0</v>
      </c>
      <c r="G42" s="170" t="n">
        <v>0</v>
      </c>
      <c r="H42" s="170" t="n">
        <v>2</v>
      </c>
    </row>
    <row r="44" customFormat="false" ht="15" hidden="false" customHeight="true" outlineLevel="0" collapsed="false">
      <c r="A44" s="168" t="s">
        <v>1169</v>
      </c>
    </row>
    <row r="45" customFormat="false" ht="15" hidden="false" customHeight="true" outlineLevel="0" collapsed="false">
      <c r="A45" s="168" t="s">
        <v>1170</v>
      </c>
      <c r="B45" s="168" t="s">
        <v>1171</v>
      </c>
      <c r="C45" s="168" t="s">
        <v>1172</v>
      </c>
      <c r="D45" s="168" t="s">
        <v>1167</v>
      </c>
      <c r="E45" s="168" t="s">
        <v>1168</v>
      </c>
      <c r="F45" s="168" t="s">
        <v>1129</v>
      </c>
      <c r="G45" s="168" t="s">
        <v>1130</v>
      </c>
      <c r="H45" s="168" t="s">
        <v>1131</v>
      </c>
      <c r="I45" s="168" t="s">
        <v>1132</v>
      </c>
      <c r="J45" s="168" t="s">
        <v>1173</v>
      </c>
      <c r="K45" s="168" t="s">
        <v>1174</v>
      </c>
    </row>
    <row r="46" customFormat="false" ht="15" hidden="false" customHeight="true" outlineLevel="0" collapsed="false">
      <c r="A46" s="169" t="s">
        <v>108</v>
      </c>
      <c r="B46" s="169" t="s">
        <v>1175</v>
      </c>
      <c r="C46" s="170" t="n">
        <v>205</v>
      </c>
      <c r="D46" s="171" t="n">
        <v>660892.54</v>
      </c>
      <c r="E46" s="171" t="n">
        <v>1252938.64</v>
      </c>
      <c r="F46" s="170" t="n">
        <v>157</v>
      </c>
      <c r="G46" s="170" t="n">
        <v>18</v>
      </c>
      <c r="H46" s="170" t="n">
        <v>0</v>
      </c>
      <c r="I46" s="170" t="n">
        <v>30</v>
      </c>
      <c r="J46" s="170" t="n">
        <v>183</v>
      </c>
      <c r="K46" s="170" t="n">
        <v>22</v>
      </c>
    </row>
    <row r="47" customFormat="false" ht="15" hidden="false" customHeight="true" outlineLevel="0" collapsed="false">
      <c r="A47" s="169" t="s">
        <v>100</v>
      </c>
      <c r="B47" s="169" t="s">
        <v>1176</v>
      </c>
      <c r="C47" s="170" t="n">
        <v>224</v>
      </c>
      <c r="D47" s="171" t="n">
        <v>944816.32</v>
      </c>
      <c r="E47" s="171" t="n">
        <v>1301035.95</v>
      </c>
      <c r="F47" s="170" t="n">
        <v>164</v>
      </c>
      <c r="G47" s="170" t="n">
        <v>34</v>
      </c>
      <c r="H47" s="170" t="n">
        <v>0</v>
      </c>
      <c r="I47" s="170" t="n">
        <v>26</v>
      </c>
      <c r="J47" s="170" t="n">
        <v>199</v>
      </c>
      <c r="K47" s="170" t="n">
        <v>25</v>
      </c>
    </row>
    <row r="48" customFormat="false" ht="15" hidden="false" customHeight="true" outlineLevel="0" collapsed="false">
      <c r="A48" s="169" t="s">
        <v>175</v>
      </c>
      <c r="B48" s="169" t="s">
        <v>1177</v>
      </c>
      <c r="C48" s="170" t="n">
        <v>142</v>
      </c>
      <c r="D48" s="171" t="n">
        <v>197336.25</v>
      </c>
      <c r="E48" s="171" t="n">
        <v>1452883.24</v>
      </c>
      <c r="F48" s="170" t="n">
        <v>64</v>
      </c>
      <c r="G48" s="170" t="n">
        <v>11</v>
      </c>
      <c r="H48" s="170" t="n">
        <v>0</v>
      </c>
      <c r="I48" s="170" t="n">
        <v>67</v>
      </c>
      <c r="J48" s="170" t="n">
        <v>105</v>
      </c>
      <c r="K48" s="170" t="n">
        <v>37</v>
      </c>
    </row>
    <row r="49" customFormat="false" ht="15" hidden="false" customHeight="true" outlineLevel="0" collapsed="false">
      <c r="A49" s="169" t="s">
        <v>184</v>
      </c>
      <c r="B49" s="169" t="s">
        <v>1178</v>
      </c>
      <c r="C49" s="170" t="n">
        <v>90</v>
      </c>
      <c r="D49" s="171" t="n">
        <v>111700.63</v>
      </c>
      <c r="E49" s="171" t="n">
        <v>754740.98</v>
      </c>
      <c r="F49" s="170" t="n">
        <v>42</v>
      </c>
      <c r="G49" s="170" t="n">
        <v>2</v>
      </c>
      <c r="H49" s="170" t="n">
        <v>0</v>
      </c>
      <c r="I49" s="170" t="n">
        <v>46</v>
      </c>
      <c r="J49" s="170" t="n">
        <v>0</v>
      </c>
      <c r="K49" s="170" t="n">
        <v>90</v>
      </c>
    </row>
    <row r="51" customFormat="false" ht="15" hidden="false" customHeight="true" outlineLevel="0" collapsed="false">
      <c r="A51" s="168" t="s">
        <v>1179</v>
      </c>
    </row>
    <row r="52" customFormat="false" ht="15" hidden="false" customHeight="true" outlineLevel="0" collapsed="false">
      <c r="A52" s="168" t="s">
        <v>1180</v>
      </c>
      <c r="B52" s="168" t="s">
        <v>1172</v>
      </c>
      <c r="C52" s="168" t="s">
        <v>1167</v>
      </c>
      <c r="D52" s="168" t="s">
        <v>1168</v>
      </c>
      <c r="E52" s="168" t="s">
        <v>1129</v>
      </c>
      <c r="F52" s="168" t="s">
        <v>1130</v>
      </c>
      <c r="G52" s="168" t="s">
        <v>1131</v>
      </c>
      <c r="H52" s="168" t="s">
        <v>1132</v>
      </c>
    </row>
    <row r="53" customFormat="false" ht="15" hidden="false" customHeight="true" outlineLevel="0" collapsed="false">
      <c r="A53" s="169" t="s">
        <v>104</v>
      </c>
      <c r="B53" s="170" t="n">
        <v>389</v>
      </c>
      <c r="C53" s="171" t="n">
        <v>1560654.87</v>
      </c>
      <c r="D53" s="171" t="n">
        <v>2187598.5</v>
      </c>
      <c r="E53" s="170" t="n">
        <v>312</v>
      </c>
      <c r="F53" s="170" t="n">
        <v>56</v>
      </c>
      <c r="G53" s="170" t="n">
        <v>0</v>
      </c>
      <c r="H53" s="170" t="n">
        <v>21</v>
      </c>
    </row>
    <row r="54" customFormat="false" ht="15" hidden="false" customHeight="true" outlineLevel="0" collapsed="false">
      <c r="A54" s="169" t="s">
        <v>66</v>
      </c>
      <c r="B54" s="170" t="n">
        <v>58</v>
      </c>
      <c r="C54" s="171" t="n">
        <v>129226.13</v>
      </c>
      <c r="D54" s="171" t="n">
        <v>621000.2</v>
      </c>
      <c r="E54" s="170" t="n">
        <v>40</v>
      </c>
      <c r="F54" s="170" t="n">
        <v>4</v>
      </c>
      <c r="G54" s="170" t="n">
        <v>0</v>
      </c>
      <c r="H54" s="170" t="n">
        <v>14</v>
      </c>
    </row>
    <row r="55" customFormat="false" ht="15" hidden="false" customHeight="true" outlineLevel="0" collapsed="false">
      <c r="A55" s="169" t="s">
        <v>115</v>
      </c>
      <c r="B55" s="170" t="n">
        <v>35</v>
      </c>
      <c r="C55" s="171" t="n">
        <v>39481.86</v>
      </c>
      <c r="D55" s="171" t="n">
        <v>357000</v>
      </c>
      <c r="E55" s="170" t="n">
        <v>23</v>
      </c>
      <c r="F55" s="170" t="n">
        <v>1</v>
      </c>
      <c r="G55" s="170" t="n">
        <v>0</v>
      </c>
      <c r="H55" s="170" t="n">
        <v>11</v>
      </c>
    </row>
    <row r="56" customFormat="false" ht="15" hidden="false" customHeight="true" outlineLevel="0" collapsed="false">
      <c r="A56" s="169" t="s">
        <v>102</v>
      </c>
      <c r="B56" s="170" t="n">
        <v>72</v>
      </c>
      <c r="C56" s="171" t="n">
        <v>36465.62</v>
      </c>
      <c r="D56" s="171" t="n">
        <v>783000</v>
      </c>
      <c r="E56" s="170" t="n">
        <v>19</v>
      </c>
      <c r="F56" s="170" t="n">
        <v>0</v>
      </c>
      <c r="G56" s="170" t="n">
        <v>0</v>
      </c>
      <c r="H56" s="170" t="n">
        <v>53</v>
      </c>
    </row>
    <row r="57" customFormat="false" ht="15" hidden="false" customHeight="true" outlineLevel="0" collapsed="false">
      <c r="A57" s="169" t="s">
        <v>183</v>
      </c>
      <c r="B57" s="170" t="n">
        <v>3</v>
      </c>
      <c r="C57" s="171" t="n">
        <v>26946.46</v>
      </c>
      <c r="D57" s="171" t="n">
        <v>36000</v>
      </c>
      <c r="E57" s="170" t="n">
        <v>2</v>
      </c>
      <c r="F57" s="170" t="n">
        <v>1</v>
      </c>
      <c r="G57" s="170" t="n">
        <v>0</v>
      </c>
      <c r="H57" s="170" t="n">
        <v>0</v>
      </c>
    </row>
    <row r="58" customFormat="false" ht="15" hidden="false" customHeight="true" outlineLevel="0" collapsed="false">
      <c r="A58" s="169" t="s">
        <v>1181</v>
      </c>
      <c r="B58" s="170" t="n">
        <v>7</v>
      </c>
      <c r="C58" s="171" t="n">
        <v>23591.66</v>
      </c>
      <c r="D58" s="171" t="n">
        <v>36000.02</v>
      </c>
      <c r="E58" s="170" t="n">
        <v>7</v>
      </c>
      <c r="F58" s="170" t="n">
        <v>0</v>
      </c>
      <c r="G58" s="170" t="n">
        <v>0</v>
      </c>
      <c r="H58" s="170" t="n">
        <v>0</v>
      </c>
    </row>
    <row r="59" customFormat="false" ht="15" hidden="false" customHeight="true" outlineLevel="0" collapsed="false">
      <c r="A59" s="169" t="s">
        <v>110</v>
      </c>
      <c r="B59" s="170" t="n">
        <v>53</v>
      </c>
      <c r="C59" s="171" t="n">
        <v>21903.78</v>
      </c>
      <c r="D59" s="171" t="n">
        <v>348000.12</v>
      </c>
      <c r="E59" s="170" t="n">
        <v>12</v>
      </c>
      <c r="F59" s="170" t="n">
        <v>0</v>
      </c>
      <c r="G59" s="170" t="n">
        <v>0</v>
      </c>
      <c r="H59" s="170" t="n">
        <v>41</v>
      </c>
    </row>
    <row r="60" customFormat="false" ht="15" hidden="false" customHeight="true" outlineLevel="0" collapsed="false">
      <c r="A60" s="169" t="s">
        <v>1182</v>
      </c>
      <c r="B60" s="170" t="n">
        <v>2</v>
      </c>
      <c r="C60" s="171" t="n">
        <v>16524.54</v>
      </c>
      <c r="D60" s="171" t="n">
        <v>18000</v>
      </c>
      <c r="E60" s="170" t="n">
        <v>1</v>
      </c>
      <c r="F60" s="170" t="n">
        <v>0</v>
      </c>
      <c r="G60" s="170" t="n">
        <v>0</v>
      </c>
      <c r="H60" s="170" t="n">
        <v>1</v>
      </c>
    </row>
    <row r="61" customFormat="false" ht="15" hidden="false" customHeight="true" outlineLevel="0" collapsed="false">
      <c r="A61" s="169" t="s">
        <v>120</v>
      </c>
      <c r="B61" s="170" t="n">
        <v>5</v>
      </c>
      <c r="C61" s="171" t="n">
        <v>14781.05</v>
      </c>
      <c r="D61" s="171" t="n">
        <v>58500</v>
      </c>
      <c r="E61" s="170" t="n">
        <v>3</v>
      </c>
      <c r="F61" s="170" t="n">
        <v>1</v>
      </c>
      <c r="G61" s="170" t="n">
        <v>0</v>
      </c>
      <c r="H61" s="170" t="n">
        <v>1</v>
      </c>
    </row>
    <row r="62" customFormat="false" ht="15" hidden="false" customHeight="true" outlineLevel="0" collapsed="false">
      <c r="A62" s="169" t="s">
        <v>124</v>
      </c>
      <c r="B62" s="170" t="n">
        <v>16</v>
      </c>
      <c r="C62" s="171" t="n">
        <v>11912.16</v>
      </c>
      <c r="D62" s="171" t="n">
        <v>100500</v>
      </c>
      <c r="E62" s="170" t="n">
        <v>3</v>
      </c>
      <c r="F62" s="170" t="n">
        <v>1</v>
      </c>
      <c r="G62" s="170" t="n">
        <v>0</v>
      </c>
      <c r="H62" s="170" t="n">
        <v>12</v>
      </c>
    </row>
    <row r="63" customFormat="false" ht="15" hidden="false" customHeight="true" outlineLevel="0" collapsed="false">
      <c r="A63" s="169" t="s">
        <v>276</v>
      </c>
      <c r="B63" s="170" t="n">
        <v>2</v>
      </c>
      <c r="C63" s="171" t="n">
        <v>11262.54</v>
      </c>
      <c r="D63" s="171" t="n">
        <v>18000</v>
      </c>
      <c r="E63" s="170" t="n">
        <v>1</v>
      </c>
      <c r="F63" s="170" t="n">
        <v>1</v>
      </c>
      <c r="G63" s="170" t="n">
        <v>0</v>
      </c>
      <c r="H63" s="170" t="n">
        <v>0</v>
      </c>
    </row>
    <row r="64" customFormat="false" ht="15" hidden="false" customHeight="true" outlineLevel="0" collapsed="false">
      <c r="A64" s="169" t="s">
        <v>128</v>
      </c>
      <c r="B64" s="170" t="n">
        <v>9</v>
      </c>
      <c r="C64" s="171" t="n">
        <v>8315.62</v>
      </c>
      <c r="D64" s="171" t="n">
        <v>79499.97</v>
      </c>
      <c r="E64" s="170" t="n">
        <v>2</v>
      </c>
      <c r="F64" s="170" t="n">
        <v>0</v>
      </c>
      <c r="G64" s="170" t="n">
        <v>0</v>
      </c>
      <c r="H64" s="170" t="n">
        <v>7</v>
      </c>
    </row>
    <row r="65" customFormat="false" ht="15" hidden="false" customHeight="true" outlineLevel="0" collapsed="false">
      <c r="A65" s="169" t="s">
        <v>255</v>
      </c>
      <c r="B65" s="170" t="n">
        <v>1</v>
      </c>
      <c r="C65" s="171" t="n">
        <v>7477.91</v>
      </c>
      <c r="D65" s="171" t="n">
        <v>28500</v>
      </c>
      <c r="E65" s="170" t="n">
        <v>1</v>
      </c>
      <c r="F65" s="170" t="n">
        <v>0</v>
      </c>
      <c r="G65" s="170" t="n">
        <v>0</v>
      </c>
      <c r="H65" s="170" t="n">
        <v>0</v>
      </c>
    </row>
    <row r="66" customFormat="false" ht="15" hidden="false" customHeight="true" outlineLevel="0" collapsed="false">
      <c r="A66" s="169" t="s">
        <v>289</v>
      </c>
      <c r="B66" s="170" t="n">
        <v>3</v>
      </c>
      <c r="C66" s="171" t="n">
        <v>6201.54</v>
      </c>
      <c r="D66" s="171" t="n">
        <v>18000</v>
      </c>
      <c r="E66" s="170" t="n">
        <v>1</v>
      </c>
      <c r="F66" s="170" t="n">
        <v>0</v>
      </c>
      <c r="G66" s="170" t="n">
        <v>0</v>
      </c>
      <c r="H66" s="170" t="n">
        <v>2</v>
      </c>
    </row>
    <row r="67" customFormat="false" ht="15" hidden="false" customHeight="true" outlineLevel="0" collapsed="false">
      <c r="A67" s="169" t="s">
        <v>1183</v>
      </c>
      <c r="B67" s="170" t="n">
        <v>5</v>
      </c>
      <c r="C67" s="171" t="n">
        <v>0</v>
      </c>
      <c r="D67" s="171" t="n">
        <v>36000</v>
      </c>
      <c r="E67" s="170" t="n">
        <v>0</v>
      </c>
      <c r="F67" s="170" t="n">
        <v>0</v>
      </c>
      <c r="G67" s="170" t="n">
        <v>0</v>
      </c>
      <c r="H67" s="170" t="n">
        <v>5</v>
      </c>
    </row>
    <row r="68" customFormat="false" ht="15" hidden="false" customHeight="true" outlineLevel="0" collapsed="false">
      <c r="A68" s="169" t="s">
        <v>1184</v>
      </c>
      <c r="B68" s="170" t="n">
        <v>1</v>
      </c>
      <c r="C68" s="171" t="n">
        <v>0</v>
      </c>
      <c r="D68" s="171" t="n">
        <v>36000</v>
      </c>
      <c r="E68" s="170" t="n">
        <v>0</v>
      </c>
      <c r="F68" s="170" t="n">
        <v>0</v>
      </c>
      <c r="G68" s="170" t="n">
        <v>0</v>
      </c>
      <c r="H68" s="170" t="n">
        <v>1</v>
      </c>
    </row>
    <row r="70" customFormat="false" ht="15" hidden="false" customHeight="true" outlineLevel="0" collapsed="false">
      <c r="A70" s="168" t="s">
        <v>1185</v>
      </c>
    </row>
    <row r="71" customFormat="false" ht="15" hidden="false" customHeight="true" outlineLevel="0" collapsed="false">
      <c r="A71" s="168" t="s">
        <v>1134</v>
      </c>
      <c r="B71" s="168" t="s">
        <v>1150</v>
      </c>
      <c r="C71" s="168" t="s">
        <v>1151</v>
      </c>
      <c r="D71" s="168" t="s">
        <v>1152</v>
      </c>
      <c r="E71" s="168" t="s">
        <v>1153</v>
      </c>
      <c r="F71" s="168" t="s">
        <v>1154</v>
      </c>
      <c r="G71" s="168" t="s">
        <v>1155</v>
      </c>
      <c r="H71" s="168" t="s">
        <v>1156</v>
      </c>
      <c r="I71" s="168" t="s">
        <v>1157</v>
      </c>
      <c r="J71" s="168" t="s">
        <v>1158</v>
      </c>
      <c r="K71" s="168" t="s">
        <v>1159</v>
      </c>
      <c r="L71" s="168" t="s">
        <v>1160</v>
      </c>
      <c r="M71" s="168" t="s">
        <v>1161</v>
      </c>
    </row>
    <row r="72" customFormat="false" ht="15" hidden="false" customHeight="true" outlineLevel="0" collapsed="false">
      <c r="A72" s="169" t="s">
        <v>1186</v>
      </c>
      <c r="B72" s="170" t="n">
        <v>385</v>
      </c>
      <c r="C72" s="170" t="n">
        <v>401</v>
      </c>
      <c r="D72" s="170" t="n">
        <v>409</v>
      </c>
      <c r="E72" s="170" t="n">
        <v>417</v>
      </c>
      <c r="F72" s="170" t="n">
        <v>428</v>
      </c>
      <c r="G72" s="170" t="n">
        <v>437</v>
      </c>
      <c r="H72" s="170" t="n">
        <v>453</v>
      </c>
      <c r="I72" s="170" t="n">
        <v>462</v>
      </c>
      <c r="J72" s="170" t="n">
        <v>470</v>
      </c>
      <c r="K72" s="170" t="n">
        <v>480</v>
      </c>
      <c r="L72" s="170" t="n">
        <v>490</v>
      </c>
      <c r="M72" s="170" t="n">
        <v>506</v>
      </c>
    </row>
    <row r="74" customFormat="false" ht="15" hidden="false" customHeight="true" outlineLevel="0" collapsed="false">
      <c r="A74" s="168" t="s">
        <v>1187</v>
      </c>
      <c r="C74" s="170" t="n">
        <v>1097</v>
      </c>
    </row>
    <row r="76" customFormat="false" ht="15" hidden="false" customHeight="true" outlineLevel="0" collapsed="false">
      <c r="A76" s="168" t="s">
        <v>1188</v>
      </c>
    </row>
    <row r="77" customFormat="false" ht="15" hidden="false" customHeight="true" outlineLevel="0" collapsed="false">
      <c r="B77" s="168" t="s">
        <v>1189</v>
      </c>
      <c r="C77" s="168" t="s">
        <v>1190</v>
      </c>
      <c r="D77" s="168" t="s">
        <v>1191</v>
      </c>
      <c r="E77" s="168" t="s">
        <v>1192</v>
      </c>
    </row>
    <row r="78" customFormat="false" ht="15" hidden="false" customHeight="true" outlineLevel="0" collapsed="false">
      <c r="A78" s="169" t="s">
        <v>1193</v>
      </c>
      <c r="B78" s="171" t="n">
        <v>1500</v>
      </c>
      <c r="C78" s="172" t="n">
        <v>0.2</v>
      </c>
      <c r="D78" s="172" t="n">
        <v>0.05</v>
      </c>
      <c r="E78" s="172" t="n">
        <v>0.1</v>
      </c>
    </row>
    <row r="79" customFormat="false" ht="15" hidden="false" customHeight="true" outlineLevel="0" collapsed="false">
      <c r="A79" s="169" t="s">
        <v>123</v>
      </c>
      <c r="B79" s="171" t="n">
        <v>600</v>
      </c>
      <c r="C79" s="172" t="n">
        <v>0.2</v>
      </c>
      <c r="D79" s="172" t="n">
        <v>0.05</v>
      </c>
      <c r="E79" s="172" t="n">
        <v>0.1</v>
      </c>
    </row>
    <row r="82" customFormat="false" ht="15" hidden="false" customHeight="true" outlineLevel="0" collapsed="false">
      <c r="A82" s="168" t="s">
        <v>1194</v>
      </c>
    </row>
    <row r="83" customFormat="false" ht="15" hidden="false" customHeight="true" outlineLevel="0" collapsed="false">
      <c r="A83" s="168" t="s">
        <v>1195</v>
      </c>
      <c r="B83" s="168" t="s">
        <v>1196</v>
      </c>
      <c r="C83" s="168" t="s">
        <v>1197</v>
      </c>
      <c r="D83" s="168" t="s">
        <v>1198</v>
      </c>
    </row>
    <row r="84" customFormat="false" ht="15" hidden="false" customHeight="true" outlineLevel="0" collapsed="false">
      <c r="A84" s="169" t="s">
        <v>1199</v>
      </c>
      <c r="B84" s="169" t="s">
        <v>1200</v>
      </c>
      <c r="C84" s="169" t="s">
        <v>1201</v>
      </c>
      <c r="D84" s="169" t="s">
        <v>1202</v>
      </c>
    </row>
    <row r="85" customFormat="false" ht="15" hidden="false" customHeight="true" outlineLevel="0" collapsed="false">
      <c r="A85" s="169" t="s">
        <v>1203</v>
      </c>
      <c r="B85" s="169" t="s">
        <v>1204</v>
      </c>
      <c r="C85" s="169" t="s">
        <v>1205</v>
      </c>
      <c r="D85" s="169" t="s">
        <v>1206</v>
      </c>
    </row>
    <row r="86" customFormat="false" ht="15" hidden="false" customHeight="true" outlineLevel="0" collapsed="false">
      <c r="A86" s="169" t="s">
        <v>1207</v>
      </c>
      <c r="B86" s="169" t="s">
        <v>1208</v>
      </c>
      <c r="C86" s="169" t="s">
        <v>1209</v>
      </c>
      <c r="D86" s="169" t="s">
        <v>1206</v>
      </c>
    </row>
    <row r="87" customFormat="false" ht="15" hidden="false" customHeight="true" outlineLevel="0" collapsed="false">
      <c r="A87" s="169" t="s">
        <v>1210</v>
      </c>
      <c r="B87" s="169" t="s">
        <v>1211</v>
      </c>
      <c r="C87" s="169" t="s">
        <v>1212</v>
      </c>
      <c r="D87" s="169" t="s">
        <v>1202</v>
      </c>
    </row>
    <row r="88" customFormat="false" ht="15" hidden="false" customHeight="true" outlineLevel="0" collapsed="false">
      <c r="A88" s="169" t="s">
        <v>1213</v>
      </c>
      <c r="B88" s="169" t="s">
        <v>1214</v>
      </c>
      <c r="C88" s="169" t="s">
        <v>1215</v>
      </c>
      <c r="D88" s="169" t="s">
        <v>1216</v>
      </c>
    </row>
    <row r="89" customFormat="false" ht="15" hidden="false" customHeight="true" outlineLevel="0" collapsed="false">
      <c r="A89" s="169" t="s">
        <v>1217</v>
      </c>
      <c r="B89" s="169" t="s">
        <v>1218</v>
      </c>
      <c r="C89" s="169" t="s">
        <v>1219</v>
      </c>
      <c r="D89" s="169" t="s">
        <v>1202</v>
      </c>
    </row>
    <row r="90" customFormat="false" ht="15" hidden="false" customHeight="true" outlineLevel="0" collapsed="false">
      <c r="A90" s="169" t="s">
        <v>1220</v>
      </c>
      <c r="B90" s="169" t="s">
        <v>1204</v>
      </c>
      <c r="C90" s="169" t="s">
        <v>1221</v>
      </c>
      <c r="D90" s="169" t="s">
        <v>1202</v>
      </c>
    </row>
    <row r="91" customFormat="false" ht="15" hidden="false" customHeight="true" outlineLevel="0" collapsed="false">
      <c r="A91" s="169" t="s">
        <v>1222</v>
      </c>
      <c r="B91" s="169" t="s">
        <v>1223</v>
      </c>
      <c r="C91" s="169" t="s">
        <v>1224</v>
      </c>
      <c r="D91" s="169" t="s">
        <v>1202</v>
      </c>
    </row>
    <row r="92" customFormat="false" ht="15" hidden="false" customHeight="true" outlineLevel="0" collapsed="false">
      <c r="A92" s="169" t="s">
        <v>1225</v>
      </c>
      <c r="B92" s="169" t="s">
        <v>1226</v>
      </c>
      <c r="C92" s="169" t="s">
        <v>1227</v>
      </c>
      <c r="D92" s="169" t="s">
        <v>1202</v>
      </c>
    </row>
    <row r="94" customFormat="false" ht="15" hidden="false" customHeight="true" outlineLevel="0" collapsed="false">
      <c r="A94" s="168" t="s">
        <v>1228</v>
      </c>
    </row>
    <row r="95" customFormat="false" ht="15" hidden="false" customHeight="true" outlineLevel="0" collapsed="false">
      <c r="A95" s="169" t="s">
        <v>1229</v>
      </c>
    </row>
    <row r="96" customFormat="false" ht="15" hidden="false" customHeight="true" outlineLevel="0" collapsed="false">
      <c r="A96" s="169" t="s">
        <v>1230</v>
      </c>
    </row>
    <row r="97" customFormat="false" ht="15" hidden="false" customHeight="true" outlineLevel="0" collapsed="false">
      <c r="A97" s="169" t="s">
        <v>1231</v>
      </c>
    </row>
    <row r="98" customFormat="false" ht="15" hidden="false" customHeight="true" outlineLevel="0" collapsed="false">
      <c r="A98" s="169" t="s">
        <v>1232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4"/>
    <col collapsed="false" customWidth="true" hidden="false" outlineLevel="0" max="5" min="5" style="1" width="10"/>
    <col collapsed="false" customWidth="true" hidden="false" outlineLevel="0" max="9" min="9" style="1" width="10"/>
    <col collapsed="false" customWidth="true" hidden="false" outlineLevel="0" max="10" min="10" style="1" width="4"/>
    <col collapsed="false" customWidth="true" hidden="false" outlineLevel="0" max="11" min="11" style="1" width="22"/>
    <col collapsed="false" customWidth="true" hidden="false" outlineLevel="0" max="13" min="12" style="1" width="8"/>
  </cols>
  <sheetData>
    <row r="1" customFormat="false" ht="90.75" hidden="false" customHeight="true" outlineLevel="0" collapsed="false">
      <c r="A1" s="168" t="s">
        <v>1233</v>
      </c>
    </row>
    <row r="3" customFormat="false" ht="15" hidden="false" customHeight="true" outlineLevel="0" collapsed="false">
      <c r="B3" s="168" t="s">
        <v>1234</v>
      </c>
      <c r="E3" s="168" t="s">
        <v>1235</v>
      </c>
      <c r="K3" s="168" t="s">
        <v>1236</v>
      </c>
    </row>
    <row r="4" customFormat="false" ht="23.25" hidden="false" customHeight="true" outlineLevel="0" collapsed="false">
      <c r="B4" s="168" t="s">
        <v>1237</v>
      </c>
      <c r="E4" s="168" t="s">
        <v>1129</v>
      </c>
      <c r="F4" s="168" t="s">
        <v>1130</v>
      </c>
      <c r="G4" s="168" t="s">
        <v>1131</v>
      </c>
      <c r="H4" s="168" t="s">
        <v>1132</v>
      </c>
      <c r="K4" s="168" t="s">
        <v>1238</v>
      </c>
      <c r="L4" s="168" t="s">
        <v>1239</v>
      </c>
      <c r="M4" s="168" t="s">
        <v>1240</v>
      </c>
    </row>
    <row r="5" customFormat="false" ht="15" hidden="false" customHeight="true" outlineLevel="0" collapsed="false">
      <c r="B5" s="168" t="s">
        <v>1241</v>
      </c>
      <c r="E5" s="172" t="n">
        <v>0.6</v>
      </c>
      <c r="F5" s="172" t="n">
        <v>0.4</v>
      </c>
      <c r="G5" s="172" t="n">
        <v>0.01</v>
      </c>
      <c r="H5" s="172" t="n">
        <v>0</v>
      </c>
      <c r="K5" s="169" t="s">
        <v>1242</v>
      </c>
      <c r="L5" s="170" t="n">
        <v>129</v>
      </c>
      <c r="M5" s="172" t="n">
        <v>0.195159</v>
      </c>
    </row>
    <row r="6" customFormat="false" ht="15" hidden="false" customHeight="true" outlineLevel="0" collapsed="false">
      <c r="K6" s="169" t="s">
        <v>1243</v>
      </c>
      <c r="L6" s="170" t="n">
        <v>65</v>
      </c>
      <c r="M6" s="172" t="n">
        <v>0.098336</v>
      </c>
    </row>
    <row r="7" customFormat="false" ht="15" hidden="false" customHeight="true" outlineLevel="0" collapsed="false">
      <c r="B7" s="168" t="s">
        <v>1122</v>
      </c>
      <c r="E7" s="170" t="n">
        <v>129</v>
      </c>
      <c r="F7" s="170" t="n">
        <v>65</v>
      </c>
      <c r="G7" s="170" t="n">
        <v>298</v>
      </c>
      <c r="H7" s="170" t="n">
        <v>169</v>
      </c>
      <c r="K7" s="169" t="s">
        <v>1244</v>
      </c>
      <c r="L7" s="170" t="n">
        <v>250</v>
      </c>
      <c r="M7" s="172" t="n">
        <v>0.378215</v>
      </c>
    </row>
    <row r="8" customFormat="false" ht="15" hidden="false" customHeight="true" outlineLevel="0" collapsed="false">
      <c r="C8" s="169" t="s">
        <v>1245</v>
      </c>
      <c r="E8" s="170" t="n">
        <v>50</v>
      </c>
      <c r="F8" s="170" t="n">
        <v>0</v>
      </c>
      <c r="G8" s="170" t="n">
        <v>0</v>
      </c>
      <c r="H8" s="170" t="n">
        <v>0</v>
      </c>
      <c r="K8" s="169" t="s">
        <v>1246</v>
      </c>
      <c r="L8" s="170" t="n">
        <v>48</v>
      </c>
      <c r="M8" s="172" t="n">
        <v>0.072617</v>
      </c>
    </row>
    <row r="9" customFormat="false" ht="15" hidden="false" customHeight="true" outlineLevel="0" collapsed="false">
      <c r="C9" s="169" t="s">
        <v>1247</v>
      </c>
      <c r="E9" s="170" t="n">
        <v>42</v>
      </c>
      <c r="F9" s="170" t="n">
        <v>8</v>
      </c>
      <c r="G9" s="170" t="n">
        <v>0</v>
      </c>
      <c r="H9" s="170" t="n">
        <v>0</v>
      </c>
      <c r="K9" s="169" t="s">
        <v>1248</v>
      </c>
      <c r="L9" s="170" t="n">
        <v>169</v>
      </c>
      <c r="M9" s="172" t="n">
        <v>0.255673</v>
      </c>
    </row>
    <row r="10" customFormat="false" ht="15" hidden="false" customHeight="true" outlineLevel="0" collapsed="false">
      <c r="C10" s="169" t="s">
        <v>1249</v>
      </c>
      <c r="E10" s="170" t="n">
        <v>55</v>
      </c>
      <c r="F10" s="170" t="n">
        <v>45</v>
      </c>
      <c r="G10" s="170" t="n">
        <v>0</v>
      </c>
      <c r="H10" s="170" t="n">
        <v>0</v>
      </c>
      <c r="K10" s="168" t="s">
        <v>1122</v>
      </c>
      <c r="L10" s="170" t="n">
        <v>661</v>
      </c>
    </row>
    <row r="11" customFormat="false" ht="15" hidden="false" customHeight="true" outlineLevel="0" collapsed="false">
      <c r="C11" s="169" t="s">
        <v>1250</v>
      </c>
      <c r="E11" s="170" t="n">
        <v>88</v>
      </c>
      <c r="F11" s="170" t="n">
        <v>12</v>
      </c>
      <c r="G11" s="170" t="n">
        <v>0</v>
      </c>
      <c r="H11" s="170" t="n">
        <v>0</v>
      </c>
    </row>
    <row r="12" customFormat="false" ht="15" hidden="false" customHeight="true" outlineLevel="0" collapsed="false">
      <c r="C12" s="169" t="s">
        <v>1251</v>
      </c>
      <c r="E12" s="170" t="n">
        <v>192</v>
      </c>
      <c r="F12" s="170" t="n">
        <v>0</v>
      </c>
      <c r="G12" s="170" t="n">
        <v>0</v>
      </c>
      <c r="H12" s="170" t="n">
        <v>169</v>
      </c>
    </row>
    <row r="14" customFormat="false" ht="23.25" hidden="false" customHeight="true" outlineLevel="0" collapsed="false">
      <c r="B14" s="168" t="s">
        <v>1169</v>
      </c>
      <c r="E14" s="168" t="s">
        <v>1129</v>
      </c>
      <c r="F14" s="168" t="s">
        <v>1130</v>
      </c>
      <c r="G14" s="168" t="s">
        <v>1131</v>
      </c>
      <c r="H14" s="168" t="s">
        <v>1132</v>
      </c>
      <c r="I14" s="168" t="s">
        <v>1122</v>
      </c>
    </row>
    <row r="15" customFormat="false" ht="15" hidden="false" customHeight="true" outlineLevel="0" collapsed="false">
      <c r="B15" s="169" t="s">
        <v>108</v>
      </c>
      <c r="E15" s="170" t="n">
        <v>157</v>
      </c>
      <c r="F15" s="170" t="n">
        <v>18</v>
      </c>
      <c r="G15" s="170" t="n">
        <v>0</v>
      </c>
      <c r="H15" s="170" t="n">
        <v>30</v>
      </c>
      <c r="I15" s="170" t="n">
        <v>205</v>
      </c>
    </row>
    <row r="16" customFormat="false" ht="15" hidden="false" customHeight="true" outlineLevel="0" collapsed="false">
      <c r="B16" s="169" t="s">
        <v>100</v>
      </c>
      <c r="E16" s="170" t="n">
        <v>164</v>
      </c>
      <c r="F16" s="170" t="n">
        <v>34</v>
      </c>
      <c r="G16" s="170" t="n">
        <v>0</v>
      </c>
      <c r="H16" s="170" t="n">
        <v>26</v>
      </c>
      <c r="I16" s="170" t="n">
        <v>224</v>
      </c>
    </row>
    <row r="17" customFormat="false" ht="15" hidden="false" customHeight="true" outlineLevel="0" collapsed="false">
      <c r="B17" s="169" t="s">
        <v>175</v>
      </c>
      <c r="E17" s="170" t="n">
        <v>64</v>
      </c>
      <c r="F17" s="170" t="n">
        <v>11</v>
      </c>
      <c r="G17" s="170" t="n">
        <v>0</v>
      </c>
      <c r="H17" s="170" t="n">
        <v>67</v>
      </c>
      <c r="I17" s="170" t="n">
        <v>142</v>
      </c>
    </row>
    <row r="18" customFormat="false" ht="15" hidden="false" customHeight="true" outlineLevel="0" collapsed="false">
      <c r="B18" s="169" t="s">
        <v>184</v>
      </c>
      <c r="E18" s="170" t="n">
        <v>42</v>
      </c>
      <c r="F18" s="170" t="n">
        <v>2</v>
      </c>
      <c r="G18" s="170" t="n">
        <v>0</v>
      </c>
      <c r="H18" s="170" t="n">
        <v>46</v>
      </c>
      <c r="I18" s="170" t="n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9" topLeftCell="A14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88"/>
    <col collapsed="false" customWidth="true" hidden="false" outlineLevel="0" max="2" min="2" style="1" width="10.56"/>
    <col collapsed="false" customWidth="true" hidden="false" outlineLevel="0" max="3" min="3" style="1" width="20"/>
    <col collapsed="false" customWidth="true" hidden="false" outlineLevel="0" max="6" min="6" style="1" width="15.56"/>
    <col collapsed="false" customWidth="true" hidden="false" outlineLevel="0" max="7" min="7" style="1" width="39.44"/>
    <col collapsed="false" customWidth="true" hidden="false" outlineLevel="0" max="8" min="8" style="1" width="12.11"/>
    <col collapsed="false" customWidth="true" hidden="false" outlineLevel="0" max="10" min="10" style="1" width="22.67"/>
    <col collapsed="false" customWidth="true" hidden="false" outlineLevel="0" max="11" min="11" style="1" width="47.88"/>
    <col collapsed="false" customWidth="true" hidden="false" outlineLevel="0" max="12" min="12" style="1" width="8"/>
    <col collapsed="false" customWidth="true" hidden="false" outlineLevel="0" max="14" min="14" style="1" width="20"/>
    <col collapsed="false" customWidth="true" hidden="false" outlineLevel="0" max="16" min="16" style="1" width="33.33"/>
    <col collapsed="false" customWidth="true" hidden="false" outlineLevel="0" max="17" min="17" style="1" width="21.44"/>
    <col collapsed="false" customWidth="true" hidden="false" outlineLevel="0" max="18" min="18" style="1" width="22"/>
    <col collapsed="false" customWidth="true" hidden="false" outlineLevel="0" max="19" min="19" style="1" width="39.33"/>
    <col collapsed="false" customWidth="true" hidden="false" outlineLevel="0" max="20" min="20" style="1" width="37.11"/>
    <col collapsed="false" customWidth="true" hidden="false" outlineLevel="0" max="21" min="21" style="1" width="20.56"/>
    <col collapsed="false" customWidth="true" hidden="false" outlineLevel="0" max="22" min="22" style="1" width="13.88"/>
    <col collapsed="false" customWidth="true" hidden="false" outlineLevel="0" max="23" min="23" style="1" width="18.88"/>
  </cols>
  <sheetData>
    <row r="1" customFormat="false" ht="76.5" hidden="false" customHeight="true" outlineLevel="0" collapsed="false"/>
    <row r="2" customFormat="false" ht="28.5" hidden="false" customHeight="true" outlineLevel="0" collapsed="false">
      <c r="A2" s="168" t="s">
        <v>1252</v>
      </c>
      <c r="B2" s="168" t="s">
        <v>1253</v>
      </c>
      <c r="C2" s="174" t="s">
        <v>1254</v>
      </c>
      <c r="D2" s="174" t="s">
        <v>1255</v>
      </c>
      <c r="E2" s="174" t="s">
        <v>1256</v>
      </c>
      <c r="F2" s="175" t="s">
        <v>1257</v>
      </c>
      <c r="G2" s="176" t="s">
        <v>1258</v>
      </c>
      <c r="H2" s="176" t="s">
        <v>1259</v>
      </c>
      <c r="I2" s="176" t="s">
        <v>1260</v>
      </c>
      <c r="J2" s="176" t="s">
        <v>1261</v>
      </c>
      <c r="K2" s="176" t="s">
        <v>1180</v>
      </c>
      <c r="L2" s="176" t="s">
        <v>1262</v>
      </c>
      <c r="M2" s="176" t="s">
        <v>1263</v>
      </c>
      <c r="N2" s="177" t="s">
        <v>1264</v>
      </c>
      <c r="O2" s="177" t="s">
        <v>1265</v>
      </c>
      <c r="P2" s="178" t="s">
        <v>1266</v>
      </c>
      <c r="Q2" s="178" t="s">
        <v>1170</v>
      </c>
      <c r="R2" s="178" t="s">
        <v>1267</v>
      </c>
      <c r="S2" s="178" t="s">
        <v>1268</v>
      </c>
      <c r="T2" s="178" t="s">
        <v>1269</v>
      </c>
      <c r="U2" s="179" t="s">
        <v>1270</v>
      </c>
      <c r="V2" s="179" t="s">
        <v>1271</v>
      </c>
      <c r="W2" s="176" t="s">
        <v>1272</v>
      </c>
    </row>
    <row r="3" customFormat="false" ht="15" hidden="false" customHeight="true" outlineLevel="0" collapsed="false">
      <c r="A3" s="1" t="n">
        <v>17.888993</v>
      </c>
      <c r="B3" s="1" t="s">
        <v>1129</v>
      </c>
      <c r="C3" s="1" t="n">
        <v>5615.5</v>
      </c>
      <c r="D3" s="1" t="n">
        <v>100455.71</v>
      </c>
      <c r="E3" s="1" t="n">
        <v>5615.5</v>
      </c>
      <c r="F3" s="172" t="n">
        <v>17.888993</v>
      </c>
      <c r="G3" s="1" t="s">
        <v>123</v>
      </c>
      <c r="H3" s="1" t="s">
        <v>101</v>
      </c>
      <c r="I3" s="1" t="n">
        <v>6630220990</v>
      </c>
      <c r="J3" s="1" t="s">
        <v>1242</v>
      </c>
      <c r="K3" s="1" t="s">
        <v>104</v>
      </c>
      <c r="L3" s="1" t="s">
        <v>101</v>
      </c>
      <c r="M3" s="1" t="n">
        <v>6630220990</v>
      </c>
      <c r="N3" s="1" t="n">
        <v>100455.71</v>
      </c>
      <c r="O3" s="1" t="n">
        <v>467.96</v>
      </c>
      <c r="P3" s="1" t="s">
        <v>1273</v>
      </c>
      <c r="Q3" s="1" t="s">
        <v>100</v>
      </c>
      <c r="S3" s="1" t="s">
        <v>1004</v>
      </c>
      <c r="T3" s="1" t="s">
        <v>1274</v>
      </c>
      <c r="V3" s="1" t="s">
        <v>1275</v>
      </c>
      <c r="W3" s="1" t="s">
        <v>1276</v>
      </c>
    </row>
    <row r="4" customFormat="false" ht="15" hidden="false" customHeight="true" outlineLevel="0" collapsed="false">
      <c r="A4" s="1" t="n">
        <v>11.631797</v>
      </c>
      <c r="B4" s="1" t="s">
        <v>1129</v>
      </c>
      <c r="C4" s="1" t="n">
        <v>5615.5</v>
      </c>
      <c r="D4" s="1" t="n">
        <v>65318.4</v>
      </c>
      <c r="E4" s="1" t="n">
        <v>5615.5</v>
      </c>
      <c r="F4" s="172" t="n">
        <v>11.631797</v>
      </c>
      <c r="G4" s="1" t="s">
        <v>123</v>
      </c>
      <c r="H4" s="1" t="s">
        <v>109</v>
      </c>
      <c r="I4" s="1" t="n">
        <v>4191038174</v>
      </c>
      <c r="J4" s="1" t="s">
        <v>1242</v>
      </c>
      <c r="K4" s="1" t="s">
        <v>104</v>
      </c>
      <c r="L4" s="1" t="s">
        <v>109</v>
      </c>
      <c r="M4" s="1" t="n">
        <v>4191038174</v>
      </c>
      <c r="N4" s="1" t="n">
        <v>65318.4</v>
      </c>
      <c r="O4" s="1" t="n">
        <v>467.96</v>
      </c>
      <c r="P4" s="1" t="s">
        <v>1277</v>
      </c>
      <c r="Q4" s="1" t="s">
        <v>108</v>
      </c>
      <c r="S4" s="1" t="s">
        <v>1278</v>
      </c>
      <c r="T4" s="1" t="s">
        <v>1279</v>
      </c>
      <c r="V4" s="1" t="s">
        <v>1275</v>
      </c>
      <c r="W4" s="1" t="s">
        <v>1276</v>
      </c>
    </row>
    <row r="5" customFormat="false" ht="15" hidden="false" customHeight="true" outlineLevel="0" collapsed="false">
      <c r="A5" s="1" t="n">
        <v>8.957898</v>
      </c>
      <c r="B5" s="1" t="s">
        <v>1129</v>
      </c>
      <c r="C5" s="1" t="n">
        <v>5615.5</v>
      </c>
      <c r="D5" s="1" t="n">
        <v>50303.11</v>
      </c>
      <c r="E5" s="1" t="n">
        <v>5615.5</v>
      </c>
      <c r="F5" s="172" t="n">
        <v>8.957898</v>
      </c>
      <c r="G5" s="1" t="s">
        <v>123</v>
      </c>
      <c r="H5" s="1" t="s">
        <v>114</v>
      </c>
      <c r="I5" s="1" t="n">
        <v>31975430905</v>
      </c>
      <c r="J5" s="1" t="s">
        <v>1242</v>
      </c>
      <c r="K5" s="1" t="s">
        <v>104</v>
      </c>
      <c r="L5" s="1" t="s">
        <v>114</v>
      </c>
      <c r="M5" s="1" t="n">
        <v>31975430905</v>
      </c>
      <c r="N5" s="1" t="n">
        <v>50303.11</v>
      </c>
      <c r="O5" s="1" t="n">
        <v>467.96</v>
      </c>
      <c r="P5" s="1" t="s">
        <v>1280</v>
      </c>
      <c r="Q5" s="1" t="s">
        <v>100</v>
      </c>
      <c r="S5" s="1" t="s">
        <v>1004</v>
      </c>
      <c r="T5" s="1" t="s">
        <v>1274</v>
      </c>
      <c r="V5" s="1" t="s">
        <v>1275</v>
      </c>
      <c r="W5" s="1" t="s">
        <v>1276</v>
      </c>
    </row>
    <row r="6" customFormat="false" ht="15" hidden="false" customHeight="true" outlineLevel="0" collapsed="false">
      <c r="A6" s="1" t="n">
        <v>7.410765</v>
      </c>
      <c r="B6" s="1" t="s">
        <v>1129</v>
      </c>
      <c r="C6" s="1" t="n">
        <v>5615.5</v>
      </c>
      <c r="D6" s="1" t="n">
        <v>41615.18</v>
      </c>
      <c r="E6" s="1" t="n">
        <v>5615.5</v>
      </c>
      <c r="F6" s="172" t="n">
        <v>7.410765</v>
      </c>
      <c r="G6" s="1" t="s">
        <v>123</v>
      </c>
      <c r="H6" s="1" t="s">
        <v>119</v>
      </c>
      <c r="I6" s="1" t="n">
        <v>35984415576</v>
      </c>
      <c r="J6" s="1" t="s">
        <v>1242</v>
      </c>
      <c r="K6" s="1" t="s">
        <v>104</v>
      </c>
      <c r="L6" s="1" t="s">
        <v>119</v>
      </c>
      <c r="M6" s="1" t="n">
        <v>35984415576</v>
      </c>
      <c r="N6" s="1" t="n">
        <v>41615.18</v>
      </c>
      <c r="O6" s="1" t="n">
        <v>467.96</v>
      </c>
      <c r="P6" s="1" t="s">
        <v>1281</v>
      </c>
      <c r="Q6" s="1" t="s">
        <v>100</v>
      </c>
      <c r="S6" s="1" t="s">
        <v>1004</v>
      </c>
      <c r="T6" s="1" t="s">
        <v>1274</v>
      </c>
      <c r="V6" s="1" t="s">
        <v>1275</v>
      </c>
      <c r="W6" s="1" t="s">
        <v>1276</v>
      </c>
    </row>
    <row r="7" customFormat="false" ht="15" hidden="false" customHeight="true" outlineLevel="0" collapsed="false">
      <c r="A7" s="1" t="n">
        <v>6.92987</v>
      </c>
      <c r="B7" s="1" t="s">
        <v>1129</v>
      </c>
      <c r="C7" s="1" t="n">
        <v>5615.5</v>
      </c>
      <c r="D7" s="1" t="n">
        <v>38914.71</v>
      </c>
      <c r="E7" s="1" t="n">
        <v>5615.5</v>
      </c>
      <c r="F7" s="172" t="n">
        <v>6.92987</v>
      </c>
      <c r="G7" s="1" t="s">
        <v>123</v>
      </c>
      <c r="H7" s="1" t="s">
        <v>187</v>
      </c>
      <c r="I7" s="1" t="n">
        <v>81988663616</v>
      </c>
      <c r="J7" s="1" t="s">
        <v>1242</v>
      </c>
      <c r="K7" s="1" t="s">
        <v>104</v>
      </c>
      <c r="L7" s="1" t="s">
        <v>187</v>
      </c>
      <c r="M7" s="1" t="n">
        <v>81988663616</v>
      </c>
      <c r="N7" s="1" t="n">
        <v>38914.71</v>
      </c>
      <c r="O7" s="1" t="n">
        <v>467.96</v>
      </c>
      <c r="P7" s="1" t="s">
        <v>1282</v>
      </c>
      <c r="Q7" s="1" t="s">
        <v>100</v>
      </c>
      <c r="S7" s="1" t="s">
        <v>1004</v>
      </c>
      <c r="T7" s="1" t="s">
        <v>1274</v>
      </c>
      <c r="V7" s="1" t="s">
        <v>1275</v>
      </c>
      <c r="W7" s="1" t="s">
        <v>1276</v>
      </c>
    </row>
    <row r="8" customFormat="false" ht="15" hidden="false" customHeight="true" outlineLevel="0" collapsed="false">
      <c r="A8" s="1" t="n">
        <v>5.967792</v>
      </c>
      <c r="B8" s="1" t="s">
        <v>1129</v>
      </c>
      <c r="C8" s="1" t="n">
        <v>5615.5</v>
      </c>
      <c r="D8" s="1" t="n">
        <v>33512.16</v>
      </c>
      <c r="E8" s="1" t="n">
        <v>5615.5</v>
      </c>
      <c r="F8" s="172" t="n">
        <v>5.967792</v>
      </c>
      <c r="G8" s="1" t="s">
        <v>123</v>
      </c>
      <c r="H8" s="1" t="s">
        <v>127</v>
      </c>
      <c r="I8" s="1" t="n">
        <v>6281539520</v>
      </c>
      <c r="J8" s="1" t="s">
        <v>1242</v>
      </c>
      <c r="K8" s="1" t="s">
        <v>104</v>
      </c>
      <c r="L8" s="1" t="s">
        <v>127</v>
      </c>
      <c r="M8" s="1" t="n">
        <v>6281539520</v>
      </c>
      <c r="N8" s="1" t="n">
        <v>33512.16</v>
      </c>
      <c r="O8" s="1" t="n">
        <v>467.96</v>
      </c>
      <c r="P8" s="1" t="s">
        <v>1273</v>
      </c>
      <c r="Q8" s="1" t="s">
        <v>100</v>
      </c>
      <c r="S8" s="1" t="s">
        <v>1004</v>
      </c>
      <c r="T8" s="1" t="s">
        <v>1274</v>
      </c>
      <c r="V8" s="1" t="s">
        <v>1275</v>
      </c>
      <c r="W8" s="1" t="s">
        <v>1276</v>
      </c>
    </row>
    <row r="9" customFormat="false" ht="15" hidden="false" customHeight="true" outlineLevel="0" collapsed="false">
      <c r="A9" s="1" t="n">
        <v>5.388914</v>
      </c>
      <c r="B9" s="1" t="s">
        <v>1129</v>
      </c>
      <c r="C9" s="1" t="n">
        <v>5615.5</v>
      </c>
      <c r="D9" s="1" t="n">
        <v>30261.47</v>
      </c>
      <c r="E9" s="1" t="n">
        <v>5615.5</v>
      </c>
      <c r="F9" s="172" t="n">
        <v>5.388914</v>
      </c>
      <c r="G9" s="1" t="s">
        <v>123</v>
      </c>
      <c r="H9" s="1" t="s">
        <v>187</v>
      </c>
      <c r="I9" s="1" t="n">
        <v>81988663616</v>
      </c>
      <c r="J9" s="1" t="s">
        <v>1242</v>
      </c>
      <c r="K9" s="1" t="s">
        <v>104</v>
      </c>
      <c r="L9" s="1" t="s">
        <v>187</v>
      </c>
      <c r="M9" s="1" t="n">
        <v>81988663616</v>
      </c>
      <c r="N9" s="1" t="n">
        <v>30261.47</v>
      </c>
      <c r="O9" s="1" t="n">
        <v>467.96</v>
      </c>
      <c r="P9" s="1" t="s">
        <v>1282</v>
      </c>
      <c r="Q9" s="1" t="s">
        <v>100</v>
      </c>
      <c r="S9" s="1" t="s">
        <v>1004</v>
      </c>
      <c r="T9" s="1" t="s">
        <v>1274</v>
      </c>
      <c r="V9" s="1" t="s">
        <v>1275</v>
      </c>
      <c r="W9" s="1" t="s">
        <v>1276</v>
      </c>
    </row>
    <row r="10" customFormat="false" ht="15" hidden="false" customHeight="true" outlineLevel="0" collapsed="false">
      <c r="A10" s="1" t="n">
        <v>4.629353</v>
      </c>
      <c r="B10" s="1" t="s">
        <v>1129</v>
      </c>
      <c r="C10" s="1" t="n">
        <v>5615.5</v>
      </c>
      <c r="D10" s="1" t="n">
        <v>25996.15</v>
      </c>
      <c r="E10" s="1" t="n">
        <v>5615.5</v>
      </c>
      <c r="F10" s="172" t="n">
        <v>4.629353</v>
      </c>
      <c r="G10" s="1" t="s">
        <v>123</v>
      </c>
      <c r="H10" s="1" t="s">
        <v>119</v>
      </c>
      <c r="I10" s="1" t="n">
        <v>1435334300</v>
      </c>
      <c r="J10" s="1" t="s">
        <v>1242</v>
      </c>
      <c r="K10" s="1" t="s">
        <v>104</v>
      </c>
      <c r="L10" s="1" t="s">
        <v>119</v>
      </c>
      <c r="M10" s="1" t="n">
        <v>1435334300</v>
      </c>
      <c r="N10" s="1" t="n">
        <v>25996.15</v>
      </c>
      <c r="O10" s="1" t="n">
        <v>467.96</v>
      </c>
      <c r="P10" s="1" t="s">
        <v>1281</v>
      </c>
      <c r="Q10" s="1" t="s">
        <v>108</v>
      </c>
      <c r="S10" s="1" t="s">
        <v>1278</v>
      </c>
      <c r="T10" s="1" t="s">
        <v>1279</v>
      </c>
      <c r="V10" s="1" t="s">
        <v>1275</v>
      </c>
      <c r="W10" s="1" t="s">
        <v>1276</v>
      </c>
    </row>
    <row r="11" customFormat="false" ht="15" hidden="false" customHeight="true" outlineLevel="0" collapsed="false">
      <c r="A11" s="1" t="n">
        <v>4.615792</v>
      </c>
      <c r="B11" s="1" t="s">
        <v>1129</v>
      </c>
      <c r="C11" s="1" t="n">
        <v>5615.5</v>
      </c>
      <c r="D11" s="1" t="n">
        <v>25920</v>
      </c>
      <c r="E11" s="1" t="n">
        <v>5615.5</v>
      </c>
      <c r="F11" s="172" t="n">
        <v>4.615792</v>
      </c>
      <c r="G11" s="1" t="s">
        <v>123</v>
      </c>
      <c r="H11" s="1" t="s">
        <v>109</v>
      </c>
      <c r="I11" s="1" t="n">
        <v>44999119237</v>
      </c>
      <c r="J11" s="1" t="s">
        <v>1242</v>
      </c>
      <c r="K11" s="1" t="s">
        <v>104</v>
      </c>
      <c r="L11" s="1" t="s">
        <v>109</v>
      </c>
      <c r="M11" s="1" t="n">
        <v>44999119237</v>
      </c>
      <c r="N11" s="1" t="n">
        <v>25920</v>
      </c>
      <c r="O11" s="1" t="n">
        <v>467.96</v>
      </c>
      <c r="P11" s="1" t="s">
        <v>1277</v>
      </c>
      <c r="Q11" s="1" t="s">
        <v>108</v>
      </c>
      <c r="S11" s="1" t="s">
        <v>1278</v>
      </c>
      <c r="T11" s="1" t="s">
        <v>1279</v>
      </c>
      <c r="V11" s="1" t="s">
        <v>1275</v>
      </c>
      <c r="W11" s="1" t="s">
        <v>1276</v>
      </c>
    </row>
    <row r="12" customFormat="false" ht="15" hidden="false" customHeight="true" outlineLevel="0" collapsed="false">
      <c r="A12" s="1" t="n">
        <v>4.121087</v>
      </c>
      <c r="B12" s="1" t="s">
        <v>1129</v>
      </c>
      <c r="C12" s="1" t="n">
        <v>5615.5</v>
      </c>
      <c r="D12" s="1" t="n">
        <v>23141.98</v>
      </c>
      <c r="E12" s="1" t="n">
        <v>5615.5</v>
      </c>
      <c r="F12" s="172" t="n">
        <v>4.121087</v>
      </c>
      <c r="G12" s="1" t="s">
        <v>123</v>
      </c>
      <c r="H12" s="1" t="s">
        <v>139</v>
      </c>
      <c r="I12" s="1" t="n">
        <v>4799124468</v>
      </c>
      <c r="J12" s="1" t="s">
        <v>1242</v>
      </c>
      <c r="K12" s="1" t="s">
        <v>104</v>
      </c>
      <c r="L12" s="1" t="s">
        <v>139</v>
      </c>
      <c r="M12" s="1" t="n">
        <v>4799124468</v>
      </c>
      <c r="N12" s="1" t="n">
        <v>23141.98</v>
      </c>
      <c r="O12" s="1" t="n">
        <v>467.96</v>
      </c>
      <c r="P12" s="1" t="s">
        <v>1277</v>
      </c>
      <c r="Q12" s="1" t="s">
        <v>108</v>
      </c>
      <c r="S12" s="1" t="s">
        <v>1278</v>
      </c>
      <c r="T12" s="1" t="s">
        <v>1279</v>
      </c>
      <c r="V12" s="1" t="s">
        <v>1275</v>
      </c>
      <c r="W12" s="1" t="s">
        <v>1276</v>
      </c>
    </row>
    <row r="13" customFormat="false" ht="15" hidden="false" customHeight="true" outlineLevel="0" collapsed="false">
      <c r="A13" s="1" t="n">
        <v>4.005055</v>
      </c>
      <c r="B13" s="1" t="s">
        <v>1129</v>
      </c>
      <c r="C13" s="1" t="n">
        <v>5615.5</v>
      </c>
      <c r="D13" s="1" t="n">
        <v>22490.4</v>
      </c>
      <c r="E13" s="1" t="n">
        <v>5615.5</v>
      </c>
      <c r="F13" s="172" t="n">
        <v>4.005055</v>
      </c>
      <c r="G13" s="1" t="s">
        <v>123</v>
      </c>
      <c r="H13" s="1" t="s">
        <v>139</v>
      </c>
      <c r="I13" s="1" t="n">
        <v>4733947104</v>
      </c>
      <c r="J13" s="1" t="s">
        <v>1242</v>
      </c>
      <c r="K13" s="1" t="s">
        <v>104</v>
      </c>
      <c r="L13" s="1" t="s">
        <v>139</v>
      </c>
      <c r="M13" s="1" t="n">
        <v>4733947104</v>
      </c>
      <c r="N13" s="1" t="n">
        <v>22490.4</v>
      </c>
      <c r="O13" s="1" t="n">
        <v>467.96</v>
      </c>
      <c r="P13" s="1" t="s">
        <v>1277</v>
      </c>
      <c r="Q13" s="1" t="s">
        <v>108</v>
      </c>
      <c r="S13" s="1" t="s">
        <v>1278</v>
      </c>
      <c r="T13" s="1" t="s">
        <v>1279</v>
      </c>
      <c r="V13" s="1" t="s">
        <v>1275</v>
      </c>
      <c r="W13" s="1" t="s">
        <v>1276</v>
      </c>
    </row>
    <row r="14" customFormat="false" ht="15" hidden="false" customHeight="true" outlineLevel="0" collapsed="false">
      <c r="A14" s="1" t="n">
        <v>3.884095</v>
      </c>
      <c r="B14" s="1" t="s">
        <v>1129</v>
      </c>
      <c r="C14" s="1" t="n">
        <v>5615.5</v>
      </c>
      <c r="D14" s="1" t="n">
        <v>21811.15</v>
      </c>
      <c r="E14" s="1" t="n">
        <v>5615.5</v>
      </c>
      <c r="F14" s="172" t="n">
        <v>3.884095</v>
      </c>
      <c r="G14" s="1" t="s">
        <v>123</v>
      </c>
      <c r="H14" s="1" t="s">
        <v>146</v>
      </c>
      <c r="I14" s="1" t="n">
        <v>1</v>
      </c>
      <c r="J14" s="1" t="s">
        <v>1242</v>
      </c>
      <c r="K14" s="1" t="s">
        <v>104</v>
      </c>
      <c r="L14" s="1" t="s">
        <v>146</v>
      </c>
      <c r="M14" s="1" t="n">
        <v>1</v>
      </c>
      <c r="N14" s="1" t="n">
        <v>21811.15</v>
      </c>
      <c r="O14" s="1" t="n">
        <v>467.96</v>
      </c>
      <c r="P14" s="1" t="s">
        <v>1283</v>
      </c>
      <c r="Q14" s="1" t="s">
        <v>100</v>
      </c>
      <c r="S14" s="1" t="s">
        <v>1004</v>
      </c>
      <c r="T14" s="1" t="s">
        <v>1274</v>
      </c>
      <c r="V14" s="1" t="s">
        <v>1275</v>
      </c>
      <c r="W14" s="1" t="s">
        <v>1276</v>
      </c>
    </row>
    <row r="15" customFormat="false" ht="15" hidden="false" customHeight="true" outlineLevel="0" collapsed="false">
      <c r="A15" s="1" t="n">
        <v>3.844052</v>
      </c>
      <c r="B15" s="1" t="s">
        <v>1129</v>
      </c>
      <c r="C15" s="1" t="n">
        <v>5615.5</v>
      </c>
      <c r="D15" s="1" t="n">
        <v>21586.29</v>
      </c>
      <c r="E15" s="1" t="n">
        <v>5615.5</v>
      </c>
      <c r="F15" s="172" t="n">
        <v>3.844052</v>
      </c>
      <c r="G15" s="1" t="s">
        <v>123</v>
      </c>
      <c r="H15" s="1" t="s">
        <v>139</v>
      </c>
      <c r="I15" s="1" t="n">
        <v>4788616805</v>
      </c>
      <c r="J15" s="1" t="s">
        <v>1242</v>
      </c>
      <c r="K15" s="1" t="s">
        <v>104</v>
      </c>
      <c r="L15" s="1" t="s">
        <v>139</v>
      </c>
      <c r="M15" s="1" t="n">
        <v>4788616805</v>
      </c>
      <c r="N15" s="1" t="n">
        <v>21586.29</v>
      </c>
      <c r="O15" s="1" t="n">
        <v>467.96</v>
      </c>
      <c r="P15" s="1" t="s">
        <v>1277</v>
      </c>
      <c r="Q15" s="1" t="s">
        <v>108</v>
      </c>
      <c r="S15" s="1" t="s">
        <v>1278</v>
      </c>
      <c r="T15" s="1" t="s">
        <v>1279</v>
      </c>
      <c r="V15" s="1" t="s">
        <v>1275</v>
      </c>
      <c r="W15" s="1" t="s">
        <v>1276</v>
      </c>
    </row>
    <row r="16" customFormat="false" ht="15" hidden="false" customHeight="true" outlineLevel="0" collapsed="false">
      <c r="A16" s="1" t="n">
        <v>3.223497</v>
      </c>
      <c r="B16" s="1" t="s">
        <v>1129</v>
      </c>
      <c r="C16" s="1" t="n">
        <v>5615.5</v>
      </c>
      <c r="D16" s="1" t="n">
        <v>18101.56</v>
      </c>
      <c r="E16" s="1" t="n">
        <v>5615.5</v>
      </c>
      <c r="F16" s="172" t="n">
        <v>3.223497</v>
      </c>
      <c r="G16" s="1" t="s">
        <v>123</v>
      </c>
      <c r="H16" s="1" t="s">
        <v>109</v>
      </c>
      <c r="I16" s="1" t="n">
        <v>41992423665</v>
      </c>
      <c r="J16" s="1" t="s">
        <v>1242</v>
      </c>
      <c r="K16" s="1" t="s">
        <v>104</v>
      </c>
      <c r="L16" s="1" t="s">
        <v>109</v>
      </c>
      <c r="M16" s="1" t="n">
        <v>41992423665</v>
      </c>
      <c r="N16" s="1" t="n">
        <v>18101.56</v>
      </c>
      <c r="O16" s="1" t="n">
        <v>467.96</v>
      </c>
      <c r="P16" s="1" t="s">
        <v>1277</v>
      </c>
      <c r="Q16" s="1" t="s">
        <v>108</v>
      </c>
      <c r="S16" s="1" t="s">
        <v>1278</v>
      </c>
      <c r="T16" s="1" t="s">
        <v>1279</v>
      </c>
      <c r="V16" s="1" t="s">
        <v>1275</v>
      </c>
      <c r="W16" s="1" t="s">
        <v>1276</v>
      </c>
    </row>
    <row r="17" customFormat="false" ht="15" hidden="false" customHeight="true" outlineLevel="0" collapsed="false">
      <c r="A17" s="1" t="n">
        <v>3.109603</v>
      </c>
      <c r="B17" s="1" t="s">
        <v>1129</v>
      </c>
      <c r="C17" s="1" t="n">
        <v>5615.5</v>
      </c>
      <c r="D17" s="1" t="n">
        <v>17461.99</v>
      </c>
      <c r="E17" s="1" t="n">
        <v>5615.5</v>
      </c>
      <c r="F17" s="172" t="n">
        <v>3.109603</v>
      </c>
      <c r="G17" s="1" t="s">
        <v>123</v>
      </c>
      <c r="H17" s="1" t="s">
        <v>119</v>
      </c>
      <c r="I17" s="1" t="n">
        <v>17992484748</v>
      </c>
      <c r="J17" s="1" t="s">
        <v>1242</v>
      </c>
      <c r="K17" s="1" t="s">
        <v>104</v>
      </c>
      <c r="L17" s="1" t="s">
        <v>119</v>
      </c>
      <c r="M17" s="1" t="n">
        <v>17992484748</v>
      </c>
      <c r="N17" s="1" t="n">
        <v>17461.99</v>
      </c>
      <c r="O17" s="1" t="n">
        <v>467.96</v>
      </c>
      <c r="P17" s="1" t="s">
        <v>1281</v>
      </c>
      <c r="Q17" s="1" t="s">
        <v>100</v>
      </c>
      <c r="S17" s="1" t="s">
        <v>1004</v>
      </c>
      <c r="T17" s="1" t="s">
        <v>1274</v>
      </c>
      <c r="V17" s="1" t="s">
        <v>1275</v>
      </c>
      <c r="W17" s="1" t="s">
        <v>1276</v>
      </c>
    </row>
    <row r="18" customFormat="false" ht="15" hidden="false" customHeight="true" outlineLevel="0" collapsed="false">
      <c r="A18" s="1" t="n">
        <v>1.83606</v>
      </c>
      <c r="B18" s="1" t="s">
        <v>1129</v>
      </c>
      <c r="C18" s="1" t="n">
        <v>9000</v>
      </c>
      <c r="D18" s="1" t="n">
        <v>16524.54</v>
      </c>
      <c r="E18" s="1" t="n">
        <v>9000</v>
      </c>
      <c r="F18" s="172" t="n">
        <v>1.83606</v>
      </c>
      <c r="G18" s="1" t="s">
        <v>1182</v>
      </c>
      <c r="H18" s="1" t="s">
        <v>139</v>
      </c>
      <c r="I18" s="1" t="n">
        <v>48988457748</v>
      </c>
      <c r="J18" s="1" t="s">
        <v>1242</v>
      </c>
      <c r="K18" s="1" t="s">
        <v>1182</v>
      </c>
      <c r="L18" s="1" t="s">
        <v>139</v>
      </c>
      <c r="M18" s="1" t="n">
        <v>48988457748</v>
      </c>
      <c r="N18" s="1" t="n">
        <v>16524.54</v>
      </c>
      <c r="O18" s="1" t="n">
        <v>750</v>
      </c>
      <c r="P18" s="1" t="s">
        <v>1277</v>
      </c>
      <c r="Q18" s="1" t="s">
        <v>108</v>
      </c>
      <c r="S18" s="1" t="s">
        <v>1278</v>
      </c>
      <c r="T18" s="1" t="s">
        <v>1279</v>
      </c>
      <c r="V18" s="1" t="s">
        <v>1275</v>
      </c>
      <c r="W18" s="1" t="s">
        <v>1284</v>
      </c>
    </row>
    <row r="19" customFormat="false" ht="15" hidden="false" customHeight="true" outlineLevel="0" collapsed="false">
      <c r="A19" s="1" t="n">
        <v>2.877612</v>
      </c>
      <c r="B19" s="1" t="s">
        <v>1129</v>
      </c>
      <c r="C19" s="1" t="n">
        <v>5615.5</v>
      </c>
      <c r="D19" s="1" t="n">
        <v>16159.24</v>
      </c>
      <c r="E19" s="1" t="n">
        <v>5615.5</v>
      </c>
      <c r="F19" s="172" t="n">
        <v>2.877612</v>
      </c>
      <c r="G19" s="1" t="s">
        <v>123</v>
      </c>
      <c r="H19" s="1" t="s">
        <v>119</v>
      </c>
      <c r="I19" s="1" t="n">
        <v>1148157242</v>
      </c>
      <c r="J19" s="1" t="s">
        <v>1242</v>
      </c>
      <c r="K19" s="1" t="s">
        <v>104</v>
      </c>
      <c r="L19" s="1" t="s">
        <v>119</v>
      </c>
      <c r="M19" s="1" t="n">
        <v>1148157242</v>
      </c>
      <c r="N19" s="1" t="n">
        <v>16159.24</v>
      </c>
      <c r="O19" s="1" t="n">
        <v>467.96</v>
      </c>
      <c r="P19" s="1" t="s">
        <v>1281</v>
      </c>
      <c r="Q19" s="1" t="s">
        <v>100</v>
      </c>
      <c r="S19" s="1" t="s">
        <v>1004</v>
      </c>
      <c r="T19" s="1" t="s">
        <v>1274</v>
      </c>
      <c r="V19" s="1" t="s">
        <v>1275</v>
      </c>
      <c r="W19" s="1" t="s">
        <v>1276</v>
      </c>
    </row>
    <row r="20" customFormat="false" ht="15" hidden="false" customHeight="true" outlineLevel="0" collapsed="false">
      <c r="A20" s="1" t="n">
        <v>2.773233</v>
      </c>
      <c r="B20" s="1" t="s">
        <v>1129</v>
      </c>
      <c r="C20" s="1" t="n">
        <v>5615.5</v>
      </c>
      <c r="D20" s="1" t="n">
        <v>15573.1</v>
      </c>
      <c r="E20" s="1" t="n">
        <v>5615.5</v>
      </c>
      <c r="F20" s="172" t="n">
        <v>2.773233</v>
      </c>
      <c r="G20" s="1" t="s">
        <v>123</v>
      </c>
      <c r="H20" s="1" t="s">
        <v>114</v>
      </c>
      <c r="I20" s="1" t="n">
        <v>3195822907</v>
      </c>
      <c r="J20" s="1" t="s">
        <v>1242</v>
      </c>
      <c r="K20" s="1" t="s">
        <v>104</v>
      </c>
      <c r="L20" s="1" t="s">
        <v>114</v>
      </c>
      <c r="M20" s="1" t="n">
        <v>3195822907</v>
      </c>
      <c r="N20" s="1" t="n">
        <v>15573.1</v>
      </c>
      <c r="O20" s="1" t="n">
        <v>467.96</v>
      </c>
      <c r="P20" s="1" t="s">
        <v>1280</v>
      </c>
      <c r="Q20" s="1" t="s">
        <v>108</v>
      </c>
      <c r="S20" s="1" t="s">
        <v>1278</v>
      </c>
      <c r="T20" s="1" t="s">
        <v>1279</v>
      </c>
      <c r="V20" s="1" t="s">
        <v>1275</v>
      </c>
      <c r="W20" s="1" t="s">
        <v>1276</v>
      </c>
    </row>
    <row r="21" customFormat="false" ht="15" hidden="false" customHeight="true" outlineLevel="0" collapsed="false">
      <c r="A21" s="1" t="n">
        <v>2.720764</v>
      </c>
      <c r="B21" s="1" t="s">
        <v>1129</v>
      </c>
      <c r="C21" s="1" t="n">
        <v>5615.5</v>
      </c>
      <c r="D21" s="1" t="n">
        <v>15278.46</v>
      </c>
      <c r="E21" s="1" t="n">
        <v>5615.5</v>
      </c>
      <c r="F21" s="172" t="n">
        <v>2.720764</v>
      </c>
      <c r="G21" s="1" t="s">
        <v>123</v>
      </c>
      <c r="H21" s="1" t="s">
        <v>119</v>
      </c>
      <c r="I21" s="1" t="n">
        <v>11931442643</v>
      </c>
      <c r="J21" s="1" t="s">
        <v>1242</v>
      </c>
      <c r="K21" s="1" t="s">
        <v>104</v>
      </c>
      <c r="L21" s="1" t="s">
        <v>119</v>
      </c>
      <c r="M21" s="1" t="n">
        <v>11931442643</v>
      </c>
      <c r="N21" s="1" t="n">
        <v>15278.46</v>
      </c>
      <c r="O21" s="1" t="n">
        <v>467.96</v>
      </c>
      <c r="P21" s="1" t="s">
        <v>1285</v>
      </c>
      <c r="Q21" s="1" t="s">
        <v>100</v>
      </c>
      <c r="S21" s="1" t="s">
        <v>1004</v>
      </c>
      <c r="T21" s="1" t="s">
        <v>1274</v>
      </c>
      <c r="V21" s="1" t="s">
        <v>1275</v>
      </c>
      <c r="W21" s="1" t="s">
        <v>1276</v>
      </c>
    </row>
    <row r="22" customFormat="false" ht="15" hidden="false" customHeight="true" outlineLevel="0" collapsed="false">
      <c r="A22" s="1" t="n">
        <v>2.663665</v>
      </c>
      <c r="B22" s="1" t="s">
        <v>1129</v>
      </c>
      <c r="C22" s="1" t="n">
        <v>5615.5</v>
      </c>
      <c r="D22" s="1" t="n">
        <v>14957.82</v>
      </c>
      <c r="E22" s="1" t="n">
        <v>5615.5</v>
      </c>
      <c r="F22" s="172" t="n">
        <v>2.663665</v>
      </c>
      <c r="G22" s="1" t="s">
        <v>123</v>
      </c>
      <c r="H22" s="1" t="s">
        <v>139</v>
      </c>
      <c r="I22" s="1" t="n">
        <v>4797392571</v>
      </c>
      <c r="J22" s="1" t="s">
        <v>1242</v>
      </c>
      <c r="K22" s="1" t="s">
        <v>104</v>
      </c>
      <c r="L22" s="1" t="s">
        <v>139</v>
      </c>
      <c r="M22" s="1" t="n">
        <v>4797392571</v>
      </c>
      <c r="N22" s="1" t="n">
        <v>14957.82</v>
      </c>
      <c r="O22" s="1" t="n">
        <v>467.96</v>
      </c>
      <c r="P22" s="1" t="s">
        <v>1277</v>
      </c>
      <c r="Q22" s="1" t="s">
        <v>108</v>
      </c>
      <c r="S22" s="1" t="s">
        <v>1278</v>
      </c>
      <c r="T22" s="1" t="s">
        <v>1279</v>
      </c>
      <c r="V22" s="1" t="s">
        <v>1275</v>
      </c>
      <c r="W22" s="1" t="s">
        <v>1276</v>
      </c>
    </row>
    <row r="23" customFormat="false" ht="15" hidden="false" customHeight="true" outlineLevel="0" collapsed="false">
      <c r="A23" s="1" t="n">
        <v>2.496041</v>
      </c>
      <c r="B23" s="1" t="s">
        <v>1129</v>
      </c>
      <c r="C23" s="1" t="n">
        <v>5615.5</v>
      </c>
      <c r="D23" s="1" t="n">
        <v>14016.53</v>
      </c>
      <c r="E23" s="1" t="n">
        <v>5615.5</v>
      </c>
      <c r="F23" s="172" t="n">
        <v>2.496041</v>
      </c>
      <c r="G23" s="1" t="s">
        <v>123</v>
      </c>
      <c r="H23" s="1" t="s">
        <v>114</v>
      </c>
      <c r="I23" s="1" t="n">
        <v>3136166485</v>
      </c>
      <c r="J23" s="1" t="s">
        <v>1242</v>
      </c>
      <c r="K23" s="1" t="s">
        <v>104</v>
      </c>
      <c r="L23" s="1" t="s">
        <v>114</v>
      </c>
      <c r="M23" s="1" t="n">
        <v>3136166485</v>
      </c>
      <c r="N23" s="1" t="n">
        <v>14016.53</v>
      </c>
      <c r="O23" s="1" t="n">
        <v>467.96</v>
      </c>
      <c r="P23" s="1" t="s">
        <v>1280</v>
      </c>
      <c r="Q23" s="1" t="s">
        <v>100</v>
      </c>
      <c r="S23" s="1" t="s">
        <v>1004</v>
      </c>
      <c r="T23" s="1" t="s">
        <v>1274</v>
      </c>
      <c r="V23" s="1" t="s">
        <v>1275</v>
      </c>
      <c r="W23" s="1" t="s">
        <v>1276</v>
      </c>
    </row>
    <row r="24" customFormat="false" ht="15" hidden="false" customHeight="true" outlineLevel="0" collapsed="false">
      <c r="A24" s="1" t="n">
        <v>2.426737</v>
      </c>
      <c r="B24" s="1" t="s">
        <v>1129</v>
      </c>
      <c r="C24" s="1" t="n">
        <v>5615.5</v>
      </c>
      <c r="D24" s="1" t="n">
        <v>13627.35</v>
      </c>
      <c r="E24" s="1" t="n">
        <v>5615.5</v>
      </c>
      <c r="F24" s="172" t="n">
        <v>2.426737</v>
      </c>
      <c r="G24" s="1" t="s">
        <v>123</v>
      </c>
      <c r="H24" s="1" t="s">
        <v>119</v>
      </c>
      <c r="I24" s="1" t="n">
        <v>11993142494</v>
      </c>
      <c r="J24" s="1" t="s">
        <v>1242</v>
      </c>
      <c r="K24" s="1" t="s">
        <v>104</v>
      </c>
      <c r="L24" s="1" t="s">
        <v>119</v>
      </c>
      <c r="M24" s="1" t="n">
        <v>11993142494</v>
      </c>
      <c r="N24" s="1" t="n">
        <v>13627.35</v>
      </c>
      <c r="O24" s="1" t="n">
        <v>467.96</v>
      </c>
      <c r="P24" s="1" t="s">
        <v>1285</v>
      </c>
      <c r="Q24" s="1" t="s">
        <v>100</v>
      </c>
      <c r="S24" s="1" t="s">
        <v>1004</v>
      </c>
      <c r="T24" s="1" t="s">
        <v>1274</v>
      </c>
      <c r="V24" s="1" t="s">
        <v>1275</v>
      </c>
      <c r="W24" s="1" t="s">
        <v>1276</v>
      </c>
    </row>
    <row r="25" customFormat="false" ht="15" hidden="false" customHeight="true" outlineLevel="0" collapsed="false">
      <c r="A25" s="1" t="n">
        <v>2.38106</v>
      </c>
      <c r="B25" s="1" t="s">
        <v>1129</v>
      </c>
      <c r="C25" s="1" t="n">
        <v>5615.5</v>
      </c>
      <c r="D25" s="1" t="n">
        <v>13370.85</v>
      </c>
      <c r="E25" s="1" t="n">
        <v>5615.5</v>
      </c>
      <c r="F25" s="172" t="n">
        <v>2.38106</v>
      </c>
      <c r="G25" s="1" t="s">
        <v>123</v>
      </c>
      <c r="H25" s="1" t="s">
        <v>119</v>
      </c>
      <c r="I25" s="1" t="n">
        <v>16988037695</v>
      </c>
      <c r="J25" s="1" t="s">
        <v>1242</v>
      </c>
      <c r="K25" s="1" t="s">
        <v>104</v>
      </c>
      <c r="L25" s="1" t="s">
        <v>119</v>
      </c>
      <c r="M25" s="1" t="n">
        <v>16988037695</v>
      </c>
      <c r="N25" s="1" t="n">
        <v>13370.85</v>
      </c>
      <c r="O25" s="1" t="n">
        <v>467.96</v>
      </c>
      <c r="P25" s="1" t="s">
        <v>1281</v>
      </c>
      <c r="Q25" s="1" t="s">
        <v>100</v>
      </c>
      <c r="S25" s="1" t="s">
        <v>1004</v>
      </c>
      <c r="T25" s="1" t="s">
        <v>1274</v>
      </c>
      <c r="V25" s="1" t="s">
        <v>1275</v>
      </c>
      <c r="W25" s="1" t="s">
        <v>1276</v>
      </c>
    </row>
    <row r="26" customFormat="false" ht="15" hidden="false" customHeight="true" outlineLevel="0" collapsed="false">
      <c r="A26" s="1" t="n">
        <v>1.22149</v>
      </c>
      <c r="B26" s="1" t="s">
        <v>1129</v>
      </c>
      <c r="C26" s="1" t="n">
        <v>10875</v>
      </c>
      <c r="D26" s="1" t="n">
        <v>13283.7</v>
      </c>
      <c r="E26" s="1" t="n">
        <v>10875</v>
      </c>
      <c r="F26" s="172" t="n">
        <v>1.22149</v>
      </c>
      <c r="G26" s="1" t="s">
        <v>102</v>
      </c>
      <c r="H26" s="1" t="s">
        <v>139</v>
      </c>
      <c r="I26" s="1" t="n">
        <v>4733047708</v>
      </c>
      <c r="J26" s="1" t="s">
        <v>1242</v>
      </c>
      <c r="K26" s="1" t="s">
        <v>102</v>
      </c>
      <c r="L26" s="1" t="s">
        <v>139</v>
      </c>
      <c r="M26" s="1" t="n">
        <v>4733047708</v>
      </c>
      <c r="N26" s="1" t="n">
        <v>13283.7</v>
      </c>
      <c r="O26" s="1" t="n">
        <v>906.25</v>
      </c>
      <c r="P26" s="1" t="s">
        <v>1286</v>
      </c>
      <c r="Q26" s="1" t="s">
        <v>175</v>
      </c>
      <c r="S26" s="1" t="s">
        <v>1287</v>
      </c>
      <c r="T26" s="1" t="s">
        <v>1274</v>
      </c>
      <c r="V26" s="1" t="s">
        <v>1275</v>
      </c>
      <c r="W26" s="1" t="s">
        <v>1284</v>
      </c>
    </row>
    <row r="27" customFormat="false" ht="15" hidden="false" customHeight="true" outlineLevel="0" collapsed="false">
      <c r="A27" s="1" t="n">
        <v>2.295619</v>
      </c>
      <c r="B27" s="1" t="s">
        <v>1129</v>
      </c>
      <c r="C27" s="1" t="n">
        <v>5615.5</v>
      </c>
      <c r="D27" s="1" t="n">
        <v>12891.06</v>
      </c>
      <c r="E27" s="1" t="n">
        <v>5615.5</v>
      </c>
      <c r="F27" s="172" t="n">
        <v>2.295619</v>
      </c>
      <c r="G27" s="1" t="s">
        <v>123</v>
      </c>
      <c r="H27" s="1" t="s">
        <v>146</v>
      </c>
      <c r="I27" s="1" t="n">
        <v>1</v>
      </c>
      <c r="J27" s="1" t="s">
        <v>1242</v>
      </c>
      <c r="K27" s="1" t="s">
        <v>104</v>
      </c>
      <c r="L27" s="1" t="s">
        <v>146</v>
      </c>
      <c r="M27" s="1" t="n">
        <v>1</v>
      </c>
      <c r="N27" s="1" t="n">
        <v>12891.06</v>
      </c>
      <c r="O27" s="1" t="n">
        <v>467.96</v>
      </c>
      <c r="P27" s="1" t="s">
        <v>1283</v>
      </c>
      <c r="Q27" s="1" t="s">
        <v>100</v>
      </c>
      <c r="S27" s="1" t="s">
        <v>1004</v>
      </c>
      <c r="T27" s="1" t="s">
        <v>1274</v>
      </c>
      <c r="V27" s="1" t="s">
        <v>1275</v>
      </c>
      <c r="W27" s="1" t="s">
        <v>1276</v>
      </c>
    </row>
    <row r="28" customFormat="false" ht="15" hidden="false" customHeight="true" outlineLevel="0" collapsed="false">
      <c r="A28" s="1" t="n">
        <v>2.246637</v>
      </c>
      <c r="B28" s="1" t="s">
        <v>1129</v>
      </c>
      <c r="C28" s="1" t="n">
        <v>5615.5</v>
      </c>
      <c r="D28" s="1" t="n">
        <v>12616</v>
      </c>
      <c r="E28" s="1" t="n">
        <v>5615.5</v>
      </c>
      <c r="F28" s="172" t="n">
        <v>2.246637</v>
      </c>
      <c r="G28" s="1" t="s">
        <v>123</v>
      </c>
      <c r="H28" s="1" t="s">
        <v>119</v>
      </c>
      <c r="I28" s="1" t="n">
        <v>1150807000</v>
      </c>
      <c r="J28" s="1" t="s">
        <v>1242</v>
      </c>
      <c r="K28" s="1" t="s">
        <v>104</v>
      </c>
      <c r="L28" s="1" t="s">
        <v>119</v>
      </c>
      <c r="M28" s="1" t="n">
        <v>1150807000</v>
      </c>
      <c r="N28" s="1" t="n">
        <v>12616</v>
      </c>
      <c r="O28" s="1" t="n">
        <v>467.96</v>
      </c>
      <c r="P28" s="1" t="s">
        <v>1285</v>
      </c>
      <c r="Q28" s="1" t="s">
        <v>100</v>
      </c>
      <c r="S28" s="1" t="s">
        <v>1004</v>
      </c>
      <c r="T28" s="1" t="s">
        <v>1274</v>
      </c>
      <c r="V28" s="1" t="s">
        <v>1275</v>
      </c>
      <c r="W28" s="1" t="s">
        <v>1276</v>
      </c>
    </row>
    <row r="29" customFormat="false" ht="15" hidden="false" customHeight="true" outlineLevel="0" collapsed="false">
      <c r="A29" s="1" t="n">
        <v>1.031064</v>
      </c>
      <c r="B29" s="1" t="s">
        <v>1129</v>
      </c>
      <c r="C29" s="1" t="n">
        <v>12000</v>
      </c>
      <c r="D29" s="1" t="n">
        <v>12372.77</v>
      </c>
      <c r="E29" s="1" t="n">
        <v>12000</v>
      </c>
      <c r="F29" s="172" t="n">
        <v>1.031064</v>
      </c>
      <c r="G29" s="1" t="s">
        <v>183</v>
      </c>
      <c r="H29" s="1" t="s">
        <v>196</v>
      </c>
      <c r="I29" s="1" t="n">
        <v>5139027349</v>
      </c>
      <c r="J29" s="1" t="s">
        <v>1242</v>
      </c>
      <c r="K29" s="1" t="s">
        <v>183</v>
      </c>
      <c r="L29" s="1" t="s">
        <v>196</v>
      </c>
      <c r="M29" s="1" t="n">
        <v>5139027349</v>
      </c>
      <c r="N29" s="1" t="n">
        <v>12372.77</v>
      </c>
      <c r="O29" s="1" t="n">
        <v>1000</v>
      </c>
      <c r="P29" s="1" t="s">
        <v>1286</v>
      </c>
      <c r="Q29" s="1" t="s">
        <v>108</v>
      </c>
      <c r="S29" s="1" t="s">
        <v>1278</v>
      </c>
      <c r="T29" s="1" t="s">
        <v>1279</v>
      </c>
      <c r="V29" s="1" t="s">
        <v>1275</v>
      </c>
      <c r="W29" s="1" t="s">
        <v>1284</v>
      </c>
    </row>
    <row r="30" customFormat="false" ht="15" hidden="false" customHeight="true" outlineLevel="0" collapsed="false">
      <c r="A30" s="1" t="n">
        <v>2.198577</v>
      </c>
      <c r="B30" s="1" t="s">
        <v>1129</v>
      </c>
      <c r="C30" s="1" t="n">
        <v>5615.5</v>
      </c>
      <c r="D30" s="1" t="n">
        <v>12346.12</v>
      </c>
      <c r="E30" s="1" t="n">
        <v>5615.5</v>
      </c>
      <c r="F30" s="172" t="n">
        <v>2.198577</v>
      </c>
      <c r="G30" s="1" t="s">
        <v>123</v>
      </c>
      <c r="H30" s="1" t="s">
        <v>187</v>
      </c>
      <c r="I30" s="1" t="n">
        <v>81997040498</v>
      </c>
      <c r="J30" s="1" t="s">
        <v>1242</v>
      </c>
      <c r="K30" s="1" t="s">
        <v>104</v>
      </c>
      <c r="L30" s="1" t="s">
        <v>187</v>
      </c>
      <c r="M30" s="1" t="n">
        <v>81997040498</v>
      </c>
      <c r="N30" s="1" t="n">
        <v>12346.12</v>
      </c>
      <c r="O30" s="1" t="n">
        <v>467.96</v>
      </c>
      <c r="P30" s="1" t="s">
        <v>1282</v>
      </c>
      <c r="Q30" s="1" t="s">
        <v>100</v>
      </c>
      <c r="S30" s="1" t="s">
        <v>1004</v>
      </c>
      <c r="T30" s="1" t="s">
        <v>1274</v>
      </c>
      <c r="V30" s="1" t="s">
        <v>1275</v>
      </c>
      <c r="W30" s="1" t="s">
        <v>1276</v>
      </c>
    </row>
    <row r="31" customFormat="false" ht="15" hidden="false" customHeight="true" outlineLevel="0" collapsed="false">
      <c r="A31" s="1" t="n">
        <v>2.191064</v>
      </c>
      <c r="B31" s="1" t="s">
        <v>1129</v>
      </c>
      <c r="C31" s="1" t="n">
        <v>5615.5</v>
      </c>
      <c r="D31" s="1" t="n">
        <v>12303.93</v>
      </c>
      <c r="E31" s="1" t="n">
        <v>5615.5</v>
      </c>
      <c r="F31" s="172" t="n">
        <v>2.191064</v>
      </c>
      <c r="G31" s="1" t="s">
        <v>123</v>
      </c>
      <c r="H31" s="1" t="s">
        <v>109</v>
      </c>
      <c r="I31" s="1" t="n">
        <v>43999144144</v>
      </c>
      <c r="J31" s="1" t="s">
        <v>1242</v>
      </c>
      <c r="K31" s="1" t="s">
        <v>104</v>
      </c>
      <c r="L31" s="1" t="s">
        <v>109</v>
      </c>
      <c r="M31" s="1" t="n">
        <v>43999144144</v>
      </c>
      <c r="N31" s="1" t="n">
        <v>12303.93</v>
      </c>
      <c r="O31" s="1" t="n">
        <v>467.96</v>
      </c>
      <c r="P31" s="1" t="s">
        <v>1277</v>
      </c>
      <c r="Q31" s="1" t="s">
        <v>108</v>
      </c>
      <c r="S31" s="1" t="s">
        <v>1278</v>
      </c>
      <c r="T31" s="1" t="s">
        <v>1274</v>
      </c>
      <c r="V31" s="1" t="s">
        <v>1275</v>
      </c>
      <c r="W31" s="1" t="s">
        <v>1276</v>
      </c>
    </row>
    <row r="32" customFormat="false" ht="15" hidden="false" customHeight="true" outlineLevel="0" collapsed="false">
      <c r="A32" s="1" t="n">
        <v>2.12091</v>
      </c>
      <c r="B32" s="1" t="s">
        <v>1129</v>
      </c>
      <c r="C32" s="1" t="n">
        <v>5615.5</v>
      </c>
      <c r="D32" s="1" t="n">
        <v>11909.98</v>
      </c>
      <c r="E32" s="1" t="n">
        <v>5615.5</v>
      </c>
      <c r="F32" s="172" t="n">
        <v>2.12091</v>
      </c>
      <c r="G32" s="1" t="s">
        <v>123</v>
      </c>
      <c r="H32" s="1" t="s">
        <v>139</v>
      </c>
      <c r="I32" s="1" t="n">
        <v>4733636986</v>
      </c>
      <c r="J32" s="1" t="s">
        <v>1242</v>
      </c>
      <c r="K32" s="1" t="s">
        <v>104</v>
      </c>
      <c r="L32" s="1" t="s">
        <v>139</v>
      </c>
      <c r="M32" s="1" t="n">
        <v>4733636986</v>
      </c>
      <c r="N32" s="1" t="n">
        <v>11909.98</v>
      </c>
      <c r="O32" s="1" t="n">
        <v>467.96</v>
      </c>
      <c r="P32" s="1" t="s">
        <v>1277</v>
      </c>
      <c r="Q32" s="1" t="s">
        <v>108</v>
      </c>
      <c r="S32" s="1" t="s">
        <v>1278</v>
      </c>
      <c r="T32" s="1" t="s">
        <v>1279</v>
      </c>
      <c r="V32" s="1" t="s">
        <v>1275</v>
      </c>
      <c r="W32" s="1" t="s">
        <v>1276</v>
      </c>
    </row>
    <row r="33" customFormat="false" ht="15" hidden="false" customHeight="true" outlineLevel="0" collapsed="false">
      <c r="A33" s="1" t="n">
        <v>1.79635</v>
      </c>
      <c r="B33" s="1" t="s">
        <v>1129</v>
      </c>
      <c r="C33" s="1" t="n">
        <v>6566.04</v>
      </c>
      <c r="D33" s="1" t="n">
        <v>11794.9</v>
      </c>
      <c r="E33" s="1" t="n">
        <v>6566.04</v>
      </c>
      <c r="F33" s="172" t="n">
        <v>1.79635</v>
      </c>
      <c r="G33" s="1" t="s">
        <v>110</v>
      </c>
      <c r="H33" s="1" t="s">
        <v>196</v>
      </c>
      <c r="I33" s="1" t="n">
        <v>51985429000</v>
      </c>
      <c r="J33" s="1" t="s">
        <v>1242</v>
      </c>
      <c r="K33" s="1" t="s">
        <v>110</v>
      </c>
      <c r="L33" s="1" t="s">
        <v>196</v>
      </c>
      <c r="M33" s="1" t="n">
        <v>51985429000</v>
      </c>
      <c r="N33" s="1" t="n">
        <v>11794.9</v>
      </c>
      <c r="O33" s="1" t="n">
        <v>547.17</v>
      </c>
      <c r="P33" s="1" t="s">
        <v>1286</v>
      </c>
      <c r="Q33" s="1" t="s">
        <v>184</v>
      </c>
      <c r="S33" s="1" t="s">
        <v>1278</v>
      </c>
      <c r="T33" s="1" t="s">
        <v>1274</v>
      </c>
      <c r="V33" s="1" t="s">
        <v>1275</v>
      </c>
      <c r="W33" s="1" t="s">
        <v>1284</v>
      </c>
    </row>
    <row r="34" customFormat="false" ht="15" hidden="false" customHeight="true" outlineLevel="0" collapsed="false">
      <c r="A34" s="1" t="n">
        <v>2.005843</v>
      </c>
      <c r="B34" s="1" t="s">
        <v>1129</v>
      </c>
      <c r="C34" s="1" t="n">
        <v>5615.5</v>
      </c>
      <c r="D34" s="1" t="n">
        <v>11263.82</v>
      </c>
      <c r="E34" s="1" t="n">
        <v>5615.5</v>
      </c>
      <c r="F34" s="172" t="n">
        <v>2.005843</v>
      </c>
      <c r="G34" s="1" t="s">
        <v>123</v>
      </c>
      <c r="H34" s="1" t="s">
        <v>119</v>
      </c>
      <c r="I34" s="1" t="n">
        <v>1435542046</v>
      </c>
      <c r="J34" s="1" t="s">
        <v>1242</v>
      </c>
      <c r="K34" s="1" t="s">
        <v>104</v>
      </c>
      <c r="L34" s="1" t="s">
        <v>119</v>
      </c>
      <c r="M34" s="1" t="n">
        <v>1435542046</v>
      </c>
      <c r="N34" s="1" t="n">
        <v>11263.82</v>
      </c>
      <c r="O34" s="1" t="n">
        <v>467.96</v>
      </c>
      <c r="P34" s="1" t="s">
        <v>1281</v>
      </c>
      <c r="Q34" s="1" t="s">
        <v>100</v>
      </c>
      <c r="S34" s="1" t="s">
        <v>1004</v>
      </c>
      <c r="T34" s="1" t="s">
        <v>1274</v>
      </c>
      <c r="V34" s="1" t="s">
        <v>1275</v>
      </c>
      <c r="W34" s="1" t="s">
        <v>1276</v>
      </c>
    </row>
    <row r="35" customFormat="false" ht="15" hidden="false" customHeight="true" outlineLevel="0" collapsed="false">
      <c r="A35" s="1" t="n">
        <v>1.00462</v>
      </c>
      <c r="B35" s="1" t="s">
        <v>1129</v>
      </c>
      <c r="C35" s="1" t="n">
        <v>10706.9</v>
      </c>
      <c r="D35" s="1" t="n">
        <v>10756.36</v>
      </c>
      <c r="E35" s="1" t="n">
        <v>10706.9</v>
      </c>
      <c r="F35" s="172" t="n">
        <v>1.00462</v>
      </c>
      <c r="G35" s="1" t="s">
        <v>66</v>
      </c>
      <c r="H35" s="1" t="s">
        <v>139</v>
      </c>
      <c r="I35" s="1" t="n">
        <v>4799956980</v>
      </c>
      <c r="J35" s="1" t="s">
        <v>1242</v>
      </c>
      <c r="K35" s="1" t="s">
        <v>66</v>
      </c>
      <c r="L35" s="1" t="s">
        <v>139</v>
      </c>
      <c r="M35" s="1" t="n">
        <v>4799956980</v>
      </c>
      <c r="N35" s="1" t="n">
        <v>10756.36</v>
      </c>
      <c r="O35" s="1" t="n">
        <v>892.24</v>
      </c>
      <c r="P35" s="1" t="s">
        <v>1286</v>
      </c>
      <c r="Q35" s="1" t="s">
        <v>175</v>
      </c>
      <c r="S35" s="1" t="s">
        <v>1287</v>
      </c>
      <c r="T35" s="1" t="s">
        <v>1274</v>
      </c>
      <c r="V35" s="1" t="s">
        <v>1275</v>
      </c>
      <c r="W35" s="1" t="s">
        <v>1284</v>
      </c>
    </row>
    <row r="36" customFormat="false" ht="15" hidden="false" customHeight="true" outlineLevel="0" collapsed="false">
      <c r="A36" s="1" t="n">
        <v>0.97781</v>
      </c>
      <c r="B36" s="1" t="s">
        <v>1129</v>
      </c>
      <c r="C36" s="1" t="n">
        <v>10706.9</v>
      </c>
      <c r="D36" s="1" t="n">
        <v>10469.31</v>
      </c>
      <c r="E36" s="1" t="n">
        <v>10706.9</v>
      </c>
      <c r="F36" s="172" t="n">
        <v>0.97781</v>
      </c>
      <c r="G36" s="1" t="s">
        <v>66</v>
      </c>
      <c r="H36" s="1" t="s">
        <v>139</v>
      </c>
      <c r="I36" s="1" t="n">
        <v>47992780085</v>
      </c>
      <c r="J36" s="1" t="s">
        <v>1242</v>
      </c>
      <c r="K36" s="1" t="s">
        <v>66</v>
      </c>
      <c r="L36" s="1" t="s">
        <v>139</v>
      </c>
      <c r="M36" s="1" t="n">
        <v>47992780085</v>
      </c>
      <c r="N36" s="1" t="n">
        <v>10469.31</v>
      </c>
      <c r="O36" s="1" t="n">
        <v>892.24</v>
      </c>
      <c r="P36" s="1" t="s">
        <v>1286</v>
      </c>
      <c r="Q36" s="1" t="s">
        <v>175</v>
      </c>
      <c r="S36" s="1" t="s">
        <v>1287</v>
      </c>
      <c r="T36" s="1" t="s">
        <v>1274</v>
      </c>
      <c r="V36" s="1" t="s">
        <v>1275</v>
      </c>
      <c r="W36" s="1" t="s">
        <v>1284</v>
      </c>
    </row>
    <row r="37" customFormat="false" ht="15" hidden="false" customHeight="true" outlineLevel="0" collapsed="false">
      <c r="A37" s="1" t="n">
        <v>0.971903</v>
      </c>
      <c r="B37" s="1" t="s">
        <v>1129</v>
      </c>
      <c r="C37" s="1" t="n">
        <v>10706.9</v>
      </c>
      <c r="D37" s="1" t="n">
        <v>10406.06</v>
      </c>
      <c r="E37" s="1" t="n">
        <v>10706.9</v>
      </c>
      <c r="F37" s="172" t="n">
        <v>0.971903</v>
      </c>
      <c r="G37" s="1" t="s">
        <v>66</v>
      </c>
      <c r="H37" s="1" t="s">
        <v>139</v>
      </c>
      <c r="I37" s="1" t="n">
        <v>47999956980</v>
      </c>
      <c r="J37" s="1" t="s">
        <v>1242</v>
      </c>
      <c r="K37" s="1" t="s">
        <v>66</v>
      </c>
      <c r="L37" s="1" t="s">
        <v>139</v>
      </c>
      <c r="M37" s="1" t="n">
        <v>47999956980</v>
      </c>
      <c r="N37" s="1" t="n">
        <v>10406.06</v>
      </c>
      <c r="O37" s="1" t="n">
        <v>892.24</v>
      </c>
      <c r="P37" s="1" t="s">
        <v>1286</v>
      </c>
      <c r="Q37" s="1" t="s">
        <v>175</v>
      </c>
      <c r="S37" s="1" t="s">
        <v>1287</v>
      </c>
      <c r="T37" s="1" t="s">
        <v>1274</v>
      </c>
      <c r="V37" s="1" t="s">
        <v>1275</v>
      </c>
      <c r="W37" s="1" t="s">
        <v>1284</v>
      </c>
    </row>
    <row r="38" customFormat="false" ht="15" hidden="false" customHeight="true" outlineLevel="0" collapsed="false">
      <c r="A38" s="1" t="n">
        <v>0.960942</v>
      </c>
      <c r="B38" s="1" t="s">
        <v>1129</v>
      </c>
      <c r="C38" s="1" t="n">
        <v>10706.9</v>
      </c>
      <c r="D38" s="1" t="n">
        <v>10288.71</v>
      </c>
      <c r="E38" s="1" t="n">
        <v>10706.9</v>
      </c>
      <c r="F38" s="172" t="n">
        <v>0.960942</v>
      </c>
      <c r="G38" s="1" t="s">
        <v>66</v>
      </c>
      <c r="H38" s="1" t="s">
        <v>139</v>
      </c>
      <c r="I38" s="1" t="n">
        <v>4799956980</v>
      </c>
      <c r="J38" s="1" t="s">
        <v>1242</v>
      </c>
      <c r="K38" s="1" t="s">
        <v>66</v>
      </c>
      <c r="L38" s="1" t="s">
        <v>139</v>
      </c>
      <c r="M38" s="1" t="n">
        <v>4799956980</v>
      </c>
      <c r="N38" s="1" t="n">
        <v>10288.71</v>
      </c>
      <c r="O38" s="1" t="n">
        <v>892.24</v>
      </c>
      <c r="P38" s="1" t="s">
        <v>1286</v>
      </c>
      <c r="Q38" s="1" t="s">
        <v>175</v>
      </c>
      <c r="S38" s="1" t="s">
        <v>1287</v>
      </c>
      <c r="T38" s="1" t="s">
        <v>1274</v>
      </c>
      <c r="V38" s="1" t="s">
        <v>1275</v>
      </c>
      <c r="W38" s="1" t="s">
        <v>1284</v>
      </c>
    </row>
    <row r="39" customFormat="false" ht="15" hidden="false" customHeight="true" outlineLevel="0" collapsed="false">
      <c r="A39" s="1" t="n">
        <v>1.821657</v>
      </c>
      <c r="B39" s="1" t="s">
        <v>1129</v>
      </c>
      <c r="C39" s="1" t="n">
        <v>5615.5</v>
      </c>
      <c r="D39" s="1" t="n">
        <v>10229.52</v>
      </c>
      <c r="E39" s="1" t="n">
        <v>5615.5</v>
      </c>
      <c r="F39" s="172" t="n">
        <v>1.821657</v>
      </c>
      <c r="G39" s="1" t="s">
        <v>123</v>
      </c>
      <c r="H39" s="1" t="s">
        <v>109</v>
      </c>
      <c r="I39" s="1" t="n">
        <v>4132177700</v>
      </c>
      <c r="J39" s="1" t="s">
        <v>1242</v>
      </c>
      <c r="K39" s="1" t="s">
        <v>104</v>
      </c>
      <c r="L39" s="1" t="s">
        <v>109</v>
      </c>
      <c r="M39" s="1" t="n">
        <v>4132177700</v>
      </c>
      <c r="N39" s="1" t="n">
        <v>10229.52</v>
      </c>
      <c r="O39" s="1" t="n">
        <v>467.96</v>
      </c>
      <c r="P39" s="1" t="s">
        <v>1277</v>
      </c>
      <c r="Q39" s="1" t="s">
        <v>108</v>
      </c>
      <c r="S39" s="1" t="s">
        <v>1278</v>
      </c>
      <c r="T39" s="1" t="s">
        <v>1279</v>
      </c>
      <c r="V39" s="1" t="s">
        <v>1275</v>
      </c>
      <c r="W39" s="1" t="s">
        <v>1276</v>
      </c>
    </row>
    <row r="40" customFormat="false" ht="15" hidden="false" customHeight="true" outlineLevel="0" collapsed="false">
      <c r="A40" s="1" t="n">
        <v>1.778423</v>
      </c>
      <c r="B40" s="1" t="s">
        <v>1129</v>
      </c>
      <c r="C40" s="1" t="n">
        <v>5615.5</v>
      </c>
      <c r="D40" s="1" t="n">
        <v>9986.74</v>
      </c>
      <c r="E40" s="1" t="n">
        <v>5615.5</v>
      </c>
      <c r="F40" s="172" t="n">
        <v>1.778423</v>
      </c>
      <c r="G40" s="1" t="s">
        <v>123</v>
      </c>
      <c r="H40" s="1" t="s">
        <v>114</v>
      </c>
      <c r="I40" s="1" t="n">
        <v>3196193930</v>
      </c>
      <c r="J40" s="1" t="s">
        <v>1242</v>
      </c>
      <c r="K40" s="1" t="s">
        <v>104</v>
      </c>
      <c r="L40" s="1" t="s">
        <v>114</v>
      </c>
      <c r="M40" s="1" t="n">
        <v>3196193930</v>
      </c>
      <c r="N40" s="1" t="n">
        <v>9986.74</v>
      </c>
      <c r="O40" s="1" t="n">
        <v>467.96</v>
      </c>
      <c r="P40" s="1" t="s">
        <v>1280</v>
      </c>
      <c r="Q40" s="1" t="s">
        <v>100</v>
      </c>
      <c r="S40" s="1" t="s">
        <v>1004</v>
      </c>
      <c r="T40" s="1" t="s">
        <v>1274</v>
      </c>
      <c r="V40" s="1" t="s">
        <v>1275</v>
      </c>
      <c r="W40" s="1" t="s">
        <v>1276</v>
      </c>
    </row>
    <row r="41" customFormat="false" ht="15" hidden="false" customHeight="true" outlineLevel="0" collapsed="false">
      <c r="A41" s="1" t="n">
        <v>1.762428</v>
      </c>
      <c r="B41" s="1" t="s">
        <v>1129</v>
      </c>
      <c r="C41" s="1" t="n">
        <v>5615.5</v>
      </c>
      <c r="D41" s="1" t="n">
        <v>9896.92</v>
      </c>
      <c r="E41" s="1" t="n">
        <v>5615.5</v>
      </c>
      <c r="F41" s="172" t="n">
        <v>1.762428</v>
      </c>
      <c r="G41" s="1" t="s">
        <v>123</v>
      </c>
      <c r="H41" s="1" t="s">
        <v>114</v>
      </c>
      <c r="I41" s="1" t="n">
        <v>31377187303</v>
      </c>
      <c r="J41" s="1" t="s">
        <v>1242</v>
      </c>
      <c r="K41" s="1" t="s">
        <v>104</v>
      </c>
      <c r="L41" s="1" t="s">
        <v>114</v>
      </c>
      <c r="M41" s="1" t="n">
        <v>31377187303</v>
      </c>
      <c r="N41" s="1" t="n">
        <v>9896.92</v>
      </c>
      <c r="O41" s="1" t="n">
        <v>467.96</v>
      </c>
      <c r="P41" s="1" t="s">
        <v>1280</v>
      </c>
      <c r="Q41" s="1" t="s">
        <v>100</v>
      </c>
      <c r="S41" s="1" t="s">
        <v>1004</v>
      </c>
      <c r="T41" s="1" t="s">
        <v>1274</v>
      </c>
      <c r="V41" s="1" t="s">
        <v>1275</v>
      </c>
      <c r="W41" s="1" t="s">
        <v>1276</v>
      </c>
    </row>
    <row r="42" customFormat="false" ht="15" hidden="false" customHeight="true" outlineLevel="0" collapsed="false">
      <c r="A42" s="1" t="n">
        <v>1.751966</v>
      </c>
      <c r="B42" s="1" t="s">
        <v>1129</v>
      </c>
      <c r="C42" s="1" t="n">
        <v>5615.5</v>
      </c>
      <c r="D42" s="1" t="n">
        <v>9838.17</v>
      </c>
      <c r="E42" s="1" t="n">
        <v>5615.5</v>
      </c>
      <c r="F42" s="172" t="n">
        <v>1.751966</v>
      </c>
      <c r="G42" s="1" t="s">
        <v>123</v>
      </c>
      <c r="H42" s="1" t="s">
        <v>127</v>
      </c>
      <c r="I42" s="1" t="n">
        <v>1</v>
      </c>
      <c r="J42" s="1" t="s">
        <v>1242</v>
      </c>
      <c r="K42" s="1" t="s">
        <v>104</v>
      </c>
      <c r="L42" s="1" t="s">
        <v>127</v>
      </c>
      <c r="M42" s="1" t="n">
        <v>1</v>
      </c>
      <c r="N42" s="1" t="n">
        <v>9838.17</v>
      </c>
      <c r="O42" s="1" t="n">
        <v>467.96</v>
      </c>
      <c r="P42" s="1" t="s">
        <v>1273</v>
      </c>
      <c r="Q42" s="1" t="s">
        <v>100</v>
      </c>
      <c r="S42" s="1" t="s">
        <v>1004</v>
      </c>
      <c r="T42" s="1" t="s">
        <v>1274</v>
      </c>
      <c r="V42" s="1" t="s">
        <v>1275</v>
      </c>
      <c r="W42" s="1" t="s">
        <v>1276</v>
      </c>
    </row>
    <row r="43" customFormat="false" ht="15" hidden="false" customHeight="true" outlineLevel="0" collapsed="false">
      <c r="A43" s="1" t="n">
        <v>1.751009</v>
      </c>
      <c r="B43" s="1" t="s">
        <v>1129</v>
      </c>
      <c r="C43" s="1" t="n">
        <v>5615.5</v>
      </c>
      <c r="D43" s="1" t="n">
        <v>9832.8</v>
      </c>
      <c r="E43" s="1" t="n">
        <v>5615.5</v>
      </c>
      <c r="F43" s="172" t="n">
        <v>1.751009</v>
      </c>
      <c r="G43" s="1" t="s">
        <v>123</v>
      </c>
      <c r="H43" s="1" t="s">
        <v>109</v>
      </c>
      <c r="I43" s="1" t="n">
        <v>4388368610</v>
      </c>
      <c r="J43" s="1" t="s">
        <v>1242</v>
      </c>
      <c r="K43" s="1" t="s">
        <v>104</v>
      </c>
      <c r="L43" s="1" t="s">
        <v>109</v>
      </c>
      <c r="M43" s="1" t="n">
        <v>4388368610</v>
      </c>
      <c r="N43" s="1" t="n">
        <v>9832.8</v>
      </c>
      <c r="O43" s="1" t="n">
        <v>467.96</v>
      </c>
      <c r="P43" s="1" t="s">
        <v>1277</v>
      </c>
      <c r="Q43" s="1" t="s">
        <v>108</v>
      </c>
      <c r="S43" s="1" t="s">
        <v>1278</v>
      </c>
      <c r="T43" s="1" t="s">
        <v>1279</v>
      </c>
      <c r="V43" s="1" t="s">
        <v>1275</v>
      </c>
      <c r="W43" s="1" t="s">
        <v>1276</v>
      </c>
    </row>
    <row r="44" customFormat="false" ht="15" hidden="false" customHeight="true" outlineLevel="0" collapsed="false">
      <c r="A44" s="1" t="n">
        <v>1.720269</v>
      </c>
      <c r="B44" s="1" t="s">
        <v>1129</v>
      </c>
      <c r="C44" s="1" t="n">
        <v>5615.5</v>
      </c>
      <c r="D44" s="1" t="n">
        <v>9660.18</v>
      </c>
      <c r="E44" s="1" t="n">
        <v>5615.5</v>
      </c>
      <c r="F44" s="172" t="n">
        <v>1.720269</v>
      </c>
      <c r="G44" s="1" t="s">
        <v>123</v>
      </c>
      <c r="H44" s="1" t="s">
        <v>109</v>
      </c>
      <c r="I44" s="1" t="n">
        <v>4188205031</v>
      </c>
      <c r="J44" s="1" t="s">
        <v>1242</v>
      </c>
      <c r="K44" s="1" t="s">
        <v>104</v>
      </c>
      <c r="L44" s="1" t="s">
        <v>109</v>
      </c>
      <c r="M44" s="1" t="n">
        <v>4188205031</v>
      </c>
      <c r="N44" s="1" t="n">
        <v>9660.18</v>
      </c>
      <c r="O44" s="1" t="n">
        <v>467.96</v>
      </c>
      <c r="P44" s="1" t="s">
        <v>1277</v>
      </c>
      <c r="Q44" s="1" t="s">
        <v>108</v>
      </c>
      <c r="S44" s="1" t="s">
        <v>1278</v>
      </c>
      <c r="T44" s="1" t="s">
        <v>1279</v>
      </c>
      <c r="V44" s="1" t="s">
        <v>1275</v>
      </c>
      <c r="W44" s="1" t="s">
        <v>1276</v>
      </c>
    </row>
    <row r="45" customFormat="false" ht="15" hidden="false" customHeight="true" outlineLevel="0" collapsed="false">
      <c r="A45" s="1" t="n">
        <v>1.698547</v>
      </c>
      <c r="B45" s="1" t="s">
        <v>1129</v>
      </c>
      <c r="C45" s="1" t="n">
        <v>5615.5</v>
      </c>
      <c r="D45" s="1" t="n">
        <v>9538.2</v>
      </c>
      <c r="E45" s="1" t="n">
        <v>5615.5</v>
      </c>
      <c r="F45" s="172" t="n">
        <v>1.698547</v>
      </c>
      <c r="G45" s="1" t="s">
        <v>123</v>
      </c>
      <c r="H45" s="1" t="s">
        <v>119</v>
      </c>
      <c r="I45" s="1" t="n">
        <v>11996144707</v>
      </c>
      <c r="J45" s="1" t="s">
        <v>1242</v>
      </c>
      <c r="K45" s="1" t="s">
        <v>104</v>
      </c>
      <c r="L45" s="1" t="s">
        <v>119</v>
      </c>
      <c r="M45" s="1" t="n">
        <v>11996144707</v>
      </c>
      <c r="N45" s="1" t="n">
        <v>9538.2</v>
      </c>
      <c r="O45" s="1" t="n">
        <v>467.96</v>
      </c>
      <c r="P45" s="1" t="s">
        <v>1285</v>
      </c>
      <c r="Q45" s="1" t="s">
        <v>100</v>
      </c>
      <c r="S45" s="1" t="s">
        <v>1004</v>
      </c>
      <c r="T45" s="1" t="s">
        <v>1274</v>
      </c>
      <c r="V45" s="1" t="s">
        <v>1275</v>
      </c>
      <c r="W45" s="1" t="s">
        <v>1276</v>
      </c>
    </row>
    <row r="46" customFormat="false" ht="15" hidden="false" customHeight="true" outlineLevel="0" collapsed="false">
      <c r="A46" s="1" t="n">
        <v>1.656129</v>
      </c>
      <c r="B46" s="1" t="s">
        <v>1129</v>
      </c>
      <c r="C46" s="1" t="n">
        <v>5615.5</v>
      </c>
      <c r="D46" s="1" t="n">
        <v>9300</v>
      </c>
      <c r="E46" s="1" t="n">
        <v>5615.5</v>
      </c>
      <c r="F46" s="172" t="n">
        <v>1.656129</v>
      </c>
      <c r="G46" s="1" t="s">
        <v>123</v>
      </c>
      <c r="H46" s="1" t="s">
        <v>196</v>
      </c>
      <c r="I46" s="1" t="n">
        <v>5199944079</v>
      </c>
      <c r="J46" s="1" t="s">
        <v>1242</v>
      </c>
      <c r="K46" s="1" t="s">
        <v>104</v>
      </c>
      <c r="L46" s="1" t="s">
        <v>196</v>
      </c>
      <c r="M46" s="1" t="n">
        <v>5199944079</v>
      </c>
      <c r="N46" s="1" t="n">
        <v>9300</v>
      </c>
      <c r="O46" s="1" t="n">
        <v>467.96</v>
      </c>
      <c r="P46" s="1" t="s">
        <v>1277</v>
      </c>
      <c r="Q46" s="1" t="s">
        <v>108</v>
      </c>
      <c r="S46" s="1" t="s">
        <v>1278</v>
      </c>
      <c r="T46" s="1" t="s">
        <v>1279</v>
      </c>
      <c r="V46" s="1" t="s">
        <v>1275</v>
      </c>
      <c r="W46" s="1" t="s">
        <v>1276</v>
      </c>
    </row>
    <row r="47" customFormat="false" ht="15" hidden="false" customHeight="true" outlineLevel="0" collapsed="false">
      <c r="A47" s="1" t="n">
        <v>1.580278</v>
      </c>
      <c r="B47" s="1" t="s">
        <v>1129</v>
      </c>
      <c r="C47" s="1" t="n">
        <v>5615.5</v>
      </c>
      <c r="D47" s="1" t="n">
        <v>8874.06</v>
      </c>
      <c r="E47" s="1" t="n">
        <v>5615.5</v>
      </c>
      <c r="F47" s="172" t="n">
        <v>1.580278</v>
      </c>
      <c r="G47" s="1" t="s">
        <v>123</v>
      </c>
      <c r="H47" s="1" t="s">
        <v>101</v>
      </c>
      <c r="I47" s="1" t="n">
        <v>66353200506</v>
      </c>
      <c r="J47" s="1" t="s">
        <v>1242</v>
      </c>
      <c r="K47" s="1" t="s">
        <v>104</v>
      </c>
      <c r="L47" s="1" t="s">
        <v>101</v>
      </c>
      <c r="M47" s="1" t="n">
        <v>66353200506</v>
      </c>
      <c r="N47" s="1" t="n">
        <v>8874.06</v>
      </c>
      <c r="O47" s="1" t="n">
        <v>467.96</v>
      </c>
      <c r="P47" s="1" t="s">
        <v>1273</v>
      </c>
      <c r="Q47" s="1" t="s">
        <v>100</v>
      </c>
      <c r="S47" s="1" t="s">
        <v>1004</v>
      </c>
      <c r="T47" s="1" t="s">
        <v>1274</v>
      </c>
      <c r="V47" s="1" t="s">
        <v>1275</v>
      </c>
      <c r="W47" s="1" t="s">
        <v>1276</v>
      </c>
    </row>
    <row r="48" customFormat="false" ht="15" hidden="false" customHeight="true" outlineLevel="0" collapsed="false">
      <c r="A48" s="1" t="n">
        <v>1.507793</v>
      </c>
      <c r="B48" s="1" t="s">
        <v>1129</v>
      </c>
      <c r="C48" s="1" t="n">
        <v>5615.5</v>
      </c>
      <c r="D48" s="1" t="n">
        <v>8467.02</v>
      </c>
      <c r="E48" s="1" t="n">
        <v>5615.5</v>
      </c>
      <c r="F48" s="172" t="n">
        <v>1.507793</v>
      </c>
      <c r="G48" s="1" t="s">
        <v>123</v>
      </c>
      <c r="H48" s="1" t="s">
        <v>109</v>
      </c>
      <c r="I48" s="1" t="n">
        <v>4191966888</v>
      </c>
      <c r="J48" s="1" t="s">
        <v>1242</v>
      </c>
      <c r="K48" s="1" t="s">
        <v>104</v>
      </c>
      <c r="L48" s="1" t="s">
        <v>109</v>
      </c>
      <c r="M48" s="1" t="n">
        <v>4191966888</v>
      </c>
      <c r="N48" s="1" t="n">
        <v>8467.02</v>
      </c>
      <c r="O48" s="1" t="n">
        <v>467.96</v>
      </c>
      <c r="P48" s="1" t="s">
        <v>1277</v>
      </c>
      <c r="Q48" s="1" t="s">
        <v>108</v>
      </c>
      <c r="S48" s="1" t="s">
        <v>1278</v>
      </c>
      <c r="T48" s="1" t="s">
        <v>1279</v>
      </c>
      <c r="V48" s="1" t="s">
        <v>1275</v>
      </c>
      <c r="W48" s="1" t="s">
        <v>1276</v>
      </c>
    </row>
    <row r="49" customFormat="false" ht="15" hidden="false" customHeight="true" outlineLevel="0" collapsed="false">
      <c r="A49" s="1" t="n">
        <v>0.704813</v>
      </c>
      <c r="B49" s="1" t="s">
        <v>1129</v>
      </c>
      <c r="C49" s="1" t="n">
        <v>12000</v>
      </c>
      <c r="D49" s="1" t="n">
        <v>8457.75</v>
      </c>
      <c r="E49" s="1" t="n">
        <v>12000</v>
      </c>
      <c r="F49" s="172" t="n">
        <v>0.704813</v>
      </c>
      <c r="G49" s="1" t="s">
        <v>183</v>
      </c>
      <c r="H49" s="1" t="s">
        <v>196</v>
      </c>
      <c r="I49" s="1" t="n">
        <v>5137193512</v>
      </c>
      <c r="J49" s="1" t="s">
        <v>1242</v>
      </c>
      <c r="K49" s="1" t="s">
        <v>183</v>
      </c>
      <c r="L49" s="1" t="s">
        <v>196</v>
      </c>
      <c r="M49" s="1" t="n">
        <v>5137193512</v>
      </c>
      <c r="N49" s="1" t="n">
        <v>8457.75</v>
      </c>
      <c r="O49" s="1" t="n">
        <v>1000</v>
      </c>
      <c r="P49" s="1" t="s">
        <v>1286</v>
      </c>
      <c r="Q49" s="1" t="s">
        <v>108</v>
      </c>
      <c r="S49" s="1" t="s">
        <v>1278</v>
      </c>
      <c r="T49" s="1" t="s">
        <v>1279</v>
      </c>
      <c r="V49" s="1" t="s">
        <v>1275</v>
      </c>
      <c r="W49" s="1" t="s">
        <v>1284</v>
      </c>
    </row>
    <row r="50" customFormat="false" ht="15" hidden="false" customHeight="true" outlineLevel="0" collapsed="false">
      <c r="A50" s="1" t="n">
        <v>0.772213</v>
      </c>
      <c r="B50" s="1" t="s">
        <v>1129</v>
      </c>
      <c r="C50" s="1" t="n">
        <v>10706.9</v>
      </c>
      <c r="D50" s="1" t="n">
        <v>8268</v>
      </c>
      <c r="E50" s="1" t="n">
        <v>10706.9</v>
      </c>
      <c r="F50" s="172" t="n">
        <v>0.772213</v>
      </c>
      <c r="G50" s="1" t="s">
        <v>66</v>
      </c>
      <c r="H50" s="1" t="s">
        <v>139</v>
      </c>
      <c r="I50" s="1" t="n">
        <v>4799956980</v>
      </c>
      <c r="J50" s="1" t="s">
        <v>1242</v>
      </c>
      <c r="K50" s="1" t="s">
        <v>66</v>
      </c>
      <c r="L50" s="1" t="s">
        <v>139</v>
      </c>
      <c r="M50" s="1" t="n">
        <v>4799956980</v>
      </c>
      <c r="N50" s="1" t="n">
        <v>8268</v>
      </c>
      <c r="O50" s="1" t="n">
        <v>892.24</v>
      </c>
      <c r="P50" s="1" t="s">
        <v>1286</v>
      </c>
      <c r="Q50" s="1" t="s">
        <v>175</v>
      </c>
      <c r="S50" s="1" t="s">
        <v>1287</v>
      </c>
      <c r="T50" s="1" t="s">
        <v>1274</v>
      </c>
      <c r="V50" s="1" t="s">
        <v>1275</v>
      </c>
      <c r="W50" s="1" t="s">
        <v>1284</v>
      </c>
    </row>
    <row r="51" customFormat="false" ht="15" hidden="false" customHeight="true" outlineLevel="0" collapsed="false">
      <c r="A51" s="1" t="n">
        <v>1.467188</v>
      </c>
      <c r="B51" s="1" t="s">
        <v>1129</v>
      </c>
      <c r="C51" s="1" t="n">
        <v>5615.5</v>
      </c>
      <c r="D51" s="1" t="n">
        <v>8239</v>
      </c>
      <c r="E51" s="1" t="n">
        <v>5615.5</v>
      </c>
      <c r="F51" s="172" t="n">
        <v>1.467188</v>
      </c>
      <c r="G51" s="1" t="s">
        <v>123</v>
      </c>
      <c r="H51" s="1" t="s">
        <v>119</v>
      </c>
      <c r="I51" s="1" t="n">
        <v>11980250123</v>
      </c>
      <c r="J51" s="1" t="s">
        <v>1242</v>
      </c>
      <c r="K51" s="1" t="s">
        <v>104</v>
      </c>
      <c r="L51" s="1" t="s">
        <v>119</v>
      </c>
      <c r="M51" s="1" t="n">
        <v>11980250123</v>
      </c>
      <c r="N51" s="1" t="n">
        <v>8239</v>
      </c>
      <c r="O51" s="1" t="n">
        <v>467.96</v>
      </c>
      <c r="P51" s="1" t="s">
        <v>1281</v>
      </c>
      <c r="Q51" s="1" t="s">
        <v>100</v>
      </c>
      <c r="S51" s="1" t="s">
        <v>1004</v>
      </c>
      <c r="T51" s="1" t="s">
        <v>1274</v>
      </c>
      <c r="V51" s="1" t="s">
        <v>1275</v>
      </c>
      <c r="W51" s="1" t="s">
        <v>1276</v>
      </c>
    </row>
    <row r="52" customFormat="false" ht="15" hidden="false" customHeight="true" outlineLevel="0" collapsed="false">
      <c r="A52" s="1" t="n">
        <v>1.466333</v>
      </c>
      <c r="B52" s="1" t="s">
        <v>1129</v>
      </c>
      <c r="C52" s="1" t="n">
        <v>5615.5</v>
      </c>
      <c r="D52" s="1" t="n">
        <v>8234.2</v>
      </c>
      <c r="E52" s="1" t="n">
        <v>5615.5</v>
      </c>
      <c r="F52" s="172" t="n">
        <v>1.466333</v>
      </c>
      <c r="G52" s="1" t="s">
        <v>123</v>
      </c>
      <c r="H52" s="1" t="s">
        <v>119</v>
      </c>
      <c r="I52" s="1" t="n">
        <v>1140811061</v>
      </c>
      <c r="J52" s="1" t="s">
        <v>1242</v>
      </c>
      <c r="K52" s="1" t="s">
        <v>104</v>
      </c>
      <c r="L52" s="1" t="s">
        <v>119</v>
      </c>
      <c r="M52" s="1" t="n">
        <v>1140811061</v>
      </c>
      <c r="N52" s="1" t="n">
        <v>8234.2</v>
      </c>
      <c r="O52" s="1" t="n">
        <v>467.96</v>
      </c>
      <c r="P52" s="1" t="s">
        <v>1285</v>
      </c>
      <c r="Q52" s="1" t="s">
        <v>100</v>
      </c>
      <c r="S52" s="1" t="s">
        <v>1004</v>
      </c>
      <c r="T52" s="1" t="s">
        <v>1274</v>
      </c>
      <c r="V52" s="1" t="s">
        <v>1275</v>
      </c>
      <c r="W52" s="1" t="s">
        <v>1276</v>
      </c>
    </row>
    <row r="53" customFormat="false" ht="15" hidden="false" customHeight="true" outlineLevel="0" collapsed="false">
      <c r="A53" s="1" t="n">
        <v>1.445315</v>
      </c>
      <c r="B53" s="1" t="s">
        <v>1129</v>
      </c>
      <c r="C53" s="1" t="n">
        <v>5615.5</v>
      </c>
      <c r="D53" s="1" t="n">
        <v>8116.17</v>
      </c>
      <c r="E53" s="1" t="n">
        <v>5615.5</v>
      </c>
      <c r="F53" s="172" t="n">
        <v>1.445315</v>
      </c>
      <c r="G53" s="1" t="s">
        <v>123</v>
      </c>
      <c r="H53" s="1" t="s">
        <v>114</v>
      </c>
      <c r="I53" s="1" t="n">
        <v>3584162455</v>
      </c>
      <c r="J53" s="1" t="s">
        <v>1242</v>
      </c>
      <c r="K53" s="1" t="s">
        <v>104</v>
      </c>
      <c r="L53" s="1" t="s">
        <v>114</v>
      </c>
      <c r="M53" s="1" t="n">
        <v>3584162455</v>
      </c>
      <c r="N53" s="1" t="n">
        <v>8116.17</v>
      </c>
      <c r="O53" s="1" t="n">
        <v>467.96</v>
      </c>
      <c r="P53" s="1" t="s">
        <v>1280</v>
      </c>
      <c r="Q53" s="1" t="s">
        <v>100</v>
      </c>
      <c r="S53" s="1" t="s">
        <v>1004</v>
      </c>
      <c r="T53" s="1" t="s">
        <v>1274</v>
      </c>
      <c r="V53" s="1" t="s">
        <v>1288</v>
      </c>
      <c r="W53" s="1" t="s">
        <v>1276</v>
      </c>
    </row>
    <row r="54" customFormat="false" ht="15" hidden="false" customHeight="true" outlineLevel="0" collapsed="false">
      <c r="A54" s="1" t="n">
        <v>1.430799</v>
      </c>
      <c r="B54" s="1" t="s">
        <v>1129</v>
      </c>
      <c r="C54" s="1" t="n">
        <v>5615.5</v>
      </c>
      <c r="D54" s="1" t="n">
        <v>8034.66</v>
      </c>
      <c r="E54" s="1" t="n">
        <v>5615.5</v>
      </c>
      <c r="F54" s="172" t="n">
        <v>1.430799</v>
      </c>
      <c r="G54" s="1" t="s">
        <v>123</v>
      </c>
      <c r="H54" s="1" t="s">
        <v>243</v>
      </c>
      <c r="I54" s="1" t="n">
        <v>75999105787</v>
      </c>
      <c r="J54" s="1" t="s">
        <v>1242</v>
      </c>
      <c r="K54" s="1" t="s">
        <v>104</v>
      </c>
      <c r="L54" s="1" t="s">
        <v>243</v>
      </c>
      <c r="M54" s="1" t="n">
        <v>75999105787</v>
      </c>
      <c r="N54" s="1" t="n">
        <v>8034.66</v>
      </c>
      <c r="O54" s="1" t="n">
        <v>467.96</v>
      </c>
      <c r="P54" s="1" t="s">
        <v>1282</v>
      </c>
      <c r="Q54" s="1" t="s">
        <v>108</v>
      </c>
      <c r="S54" s="1" t="s">
        <v>1278</v>
      </c>
      <c r="T54" s="1" t="s">
        <v>1279</v>
      </c>
      <c r="V54" s="1" t="s">
        <v>1288</v>
      </c>
      <c r="W54" s="1" t="s">
        <v>1276</v>
      </c>
    </row>
    <row r="55" customFormat="false" ht="15" hidden="false" customHeight="true" outlineLevel="0" collapsed="false">
      <c r="A55" s="1" t="n">
        <v>1.414922</v>
      </c>
      <c r="B55" s="1" t="s">
        <v>1129</v>
      </c>
      <c r="C55" s="1" t="n">
        <v>5615.5</v>
      </c>
      <c r="D55" s="1" t="n">
        <v>7945.5</v>
      </c>
      <c r="E55" s="1" t="n">
        <v>5615.5</v>
      </c>
      <c r="F55" s="172" t="n">
        <v>1.414922</v>
      </c>
      <c r="G55" s="1" t="s">
        <v>123</v>
      </c>
      <c r="H55" s="1" t="s">
        <v>109</v>
      </c>
      <c r="I55" s="1" t="n">
        <v>4184420498</v>
      </c>
      <c r="J55" s="1" t="s">
        <v>1242</v>
      </c>
      <c r="K55" s="1" t="s">
        <v>104</v>
      </c>
      <c r="L55" s="1" t="s">
        <v>109</v>
      </c>
      <c r="M55" s="1" t="n">
        <v>4184420498</v>
      </c>
      <c r="N55" s="1" t="n">
        <v>7945.5</v>
      </c>
      <c r="O55" s="1" t="n">
        <v>467.96</v>
      </c>
      <c r="P55" s="1" t="s">
        <v>1277</v>
      </c>
      <c r="Q55" s="1" t="s">
        <v>108</v>
      </c>
      <c r="S55" s="1" t="s">
        <v>1278</v>
      </c>
      <c r="T55" s="1" t="s">
        <v>1279</v>
      </c>
      <c r="V55" s="1" t="s">
        <v>1288</v>
      </c>
      <c r="W55" s="1" t="s">
        <v>1276</v>
      </c>
    </row>
    <row r="56" customFormat="false" ht="15" hidden="false" customHeight="true" outlineLevel="0" collapsed="false">
      <c r="A56" s="1" t="n">
        <v>1.404136</v>
      </c>
      <c r="B56" s="1" t="s">
        <v>1129</v>
      </c>
      <c r="C56" s="1" t="n">
        <v>5615.5</v>
      </c>
      <c r="D56" s="1" t="n">
        <v>7884.93</v>
      </c>
      <c r="E56" s="1" t="n">
        <v>5615.5</v>
      </c>
      <c r="F56" s="172" t="n">
        <v>1.404136</v>
      </c>
      <c r="G56" s="1" t="s">
        <v>123</v>
      </c>
      <c r="H56" s="1" t="s">
        <v>146</v>
      </c>
      <c r="I56" s="1" t="n">
        <v>9491722241</v>
      </c>
      <c r="J56" s="1" t="s">
        <v>1242</v>
      </c>
      <c r="K56" s="1" t="s">
        <v>104</v>
      </c>
      <c r="L56" s="1" t="s">
        <v>146</v>
      </c>
      <c r="M56" s="1" t="n">
        <v>9491722241</v>
      </c>
      <c r="N56" s="1" t="n">
        <v>7884.93</v>
      </c>
      <c r="O56" s="1" t="n">
        <v>467.96</v>
      </c>
      <c r="P56" s="1" t="s">
        <v>1283</v>
      </c>
      <c r="Q56" s="1" t="s">
        <v>100</v>
      </c>
      <c r="S56" s="1" t="s">
        <v>1004</v>
      </c>
      <c r="T56" s="1" t="s">
        <v>1274</v>
      </c>
      <c r="V56" s="1" t="s">
        <v>1288</v>
      </c>
      <c r="W56" s="1" t="s">
        <v>1276</v>
      </c>
    </row>
    <row r="57" customFormat="false" ht="15" hidden="false" customHeight="true" outlineLevel="0" collapsed="false">
      <c r="A57" s="1" t="n">
        <v>1.397575</v>
      </c>
      <c r="B57" s="1" t="s">
        <v>1129</v>
      </c>
      <c r="C57" s="1" t="n">
        <v>5615.5</v>
      </c>
      <c r="D57" s="1" t="n">
        <v>7848.09</v>
      </c>
      <c r="E57" s="1" t="n">
        <v>5615.5</v>
      </c>
      <c r="F57" s="172" t="n">
        <v>1.397575</v>
      </c>
      <c r="G57" s="1" t="s">
        <v>123</v>
      </c>
      <c r="H57" s="1" t="s">
        <v>250</v>
      </c>
      <c r="I57" s="1" t="n">
        <v>27999386912</v>
      </c>
      <c r="J57" s="1" t="s">
        <v>1242</v>
      </c>
      <c r="K57" s="1" t="s">
        <v>104</v>
      </c>
      <c r="L57" s="1" t="s">
        <v>250</v>
      </c>
      <c r="M57" s="1" t="n">
        <v>27999386912</v>
      </c>
      <c r="N57" s="1" t="n">
        <v>7848.09</v>
      </c>
      <c r="O57" s="1" t="n">
        <v>467.96</v>
      </c>
      <c r="P57" s="1" t="s">
        <v>1280</v>
      </c>
      <c r="Q57" s="1" t="s">
        <v>100</v>
      </c>
      <c r="S57" s="1" t="s">
        <v>1004</v>
      </c>
      <c r="T57" s="1" t="s">
        <v>1274</v>
      </c>
      <c r="V57" s="1" t="s">
        <v>1288</v>
      </c>
      <c r="W57" s="1" t="s">
        <v>1276</v>
      </c>
    </row>
    <row r="58" customFormat="false" ht="15" hidden="false" customHeight="true" outlineLevel="0" collapsed="false">
      <c r="A58" s="1" t="n">
        <v>1.388812</v>
      </c>
      <c r="B58" s="1" t="s">
        <v>1129</v>
      </c>
      <c r="C58" s="1" t="n">
        <v>5615.5</v>
      </c>
      <c r="D58" s="1" t="n">
        <v>7798.88</v>
      </c>
      <c r="E58" s="1" t="n">
        <v>5615.5</v>
      </c>
      <c r="F58" s="172" t="n">
        <v>1.388812</v>
      </c>
      <c r="G58" s="1" t="s">
        <v>123</v>
      </c>
      <c r="H58" s="1" t="s">
        <v>114</v>
      </c>
      <c r="I58" s="1" t="n">
        <v>33988822904</v>
      </c>
      <c r="J58" s="1" t="s">
        <v>1242</v>
      </c>
      <c r="K58" s="1" t="s">
        <v>104</v>
      </c>
      <c r="L58" s="1" t="s">
        <v>114</v>
      </c>
      <c r="M58" s="1" t="n">
        <v>33988822904</v>
      </c>
      <c r="N58" s="1" t="n">
        <v>7798.88</v>
      </c>
      <c r="O58" s="1" t="n">
        <v>467.96</v>
      </c>
      <c r="P58" s="1" t="s">
        <v>1280</v>
      </c>
      <c r="Q58" s="1" t="s">
        <v>100</v>
      </c>
      <c r="S58" s="1" t="s">
        <v>1004</v>
      </c>
      <c r="T58" s="1" t="s">
        <v>1274</v>
      </c>
      <c r="V58" s="1" t="s">
        <v>1288</v>
      </c>
      <c r="W58" s="1" t="s">
        <v>1276</v>
      </c>
    </row>
    <row r="59" customFormat="false" ht="15" hidden="false" customHeight="true" outlineLevel="0" collapsed="false">
      <c r="A59" s="1" t="n">
        <v>0.262383</v>
      </c>
      <c r="B59" s="1" t="s">
        <v>1131</v>
      </c>
      <c r="C59" s="1" t="n">
        <v>28500</v>
      </c>
      <c r="D59" s="1" t="n">
        <v>7477.91</v>
      </c>
      <c r="E59" s="1" t="n">
        <v>28500</v>
      </c>
      <c r="F59" s="172" t="n">
        <v>0.262383</v>
      </c>
      <c r="G59" s="1" t="s">
        <v>255</v>
      </c>
      <c r="H59" s="1" t="s">
        <v>196</v>
      </c>
      <c r="I59" s="1" t="n">
        <v>5535351201</v>
      </c>
      <c r="J59" s="1" t="s">
        <v>1244</v>
      </c>
      <c r="K59" s="1" t="s">
        <v>255</v>
      </c>
      <c r="L59" s="1" t="s">
        <v>196</v>
      </c>
      <c r="M59" s="1" t="n">
        <v>5535351201</v>
      </c>
      <c r="N59" s="1" t="n">
        <v>7477.91</v>
      </c>
      <c r="O59" s="1" t="n">
        <v>2375</v>
      </c>
      <c r="P59" s="1" t="s">
        <v>1286</v>
      </c>
      <c r="Q59" s="1" t="s">
        <v>184</v>
      </c>
      <c r="S59" s="1" t="s">
        <v>1278</v>
      </c>
      <c r="T59" s="1" t="s">
        <v>1274</v>
      </c>
      <c r="V59" s="1" t="s">
        <v>1288</v>
      </c>
      <c r="W59" s="1" t="s">
        <v>1284</v>
      </c>
    </row>
    <row r="60" customFormat="false" ht="15" hidden="false" customHeight="true" outlineLevel="0" collapsed="false">
      <c r="A60" s="1" t="n">
        <v>0.8441</v>
      </c>
      <c r="B60" s="1" t="s">
        <v>1129</v>
      </c>
      <c r="C60" s="1" t="n">
        <v>8833.33</v>
      </c>
      <c r="D60" s="1" t="n">
        <v>7456.22</v>
      </c>
      <c r="E60" s="1" t="n">
        <v>8833.33</v>
      </c>
      <c r="F60" s="172" t="n">
        <v>0.8441</v>
      </c>
      <c r="G60" s="1" t="s">
        <v>1289</v>
      </c>
      <c r="H60" s="1" t="s">
        <v>196</v>
      </c>
      <c r="I60" s="1" t="n">
        <v>5196592848</v>
      </c>
      <c r="J60" s="1" t="s">
        <v>1242</v>
      </c>
      <c r="K60" s="1" t="s">
        <v>128</v>
      </c>
      <c r="L60" s="1" t="s">
        <v>196</v>
      </c>
      <c r="M60" s="1" t="n">
        <v>5196592848</v>
      </c>
      <c r="N60" s="1" t="n">
        <v>7456.22</v>
      </c>
      <c r="O60" s="1" t="n">
        <v>736.11</v>
      </c>
      <c r="P60" s="1" t="s">
        <v>1286</v>
      </c>
      <c r="Q60" s="1" t="s">
        <v>184</v>
      </c>
      <c r="S60" s="1" t="s">
        <v>1278</v>
      </c>
      <c r="T60" s="1" t="s">
        <v>1274</v>
      </c>
      <c r="V60" s="1" t="s">
        <v>1288</v>
      </c>
      <c r="W60" s="1" t="s">
        <v>1284</v>
      </c>
    </row>
    <row r="61" customFormat="false" ht="15" hidden="false" customHeight="true" outlineLevel="0" collapsed="false">
      <c r="A61" s="1" t="n">
        <v>1.320152</v>
      </c>
      <c r="B61" s="1" t="s">
        <v>1129</v>
      </c>
      <c r="C61" s="1" t="n">
        <v>5615.5</v>
      </c>
      <c r="D61" s="1" t="n">
        <v>7413.32</v>
      </c>
      <c r="E61" s="1" t="n">
        <v>5615.5</v>
      </c>
      <c r="F61" s="172" t="n">
        <v>1.320152</v>
      </c>
      <c r="G61" s="1" t="s">
        <v>123</v>
      </c>
      <c r="H61" s="1" t="s">
        <v>260</v>
      </c>
      <c r="I61" s="1" t="n">
        <v>22981040677</v>
      </c>
      <c r="J61" s="1" t="s">
        <v>1242</v>
      </c>
      <c r="K61" s="1" t="s">
        <v>104</v>
      </c>
      <c r="L61" s="1" t="s">
        <v>260</v>
      </c>
      <c r="M61" s="1" t="n">
        <v>22981040677</v>
      </c>
      <c r="N61" s="1" t="n">
        <v>7413.32</v>
      </c>
      <c r="O61" s="1" t="n">
        <v>467.96</v>
      </c>
      <c r="P61" s="1" t="s">
        <v>1280</v>
      </c>
      <c r="Q61" s="1" t="s">
        <v>100</v>
      </c>
      <c r="S61" s="1" t="s">
        <v>1278</v>
      </c>
      <c r="T61" s="1" t="s">
        <v>1274</v>
      </c>
      <c r="V61" s="1" t="s">
        <v>1288</v>
      </c>
      <c r="W61" s="1" t="s">
        <v>1276</v>
      </c>
    </row>
    <row r="62" customFormat="false" ht="15" hidden="false" customHeight="true" outlineLevel="0" collapsed="false">
      <c r="A62" s="1" t="n">
        <v>1.293106</v>
      </c>
      <c r="B62" s="1" t="s">
        <v>1129</v>
      </c>
      <c r="C62" s="1" t="n">
        <v>5615.5</v>
      </c>
      <c r="D62" s="1" t="n">
        <v>7261.44</v>
      </c>
      <c r="E62" s="1" t="n">
        <v>5615.5</v>
      </c>
      <c r="F62" s="172" t="n">
        <v>1.293106</v>
      </c>
      <c r="G62" s="1" t="s">
        <v>123</v>
      </c>
      <c r="H62" s="1" t="s">
        <v>263</v>
      </c>
      <c r="I62" s="1" t="n">
        <v>6796842698</v>
      </c>
      <c r="J62" s="1" t="s">
        <v>1242</v>
      </c>
      <c r="K62" s="1" t="s">
        <v>104</v>
      </c>
      <c r="L62" s="1" t="s">
        <v>263</v>
      </c>
      <c r="M62" s="1" t="n">
        <v>6796842698</v>
      </c>
      <c r="N62" s="1" t="n">
        <v>7261.44</v>
      </c>
      <c r="O62" s="1" t="n">
        <v>467.96</v>
      </c>
      <c r="P62" s="1" t="s">
        <v>1273</v>
      </c>
      <c r="Q62" s="1" t="s">
        <v>100</v>
      </c>
      <c r="S62" s="1" t="s">
        <v>1004</v>
      </c>
      <c r="T62" s="1" t="s">
        <v>1274</v>
      </c>
      <c r="V62" s="1" t="s">
        <v>1288</v>
      </c>
      <c r="W62" s="1" t="s">
        <v>1276</v>
      </c>
    </row>
    <row r="63" customFormat="false" ht="15" hidden="false" customHeight="true" outlineLevel="0" collapsed="false">
      <c r="A63" s="1" t="n">
        <v>1.284932</v>
      </c>
      <c r="B63" s="1" t="s">
        <v>1129</v>
      </c>
      <c r="C63" s="1" t="n">
        <v>5615.5</v>
      </c>
      <c r="D63" s="1" t="n">
        <v>7215.54</v>
      </c>
      <c r="E63" s="1" t="n">
        <v>5615.5</v>
      </c>
      <c r="F63" s="172" t="n">
        <v>1.284932</v>
      </c>
      <c r="G63" s="1" t="s">
        <v>123</v>
      </c>
      <c r="H63" s="1" t="s">
        <v>187</v>
      </c>
      <c r="I63" s="1" t="n">
        <v>81995212316</v>
      </c>
      <c r="J63" s="1" t="s">
        <v>1242</v>
      </c>
      <c r="K63" s="1" t="s">
        <v>104</v>
      </c>
      <c r="L63" s="1" t="s">
        <v>187</v>
      </c>
      <c r="M63" s="1" t="n">
        <v>81995212316</v>
      </c>
      <c r="N63" s="1" t="n">
        <v>7215.54</v>
      </c>
      <c r="O63" s="1" t="n">
        <v>467.96</v>
      </c>
      <c r="P63" s="1" t="s">
        <v>1282</v>
      </c>
      <c r="Q63" s="1" t="s">
        <v>175</v>
      </c>
      <c r="S63" s="1" t="s">
        <v>1287</v>
      </c>
      <c r="T63" s="1" t="s">
        <v>1274</v>
      </c>
      <c r="V63" s="1" t="s">
        <v>1288</v>
      </c>
      <c r="W63" s="1" t="s">
        <v>1276</v>
      </c>
    </row>
    <row r="64" customFormat="false" ht="15" hidden="false" customHeight="true" outlineLevel="0" collapsed="false">
      <c r="A64" s="1" t="n">
        <v>1.267605</v>
      </c>
      <c r="B64" s="1" t="s">
        <v>1129</v>
      </c>
      <c r="C64" s="1" t="n">
        <v>5615.5</v>
      </c>
      <c r="D64" s="1" t="n">
        <v>7118.24</v>
      </c>
      <c r="E64" s="1" t="n">
        <v>5615.5</v>
      </c>
      <c r="F64" s="172" t="n">
        <v>1.267605</v>
      </c>
      <c r="G64" s="1" t="s">
        <v>123</v>
      </c>
      <c r="H64" s="1" t="s">
        <v>420</v>
      </c>
      <c r="I64" s="1" t="n">
        <v>98984017711</v>
      </c>
      <c r="J64" s="1" t="s">
        <v>1242</v>
      </c>
      <c r="K64" s="1" t="s">
        <v>104</v>
      </c>
      <c r="L64" s="1" t="s">
        <v>420</v>
      </c>
      <c r="M64" s="1" t="n">
        <v>98984017711</v>
      </c>
      <c r="N64" s="1" t="n">
        <v>7118.24</v>
      </c>
      <c r="O64" s="1" t="n">
        <v>467.96</v>
      </c>
      <c r="P64" s="1" t="s">
        <v>1283</v>
      </c>
      <c r="Q64" s="1" t="s">
        <v>100</v>
      </c>
      <c r="S64" s="1" t="s">
        <v>1004</v>
      </c>
      <c r="T64" s="1" t="s">
        <v>1274</v>
      </c>
      <c r="V64" s="1" t="s">
        <v>1288</v>
      </c>
      <c r="W64" s="1" t="s">
        <v>1276</v>
      </c>
    </row>
    <row r="65" customFormat="false" ht="15" hidden="false" customHeight="true" outlineLevel="0" collapsed="false">
      <c r="A65" s="1" t="n">
        <v>1.260261</v>
      </c>
      <c r="B65" s="1" t="s">
        <v>1129</v>
      </c>
      <c r="C65" s="1" t="n">
        <v>5615.5</v>
      </c>
      <c r="D65" s="1" t="n">
        <v>7077</v>
      </c>
      <c r="E65" s="1" t="n">
        <v>5615.5</v>
      </c>
      <c r="F65" s="172" t="n">
        <v>1.260261</v>
      </c>
      <c r="G65" s="1" t="s">
        <v>123</v>
      </c>
      <c r="H65" s="1" t="s">
        <v>139</v>
      </c>
      <c r="I65" s="1" t="n">
        <v>4792695047</v>
      </c>
      <c r="J65" s="1" t="s">
        <v>1242</v>
      </c>
      <c r="K65" s="1" t="s">
        <v>104</v>
      </c>
      <c r="L65" s="1" t="s">
        <v>139</v>
      </c>
      <c r="M65" s="1" t="n">
        <v>4792695047</v>
      </c>
      <c r="N65" s="1" t="n">
        <v>7077</v>
      </c>
      <c r="O65" s="1" t="n">
        <v>467.96</v>
      </c>
      <c r="P65" s="1" t="s">
        <v>1277</v>
      </c>
      <c r="Q65" s="1" t="s">
        <v>108</v>
      </c>
      <c r="S65" s="1" t="s">
        <v>1278</v>
      </c>
      <c r="T65" s="1" t="s">
        <v>1279</v>
      </c>
      <c r="V65" s="1" t="s">
        <v>1288</v>
      </c>
      <c r="W65" s="1" t="s">
        <v>1276</v>
      </c>
    </row>
    <row r="66" customFormat="false" ht="15" hidden="false" customHeight="true" outlineLevel="0" collapsed="false">
      <c r="A66" s="1" t="n">
        <v>1.235864</v>
      </c>
      <c r="B66" s="1" t="s">
        <v>1129</v>
      </c>
      <c r="C66" s="1" t="n">
        <v>5615.5</v>
      </c>
      <c r="D66" s="1" t="n">
        <v>6940</v>
      </c>
      <c r="E66" s="1" t="n">
        <v>5615.5</v>
      </c>
      <c r="F66" s="172" t="n">
        <v>1.235864</v>
      </c>
      <c r="G66" s="1" t="s">
        <v>123</v>
      </c>
      <c r="H66" s="1" t="s">
        <v>109</v>
      </c>
      <c r="I66" s="1" t="n">
        <v>4430289322</v>
      </c>
      <c r="J66" s="1" t="s">
        <v>1242</v>
      </c>
      <c r="K66" s="1" t="s">
        <v>104</v>
      </c>
      <c r="L66" s="1" t="s">
        <v>109</v>
      </c>
      <c r="M66" s="1" t="n">
        <v>4430289322</v>
      </c>
      <c r="N66" s="1" t="n">
        <v>6940</v>
      </c>
      <c r="O66" s="1" t="n">
        <v>467.96</v>
      </c>
      <c r="P66" s="1" t="s">
        <v>1277</v>
      </c>
      <c r="Q66" s="1" t="s">
        <v>108</v>
      </c>
      <c r="S66" s="1" t="s">
        <v>1278</v>
      </c>
      <c r="T66" s="1" t="s">
        <v>1279</v>
      </c>
      <c r="V66" s="1" t="s">
        <v>1288</v>
      </c>
      <c r="W66" s="1" t="s">
        <v>1276</v>
      </c>
    </row>
    <row r="67" customFormat="false" ht="15" hidden="false" customHeight="true" outlineLevel="0" collapsed="false">
      <c r="A67" s="1" t="n">
        <v>1.204879</v>
      </c>
      <c r="B67" s="1" t="s">
        <v>1129</v>
      </c>
      <c r="C67" s="1" t="n">
        <v>5615.5</v>
      </c>
      <c r="D67" s="1" t="n">
        <v>6766</v>
      </c>
      <c r="E67" s="1" t="n">
        <v>5615.5</v>
      </c>
      <c r="F67" s="172" t="n">
        <v>1.204879</v>
      </c>
      <c r="G67" s="1" t="s">
        <v>123</v>
      </c>
      <c r="H67" s="1" t="s">
        <v>139</v>
      </c>
      <c r="I67" s="1" t="n">
        <v>4731219552</v>
      </c>
      <c r="J67" s="1" t="s">
        <v>1242</v>
      </c>
      <c r="K67" s="1" t="s">
        <v>104</v>
      </c>
      <c r="L67" s="1" t="s">
        <v>139</v>
      </c>
      <c r="M67" s="1" t="n">
        <v>4731219552</v>
      </c>
      <c r="N67" s="1" t="n">
        <v>6766</v>
      </c>
      <c r="O67" s="1" t="n">
        <v>467.96</v>
      </c>
      <c r="P67" s="1" t="s">
        <v>1277</v>
      </c>
      <c r="Q67" s="1" t="s">
        <v>108</v>
      </c>
      <c r="S67" s="1" t="s">
        <v>1278</v>
      </c>
      <c r="T67" s="1" t="s">
        <v>1279</v>
      </c>
      <c r="V67" s="1" t="s">
        <v>1288</v>
      </c>
      <c r="W67" s="1" t="s">
        <v>1276</v>
      </c>
    </row>
    <row r="68" customFormat="false" ht="15" hidden="false" customHeight="true" outlineLevel="0" collapsed="false">
      <c r="A68" s="1" t="n">
        <v>0.738911</v>
      </c>
      <c r="B68" s="1" t="s">
        <v>1129</v>
      </c>
      <c r="C68" s="1" t="n">
        <v>9000</v>
      </c>
      <c r="D68" s="1" t="n">
        <v>6650.2</v>
      </c>
      <c r="E68" s="1" t="n">
        <v>9000</v>
      </c>
      <c r="F68" s="172" t="n">
        <v>0.738911</v>
      </c>
      <c r="G68" s="1" t="s">
        <v>276</v>
      </c>
      <c r="H68" s="1" t="s">
        <v>109</v>
      </c>
      <c r="I68" s="1" t="n">
        <v>4188063826</v>
      </c>
      <c r="J68" s="1" t="s">
        <v>1242</v>
      </c>
      <c r="K68" s="1" t="s">
        <v>276</v>
      </c>
      <c r="L68" s="1" t="s">
        <v>109</v>
      </c>
      <c r="M68" s="1" t="n">
        <v>4188063826</v>
      </c>
      <c r="N68" s="1" t="n">
        <v>6650.2</v>
      </c>
      <c r="O68" s="1" t="n">
        <v>750</v>
      </c>
      <c r="P68" s="1" t="s">
        <v>1277</v>
      </c>
      <c r="Q68" s="1" t="s">
        <v>184</v>
      </c>
      <c r="S68" s="1" t="s">
        <v>1278</v>
      </c>
      <c r="T68" s="1" t="s">
        <v>1274</v>
      </c>
      <c r="V68" s="1" t="s">
        <v>1288</v>
      </c>
      <c r="W68" s="1" t="s">
        <v>1284</v>
      </c>
    </row>
    <row r="69" customFormat="false" ht="15" hidden="false" customHeight="true" outlineLevel="0" collapsed="false">
      <c r="A69" s="1" t="n">
        <v>1.175935</v>
      </c>
      <c r="B69" s="1" t="s">
        <v>1129</v>
      </c>
      <c r="C69" s="1" t="n">
        <v>5615.5</v>
      </c>
      <c r="D69" s="1" t="n">
        <v>6603.47</v>
      </c>
      <c r="E69" s="1" t="n">
        <v>5615.5</v>
      </c>
      <c r="F69" s="172" t="n">
        <v>1.175935</v>
      </c>
      <c r="G69" s="1" t="s">
        <v>123</v>
      </c>
      <c r="H69" s="1" t="s">
        <v>187</v>
      </c>
      <c r="I69" s="1" t="n">
        <v>81996894202</v>
      </c>
      <c r="J69" s="1" t="s">
        <v>1242</v>
      </c>
      <c r="K69" s="1" t="s">
        <v>104</v>
      </c>
      <c r="L69" s="1" t="s">
        <v>187</v>
      </c>
      <c r="M69" s="1" t="n">
        <v>81996894202</v>
      </c>
      <c r="N69" s="1" t="n">
        <v>6603.47</v>
      </c>
      <c r="O69" s="1" t="n">
        <v>467.96</v>
      </c>
      <c r="P69" s="1" t="s">
        <v>1282</v>
      </c>
      <c r="Q69" s="1" t="s">
        <v>100</v>
      </c>
      <c r="S69" s="1" t="s">
        <v>1004</v>
      </c>
      <c r="T69" s="1" t="s">
        <v>1274</v>
      </c>
      <c r="V69" s="1" t="s">
        <v>1288</v>
      </c>
      <c r="W69" s="1" t="s">
        <v>1276</v>
      </c>
    </row>
    <row r="70" customFormat="false" ht="15" hidden="false" customHeight="true" outlineLevel="0" collapsed="false">
      <c r="A70" s="1" t="n">
        <v>1.153756</v>
      </c>
      <c r="B70" s="1" t="s">
        <v>1129</v>
      </c>
      <c r="C70" s="1" t="n">
        <v>5615.5</v>
      </c>
      <c r="D70" s="1" t="n">
        <v>6478.92</v>
      </c>
      <c r="E70" s="1" t="n">
        <v>5615.5</v>
      </c>
      <c r="F70" s="172" t="n">
        <v>1.153756</v>
      </c>
      <c r="G70" s="1" t="s">
        <v>123</v>
      </c>
      <c r="H70" s="1" t="s">
        <v>281</v>
      </c>
      <c r="I70" s="1" t="n">
        <v>6381482975</v>
      </c>
      <c r="J70" s="1" t="s">
        <v>1242</v>
      </c>
      <c r="K70" s="1" t="s">
        <v>104</v>
      </c>
      <c r="L70" s="1" t="s">
        <v>281</v>
      </c>
      <c r="M70" s="1" t="n">
        <v>6381482975</v>
      </c>
      <c r="N70" s="1" t="n">
        <v>6478.92</v>
      </c>
      <c r="O70" s="1" t="n">
        <v>467.96</v>
      </c>
      <c r="P70" s="1" t="s">
        <v>1273</v>
      </c>
      <c r="Q70" s="1" t="s">
        <v>100</v>
      </c>
      <c r="S70" s="1" t="s">
        <v>1004</v>
      </c>
      <c r="T70" s="1" t="s">
        <v>1274</v>
      </c>
      <c r="V70" s="1" t="s">
        <v>1288</v>
      </c>
      <c r="W70" s="1" t="s">
        <v>1276</v>
      </c>
    </row>
    <row r="71" customFormat="false" ht="15" hidden="false" customHeight="true" outlineLevel="0" collapsed="false">
      <c r="A71" s="1" t="n">
        <v>1.143157</v>
      </c>
      <c r="B71" s="1" t="s">
        <v>1129</v>
      </c>
      <c r="C71" s="1" t="n">
        <v>5615.5</v>
      </c>
      <c r="D71" s="1" t="n">
        <v>6419.4</v>
      </c>
      <c r="E71" s="1" t="n">
        <v>5615.5</v>
      </c>
      <c r="F71" s="172" t="n">
        <v>1.143157</v>
      </c>
      <c r="G71" s="1" t="s">
        <v>123</v>
      </c>
      <c r="H71" s="1" t="s">
        <v>250</v>
      </c>
      <c r="I71" s="1" t="n">
        <v>27995190618</v>
      </c>
      <c r="J71" s="1" t="s">
        <v>1242</v>
      </c>
      <c r="K71" s="1" t="s">
        <v>104</v>
      </c>
      <c r="L71" s="1" t="s">
        <v>250</v>
      </c>
      <c r="M71" s="1" t="n">
        <v>27995190618</v>
      </c>
      <c r="N71" s="1" t="n">
        <v>6419.4</v>
      </c>
      <c r="O71" s="1" t="n">
        <v>467.96</v>
      </c>
      <c r="P71" s="1" t="s">
        <v>1280</v>
      </c>
      <c r="Q71" s="1" t="s">
        <v>100</v>
      </c>
      <c r="S71" s="1" t="s">
        <v>1004</v>
      </c>
      <c r="T71" s="1" t="s">
        <v>1274</v>
      </c>
      <c r="V71" s="1" t="s">
        <v>1288</v>
      </c>
      <c r="W71" s="1" t="s">
        <v>1276</v>
      </c>
    </row>
    <row r="72" customFormat="false" ht="15" hidden="false" customHeight="true" outlineLevel="0" collapsed="false">
      <c r="A72" s="1" t="n">
        <v>1.123655</v>
      </c>
      <c r="B72" s="1" t="s">
        <v>1129</v>
      </c>
      <c r="C72" s="1" t="n">
        <v>5615.5</v>
      </c>
      <c r="D72" s="1" t="n">
        <v>6309.89</v>
      </c>
      <c r="E72" s="1" t="n">
        <v>5615.5</v>
      </c>
      <c r="F72" s="172" t="n">
        <v>1.123655</v>
      </c>
      <c r="G72" s="1" t="s">
        <v>123</v>
      </c>
      <c r="H72" s="1" t="s">
        <v>243</v>
      </c>
      <c r="I72" s="1" t="n">
        <v>75999105787</v>
      </c>
      <c r="J72" s="1" t="s">
        <v>1242</v>
      </c>
      <c r="K72" s="1" t="s">
        <v>104</v>
      </c>
      <c r="L72" s="1" t="s">
        <v>243</v>
      </c>
      <c r="M72" s="1" t="n">
        <v>75999105787</v>
      </c>
      <c r="N72" s="1" t="n">
        <v>6309.89</v>
      </c>
      <c r="O72" s="1" t="n">
        <v>467.96</v>
      </c>
      <c r="P72" s="1" t="s">
        <v>1282</v>
      </c>
      <c r="Q72" s="1" t="s">
        <v>108</v>
      </c>
      <c r="S72" s="1" t="s">
        <v>1278</v>
      </c>
      <c r="T72" s="1" t="s">
        <v>1279</v>
      </c>
      <c r="V72" s="1" t="s">
        <v>1288</v>
      </c>
      <c r="W72" s="1" t="s">
        <v>1276</v>
      </c>
    </row>
    <row r="73" customFormat="false" ht="15" hidden="false" customHeight="true" outlineLevel="0" collapsed="false">
      <c r="A73" s="1" t="n">
        <v>1.107126</v>
      </c>
      <c r="B73" s="1" t="s">
        <v>1129</v>
      </c>
      <c r="C73" s="1" t="n">
        <v>5615.5</v>
      </c>
      <c r="D73" s="1" t="n">
        <v>6217.07</v>
      </c>
      <c r="E73" s="1" t="n">
        <v>5615.5</v>
      </c>
      <c r="F73" s="172" t="n">
        <v>1.107126</v>
      </c>
      <c r="G73" s="1" t="s">
        <v>123</v>
      </c>
      <c r="H73" s="1" t="s">
        <v>187</v>
      </c>
      <c r="I73" s="1" t="n">
        <v>8198699280</v>
      </c>
      <c r="J73" s="1" t="s">
        <v>1242</v>
      </c>
      <c r="K73" s="1" t="s">
        <v>104</v>
      </c>
      <c r="L73" s="1" t="s">
        <v>187</v>
      </c>
      <c r="M73" s="1" t="n">
        <v>8198699280</v>
      </c>
      <c r="N73" s="1" t="n">
        <v>6217.07</v>
      </c>
      <c r="O73" s="1" t="n">
        <v>467.96</v>
      </c>
      <c r="P73" s="1" t="s">
        <v>1282</v>
      </c>
      <c r="Q73" s="1" t="s">
        <v>100</v>
      </c>
      <c r="S73" s="1" t="s">
        <v>1004</v>
      </c>
      <c r="T73" s="1" t="s">
        <v>1274</v>
      </c>
      <c r="V73" s="1" t="s">
        <v>1288</v>
      </c>
      <c r="W73" s="1" t="s">
        <v>1276</v>
      </c>
    </row>
    <row r="74" customFormat="false" ht="15" hidden="false" customHeight="true" outlineLevel="0" collapsed="false">
      <c r="A74" s="1" t="n">
        <v>1.03359</v>
      </c>
      <c r="B74" s="1" t="s">
        <v>1129</v>
      </c>
      <c r="C74" s="1" t="n">
        <v>6000</v>
      </c>
      <c r="D74" s="1" t="n">
        <v>6201.54</v>
      </c>
      <c r="E74" s="1" t="n">
        <v>6000</v>
      </c>
      <c r="F74" s="172" t="n">
        <v>1.03359</v>
      </c>
      <c r="G74" s="1" t="s">
        <v>289</v>
      </c>
      <c r="H74" s="1" t="s">
        <v>260</v>
      </c>
      <c r="I74" s="1" t="n">
        <v>2137880348</v>
      </c>
      <c r="J74" s="1" t="s">
        <v>1242</v>
      </c>
      <c r="K74" s="1" t="s">
        <v>289</v>
      </c>
      <c r="L74" s="1" t="s">
        <v>260</v>
      </c>
      <c r="M74" s="1" t="n">
        <v>2137880348</v>
      </c>
      <c r="N74" s="1" t="n">
        <v>6201.54</v>
      </c>
      <c r="O74" s="1" t="n">
        <v>500</v>
      </c>
      <c r="P74" s="1" t="s">
        <v>1286</v>
      </c>
      <c r="Q74" s="1" t="s">
        <v>100</v>
      </c>
      <c r="S74" s="1" t="s">
        <v>1004</v>
      </c>
      <c r="T74" s="1" t="s">
        <v>1274</v>
      </c>
      <c r="V74" s="1" t="s">
        <v>1288</v>
      </c>
      <c r="W74" s="1" t="s">
        <v>1284</v>
      </c>
    </row>
    <row r="75" customFormat="false" ht="15" hidden="false" customHeight="true" outlineLevel="0" collapsed="false">
      <c r="A75" s="1" t="n">
        <v>1.094824</v>
      </c>
      <c r="B75" s="1" t="s">
        <v>1129</v>
      </c>
      <c r="C75" s="1" t="n">
        <v>5615.5</v>
      </c>
      <c r="D75" s="1" t="n">
        <v>6147.99</v>
      </c>
      <c r="E75" s="1" t="n">
        <v>5615.5</v>
      </c>
      <c r="F75" s="172" t="n">
        <v>1.094824</v>
      </c>
      <c r="G75" s="1" t="s">
        <v>123</v>
      </c>
      <c r="H75" s="1" t="s">
        <v>263</v>
      </c>
      <c r="I75" s="1" t="n">
        <v>6734230280</v>
      </c>
      <c r="J75" s="1" t="s">
        <v>1242</v>
      </c>
      <c r="K75" s="1" t="s">
        <v>104</v>
      </c>
      <c r="L75" s="1" t="s">
        <v>263</v>
      </c>
      <c r="M75" s="1" t="n">
        <v>6734230280</v>
      </c>
      <c r="N75" s="1" t="n">
        <v>6147.99</v>
      </c>
      <c r="O75" s="1" t="n">
        <v>467.96</v>
      </c>
      <c r="P75" s="1" t="s">
        <v>1273</v>
      </c>
      <c r="Q75" s="1" t="s">
        <v>100</v>
      </c>
      <c r="S75" s="1" t="s">
        <v>1004</v>
      </c>
      <c r="T75" s="1" t="s">
        <v>1274</v>
      </c>
      <c r="V75" s="1" t="s">
        <v>1288</v>
      </c>
      <c r="W75" s="1" t="s">
        <v>1276</v>
      </c>
    </row>
    <row r="76" customFormat="false" ht="15" hidden="false" customHeight="true" outlineLevel="0" collapsed="false">
      <c r="A76" s="1" t="n">
        <v>0.509662</v>
      </c>
      <c r="B76" s="1" t="s">
        <v>1130</v>
      </c>
      <c r="C76" s="1" t="n">
        <v>12000</v>
      </c>
      <c r="D76" s="1" t="n">
        <v>6115.94</v>
      </c>
      <c r="E76" s="1" t="n">
        <v>12000</v>
      </c>
      <c r="F76" s="172" t="n">
        <v>0.509662</v>
      </c>
      <c r="G76" s="1" t="s">
        <v>183</v>
      </c>
      <c r="H76" s="1" t="s">
        <v>196</v>
      </c>
      <c r="I76" s="1" t="n">
        <v>5137193512</v>
      </c>
      <c r="J76" s="1" t="s">
        <v>1243</v>
      </c>
      <c r="K76" s="1" t="s">
        <v>183</v>
      </c>
      <c r="L76" s="1" t="s">
        <v>196</v>
      </c>
      <c r="M76" s="1" t="n">
        <v>5137193512</v>
      </c>
      <c r="N76" s="1" t="n">
        <v>6115.94</v>
      </c>
      <c r="O76" s="1" t="n">
        <v>1000</v>
      </c>
      <c r="P76" s="1" t="s">
        <v>1286</v>
      </c>
      <c r="Q76" s="1" t="s">
        <v>108</v>
      </c>
      <c r="S76" s="1" t="s">
        <v>1278</v>
      </c>
      <c r="T76" s="1" t="s">
        <v>1279</v>
      </c>
      <c r="V76" s="1" t="s">
        <v>1288</v>
      </c>
      <c r="W76" s="1" t="s">
        <v>1284</v>
      </c>
    </row>
    <row r="77" customFormat="false" ht="15" hidden="false" customHeight="true" outlineLevel="0" collapsed="false">
      <c r="A77" s="1" t="n">
        <v>0.599075</v>
      </c>
      <c r="B77" s="1" t="s">
        <v>1130</v>
      </c>
      <c r="C77" s="1" t="n">
        <v>10200</v>
      </c>
      <c r="D77" s="1" t="n">
        <v>6110.57</v>
      </c>
      <c r="E77" s="1" t="n">
        <v>10200</v>
      </c>
      <c r="F77" s="172" t="n">
        <v>0.599075</v>
      </c>
      <c r="G77" s="1" t="s">
        <v>115</v>
      </c>
      <c r="H77" s="1" t="s">
        <v>127</v>
      </c>
      <c r="I77" s="1" t="n">
        <v>64992783399</v>
      </c>
      <c r="J77" s="1" t="s">
        <v>1243</v>
      </c>
      <c r="K77" s="1" t="s">
        <v>115</v>
      </c>
      <c r="L77" s="1" t="s">
        <v>127</v>
      </c>
      <c r="M77" s="1" t="n">
        <v>64992783399</v>
      </c>
      <c r="N77" s="1" t="n">
        <v>6110.57</v>
      </c>
      <c r="O77" s="1" t="n">
        <v>850</v>
      </c>
      <c r="P77" s="1" t="s">
        <v>1286</v>
      </c>
      <c r="Q77" s="1" t="s">
        <v>108</v>
      </c>
      <c r="S77" s="1" t="s">
        <v>1278</v>
      </c>
      <c r="T77" s="1" t="s">
        <v>1279</v>
      </c>
      <c r="V77" s="1" t="s">
        <v>1288</v>
      </c>
      <c r="W77" s="1" t="s">
        <v>1284</v>
      </c>
    </row>
    <row r="78" customFormat="false" ht="15" hidden="false" customHeight="true" outlineLevel="0" collapsed="false">
      <c r="A78" s="1" t="n">
        <v>1.086141</v>
      </c>
      <c r="B78" s="1" t="s">
        <v>1129</v>
      </c>
      <c r="C78" s="1" t="n">
        <v>5615.5</v>
      </c>
      <c r="D78" s="1" t="n">
        <v>6099.23</v>
      </c>
      <c r="E78" s="1" t="n">
        <v>5615.5</v>
      </c>
      <c r="F78" s="172" t="n">
        <v>1.086141</v>
      </c>
      <c r="G78" s="1" t="s">
        <v>123</v>
      </c>
      <c r="H78" s="1" t="s">
        <v>119</v>
      </c>
      <c r="I78" s="1" t="n">
        <v>12988122166</v>
      </c>
      <c r="J78" s="1" t="s">
        <v>1242</v>
      </c>
      <c r="K78" s="1" t="s">
        <v>104</v>
      </c>
      <c r="L78" s="1" t="s">
        <v>119</v>
      </c>
      <c r="M78" s="1" t="n">
        <v>12988122166</v>
      </c>
      <c r="N78" s="1" t="n">
        <v>6099.23</v>
      </c>
      <c r="O78" s="1" t="n">
        <v>467.96</v>
      </c>
      <c r="P78" s="1" t="s">
        <v>1281</v>
      </c>
      <c r="Q78" s="1" t="s">
        <v>100</v>
      </c>
      <c r="S78" s="1" t="s">
        <v>1004</v>
      </c>
      <c r="T78" s="1" t="s">
        <v>1274</v>
      </c>
      <c r="V78" s="1" t="s">
        <v>1288</v>
      </c>
      <c r="W78" s="1" t="s">
        <v>1276</v>
      </c>
    </row>
    <row r="79" customFormat="false" ht="15" hidden="false" customHeight="true" outlineLevel="0" collapsed="false">
      <c r="A79" s="1" t="n">
        <v>0.94475</v>
      </c>
      <c r="B79" s="1" t="s">
        <v>1129</v>
      </c>
      <c r="C79" s="1" t="n">
        <v>6281.25</v>
      </c>
      <c r="D79" s="1" t="n">
        <v>5934.21</v>
      </c>
      <c r="E79" s="1" t="n">
        <v>6281.25</v>
      </c>
      <c r="F79" s="172" t="n">
        <v>0.94475</v>
      </c>
      <c r="G79" s="1" t="s">
        <v>124</v>
      </c>
      <c r="H79" s="1" t="s">
        <v>139</v>
      </c>
      <c r="I79" s="1" t="n">
        <v>4833804868</v>
      </c>
      <c r="J79" s="1" t="s">
        <v>1242</v>
      </c>
      <c r="K79" s="1" t="s">
        <v>124</v>
      </c>
      <c r="L79" s="1" t="s">
        <v>139</v>
      </c>
      <c r="M79" s="1" t="n">
        <v>4833804868</v>
      </c>
      <c r="N79" s="1" t="n">
        <v>5934.21</v>
      </c>
      <c r="O79" s="1" t="n">
        <v>523.44</v>
      </c>
      <c r="P79" s="1" t="s">
        <v>1286</v>
      </c>
      <c r="Q79" s="1" t="s">
        <v>184</v>
      </c>
      <c r="S79" s="1" t="s">
        <v>1278</v>
      </c>
      <c r="T79" s="1" t="s">
        <v>1274</v>
      </c>
      <c r="V79" s="1" t="s">
        <v>1288</v>
      </c>
      <c r="W79" s="1" t="s">
        <v>1284</v>
      </c>
    </row>
    <row r="80" customFormat="false" ht="15" hidden="false" customHeight="true" outlineLevel="0" collapsed="false">
      <c r="A80" s="1" t="n">
        <v>0.529843</v>
      </c>
      <c r="B80" s="1" t="s">
        <v>1130</v>
      </c>
      <c r="C80" s="1" t="n">
        <v>10706.9</v>
      </c>
      <c r="D80" s="1" t="n">
        <v>5672.97</v>
      </c>
      <c r="E80" s="1" t="n">
        <v>10706.9</v>
      </c>
      <c r="F80" s="172" t="n">
        <v>0.529843</v>
      </c>
      <c r="G80" s="1" t="s">
        <v>66</v>
      </c>
      <c r="H80" s="1" t="s">
        <v>139</v>
      </c>
      <c r="I80" s="1" t="n">
        <v>4792254513</v>
      </c>
      <c r="J80" s="1" t="s">
        <v>1243</v>
      </c>
      <c r="K80" s="1" t="s">
        <v>66</v>
      </c>
      <c r="L80" s="1" t="s">
        <v>139</v>
      </c>
      <c r="M80" s="1" t="n">
        <v>4792254513</v>
      </c>
      <c r="N80" s="1" t="n">
        <v>5672.97</v>
      </c>
      <c r="O80" s="1" t="n">
        <v>892.24</v>
      </c>
      <c r="P80" s="1" t="s">
        <v>1286</v>
      </c>
      <c r="Q80" s="1" t="s">
        <v>175</v>
      </c>
      <c r="S80" s="1" t="s">
        <v>1287</v>
      </c>
      <c r="T80" s="1" t="s">
        <v>1274</v>
      </c>
      <c r="V80" s="1" t="s">
        <v>1288</v>
      </c>
      <c r="W80" s="1" t="s">
        <v>1284</v>
      </c>
    </row>
    <row r="81" customFormat="false" ht="15" hidden="false" customHeight="true" outlineLevel="0" collapsed="false">
      <c r="A81" s="1" t="n">
        <v>1.009064</v>
      </c>
      <c r="B81" s="1" t="s">
        <v>1129</v>
      </c>
      <c r="C81" s="1" t="n">
        <v>5615.5</v>
      </c>
      <c r="D81" s="1" t="n">
        <v>5666.4</v>
      </c>
      <c r="E81" s="1" t="n">
        <v>5615.5</v>
      </c>
      <c r="F81" s="172" t="n">
        <v>1.009064</v>
      </c>
      <c r="G81" s="1" t="s">
        <v>123</v>
      </c>
      <c r="H81" s="1" t="s">
        <v>109</v>
      </c>
      <c r="I81" s="1" t="n">
        <v>4133512200</v>
      </c>
      <c r="J81" s="1" t="s">
        <v>1242</v>
      </c>
      <c r="K81" s="1" t="s">
        <v>104</v>
      </c>
      <c r="L81" s="1" t="s">
        <v>109</v>
      </c>
      <c r="M81" s="1" t="n">
        <v>4133512200</v>
      </c>
      <c r="N81" s="1" t="n">
        <v>5666.4</v>
      </c>
      <c r="O81" s="1" t="n">
        <v>467.96</v>
      </c>
      <c r="P81" s="1" t="s">
        <v>1277</v>
      </c>
      <c r="Q81" s="1" t="s">
        <v>108</v>
      </c>
      <c r="S81" s="1" t="s">
        <v>1278</v>
      </c>
      <c r="T81" s="1" t="s">
        <v>1279</v>
      </c>
      <c r="V81" s="1" t="s">
        <v>1288</v>
      </c>
      <c r="W81" s="1" t="s">
        <v>1276</v>
      </c>
    </row>
    <row r="82" customFormat="false" ht="15" hidden="false" customHeight="true" outlineLevel="0" collapsed="false">
      <c r="A82" s="1" t="n">
        <v>0.992573</v>
      </c>
      <c r="B82" s="1" t="s">
        <v>1129</v>
      </c>
      <c r="C82" s="1" t="n">
        <v>5615.5</v>
      </c>
      <c r="D82" s="1" t="n">
        <v>5573.8</v>
      </c>
      <c r="E82" s="1" t="n">
        <v>5615.5</v>
      </c>
      <c r="F82" s="172" t="n">
        <v>0.992573</v>
      </c>
      <c r="G82" s="1" t="s">
        <v>123</v>
      </c>
      <c r="H82" s="1" t="s">
        <v>196</v>
      </c>
      <c r="I82" s="1" t="n">
        <v>5135828602</v>
      </c>
      <c r="J82" s="1" t="s">
        <v>1242</v>
      </c>
      <c r="K82" s="1" t="s">
        <v>104</v>
      </c>
      <c r="L82" s="1" t="s">
        <v>196</v>
      </c>
      <c r="M82" s="1" t="n">
        <v>5135828602</v>
      </c>
      <c r="N82" s="1" t="n">
        <v>5573.8</v>
      </c>
      <c r="O82" s="1" t="n">
        <v>467.96</v>
      </c>
      <c r="P82" s="1" t="s">
        <v>1277</v>
      </c>
      <c r="Q82" s="1" t="s">
        <v>108</v>
      </c>
      <c r="S82" s="1" t="s">
        <v>1278</v>
      </c>
      <c r="T82" s="1" t="s">
        <v>1274</v>
      </c>
      <c r="V82" s="1" t="s">
        <v>1288</v>
      </c>
      <c r="W82" s="1" t="s">
        <v>1276</v>
      </c>
    </row>
    <row r="83" customFormat="false" ht="15" hidden="false" customHeight="true" outlineLevel="0" collapsed="false">
      <c r="A83" s="1" t="n">
        <v>0.989411</v>
      </c>
      <c r="B83" s="1" t="s">
        <v>1129</v>
      </c>
      <c r="C83" s="1" t="n">
        <v>5615.5</v>
      </c>
      <c r="D83" s="1" t="n">
        <v>5556.04</v>
      </c>
      <c r="E83" s="1" t="n">
        <v>5615.5</v>
      </c>
      <c r="F83" s="172" t="n">
        <v>0.989411</v>
      </c>
      <c r="G83" s="1" t="s">
        <v>123</v>
      </c>
      <c r="H83" s="1" t="s">
        <v>139</v>
      </c>
      <c r="I83" s="1" t="n">
        <v>4530553644</v>
      </c>
      <c r="J83" s="1" t="s">
        <v>1242</v>
      </c>
      <c r="K83" s="1" t="s">
        <v>104</v>
      </c>
      <c r="L83" s="1" t="s">
        <v>139</v>
      </c>
      <c r="M83" s="1" t="n">
        <v>4530553644</v>
      </c>
      <c r="N83" s="1" t="n">
        <v>5556.04</v>
      </c>
      <c r="O83" s="1" t="n">
        <v>467.96</v>
      </c>
      <c r="P83" s="1" t="s">
        <v>1277</v>
      </c>
      <c r="Q83" s="1" t="s">
        <v>108</v>
      </c>
      <c r="S83" s="1" t="s">
        <v>1278</v>
      </c>
      <c r="T83" s="1" t="s">
        <v>1279</v>
      </c>
      <c r="V83" s="1" t="s">
        <v>1288</v>
      </c>
      <c r="W83" s="1" t="s">
        <v>1276</v>
      </c>
    </row>
    <row r="84" customFormat="false" ht="15" hidden="false" customHeight="true" outlineLevel="0" collapsed="false">
      <c r="A84" s="1" t="n">
        <v>0.982565</v>
      </c>
      <c r="B84" s="1" t="s">
        <v>1129</v>
      </c>
      <c r="C84" s="1" t="n">
        <v>5615.5</v>
      </c>
      <c r="D84" s="1" t="n">
        <v>5517.6</v>
      </c>
      <c r="E84" s="1" t="n">
        <v>5615.5</v>
      </c>
      <c r="F84" s="172" t="n">
        <v>0.982565</v>
      </c>
      <c r="G84" s="1" t="s">
        <v>123</v>
      </c>
      <c r="H84" s="1" t="s">
        <v>109</v>
      </c>
      <c r="I84" s="1" t="n">
        <v>41998819180</v>
      </c>
      <c r="J84" s="1" t="s">
        <v>1242</v>
      </c>
      <c r="K84" s="1" t="s">
        <v>104</v>
      </c>
      <c r="L84" s="1" t="s">
        <v>109</v>
      </c>
      <c r="M84" s="1" t="n">
        <v>41998819180</v>
      </c>
      <c r="N84" s="1" t="n">
        <v>5517.6</v>
      </c>
      <c r="O84" s="1" t="n">
        <v>467.96</v>
      </c>
      <c r="P84" s="1" t="s">
        <v>1277</v>
      </c>
      <c r="Q84" s="1" t="s">
        <v>108</v>
      </c>
      <c r="S84" s="1" t="s">
        <v>1278</v>
      </c>
      <c r="T84" s="1" t="s">
        <v>1279</v>
      </c>
      <c r="V84" s="1" t="s">
        <v>1288</v>
      </c>
      <c r="W84" s="1" t="s">
        <v>1276</v>
      </c>
    </row>
    <row r="85" customFormat="false" ht="15" hidden="false" customHeight="true" outlineLevel="0" collapsed="false">
      <c r="A85" s="1" t="n">
        <v>0.96667</v>
      </c>
      <c r="B85" s="1" t="s">
        <v>1129</v>
      </c>
      <c r="C85" s="1" t="n">
        <v>5615.5</v>
      </c>
      <c r="D85" s="1" t="n">
        <v>5428.34</v>
      </c>
      <c r="E85" s="1" t="n">
        <v>5615.5</v>
      </c>
      <c r="F85" s="172" t="n">
        <v>0.96667</v>
      </c>
      <c r="G85" s="1" t="s">
        <v>123</v>
      </c>
      <c r="H85" s="1" t="s">
        <v>311</v>
      </c>
      <c r="I85" s="1" t="n">
        <v>6136867677</v>
      </c>
      <c r="J85" s="1" t="s">
        <v>1242</v>
      </c>
      <c r="K85" s="1" t="s">
        <v>104</v>
      </c>
      <c r="L85" s="1" t="s">
        <v>311</v>
      </c>
      <c r="M85" s="1" t="n">
        <v>6136867677</v>
      </c>
      <c r="N85" s="1" t="n">
        <v>5428.34</v>
      </c>
      <c r="O85" s="1" t="n">
        <v>467.96</v>
      </c>
      <c r="P85" s="1" t="s">
        <v>1273</v>
      </c>
      <c r="Q85" s="1" t="s">
        <v>100</v>
      </c>
      <c r="S85" s="1" t="s">
        <v>1004</v>
      </c>
      <c r="T85" s="1" t="s">
        <v>1274</v>
      </c>
      <c r="V85" s="1" t="s">
        <v>1288</v>
      </c>
      <c r="W85" s="1" t="s">
        <v>1276</v>
      </c>
    </row>
    <row r="86" customFormat="false" ht="15" hidden="false" customHeight="true" outlineLevel="0" collapsed="false">
      <c r="A86" s="1" t="n">
        <v>0.495924</v>
      </c>
      <c r="B86" s="1" t="s">
        <v>1130</v>
      </c>
      <c r="C86" s="1" t="n">
        <v>10706.9</v>
      </c>
      <c r="D86" s="1" t="n">
        <v>5309.81</v>
      </c>
      <c r="E86" s="1" t="n">
        <v>10706.9</v>
      </c>
      <c r="F86" s="172" t="n">
        <v>0.495924</v>
      </c>
      <c r="G86" s="1" t="s">
        <v>66</v>
      </c>
      <c r="H86" s="1" t="s">
        <v>139</v>
      </c>
      <c r="I86" s="1" t="n">
        <v>4796102611</v>
      </c>
      <c r="J86" s="1" t="s">
        <v>1243</v>
      </c>
      <c r="K86" s="1" t="s">
        <v>66</v>
      </c>
      <c r="L86" s="1" t="s">
        <v>139</v>
      </c>
      <c r="M86" s="1" t="n">
        <v>4796102611</v>
      </c>
      <c r="N86" s="1" t="n">
        <v>5309.81</v>
      </c>
      <c r="O86" s="1" t="n">
        <v>892.24</v>
      </c>
      <c r="P86" s="1" t="s">
        <v>1286</v>
      </c>
      <c r="Q86" s="1" t="s">
        <v>175</v>
      </c>
      <c r="S86" s="1" t="s">
        <v>1287</v>
      </c>
      <c r="T86" s="1" t="s">
        <v>1274</v>
      </c>
      <c r="V86" s="1" t="s">
        <v>1288</v>
      </c>
      <c r="W86" s="1" t="s">
        <v>1284</v>
      </c>
    </row>
    <row r="87" customFormat="false" ht="15" hidden="false" customHeight="true" outlineLevel="0" collapsed="false">
      <c r="A87" s="1" t="n">
        <v>0.94493</v>
      </c>
      <c r="B87" s="1" t="s">
        <v>1129</v>
      </c>
      <c r="C87" s="1" t="n">
        <v>5615.5</v>
      </c>
      <c r="D87" s="1" t="n">
        <v>5306.26</v>
      </c>
      <c r="E87" s="1" t="n">
        <v>5615.5</v>
      </c>
      <c r="F87" s="172" t="n">
        <v>0.94493</v>
      </c>
      <c r="G87" s="1" t="s">
        <v>123</v>
      </c>
      <c r="H87" s="1" t="s">
        <v>139</v>
      </c>
      <c r="I87" s="1" t="n">
        <v>47997065444</v>
      </c>
      <c r="J87" s="1" t="s">
        <v>1242</v>
      </c>
      <c r="K87" s="1" t="s">
        <v>104</v>
      </c>
      <c r="L87" s="1" t="s">
        <v>139</v>
      </c>
      <c r="M87" s="1" t="n">
        <v>47997065444</v>
      </c>
      <c r="N87" s="1" t="n">
        <v>5306.26</v>
      </c>
      <c r="O87" s="1" t="n">
        <v>467.96</v>
      </c>
      <c r="P87" s="1" t="s">
        <v>1277</v>
      </c>
      <c r="Q87" s="1" t="s">
        <v>108</v>
      </c>
      <c r="S87" s="1" t="s">
        <v>1278</v>
      </c>
      <c r="T87" s="1" t="s">
        <v>1279</v>
      </c>
      <c r="V87" s="1" t="s">
        <v>1288</v>
      </c>
      <c r="W87" s="1" t="s">
        <v>1276</v>
      </c>
    </row>
    <row r="88" customFormat="false" ht="15" hidden="false" customHeight="true" outlineLevel="0" collapsed="false">
      <c r="A88" s="1" t="n">
        <v>0.940779</v>
      </c>
      <c r="B88" s="1" t="s">
        <v>1129</v>
      </c>
      <c r="C88" s="1" t="n">
        <v>5615.5</v>
      </c>
      <c r="D88" s="1" t="n">
        <v>5282.95</v>
      </c>
      <c r="E88" s="1" t="n">
        <v>5615.5</v>
      </c>
      <c r="F88" s="172" t="n">
        <v>0.940779</v>
      </c>
      <c r="G88" s="1" t="s">
        <v>123</v>
      </c>
      <c r="H88" s="1" t="s">
        <v>139</v>
      </c>
      <c r="I88" s="1" t="n">
        <v>4733874642</v>
      </c>
      <c r="J88" s="1" t="s">
        <v>1242</v>
      </c>
      <c r="K88" s="1" t="s">
        <v>104</v>
      </c>
      <c r="L88" s="1" t="s">
        <v>139</v>
      </c>
      <c r="M88" s="1" t="n">
        <v>4733874642</v>
      </c>
      <c r="N88" s="1" t="n">
        <v>5282.95</v>
      </c>
      <c r="O88" s="1" t="n">
        <v>467.96</v>
      </c>
      <c r="P88" s="1" t="s">
        <v>1277</v>
      </c>
      <c r="Q88" s="1" t="s">
        <v>108</v>
      </c>
      <c r="S88" s="1" t="s">
        <v>1278</v>
      </c>
      <c r="T88" s="1" t="s">
        <v>1279</v>
      </c>
      <c r="V88" s="1" t="s">
        <v>1288</v>
      </c>
      <c r="W88" s="1" t="s">
        <v>1276</v>
      </c>
    </row>
    <row r="89" customFormat="false" ht="15" hidden="false" customHeight="true" outlineLevel="0" collapsed="false">
      <c r="A89" s="1" t="n">
        <v>0.487815</v>
      </c>
      <c r="B89" s="1" t="s">
        <v>1130</v>
      </c>
      <c r="C89" s="1" t="n">
        <v>10706.9</v>
      </c>
      <c r="D89" s="1" t="n">
        <v>5222.99</v>
      </c>
      <c r="E89" s="1" t="n">
        <v>10706.9</v>
      </c>
      <c r="F89" s="172" t="n">
        <v>0.487815</v>
      </c>
      <c r="G89" s="1" t="s">
        <v>66</v>
      </c>
      <c r="H89" s="1" t="s">
        <v>139</v>
      </c>
      <c r="I89" s="1" t="n">
        <v>4899570928</v>
      </c>
      <c r="J89" s="1" t="s">
        <v>1243</v>
      </c>
      <c r="K89" s="1" t="s">
        <v>66</v>
      </c>
      <c r="L89" s="1" t="s">
        <v>139</v>
      </c>
      <c r="M89" s="1" t="n">
        <v>4899570928</v>
      </c>
      <c r="N89" s="1" t="n">
        <v>5222.99</v>
      </c>
      <c r="O89" s="1" t="n">
        <v>892.24</v>
      </c>
      <c r="P89" s="1" t="s">
        <v>1286</v>
      </c>
      <c r="Q89" s="1" t="s">
        <v>175</v>
      </c>
      <c r="S89" s="1" t="s">
        <v>1278</v>
      </c>
      <c r="T89" s="1" t="s">
        <v>1274</v>
      </c>
      <c r="V89" s="1" t="s">
        <v>1288</v>
      </c>
      <c r="W89" s="1" t="s">
        <v>1284</v>
      </c>
    </row>
    <row r="90" customFormat="false" ht="15" hidden="false" customHeight="true" outlineLevel="0" collapsed="false">
      <c r="A90" s="1" t="n">
        <v>0.927279</v>
      </c>
      <c r="B90" s="1" t="s">
        <v>1129</v>
      </c>
      <c r="C90" s="1" t="n">
        <v>5615.5</v>
      </c>
      <c r="D90" s="1" t="n">
        <v>5207.14</v>
      </c>
      <c r="E90" s="1" t="n">
        <v>5615.5</v>
      </c>
      <c r="F90" s="172" t="n">
        <v>0.927279</v>
      </c>
      <c r="G90" s="1" t="s">
        <v>123</v>
      </c>
      <c r="H90" s="1" t="s">
        <v>243</v>
      </c>
      <c r="I90" s="1" t="n">
        <v>7599893413</v>
      </c>
      <c r="J90" s="1" t="s">
        <v>1242</v>
      </c>
      <c r="K90" s="1" t="s">
        <v>104</v>
      </c>
      <c r="L90" s="1" t="s">
        <v>243</v>
      </c>
      <c r="M90" s="1" t="n">
        <v>7599893413</v>
      </c>
      <c r="N90" s="1" t="n">
        <v>5207.14</v>
      </c>
      <c r="O90" s="1" t="n">
        <v>467.96</v>
      </c>
      <c r="P90" s="1" t="s">
        <v>1282</v>
      </c>
      <c r="Q90" s="1" t="s">
        <v>100</v>
      </c>
      <c r="S90" s="1" t="s">
        <v>1004</v>
      </c>
      <c r="T90" s="1" t="s">
        <v>1274</v>
      </c>
      <c r="V90" s="1" t="s">
        <v>1288</v>
      </c>
      <c r="W90" s="1" t="s">
        <v>1276</v>
      </c>
    </row>
    <row r="91" customFormat="false" ht="15" hidden="false" customHeight="true" outlineLevel="0" collapsed="false">
      <c r="A91" s="1" t="n">
        <v>0.474218</v>
      </c>
      <c r="B91" s="1" t="s">
        <v>1130</v>
      </c>
      <c r="C91" s="1" t="n">
        <v>10706.9</v>
      </c>
      <c r="D91" s="1" t="n">
        <v>5077.4</v>
      </c>
      <c r="E91" s="1" t="n">
        <v>10706.9</v>
      </c>
      <c r="F91" s="172" t="n">
        <v>0.474218</v>
      </c>
      <c r="G91" s="1" t="s">
        <v>66</v>
      </c>
      <c r="H91" s="1" t="s">
        <v>139</v>
      </c>
      <c r="I91" s="1" t="n">
        <v>4899277117</v>
      </c>
      <c r="J91" s="1" t="s">
        <v>1243</v>
      </c>
      <c r="K91" s="1" t="s">
        <v>66</v>
      </c>
      <c r="L91" s="1" t="s">
        <v>139</v>
      </c>
      <c r="M91" s="1" t="n">
        <v>4899277117</v>
      </c>
      <c r="N91" s="1" t="n">
        <v>5077.4</v>
      </c>
      <c r="O91" s="1" t="n">
        <v>892.24</v>
      </c>
      <c r="P91" s="1" t="s">
        <v>1286</v>
      </c>
      <c r="Q91" s="1" t="s">
        <v>175</v>
      </c>
      <c r="S91" s="1" t="s">
        <v>1278</v>
      </c>
      <c r="T91" s="1" t="s">
        <v>1274</v>
      </c>
      <c r="V91" s="1" t="s">
        <v>1288</v>
      </c>
      <c r="W91" s="1" t="s">
        <v>1284</v>
      </c>
    </row>
    <row r="92" customFormat="false" ht="15" hidden="false" customHeight="true" outlineLevel="0" collapsed="false">
      <c r="A92" s="1" t="n">
        <v>0.895546</v>
      </c>
      <c r="B92" s="1" t="s">
        <v>1129</v>
      </c>
      <c r="C92" s="1" t="n">
        <v>5615.5</v>
      </c>
      <c r="D92" s="1" t="n">
        <v>5028.94</v>
      </c>
      <c r="E92" s="1" t="n">
        <v>5615.5</v>
      </c>
      <c r="F92" s="172" t="n">
        <v>0.895546</v>
      </c>
      <c r="G92" s="1" t="s">
        <v>123</v>
      </c>
      <c r="H92" s="1" t="s">
        <v>114</v>
      </c>
      <c r="I92" s="1" t="n">
        <v>17991844024</v>
      </c>
      <c r="J92" s="1" t="s">
        <v>1242</v>
      </c>
      <c r="K92" s="1" t="s">
        <v>104</v>
      </c>
      <c r="L92" s="1" t="s">
        <v>114</v>
      </c>
      <c r="M92" s="1" t="n">
        <v>17991844024</v>
      </c>
      <c r="N92" s="1" t="n">
        <v>5028.94</v>
      </c>
      <c r="O92" s="1" t="n">
        <v>467.96</v>
      </c>
      <c r="P92" s="1" t="s">
        <v>1280</v>
      </c>
      <c r="Q92" s="1" t="s">
        <v>100</v>
      </c>
      <c r="S92" s="1" t="s">
        <v>1004</v>
      </c>
      <c r="T92" s="1" t="s">
        <v>1274</v>
      </c>
      <c r="V92" s="1" t="s">
        <v>1288</v>
      </c>
      <c r="W92" s="1" t="s">
        <v>1276</v>
      </c>
    </row>
    <row r="93" customFormat="false" ht="15" hidden="false" customHeight="true" outlineLevel="0" collapsed="false">
      <c r="A93" s="1" t="n">
        <v>0.895312</v>
      </c>
      <c r="B93" s="1" t="s">
        <v>1129</v>
      </c>
      <c r="C93" s="1" t="n">
        <v>5615.5</v>
      </c>
      <c r="D93" s="1" t="n">
        <v>5027.63</v>
      </c>
      <c r="E93" s="1" t="n">
        <v>5615.5</v>
      </c>
      <c r="F93" s="172" t="n">
        <v>0.895312</v>
      </c>
      <c r="G93" s="1" t="s">
        <v>123</v>
      </c>
      <c r="H93" s="1" t="s">
        <v>260</v>
      </c>
      <c r="I93" s="1" t="n">
        <v>21968769347</v>
      </c>
      <c r="J93" s="1" t="s">
        <v>1242</v>
      </c>
      <c r="K93" s="1" t="s">
        <v>104</v>
      </c>
      <c r="L93" s="1" t="s">
        <v>260</v>
      </c>
      <c r="M93" s="1" t="n">
        <v>21968769347</v>
      </c>
      <c r="N93" s="1" t="n">
        <v>5027.63</v>
      </c>
      <c r="O93" s="1" t="n">
        <v>467.96</v>
      </c>
      <c r="P93" s="1" t="s">
        <v>1280</v>
      </c>
      <c r="Q93" s="1" t="s">
        <v>108</v>
      </c>
      <c r="S93" s="1" t="s">
        <v>1278</v>
      </c>
      <c r="T93" s="1" t="s">
        <v>1279</v>
      </c>
      <c r="V93" s="1" t="s">
        <v>1288</v>
      </c>
      <c r="W93" s="1" t="s">
        <v>1276</v>
      </c>
    </row>
    <row r="94" customFormat="false" ht="15" hidden="false" customHeight="true" outlineLevel="0" collapsed="false">
      <c r="A94" s="1" t="n">
        <v>0.894978</v>
      </c>
      <c r="B94" s="1" t="s">
        <v>1129</v>
      </c>
      <c r="C94" s="1" t="n">
        <v>5615.5</v>
      </c>
      <c r="D94" s="1" t="n">
        <v>5025.75</v>
      </c>
      <c r="E94" s="1" t="n">
        <v>5615.5</v>
      </c>
      <c r="F94" s="172" t="n">
        <v>0.894978</v>
      </c>
      <c r="G94" s="1" t="s">
        <v>123</v>
      </c>
      <c r="H94" s="1" t="s">
        <v>260</v>
      </c>
      <c r="I94" s="1" t="n">
        <v>22999447675</v>
      </c>
      <c r="J94" s="1" t="s">
        <v>1242</v>
      </c>
      <c r="K94" s="1" t="s">
        <v>104</v>
      </c>
      <c r="L94" s="1" t="s">
        <v>260</v>
      </c>
      <c r="M94" s="1" t="n">
        <v>22999447675</v>
      </c>
      <c r="N94" s="1" t="n">
        <v>5025.75</v>
      </c>
      <c r="O94" s="1" t="n">
        <v>467.96</v>
      </c>
      <c r="P94" s="1" t="s">
        <v>1280</v>
      </c>
      <c r="Q94" s="1" t="s">
        <v>100</v>
      </c>
      <c r="S94" s="1" t="s">
        <v>1004</v>
      </c>
      <c r="T94" s="1" t="s">
        <v>1274</v>
      </c>
      <c r="V94" s="1" t="s">
        <v>1288</v>
      </c>
      <c r="W94" s="1" t="s">
        <v>1276</v>
      </c>
    </row>
    <row r="95" customFormat="false" ht="15" hidden="false" customHeight="true" outlineLevel="0" collapsed="false">
      <c r="A95" s="1" t="n">
        <v>0.876167</v>
      </c>
      <c r="B95" s="1" t="s">
        <v>1129</v>
      </c>
      <c r="C95" s="1" t="n">
        <v>5615.5</v>
      </c>
      <c r="D95" s="1" t="n">
        <v>4920.12</v>
      </c>
      <c r="E95" s="1" t="n">
        <v>5615.5</v>
      </c>
      <c r="F95" s="172" t="n">
        <v>0.876167</v>
      </c>
      <c r="G95" s="1" t="s">
        <v>123</v>
      </c>
      <c r="H95" s="1" t="s">
        <v>127</v>
      </c>
      <c r="I95" s="1" t="n">
        <v>6299448165</v>
      </c>
      <c r="J95" s="1" t="s">
        <v>1242</v>
      </c>
      <c r="K95" s="1" t="s">
        <v>104</v>
      </c>
      <c r="L95" s="1" t="s">
        <v>127</v>
      </c>
      <c r="M95" s="1" t="n">
        <v>6299448165</v>
      </c>
      <c r="N95" s="1" t="n">
        <v>4920.12</v>
      </c>
      <c r="O95" s="1" t="n">
        <v>467.96</v>
      </c>
      <c r="P95" s="1" t="s">
        <v>1273</v>
      </c>
      <c r="Q95" s="1" t="s">
        <v>100</v>
      </c>
      <c r="S95" s="1" t="s">
        <v>1004</v>
      </c>
      <c r="T95" s="1" t="s">
        <v>1274</v>
      </c>
      <c r="V95" s="1" t="s">
        <v>1288</v>
      </c>
      <c r="W95" s="1" t="s">
        <v>1276</v>
      </c>
    </row>
    <row r="96" customFormat="false" ht="15" hidden="false" customHeight="true" outlineLevel="0" collapsed="false">
      <c r="A96" s="1" t="n">
        <v>0.871161</v>
      </c>
      <c r="B96" s="1" t="s">
        <v>1129</v>
      </c>
      <c r="C96" s="1" t="n">
        <v>5615.5</v>
      </c>
      <c r="D96" s="1" t="n">
        <v>4892.01</v>
      </c>
      <c r="E96" s="1" t="n">
        <v>5615.5</v>
      </c>
      <c r="F96" s="172" t="n">
        <v>0.871161</v>
      </c>
      <c r="G96" s="1" t="s">
        <v>123</v>
      </c>
      <c r="H96" s="1" t="s">
        <v>119</v>
      </c>
      <c r="I96" s="1" t="n">
        <v>1166425526</v>
      </c>
      <c r="J96" s="1" t="s">
        <v>1242</v>
      </c>
      <c r="K96" s="1" t="s">
        <v>104</v>
      </c>
      <c r="L96" s="1" t="s">
        <v>119</v>
      </c>
      <c r="M96" s="1" t="n">
        <v>1166425526</v>
      </c>
      <c r="N96" s="1" t="n">
        <v>4892.01</v>
      </c>
      <c r="O96" s="1" t="n">
        <v>467.96</v>
      </c>
      <c r="P96" s="1" t="s">
        <v>1285</v>
      </c>
      <c r="Q96" s="1" t="s">
        <v>100</v>
      </c>
      <c r="S96" s="1" t="s">
        <v>1004</v>
      </c>
      <c r="T96" s="1" t="s">
        <v>1274</v>
      </c>
      <c r="V96" s="1" t="s">
        <v>1288</v>
      </c>
      <c r="W96" s="1" t="s">
        <v>1276</v>
      </c>
    </row>
    <row r="97" customFormat="false" ht="15" hidden="false" customHeight="true" outlineLevel="0" collapsed="false">
      <c r="A97" s="1" t="n">
        <v>0.411259</v>
      </c>
      <c r="B97" s="1" t="s">
        <v>1130</v>
      </c>
      <c r="C97" s="1" t="n">
        <v>11700</v>
      </c>
      <c r="D97" s="1" t="n">
        <v>4811.73</v>
      </c>
      <c r="E97" s="1" t="n">
        <v>11700</v>
      </c>
      <c r="F97" s="172" t="n">
        <v>0.411259</v>
      </c>
      <c r="G97" s="1" t="s">
        <v>120</v>
      </c>
      <c r="H97" s="1" t="s">
        <v>260</v>
      </c>
      <c r="I97" s="1" t="n">
        <v>22981512892</v>
      </c>
      <c r="J97" s="1" t="s">
        <v>1243</v>
      </c>
      <c r="K97" s="1" t="s">
        <v>120</v>
      </c>
      <c r="L97" s="1" t="s">
        <v>260</v>
      </c>
      <c r="M97" s="1" t="n">
        <v>22981512892</v>
      </c>
      <c r="N97" s="1" t="n">
        <v>4811.73</v>
      </c>
      <c r="O97" s="1" t="n">
        <v>975</v>
      </c>
      <c r="P97" s="1" t="s">
        <v>1286</v>
      </c>
      <c r="Q97" s="1" t="s">
        <v>108</v>
      </c>
      <c r="S97" s="1" t="s">
        <v>1278</v>
      </c>
      <c r="T97" s="1" t="s">
        <v>1279</v>
      </c>
      <c r="V97" s="1" t="s">
        <v>1288</v>
      </c>
      <c r="W97" s="1" t="s">
        <v>1284</v>
      </c>
    </row>
    <row r="98" customFormat="false" ht="15" hidden="false" customHeight="true" outlineLevel="0" collapsed="false">
      <c r="A98" s="1" t="n">
        <v>0.847057</v>
      </c>
      <c r="B98" s="1" t="s">
        <v>1129</v>
      </c>
      <c r="C98" s="1" t="n">
        <v>5615.5</v>
      </c>
      <c r="D98" s="1" t="n">
        <v>4756.65</v>
      </c>
      <c r="E98" s="1" t="n">
        <v>5615.5</v>
      </c>
      <c r="F98" s="172" t="n">
        <v>0.847057</v>
      </c>
      <c r="G98" s="1" t="s">
        <v>123</v>
      </c>
      <c r="H98" s="1" t="s">
        <v>109</v>
      </c>
      <c r="I98" s="1" t="n">
        <v>43305638984</v>
      </c>
      <c r="J98" s="1" t="s">
        <v>1242</v>
      </c>
      <c r="K98" s="1" t="s">
        <v>104</v>
      </c>
      <c r="L98" s="1" t="s">
        <v>109</v>
      </c>
      <c r="M98" s="1" t="n">
        <v>43305638984</v>
      </c>
      <c r="N98" s="1" t="n">
        <v>4756.65</v>
      </c>
      <c r="O98" s="1" t="n">
        <v>467.96</v>
      </c>
      <c r="P98" s="1" t="s">
        <v>1277</v>
      </c>
      <c r="Q98" s="1" t="s">
        <v>108</v>
      </c>
      <c r="S98" s="1" t="s">
        <v>1278</v>
      </c>
      <c r="T98" s="1" t="s">
        <v>1279</v>
      </c>
      <c r="V98" s="1" t="s">
        <v>1288</v>
      </c>
      <c r="W98" s="1" t="s">
        <v>1276</v>
      </c>
    </row>
    <row r="99" customFormat="false" ht="15" hidden="false" customHeight="true" outlineLevel="0" collapsed="false">
      <c r="A99" s="1" t="n">
        <v>0.832032</v>
      </c>
      <c r="B99" s="1" t="s">
        <v>1129</v>
      </c>
      <c r="C99" s="1" t="n">
        <v>5615.5</v>
      </c>
      <c r="D99" s="1" t="n">
        <v>4672.28</v>
      </c>
      <c r="E99" s="1" t="n">
        <v>5615.5</v>
      </c>
      <c r="F99" s="172" t="n">
        <v>0.832032</v>
      </c>
      <c r="G99" s="1" t="s">
        <v>123</v>
      </c>
      <c r="H99" s="1" t="s">
        <v>260</v>
      </c>
      <c r="I99" s="1" t="n">
        <v>24248461152</v>
      </c>
      <c r="J99" s="1" t="s">
        <v>1242</v>
      </c>
      <c r="K99" s="1" t="s">
        <v>104</v>
      </c>
      <c r="L99" s="1" t="s">
        <v>260</v>
      </c>
      <c r="M99" s="1" t="n">
        <v>24248461152</v>
      </c>
      <c r="N99" s="1" t="n">
        <v>4672.28</v>
      </c>
      <c r="O99" s="1" t="n">
        <v>467.96</v>
      </c>
      <c r="P99" s="1" t="s">
        <v>1280</v>
      </c>
      <c r="Q99" s="1" t="s">
        <v>100</v>
      </c>
      <c r="S99" s="1" t="s">
        <v>1004</v>
      </c>
      <c r="T99" s="1" t="s">
        <v>1274</v>
      </c>
      <c r="V99" s="1" t="s">
        <v>1288</v>
      </c>
      <c r="W99" s="1" t="s">
        <v>1276</v>
      </c>
    </row>
    <row r="100" customFormat="false" ht="15" hidden="false" customHeight="true" outlineLevel="0" collapsed="false">
      <c r="A100" s="1" t="n">
        <v>0.826341</v>
      </c>
      <c r="B100" s="1" t="s">
        <v>1129</v>
      </c>
      <c r="C100" s="1" t="n">
        <v>5615.5</v>
      </c>
      <c r="D100" s="1" t="n">
        <v>4640.32</v>
      </c>
      <c r="E100" s="1" t="n">
        <v>5615.5</v>
      </c>
      <c r="F100" s="172" t="n">
        <v>0.826341</v>
      </c>
      <c r="G100" s="1" t="s">
        <v>123</v>
      </c>
      <c r="H100" s="1" t="s">
        <v>139</v>
      </c>
      <c r="I100" s="1" t="n">
        <v>4899466830</v>
      </c>
      <c r="J100" s="1" t="s">
        <v>1242</v>
      </c>
      <c r="K100" s="1" t="s">
        <v>104</v>
      </c>
      <c r="L100" s="1" t="s">
        <v>139</v>
      </c>
      <c r="M100" s="1" t="n">
        <v>4899466830</v>
      </c>
      <c r="N100" s="1" t="n">
        <v>4640.32</v>
      </c>
      <c r="O100" s="1" t="n">
        <v>467.96</v>
      </c>
      <c r="P100" s="1" t="s">
        <v>1277</v>
      </c>
      <c r="Q100" s="1" t="s">
        <v>108</v>
      </c>
      <c r="S100" s="1" t="s">
        <v>1278</v>
      </c>
      <c r="T100" s="1" t="s">
        <v>1279</v>
      </c>
      <c r="V100" s="1" t="s">
        <v>1288</v>
      </c>
      <c r="W100" s="1" t="s">
        <v>1276</v>
      </c>
    </row>
    <row r="101" customFormat="false" ht="15" hidden="false" customHeight="true" outlineLevel="0" collapsed="false">
      <c r="A101" s="1" t="n">
        <v>0.512482</v>
      </c>
      <c r="B101" s="1" t="s">
        <v>1130</v>
      </c>
      <c r="C101" s="1" t="n">
        <v>9000</v>
      </c>
      <c r="D101" s="1" t="n">
        <v>4612.34</v>
      </c>
      <c r="E101" s="1" t="n">
        <v>9000</v>
      </c>
      <c r="F101" s="172" t="n">
        <v>0.512482</v>
      </c>
      <c r="G101" s="1" t="s">
        <v>276</v>
      </c>
      <c r="H101" s="1" t="s">
        <v>109</v>
      </c>
      <c r="I101" s="1" t="n">
        <v>41992150461</v>
      </c>
      <c r="J101" s="1" t="s">
        <v>1243</v>
      </c>
      <c r="K101" s="1" t="s">
        <v>276</v>
      </c>
      <c r="L101" s="1" t="s">
        <v>109</v>
      </c>
      <c r="M101" s="1" t="n">
        <v>41992150461</v>
      </c>
      <c r="N101" s="1" t="n">
        <v>4612.34</v>
      </c>
      <c r="O101" s="1" t="n">
        <v>750</v>
      </c>
      <c r="P101" s="1" t="s">
        <v>1277</v>
      </c>
      <c r="Q101" s="1" t="s">
        <v>184</v>
      </c>
      <c r="S101" s="1" t="s">
        <v>1278</v>
      </c>
      <c r="T101" s="1" t="s">
        <v>1274</v>
      </c>
      <c r="V101" s="1" t="s">
        <v>1288</v>
      </c>
      <c r="W101" s="1" t="s">
        <v>1284</v>
      </c>
    </row>
    <row r="102" customFormat="false" ht="15" hidden="false" customHeight="true" outlineLevel="0" collapsed="false">
      <c r="A102" s="1" t="n">
        <v>0.820475</v>
      </c>
      <c r="B102" s="1" t="s">
        <v>1129</v>
      </c>
      <c r="C102" s="1" t="n">
        <v>5615.5</v>
      </c>
      <c r="D102" s="1" t="n">
        <v>4607.38</v>
      </c>
      <c r="E102" s="1" t="n">
        <v>5615.5</v>
      </c>
      <c r="F102" s="172" t="n">
        <v>0.820475</v>
      </c>
      <c r="G102" s="1" t="s">
        <v>123</v>
      </c>
      <c r="H102" s="1" t="s">
        <v>187</v>
      </c>
      <c r="I102" s="1" t="n">
        <v>81999226106</v>
      </c>
      <c r="J102" s="1" t="s">
        <v>1242</v>
      </c>
      <c r="K102" s="1" t="s">
        <v>104</v>
      </c>
      <c r="L102" s="1" t="s">
        <v>187</v>
      </c>
      <c r="M102" s="1" t="n">
        <v>81999226106</v>
      </c>
      <c r="N102" s="1" t="n">
        <v>4607.38</v>
      </c>
      <c r="O102" s="1" t="n">
        <v>467.96</v>
      </c>
      <c r="P102" s="1" t="s">
        <v>1282</v>
      </c>
      <c r="Q102" s="1" t="s">
        <v>100</v>
      </c>
      <c r="S102" s="1" t="s">
        <v>1004</v>
      </c>
      <c r="T102" s="1" t="s">
        <v>1274</v>
      </c>
      <c r="V102" s="1" t="s">
        <v>1288</v>
      </c>
      <c r="W102" s="1" t="s">
        <v>1276</v>
      </c>
    </row>
    <row r="103" customFormat="false" ht="15" hidden="false" customHeight="true" outlineLevel="0" collapsed="false">
      <c r="A103" s="1" t="n">
        <v>0.808398</v>
      </c>
      <c r="B103" s="1" t="s">
        <v>1129</v>
      </c>
      <c r="C103" s="1" t="n">
        <v>5615.5</v>
      </c>
      <c r="D103" s="1" t="n">
        <v>4539.56</v>
      </c>
      <c r="E103" s="1" t="n">
        <v>5615.5</v>
      </c>
      <c r="F103" s="172" t="n">
        <v>0.808398</v>
      </c>
      <c r="G103" s="1" t="s">
        <v>123</v>
      </c>
      <c r="H103" s="1" t="s">
        <v>347</v>
      </c>
      <c r="I103" s="1" t="n">
        <v>86999385815</v>
      </c>
      <c r="J103" s="1" t="s">
        <v>1242</v>
      </c>
      <c r="K103" s="1" t="s">
        <v>104</v>
      </c>
      <c r="L103" s="1" t="s">
        <v>347</v>
      </c>
      <c r="M103" s="1" t="n">
        <v>86999385815</v>
      </c>
      <c r="N103" s="1" t="n">
        <v>4539.56</v>
      </c>
      <c r="O103" s="1" t="n">
        <v>467.96</v>
      </c>
      <c r="P103" s="1" t="s">
        <v>1282</v>
      </c>
      <c r="Q103" s="1" t="s">
        <v>100</v>
      </c>
      <c r="S103" s="1" t="s">
        <v>1278</v>
      </c>
      <c r="T103" s="1" t="s">
        <v>1274</v>
      </c>
      <c r="V103" s="1" t="s">
        <v>1290</v>
      </c>
      <c r="W103" s="1" t="s">
        <v>1276</v>
      </c>
    </row>
    <row r="104" customFormat="false" ht="15" hidden="false" customHeight="true" outlineLevel="0" collapsed="false">
      <c r="A104" s="1" t="n">
        <v>0.796847</v>
      </c>
      <c r="B104" s="1" t="s">
        <v>1129</v>
      </c>
      <c r="C104" s="1" t="n">
        <v>5615.5</v>
      </c>
      <c r="D104" s="1" t="n">
        <v>4474.7</v>
      </c>
      <c r="E104" s="1" t="n">
        <v>5615.5</v>
      </c>
      <c r="F104" s="172" t="n">
        <v>0.796847</v>
      </c>
      <c r="G104" s="1" t="s">
        <v>123</v>
      </c>
      <c r="H104" s="1" t="s">
        <v>281</v>
      </c>
      <c r="I104" s="1" t="n">
        <v>6334120602</v>
      </c>
      <c r="J104" s="1" t="s">
        <v>1242</v>
      </c>
      <c r="K104" s="1" t="s">
        <v>104</v>
      </c>
      <c r="L104" s="1" t="s">
        <v>281</v>
      </c>
      <c r="M104" s="1" t="n">
        <v>6334120602</v>
      </c>
      <c r="N104" s="1" t="n">
        <v>4474.7</v>
      </c>
      <c r="O104" s="1" t="n">
        <v>467.96</v>
      </c>
      <c r="P104" s="1" t="s">
        <v>1273</v>
      </c>
      <c r="Q104" s="1" t="s">
        <v>100</v>
      </c>
      <c r="S104" s="1" t="s">
        <v>1004</v>
      </c>
      <c r="T104" s="1" t="s">
        <v>1274</v>
      </c>
      <c r="V104" s="1" t="s">
        <v>1290</v>
      </c>
      <c r="W104" s="1" t="s">
        <v>1276</v>
      </c>
    </row>
    <row r="105" customFormat="false" ht="15" hidden="false" customHeight="true" outlineLevel="0" collapsed="false">
      <c r="A105" s="1" t="n">
        <v>0.377109</v>
      </c>
      <c r="B105" s="1" t="s">
        <v>1131</v>
      </c>
      <c r="C105" s="1" t="n">
        <v>11700</v>
      </c>
      <c r="D105" s="1" t="n">
        <v>4412.17</v>
      </c>
      <c r="E105" s="1" t="n">
        <v>11700</v>
      </c>
      <c r="F105" s="172" t="n">
        <v>0.377109</v>
      </c>
      <c r="G105" s="1" t="s">
        <v>120</v>
      </c>
      <c r="H105" s="1" t="s">
        <v>119</v>
      </c>
      <c r="I105" s="1" t="n">
        <v>1433016896</v>
      </c>
      <c r="J105" s="1" t="s">
        <v>1244</v>
      </c>
      <c r="K105" s="1" t="s">
        <v>120</v>
      </c>
      <c r="L105" s="1" t="s">
        <v>119</v>
      </c>
      <c r="M105" s="1" t="n">
        <v>1433016896</v>
      </c>
      <c r="N105" s="1" t="n">
        <v>4412.17</v>
      </c>
      <c r="O105" s="1" t="n">
        <v>975</v>
      </c>
      <c r="P105" s="1" t="s">
        <v>1286</v>
      </c>
      <c r="Q105" s="1" t="s">
        <v>100</v>
      </c>
      <c r="S105" s="1" t="s">
        <v>1004</v>
      </c>
      <c r="T105" s="1" t="s">
        <v>1274</v>
      </c>
      <c r="V105" s="1" t="s">
        <v>1290</v>
      </c>
      <c r="W105" s="1" t="s">
        <v>1284</v>
      </c>
    </row>
    <row r="106" customFormat="false" ht="15" hidden="false" customHeight="true" outlineLevel="0" collapsed="false">
      <c r="A106" s="1" t="n">
        <v>0.784841</v>
      </c>
      <c r="B106" s="1" t="s">
        <v>1129</v>
      </c>
      <c r="C106" s="1" t="n">
        <v>5615.5</v>
      </c>
      <c r="D106" s="1" t="n">
        <v>4407.28</v>
      </c>
      <c r="E106" s="1" t="n">
        <v>5615.5</v>
      </c>
      <c r="F106" s="172" t="n">
        <v>0.784841</v>
      </c>
      <c r="G106" s="1" t="s">
        <v>123</v>
      </c>
      <c r="H106" s="1" t="s">
        <v>260</v>
      </c>
      <c r="I106" s="1" t="n">
        <v>21996572344</v>
      </c>
      <c r="J106" s="1" t="s">
        <v>1242</v>
      </c>
      <c r="K106" s="1" t="s">
        <v>104</v>
      </c>
      <c r="L106" s="1" t="s">
        <v>260</v>
      </c>
      <c r="M106" s="1" t="n">
        <v>21996572344</v>
      </c>
      <c r="N106" s="1" t="n">
        <v>4407.28</v>
      </c>
      <c r="O106" s="1" t="n">
        <v>467.96</v>
      </c>
      <c r="P106" s="1" t="s">
        <v>1280</v>
      </c>
      <c r="Q106" s="1" t="s">
        <v>100</v>
      </c>
      <c r="S106" s="1" t="s">
        <v>1004</v>
      </c>
      <c r="T106" s="1" t="s">
        <v>1274</v>
      </c>
      <c r="V106" s="1" t="s">
        <v>1290</v>
      </c>
      <c r="W106" s="1" t="s">
        <v>1276</v>
      </c>
    </row>
    <row r="107" customFormat="false" ht="15" hidden="false" customHeight="true" outlineLevel="0" collapsed="false">
      <c r="A107" s="1" t="n">
        <v>0.781586</v>
      </c>
      <c r="B107" s="1" t="s">
        <v>1129</v>
      </c>
      <c r="C107" s="1" t="n">
        <v>5615.5</v>
      </c>
      <c r="D107" s="1" t="n">
        <v>4389</v>
      </c>
      <c r="E107" s="1" t="n">
        <v>5615.5</v>
      </c>
      <c r="F107" s="172" t="n">
        <v>0.781586</v>
      </c>
      <c r="G107" s="1" t="s">
        <v>123</v>
      </c>
      <c r="H107" s="1" t="s">
        <v>119</v>
      </c>
      <c r="I107" s="1" t="n">
        <v>1141872356</v>
      </c>
      <c r="J107" s="1" t="s">
        <v>1242</v>
      </c>
      <c r="K107" s="1" t="s">
        <v>104</v>
      </c>
      <c r="L107" s="1" t="s">
        <v>119</v>
      </c>
      <c r="M107" s="1" t="n">
        <v>1141872356</v>
      </c>
      <c r="N107" s="1" t="n">
        <v>4389</v>
      </c>
      <c r="O107" s="1" t="n">
        <v>467.96</v>
      </c>
      <c r="P107" s="1" t="s">
        <v>1285</v>
      </c>
      <c r="Q107" s="1" t="s">
        <v>100</v>
      </c>
      <c r="S107" s="1" t="s">
        <v>1004</v>
      </c>
      <c r="T107" s="1" t="s">
        <v>1274</v>
      </c>
      <c r="V107" s="1" t="s">
        <v>1290</v>
      </c>
      <c r="W107" s="1" t="s">
        <v>1276</v>
      </c>
    </row>
    <row r="108" customFormat="false" ht="15" hidden="false" customHeight="true" outlineLevel="0" collapsed="false">
      <c r="A108" s="1" t="n">
        <v>0.372439</v>
      </c>
      <c r="B108" s="1" t="s">
        <v>1131</v>
      </c>
      <c r="C108" s="1" t="n">
        <v>11700</v>
      </c>
      <c r="D108" s="1" t="n">
        <v>4357.54</v>
      </c>
      <c r="E108" s="1" t="n">
        <v>11700</v>
      </c>
      <c r="F108" s="172" t="n">
        <v>0.372439</v>
      </c>
      <c r="G108" s="1" t="s">
        <v>120</v>
      </c>
      <c r="H108" s="1" t="s">
        <v>260</v>
      </c>
      <c r="I108" s="1" t="n">
        <v>2225231684</v>
      </c>
      <c r="J108" s="1" t="s">
        <v>1244</v>
      </c>
      <c r="K108" s="1" t="s">
        <v>120</v>
      </c>
      <c r="L108" s="1" t="s">
        <v>260</v>
      </c>
      <c r="M108" s="1" t="n">
        <v>2225231684</v>
      </c>
      <c r="N108" s="1" t="n">
        <v>4357.54</v>
      </c>
      <c r="O108" s="1" t="n">
        <v>975</v>
      </c>
      <c r="P108" s="1" t="s">
        <v>1286</v>
      </c>
      <c r="Q108" s="1" t="s">
        <v>108</v>
      </c>
      <c r="S108" s="1" t="s">
        <v>1278</v>
      </c>
      <c r="T108" s="1" t="s">
        <v>1279</v>
      </c>
      <c r="V108" s="1" t="s">
        <v>1290</v>
      </c>
      <c r="W108" s="1" t="s">
        <v>1284</v>
      </c>
    </row>
    <row r="109" customFormat="false" ht="15" hidden="false" customHeight="true" outlineLevel="0" collapsed="false">
      <c r="A109" s="1" t="n">
        <v>0.768444</v>
      </c>
      <c r="B109" s="1" t="s">
        <v>1129</v>
      </c>
      <c r="C109" s="1" t="n">
        <v>5615.5</v>
      </c>
      <c r="D109" s="1" t="n">
        <v>4315.2</v>
      </c>
      <c r="E109" s="1" t="n">
        <v>5615.5</v>
      </c>
      <c r="F109" s="172" t="n">
        <v>0.768444</v>
      </c>
      <c r="G109" s="1" t="s">
        <v>123</v>
      </c>
      <c r="H109" s="1" t="s">
        <v>260</v>
      </c>
      <c r="I109" s="1" t="n">
        <v>2125687899</v>
      </c>
      <c r="J109" s="1" t="s">
        <v>1242</v>
      </c>
      <c r="K109" s="1" t="s">
        <v>104</v>
      </c>
      <c r="L109" s="1" t="s">
        <v>260</v>
      </c>
      <c r="M109" s="1" t="n">
        <v>2125687899</v>
      </c>
      <c r="N109" s="1" t="n">
        <v>4315.2</v>
      </c>
      <c r="O109" s="1" t="n">
        <v>467.96</v>
      </c>
      <c r="P109" s="1" t="s">
        <v>1280</v>
      </c>
      <c r="Q109" s="1" t="s">
        <v>100</v>
      </c>
      <c r="S109" s="1" t="s">
        <v>1004</v>
      </c>
      <c r="T109" s="1" t="s">
        <v>1274</v>
      </c>
      <c r="V109" s="1" t="s">
        <v>1290</v>
      </c>
      <c r="W109" s="1" t="s">
        <v>1276</v>
      </c>
    </row>
    <row r="110" customFormat="false" ht="15" hidden="false" customHeight="true" outlineLevel="0" collapsed="false">
      <c r="A110" s="1" t="n">
        <v>0.765853</v>
      </c>
      <c r="B110" s="1" t="s">
        <v>1129</v>
      </c>
      <c r="C110" s="1" t="n">
        <v>5615.5</v>
      </c>
      <c r="D110" s="1" t="n">
        <v>4300.65</v>
      </c>
      <c r="E110" s="1" t="n">
        <v>5615.5</v>
      </c>
      <c r="F110" s="172" t="n">
        <v>0.765853</v>
      </c>
      <c r="G110" s="1" t="s">
        <v>123</v>
      </c>
      <c r="H110" s="1" t="s">
        <v>109</v>
      </c>
      <c r="I110" s="1" t="n">
        <v>4191786674</v>
      </c>
      <c r="J110" s="1" t="s">
        <v>1242</v>
      </c>
      <c r="K110" s="1" t="s">
        <v>104</v>
      </c>
      <c r="L110" s="1" t="s">
        <v>109</v>
      </c>
      <c r="M110" s="1" t="n">
        <v>4191786674</v>
      </c>
      <c r="N110" s="1" t="n">
        <v>4300.65</v>
      </c>
      <c r="O110" s="1" t="n">
        <v>467.96</v>
      </c>
      <c r="P110" s="1" t="s">
        <v>1277</v>
      </c>
      <c r="Q110" s="1" t="s">
        <v>108</v>
      </c>
      <c r="S110" s="1" t="s">
        <v>1278</v>
      </c>
      <c r="T110" s="1" t="s">
        <v>1279</v>
      </c>
      <c r="V110" s="1" t="s">
        <v>1290</v>
      </c>
      <c r="W110" s="1" t="s">
        <v>1276</v>
      </c>
    </row>
    <row r="111" customFormat="false" ht="15" hidden="false" customHeight="true" outlineLevel="0" collapsed="false">
      <c r="A111" s="1" t="n">
        <v>0.747153</v>
      </c>
      <c r="B111" s="1" t="s">
        <v>1129</v>
      </c>
      <c r="C111" s="1" t="n">
        <v>5615.5</v>
      </c>
      <c r="D111" s="1" t="n">
        <v>4195.64</v>
      </c>
      <c r="E111" s="1" t="n">
        <v>5615.5</v>
      </c>
      <c r="F111" s="172" t="n">
        <v>0.747153</v>
      </c>
      <c r="G111" s="1" t="s">
        <v>123</v>
      </c>
      <c r="H111" s="1" t="s">
        <v>109</v>
      </c>
      <c r="I111" s="1" t="n">
        <v>4599791742</v>
      </c>
      <c r="J111" s="1" t="s">
        <v>1242</v>
      </c>
      <c r="K111" s="1" t="s">
        <v>104</v>
      </c>
      <c r="L111" s="1" t="s">
        <v>109</v>
      </c>
      <c r="M111" s="1" t="n">
        <v>4599791742</v>
      </c>
      <c r="N111" s="1" t="n">
        <v>4195.64</v>
      </c>
      <c r="O111" s="1" t="n">
        <v>467.96</v>
      </c>
      <c r="P111" s="1" t="s">
        <v>1277</v>
      </c>
      <c r="Q111" s="1" t="s">
        <v>108</v>
      </c>
      <c r="S111" s="1" t="s">
        <v>1278</v>
      </c>
      <c r="T111" s="1" t="s">
        <v>1279</v>
      </c>
      <c r="V111" s="1" t="s">
        <v>1290</v>
      </c>
      <c r="W111" s="1" t="s">
        <v>1276</v>
      </c>
    </row>
    <row r="112" customFormat="false" ht="15" hidden="false" customHeight="true" outlineLevel="0" collapsed="false">
      <c r="A112" s="1" t="n">
        <v>0.386618</v>
      </c>
      <c r="B112" s="1" t="s">
        <v>1131</v>
      </c>
      <c r="C112" s="1" t="n">
        <v>10706.9</v>
      </c>
      <c r="D112" s="1" t="n">
        <v>4139.48</v>
      </c>
      <c r="E112" s="1" t="n">
        <v>10706.9</v>
      </c>
      <c r="F112" s="172" t="n">
        <v>0.386618</v>
      </c>
      <c r="G112" s="1" t="s">
        <v>66</v>
      </c>
      <c r="H112" s="1" t="s">
        <v>196</v>
      </c>
      <c r="I112" s="1" t="n">
        <v>53991811072</v>
      </c>
      <c r="J112" s="1" t="s">
        <v>1244</v>
      </c>
      <c r="K112" s="1" t="s">
        <v>66</v>
      </c>
      <c r="L112" s="1" t="s">
        <v>196</v>
      </c>
      <c r="M112" s="1" t="n">
        <v>53991811072</v>
      </c>
      <c r="N112" s="1" t="n">
        <v>4139.48</v>
      </c>
      <c r="O112" s="1" t="n">
        <v>892.24</v>
      </c>
      <c r="P112" s="1" t="s">
        <v>1286</v>
      </c>
      <c r="Q112" s="1" t="s">
        <v>175</v>
      </c>
      <c r="S112" s="1" t="s">
        <v>1287</v>
      </c>
      <c r="T112" s="1" t="s">
        <v>1274</v>
      </c>
      <c r="V112" s="1" t="s">
        <v>1290</v>
      </c>
      <c r="W112" s="1" t="s">
        <v>1284</v>
      </c>
    </row>
    <row r="113" customFormat="false" ht="15" hidden="false" customHeight="true" outlineLevel="0" collapsed="false">
      <c r="A113" s="1" t="n">
        <v>0.729694</v>
      </c>
      <c r="B113" s="1" t="s">
        <v>1129</v>
      </c>
      <c r="C113" s="1" t="n">
        <v>5615.5</v>
      </c>
      <c r="D113" s="1" t="n">
        <v>4097.6</v>
      </c>
      <c r="E113" s="1" t="n">
        <v>5615.5</v>
      </c>
      <c r="F113" s="172" t="n">
        <v>0.729694</v>
      </c>
      <c r="G113" s="1" t="s">
        <v>123</v>
      </c>
      <c r="H113" s="1" t="s">
        <v>263</v>
      </c>
      <c r="I113" s="1" t="n">
        <v>17991844024</v>
      </c>
      <c r="J113" s="1" t="s">
        <v>1242</v>
      </c>
      <c r="K113" s="1" t="s">
        <v>104</v>
      </c>
      <c r="L113" s="1" t="s">
        <v>263</v>
      </c>
      <c r="M113" s="1" t="n">
        <v>17991844024</v>
      </c>
      <c r="N113" s="1" t="n">
        <v>4097.6</v>
      </c>
      <c r="O113" s="1" t="n">
        <v>467.96</v>
      </c>
      <c r="P113" s="1" t="s">
        <v>1273</v>
      </c>
      <c r="Q113" s="1" t="s">
        <v>100</v>
      </c>
      <c r="S113" s="1" t="s">
        <v>1004</v>
      </c>
      <c r="T113" s="1" t="s">
        <v>1274</v>
      </c>
      <c r="V113" s="1" t="s">
        <v>1290</v>
      </c>
      <c r="W113" s="1" t="s">
        <v>1276</v>
      </c>
    </row>
    <row r="114" customFormat="false" ht="15" hidden="false" customHeight="true" outlineLevel="0" collapsed="false">
      <c r="A114" s="1" t="n">
        <v>0.726542</v>
      </c>
      <c r="B114" s="1" t="s">
        <v>1129</v>
      </c>
      <c r="C114" s="1" t="n">
        <v>5615.5</v>
      </c>
      <c r="D114" s="1" t="n">
        <v>4079.9</v>
      </c>
      <c r="E114" s="1" t="n">
        <v>5615.5</v>
      </c>
      <c r="F114" s="172" t="n">
        <v>0.726542</v>
      </c>
      <c r="G114" s="1" t="s">
        <v>123</v>
      </c>
      <c r="H114" s="1" t="s">
        <v>196</v>
      </c>
      <c r="I114" s="1" t="n">
        <v>5391064552</v>
      </c>
      <c r="J114" s="1" t="s">
        <v>1242</v>
      </c>
      <c r="K114" s="1" t="s">
        <v>104</v>
      </c>
      <c r="L114" s="1" t="s">
        <v>196</v>
      </c>
      <c r="M114" s="1" t="n">
        <v>5391064552</v>
      </c>
      <c r="N114" s="1" t="n">
        <v>4079.9</v>
      </c>
      <c r="O114" s="1" t="n">
        <v>467.96</v>
      </c>
      <c r="P114" s="1" t="s">
        <v>1277</v>
      </c>
      <c r="Q114" s="1" t="s">
        <v>108</v>
      </c>
      <c r="S114" s="1" t="s">
        <v>1278</v>
      </c>
      <c r="T114" s="1" t="s">
        <v>1279</v>
      </c>
      <c r="V114" s="1" t="s">
        <v>1290</v>
      </c>
      <c r="W114" s="1" t="s">
        <v>1276</v>
      </c>
    </row>
    <row r="115" customFormat="false" ht="15" hidden="false" customHeight="true" outlineLevel="0" collapsed="false">
      <c r="A115" s="1" t="n">
        <v>0.713738</v>
      </c>
      <c r="B115" s="1" t="s">
        <v>1129</v>
      </c>
      <c r="C115" s="1" t="n">
        <v>5615.5</v>
      </c>
      <c r="D115" s="1" t="n">
        <v>4008</v>
      </c>
      <c r="E115" s="1" t="n">
        <v>5615.5</v>
      </c>
      <c r="F115" s="172" t="n">
        <v>0.713738</v>
      </c>
      <c r="G115" s="1" t="s">
        <v>123</v>
      </c>
      <c r="H115" s="1" t="s">
        <v>119</v>
      </c>
      <c r="I115" s="1" t="n">
        <v>1143288977</v>
      </c>
      <c r="J115" s="1" t="s">
        <v>1242</v>
      </c>
      <c r="K115" s="1" t="s">
        <v>104</v>
      </c>
      <c r="L115" s="1" t="s">
        <v>119</v>
      </c>
      <c r="M115" s="1" t="n">
        <v>1143288977</v>
      </c>
      <c r="N115" s="1" t="n">
        <v>4008</v>
      </c>
      <c r="O115" s="1" t="n">
        <v>467.96</v>
      </c>
      <c r="P115" s="1" t="s">
        <v>1285</v>
      </c>
      <c r="Q115" s="1" t="s">
        <v>108</v>
      </c>
      <c r="S115" s="1" t="s">
        <v>1278</v>
      </c>
      <c r="T115" s="1" t="s">
        <v>1279</v>
      </c>
      <c r="V115" s="1" t="s">
        <v>1290</v>
      </c>
      <c r="W115" s="1" t="s">
        <v>1276</v>
      </c>
    </row>
    <row r="116" customFormat="false" ht="15" hidden="false" customHeight="true" outlineLevel="0" collapsed="false">
      <c r="A116" s="1" t="n">
        <v>0.36388</v>
      </c>
      <c r="B116" s="1" t="s">
        <v>1131</v>
      </c>
      <c r="C116" s="1" t="n">
        <v>10875</v>
      </c>
      <c r="D116" s="1" t="n">
        <v>3957.2</v>
      </c>
      <c r="E116" s="1" t="n">
        <v>10875</v>
      </c>
      <c r="F116" s="172" t="n">
        <v>0.36388</v>
      </c>
      <c r="G116" s="1" t="s">
        <v>102</v>
      </c>
      <c r="H116" s="1" t="s">
        <v>139</v>
      </c>
      <c r="I116" s="1" t="n">
        <v>11952819565</v>
      </c>
      <c r="J116" s="1" t="s">
        <v>1244</v>
      </c>
      <c r="K116" s="1" t="s">
        <v>102</v>
      </c>
      <c r="L116" s="1" t="s">
        <v>139</v>
      </c>
      <c r="M116" s="1" t="n">
        <v>11952819565</v>
      </c>
      <c r="N116" s="1" t="n">
        <v>3957.2</v>
      </c>
      <c r="O116" s="1" t="n">
        <v>906.25</v>
      </c>
      <c r="P116" s="1" t="s">
        <v>1286</v>
      </c>
      <c r="Q116" s="1" t="s">
        <v>175</v>
      </c>
      <c r="S116" s="1" t="s">
        <v>1287</v>
      </c>
      <c r="T116" s="1" t="s">
        <v>1274</v>
      </c>
      <c r="V116" s="1" t="s">
        <v>1290</v>
      </c>
      <c r="W116" s="1" t="s">
        <v>1284</v>
      </c>
    </row>
    <row r="117" customFormat="false" ht="15" hidden="false" customHeight="true" outlineLevel="0" collapsed="false">
      <c r="A117" s="1" t="n">
        <v>0.701141</v>
      </c>
      <c r="B117" s="1" t="s">
        <v>1129</v>
      </c>
      <c r="C117" s="1" t="n">
        <v>5615.5</v>
      </c>
      <c r="D117" s="1" t="n">
        <v>3937.26</v>
      </c>
      <c r="E117" s="1" t="n">
        <v>5615.5</v>
      </c>
      <c r="F117" s="172" t="n">
        <v>0.701141</v>
      </c>
      <c r="G117" s="1" t="s">
        <v>123</v>
      </c>
      <c r="H117" s="1" t="s">
        <v>139</v>
      </c>
      <c r="I117" s="1" t="n">
        <v>48999658556</v>
      </c>
      <c r="J117" s="1" t="s">
        <v>1242</v>
      </c>
      <c r="K117" s="1" t="s">
        <v>104</v>
      </c>
      <c r="L117" s="1" t="s">
        <v>139</v>
      </c>
      <c r="M117" s="1" t="n">
        <v>48999658556</v>
      </c>
      <c r="N117" s="1" t="n">
        <v>3937.26</v>
      </c>
      <c r="O117" s="1" t="n">
        <v>467.96</v>
      </c>
      <c r="P117" s="1" t="s">
        <v>1277</v>
      </c>
      <c r="Q117" s="1" t="s">
        <v>108</v>
      </c>
      <c r="S117" s="1" t="s">
        <v>1278</v>
      </c>
      <c r="T117" s="1" t="s">
        <v>1279</v>
      </c>
      <c r="V117" s="1" t="s">
        <v>1290</v>
      </c>
      <c r="W117" s="1" t="s">
        <v>1276</v>
      </c>
    </row>
    <row r="118" customFormat="false" ht="15" hidden="false" customHeight="true" outlineLevel="0" collapsed="false">
      <c r="A118" s="1" t="n">
        <v>0.701063</v>
      </c>
      <c r="B118" s="1" t="s">
        <v>1129</v>
      </c>
      <c r="C118" s="1" t="n">
        <v>5615.5</v>
      </c>
      <c r="D118" s="1" t="n">
        <v>3936.82</v>
      </c>
      <c r="E118" s="1" t="n">
        <v>5615.5</v>
      </c>
      <c r="F118" s="172" t="n">
        <v>0.701063</v>
      </c>
      <c r="G118" s="1" t="s">
        <v>123</v>
      </c>
      <c r="H118" s="1" t="s">
        <v>243</v>
      </c>
      <c r="I118" s="1" t="n">
        <v>77991192548</v>
      </c>
      <c r="J118" s="1" t="s">
        <v>1242</v>
      </c>
      <c r="K118" s="1" t="s">
        <v>104</v>
      </c>
      <c r="L118" s="1" t="s">
        <v>243</v>
      </c>
      <c r="M118" s="1" t="n">
        <v>77991192548</v>
      </c>
      <c r="N118" s="1" t="n">
        <v>3936.82</v>
      </c>
      <c r="O118" s="1" t="n">
        <v>467.96</v>
      </c>
      <c r="P118" s="1" t="s">
        <v>1282</v>
      </c>
      <c r="Q118" s="1" t="s">
        <v>108</v>
      </c>
      <c r="S118" s="1" t="s">
        <v>1278</v>
      </c>
      <c r="T118" s="1" t="s">
        <v>1279</v>
      </c>
      <c r="V118" s="1" t="s">
        <v>1290</v>
      </c>
      <c r="W118" s="1" t="s">
        <v>1276</v>
      </c>
    </row>
    <row r="119" customFormat="false" ht="15" hidden="false" customHeight="true" outlineLevel="0" collapsed="false">
      <c r="A119" s="1" t="n">
        <v>0.688547</v>
      </c>
      <c r="B119" s="1" t="s">
        <v>1129</v>
      </c>
      <c r="C119" s="1" t="n">
        <v>5615.5</v>
      </c>
      <c r="D119" s="1" t="n">
        <v>3866.54</v>
      </c>
      <c r="E119" s="1" t="n">
        <v>5615.5</v>
      </c>
      <c r="F119" s="172" t="n">
        <v>0.688547</v>
      </c>
      <c r="G119" s="1" t="s">
        <v>123</v>
      </c>
      <c r="H119" s="1" t="s">
        <v>127</v>
      </c>
      <c r="I119" s="1" t="n">
        <v>6291825564</v>
      </c>
      <c r="J119" s="1" t="s">
        <v>1242</v>
      </c>
      <c r="K119" s="1" t="s">
        <v>104</v>
      </c>
      <c r="L119" s="1" t="s">
        <v>127</v>
      </c>
      <c r="M119" s="1" t="n">
        <v>6291825564</v>
      </c>
      <c r="N119" s="1" t="n">
        <v>3866.54</v>
      </c>
      <c r="O119" s="1" t="n">
        <v>467.96</v>
      </c>
      <c r="P119" s="1" t="s">
        <v>1273</v>
      </c>
      <c r="Q119" s="1" t="s">
        <v>100</v>
      </c>
      <c r="S119" s="1" t="s">
        <v>1004</v>
      </c>
      <c r="T119" s="1" t="s">
        <v>1274</v>
      </c>
      <c r="V119" s="1" t="s">
        <v>1290</v>
      </c>
      <c r="W119" s="1" t="s">
        <v>1276</v>
      </c>
    </row>
    <row r="120" customFormat="false" ht="15" hidden="false" customHeight="true" outlineLevel="0" collapsed="false">
      <c r="A120" s="1" t="n">
        <v>0.357494</v>
      </c>
      <c r="B120" s="1" t="s">
        <v>1131</v>
      </c>
      <c r="C120" s="1" t="n">
        <v>10706.9</v>
      </c>
      <c r="D120" s="1" t="n">
        <v>3827.65</v>
      </c>
      <c r="E120" s="1" t="n">
        <v>10706.9</v>
      </c>
      <c r="F120" s="172" t="n">
        <v>0.357494</v>
      </c>
      <c r="G120" s="1" t="s">
        <v>66</v>
      </c>
      <c r="H120" s="1" t="s">
        <v>139</v>
      </c>
      <c r="I120" s="1" t="n">
        <v>4984192453</v>
      </c>
      <c r="J120" s="1" t="s">
        <v>1244</v>
      </c>
      <c r="K120" s="1" t="s">
        <v>66</v>
      </c>
      <c r="L120" s="1" t="s">
        <v>139</v>
      </c>
      <c r="M120" s="1" t="n">
        <v>4984192453</v>
      </c>
      <c r="N120" s="1" t="n">
        <v>3827.65</v>
      </c>
      <c r="O120" s="1" t="n">
        <v>892.24</v>
      </c>
      <c r="P120" s="1" t="s">
        <v>1286</v>
      </c>
      <c r="Q120" s="1" t="s">
        <v>175</v>
      </c>
      <c r="S120" s="1" t="s">
        <v>1287</v>
      </c>
      <c r="T120" s="1" t="s">
        <v>1274</v>
      </c>
      <c r="V120" s="1" t="s">
        <v>1290</v>
      </c>
      <c r="W120" s="1" t="s">
        <v>1284</v>
      </c>
    </row>
    <row r="121" customFormat="false" ht="15" hidden="false" customHeight="true" outlineLevel="0" collapsed="false">
      <c r="A121" s="1" t="n">
        <v>0.679334</v>
      </c>
      <c r="B121" s="1" t="s">
        <v>1129</v>
      </c>
      <c r="C121" s="1" t="n">
        <v>5615.5</v>
      </c>
      <c r="D121" s="1" t="n">
        <v>3814.8</v>
      </c>
      <c r="E121" s="1" t="n">
        <v>5615.5</v>
      </c>
      <c r="F121" s="172" t="n">
        <v>0.679334</v>
      </c>
      <c r="G121" s="1" t="s">
        <v>123</v>
      </c>
      <c r="H121" s="1" t="s">
        <v>311</v>
      </c>
      <c r="I121" s="1" t="n">
        <v>61991077250</v>
      </c>
      <c r="J121" s="1" t="s">
        <v>1242</v>
      </c>
      <c r="K121" s="1" t="s">
        <v>104</v>
      </c>
      <c r="L121" s="1" t="s">
        <v>311</v>
      </c>
      <c r="M121" s="1" t="n">
        <v>61991077250</v>
      </c>
      <c r="N121" s="1" t="n">
        <v>3814.8</v>
      </c>
      <c r="O121" s="1" t="n">
        <v>467.96</v>
      </c>
      <c r="P121" s="1" t="s">
        <v>1273</v>
      </c>
      <c r="Q121" s="1" t="s">
        <v>100</v>
      </c>
      <c r="S121" s="1" t="s">
        <v>1004</v>
      </c>
      <c r="T121" s="1" t="s">
        <v>1274</v>
      </c>
      <c r="V121" s="1" t="s">
        <v>1290</v>
      </c>
      <c r="W121" s="1" t="s">
        <v>1276</v>
      </c>
    </row>
    <row r="122" customFormat="false" ht="15" hidden="false" customHeight="true" outlineLevel="0" collapsed="false">
      <c r="A122" s="1" t="n">
        <v>0.678197</v>
      </c>
      <c r="B122" s="1" t="s">
        <v>1129</v>
      </c>
      <c r="C122" s="1" t="n">
        <v>5615.5</v>
      </c>
      <c r="D122" s="1" t="n">
        <v>3808.42</v>
      </c>
      <c r="E122" s="1" t="n">
        <v>5615.5</v>
      </c>
      <c r="F122" s="172" t="n">
        <v>0.678197</v>
      </c>
      <c r="G122" s="1" t="s">
        <v>123</v>
      </c>
      <c r="H122" s="1" t="s">
        <v>114</v>
      </c>
      <c r="I122" s="1" t="n">
        <v>34998721908</v>
      </c>
      <c r="J122" s="1" t="s">
        <v>1242</v>
      </c>
      <c r="K122" s="1" t="s">
        <v>104</v>
      </c>
      <c r="L122" s="1" t="s">
        <v>114</v>
      </c>
      <c r="M122" s="1" t="n">
        <v>34998721908</v>
      </c>
      <c r="N122" s="1" t="n">
        <v>3808.42</v>
      </c>
      <c r="O122" s="1" t="n">
        <v>467.96</v>
      </c>
      <c r="P122" s="1" t="s">
        <v>1280</v>
      </c>
      <c r="Q122" s="1" t="s">
        <v>100</v>
      </c>
      <c r="S122" s="1" t="s">
        <v>1004</v>
      </c>
      <c r="T122" s="1" t="s">
        <v>1274</v>
      </c>
      <c r="V122" s="1" t="s">
        <v>1290</v>
      </c>
      <c r="W122" s="1" t="s">
        <v>1276</v>
      </c>
    </row>
    <row r="123" customFormat="false" ht="15" hidden="false" customHeight="true" outlineLevel="0" collapsed="false">
      <c r="A123" s="1" t="n">
        <v>0.673218</v>
      </c>
      <c r="B123" s="1" t="s">
        <v>1129</v>
      </c>
      <c r="C123" s="1" t="n">
        <v>5615.5</v>
      </c>
      <c r="D123" s="1" t="n">
        <v>3780.46</v>
      </c>
      <c r="E123" s="1" t="n">
        <v>5615.5</v>
      </c>
      <c r="F123" s="172" t="n">
        <v>0.673218</v>
      </c>
      <c r="G123" s="1" t="s">
        <v>123</v>
      </c>
      <c r="H123" s="1" t="s">
        <v>263</v>
      </c>
      <c r="I123" s="1" t="n">
        <v>6730291316</v>
      </c>
      <c r="J123" s="1" t="s">
        <v>1242</v>
      </c>
      <c r="K123" s="1" t="s">
        <v>104</v>
      </c>
      <c r="L123" s="1" t="s">
        <v>263</v>
      </c>
      <c r="M123" s="1" t="n">
        <v>6730291316</v>
      </c>
      <c r="N123" s="1" t="n">
        <v>3780.46</v>
      </c>
      <c r="O123" s="1" t="n">
        <v>467.96</v>
      </c>
      <c r="P123" s="1" t="s">
        <v>1273</v>
      </c>
      <c r="Q123" s="1" t="s">
        <v>100</v>
      </c>
      <c r="S123" s="1" t="s">
        <v>1004</v>
      </c>
      <c r="T123" s="1" t="s">
        <v>1274</v>
      </c>
      <c r="V123" s="1" t="s">
        <v>1290</v>
      </c>
      <c r="W123" s="1" t="s">
        <v>1276</v>
      </c>
    </row>
    <row r="124" customFormat="false" ht="15" hidden="false" customHeight="true" outlineLevel="0" collapsed="false">
      <c r="A124" s="1" t="n">
        <v>0.668846</v>
      </c>
      <c r="B124" s="1" t="s">
        <v>1129</v>
      </c>
      <c r="C124" s="1" t="n">
        <v>5615.5</v>
      </c>
      <c r="D124" s="1" t="n">
        <v>3755.91</v>
      </c>
      <c r="E124" s="1" t="n">
        <v>5615.5</v>
      </c>
      <c r="F124" s="172" t="n">
        <v>0.668846</v>
      </c>
      <c r="G124" s="1" t="s">
        <v>123</v>
      </c>
      <c r="H124" s="1" t="s">
        <v>196</v>
      </c>
      <c r="I124" s="1" t="n">
        <v>54996910111</v>
      </c>
      <c r="J124" s="1" t="s">
        <v>1242</v>
      </c>
      <c r="K124" s="1" t="s">
        <v>104</v>
      </c>
      <c r="L124" s="1" t="s">
        <v>196</v>
      </c>
      <c r="M124" s="1" t="n">
        <v>54996910111</v>
      </c>
      <c r="N124" s="1" t="n">
        <v>3755.91</v>
      </c>
      <c r="O124" s="1" t="n">
        <v>467.96</v>
      </c>
      <c r="P124" s="1" t="s">
        <v>1277</v>
      </c>
      <c r="Q124" s="1" t="s">
        <v>108</v>
      </c>
      <c r="S124" s="1" t="s">
        <v>1278</v>
      </c>
      <c r="T124" s="1" t="s">
        <v>1279</v>
      </c>
      <c r="V124" s="1" t="s">
        <v>1290</v>
      </c>
      <c r="W124" s="1" t="s">
        <v>1276</v>
      </c>
    </row>
    <row r="125" customFormat="false" ht="15" hidden="false" customHeight="true" outlineLevel="0" collapsed="false">
      <c r="A125" s="1" t="n">
        <v>0.667256</v>
      </c>
      <c r="B125" s="1" t="s">
        <v>1129</v>
      </c>
      <c r="C125" s="1" t="n">
        <v>5615.5</v>
      </c>
      <c r="D125" s="1" t="n">
        <v>3746.98</v>
      </c>
      <c r="E125" s="1" t="n">
        <v>5615.5</v>
      </c>
      <c r="F125" s="172" t="n">
        <v>0.667256</v>
      </c>
      <c r="G125" s="1" t="s">
        <v>123</v>
      </c>
      <c r="H125" s="1" t="s">
        <v>127</v>
      </c>
      <c r="I125" s="1" t="n">
        <v>62982750512</v>
      </c>
      <c r="J125" s="1" t="s">
        <v>1242</v>
      </c>
      <c r="K125" s="1" t="s">
        <v>104</v>
      </c>
      <c r="L125" s="1" t="s">
        <v>127</v>
      </c>
      <c r="M125" s="1" t="n">
        <v>62982750512</v>
      </c>
      <c r="N125" s="1" t="n">
        <v>3746.98</v>
      </c>
      <c r="O125" s="1" t="n">
        <v>467.96</v>
      </c>
      <c r="P125" s="1" t="s">
        <v>1273</v>
      </c>
      <c r="Q125" s="1" t="s">
        <v>100</v>
      </c>
      <c r="S125" s="1" t="s">
        <v>1278</v>
      </c>
      <c r="T125" s="1" t="s">
        <v>1274</v>
      </c>
      <c r="V125" s="1" t="s">
        <v>1290</v>
      </c>
      <c r="W125" s="1" t="s">
        <v>1276</v>
      </c>
    </row>
    <row r="126" customFormat="false" ht="15" hidden="false" customHeight="true" outlineLevel="0" collapsed="false">
      <c r="A126" s="1" t="n">
        <v>0.653434</v>
      </c>
      <c r="B126" s="1" t="s">
        <v>1129</v>
      </c>
      <c r="C126" s="1" t="n">
        <v>5615.5</v>
      </c>
      <c r="D126" s="1" t="n">
        <v>3669.36</v>
      </c>
      <c r="E126" s="1" t="n">
        <v>5615.5</v>
      </c>
      <c r="F126" s="172" t="n">
        <v>0.653434</v>
      </c>
      <c r="G126" s="1" t="s">
        <v>123</v>
      </c>
      <c r="H126" s="1" t="s">
        <v>119</v>
      </c>
      <c r="I126" s="1" t="n">
        <v>15997063738</v>
      </c>
      <c r="J126" s="1" t="s">
        <v>1242</v>
      </c>
      <c r="K126" s="1" t="s">
        <v>104</v>
      </c>
      <c r="L126" s="1" t="s">
        <v>119</v>
      </c>
      <c r="M126" s="1" t="n">
        <v>15997063738</v>
      </c>
      <c r="N126" s="1" t="n">
        <v>3669.36</v>
      </c>
      <c r="O126" s="1" t="n">
        <v>467.96</v>
      </c>
      <c r="P126" s="1" t="s">
        <v>1281</v>
      </c>
      <c r="Q126" s="1" t="s">
        <v>100</v>
      </c>
      <c r="S126" s="1" t="s">
        <v>1004</v>
      </c>
      <c r="T126" s="1" t="s">
        <v>1274</v>
      </c>
      <c r="V126" s="1" t="s">
        <v>1290</v>
      </c>
      <c r="W126" s="1" t="s">
        <v>1276</v>
      </c>
    </row>
    <row r="127" customFormat="false" ht="15" hidden="false" customHeight="true" outlineLevel="0" collapsed="false">
      <c r="A127" s="1" t="n">
        <v>0.653042</v>
      </c>
      <c r="B127" s="1" t="s">
        <v>1129</v>
      </c>
      <c r="C127" s="1" t="n">
        <v>5615.5</v>
      </c>
      <c r="D127" s="1" t="n">
        <v>3667.16</v>
      </c>
      <c r="E127" s="1" t="n">
        <v>5615.5</v>
      </c>
      <c r="F127" s="172" t="n">
        <v>0.653042</v>
      </c>
      <c r="G127" s="1" t="s">
        <v>123</v>
      </c>
      <c r="H127" s="1" t="s">
        <v>109</v>
      </c>
      <c r="I127" s="1" t="n">
        <v>4137611180</v>
      </c>
      <c r="J127" s="1" t="s">
        <v>1242</v>
      </c>
      <c r="K127" s="1" t="s">
        <v>104</v>
      </c>
      <c r="L127" s="1" t="s">
        <v>109</v>
      </c>
      <c r="M127" s="1" t="n">
        <v>4137611180</v>
      </c>
      <c r="N127" s="1" t="n">
        <v>3667.16</v>
      </c>
      <c r="O127" s="1" t="n">
        <v>467.96</v>
      </c>
      <c r="P127" s="1" t="s">
        <v>1277</v>
      </c>
      <c r="Q127" s="1" t="s">
        <v>108</v>
      </c>
      <c r="S127" s="1" t="s">
        <v>1278</v>
      </c>
      <c r="T127" s="1" t="s">
        <v>1279</v>
      </c>
      <c r="V127" s="1" t="s">
        <v>1290</v>
      </c>
      <c r="W127" s="1" t="s">
        <v>1276</v>
      </c>
    </row>
    <row r="128" customFormat="false" ht="15" hidden="false" customHeight="true" outlineLevel="0" collapsed="false">
      <c r="A128" s="1" t="n">
        <v>0.648424</v>
      </c>
      <c r="B128" s="1" t="s">
        <v>1129</v>
      </c>
      <c r="C128" s="1" t="n">
        <v>5615.5</v>
      </c>
      <c r="D128" s="1" t="n">
        <v>3641.23</v>
      </c>
      <c r="E128" s="1" t="n">
        <v>5615.5</v>
      </c>
      <c r="F128" s="172" t="n">
        <v>0.648424</v>
      </c>
      <c r="G128" s="1" t="s">
        <v>123</v>
      </c>
      <c r="H128" s="1" t="s">
        <v>250</v>
      </c>
      <c r="I128" s="1" t="n">
        <v>28988055897</v>
      </c>
      <c r="J128" s="1" t="s">
        <v>1242</v>
      </c>
      <c r="K128" s="1" t="s">
        <v>104</v>
      </c>
      <c r="L128" s="1" t="s">
        <v>250</v>
      </c>
      <c r="M128" s="1" t="n">
        <v>28988055897</v>
      </c>
      <c r="N128" s="1" t="n">
        <v>3641.23</v>
      </c>
      <c r="O128" s="1" t="n">
        <v>467.96</v>
      </c>
      <c r="P128" s="1" t="s">
        <v>1280</v>
      </c>
      <c r="Q128" s="1" t="s">
        <v>100</v>
      </c>
      <c r="S128" s="1" t="s">
        <v>1004</v>
      </c>
      <c r="T128" s="1" t="s">
        <v>1274</v>
      </c>
      <c r="V128" s="1" t="s">
        <v>1290</v>
      </c>
      <c r="W128" s="1" t="s">
        <v>1276</v>
      </c>
    </row>
    <row r="129" customFormat="false" ht="15" hidden="false" customHeight="true" outlineLevel="0" collapsed="false">
      <c r="A129" s="1" t="n">
        <v>0.694991</v>
      </c>
      <c r="B129" s="1" t="s">
        <v>1129</v>
      </c>
      <c r="C129" s="1" t="n">
        <v>5142.86</v>
      </c>
      <c r="D129" s="1" t="n">
        <v>3574.24</v>
      </c>
      <c r="E129" s="1" t="n">
        <v>5142.86</v>
      </c>
      <c r="F129" s="172" t="n">
        <v>0.694991</v>
      </c>
      <c r="G129" s="1" t="s">
        <v>1181</v>
      </c>
      <c r="H129" s="1" t="s">
        <v>109</v>
      </c>
      <c r="I129" s="1" t="n">
        <v>41992329799</v>
      </c>
      <c r="J129" s="1" t="s">
        <v>1242</v>
      </c>
      <c r="K129" s="1" t="s">
        <v>1181</v>
      </c>
      <c r="L129" s="1" t="s">
        <v>109</v>
      </c>
      <c r="M129" s="1" t="n">
        <v>41992329799</v>
      </c>
      <c r="N129" s="1" t="n">
        <v>3574.24</v>
      </c>
      <c r="O129" s="1" t="n">
        <v>428.57</v>
      </c>
      <c r="P129" s="1" t="s">
        <v>1277</v>
      </c>
      <c r="Q129" s="1" t="s">
        <v>184</v>
      </c>
      <c r="S129" s="1" t="s">
        <v>1278</v>
      </c>
      <c r="T129" s="1" t="s">
        <v>1274</v>
      </c>
      <c r="V129" s="1" t="s">
        <v>1290</v>
      </c>
      <c r="W129" s="1" t="s">
        <v>1284</v>
      </c>
    </row>
    <row r="130" customFormat="false" ht="15" hidden="false" customHeight="true" outlineLevel="0" collapsed="false">
      <c r="A130" s="1" t="n">
        <v>0.633411</v>
      </c>
      <c r="B130" s="1" t="s">
        <v>1129</v>
      </c>
      <c r="C130" s="1" t="n">
        <v>5615.5</v>
      </c>
      <c r="D130" s="1" t="n">
        <v>3556.92</v>
      </c>
      <c r="E130" s="1" t="n">
        <v>5615.5</v>
      </c>
      <c r="F130" s="172" t="n">
        <v>0.633411</v>
      </c>
      <c r="G130" s="1" t="s">
        <v>123</v>
      </c>
      <c r="H130" s="1" t="s">
        <v>119</v>
      </c>
      <c r="I130" s="1" t="n">
        <v>16993154374</v>
      </c>
      <c r="J130" s="1" t="s">
        <v>1242</v>
      </c>
      <c r="K130" s="1" t="s">
        <v>104</v>
      </c>
      <c r="L130" s="1" t="s">
        <v>119</v>
      </c>
      <c r="M130" s="1" t="n">
        <v>16993154374</v>
      </c>
      <c r="N130" s="1" t="n">
        <v>3556.92</v>
      </c>
      <c r="O130" s="1" t="n">
        <v>467.96</v>
      </c>
      <c r="P130" s="1" t="s">
        <v>1281</v>
      </c>
      <c r="Q130" s="1" t="s">
        <v>100</v>
      </c>
      <c r="S130" s="1" t="s">
        <v>1004</v>
      </c>
      <c r="T130" s="1" t="s">
        <v>1274</v>
      </c>
      <c r="V130" s="1" t="s">
        <v>1290</v>
      </c>
      <c r="W130" s="1" t="s">
        <v>1276</v>
      </c>
    </row>
    <row r="131" customFormat="false" ht="15" hidden="false" customHeight="true" outlineLevel="0" collapsed="false">
      <c r="A131" s="1" t="n">
        <v>0.633229</v>
      </c>
      <c r="B131" s="1" t="s">
        <v>1129</v>
      </c>
      <c r="C131" s="1" t="n">
        <v>5615.5</v>
      </c>
      <c r="D131" s="1" t="n">
        <v>3555.9</v>
      </c>
      <c r="E131" s="1" t="n">
        <v>5615.5</v>
      </c>
      <c r="F131" s="172" t="n">
        <v>0.633229</v>
      </c>
      <c r="G131" s="1" t="s">
        <v>123</v>
      </c>
      <c r="H131" s="1" t="s">
        <v>187</v>
      </c>
      <c r="I131" s="1" t="n">
        <v>81999226106</v>
      </c>
      <c r="J131" s="1" t="s">
        <v>1242</v>
      </c>
      <c r="K131" s="1" t="s">
        <v>104</v>
      </c>
      <c r="L131" s="1" t="s">
        <v>187</v>
      </c>
      <c r="M131" s="1" t="n">
        <v>81999226106</v>
      </c>
      <c r="N131" s="1" t="n">
        <v>3555.9</v>
      </c>
      <c r="O131" s="1" t="n">
        <v>467.96</v>
      </c>
      <c r="P131" s="1" t="s">
        <v>1282</v>
      </c>
      <c r="Q131" s="1" t="s">
        <v>100</v>
      </c>
      <c r="S131" s="1" t="s">
        <v>1004</v>
      </c>
      <c r="T131" s="1" t="s">
        <v>1274</v>
      </c>
      <c r="V131" s="1" t="s">
        <v>1290</v>
      </c>
      <c r="W131" s="1" t="s">
        <v>1276</v>
      </c>
    </row>
    <row r="132" customFormat="false" ht="15" hidden="false" customHeight="true" outlineLevel="0" collapsed="false">
      <c r="A132" s="1" t="n">
        <v>0.690216</v>
      </c>
      <c r="B132" s="1" t="s">
        <v>1129</v>
      </c>
      <c r="C132" s="1" t="n">
        <v>5142.86</v>
      </c>
      <c r="D132" s="1" t="n">
        <v>3549.68</v>
      </c>
      <c r="E132" s="1" t="n">
        <v>5142.86</v>
      </c>
      <c r="F132" s="172" t="n">
        <v>0.690216</v>
      </c>
      <c r="G132" s="1" t="s">
        <v>1181</v>
      </c>
      <c r="H132" s="1" t="s">
        <v>196</v>
      </c>
      <c r="I132" s="1" t="n">
        <v>41992329799</v>
      </c>
      <c r="J132" s="1" t="s">
        <v>1242</v>
      </c>
      <c r="K132" s="1" t="s">
        <v>1181</v>
      </c>
      <c r="L132" s="1" t="s">
        <v>196</v>
      </c>
      <c r="M132" s="1" t="n">
        <v>41992329799</v>
      </c>
      <c r="N132" s="1" t="n">
        <v>3549.68</v>
      </c>
      <c r="O132" s="1" t="n">
        <v>428.57</v>
      </c>
      <c r="P132" s="1" t="s">
        <v>1277</v>
      </c>
      <c r="Q132" s="1" t="s">
        <v>184</v>
      </c>
      <c r="S132" s="1" t="s">
        <v>1278</v>
      </c>
      <c r="T132" s="1" t="s">
        <v>1274</v>
      </c>
      <c r="V132" s="1" t="s">
        <v>1290</v>
      </c>
      <c r="W132" s="1" t="s">
        <v>1284</v>
      </c>
    </row>
    <row r="133" customFormat="false" ht="15" hidden="false" customHeight="true" outlineLevel="0" collapsed="false">
      <c r="A133" s="1" t="n">
        <v>0.630588</v>
      </c>
      <c r="B133" s="1" t="s">
        <v>1129</v>
      </c>
      <c r="C133" s="1" t="n">
        <v>5615.5</v>
      </c>
      <c r="D133" s="1" t="n">
        <v>3541.07</v>
      </c>
      <c r="E133" s="1" t="n">
        <v>5615.5</v>
      </c>
      <c r="F133" s="172" t="n">
        <v>0.630588</v>
      </c>
      <c r="G133" s="1" t="s">
        <v>123</v>
      </c>
      <c r="H133" s="1" t="s">
        <v>119</v>
      </c>
      <c r="I133" s="1" t="n">
        <v>11983697240</v>
      </c>
      <c r="J133" s="1" t="s">
        <v>1242</v>
      </c>
      <c r="K133" s="1" t="s">
        <v>104</v>
      </c>
      <c r="L133" s="1" t="s">
        <v>119</v>
      </c>
      <c r="M133" s="1" t="n">
        <v>11983697240</v>
      </c>
      <c r="N133" s="1" t="n">
        <v>3541.07</v>
      </c>
      <c r="O133" s="1" t="n">
        <v>467.96</v>
      </c>
      <c r="P133" s="1" t="s">
        <v>1285</v>
      </c>
      <c r="Q133" s="1" t="s">
        <v>100</v>
      </c>
      <c r="S133" s="1" t="s">
        <v>1004</v>
      </c>
      <c r="T133" s="1" t="s">
        <v>1274</v>
      </c>
      <c r="V133" s="1" t="s">
        <v>1290</v>
      </c>
      <c r="W133" s="1" t="s">
        <v>1276</v>
      </c>
    </row>
    <row r="134" customFormat="false" ht="15" hidden="false" customHeight="true" outlineLevel="0" collapsed="false">
      <c r="A134" s="1" t="n">
        <v>0.629124</v>
      </c>
      <c r="B134" s="1" t="s">
        <v>1129</v>
      </c>
      <c r="C134" s="1" t="n">
        <v>5615.5</v>
      </c>
      <c r="D134" s="1" t="n">
        <v>3532.85</v>
      </c>
      <c r="E134" s="1" t="n">
        <v>5615.5</v>
      </c>
      <c r="F134" s="172" t="n">
        <v>0.629124</v>
      </c>
      <c r="G134" s="1" t="s">
        <v>123</v>
      </c>
      <c r="H134" s="1" t="s">
        <v>109</v>
      </c>
      <c r="I134" s="1" t="n">
        <v>4130199221</v>
      </c>
      <c r="J134" s="1" t="s">
        <v>1242</v>
      </c>
      <c r="K134" s="1" t="s">
        <v>104</v>
      </c>
      <c r="L134" s="1" t="s">
        <v>109</v>
      </c>
      <c r="M134" s="1" t="n">
        <v>4130199221</v>
      </c>
      <c r="N134" s="1" t="n">
        <v>3532.85</v>
      </c>
      <c r="O134" s="1" t="n">
        <v>467.96</v>
      </c>
      <c r="P134" s="1" t="s">
        <v>1277</v>
      </c>
      <c r="Q134" s="1" t="s">
        <v>108</v>
      </c>
      <c r="S134" s="1" t="s">
        <v>1278</v>
      </c>
      <c r="T134" s="1" t="s">
        <v>1279</v>
      </c>
      <c r="V134" s="1" t="s">
        <v>1290</v>
      </c>
      <c r="W134" s="1" t="s">
        <v>1276</v>
      </c>
    </row>
    <row r="135" customFormat="false" ht="15" hidden="false" customHeight="true" outlineLevel="0" collapsed="false">
      <c r="A135" s="1" t="n">
        <v>0.626305</v>
      </c>
      <c r="B135" s="1" t="s">
        <v>1129</v>
      </c>
      <c r="C135" s="1" t="n">
        <v>5615.5</v>
      </c>
      <c r="D135" s="1" t="n">
        <v>3517.02</v>
      </c>
      <c r="E135" s="1" t="n">
        <v>5615.5</v>
      </c>
      <c r="F135" s="172" t="n">
        <v>0.626305</v>
      </c>
      <c r="G135" s="1" t="s">
        <v>123</v>
      </c>
      <c r="H135" s="1" t="s">
        <v>109</v>
      </c>
      <c r="I135" s="1" t="n">
        <v>41991664635</v>
      </c>
      <c r="J135" s="1" t="s">
        <v>1242</v>
      </c>
      <c r="K135" s="1" t="s">
        <v>104</v>
      </c>
      <c r="L135" s="1" t="s">
        <v>109</v>
      </c>
      <c r="M135" s="1" t="n">
        <v>41991664635</v>
      </c>
      <c r="N135" s="1" t="n">
        <v>3517.02</v>
      </c>
      <c r="O135" s="1" t="n">
        <v>467.96</v>
      </c>
      <c r="P135" s="1" t="s">
        <v>1277</v>
      </c>
      <c r="Q135" s="1" t="s">
        <v>108</v>
      </c>
      <c r="S135" s="1" t="s">
        <v>1278</v>
      </c>
      <c r="T135" s="1" t="s">
        <v>1279</v>
      </c>
      <c r="V135" s="1" t="s">
        <v>1290</v>
      </c>
      <c r="W135" s="1" t="s">
        <v>1276</v>
      </c>
    </row>
    <row r="136" customFormat="false" ht="15" hidden="false" customHeight="true" outlineLevel="0" collapsed="false">
      <c r="A136" s="1" t="n">
        <v>0.618513</v>
      </c>
      <c r="B136" s="1" t="s">
        <v>1129</v>
      </c>
      <c r="C136" s="1" t="n">
        <v>5615.5</v>
      </c>
      <c r="D136" s="1" t="n">
        <v>3473.26</v>
      </c>
      <c r="E136" s="1" t="n">
        <v>5615.5</v>
      </c>
      <c r="F136" s="172" t="n">
        <v>0.618513</v>
      </c>
      <c r="G136" s="1" t="s">
        <v>123</v>
      </c>
      <c r="H136" s="1" t="s">
        <v>281</v>
      </c>
      <c r="I136" s="1" t="n">
        <v>6381443572</v>
      </c>
      <c r="J136" s="1" t="s">
        <v>1242</v>
      </c>
      <c r="K136" s="1" t="s">
        <v>104</v>
      </c>
      <c r="L136" s="1" t="s">
        <v>281</v>
      </c>
      <c r="M136" s="1" t="n">
        <v>6381443572</v>
      </c>
      <c r="N136" s="1" t="n">
        <v>3473.26</v>
      </c>
      <c r="O136" s="1" t="n">
        <v>467.96</v>
      </c>
      <c r="P136" s="1" t="s">
        <v>1273</v>
      </c>
      <c r="Q136" s="1" t="s">
        <v>100</v>
      </c>
      <c r="S136" s="1" t="s">
        <v>1004</v>
      </c>
      <c r="T136" s="1" t="s">
        <v>1274</v>
      </c>
      <c r="V136" s="1" t="s">
        <v>1290</v>
      </c>
      <c r="W136" s="1" t="s">
        <v>1276</v>
      </c>
    </row>
    <row r="137" customFormat="false" ht="15" hidden="false" customHeight="true" outlineLevel="0" collapsed="false">
      <c r="A137" s="1" t="n">
        <v>0.615259</v>
      </c>
      <c r="B137" s="1" t="s">
        <v>1129</v>
      </c>
      <c r="C137" s="1" t="n">
        <v>5615.5</v>
      </c>
      <c r="D137" s="1" t="n">
        <v>3454.99</v>
      </c>
      <c r="E137" s="1" t="n">
        <v>5615.5</v>
      </c>
      <c r="F137" s="172" t="n">
        <v>0.615259</v>
      </c>
      <c r="G137" s="1" t="s">
        <v>123</v>
      </c>
      <c r="H137" s="1" t="s">
        <v>187</v>
      </c>
      <c r="I137" s="1" t="n">
        <v>81998985588</v>
      </c>
      <c r="J137" s="1" t="s">
        <v>1242</v>
      </c>
      <c r="K137" s="1" t="s">
        <v>104</v>
      </c>
      <c r="L137" s="1" t="s">
        <v>187</v>
      </c>
      <c r="M137" s="1" t="n">
        <v>81998985588</v>
      </c>
      <c r="N137" s="1" t="n">
        <v>3454.99</v>
      </c>
      <c r="O137" s="1" t="n">
        <v>467.96</v>
      </c>
      <c r="P137" s="1" t="s">
        <v>1282</v>
      </c>
      <c r="Q137" s="1" t="s">
        <v>100</v>
      </c>
      <c r="S137" s="1" t="s">
        <v>1004</v>
      </c>
      <c r="T137" s="1" t="s">
        <v>1274</v>
      </c>
      <c r="V137" s="1" t="s">
        <v>1290</v>
      </c>
      <c r="W137" s="1" t="s">
        <v>1276</v>
      </c>
    </row>
    <row r="138" customFormat="false" ht="15" hidden="false" customHeight="true" outlineLevel="0" collapsed="false">
      <c r="A138" s="1" t="n">
        <v>0.606767</v>
      </c>
      <c r="B138" s="1" t="s">
        <v>1129</v>
      </c>
      <c r="C138" s="1" t="n">
        <v>5615.5</v>
      </c>
      <c r="D138" s="1" t="n">
        <v>3407.3</v>
      </c>
      <c r="E138" s="1" t="n">
        <v>5615.5</v>
      </c>
      <c r="F138" s="172" t="n">
        <v>0.606767</v>
      </c>
      <c r="G138" s="1" t="s">
        <v>123</v>
      </c>
      <c r="H138" s="1" t="s">
        <v>119</v>
      </c>
      <c r="I138" s="1" t="n">
        <v>17988307140</v>
      </c>
      <c r="J138" s="1" t="s">
        <v>1242</v>
      </c>
      <c r="K138" s="1" t="s">
        <v>104</v>
      </c>
      <c r="L138" s="1" t="s">
        <v>119</v>
      </c>
      <c r="M138" s="1" t="n">
        <v>17988307140</v>
      </c>
      <c r="N138" s="1" t="n">
        <v>3407.3</v>
      </c>
      <c r="O138" s="1" t="n">
        <v>467.96</v>
      </c>
      <c r="P138" s="1" t="s">
        <v>1281</v>
      </c>
      <c r="Q138" s="1" t="s">
        <v>100</v>
      </c>
      <c r="S138" s="1" t="s">
        <v>1004</v>
      </c>
      <c r="T138" s="1" t="s">
        <v>1274</v>
      </c>
      <c r="V138" s="1" t="s">
        <v>1290</v>
      </c>
      <c r="W138" s="1" t="s">
        <v>1276</v>
      </c>
    </row>
    <row r="139" customFormat="false" ht="15" hidden="false" customHeight="true" outlineLevel="0" collapsed="false">
      <c r="A139" s="1" t="n">
        <v>0.606193</v>
      </c>
      <c r="B139" s="1" t="s">
        <v>1129</v>
      </c>
      <c r="C139" s="1" t="n">
        <v>5615.5</v>
      </c>
      <c r="D139" s="1" t="n">
        <v>3404.08</v>
      </c>
      <c r="E139" s="1" t="n">
        <v>5615.5</v>
      </c>
      <c r="F139" s="172" t="n">
        <v>0.606193</v>
      </c>
      <c r="G139" s="1" t="s">
        <v>123</v>
      </c>
      <c r="H139" s="1" t="s">
        <v>119</v>
      </c>
      <c r="I139" s="1" t="n">
        <v>11979855778</v>
      </c>
      <c r="J139" s="1" t="s">
        <v>1242</v>
      </c>
      <c r="K139" s="1" t="s">
        <v>104</v>
      </c>
      <c r="L139" s="1" t="s">
        <v>119</v>
      </c>
      <c r="M139" s="1" t="n">
        <v>11979855778</v>
      </c>
      <c r="N139" s="1" t="n">
        <v>3404.08</v>
      </c>
      <c r="O139" s="1" t="n">
        <v>467.96</v>
      </c>
      <c r="P139" s="1" t="s">
        <v>1285</v>
      </c>
      <c r="Q139" s="1" t="s">
        <v>100</v>
      </c>
      <c r="S139" s="1" t="s">
        <v>1004</v>
      </c>
      <c r="T139" s="1" t="s">
        <v>1274</v>
      </c>
      <c r="V139" s="1" t="s">
        <v>1290</v>
      </c>
      <c r="W139" s="1" t="s">
        <v>1276</v>
      </c>
    </row>
    <row r="140" customFormat="false" ht="15" hidden="false" customHeight="true" outlineLevel="0" collapsed="false">
      <c r="A140" s="1" t="n">
        <v>0.605997</v>
      </c>
      <c r="B140" s="1" t="s">
        <v>1129</v>
      </c>
      <c r="C140" s="1" t="n">
        <v>5615.5</v>
      </c>
      <c r="D140" s="1" t="n">
        <v>3402.98</v>
      </c>
      <c r="E140" s="1" t="n">
        <v>5615.5</v>
      </c>
      <c r="F140" s="172" t="n">
        <v>0.605997</v>
      </c>
      <c r="G140" s="1" t="s">
        <v>123</v>
      </c>
      <c r="H140" s="1" t="s">
        <v>420</v>
      </c>
      <c r="I140" s="1" t="n">
        <v>9981223533</v>
      </c>
      <c r="J140" s="1" t="s">
        <v>1242</v>
      </c>
      <c r="K140" s="1" t="s">
        <v>104</v>
      </c>
      <c r="L140" s="1" t="s">
        <v>420</v>
      </c>
      <c r="M140" s="1" t="n">
        <v>9981223533</v>
      </c>
      <c r="N140" s="1" t="n">
        <v>3402.98</v>
      </c>
      <c r="O140" s="1" t="n">
        <v>467.96</v>
      </c>
      <c r="P140" s="1" t="s">
        <v>1283</v>
      </c>
      <c r="Q140" s="1" t="s">
        <v>100</v>
      </c>
      <c r="S140" s="1" t="s">
        <v>1004</v>
      </c>
      <c r="T140" s="1" t="s">
        <v>1274</v>
      </c>
      <c r="V140" s="1" t="s">
        <v>1290</v>
      </c>
      <c r="W140" s="1" t="s">
        <v>1276</v>
      </c>
    </row>
    <row r="141" customFormat="false" ht="15" hidden="false" customHeight="true" outlineLevel="0" collapsed="false">
      <c r="A141" s="1" t="n">
        <v>0.660079</v>
      </c>
      <c r="B141" s="1" t="s">
        <v>1129</v>
      </c>
      <c r="C141" s="1" t="n">
        <v>5142.86</v>
      </c>
      <c r="D141" s="1" t="n">
        <v>3394.69</v>
      </c>
      <c r="E141" s="1" t="n">
        <v>5142.86</v>
      </c>
      <c r="F141" s="172" t="n">
        <v>0.660079</v>
      </c>
      <c r="G141" s="1" t="s">
        <v>1181</v>
      </c>
      <c r="H141" s="1" t="s">
        <v>109</v>
      </c>
      <c r="I141" s="1" t="n">
        <v>41002320799</v>
      </c>
      <c r="J141" s="1" t="s">
        <v>1242</v>
      </c>
      <c r="K141" s="1" t="s">
        <v>1181</v>
      </c>
      <c r="L141" s="1" t="s">
        <v>109</v>
      </c>
      <c r="M141" s="1" t="n">
        <v>41002320799</v>
      </c>
      <c r="N141" s="1" t="n">
        <v>3394.69</v>
      </c>
      <c r="O141" s="1" t="n">
        <v>428.57</v>
      </c>
      <c r="P141" s="1" t="s">
        <v>1277</v>
      </c>
      <c r="Q141" s="1" t="s">
        <v>184</v>
      </c>
      <c r="S141" s="1" t="s">
        <v>1278</v>
      </c>
      <c r="T141" s="1" t="s">
        <v>1274</v>
      </c>
      <c r="V141" s="1" t="s">
        <v>1290</v>
      </c>
      <c r="W141" s="1" t="s">
        <v>1284</v>
      </c>
    </row>
    <row r="142" customFormat="false" ht="15" hidden="false" customHeight="true" outlineLevel="0" collapsed="false">
      <c r="A142" s="1" t="n">
        <v>0.660079</v>
      </c>
      <c r="B142" s="1" t="s">
        <v>1129</v>
      </c>
      <c r="C142" s="1" t="n">
        <v>5142.86</v>
      </c>
      <c r="D142" s="1" t="n">
        <v>3394.69</v>
      </c>
      <c r="E142" s="1" t="n">
        <v>5142.86</v>
      </c>
      <c r="F142" s="172" t="n">
        <v>0.660079</v>
      </c>
      <c r="G142" s="1" t="s">
        <v>1181</v>
      </c>
      <c r="H142" s="1" t="s">
        <v>109</v>
      </c>
      <c r="I142" s="1" t="n">
        <v>41992329799</v>
      </c>
      <c r="J142" s="1" t="s">
        <v>1242</v>
      </c>
      <c r="K142" s="1" t="s">
        <v>1181</v>
      </c>
      <c r="L142" s="1" t="s">
        <v>109</v>
      </c>
      <c r="M142" s="1" t="n">
        <v>41992329799</v>
      </c>
      <c r="N142" s="1" t="n">
        <v>3394.69</v>
      </c>
      <c r="O142" s="1" t="n">
        <v>428.57</v>
      </c>
      <c r="P142" s="1" t="s">
        <v>1277</v>
      </c>
      <c r="Q142" s="1" t="s">
        <v>184</v>
      </c>
      <c r="S142" s="1" t="s">
        <v>1278</v>
      </c>
      <c r="T142" s="1" t="s">
        <v>1274</v>
      </c>
      <c r="V142" s="1" t="s">
        <v>1290</v>
      </c>
      <c r="W142" s="1" t="s">
        <v>1284</v>
      </c>
    </row>
    <row r="143" customFormat="false" ht="15" hidden="false" customHeight="true" outlineLevel="0" collapsed="false">
      <c r="A143" s="1" t="n">
        <v>0.659618</v>
      </c>
      <c r="B143" s="1" t="s">
        <v>1129</v>
      </c>
      <c r="C143" s="1" t="n">
        <v>5142.86</v>
      </c>
      <c r="D143" s="1" t="n">
        <v>3392.32</v>
      </c>
      <c r="E143" s="1" t="n">
        <v>5142.86</v>
      </c>
      <c r="F143" s="172" t="n">
        <v>0.659618</v>
      </c>
      <c r="G143" s="1" t="s">
        <v>1181</v>
      </c>
      <c r="H143" s="1" t="s">
        <v>109</v>
      </c>
      <c r="I143" s="1" t="n">
        <v>41992329799</v>
      </c>
      <c r="J143" s="1" t="s">
        <v>1242</v>
      </c>
      <c r="K143" s="1" t="s">
        <v>1181</v>
      </c>
      <c r="L143" s="1" t="s">
        <v>109</v>
      </c>
      <c r="M143" s="1" t="n">
        <v>41992329799</v>
      </c>
      <c r="N143" s="1" t="n">
        <v>3392.32</v>
      </c>
      <c r="O143" s="1" t="n">
        <v>428.57</v>
      </c>
      <c r="P143" s="1" t="s">
        <v>1277</v>
      </c>
      <c r="Q143" s="1" t="s">
        <v>184</v>
      </c>
      <c r="S143" s="1" t="s">
        <v>1278</v>
      </c>
      <c r="T143" s="1" t="s">
        <v>1274</v>
      </c>
      <c r="V143" s="1" t="s">
        <v>1290</v>
      </c>
      <c r="W143" s="1" t="s">
        <v>1284</v>
      </c>
    </row>
    <row r="144" customFormat="false" ht="15" hidden="false" customHeight="true" outlineLevel="0" collapsed="false">
      <c r="A144" s="1" t="n">
        <v>0.593582</v>
      </c>
      <c r="B144" s="1" t="s">
        <v>1130</v>
      </c>
      <c r="C144" s="1" t="n">
        <v>5615.5</v>
      </c>
      <c r="D144" s="1" t="n">
        <v>3333.26</v>
      </c>
      <c r="E144" s="1" t="n">
        <v>5615.5</v>
      </c>
      <c r="F144" s="172" t="n">
        <v>0.593582</v>
      </c>
      <c r="G144" s="1" t="s">
        <v>123</v>
      </c>
      <c r="H144" s="1" t="s">
        <v>109</v>
      </c>
      <c r="I144" s="1" t="n">
        <v>11971942324</v>
      </c>
      <c r="J144" s="1" t="s">
        <v>1243</v>
      </c>
      <c r="K144" s="1" t="s">
        <v>104</v>
      </c>
      <c r="L144" s="1" t="s">
        <v>109</v>
      </c>
      <c r="M144" s="1" t="n">
        <v>11971942324</v>
      </c>
      <c r="N144" s="1" t="n">
        <v>3333.26</v>
      </c>
      <c r="O144" s="1" t="n">
        <v>467.96</v>
      </c>
      <c r="P144" s="1" t="s">
        <v>1277</v>
      </c>
      <c r="Q144" s="1" t="s">
        <v>108</v>
      </c>
      <c r="S144" s="1" t="s">
        <v>1278</v>
      </c>
      <c r="T144" s="1" t="s">
        <v>1279</v>
      </c>
      <c r="V144" s="1" t="s">
        <v>1290</v>
      </c>
      <c r="W144" s="1" t="s">
        <v>1276</v>
      </c>
    </row>
    <row r="145" customFormat="false" ht="15" hidden="false" customHeight="true" outlineLevel="0" collapsed="false">
      <c r="A145" s="1" t="n">
        <v>0.592289</v>
      </c>
      <c r="B145" s="1" t="s">
        <v>1130</v>
      </c>
      <c r="C145" s="1" t="n">
        <v>5615.5</v>
      </c>
      <c r="D145" s="1" t="n">
        <v>3326</v>
      </c>
      <c r="E145" s="1" t="n">
        <v>5615.5</v>
      </c>
      <c r="F145" s="172" t="n">
        <v>0.592289</v>
      </c>
      <c r="G145" s="1" t="s">
        <v>123</v>
      </c>
      <c r="H145" s="1" t="s">
        <v>243</v>
      </c>
      <c r="I145" s="1" t="n">
        <v>57398336448</v>
      </c>
      <c r="J145" s="1" t="s">
        <v>1243</v>
      </c>
      <c r="K145" s="1" t="s">
        <v>104</v>
      </c>
      <c r="L145" s="1" t="s">
        <v>243</v>
      </c>
      <c r="M145" s="1" t="n">
        <v>57398336448</v>
      </c>
      <c r="N145" s="1" t="n">
        <v>3326</v>
      </c>
      <c r="O145" s="1" t="n">
        <v>467.96</v>
      </c>
      <c r="P145" s="1" t="s">
        <v>1282</v>
      </c>
      <c r="Q145" s="1" t="s">
        <v>100</v>
      </c>
      <c r="S145" s="1" t="s">
        <v>1004</v>
      </c>
      <c r="T145" s="1" t="s">
        <v>1274</v>
      </c>
      <c r="V145" s="1" t="s">
        <v>1290</v>
      </c>
      <c r="W145" s="1" t="s">
        <v>1276</v>
      </c>
    </row>
    <row r="146" customFormat="false" ht="15" hidden="false" customHeight="true" outlineLevel="0" collapsed="false">
      <c r="A146" s="1" t="n">
        <v>0.591625</v>
      </c>
      <c r="B146" s="1" t="s">
        <v>1130</v>
      </c>
      <c r="C146" s="1" t="n">
        <v>5615.5</v>
      </c>
      <c r="D146" s="1" t="n">
        <v>3322.27</v>
      </c>
      <c r="E146" s="1" t="n">
        <v>5615.5</v>
      </c>
      <c r="F146" s="172" t="n">
        <v>0.591625</v>
      </c>
      <c r="G146" s="1" t="s">
        <v>123</v>
      </c>
      <c r="H146" s="1" t="s">
        <v>311</v>
      </c>
      <c r="I146" s="1" t="n">
        <v>61370352966</v>
      </c>
      <c r="J146" s="1" t="s">
        <v>1243</v>
      </c>
      <c r="K146" s="1" t="s">
        <v>104</v>
      </c>
      <c r="L146" s="1" t="s">
        <v>311</v>
      </c>
      <c r="M146" s="1" t="n">
        <v>61370352966</v>
      </c>
      <c r="N146" s="1" t="n">
        <v>3322.27</v>
      </c>
      <c r="O146" s="1" t="n">
        <v>467.96</v>
      </c>
      <c r="P146" s="1" t="s">
        <v>1273</v>
      </c>
      <c r="Q146" s="1" t="s">
        <v>100</v>
      </c>
      <c r="S146" s="1" t="s">
        <v>1004</v>
      </c>
      <c r="T146" s="1" t="s">
        <v>1274</v>
      </c>
      <c r="V146" s="1" t="s">
        <v>1290</v>
      </c>
      <c r="W146" s="1" t="s">
        <v>1276</v>
      </c>
    </row>
    <row r="147" customFormat="false" ht="15" hidden="false" customHeight="true" outlineLevel="0" collapsed="false">
      <c r="A147" s="1" t="n">
        <v>0.587698</v>
      </c>
      <c r="B147" s="1" t="s">
        <v>1130</v>
      </c>
      <c r="C147" s="1" t="n">
        <v>5615.5</v>
      </c>
      <c r="D147" s="1" t="n">
        <v>3300.22</v>
      </c>
      <c r="E147" s="1" t="n">
        <v>5615.5</v>
      </c>
      <c r="F147" s="172" t="n">
        <v>0.587698</v>
      </c>
      <c r="G147" s="1" t="s">
        <v>123</v>
      </c>
      <c r="H147" s="1" t="s">
        <v>119</v>
      </c>
      <c r="I147" s="1" t="n">
        <v>11964347277</v>
      </c>
      <c r="J147" s="1" t="s">
        <v>1243</v>
      </c>
      <c r="K147" s="1" t="s">
        <v>104</v>
      </c>
      <c r="L147" s="1" t="s">
        <v>119</v>
      </c>
      <c r="M147" s="1" t="n">
        <v>11964347277</v>
      </c>
      <c r="N147" s="1" t="n">
        <v>3300.22</v>
      </c>
      <c r="O147" s="1" t="n">
        <v>467.96</v>
      </c>
      <c r="P147" s="1" t="s">
        <v>1285</v>
      </c>
      <c r="Q147" s="1" t="s">
        <v>100</v>
      </c>
      <c r="S147" s="1" t="s">
        <v>1004</v>
      </c>
      <c r="T147" s="1" t="s">
        <v>1274</v>
      </c>
      <c r="V147" s="1" t="s">
        <v>1290</v>
      </c>
      <c r="W147" s="1" t="s">
        <v>1276</v>
      </c>
    </row>
    <row r="148" customFormat="false" ht="15" hidden="false" customHeight="true" outlineLevel="0" collapsed="false">
      <c r="A148" s="1" t="n">
        <v>0.587659</v>
      </c>
      <c r="B148" s="1" t="s">
        <v>1130</v>
      </c>
      <c r="C148" s="1" t="n">
        <v>5615.5</v>
      </c>
      <c r="D148" s="1" t="n">
        <v>3300</v>
      </c>
      <c r="E148" s="1" t="n">
        <v>5615.5</v>
      </c>
      <c r="F148" s="172" t="n">
        <v>0.587659</v>
      </c>
      <c r="G148" s="1" t="s">
        <v>123</v>
      </c>
      <c r="H148" s="1" t="s">
        <v>260</v>
      </c>
      <c r="I148" s="1" t="n">
        <v>2220204401</v>
      </c>
      <c r="J148" s="1" t="s">
        <v>1243</v>
      </c>
      <c r="K148" s="1" t="s">
        <v>104</v>
      </c>
      <c r="L148" s="1" t="s">
        <v>260</v>
      </c>
      <c r="M148" s="1" t="n">
        <v>2220204401</v>
      </c>
      <c r="N148" s="1" t="n">
        <v>3300</v>
      </c>
      <c r="O148" s="1" t="n">
        <v>467.96</v>
      </c>
      <c r="P148" s="1" t="s">
        <v>1280</v>
      </c>
      <c r="Q148" s="1" t="s">
        <v>100</v>
      </c>
      <c r="S148" s="1" t="s">
        <v>1004</v>
      </c>
      <c r="T148" s="1" t="s">
        <v>1274</v>
      </c>
      <c r="V148" s="1" t="s">
        <v>1290</v>
      </c>
      <c r="W148" s="1" t="s">
        <v>1276</v>
      </c>
    </row>
    <row r="149" customFormat="false" ht="15" hidden="false" customHeight="true" outlineLevel="0" collapsed="false">
      <c r="A149" s="1" t="n">
        <v>0.58576</v>
      </c>
      <c r="B149" s="1" t="s">
        <v>1130</v>
      </c>
      <c r="C149" s="1" t="n">
        <v>5615.5</v>
      </c>
      <c r="D149" s="1" t="n">
        <v>3289.34</v>
      </c>
      <c r="E149" s="1" t="n">
        <v>5615.5</v>
      </c>
      <c r="F149" s="172" t="n">
        <v>0.58576</v>
      </c>
      <c r="G149" s="1" t="s">
        <v>123</v>
      </c>
      <c r="H149" s="1" t="s">
        <v>139</v>
      </c>
      <c r="I149" s="1" t="n">
        <v>4530553644</v>
      </c>
      <c r="J149" s="1" t="s">
        <v>1243</v>
      </c>
      <c r="K149" s="1" t="s">
        <v>104</v>
      </c>
      <c r="L149" s="1" t="s">
        <v>139</v>
      </c>
      <c r="M149" s="1" t="n">
        <v>4530553644</v>
      </c>
      <c r="N149" s="1" t="n">
        <v>3289.34</v>
      </c>
      <c r="O149" s="1" t="n">
        <v>467.96</v>
      </c>
      <c r="P149" s="1" t="s">
        <v>1277</v>
      </c>
      <c r="Q149" s="1" t="s">
        <v>108</v>
      </c>
      <c r="S149" s="1" t="s">
        <v>1278</v>
      </c>
      <c r="T149" s="1" t="s">
        <v>1279</v>
      </c>
      <c r="V149" s="1" t="s">
        <v>1290</v>
      </c>
      <c r="W149" s="1" t="s">
        <v>1276</v>
      </c>
    </row>
    <row r="150" customFormat="false" ht="15" hidden="false" customHeight="true" outlineLevel="0" collapsed="false">
      <c r="A150" s="1" t="n">
        <v>0.583273</v>
      </c>
      <c r="B150" s="1" t="s">
        <v>1130</v>
      </c>
      <c r="C150" s="1" t="n">
        <v>5615.5</v>
      </c>
      <c r="D150" s="1" t="n">
        <v>3275.37</v>
      </c>
      <c r="E150" s="1" t="n">
        <v>5615.5</v>
      </c>
      <c r="F150" s="172" t="n">
        <v>0.583273</v>
      </c>
      <c r="G150" s="1" t="s">
        <v>123</v>
      </c>
      <c r="H150" s="1" t="s">
        <v>139</v>
      </c>
      <c r="I150" s="1" t="n">
        <v>47991692194</v>
      </c>
      <c r="J150" s="1" t="s">
        <v>1243</v>
      </c>
      <c r="K150" s="1" t="s">
        <v>104</v>
      </c>
      <c r="L150" s="1" t="s">
        <v>139</v>
      </c>
      <c r="M150" s="1" t="n">
        <v>47991692194</v>
      </c>
      <c r="N150" s="1" t="n">
        <v>3275.37</v>
      </c>
      <c r="O150" s="1" t="n">
        <v>467.96</v>
      </c>
      <c r="P150" s="1" t="s">
        <v>1277</v>
      </c>
      <c r="Q150" s="1" t="s">
        <v>108</v>
      </c>
      <c r="S150" s="1" t="s">
        <v>1278</v>
      </c>
      <c r="T150" s="1" t="s">
        <v>1279</v>
      </c>
      <c r="V150" s="1" t="s">
        <v>1290</v>
      </c>
      <c r="W150" s="1" t="s">
        <v>1276</v>
      </c>
    </row>
    <row r="151" customFormat="false" ht="15" hidden="false" customHeight="true" outlineLevel="0" collapsed="false">
      <c r="A151" s="1" t="n">
        <v>0.578664</v>
      </c>
      <c r="B151" s="1" t="s">
        <v>1130</v>
      </c>
      <c r="C151" s="1" t="n">
        <v>5615.5</v>
      </c>
      <c r="D151" s="1" t="n">
        <v>3249.49</v>
      </c>
      <c r="E151" s="1" t="n">
        <v>5615.5</v>
      </c>
      <c r="F151" s="172" t="n">
        <v>0.578664</v>
      </c>
      <c r="G151" s="1" t="s">
        <v>123</v>
      </c>
      <c r="H151" s="1" t="s">
        <v>420</v>
      </c>
      <c r="I151" s="1" t="n">
        <v>989921635</v>
      </c>
      <c r="J151" s="1" t="s">
        <v>1243</v>
      </c>
      <c r="K151" s="1" t="s">
        <v>104</v>
      </c>
      <c r="L151" s="1" t="s">
        <v>420</v>
      </c>
      <c r="M151" s="1" t="n">
        <v>989921635</v>
      </c>
      <c r="N151" s="1" t="n">
        <v>3249.49</v>
      </c>
      <c r="O151" s="1" t="n">
        <v>467.96</v>
      </c>
      <c r="P151" s="1" t="s">
        <v>1283</v>
      </c>
      <c r="Q151" s="1" t="s">
        <v>100</v>
      </c>
      <c r="S151" s="1" t="s">
        <v>1004</v>
      </c>
      <c r="T151" s="1" t="s">
        <v>1274</v>
      </c>
      <c r="V151" s="1" t="s">
        <v>1290</v>
      </c>
      <c r="W151" s="1" t="s">
        <v>1276</v>
      </c>
    </row>
    <row r="152" customFormat="false" ht="15" hidden="false" customHeight="true" outlineLevel="0" collapsed="false">
      <c r="A152" s="1" t="n">
        <v>0.57816</v>
      </c>
      <c r="B152" s="1" t="s">
        <v>1130</v>
      </c>
      <c r="C152" s="1" t="n">
        <v>5615.5</v>
      </c>
      <c r="D152" s="1" t="n">
        <v>3246.66</v>
      </c>
      <c r="E152" s="1" t="n">
        <v>5615.5</v>
      </c>
      <c r="F152" s="172" t="n">
        <v>0.57816</v>
      </c>
      <c r="G152" s="1" t="s">
        <v>123</v>
      </c>
      <c r="H152" s="1" t="s">
        <v>250</v>
      </c>
      <c r="I152" s="1" t="n">
        <v>27996079076</v>
      </c>
      <c r="J152" s="1" t="s">
        <v>1243</v>
      </c>
      <c r="K152" s="1" t="s">
        <v>104</v>
      </c>
      <c r="L152" s="1" t="s">
        <v>250</v>
      </c>
      <c r="M152" s="1" t="n">
        <v>27996079076</v>
      </c>
      <c r="N152" s="1" t="n">
        <v>3246.66</v>
      </c>
      <c r="O152" s="1" t="n">
        <v>467.96</v>
      </c>
      <c r="P152" s="1" t="s">
        <v>1280</v>
      </c>
      <c r="Q152" s="1" t="s">
        <v>100</v>
      </c>
      <c r="S152" s="1" t="s">
        <v>1004</v>
      </c>
      <c r="T152" s="1" t="s">
        <v>1274</v>
      </c>
      <c r="V152" s="1" t="s">
        <v>1290</v>
      </c>
      <c r="W152" s="1" t="s">
        <v>1276</v>
      </c>
    </row>
    <row r="153" customFormat="false" ht="15" hidden="false" customHeight="true" outlineLevel="0" collapsed="false">
      <c r="A153" s="1" t="n">
        <v>0.573966</v>
      </c>
      <c r="B153" s="1" t="s">
        <v>1130</v>
      </c>
      <c r="C153" s="1" t="n">
        <v>5615.5</v>
      </c>
      <c r="D153" s="1" t="n">
        <v>3223.11</v>
      </c>
      <c r="E153" s="1" t="n">
        <v>5615.5</v>
      </c>
      <c r="F153" s="172" t="n">
        <v>0.573966</v>
      </c>
      <c r="G153" s="1" t="s">
        <v>123</v>
      </c>
      <c r="H153" s="1" t="s">
        <v>114</v>
      </c>
      <c r="I153" s="1" t="n">
        <v>31992886861</v>
      </c>
      <c r="J153" s="1" t="s">
        <v>1243</v>
      </c>
      <c r="K153" s="1" t="s">
        <v>104</v>
      </c>
      <c r="L153" s="1" t="s">
        <v>114</v>
      </c>
      <c r="M153" s="1" t="n">
        <v>31992886861</v>
      </c>
      <c r="N153" s="1" t="n">
        <v>3223.11</v>
      </c>
      <c r="O153" s="1" t="n">
        <v>467.96</v>
      </c>
      <c r="P153" s="1" t="s">
        <v>1280</v>
      </c>
      <c r="Q153" s="1" t="s">
        <v>100</v>
      </c>
      <c r="S153" s="1" t="s">
        <v>1278</v>
      </c>
      <c r="T153" s="1" t="s">
        <v>1274</v>
      </c>
      <c r="V153" s="1" t="s">
        <v>1290</v>
      </c>
      <c r="W153" s="1" t="s">
        <v>1276</v>
      </c>
    </row>
    <row r="154" customFormat="false" ht="15" hidden="false" customHeight="true" outlineLevel="0" collapsed="false">
      <c r="A154" s="1" t="n">
        <v>0.57257</v>
      </c>
      <c r="B154" s="1" t="s">
        <v>1130</v>
      </c>
      <c r="C154" s="1" t="n">
        <v>5615.5</v>
      </c>
      <c r="D154" s="1" t="n">
        <v>3215.27</v>
      </c>
      <c r="E154" s="1" t="n">
        <v>5615.5</v>
      </c>
      <c r="F154" s="172" t="n">
        <v>0.57257</v>
      </c>
      <c r="G154" s="1" t="s">
        <v>123</v>
      </c>
      <c r="H154" s="1" t="s">
        <v>139</v>
      </c>
      <c r="I154" s="1" t="n">
        <v>4888362409</v>
      </c>
      <c r="J154" s="1" t="s">
        <v>1243</v>
      </c>
      <c r="K154" s="1" t="s">
        <v>104</v>
      </c>
      <c r="L154" s="1" t="s">
        <v>139</v>
      </c>
      <c r="M154" s="1" t="n">
        <v>4888362409</v>
      </c>
      <c r="N154" s="1" t="n">
        <v>3215.27</v>
      </c>
      <c r="O154" s="1" t="n">
        <v>467.96</v>
      </c>
      <c r="P154" s="1" t="s">
        <v>1277</v>
      </c>
      <c r="Q154" s="1" t="s">
        <v>175</v>
      </c>
      <c r="S154" s="1" t="s">
        <v>1287</v>
      </c>
      <c r="T154" s="1" t="s">
        <v>1274</v>
      </c>
      <c r="V154" s="1" t="s">
        <v>1290</v>
      </c>
      <c r="W154" s="1" t="s">
        <v>1276</v>
      </c>
    </row>
    <row r="155" customFormat="false" ht="15" hidden="false" customHeight="true" outlineLevel="0" collapsed="false">
      <c r="A155" s="1" t="n">
        <v>0.571632</v>
      </c>
      <c r="B155" s="1" t="s">
        <v>1130</v>
      </c>
      <c r="C155" s="1" t="n">
        <v>5615.5</v>
      </c>
      <c r="D155" s="1" t="n">
        <v>3210</v>
      </c>
      <c r="E155" s="1" t="n">
        <v>5615.5</v>
      </c>
      <c r="F155" s="172" t="n">
        <v>0.571632</v>
      </c>
      <c r="G155" s="1" t="s">
        <v>123</v>
      </c>
      <c r="H155" s="1" t="s">
        <v>139</v>
      </c>
      <c r="I155" s="1" t="n">
        <v>48984867502</v>
      </c>
      <c r="J155" s="1" t="s">
        <v>1243</v>
      </c>
      <c r="K155" s="1" t="s">
        <v>104</v>
      </c>
      <c r="L155" s="1" t="s">
        <v>139</v>
      </c>
      <c r="M155" s="1" t="n">
        <v>48984867502</v>
      </c>
      <c r="N155" s="1" t="n">
        <v>3210</v>
      </c>
      <c r="O155" s="1" t="n">
        <v>467.96</v>
      </c>
      <c r="P155" s="1" t="s">
        <v>1277</v>
      </c>
      <c r="Q155" s="1" t="s">
        <v>175</v>
      </c>
      <c r="S155" s="1" t="s">
        <v>1287</v>
      </c>
      <c r="T155" s="1" t="s">
        <v>1274</v>
      </c>
      <c r="V155" s="1" t="s">
        <v>1290</v>
      </c>
      <c r="W155" s="1" t="s">
        <v>1276</v>
      </c>
    </row>
    <row r="156" customFormat="false" ht="15" hidden="false" customHeight="true" outlineLevel="0" collapsed="false">
      <c r="A156" s="1" t="n">
        <v>0.571632</v>
      </c>
      <c r="B156" s="1" t="s">
        <v>1130</v>
      </c>
      <c r="C156" s="1" t="n">
        <v>5615.5</v>
      </c>
      <c r="D156" s="1" t="n">
        <v>3210</v>
      </c>
      <c r="E156" s="1" t="n">
        <v>5615.5</v>
      </c>
      <c r="F156" s="172" t="n">
        <v>0.571632</v>
      </c>
      <c r="G156" s="1" t="s">
        <v>123</v>
      </c>
      <c r="H156" s="1" t="s">
        <v>139</v>
      </c>
      <c r="I156" s="1" t="n">
        <v>4891791849</v>
      </c>
      <c r="J156" s="1" t="s">
        <v>1243</v>
      </c>
      <c r="K156" s="1" t="s">
        <v>104</v>
      </c>
      <c r="L156" s="1" t="s">
        <v>139</v>
      </c>
      <c r="M156" s="1" t="n">
        <v>4891791849</v>
      </c>
      <c r="N156" s="1" t="n">
        <v>3210</v>
      </c>
      <c r="O156" s="1" t="n">
        <v>467.96</v>
      </c>
      <c r="P156" s="1" t="s">
        <v>1277</v>
      </c>
      <c r="Q156" s="1" t="s">
        <v>175</v>
      </c>
      <c r="S156" s="1" t="s">
        <v>1287</v>
      </c>
      <c r="T156" s="1" t="s">
        <v>1274</v>
      </c>
      <c r="V156" s="1" t="s">
        <v>1290</v>
      </c>
      <c r="W156" s="1" t="s">
        <v>1276</v>
      </c>
    </row>
    <row r="157" customFormat="false" ht="15" hidden="false" customHeight="true" outlineLevel="0" collapsed="false">
      <c r="A157" s="1" t="n">
        <v>0.571365</v>
      </c>
      <c r="B157" s="1" t="s">
        <v>1130</v>
      </c>
      <c r="C157" s="1" t="n">
        <v>5615.5</v>
      </c>
      <c r="D157" s="1" t="n">
        <v>3208.5</v>
      </c>
      <c r="E157" s="1" t="n">
        <v>5615.5</v>
      </c>
      <c r="F157" s="172" t="n">
        <v>0.571365</v>
      </c>
      <c r="G157" s="1" t="s">
        <v>123</v>
      </c>
      <c r="H157" s="1" t="s">
        <v>196</v>
      </c>
      <c r="I157" s="1" t="n">
        <v>5199044648</v>
      </c>
      <c r="J157" s="1" t="s">
        <v>1243</v>
      </c>
      <c r="K157" s="1" t="s">
        <v>104</v>
      </c>
      <c r="L157" s="1" t="s">
        <v>196</v>
      </c>
      <c r="M157" s="1" t="n">
        <v>5199044648</v>
      </c>
      <c r="N157" s="1" t="n">
        <v>3208.5</v>
      </c>
      <c r="O157" s="1" t="n">
        <v>467.96</v>
      </c>
      <c r="P157" s="1" t="s">
        <v>1277</v>
      </c>
      <c r="Q157" s="1" t="s">
        <v>108</v>
      </c>
      <c r="S157" s="1" t="s">
        <v>1278</v>
      </c>
      <c r="T157" s="1" t="s">
        <v>1279</v>
      </c>
      <c r="V157" s="1" t="s">
        <v>1290</v>
      </c>
      <c r="W157" s="1" t="s">
        <v>1276</v>
      </c>
    </row>
    <row r="158" customFormat="false" ht="15" hidden="false" customHeight="true" outlineLevel="0" collapsed="false">
      <c r="A158" s="1" t="n">
        <v>0.566895</v>
      </c>
      <c r="B158" s="1" t="s">
        <v>1130</v>
      </c>
      <c r="C158" s="1" t="n">
        <v>5615.5</v>
      </c>
      <c r="D158" s="1" t="n">
        <v>3183.4</v>
      </c>
      <c r="E158" s="1" t="n">
        <v>5615.5</v>
      </c>
      <c r="F158" s="172" t="n">
        <v>0.566895</v>
      </c>
      <c r="G158" s="1" t="s">
        <v>123</v>
      </c>
      <c r="H158" s="1" t="s">
        <v>119</v>
      </c>
      <c r="I158" s="1" t="n">
        <v>139967332</v>
      </c>
      <c r="J158" s="1" t="s">
        <v>1243</v>
      </c>
      <c r="K158" s="1" t="s">
        <v>104</v>
      </c>
      <c r="L158" s="1" t="s">
        <v>119</v>
      </c>
      <c r="M158" s="1" t="n">
        <v>139967332</v>
      </c>
      <c r="N158" s="1" t="n">
        <v>3183.4</v>
      </c>
      <c r="O158" s="1" t="n">
        <v>467.96</v>
      </c>
      <c r="P158" s="1" t="s">
        <v>1285</v>
      </c>
      <c r="Q158" s="1" t="s">
        <v>100</v>
      </c>
      <c r="S158" s="1" t="s">
        <v>1004</v>
      </c>
      <c r="T158" s="1" t="s">
        <v>1274</v>
      </c>
      <c r="V158" s="1" t="s">
        <v>1290</v>
      </c>
      <c r="W158" s="1" t="s">
        <v>1276</v>
      </c>
    </row>
    <row r="159" customFormat="false" ht="15" hidden="false" customHeight="true" outlineLevel="0" collapsed="false">
      <c r="A159" s="1" t="n">
        <v>0.563253</v>
      </c>
      <c r="B159" s="1" t="s">
        <v>1130</v>
      </c>
      <c r="C159" s="1" t="n">
        <v>5615.5</v>
      </c>
      <c r="D159" s="1" t="n">
        <v>3162.95</v>
      </c>
      <c r="E159" s="1" t="n">
        <v>5615.5</v>
      </c>
      <c r="F159" s="172" t="n">
        <v>0.563253</v>
      </c>
      <c r="G159" s="1" t="s">
        <v>123</v>
      </c>
      <c r="H159" s="1" t="s">
        <v>127</v>
      </c>
      <c r="I159" s="1" t="n">
        <v>62984432869</v>
      </c>
      <c r="J159" s="1" t="s">
        <v>1243</v>
      </c>
      <c r="K159" s="1" t="s">
        <v>104</v>
      </c>
      <c r="L159" s="1" t="s">
        <v>127</v>
      </c>
      <c r="M159" s="1" t="n">
        <v>62984432869</v>
      </c>
      <c r="N159" s="1" t="n">
        <v>3162.95</v>
      </c>
      <c r="O159" s="1" t="n">
        <v>467.96</v>
      </c>
      <c r="P159" s="1" t="s">
        <v>1273</v>
      </c>
      <c r="Q159" s="1" t="s">
        <v>100</v>
      </c>
      <c r="S159" s="1" t="s">
        <v>1004</v>
      </c>
      <c r="T159" s="1" t="s">
        <v>1274</v>
      </c>
      <c r="V159" s="1" t="s">
        <v>1290</v>
      </c>
      <c r="W159" s="1" t="s">
        <v>1276</v>
      </c>
    </row>
    <row r="160" customFormat="false" ht="15" hidden="false" customHeight="true" outlineLevel="0" collapsed="false">
      <c r="A160" s="1" t="n">
        <v>0.614573</v>
      </c>
      <c r="B160" s="1" t="s">
        <v>1129</v>
      </c>
      <c r="C160" s="1" t="n">
        <v>5142.86</v>
      </c>
      <c r="D160" s="1" t="n">
        <v>3160.66</v>
      </c>
      <c r="E160" s="1" t="n">
        <v>5142.86</v>
      </c>
      <c r="F160" s="172" t="n">
        <v>0.614573</v>
      </c>
      <c r="G160" s="1" t="s">
        <v>1181</v>
      </c>
      <c r="H160" s="1" t="s">
        <v>196</v>
      </c>
      <c r="I160" s="1" t="n">
        <v>41992329799</v>
      </c>
      <c r="J160" s="1" t="s">
        <v>1242</v>
      </c>
      <c r="K160" s="1" t="s">
        <v>1181</v>
      </c>
      <c r="L160" s="1" t="s">
        <v>196</v>
      </c>
      <c r="M160" s="1" t="n">
        <v>41992329799</v>
      </c>
      <c r="N160" s="1" t="n">
        <v>3160.66</v>
      </c>
      <c r="O160" s="1" t="n">
        <v>428.57</v>
      </c>
      <c r="P160" s="1" t="s">
        <v>1277</v>
      </c>
      <c r="Q160" s="1" t="s">
        <v>184</v>
      </c>
      <c r="S160" s="1" t="s">
        <v>1278</v>
      </c>
      <c r="T160" s="1" t="s">
        <v>1274</v>
      </c>
      <c r="V160" s="1" t="s">
        <v>1290</v>
      </c>
      <c r="W160" s="1" t="s">
        <v>1284</v>
      </c>
    </row>
    <row r="161" customFormat="false" ht="15" hidden="false" customHeight="true" outlineLevel="0" collapsed="false">
      <c r="A161" s="1" t="n">
        <v>0.607713</v>
      </c>
      <c r="B161" s="1" t="s">
        <v>1129</v>
      </c>
      <c r="C161" s="1" t="n">
        <v>5142.86</v>
      </c>
      <c r="D161" s="1" t="n">
        <v>3125.38</v>
      </c>
      <c r="E161" s="1" t="n">
        <v>5142.86</v>
      </c>
      <c r="F161" s="172" t="n">
        <v>0.607713</v>
      </c>
      <c r="G161" s="1" t="s">
        <v>1181</v>
      </c>
      <c r="H161" s="1" t="s">
        <v>109</v>
      </c>
      <c r="I161" s="1" t="n">
        <v>41992329799</v>
      </c>
      <c r="J161" s="1" t="s">
        <v>1242</v>
      </c>
      <c r="K161" s="1" t="s">
        <v>1181</v>
      </c>
      <c r="L161" s="1" t="s">
        <v>109</v>
      </c>
      <c r="M161" s="1" t="n">
        <v>41992329799</v>
      </c>
      <c r="N161" s="1" t="n">
        <v>3125.38</v>
      </c>
      <c r="O161" s="1" t="n">
        <v>428.57</v>
      </c>
      <c r="P161" s="1" t="s">
        <v>1277</v>
      </c>
      <c r="Q161" s="1" t="s">
        <v>184</v>
      </c>
      <c r="S161" s="1" t="s">
        <v>1278</v>
      </c>
      <c r="T161" s="1" t="s">
        <v>1274</v>
      </c>
      <c r="V161" s="1" t="s">
        <v>1290</v>
      </c>
      <c r="W161" s="1" t="s">
        <v>1284</v>
      </c>
    </row>
    <row r="162" customFormat="false" ht="15" hidden="false" customHeight="true" outlineLevel="0" collapsed="false">
      <c r="A162" s="1" t="n">
        <v>0.496075</v>
      </c>
      <c r="B162" s="1" t="s">
        <v>1130</v>
      </c>
      <c r="C162" s="1" t="n">
        <v>6281.25</v>
      </c>
      <c r="D162" s="1" t="n">
        <v>3115.97</v>
      </c>
      <c r="E162" s="1" t="n">
        <v>6281.25</v>
      </c>
      <c r="F162" s="172" t="n">
        <v>0.496075</v>
      </c>
      <c r="G162" s="1" t="s">
        <v>124</v>
      </c>
      <c r="H162" s="1" t="s">
        <v>187</v>
      </c>
      <c r="I162" s="1" t="n">
        <v>8132659901</v>
      </c>
      <c r="J162" s="1" t="s">
        <v>1243</v>
      </c>
      <c r="K162" s="1" t="s">
        <v>124</v>
      </c>
      <c r="L162" s="1" t="s">
        <v>187</v>
      </c>
      <c r="M162" s="1" t="n">
        <v>8132659901</v>
      </c>
      <c r="N162" s="1" t="n">
        <v>3115.97</v>
      </c>
      <c r="O162" s="1" t="n">
        <v>523.44</v>
      </c>
      <c r="P162" s="1" t="s">
        <v>1286</v>
      </c>
      <c r="Q162" s="1" t="s">
        <v>184</v>
      </c>
      <c r="S162" s="1" t="s">
        <v>1278</v>
      </c>
      <c r="T162" s="1" t="s">
        <v>1274</v>
      </c>
      <c r="V162" s="1" t="s">
        <v>1290</v>
      </c>
      <c r="W162" s="1" t="s">
        <v>1284</v>
      </c>
    </row>
    <row r="163" customFormat="false" ht="15" hidden="false" customHeight="true" outlineLevel="0" collapsed="false">
      <c r="A163" s="1" t="n">
        <v>0.551281</v>
      </c>
      <c r="B163" s="1" t="s">
        <v>1130</v>
      </c>
      <c r="C163" s="1" t="n">
        <v>5615.5</v>
      </c>
      <c r="D163" s="1" t="n">
        <v>3095.72</v>
      </c>
      <c r="E163" s="1" t="n">
        <v>5615.5</v>
      </c>
      <c r="F163" s="172" t="n">
        <v>0.551281</v>
      </c>
      <c r="G163" s="1" t="s">
        <v>123</v>
      </c>
      <c r="H163" s="1" t="s">
        <v>139</v>
      </c>
      <c r="I163" s="1" t="n">
        <v>47337165984</v>
      </c>
      <c r="J163" s="1" t="s">
        <v>1243</v>
      </c>
      <c r="K163" s="1" t="s">
        <v>104</v>
      </c>
      <c r="L163" s="1" t="s">
        <v>139</v>
      </c>
      <c r="M163" s="1" t="n">
        <v>47337165984</v>
      </c>
      <c r="N163" s="1" t="n">
        <v>3095.72</v>
      </c>
      <c r="O163" s="1" t="n">
        <v>467.96</v>
      </c>
      <c r="P163" s="1" t="s">
        <v>1277</v>
      </c>
      <c r="Q163" s="1" t="s">
        <v>108</v>
      </c>
      <c r="S163" s="1" t="s">
        <v>1278</v>
      </c>
      <c r="T163" s="1" t="s">
        <v>1279</v>
      </c>
      <c r="V163" s="1" t="s">
        <v>1290</v>
      </c>
      <c r="W163" s="1" t="s">
        <v>1276</v>
      </c>
    </row>
    <row r="164" customFormat="false" ht="15" hidden="false" customHeight="true" outlineLevel="0" collapsed="false">
      <c r="A164" s="1" t="n">
        <v>0.542858</v>
      </c>
      <c r="B164" s="1" t="s">
        <v>1130</v>
      </c>
      <c r="C164" s="1" t="n">
        <v>5615.5</v>
      </c>
      <c r="D164" s="1" t="n">
        <v>3048.42</v>
      </c>
      <c r="E164" s="1" t="n">
        <v>5615.5</v>
      </c>
      <c r="F164" s="172" t="n">
        <v>0.542858</v>
      </c>
      <c r="G164" s="1" t="s">
        <v>123</v>
      </c>
      <c r="H164" s="1" t="s">
        <v>119</v>
      </c>
      <c r="I164" s="1" t="n">
        <v>19997925463</v>
      </c>
      <c r="J164" s="1" t="s">
        <v>1243</v>
      </c>
      <c r="K164" s="1" t="s">
        <v>104</v>
      </c>
      <c r="L164" s="1" t="s">
        <v>119</v>
      </c>
      <c r="M164" s="1" t="n">
        <v>19997925463</v>
      </c>
      <c r="N164" s="1" t="n">
        <v>3048.42</v>
      </c>
      <c r="O164" s="1" t="n">
        <v>467.96</v>
      </c>
      <c r="P164" s="1" t="s">
        <v>1281</v>
      </c>
      <c r="Q164" s="1" t="s">
        <v>100</v>
      </c>
      <c r="S164" s="1" t="s">
        <v>1004</v>
      </c>
      <c r="T164" s="1" t="s">
        <v>1274</v>
      </c>
      <c r="V164" s="1" t="s">
        <v>1290</v>
      </c>
      <c r="W164" s="1" t="s">
        <v>1276</v>
      </c>
    </row>
    <row r="165" customFormat="false" ht="15" hidden="false" customHeight="true" outlineLevel="0" collapsed="false">
      <c r="A165" s="1" t="n">
        <v>0.528252</v>
      </c>
      <c r="B165" s="1" t="s">
        <v>1130</v>
      </c>
      <c r="C165" s="1" t="n">
        <v>5615.5</v>
      </c>
      <c r="D165" s="1" t="n">
        <v>2966.4</v>
      </c>
      <c r="E165" s="1" t="n">
        <v>5615.5</v>
      </c>
      <c r="F165" s="172" t="n">
        <v>0.528252</v>
      </c>
      <c r="G165" s="1" t="s">
        <v>123</v>
      </c>
      <c r="H165" s="1" t="s">
        <v>119</v>
      </c>
      <c r="I165" s="1" t="n">
        <v>11958901366</v>
      </c>
      <c r="J165" s="1" t="s">
        <v>1243</v>
      </c>
      <c r="K165" s="1" t="s">
        <v>104</v>
      </c>
      <c r="L165" s="1" t="s">
        <v>119</v>
      </c>
      <c r="M165" s="1" t="n">
        <v>11958901366</v>
      </c>
      <c r="N165" s="1" t="n">
        <v>2966.4</v>
      </c>
      <c r="O165" s="1" t="n">
        <v>467.96</v>
      </c>
      <c r="P165" s="1" t="s">
        <v>1285</v>
      </c>
      <c r="Q165" s="1" t="s">
        <v>100</v>
      </c>
      <c r="S165" s="1" t="s">
        <v>1004</v>
      </c>
      <c r="T165" s="1" t="s">
        <v>1274</v>
      </c>
      <c r="V165" s="1" t="s">
        <v>1290</v>
      </c>
      <c r="W165" s="1" t="s">
        <v>1276</v>
      </c>
    </row>
    <row r="166" customFormat="false" ht="15" hidden="false" customHeight="true" outlineLevel="0" collapsed="false">
      <c r="A166" s="1" t="n">
        <v>0.526403</v>
      </c>
      <c r="B166" s="1" t="s">
        <v>1130</v>
      </c>
      <c r="C166" s="1" t="n">
        <v>5615.5</v>
      </c>
      <c r="D166" s="1" t="n">
        <v>2956.02</v>
      </c>
      <c r="E166" s="1" t="n">
        <v>5615.5</v>
      </c>
      <c r="F166" s="172" t="n">
        <v>0.526403</v>
      </c>
      <c r="G166" s="1" t="s">
        <v>123</v>
      </c>
      <c r="H166" s="1" t="s">
        <v>467</v>
      </c>
      <c r="I166" s="1" t="n">
        <v>82993177548</v>
      </c>
      <c r="J166" s="1" t="s">
        <v>1243</v>
      </c>
      <c r="K166" s="1" t="s">
        <v>104</v>
      </c>
      <c r="L166" s="1" t="s">
        <v>467</v>
      </c>
      <c r="M166" s="1" t="n">
        <v>82993177548</v>
      </c>
      <c r="N166" s="1" t="n">
        <v>2956.02</v>
      </c>
      <c r="O166" s="1" t="n">
        <v>467.96</v>
      </c>
      <c r="P166" s="1" t="s">
        <v>1282</v>
      </c>
      <c r="Q166" s="1" t="s">
        <v>100</v>
      </c>
      <c r="S166" s="1" t="s">
        <v>1004</v>
      </c>
      <c r="T166" s="1" t="s">
        <v>1274</v>
      </c>
      <c r="V166" s="1" t="s">
        <v>1290</v>
      </c>
      <c r="W166" s="1" t="s">
        <v>1276</v>
      </c>
    </row>
    <row r="167" customFormat="false" ht="15" hidden="false" customHeight="true" outlineLevel="0" collapsed="false">
      <c r="A167" s="1" t="n">
        <v>0.523802</v>
      </c>
      <c r="B167" s="1" t="s">
        <v>1130</v>
      </c>
      <c r="C167" s="1" t="n">
        <v>5615.5</v>
      </c>
      <c r="D167" s="1" t="n">
        <v>2941.41</v>
      </c>
      <c r="E167" s="1" t="n">
        <v>5615.5</v>
      </c>
      <c r="F167" s="172" t="n">
        <v>0.523802</v>
      </c>
      <c r="G167" s="1" t="s">
        <v>123</v>
      </c>
      <c r="H167" s="1" t="s">
        <v>196</v>
      </c>
      <c r="I167" s="1" t="n">
        <v>53991480884</v>
      </c>
      <c r="J167" s="1" t="s">
        <v>1243</v>
      </c>
      <c r="K167" s="1" t="s">
        <v>104</v>
      </c>
      <c r="L167" s="1" t="s">
        <v>196</v>
      </c>
      <c r="M167" s="1" t="n">
        <v>53991480884</v>
      </c>
      <c r="N167" s="1" t="n">
        <v>2941.41</v>
      </c>
      <c r="O167" s="1" t="n">
        <v>467.96</v>
      </c>
      <c r="P167" s="1" t="s">
        <v>1277</v>
      </c>
      <c r="Q167" s="1" t="s">
        <v>108</v>
      </c>
      <c r="S167" s="1" t="s">
        <v>1278</v>
      </c>
      <c r="T167" s="1" t="s">
        <v>1279</v>
      </c>
      <c r="V167" s="1" t="s">
        <v>1290</v>
      </c>
      <c r="W167" s="1" t="s">
        <v>1276</v>
      </c>
    </row>
    <row r="168" customFormat="false" ht="15" hidden="false" customHeight="true" outlineLevel="0" collapsed="false">
      <c r="A168" s="1" t="n">
        <v>0.51221</v>
      </c>
      <c r="B168" s="1" t="s">
        <v>1130</v>
      </c>
      <c r="C168" s="1" t="n">
        <v>5615.5</v>
      </c>
      <c r="D168" s="1" t="n">
        <v>2876.32</v>
      </c>
      <c r="E168" s="1" t="n">
        <v>5615.5</v>
      </c>
      <c r="F168" s="172" t="n">
        <v>0.51221</v>
      </c>
      <c r="G168" s="1" t="s">
        <v>123</v>
      </c>
      <c r="H168" s="1" t="s">
        <v>119</v>
      </c>
      <c r="I168" s="1" t="n">
        <v>16997395135</v>
      </c>
      <c r="J168" s="1" t="s">
        <v>1243</v>
      </c>
      <c r="K168" s="1" t="s">
        <v>104</v>
      </c>
      <c r="L168" s="1" t="s">
        <v>119</v>
      </c>
      <c r="M168" s="1" t="n">
        <v>16997395135</v>
      </c>
      <c r="N168" s="1" t="n">
        <v>2876.32</v>
      </c>
      <c r="O168" s="1" t="n">
        <v>467.96</v>
      </c>
      <c r="P168" s="1" t="s">
        <v>1281</v>
      </c>
      <c r="Q168" s="1" t="s">
        <v>100</v>
      </c>
      <c r="S168" s="1" t="s">
        <v>1278</v>
      </c>
      <c r="T168" s="1" t="s">
        <v>1274</v>
      </c>
      <c r="V168" s="1" t="s">
        <v>1290</v>
      </c>
      <c r="W168" s="1" t="s">
        <v>1276</v>
      </c>
    </row>
    <row r="169" customFormat="false" ht="15" hidden="false" customHeight="true" outlineLevel="0" collapsed="false">
      <c r="A169" s="1" t="n">
        <v>0.265808</v>
      </c>
      <c r="B169" s="1" t="s">
        <v>1131</v>
      </c>
      <c r="C169" s="1" t="n">
        <v>10706.9</v>
      </c>
      <c r="D169" s="1" t="n">
        <v>2845.98</v>
      </c>
      <c r="E169" s="1" t="n">
        <v>10706.9</v>
      </c>
      <c r="F169" s="172" t="n">
        <v>0.265808</v>
      </c>
      <c r="G169" s="1" t="s">
        <v>66</v>
      </c>
      <c r="H169" s="1" t="s">
        <v>139</v>
      </c>
      <c r="I169" s="1" t="n">
        <v>4791232956</v>
      </c>
      <c r="J169" s="1" t="s">
        <v>1244</v>
      </c>
      <c r="K169" s="1" t="s">
        <v>66</v>
      </c>
      <c r="L169" s="1" t="s">
        <v>139</v>
      </c>
      <c r="M169" s="1" t="n">
        <v>4791232956</v>
      </c>
      <c r="N169" s="1" t="n">
        <v>2845.98</v>
      </c>
      <c r="O169" s="1" t="n">
        <v>892.24</v>
      </c>
      <c r="P169" s="1" t="s">
        <v>1286</v>
      </c>
      <c r="Q169" s="1" t="s">
        <v>175</v>
      </c>
      <c r="S169" s="1" t="s">
        <v>1278</v>
      </c>
      <c r="T169" s="1" t="s">
        <v>1274</v>
      </c>
      <c r="V169" s="1" t="s">
        <v>1290</v>
      </c>
      <c r="W169" s="1" t="s">
        <v>1284</v>
      </c>
    </row>
    <row r="170" customFormat="false" ht="15" hidden="false" customHeight="true" outlineLevel="0" collapsed="false">
      <c r="A170" s="1" t="n">
        <v>0.50596</v>
      </c>
      <c r="B170" s="1" t="s">
        <v>1130</v>
      </c>
      <c r="C170" s="1" t="n">
        <v>5615.5</v>
      </c>
      <c r="D170" s="1" t="n">
        <v>2841.22</v>
      </c>
      <c r="E170" s="1" t="n">
        <v>5615.5</v>
      </c>
      <c r="F170" s="172" t="n">
        <v>0.50596</v>
      </c>
      <c r="G170" s="1" t="s">
        <v>123</v>
      </c>
      <c r="H170" s="1" t="s">
        <v>260</v>
      </c>
      <c r="I170" s="1" t="n">
        <v>21965142281</v>
      </c>
      <c r="J170" s="1" t="s">
        <v>1243</v>
      </c>
      <c r="K170" s="1" t="s">
        <v>104</v>
      </c>
      <c r="L170" s="1" t="s">
        <v>260</v>
      </c>
      <c r="M170" s="1" t="n">
        <v>21965142281</v>
      </c>
      <c r="N170" s="1" t="n">
        <v>2841.22</v>
      </c>
      <c r="O170" s="1" t="n">
        <v>467.96</v>
      </c>
      <c r="P170" s="1" t="s">
        <v>1280</v>
      </c>
      <c r="Q170" s="1" t="s">
        <v>100</v>
      </c>
      <c r="S170" s="1" t="s">
        <v>1004</v>
      </c>
      <c r="T170" s="1" t="s">
        <v>1274</v>
      </c>
      <c r="V170" s="1" t="s">
        <v>1290</v>
      </c>
      <c r="W170" s="1" t="s">
        <v>1276</v>
      </c>
    </row>
    <row r="171" customFormat="false" ht="15" hidden="false" customHeight="true" outlineLevel="0" collapsed="false">
      <c r="A171" s="1" t="n">
        <v>0.50593</v>
      </c>
      <c r="B171" s="1" t="s">
        <v>1130</v>
      </c>
      <c r="C171" s="1" t="n">
        <v>5615.5</v>
      </c>
      <c r="D171" s="1" t="n">
        <v>2841.05</v>
      </c>
      <c r="E171" s="1" t="n">
        <v>5615.5</v>
      </c>
      <c r="F171" s="172" t="n">
        <v>0.50593</v>
      </c>
      <c r="G171" s="1" t="s">
        <v>123</v>
      </c>
      <c r="H171" s="1" t="s">
        <v>119</v>
      </c>
      <c r="I171" s="1" t="n">
        <v>17992275775</v>
      </c>
      <c r="J171" s="1" t="s">
        <v>1243</v>
      </c>
      <c r="K171" s="1" t="s">
        <v>104</v>
      </c>
      <c r="L171" s="1" t="s">
        <v>119</v>
      </c>
      <c r="M171" s="1" t="n">
        <v>17992275775</v>
      </c>
      <c r="N171" s="1" t="n">
        <v>2841.05</v>
      </c>
      <c r="O171" s="1" t="n">
        <v>467.96</v>
      </c>
      <c r="P171" s="1" t="s">
        <v>1281</v>
      </c>
      <c r="Q171" s="1" t="s">
        <v>100</v>
      </c>
      <c r="S171" s="1" t="s">
        <v>1004</v>
      </c>
      <c r="T171" s="1" t="s">
        <v>1274</v>
      </c>
      <c r="V171" s="1" t="s">
        <v>1290</v>
      </c>
      <c r="W171" s="1" t="s">
        <v>1276</v>
      </c>
    </row>
    <row r="172" customFormat="false" ht="15" hidden="false" customHeight="true" outlineLevel="0" collapsed="false">
      <c r="A172" s="1" t="n">
        <v>0.503944</v>
      </c>
      <c r="B172" s="1" t="s">
        <v>1130</v>
      </c>
      <c r="C172" s="1" t="n">
        <v>5615.5</v>
      </c>
      <c r="D172" s="1" t="n">
        <v>2829.9</v>
      </c>
      <c r="E172" s="1" t="n">
        <v>5615.5</v>
      </c>
      <c r="F172" s="172" t="n">
        <v>0.503944</v>
      </c>
      <c r="G172" s="1" t="s">
        <v>123</v>
      </c>
      <c r="H172" s="1" t="s">
        <v>109</v>
      </c>
      <c r="I172" s="1" t="n">
        <v>41988205031</v>
      </c>
      <c r="J172" s="1" t="s">
        <v>1243</v>
      </c>
      <c r="K172" s="1" t="s">
        <v>104</v>
      </c>
      <c r="L172" s="1" t="s">
        <v>109</v>
      </c>
      <c r="M172" s="1" t="n">
        <v>41988205031</v>
      </c>
      <c r="N172" s="1" t="n">
        <v>2829.9</v>
      </c>
      <c r="O172" s="1" t="n">
        <v>467.96</v>
      </c>
      <c r="P172" s="1" t="s">
        <v>1277</v>
      </c>
      <c r="Q172" s="1" t="s">
        <v>108</v>
      </c>
      <c r="S172" s="1" t="s">
        <v>1278</v>
      </c>
      <c r="T172" s="1" t="s">
        <v>1279</v>
      </c>
      <c r="V172" s="1" t="s">
        <v>1290</v>
      </c>
      <c r="W172" s="1" t="s">
        <v>1276</v>
      </c>
    </row>
    <row r="173" customFormat="false" ht="15" hidden="false" customHeight="true" outlineLevel="0" collapsed="false">
      <c r="A173" s="1" t="n">
        <v>0.276289</v>
      </c>
      <c r="B173" s="1" t="s">
        <v>1131</v>
      </c>
      <c r="C173" s="1" t="n">
        <v>10200</v>
      </c>
      <c r="D173" s="1" t="n">
        <v>2818.15</v>
      </c>
      <c r="E173" s="1" t="n">
        <v>10200</v>
      </c>
      <c r="F173" s="172" t="n">
        <v>0.276289</v>
      </c>
      <c r="G173" s="1" t="s">
        <v>115</v>
      </c>
      <c r="H173" s="1" t="s">
        <v>196</v>
      </c>
      <c r="I173" s="1" t="n">
        <v>51981272028</v>
      </c>
      <c r="J173" s="1" t="s">
        <v>1244</v>
      </c>
      <c r="K173" s="1" t="s">
        <v>115</v>
      </c>
      <c r="L173" s="1" t="s">
        <v>196</v>
      </c>
      <c r="M173" s="1" t="n">
        <v>51981272028</v>
      </c>
      <c r="N173" s="1" t="n">
        <v>2818.15</v>
      </c>
      <c r="O173" s="1" t="n">
        <v>850</v>
      </c>
      <c r="P173" s="1" t="s">
        <v>1286</v>
      </c>
      <c r="Q173" s="1" t="s">
        <v>108</v>
      </c>
      <c r="S173" s="1" t="s">
        <v>1278</v>
      </c>
      <c r="T173" s="1" t="s">
        <v>1279</v>
      </c>
      <c r="V173" s="1" t="s">
        <v>1290</v>
      </c>
      <c r="W173" s="1" t="s">
        <v>1284</v>
      </c>
    </row>
    <row r="174" customFormat="false" ht="15" hidden="false" customHeight="true" outlineLevel="0" collapsed="false">
      <c r="A174" s="1" t="n">
        <v>0.26225</v>
      </c>
      <c r="B174" s="1" t="s">
        <v>1131</v>
      </c>
      <c r="C174" s="1" t="n">
        <v>10706.9</v>
      </c>
      <c r="D174" s="1" t="n">
        <v>2807.88</v>
      </c>
      <c r="E174" s="1" t="n">
        <v>10706.9</v>
      </c>
      <c r="F174" s="172" t="n">
        <v>0.26225</v>
      </c>
      <c r="G174" s="1" t="s">
        <v>66</v>
      </c>
      <c r="H174" s="1" t="s">
        <v>139</v>
      </c>
      <c r="I174" s="1" t="n">
        <v>48992101077</v>
      </c>
      <c r="J174" s="1" t="s">
        <v>1244</v>
      </c>
      <c r="K174" s="1" t="s">
        <v>66</v>
      </c>
      <c r="L174" s="1" t="s">
        <v>139</v>
      </c>
      <c r="M174" s="1" t="n">
        <v>48992101077</v>
      </c>
      <c r="N174" s="1" t="n">
        <v>2807.88</v>
      </c>
      <c r="O174" s="1" t="n">
        <v>892.24</v>
      </c>
      <c r="P174" s="1" t="s">
        <v>1286</v>
      </c>
      <c r="Q174" s="1" t="s">
        <v>175</v>
      </c>
      <c r="S174" s="1" t="s">
        <v>1278</v>
      </c>
      <c r="T174" s="1" t="s">
        <v>1274</v>
      </c>
      <c r="V174" s="1" t="s">
        <v>1290</v>
      </c>
      <c r="W174" s="1" t="s">
        <v>1284</v>
      </c>
    </row>
    <row r="175" customFormat="false" ht="15" hidden="false" customHeight="true" outlineLevel="0" collapsed="false">
      <c r="A175" s="1" t="n">
        <v>0.49951</v>
      </c>
      <c r="B175" s="1" t="s">
        <v>1130</v>
      </c>
      <c r="C175" s="1" t="n">
        <v>5615.5</v>
      </c>
      <c r="D175" s="1" t="n">
        <v>2805</v>
      </c>
      <c r="E175" s="1" t="n">
        <v>5615.5</v>
      </c>
      <c r="F175" s="172" t="n">
        <v>0.49951</v>
      </c>
      <c r="G175" s="1" t="s">
        <v>123</v>
      </c>
      <c r="H175" s="1" t="s">
        <v>243</v>
      </c>
      <c r="I175" s="1" t="n">
        <v>75981451013</v>
      </c>
      <c r="J175" s="1" t="s">
        <v>1243</v>
      </c>
      <c r="K175" s="1" t="s">
        <v>104</v>
      </c>
      <c r="L175" s="1" t="s">
        <v>243</v>
      </c>
      <c r="M175" s="1" t="n">
        <v>75981451013</v>
      </c>
      <c r="N175" s="1" t="n">
        <v>2805</v>
      </c>
      <c r="O175" s="1" t="n">
        <v>467.96</v>
      </c>
      <c r="P175" s="1" t="s">
        <v>1282</v>
      </c>
      <c r="Q175" s="1" t="s">
        <v>100</v>
      </c>
      <c r="S175" s="1" t="s">
        <v>1004</v>
      </c>
      <c r="T175" s="1" t="s">
        <v>1274</v>
      </c>
      <c r="V175" s="1" t="s">
        <v>1290</v>
      </c>
      <c r="W175" s="1" t="s">
        <v>1276</v>
      </c>
    </row>
    <row r="176" customFormat="false" ht="15" hidden="false" customHeight="true" outlineLevel="0" collapsed="false">
      <c r="A176" s="1" t="n">
        <v>0.490472</v>
      </c>
      <c r="B176" s="1" t="s">
        <v>1130</v>
      </c>
      <c r="C176" s="1" t="n">
        <v>5615.5</v>
      </c>
      <c r="D176" s="1" t="n">
        <v>2754.25</v>
      </c>
      <c r="E176" s="1" t="n">
        <v>5615.5</v>
      </c>
      <c r="F176" s="172" t="n">
        <v>0.490472</v>
      </c>
      <c r="G176" s="1" t="s">
        <v>123</v>
      </c>
      <c r="H176" s="1" t="s">
        <v>260</v>
      </c>
      <c r="I176" s="1" t="n">
        <v>2433672385</v>
      </c>
      <c r="J176" s="1" t="s">
        <v>1243</v>
      </c>
      <c r="K176" s="1" t="s">
        <v>104</v>
      </c>
      <c r="L176" s="1" t="s">
        <v>260</v>
      </c>
      <c r="M176" s="1" t="n">
        <v>2433672385</v>
      </c>
      <c r="N176" s="1" t="n">
        <v>2754.25</v>
      </c>
      <c r="O176" s="1" t="n">
        <v>467.96</v>
      </c>
      <c r="P176" s="1" t="s">
        <v>1280</v>
      </c>
      <c r="Q176" s="1" t="s">
        <v>100</v>
      </c>
      <c r="S176" s="1" t="s">
        <v>1004</v>
      </c>
      <c r="T176" s="1" t="s">
        <v>1274</v>
      </c>
      <c r="V176" s="1" t="s">
        <v>1290</v>
      </c>
      <c r="W176" s="1" t="s">
        <v>1276</v>
      </c>
    </row>
    <row r="177" customFormat="false" ht="15" hidden="false" customHeight="true" outlineLevel="0" collapsed="false">
      <c r="A177" s="1" t="n">
        <v>0.489254</v>
      </c>
      <c r="B177" s="1" t="s">
        <v>1130</v>
      </c>
      <c r="C177" s="1" t="n">
        <v>5615.5</v>
      </c>
      <c r="D177" s="1" t="n">
        <v>2747.41</v>
      </c>
      <c r="E177" s="1" t="n">
        <v>5615.5</v>
      </c>
      <c r="F177" s="172" t="n">
        <v>0.489254</v>
      </c>
      <c r="G177" s="1" t="s">
        <v>123</v>
      </c>
      <c r="H177" s="1" t="s">
        <v>490</v>
      </c>
      <c r="I177" s="1" t="n">
        <v>84988880400</v>
      </c>
      <c r="J177" s="1" t="s">
        <v>1243</v>
      </c>
      <c r="K177" s="1" t="s">
        <v>104</v>
      </c>
      <c r="L177" s="1" t="s">
        <v>490</v>
      </c>
      <c r="M177" s="1" t="n">
        <v>84988880400</v>
      </c>
      <c r="N177" s="1" t="n">
        <v>2747.41</v>
      </c>
      <c r="O177" s="1" t="n">
        <v>467.96</v>
      </c>
      <c r="P177" s="1" t="s">
        <v>1282</v>
      </c>
      <c r="Q177" s="1" t="s">
        <v>100</v>
      </c>
      <c r="S177" s="1" t="s">
        <v>1004</v>
      </c>
      <c r="T177" s="1" t="s">
        <v>1274</v>
      </c>
      <c r="V177" s="1" t="s">
        <v>1290</v>
      </c>
      <c r="W177" s="1" t="s">
        <v>1276</v>
      </c>
    </row>
    <row r="178" customFormat="false" ht="15" hidden="false" customHeight="true" outlineLevel="0" collapsed="false">
      <c r="A178" s="1" t="n">
        <v>0.48469</v>
      </c>
      <c r="B178" s="1" t="s">
        <v>1130</v>
      </c>
      <c r="C178" s="1" t="n">
        <v>5615.5</v>
      </c>
      <c r="D178" s="1" t="n">
        <v>2721.78</v>
      </c>
      <c r="E178" s="1" t="n">
        <v>5615.5</v>
      </c>
      <c r="F178" s="172" t="n">
        <v>0.48469</v>
      </c>
      <c r="G178" s="1" t="s">
        <v>123</v>
      </c>
      <c r="H178" s="1" t="s">
        <v>119</v>
      </c>
      <c r="I178" s="1" t="n">
        <v>18998127959</v>
      </c>
      <c r="J178" s="1" t="s">
        <v>1243</v>
      </c>
      <c r="K178" s="1" t="s">
        <v>104</v>
      </c>
      <c r="L178" s="1" t="s">
        <v>119</v>
      </c>
      <c r="M178" s="1" t="n">
        <v>18998127959</v>
      </c>
      <c r="N178" s="1" t="n">
        <v>2721.78</v>
      </c>
      <c r="O178" s="1" t="n">
        <v>467.96</v>
      </c>
      <c r="P178" s="1" t="s">
        <v>1281</v>
      </c>
      <c r="Q178" s="1" t="s">
        <v>100</v>
      </c>
      <c r="S178" s="1" t="s">
        <v>1004</v>
      </c>
      <c r="T178" s="1" t="s">
        <v>1274</v>
      </c>
      <c r="V178" s="1" t="s">
        <v>1290</v>
      </c>
      <c r="W178" s="1" t="s">
        <v>1276</v>
      </c>
    </row>
    <row r="179" customFormat="false" ht="15" hidden="false" customHeight="true" outlineLevel="0" collapsed="false">
      <c r="A179" s="1" t="n">
        <v>0.483727</v>
      </c>
      <c r="B179" s="1" t="s">
        <v>1130</v>
      </c>
      <c r="C179" s="1" t="n">
        <v>5615.5</v>
      </c>
      <c r="D179" s="1" t="n">
        <v>2716.37</v>
      </c>
      <c r="E179" s="1" t="n">
        <v>5615.5</v>
      </c>
      <c r="F179" s="172" t="n">
        <v>0.483727</v>
      </c>
      <c r="G179" s="1" t="s">
        <v>123</v>
      </c>
      <c r="H179" s="1" t="s">
        <v>127</v>
      </c>
      <c r="I179" s="1" t="n">
        <v>6233573862</v>
      </c>
      <c r="J179" s="1" t="s">
        <v>1243</v>
      </c>
      <c r="K179" s="1" t="s">
        <v>104</v>
      </c>
      <c r="L179" s="1" t="s">
        <v>127</v>
      </c>
      <c r="M179" s="1" t="n">
        <v>6233573862</v>
      </c>
      <c r="N179" s="1" t="n">
        <v>2716.37</v>
      </c>
      <c r="O179" s="1" t="n">
        <v>467.96</v>
      </c>
      <c r="P179" s="1" t="s">
        <v>1273</v>
      </c>
      <c r="Q179" s="1" t="s">
        <v>100</v>
      </c>
      <c r="S179" s="1" t="s">
        <v>1004</v>
      </c>
      <c r="T179" s="1" t="s">
        <v>1274</v>
      </c>
      <c r="V179" s="1" t="s">
        <v>1290</v>
      </c>
      <c r="W179" s="1" t="s">
        <v>1276</v>
      </c>
    </row>
    <row r="180" customFormat="false" ht="15" hidden="false" customHeight="true" outlineLevel="0" collapsed="false">
      <c r="A180" s="1" t="n">
        <v>0.483483</v>
      </c>
      <c r="B180" s="1" t="s">
        <v>1130</v>
      </c>
      <c r="C180" s="1" t="n">
        <v>5615.5</v>
      </c>
      <c r="D180" s="1" t="n">
        <v>2715</v>
      </c>
      <c r="E180" s="1" t="n">
        <v>5615.5</v>
      </c>
      <c r="F180" s="172" t="n">
        <v>0.483483</v>
      </c>
      <c r="G180" s="1" t="s">
        <v>123</v>
      </c>
      <c r="H180" s="1" t="s">
        <v>187</v>
      </c>
      <c r="I180" s="1" t="n">
        <v>8737625659</v>
      </c>
      <c r="J180" s="1" t="s">
        <v>1243</v>
      </c>
      <c r="K180" s="1" t="s">
        <v>104</v>
      </c>
      <c r="L180" s="1" t="s">
        <v>187</v>
      </c>
      <c r="M180" s="1" t="n">
        <v>8737625659</v>
      </c>
      <c r="N180" s="1" t="n">
        <v>2715</v>
      </c>
      <c r="O180" s="1" t="n">
        <v>467.96</v>
      </c>
      <c r="P180" s="1" t="s">
        <v>1282</v>
      </c>
      <c r="Q180" s="1" t="s">
        <v>100</v>
      </c>
      <c r="S180" s="1" t="s">
        <v>1004</v>
      </c>
      <c r="T180" s="1" t="s">
        <v>1274</v>
      </c>
      <c r="V180" s="1" t="s">
        <v>1290</v>
      </c>
      <c r="W180" s="1" t="s">
        <v>1276</v>
      </c>
    </row>
    <row r="181" customFormat="false" ht="15" hidden="false" customHeight="true" outlineLevel="0" collapsed="false">
      <c r="A181" s="1" t="n">
        <v>0.250148</v>
      </c>
      <c r="B181" s="1" t="s">
        <v>1131</v>
      </c>
      <c r="C181" s="1" t="n">
        <v>10706.9</v>
      </c>
      <c r="D181" s="1" t="n">
        <v>2678.31</v>
      </c>
      <c r="E181" s="1" t="n">
        <v>10706.9</v>
      </c>
      <c r="F181" s="172" t="n">
        <v>0.250148</v>
      </c>
      <c r="G181" s="1" t="s">
        <v>66</v>
      </c>
      <c r="H181" s="1" t="s">
        <v>139</v>
      </c>
      <c r="I181" s="1" t="n">
        <v>4796102611</v>
      </c>
      <c r="J181" s="1" t="s">
        <v>1244</v>
      </c>
      <c r="K181" s="1" t="s">
        <v>66</v>
      </c>
      <c r="L181" s="1" t="s">
        <v>139</v>
      </c>
      <c r="M181" s="1" t="n">
        <v>4796102611</v>
      </c>
      <c r="N181" s="1" t="n">
        <v>2678.31</v>
      </c>
      <c r="O181" s="1" t="n">
        <v>892.24</v>
      </c>
      <c r="P181" s="1" t="s">
        <v>1286</v>
      </c>
      <c r="Q181" s="1" t="s">
        <v>175</v>
      </c>
      <c r="S181" s="1" t="s">
        <v>1287</v>
      </c>
      <c r="T181" s="1" t="s">
        <v>1274</v>
      </c>
      <c r="V181" s="1" t="s">
        <v>1290</v>
      </c>
      <c r="W181" s="1" t="s">
        <v>1284</v>
      </c>
    </row>
    <row r="182" customFormat="false" ht="15" hidden="false" customHeight="true" outlineLevel="0" collapsed="false">
      <c r="A182" s="1" t="n">
        <v>0.473653</v>
      </c>
      <c r="B182" s="1" t="s">
        <v>1130</v>
      </c>
      <c r="C182" s="1" t="n">
        <v>5615.5</v>
      </c>
      <c r="D182" s="1" t="n">
        <v>2659.8</v>
      </c>
      <c r="E182" s="1" t="n">
        <v>5615.5</v>
      </c>
      <c r="F182" s="172" t="n">
        <v>0.473653</v>
      </c>
      <c r="G182" s="1" t="s">
        <v>123</v>
      </c>
      <c r="H182" s="1" t="s">
        <v>109</v>
      </c>
      <c r="I182" s="1" t="n">
        <v>41991714752</v>
      </c>
      <c r="J182" s="1" t="s">
        <v>1243</v>
      </c>
      <c r="K182" s="1" t="s">
        <v>104</v>
      </c>
      <c r="L182" s="1" t="s">
        <v>109</v>
      </c>
      <c r="M182" s="1" t="n">
        <v>41991714752</v>
      </c>
      <c r="N182" s="1" t="n">
        <v>2659.8</v>
      </c>
      <c r="O182" s="1" t="n">
        <v>467.96</v>
      </c>
      <c r="P182" s="1" t="s">
        <v>1277</v>
      </c>
      <c r="Q182" s="1" t="s">
        <v>108</v>
      </c>
      <c r="S182" s="1" t="s">
        <v>1278</v>
      </c>
      <c r="T182" s="1" t="s">
        <v>1279</v>
      </c>
      <c r="V182" s="1" t="s">
        <v>1290</v>
      </c>
      <c r="W182" s="1" t="s">
        <v>1276</v>
      </c>
    </row>
    <row r="183" customFormat="false" ht="15" hidden="false" customHeight="true" outlineLevel="0" collapsed="false">
      <c r="A183" s="1" t="n">
        <v>0.471398</v>
      </c>
      <c r="B183" s="1" t="s">
        <v>1130</v>
      </c>
      <c r="C183" s="1" t="n">
        <v>5615.5</v>
      </c>
      <c r="D183" s="1" t="n">
        <v>2647.14</v>
      </c>
      <c r="E183" s="1" t="n">
        <v>5615.5</v>
      </c>
      <c r="F183" s="172" t="n">
        <v>0.471398</v>
      </c>
      <c r="G183" s="1" t="s">
        <v>123</v>
      </c>
      <c r="H183" s="1" t="s">
        <v>119</v>
      </c>
      <c r="I183" s="1" t="n">
        <v>17996183126</v>
      </c>
      <c r="J183" s="1" t="s">
        <v>1243</v>
      </c>
      <c r="K183" s="1" t="s">
        <v>104</v>
      </c>
      <c r="L183" s="1" t="s">
        <v>119</v>
      </c>
      <c r="M183" s="1" t="n">
        <v>17996183126</v>
      </c>
      <c r="N183" s="1" t="n">
        <v>2647.14</v>
      </c>
      <c r="O183" s="1" t="n">
        <v>467.96</v>
      </c>
      <c r="P183" s="1" t="s">
        <v>1281</v>
      </c>
      <c r="Q183" s="1" t="s">
        <v>100</v>
      </c>
      <c r="S183" s="1" t="s">
        <v>1004</v>
      </c>
      <c r="T183" s="1" t="s">
        <v>1274</v>
      </c>
      <c r="V183" s="1" t="s">
        <v>1290</v>
      </c>
      <c r="W183" s="1" t="s">
        <v>1276</v>
      </c>
    </row>
    <row r="184" customFormat="false" ht="15" hidden="false" customHeight="true" outlineLevel="0" collapsed="false">
      <c r="A184" s="1" t="n">
        <v>0.471222</v>
      </c>
      <c r="B184" s="1" t="s">
        <v>1130</v>
      </c>
      <c r="C184" s="1" t="n">
        <v>5615.5</v>
      </c>
      <c r="D184" s="1" t="n">
        <v>2646.15</v>
      </c>
      <c r="E184" s="1" t="n">
        <v>5615.5</v>
      </c>
      <c r="F184" s="172" t="n">
        <v>0.471222</v>
      </c>
      <c r="G184" s="1" t="s">
        <v>123</v>
      </c>
      <c r="H184" s="1" t="s">
        <v>119</v>
      </c>
      <c r="I184" s="1" t="n">
        <v>1532571511</v>
      </c>
      <c r="J184" s="1" t="s">
        <v>1243</v>
      </c>
      <c r="K184" s="1" t="s">
        <v>104</v>
      </c>
      <c r="L184" s="1" t="s">
        <v>119</v>
      </c>
      <c r="M184" s="1" t="n">
        <v>1532571511</v>
      </c>
      <c r="N184" s="1" t="n">
        <v>2646.15</v>
      </c>
      <c r="O184" s="1" t="n">
        <v>467.96</v>
      </c>
      <c r="P184" s="1" t="s">
        <v>1281</v>
      </c>
      <c r="Q184" s="1" t="s">
        <v>100</v>
      </c>
      <c r="S184" s="1" t="s">
        <v>1004</v>
      </c>
      <c r="T184" s="1" t="s">
        <v>1274</v>
      </c>
      <c r="V184" s="1" t="s">
        <v>1290</v>
      </c>
      <c r="W184" s="1" t="s">
        <v>1276</v>
      </c>
    </row>
    <row r="185" customFormat="false" ht="15" hidden="false" customHeight="true" outlineLevel="0" collapsed="false">
      <c r="A185" s="1" t="n">
        <v>0.25625</v>
      </c>
      <c r="B185" s="1" t="s">
        <v>1131</v>
      </c>
      <c r="C185" s="1" t="n">
        <v>10200</v>
      </c>
      <c r="D185" s="1" t="n">
        <v>2613.75</v>
      </c>
      <c r="E185" s="1" t="n">
        <v>10200</v>
      </c>
      <c r="F185" s="172" t="n">
        <v>0.25625</v>
      </c>
      <c r="G185" s="1" t="s">
        <v>115</v>
      </c>
      <c r="H185" s="1" t="s">
        <v>243</v>
      </c>
      <c r="I185" s="1" t="n">
        <v>71992847946</v>
      </c>
      <c r="J185" s="1" t="s">
        <v>1244</v>
      </c>
      <c r="K185" s="1" t="s">
        <v>115</v>
      </c>
      <c r="L185" s="1" t="s">
        <v>243</v>
      </c>
      <c r="M185" s="1" t="n">
        <v>71992847946</v>
      </c>
      <c r="N185" s="1" t="n">
        <v>2613.75</v>
      </c>
      <c r="O185" s="1" t="n">
        <v>850</v>
      </c>
      <c r="P185" s="1" t="s">
        <v>1286</v>
      </c>
      <c r="Q185" s="1" t="s">
        <v>184</v>
      </c>
      <c r="S185" s="1" t="s">
        <v>1278</v>
      </c>
      <c r="T185" s="1" t="s">
        <v>1274</v>
      </c>
      <c r="V185" s="1" t="s">
        <v>1290</v>
      </c>
      <c r="W185" s="1" t="s">
        <v>1284</v>
      </c>
    </row>
    <row r="186" customFormat="false" ht="15" hidden="false" customHeight="true" outlineLevel="0" collapsed="false">
      <c r="A186" s="1" t="n">
        <v>0.239936</v>
      </c>
      <c r="B186" s="1" t="s">
        <v>1131</v>
      </c>
      <c r="C186" s="1" t="n">
        <v>10706.9</v>
      </c>
      <c r="D186" s="1" t="n">
        <v>2568.97</v>
      </c>
      <c r="E186" s="1" t="n">
        <v>10706.9</v>
      </c>
      <c r="F186" s="172" t="n">
        <v>0.239936</v>
      </c>
      <c r="G186" s="1" t="s">
        <v>66</v>
      </c>
      <c r="H186" s="1" t="s">
        <v>139</v>
      </c>
      <c r="I186" s="1" t="n">
        <v>4791640830</v>
      </c>
      <c r="J186" s="1" t="s">
        <v>1244</v>
      </c>
      <c r="K186" s="1" t="s">
        <v>66</v>
      </c>
      <c r="L186" s="1" t="s">
        <v>139</v>
      </c>
      <c r="M186" s="1" t="n">
        <v>4791640830</v>
      </c>
      <c r="N186" s="1" t="n">
        <v>2568.97</v>
      </c>
      <c r="O186" s="1" t="n">
        <v>892.24</v>
      </c>
      <c r="P186" s="1" t="s">
        <v>1286</v>
      </c>
      <c r="Q186" s="1" t="s">
        <v>175</v>
      </c>
      <c r="S186" s="1" t="s">
        <v>1287</v>
      </c>
      <c r="T186" s="1" t="s">
        <v>1274</v>
      </c>
      <c r="V186" s="1" t="s">
        <v>1290</v>
      </c>
      <c r="W186" s="1" t="s">
        <v>1284</v>
      </c>
    </row>
    <row r="187" customFormat="false" ht="15" hidden="false" customHeight="true" outlineLevel="0" collapsed="false">
      <c r="A187" s="1" t="n">
        <v>0.457385</v>
      </c>
      <c r="B187" s="1" t="s">
        <v>1130</v>
      </c>
      <c r="C187" s="1" t="n">
        <v>5615.5</v>
      </c>
      <c r="D187" s="1" t="n">
        <v>2568.45</v>
      </c>
      <c r="E187" s="1" t="n">
        <v>5615.5</v>
      </c>
      <c r="F187" s="172" t="n">
        <v>0.457385</v>
      </c>
      <c r="G187" s="1" t="s">
        <v>123</v>
      </c>
      <c r="H187" s="1" t="s">
        <v>260</v>
      </c>
      <c r="I187" s="1" t="n">
        <v>22999447675</v>
      </c>
      <c r="J187" s="1" t="s">
        <v>1243</v>
      </c>
      <c r="K187" s="1" t="s">
        <v>104</v>
      </c>
      <c r="L187" s="1" t="s">
        <v>260</v>
      </c>
      <c r="M187" s="1" t="n">
        <v>22999447675</v>
      </c>
      <c r="N187" s="1" t="n">
        <v>2568.45</v>
      </c>
      <c r="O187" s="1" t="n">
        <v>467.96</v>
      </c>
      <c r="P187" s="1" t="s">
        <v>1280</v>
      </c>
      <c r="Q187" s="1" t="s">
        <v>100</v>
      </c>
      <c r="S187" s="1" t="s">
        <v>1004</v>
      </c>
      <c r="T187" s="1" t="s">
        <v>1274</v>
      </c>
      <c r="V187" s="1" t="s">
        <v>1290</v>
      </c>
      <c r="W187" s="1" t="s">
        <v>1276</v>
      </c>
    </row>
    <row r="188" customFormat="false" ht="15" hidden="false" customHeight="true" outlineLevel="0" collapsed="false">
      <c r="A188" s="1" t="n">
        <v>0.457035</v>
      </c>
      <c r="B188" s="1" t="s">
        <v>1130</v>
      </c>
      <c r="C188" s="1" t="n">
        <v>5615.5</v>
      </c>
      <c r="D188" s="1" t="n">
        <v>2566.48</v>
      </c>
      <c r="E188" s="1" t="n">
        <v>5615.5</v>
      </c>
      <c r="F188" s="172" t="n">
        <v>0.457035</v>
      </c>
      <c r="G188" s="1" t="s">
        <v>123</v>
      </c>
      <c r="H188" s="1" t="s">
        <v>513</v>
      </c>
      <c r="I188" s="1" t="n">
        <v>69984747043</v>
      </c>
      <c r="J188" s="1" t="s">
        <v>1243</v>
      </c>
      <c r="K188" s="1" t="s">
        <v>104</v>
      </c>
      <c r="L188" s="1" t="s">
        <v>513</v>
      </c>
      <c r="M188" s="1" t="n">
        <v>69984747043</v>
      </c>
      <c r="N188" s="1" t="n">
        <v>2566.48</v>
      </c>
      <c r="O188" s="1" t="n">
        <v>467.96</v>
      </c>
      <c r="P188" s="1" t="s">
        <v>1283</v>
      </c>
      <c r="Q188" s="1" t="s">
        <v>100</v>
      </c>
      <c r="S188" s="1" t="s">
        <v>1004</v>
      </c>
      <c r="T188" s="1" t="s">
        <v>1274</v>
      </c>
      <c r="V188" s="1" t="s">
        <v>1290</v>
      </c>
      <c r="W188" s="1" t="s">
        <v>1276</v>
      </c>
    </row>
    <row r="189" customFormat="false" ht="15" hidden="false" customHeight="true" outlineLevel="0" collapsed="false">
      <c r="A189" s="1" t="n">
        <v>0.456477</v>
      </c>
      <c r="B189" s="1" t="s">
        <v>1130</v>
      </c>
      <c r="C189" s="1" t="n">
        <v>5615.5</v>
      </c>
      <c r="D189" s="1" t="n">
        <v>2563.35</v>
      </c>
      <c r="E189" s="1" t="n">
        <v>5615.5</v>
      </c>
      <c r="F189" s="172" t="n">
        <v>0.456477</v>
      </c>
      <c r="G189" s="1" t="s">
        <v>123</v>
      </c>
      <c r="H189" s="1" t="s">
        <v>114</v>
      </c>
      <c r="I189" s="1" t="n">
        <v>33999951133</v>
      </c>
      <c r="J189" s="1" t="s">
        <v>1243</v>
      </c>
      <c r="K189" s="1" t="s">
        <v>104</v>
      </c>
      <c r="L189" s="1" t="s">
        <v>114</v>
      </c>
      <c r="M189" s="1" t="n">
        <v>33999951133</v>
      </c>
      <c r="N189" s="1" t="n">
        <v>2563.35</v>
      </c>
      <c r="O189" s="1" t="n">
        <v>467.96</v>
      </c>
      <c r="P189" s="1" t="s">
        <v>1280</v>
      </c>
      <c r="Q189" s="1" t="s">
        <v>100</v>
      </c>
      <c r="S189" s="1" t="s">
        <v>1004</v>
      </c>
      <c r="T189" s="1" t="s">
        <v>1274</v>
      </c>
      <c r="V189" s="1" t="s">
        <v>1290</v>
      </c>
      <c r="W189" s="1" t="s">
        <v>1276</v>
      </c>
    </row>
    <row r="190" customFormat="false" ht="15" hidden="false" customHeight="true" outlineLevel="0" collapsed="false">
      <c r="A190" s="1" t="n">
        <v>0.455453</v>
      </c>
      <c r="B190" s="1" t="s">
        <v>1130</v>
      </c>
      <c r="C190" s="1" t="n">
        <v>5615.5</v>
      </c>
      <c r="D190" s="1" t="n">
        <v>2557.6</v>
      </c>
      <c r="E190" s="1" t="n">
        <v>5615.5</v>
      </c>
      <c r="F190" s="172" t="n">
        <v>0.455453</v>
      </c>
      <c r="G190" s="1" t="s">
        <v>123</v>
      </c>
      <c r="H190" s="1" t="s">
        <v>260</v>
      </c>
      <c r="I190" s="1" t="n">
        <v>22999447675</v>
      </c>
      <c r="J190" s="1" t="s">
        <v>1243</v>
      </c>
      <c r="K190" s="1" t="s">
        <v>104</v>
      </c>
      <c r="L190" s="1" t="s">
        <v>260</v>
      </c>
      <c r="M190" s="1" t="n">
        <v>22999447675</v>
      </c>
      <c r="N190" s="1" t="n">
        <v>2557.6</v>
      </c>
      <c r="O190" s="1" t="n">
        <v>467.96</v>
      </c>
      <c r="P190" s="1" t="s">
        <v>1280</v>
      </c>
      <c r="Q190" s="1" t="s">
        <v>100</v>
      </c>
      <c r="S190" s="1" t="s">
        <v>1004</v>
      </c>
      <c r="T190" s="1" t="s">
        <v>1274</v>
      </c>
      <c r="V190" s="1" t="s">
        <v>1290</v>
      </c>
      <c r="W190" s="1" t="s">
        <v>1276</v>
      </c>
    </row>
    <row r="191" customFormat="false" ht="15" hidden="false" customHeight="true" outlineLevel="0" collapsed="false">
      <c r="A191" s="1" t="n">
        <v>0.236756</v>
      </c>
      <c r="B191" s="1" t="s">
        <v>1131</v>
      </c>
      <c r="C191" s="1" t="n">
        <v>10706.9</v>
      </c>
      <c r="D191" s="1" t="n">
        <v>2534.92</v>
      </c>
      <c r="E191" s="1" t="n">
        <v>10706.9</v>
      </c>
      <c r="F191" s="172" t="n">
        <v>0.236756</v>
      </c>
      <c r="G191" s="1" t="s">
        <v>66</v>
      </c>
      <c r="H191" s="1" t="s">
        <v>139</v>
      </c>
      <c r="I191" s="1" t="n">
        <v>4896130715</v>
      </c>
      <c r="J191" s="1" t="s">
        <v>1244</v>
      </c>
      <c r="K191" s="1" t="s">
        <v>66</v>
      </c>
      <c r="L191" s="1" t="s">
        <v>139</v>
      </c>
      <c r="M191" s="1" t="n">
        <v>4896130715</v>
      </c>
      <c r="N191" s="1" t="n">
        <v>2534.92</v>
      </c>
      <c r="O191" s="1" t="n">
        <v>892.24</v>
      </c>
      <c r="P191" s="1" t="s">
        <v>1286</v>
      </c>
      <c r="Q191" s="1" t="s">
        <v>175</v>
      </c>
      <c r="S191" s="1" t="s">
        <v>1278</v>
      </c>
      <c r="T191" s="1" t="s">
        <v>1274</v>
      </c>
      <c r="V191" s="1" t="s">
        <v>1290</v>
      </c>
      <c r="W191" s="1" t="s">
        <v>1284</v>
      </c>
    </row>
    <row r="192" customFormat="false" ht="15" hidden="false" customHeight="true" outlineLevel="0" collapsed="false">
      <c r="A192" s="1" t="n">
        <v>0.450125</v>
      </c>
      <c r="B192" s="1" t="s">
        <v>1130</v>
      </c>
      <c r="C192" s="1" t="n">
        <v>5615.5</v>
      </c>
      <c r="D192" s="1" t="n">
        <v>2527.68</v>
      </c>
      <c r="E192" s="1" t="n">
        <v>5615.5</v>
      </c>
      <c r="F192" s="172" t="n">
        <v>0.450125</v>
      </c>
      <c r="G192" s="1" t="s">
        <v>123</v>
      </c>
      <c r="H192" s="1" t="s">
        <v>260</v>
      </c>
      <c r="I192" s="1" t="n">
        <v>22999447675</v>
      </c>
      <c r="J192" s="1" t="s">
        <v>1243</v>
      </c>
      <c r="K192" s="1" t="s">
        <v>104</v>
      </c>
      <c r="L192" s="1" t="s">
        <v>260</v>
      </c>
      <c r="M192" s="1" t="n">
        <v>22999447675</v>
      </c>
      <c r="N192" s="1" t="n">
        <v>2527.68</v>
      </c>
      <c r="O192" s="1" t="n">
        <v>467.96</v>
      </c>
      <c r="P192" s="1" t="s">
        <v>1280</v>
      </c>
      <c r="Q192" s="1" t="s">
        <v>100</v>
      </c>
      <c r="S192" s="1" t="s">
        <v>1004</v>
      </c>
      <c r="T192" s="1" t="s">
        <v>1274</v>
      </c>
      <c r="V192" s="1" t="s">
        <v>1290</v>
      </c>
      <c r="W192" s="1" t="s">
        <v>1276</v>
      </c>
    </row>
    <row r="193" customFormat="false" ht="15" hidden="false" customHeight="true" outlineLevel="0" collapsed="false">
      <c r="A193" s="1" t="n">
        <v>0.235144</v>
      </c>
      <c r="B193" s="1" t="s">
        <v>1131</v>
      </c>
      <c r="C193" s="1" t="n">
        <v>10706.9</v>
      </c>
      <c r="D193" s="1" t="n">
        <v>2517.66</v>
      </c>
      <c r="E193" s="1" t="n">
        <v>10706.9</v>
      </c>
      <c r="F193" s="172" t="n">
        <v>0.235144</v>
      </c>
      <c r="G193" s="1" t="s">
        <v>66</v>
      </c>
      <c r="H193" s="1" t="s">
        <v>139</v>
      </c>
      <c r="I193" s="1" t="n">
        <v>4791306999</v>
      </c>
      <c r="J193" s="1" t="s">
        <v>1244</v>
      </c>
      <c r="K193" s="1" t="s">
        <v>66</v>
      </c>
      <c r="L193" s="1" t="s">
        <v>139</v>
      </c>
      <c r="M193" s="1" t="n">
        <v>4791306999</v>
      </c>
      <c r="N193" s="1" t="n">
        <v>2517.66</v>
      </c>
      <c r="O193" s="1" t="n">
        <v>892.24</v>
      </c>
      <c r="P193" s="1" t="s">
        <v>1286</v>
      </c>
      <c r="Q193" s="1" t="s">
        <v>175</v>
      </c>
      <c r="S193" s="1" t="s">
        <v>1278</v>
      </c>
      <c r="T193" s="1" t="s">
        <v>1274</v>
      </c>
      <c r="V193" s="1" t="s">
        <v>1290</v>
      </c>
      <c r="W193" s="1" t="s">
        <v>1284</v>
      </c>
    </row>
    <row r="194" customFormat="false" ht="15" hidden="false" customHeight="true" outlineLevel="0" collapsed="false">
      <c r="A194" s="1" t="n">
        <v>0.447155</v>
      </c>
      <c r="B194" s="1" t="s">
        <v>1130</v>
      </c>
      <c r="C194" s="1" t="n">
        <v>5615.5</v>
      </c>
      <c r="D194" s="1" t="n">
        <v>2511</v>
      </c>
      <c r="E194" s="1" t="n">
        <v>5615.5</v>
      </c>
      <c r="F194" s="172" t="n">
        <v>0.447155</v>
      </c>
      <c r="G194" s="1" t="s">
        <v>123</v>
      </c>
      <c r="H194" s="1" t="s">
        <v>127</v>
      </c>
      <c r="I194" s="1" t="n">
        <v>62985832486</v>
      </c>
      <c r="J194" s="1" t="s">
        <v>1243</v>
      </c>
      <c r="K194" s="1" t="s">
        <v>104</v>
      </c>
      <c r="L194" s="1" t="s">
        <v>127</v>
      </c>
      <c r="M194" s="1" t="n">
        <v>62985832486</v>
      </c>
      <c r="N194" s="1" t="n">
        <v>2511</v>
      </c>
      <c r="O194" s="1" t="n">
        <v>467.96</v>
      </c>
      <c r="P194" s="1" t="s">
        <v>1273</v>
      </c>
      <c r="Q194" s="1" t="s">
        <v>100</v>
      </c>
      <c r="S194" s="1" t="s">
        <v>1004</v>
      </c>
      <c r="T194" s="1" t="s">
        <v>1274</v>
      </c>
      <c r="V194" s="1" t="s">
        <v>1290</v>
      </c>
      <c r="W194" s="1" t="s">
        <v>1276</v>
      </c>
    </row>
    <row r="195" customFormat="false" ht="15" hidden="false" customHeight="true" outlineLevel="0" collapsed="false">
      <c r="A195" s="1" t="n">
        <v>0.245256</v>
      </c>
      <c r="B195" s="1" t="s">
        <v>1131</v>
      </c>
      <c r="C195" s="1" t="n">
        <v>10200</v>
      </c>
      <c r="D195" s="1" t="n">
        <v>2501.61</v>
      </c>
      <c r="E195" s="1" t="n">
        <v>10200</v>
      </c>
      <c r="F195" s="172" t="n">
        <v>0.245256</v>
      </c>
      <c r="G195" s="1" t="s">
        <v>115</v>
      </c>
      <c r="H195" s="1" t="s">
        <v>420</v>
      </c>
      <c r="I195" s="1" t="n">
        <v>99984811871</v>
      </c>
      <c r="J195" s="1" t="s">
        <v>1244</v>
      </c>
      <c r="K195" s="1" t="s">
        <v>115</v>
      </c>
      <c r="L195" s="1" t="s">
        <v>420</v>
      </c>
      <c r="M195" s="1" t="n">
        <v>99984811871</v>
      </c>
      <c r="N195" s="1" t="n">
        <v>2501.61</v>
      </c>
      <c r="O195" s="1" t="n">
        <v>850</v>
      </c>
      <c r="P195" s="1" t="s">
        <v>1286</v>
      </c>
      <c r="Q195" s="1" t="s">
        <v>184</v>
      </c>
      <c r="S195" s="1" t="s">
        <v>1278</v>
      </c>
      <c r="T195" s="1" t="s">
        <v>1274</v>
      </c>
      <c r="V195" s="1" t="s">
        <v>1290</v>
      </c>
      <c r="W195" s="1" t="s">
        <v>1284</v>
      </c>
    </row>
    <row r="196" customFormat="false" ht="15" hidden="false" customHeight="true" outlineLevel="0" collapsed="false">
      <c r="A196" s="1" t="n">
        <v>0.445055</v>
      </c>
      <c r="B196" s="1" t="s">
        <v>1130</v>
      </c>
      <c r="C196" s="1" t="n">
        <v>5615.5</v>
      </c>
      <c r="D196" s="1" t="n">
        <v>2499.21</v>
      </c>
      <c r="E196" s="1" t="n">
        <v>5615.5</v>
      </c>
      <c r="F196" s="172" t="n">
        <v>0.445055</v>
      </c>
      <c r="G196" s="1" t="s">
        <v>123</v>
      </c>
      <c r="H196" s="1" t="s">
        <v>243</v>
      </c>
      <c r="I196" s="1" t="n">
        <v>7191418952</v>
      </c>
      <c r="J196" s="1" t="s">
        <v>1243</v>
      </c>
      <c r="K196" s="1" t="s">
        <v>104</v>
      </c>
      <c r="L196" s="1" t="s">
        <v>243</v>
      </c>
      <c r="M196" s="1" t="n">
        <v>7191418952</v>
      </c>
      <c r="N196" s="1" t="n">
        <v>2499.21</v>
      </c>
      <c r="O196" s="1" t="n">
        <v>467.96</v>
      </c>
      <c r="P196" s="1" t="s">
        <v>1282</v>
      </c>
      <c r="Q196" s="1" t="s">
        <v>100</v>
      </c>
      <c r="S196" s="1" t="s">
        <v>1004</v>
      </c>
      <c r="T196" s="1" t="s">
        <v>1274</v>
      </c>
      <c r="V196" s="1" t="s">
        <v>1290</v>
      </c>
      <c r="W196" s="1" t="s">
        <v>1276</v>
      </c>
    </row>
    <row r="197" customFormat="false" ht="15" hidden="false" customHeight="true" outlineLevel="0" collapsed="false">
      <c r="A197" s="1" t="n">
        <v>0.444485</v>
      </c>
      <c r="B197" s="1" t="s">
        <v>1130</v>
      </c>
      <c r="C197" s="1" t="n">
        <v>5615.5</v>
      </c>
      <c r="D197" s="1" t="n">
        <v>2496.01</v>
      </c>
      <c r="E197" s="1" t="n">
        <v>5615.5</v>
      </c>
      <c r="F197" s="172" t="n">
        <v>0.444485</v>
      </c>
      <c r="G197" s="1" t="s">
        <v>123</v>
      </c>
      <c r="H197" s="1" t="s">
        <v>139</v>
      </c>
      <c r="I197" s="1" t="n">
        <v>48996248761</v>
      </c>
      <c r="J197" s="1" t="s">
        <v>1243</v>
      </c>
      <c r="K197" s="1" t="s">
        <v>104</v>
      </c>
      <c r="L197" s="1" t="s">
        <v>139</v>
      </c>
      <c r="M197" s="1" t="n">
        <v>48996248761</v>
      </c>
      <c r="N197" s="1" t="n">
        <v>2496.01</v>
      </c>
      <c r="O197" s="1" t="n">
        <v>467.96</v>
      </c>
      <c r="P197" s="1" t="s">
        <v>1277</v>
      </c>
      <c r="Q197" s="1" t="s">
        <v>175</v>
      </c>
      <c r="S197" s="1" t="s">
        <v>1287</v>
      </c>
      <c r="T197" s="1" t="s">
        <v>1274</v>
      </c>
      <c r="V197" s="1" t="s">
        <v>1290</v>
      </c>
      <c r="W197" s="1" t="s">
        <v>1276</v>
      </c>
    </row>
    <row r="198" customFormat="false" ht="15" hidden="false" customHeight="true" outlineLevel="0" collapsed="false">
      <c r="A198" s="1" t="n">
        <v>0.244559</v>
      </c>
      <c r="B198" s="1" t="s">
        <v>1131</v>
      </c>
      <c r="C198" s="1" t="n">
        <v>10200</v>
      </c>
      <c r="D198" s="1" t="n">
        <v>2494.5</v>
      </c>
      <c r="E198" s="1" t="n">
        <v>10200</v>
      </c>
      <c r="F198" s="172" t="n">
        <v>0.244559</v>
      </c>
      <c r="G198" s="1" t="s">
        <v>115</v>
      </c>
      <c r="H198" s="1" t="s">
        <v>420</v>
      </c>
      <c r="I198" s="1" t="n">
        <v>9899756315</v>
      </c>
      <c r="J198" s="1" t="s">
        <v>1244</v>
      </c>
      <c r="K198" s="1" t="s">
        <v>115</v>
      </c>
      <c r="L198" s="1" t="s">
        <v>420</v>
      </c>
      <c r="M198" s="1" t="n">
        <v>9899756315</v>
      </c>
      <c r="N198" s="1" t="n">
        <v>2494.5</v>
      </c>
      <c r="O198" s="1" t="n">
        <v>850</v>
      </c>
      <c r="P198" s="1" t="s">
        <v>1286</v>
      </c>
      <c r="Q198" s="1" t="s">
        <v>184</v>
      </c>
      <c r="S198" s="1" t="s">
        <v>1278</v>
      </c>
      <c r="T198" s="1" t="s">
        <v>1274</v>
      </c>
      <c r="V198" s="1" t="s">
        <v>1290</v>
      </c>
      <c r="W198" s="1" t="s">
        <v>1284</v>
      </c>
    </row>
    <row r="199" customFormat="false" ht="15" hidden="false" customHeight="true" outlineLevel="0" collapsed="false">
      <c r="A199" s="1" t="n">
        <v>0.43759</v>
      </c>
      <c r="B199" s="1" t="s">
        <v>1130</v>
      </c>
      <c r="C199" s="1" t="n">
        <v>5615.5</v>
      </c>
      <c r="D199" s="1" t="n">
        <v>2457.29</v>
      </c>
      <c r="E199" s="1" t="n">
        <v>5615.5</v>
      </c>
      <c r="F199" s="172" t="n">
        <v>0.43759</v>
      </c>
      <c r="G199" s="1" t="s">
        <v>123</v>
      </c>
      <c r="H199" s="1" t="s">
        <v>196</v>
      </c>
      <c r="I199" s="1" t="n">
        <v>5130858673</v>
      </c>
      <c r="J199" s="1" t="s">
        <v>1243</v>
      </c>
      <c r="K199" s="1" t="s">
        <v>104</v>
      </c>
      <c r="L199" s="1" t="s">
        <v>196</v>
      </c>
      <c r="M199" s="1" t="n">
        <v>5130858673</v>
      </c>
      <c r="N199" s="1" t="n">
        <v>2457.29</v>
      </c>
      <c r="O199" s="1" t="n">
        <v>467.96</v>
      </c>
      <c r="P199" s="1" t="s">
        <v>1277</v>
      </c>
      <c r="Q199" s="1" t="s">
        <v>108</v>
      </c>
      <c r="S199" s="1" t="s">
        <v>1278</v>
      </c>
      <c r="T199" s="1" t="s">
        <v>1279</v>
      </c>
      <c r="V199" s="1" t="s">
        <v>1290</v>
      </c>
      <c r="W199" s="1" t="s">
        <v>1276</v>
      </c>
    </row>
    <row r="200" customFormat="false" ht="15" hidden="false" customHeight="true" outlineLevel="0" collapsed="false">
      <c r="A200" s="1" t="n">
        <v>0.435883</v>
      </c>
      <c r="B200" s="1" t="s">
        <v>1130</v>
      </c>
      <c r="C200" s="1" t="n">
        <v>5615.5</v>
      </c>
      <c r="D200" s="1" t="n">
        <v>2447.7</v>
      </c>
      <c r="E200" s="1" t="n">
        <v>5615.5</v>
      </c>
      <c r="F200" s="172" t="n">
        <v>0.435883</v>
      </c>
      <c r="G200" s="1" t="s">
        <v>123</v>
      </c>
      <c r="H200" s="1" t="s">
        <v>139</v>
      </c>
      <c r="I200" s="1" t="n">
        <v>4733742937</v>
      </c>
      <c r="J200" s="1" t="s">
        <v>1243</v>
      </c>
      <c r="K200" s="1" t="s">
        <v>104</v>
      </c>
      <c r="L200" s="1" t="s">
        <v>139</v>
      </c>
      <c r="M200" s="1" t="n">
        <v>4733742937</v>
      </c>
      <c r="N200" s="1" t="n">
        <v>2447.7</v>
      </c>
      <c r="O200" s="1" t="n">
        <v>467.96</v>
      </c>
      <c r="P200" s="1" t="s">
        <v>1277</v>
      </c>
      <c r="Q200" s="1" t="s">
        <v>108</v>
      </c>
      <c r="S200" s="1" t="s">
        <v>1278</v>
      </c>
      <c r="T200" s="1" t="s">
        <v>1279</v>
      </c>
      <c r="V200" s="1" t="s">
        <v>1290</v>
      </c>
      <c r="W200" s="1" t="s">
        <v>1276</v>
      </c>
    </row>
    <row r="201" customFormat="false" ht="15" hidden="false" customHeight="true" outlineLevel="0" collapsed="false">
      <c r="A201" s="1" t="n">
        <v>0.234245</v>
      </c>
      <c r="B201" s="1" t="s">
        <v>1131</v>
      </c>
      <c r="C201" s="1" t="n">
        <v>10200</v>
      </c>
      <c r="D201" s="1" t="n">
        <v>2389.3</v>
      </c>
      <c r="E201" s="1" t="n">
        <v>10200</v>
      </c>
      <c r="F201" s="172" t="n">
        <v>0.234245</v>
      </c>
      <c r="G201" s="1" t="s">
        <v>115</v>
      </c>
      <c r="H201" s="1" t="s">
        <v>114</v>
      </c>
      <c r="I201" s="1" t="n">
        <v>31983121817</v>
      </c>
      <c r="J201" s="1" t="s">
        <v>1244</v>
      </c>
      <c r="K201" s="1" t="s">
        <v>115</v>
      </c>
      <c r="L201" s="1" t="s">
        <v>114</v>
      </c>
      <c r="M201" s="1" t="n">
        <v>31983121817</v>
      </c>
      <c r="N201" s="1" t="n">
        <v>2389.3</v>
      </c>
      <c r="O201" s="1" t="n">
        <v>850</v>
      </c>
      <c r="P201" s="1" t="s">
        <v>1286</v>
      </c>
      <c r="Q201" s="1" t="s">
        <v>184</v>
      </c>
      <c r="S201" s="1" t="s">
        <v>1278</v>
      </c>
      <c r="T201" s="1" t="s">
        <v>1274</v>
      </c>
      <c r="V201" s="1" t="s">
        <v>1290</v>
      </c>
      <c r="W201" s="1" t="s">
        <v>1284</v>
      </c>
    </row>
    <row r="202" customFormat="false" ht="15" hidden="false" customHeight="true" outlineLevel="0" collapsed="false">
      <c r="A202" s="1" t="n">
        <v>0.222889</v>
      </c>
      <c r="B202" s="1" t="s">
        <v>1131</v>
      </c>
      <c r="C202" s="1" t="n">
        <v>10706.9</v>
      </c>
      <c r="D202" s="1" t="n">
        <v>2386.45</v>
      </c>
      <c r="E202" s="1" t="n">
        <v>10706.9</v>
      </c>
      <c r="F202" s="172" t="n">
        <v>0.222889</v>
      </c>
      <c r="G202" s="1" t="s">
        <v>66</v>
      </c>
      <c r="H202" s="1" t="s">
        <v>109</v>
      </c>
      <c r="I202" s="1" t="n">
        <v>4432325260</v>
      </c>
      <c r="J202" s="1" t="s">
        <v>1244</v>
      </c>
      <c r="K202" s="1" t="s">
        <v>66</v>
      </c>
      <c r="L202" s="1" t="s">
        <v>109</v>
      </c>
      <c r="M202" s="1" t="n">
        <v>4432325260</v>
      </c>
      <c r="N202" s="1" t="n">
        <v>2386.45</v>
      </c>
      <c r="O202" s="1" t="n">
        <v>892.24</v>
      </c>
      <c r="P202" s="1" t="s">
        <v>1286</v>
      </c>
      <c r="Q202" s="1" t="s">
        <v>175</v>
      </c>
      <c r="S202" s="1" t="s">
        <v>1287</v>
      </c>
      <c r="T202" s="1" t="s">
        <v>1274</v>
      </c>
      <c r="V202" s="1" t="s">
        <v>1290</v>
      </c>
      <c r="W202" s="1" t="s">
        <v>1284</v>
      </c>
    </row>
    <row r="203" customFormat="false" ht="15" hidden="false" customHeight="true" outlineLevel="0" collapsed="false">
      <c r="A203" s="1" t="n">
        <v>0.421529</v>
      </c>
      <c r="B203" s="1" t="s">
        <v>1130</v>
      </c>
      <c r="C203" s="1" t="n">
        <v>5615.5</v>
      </c>
      <c r="D203" s="1" t="n">
        <v>2367.1</v>
      </c>
      <c r="E203" s="1" t="n">
        <v>5615.5</v>
      </c>
      <c r="F203" s="172" t="n">
        <v>0.421529</v>
      </c>
      <c r="G203" s="1" t="s">
        <v>123</v>
      </c>
      <c r="H203" s="1" t="s">
        <v>243</v>
      </c>
      <c r="I203" s="1" t="n">
        <v>7591750757</v>
      </c>
      <c r="J203" s="1" t="s">
        <v>1243</v>
      </c>
      <c r="K203" s="1" t="s">
        <v>104</v>
      </c>
      <c r="L203" s="1" t="s">
        <v>243</v>
      </c>
      <c r="M203" s="1" t="n">
        <v>7591750757</v>
      </c>
      <c r="N203" s="1" t="n">
        <v>2367.1</v>
      </c>
      <c r="O203" s="1" t="n">
        <v>467.96</v>
      </c>
      <c r="P203" s="1" t="s">
        <v>1282</v>
      </c>
      <c r="Q203" s="1" t="s">
        <v>100</v>
      </c>
      <c r="S203" s="1" t="s">
        <v>1004</v>
      </c>
      <c r="T203" s="1" t="s">
        <v>1274</v>
      </c>
      <c r="V203" s="1" t="s">
        <v>1291</v>
      </c>
      <c r="W203" s="1" t="s">
        <v>1276</v>
      </c>
    </row>
    <row r="204" customFormat="false" ht="15" hidden="false" customHeight="true" outlineLevel="0" collapsed="false">
      <c r="A204" s="1" t="n">
        <v>0.420773</v>
      </c>
      <c r="B204" s="1" t="s">
        <v>1130</v>
      </c>
      <c r="C204" s="1" t="n">
        <v>5615.5</v>
      </c>
      <c r="D204" s="1" t="n">
        <v>2362.85</v>
      </c>
      <c r="E204" s="1" t="n">
        <v>5615.5</v>
      </c>
      <c r="F204" s="172" t="n">
        <v>0.420773</v>
      </c>
      <c r="G204" s="1" t="s">
        <v>123</v>
      </c>
      <c r="H204" s="1" t="s">
        <v>139</v>
      </c>
      <c r="I204" s="1" t="n">
        <v>4896543563</v>
      </c>
      <c r="J204" s="1" t="s">
        <v>1243</v>
      </c>
      <c r="K204" s="1" t="s">
        <v>104</v>
      </c>
      <c r="L204" s="1" t="s">
        <v>139</v>
      </c>
      <c r="M204" s="1" t="n">
        <v>4896543563</v>
      </c>
      <c r="N204" s="1" t="n">
        <v>2362.85</v>
      </c>
      <c r="O204" s="1" t="n">
        <v>467.96</v>
      </c>
      <c r="P204" s="1" t="s">
        <v>1277</v>
      </c>
      <c r="Q204" s="1" t="s">
        <v>108</v>
      </c>
      <c r="S204" s="1" t="s">
        <v>1278</v>
      </c>
      <c r="T204" s="1" t="s">
        <v>1279</v>
      </c>
      <c r="V204" s="1" t="s">
        <v>1291</v>
      </c>
      <c r="W204" s="1" t="s">
        <v>1276</v>
      </c>
    </row>
    <row r="205" customFormat="false" ht="15" hidden="false" customHeight="true" outlineLevel="0" collapsed="false">
      <c r="A205" s="1" t="n">
        <v>0.219965</v>
      </c>
      <c r="B205" s="1" t="s">
        <v>1131</v>
      </c>
      <c r="C205" s="1" t="n">
        <v>10706.9</v>
      </c>
      <c r="D205" s="1" t="n">
        <v>2355.14</v>
      </c>
      <c r="E205" s="1" t="n">
        <v>10706.9</v>
      </c>
      <c r="F205" s="172" t="n">
        <v>0.219965</v>
      </c>
      <c r="G205" s="1" t="s">
        <v>66</v>
      </c>
      <c r="H205" s="1" t="s">
        <v>139</v>
      </c>
      <c r="I205" s="1" t="n">
        <v>4891860681</v>
      </c>
      <c r="J205" s="1" t="s">
        <v>1244</v>
      </c>
      <c r="K205" s="1" t="s">
        <v>66</v>
      </c>
      <c r="L205" s="1" t="s">
        <v>139</v>
      </c>
      <c r="M205" s="1" t="n">
        <v>4891860681</v>
      </c>
      <c r="N205" s="1" t="n">
        <v>2355.14</v>
      </c>
      <c r="O205" s="1" t="n">
        <v>892.24</v>
      </c>
      <c r="P205" s="1" t="s">
        <v>1286</v>
      </c>
      <c r="Q205" s="1" t="s">
        <v>175</v>
      </c>
      <c r="S205" s="1" t="s">
        <v>1278</v>
      </c>
      <c r="T205" s="1" t="s">
        <v>1274</v>
      </c>
      <c r="V205" s="1" t="s">
        <v>1291</v>
      </c>
      <c r="W205" s="1" t="s">
        <v>1284</v>
      </c>
    </row>
    <row r="206" customFormat="false" ht="15" hidden="false" customHeight="true" outlineLevel="0" collapsed="false">
      <c r="A206" s="1" t="n">
        <v>0.417907</v>
      </c>
      <c r="B206" s="1" t="s">
        <v>1130</v>
      </c>
      <c r="C206" s="1" t="n">
        <v>5615.5</v>
      </c>
      <c r="D206" s="1" t="n">
        <v>2346.76</v>
      </c>
      <c r="E206" s="1" t="n">
        <v>5615.5</v>
      </c>
      <c r="F206" s="172" t="n">
        <v>0.417907</v>
      </c>
      <c r="G206" s="1" t="s">
        <v>123</v>
      </c>
      <c r="H206" s="1" t="s">
        <v>139</v>
      </c>
      <c r="I206" s="1" t="n">
        <v>48996248761</v>
      </c>
      <c r="J206" s="1" t="s">
        <v>1243</v>
      </c>
      <c r="K206" s="1" t="s">
        <v>104</v>
      </c>
      <c r="L206" s="1" t="s">
        <v>139</v>
      </c>
      <c r="M206" s="1" t="n">
        <v>48996248761</v>
      </c>
      <c r="N206" s="1" t="n">
        <v>2346.76</v>
      </c>
      <c r="O206" s="1" t="n">
        <v>467.96</v>
      </c>
      <c r="P206" s="1" t="s">
        <v>1277</v>
      </c>
      <c r="Q206" s="1" t="s">
        <v>175</v>
      </c>
      <c r="S206" s="1" t="s">
        <v>1287</v>
      </c>
      <c r="T206" s="1" t="s">
        <v>1274</v>
      </c>
      <c r="V206" s="1" t="s">
        <v>1291</v>
      </c>
      <c r="W206" s="1" t="s">
        <v>1276</v>
      </c>
    </row>
    <row r="207" customFormat="false" ht="15" hidden="false" customHeight="true" outlineLevel="0" collapsed="false">
      <c r="A207" s="1" t="n">
        <v>0.416037</v>
      </c>
      <c r="B207" s="1" t="s">
        <v>1130</v>
      </c>
      <c r="C207" s="1" t="n">
        <v>5615.5</v>
      </c>
      <c r="D207" s="1" t="n">
        <v>2336.26</v>
      </c>
      <c r="E207" s="1" t="n">
        <v>5615.5</v>
      </c>
      <c r="F207" s="172" t="n">
        <v>0.416037</v>
      </c>
      <c r="G207" s="1" t="s">
        <v>123</v>
      </c>
      <c r="H207" s="1" t="s">
        <v>119</v>
      </c>
      <c r="I207" s="1" t="n">
        <v>1150528475</v>
      </c>
      <c r="J207" s="1" t="s">
        <v>1243</v>
      </c>
      <c r="K207" s="1" t="s">
        <v>104</v>
      </c>
      <c r="L207" s="1" t="s">
        <v>119</v>
      </c>
      <c r="M207" s="1" t="n">
        <v>1150528475</v>
      </c>
      <c r="N207" s="1" t="n">
        <v>2336.26</v>
      </c>
      <c r="O207" s="1" t="n">
        <v>467.96</v>
      </c>
      <c r="P207" s="1" t="s">
        <v>1285</v>
      </c>
      <c r="Q207" s="1" t="s">
        <v>100</v>
      </c>
      <c r="S207" s="1" t="s">
        <v>1004</v>
      </c>
      <c r="T207" s="1" t="s">
        <v>1274</v>
      </c>
      <c r="V207" s="1" t="s">
        <v>1291</v>
      </c>
      <c r="W207" s="1" t="s">
        <v>1276</v>
      </c>
    </row>
    <row r="208" customFormat="false" ht="15" hidden="false" customHeight="true" outlineLevel="0" collapsed="false">
      <c r="A208" s="1" t="n">
        <v>0.218045</v>
      </c>
      <c r="B208" s="1" t="s">
        <v>1131</v>
      </c>
      <c r="C208" s="1" t="n">
        <v>10706.9</v>
      </c>
      <c r="D208" s="1" t="n">
        <v>2334.59</v>
      </c>
      <c r="E208" s="1" t="n">
        <v>10706.9</v>
      </c>
      <c r="F208" s="172" t="n">
        <v>0.218045</v>
      </c>
      <c r="G208" s="1" t="s">
        <v>66</v>
      </c>
      <c r="H208" s="1" t="s">
        <v>139</v>
      </c>
      <c r="I208" s="1" t="n">
        <v>48999312352</v>
      </c>
      <c r="J208" s="1" t="s">
        <v>1244</v>
      </c>
      <c r="K208" s="1" t="s">
        <v>66</v>
      </c>
      <c r="L208" s="1" t="s">
        <v>139</v>
      </c>
      <c r="M208" s="1" t="n">
        <v>48999312352</v>
      </c>
      <c r="N208" s="1" t="n">
        <v>2334.59</v>
      </c>
      <c r="O208" s="1" t="n">
        <v>892.24</v>
      </c>
      <c r="P208" s="1" t="s">
        <v>1286</v>
      </c>
      <c r="Q208" s="1" t="s">
        <v>175</v>
      </c>
      <c r="S208" s="1" t="s">
        <v>1287</v>
      </c>
      <c r="T208" s="1" t="s">
        <v>1274</v>
      </c>
      <c r="V208" s="1" t="s">
        <v>1291</v>
      </c>
      <c r="W208" s="1" t="s">
        <v>1284</v>
      </c>
    </row>
    <row r="209" customFormat="false" ht="15" hidden="false" customHeight="true" outlineLevel="0" collapsed="false">
      <c r="A209" s="1" t="n">
        <v>0.411105</v>
      </c>
      <c r="B209" s="1" t="s">
        <v>1130</v>
      </c>
      <c r="C209" s="1" t="n">
        <v>5615.5</v>
      </c>
      <c r="D209" s="1" t="n">
        <v>2308.56</v>
      </c>
      <c r="E209" s="1" t="n">
        <v>5615.5</v>
      </c>
      <c r="F209" s="172" t="n">
        <v>0.411105</v>
      </c>
      <c r="G209" s="1" t="s">
        <v>123</v>
      </c>
      <c r="H209" s="1" t="s">
        <v>420</v>
      </c>
      <c r="I209" s="1" t="n">
        <v>9884597339</v>
      </c>
      <c r="J209" s="1" t="s">
        <v>1243</v>
      </c>
      <c r="K209" s="1" t="s">
        <v>104</v>
      </c>
      <c r="L209" s="1" t="s">
        <v>420</v>
      </c>
      <c r="M209" s="1" t="n">
        <v>9884597339</v>
      </c>
      <c r="N209" s="1" t="n">
        <v>2308.56</v>
      </c>
      <c r="O209" s="1" t="n">
        <v>467.96</v>
      </c>
      <c r="P209" s="1" t="s">
        <v>1283</v>
      </c>
      <c r="Q209" s="1" t="s">
        <v>100</v>
      </c>
      <c r="S209" s="1" t="s">
        <v>1004</v>
      </c>
      <c r="T209" s="1" t="s">
        <v>1274</v>
      </c>
      <c r="V209" s="1" t="s">
        <v>1291</v>
      </c>
      <c r="W209" s="1" t="s">
        <v>1276</v>
      </c>
    </row>
    <row r="210" customFormat="false" ht="15" hidden="false" customHeight="true" outlineLevel="0" collapsed="false">
      <c r="A210" s="1" t="n">
        <v>0.410343</v>
      </c>
      <c r="B210" s="1" t="s">
        <v>1130</v>
      </c>
      <c r="C210" s="1" t="n">
        <v>5615.5</v>
      </c>
      <c r="D210" s="1" t="n">
        <v>2304.28</v>
      </c>
      <c r="E210" s="1" t="n">
        <v>5615.5</v>
      </c>
      <c r="F210" s="172" t="n">
        <v>0.410343</v>
      </c>
      <c r="G210" s="1" t="s">
        <v>123</v>
      </c>
      <c r="H210" s="1" t="s">
        <v>139</v>
      </c>
      <c r="I210" s="1" t="n">
        <v>47984326298</v>
      </c>
      <c r="J210" s="1" t="s">
        <v>1243</v>
      </c>
      <c r="K210" s="1" t="s">
        <v>104</v>
      </c>
      <c r="L210" s="1" t="s">
        <v>139</v>
      </c>
      <c r="M210" s="1" t="n">
        <v>47984326298</v>
      </c>
      <c r="N210" s="1" t="n">
        <v>2304.28</v>
      </c>
      <c r="O210" s="1" t="n">
        <v>467.96</v>
      </c>
      <c r="P210" s="1" t="s">
        <v>1277</v>
      </c>
      <c r="Q210" s="1" t="s">
        <v>175</v>
      </c>
      <c r="S210" s="1" t="s">
        <v>1287</v>
      </c>
      <c r="T210" s="1" t="s">
        <v>1274</v>
      </c>
      <c r="V210" s="1" t="s">
        <v>1291</v>
      </c>
      <c r="W210" s="1" t="s">
        <v>1276</v>
      </c>
    </row>
    <row r="211" customFormat="false" ht="15" hidden="false" customHeight="true" outlineLevel="0" collapsed="false">
      <c r="A211" s="1" t="n">
        <v>0.410314</v>
      </c>
      <c r="B211" s="1" t="s">
        <v>1130</v>
      </c>
      <c r="C211" s="1" t="n">
        <v>5615.5</v>
      </c>
      <c r="D211" s="1" t="n">
        <v>2304.12</v>
      </c>
      <c r="E211" s="1" t="n">
        <v>5615.5</v>
      </c>
      <c r="F211" s="172" t="n">
        <v>0.410314</v>
      </c>
      <c r="G211" s="1" t="s">
        <v>123</v>
      </c>
      <c r="H211" s="1" t="s">
        <v>114</v>
      </c>
      <c r="I211" s="1" t="n">
        <v>3196946667</v>
      </c>
      <c r="J211" s="1" t="s">
        <v>1243</v>
      </c>
      <c r="K211" s="1" t="s">
        <v>104</v>
      </c>
      <c r="L211" s="1" t="s">
        <v>114</v>
      </c>
      <c r="M211" s="1" t="n">
        <v>3196946667</v>
      </c>
      <c r="N211" s="1" t="n">
        <v>2304.12</v>
      </c>
      <c r="O211" s="1" t="n">
        <v>467.96</v>
      </c>
      <c r="P211" s="1" t="s">
        <v>1280</v>
      </c>
      <c r="Q211" s="1" t="s">
        <v>100</v>
      </c>
      <c r="S211" s="1" t="s">
        <v>1278</v>
      </c>
      <c r="T211" s="1" t="s">
        <v>1274</v>
      </c>
      <c r="V211" s="1" t="s">
        <v>1291</v>
      </c>
      <c r="W211" s="1" t="s">
        <v>1276</v>
      </c>
    </row>
    <row r="212" customFormat="false" ht="15" hidden="false" customHeight="true" outlineLevel="0" collapsed="false">
      <c r="A212" s="1" t="n">
        <v>0.409936</v>
      </c>
      <c r="B212" s="1" t="s">
        <v>1130</v>
      </c>
      <c r="C212" s="1" t="n">
        <v>5615.5</v>
      </c>
      <c r="D212" s="1" t="n">
        <v>2302</v>
      </c>
      <c r="E212" s="1" t="n">
        <v>5615.5</v>
      </c>
      <c r="F212" s="172" t="n">
        <v>0.409936</v>
      </c>
      <c r="G212" s="1" t="s">
        <v>123</v>
      </c>
      <c r="H212" s="1" t="s">
        <v>139</v>
      </c>
      <c r="I212" s="1" t="n">
        <v>4797583831</v>
      </c>
      <c r="J212" s="1" t="s">
        <v>1243</v>
      </c>
      <c r="K212" s="1" t="s">
        <v>104</v>
      </c>
      <c r="L212" s="1" t="s">
        <v>139</v>
      </c>
      <c r="M212" s="1" t="n">
        <v>4797583831</v>
      </c>
      <c r="N212" s="1" t="n">
        <v>2302</v>
      </c>
      <c r="O212" s="1" t="n">
        <v>467.96</v>
      </c>
      <c r="P212" s="1" t="s">
        <v>1277</v>
      </c>
      <c r="Q212" s="1" t="s">
        <v>108</v>
      </c>
      <c r="S212" s="1" t="s">
        <v>1278</v>
      </c>
      <c r="T212" s="1" t="s">
        <v>1279</v>
      </c>
      <c r="V212" s="1" t="s">
        <v>1291</v>
      </c>
      <c r="W212" s="1" t="s">
        <v>1276</v>
      </c>
    </row>
    <row r="213" customFormat="false" ht="15" hidden="false" customHeight="true" outlineLevel="0" collapsed="false">
      <c r="A213" s="1" t="n">
        <v>0.406329</v>
      </c>
      <c r="B213" s="1" t="s">
        <v>1130</v>
      </c>
      <c r="C213" s="1" t="n">
        <v>5615.5</v>
      </c>
      <c r="D213" s="1" t="n">
        <v>2281.74</v>
      </c>
      <c r="E213" s="1" t="n">
        <v>5615.5</v>
      </c>
      <c r="F213" s="172" t="n">
        <v>0.406329</v>
      </c>
      <c r="G213" s="1" t="s">
        <v>123</v>
      </c>
      <c r="H213" s="1" t="s">
        <v>139</v>
      </c>
      <c r="I213" s="1" t="n">
        <v>4832693010</v>
      </c>
      <c r="J213" s="1" t="s">
        <v>1243</v>
      </c>
      <c r="K213" s="1" t="s">
        <v>104</v>
      </c>
      <c r="L213" s="1" t="s">
        <v>139</v>
      </c>
      <c r="M213" s="1" t="n">
        <v>4832693010</v>
      </c>
      <c r="N213" s="1" t="n">
        <v>2281.74</v>
      </c>
      <c r="O213" s="1" t="n">
        <v>467.96</v>
      </c>
      <c r="P213" s="1" t="s">
        <v>1277</v>
      </c>
      <c r="Q213" s="1" t="s">
        <v>175</v>
      </c>
      <c r="S213" s="1" t="s">
        <v>1287</v>
      </c>
      <c r="T213" s="1" t="s">
        <v>1274</v>
      </c>
      <c r="V213" s="1" t="s">
        <v>1291</v>
      </c>
      <c r="W213" s="1" t="s">
        <v>1276</v>
      </c>
    </row>
    <row r="214" customFormat="false" ht="15" hidden="false" customHeight="true" outlineLevel="0" collapsed="false">
      <c r="A214" s="1" t="n">
        <v>0.405445</v>
      </c>
      <c r="B214" s="1" t="s">
        <v>1130</v>
      </c>
      <c r="C214" s="1" t="n">
        <v>5615.5</v>
      </c>
      <c r="D214" s="1" t="n">
        <v>2276.78</v>
      </c>
      <c r="E214" s="1" t="n">
        <v>5615.5</v>
      </c>
      <c r="F214" s="172" t="n">
        <v>0.405445</v>
      </c>
      <c r="G214" s="1" t="s">
        <v>123</v>
      </c>
      <c r="H214" s="1" t="s">
        <v>139</v>
      </c>
      <c r="I214" s="1" t="n">
        <v>4999195902</v>
      </c>
      <c r="J214" s="1" t="s">
        <v>1243</v>
      </c>
      <c r="K214" s="1" t="s">
        <v>104</v>
      </c>
      <c r="L214" s="1" t="s">
        <v>139</v>
      </c>
      <c r="M214" s="1" t="n">
        <v>4999195902</v>
      </c>
      <c r="N214" s="1" t="n">
        <v>2276.78</v>
      </c>
      <c r="O214" s="1" t="n">
        <v>467.96</v>
      </c>
      <c r="P214" s="1" t="s">
        <v>1277</v>
      </c>
      <c r="Q214" s="1" t="s">
        <v>108</v>
      </c>
      <c r="S214" s="1" t="s">
        <v>1278</v>
      </c>
      <c r="T214" s="1" t="s">
        <v>1279</v>
      </c>
      <c r="V214" s="1" t="s">
        <v>1291</v>
      </c>
      <c r="W214" s="1" t="s">
        <v>1276</v>
      </c>
    </row>
    <row r="215" customFormat="false" ht="15" hidden="false" customHeight="true" outlineLevel="0" collapsed="false">
      <c r="A215" s="1" t="n">
        <v>0.404213</v>
      </c>
      <c r="B215" s="1" t="s">
        <v>1130</v>
      </c>
      <c r="C215" s="1" t="n">
        <v>5615.5</v>
      </c>
      <c r="D215" s="1" t="n">
        <v>2269.86</v>
      </c>
      <c r="E215" s="1" t="n">
        <v>5615.5</v>
      </c>
      <c r="F215" s="172" t="n">
        <v>0.404213</v>
      </c>
      <c r="G215" s="1" t="s">
        <v>123</v>
      </c>
      <c r="H215" s="1" t="s">
        <v>109</v>
      </c>
      <c r="I215" s="1" t="n">
        <v>41991736973</v>
      </c>
      <c r="J215" s="1" t="s">
        <v>1243</v>
      </c>
      <c r="K215" s="1" t="s">
        <v>104</v>
      </c>
      <c r="L215" s="1" t="s">
        <v>109</v>
      </c>
      <c r="M215" s="1" t="n">
        <v>41991736973</v>
      </c>
      <c r="N215" s="1" t="n">
        <v>2269.86</v>
      </c>
      <c r="O215" s="1" t="n">
        <v>467.96</v>
      </c>
      <c r="P215" s="1" t="s">
        <v>1277</v>
      </c>
      <c r="Q215" s="1" t="s">
        <v>108</v>
      </c>
      <c r="S215" s="1" t="s">
        <v>1278</v>
      </c>
      <c r="T215" s="1" t="s">
        <v>1274</v>
      </c>
      <c r="V215" s="1" t="s">
        <v>1291</v>
      </c>
      <c r="W215" s="1" t="s">
        <v>1276</v>
      </c>
    </row>
    <row r="216" customFormat="false" ht="15" hidden="false" customHeight="true" outlineLevel="0" collapsed="false">
      <c r="A216" s="1" t="n">
        <v>0.402632</v>
      </c>
      <c r="B216" s="1" t="s">
        <v>1130</v>
      </c>
      <c r="C216" s="1" t="n">
        <v>5615.5</v>
      </c>
      <c r="D216" s="1" t="n">
        <v>2260.98</v>
      </c>
      <c r="E216" s="1" t="n">
        <v>5615.5</v>
      </c>
      <c r="F216" s="172" t="n">
        <v>0.402632</v>
      </c>
      <c r="G216" s="1" t="s">
        <v>123</v>
      </c>
      <c r="H216" s="1" t="s">
        <v>139</v>
      </c>
      <c r="I216" s="1" t="n">
        <v>4896543563</v>
      </c>
      <c r="J216" s="1" t="s">
        <v>1243</v>
      </c>
      <c r="K216" s="1" t="s">
        <v>104</v>
      </c>
      <c r="L216" s="1" t="s">
        <v>139</v>
      </c>
      <c r="M216" s="1" t="n">
        <v>4896543563</v>
      </c>
      <c r="N216" s="1" t="n">
        <v>2260.98</v>
      </c>
      <c r="O216" s="1" t="n">
        <v>467.96</v>
      </c>
      <c r="P216" s="1" t="s">
        <v>1277</v>
      </c>
      <c r="Q216" s="1" t="s">
        <v>108</v>
      </c>
      <c r="S216" s="1" t="s">
        <v>1278</v>
      </c>
      <c r="T216" s="1" t="s">
        <v>1279</v>
      </c>
      <c r="V216" s="1" t="s">
        <v>1291</v>
      </c>
      <c r="W216" s="1" t="s">
        <v>1276</v>
      </c>
    </row>
    <row r="217" customFormat="false" ht="15" hidden="false" customHeight="true" outlineLevel="0" collapsed="false">
      <c r="A217" s="1" t="n">
        <v>0.210672</v>
      </c>
      <c r="B217" s="1" t="s">
        <v>1131</v>
      </c>
      <c r="C217" s="1" t="n">
        <v>10706.9</v>
      </c>
      <c r="D217" s="1" t="n">
        <v>2255.64</v>
      </c>
      <c r="E217" s="1" t="n">
        <v>10706.9</v>
      </c>
      <c r="F217" s="172" t="n">
        <v>0.210672</v>
      </c>
      <c r="G217" s="1" t="s">
        <v>66</v>
      </c>
      <c r="H217" s="1" t="s">
        <v>139</v>
      </c>
      <c r="I217" s="1" t="n">
        <v>47988910411</v>
      </c>
      <c r="J217" s="1" t="s">
        <v>1244</v>
      </c>
      <c r="K217" s="1" t="s">
        <v>66</v>
      </c>
      <c r="L217" s="1" t="s">
        <v>139</v>
      </c>
      <c r="M217" s="1" t="n">
        <v>47988910411</v>
      </c>
      <c r="N217" s="1" t="n">
        <v>2255.64</v>
      </c>
      <c r="O217" s="1" t="n">
        <v>892.24</v>
      </c>
      <c r="P217" s="1" t="s">
        <v>1286</v>
      </c>
      <c r="Q217" s="1" t="s">
        <v>175</v>
      </c>
      <c r="S217" s="1" t="s">
        <v>1287</v>
      </c>
      <c r="T217" s="1" t="s">
        <v>1274</v>
      </c>
      <c r="V217" s="1" t="s">
        <v>1291</v>
      </c>
      <c r="W217" s="1" t="s">
        <v>1284</v>
      </c>
    </row>
    <row r="218" customFormat="false" ht="15" hidden="false" customHeight="true" outlineLevel="0" collapsed="false">
      <c r="A218" s="1" t="n">
        <v>0.391402</v>
      </c>
      <c r="B218" s="1" t="s">
        <v>1131</v>
      </c>
      <c r="C218" s="1" t="n">
        <v>5615.5</v>
      </c>
      <c r="D218" s="1" t="n">
        <v>2197.92</v>
      </c>
      <c r="E218" s="1" t="n">
        <v>5615.5</v>
      </c>
      <c r="F218" s="172" t="n">
        <v>0.391402</v>
      </c>
      <c r="G218" s="1" t="s">
        <v>123</v>
      </c>
      <c r="H218" s="1" t="s">
        <v>260</v>
      </c>
      <c r="I218" s="1" t="n">
        <v>21999960666</v>
      </c>
      <c r="J218" s="1" t="s">
        <v>1244</v>
      </c>
      <c r="K218" s="1" t="s">
        <v>104</v>
      </c>
      <c r="L218" s="1" t="s">
        <v>260</v>
      </c>
      <c r="M218" s="1" t="n">
        <v>21999960666</v>
      </c>
      <c r="N218" s="1" t="n">
        <v>2197.92</v>
      </c>
      <c r="O218" s="1" t="n">
        <v>467.96</v>
      </c>
      <c r="P218" s="1" t="s">
        <v>1280</v>
      </c>
      <c r="Q218" s="1" t="s">
        <v>100</v>
      </c>
      <c r="S218" s="1" t="s">
        <v>1004</v>
      </c>
      <c r="T218" s="1" t="s">
        <v>1274</v>
      </c>
      <c r="V218" s="1" t="s">
        <v>1291</v>
      </c>
      <c r="W218" s="1" t="s">
        <v>1276</v>
      </c>
    </row>
    <row r="219" customFormat="false" ht="15" hidden="false" customHeight="true" outlineLevel="0" collapsed="false">
      <c r="A219" s="1" t="n">
        <v>0.388754</v>
      </c>
      <c r="B219" s="1" t="s">
        <v>1131</v>
      </c>
      <c r="C219" s="1" t="n">
        <v>5615.5</v>
      </c>
      <c r="D219" s="1" t="n">
        <v>2183.05</v>
      </c>
      <c r="E219" s="1" t="n">
        <v>5615.5</v>
      </c>
      <c r="F219" s="172" t="n">
        <v>0.388754</v>
      </c>
      <c r="G219" s="1" t="s">
        <v>123</v>
      </c>
      <c r="H219" s="1" t="s">
        <v>119</v>
      </c>
      <c r="I219" s="1" t="n">
        <v>12981991010</v>
      </c>
      <c r="J219" s="1" t="s">
        <v>1244</v>
      </c>
      <c r="K219" s="1" t="s">
        <v>104</v>
      </c>
      <c r="L219" s="1" t="s">
        <v>119</v>
      </c>
      <c r="M219" s="1" t="n">
        <v>12981991010</v>
      </c>
      <c r="N219" s="1" t="n">
        <v>2183.05</v>
      </c>
      <c r="O219" s="1" t="n">
        <v>467.96</v>
      </c>
      <c r="P219" s="1" t="s">
        <v>1281</v>
      </c>
      <c r="Q219" s="1" t="s">
        <v>100</v>
      </c>
      <c r="S219" s="1" t="s">
        <v>1278</v>
      </c>
      <c r="T219" s="1" t="s">
        <v>1274</v>
      </c>
      <c r="V219" s="1" t="s">
        <v>1291</v>
      </c>
      <c r="W219" s="1" t="s">
        <v>1276</v>
      </c>
    </row>
    <row r="220" customFormat="false" ht="15" hidden="false" customHeight="true" outlineLevel="0" collapsed="false">
      <c r="A220" s="1" t="n">
        <v>0.384272</v>
      </c>
      <c r="B220" s="1" t="s">
        <v>1131</v>
      </c>
      <c r="C220" s="1" t="n">
        <v>5615.5</v>
      </c>
      <c r="D220" s="1" t="n">
        <v>2157.88</v>
      </c>
      <c r="E220" s="1" t="n">
        <v>5615.5</v>
      </c>
      <c r="F220" s="172" t="n">
        <v>0.384272</v>
      </c>
      <c r="G220" s="1" t="s">
        <v>123</v>
      </c>
      <c r="H220" s="1" t="s">
        <v>109</v>
      </c>
      <c r="I220" s="1" t="n">
        <v>4199156234</v>
      </c>
      <c r="J220" s="1" t="s">
        <v>1244</v>
      </c>
      <c r="K220" s="1" t="s">
        <v>104</v>
      </c>
      <c r="L220" s="1" t="s">
        <v>109</v>
      </c>
      <c r="M220" s="1" t="n">
        <v>4199156234</v>
      </c>
      <c r="N220" s="1" t="n">
        <v>2157.88</v>
      </c>
      <c r="O220" s="1" t="n">
        <v>467.96</v>
      </c>
      <c r="P220" s="1" t="s">
        <v>1277</v>
      </c>
      <c r="Q220" s="1" t="s">
        <v>108</v>
      </c>
      <c r="S220" s="1" t="s">
        <v>1278</v>
      </c>
      <c r="T220" s="1" t="s">
        <v>1279</v>
      </c>
      <c r="V220" s="1" t="s">
        <v>1291</v>
      </c>
      <c r="W220" s="1" t="s">
        <v>1276</v>
      </c>
    </row>
    <row r="221" customFormat="false" ht="15" hidden="false" customHeight="true" outlineLevel="0" collapsed="false">
      <c r="A221" s="1" t="n">
        <v>0.384151</v>
      </c>
      <c r="B221" s="1" t="s">
        <v>1131</v>
      </c>
      <c r="C221" s="1" t="n">
        <v>5615.5</v>
      </c>
      <c r="D221" s="1" t="n">
        <v>2157.2</v>
      </c>
      <c r="E221" s="1" t="n">
        <v>5615.5</v>
      </c>
      <c r="F221" s="172" t="n">
        <v>0.384151</v>
      </c>
      <c r="G221" s="1" t="s">
        <v>123</v>
      </c>
      <c r="H221" s="1" t="s">
        <v>196</v>
      </c>
      <c r="I221" s="1" t="n">
        <v>51992788413</v>
      </c>
      <c r="J221" s="1" t="s">
        <v>1244</v>
      </c>
      <c r="K221" s="1" t="s">
        <v>104</v>
      </c>
      <c r="L221" s="1" t="s">
        <v>196</v>
      </c>
      <c r="M221" s="1" t="n">
        <v>51992788413</v>
      </c>
      <c r="N221" s="1" t="n">
        <v>2157.2</v>
      </c>
      <c r="O221" s="1" t="n">
        <v>467.96</v>
      </c>
      <c r="P221" s="1" t="s">
        <v>1277</v>
      </c>
      <c r="Q221" s="1" t="s">
        <v>108</v>
      </c>
      <c r="S221" s="1" t="s">
        <v>1278</v>
      </c>
      <c r="T221" s="1" t="s">
        <v>1279</v>
      </c>
      <c r="V221" s="1" t="s">
        <v>1291</v>
      </c>
      <c r="W221" s="1" t="s">
        <v>1276</v>
      </c>
    </row>
    <row r="222" customFormat="false" ht="15" hidden="false" customHeight="true" outlineLevel="0" collapsed="false">
      <c r="A222" s="1" t="n">
        <v>0.381604</v>
      </c>
      <c r="B222" s="1" t="s">
        <v>1131</v>
      </c>
      <c r="C222" s="1" t="n">
        <v>5615.5</v>
      </c>
      <c r="D222" s="1" t="n">
        <v>2142.9</v>
      </c>
      <c r="E222" s="1" t="n">
        <v>5615.5</v>
      </c>
      <c r="F222" s="172" t="n">
        <v>0.381604</v>
      </c>
      <c r="G222" s="1" t="s">
        <v>123</v>
      </c>
      <c r="H222" s="1" t="s">
        <v>109</v>
      </c>
      <c r="I222" s="1" t="n">
        <v>4626011782</v>
      </c>
      <c r="J222" s="1" t="s">
        <v>1244</v>
      </c>
      <c r="K222" s="1" t="s">
        <v>104</v>
      </c>
      <c r="L222" s="1" t="s">
        <v>109</v>
      </c>
      <c r="M222" s="1" t="n">
        <v>4626011782</v>
      </c>
      <c r="N222" s="1" t="n">
        <v>2142.9</v>
      </c>
      <c r="O222" s="1" t="n">
        <v>467.96</v>
      </c>
      <c r="P222" s="1" t="s">
        <v>1277</v>
      </c>
      <c r="Q222" s="1" t="s">
        <v>108</v>
      </c>
      <c r="S222" s="1" t="s">
        <v>1278</v>
      </c>
      <c r="T222" s="1" t="s">
        <v>1279</v>
      </c>
      <c r="V222" s="1" t="s">
        <v>1291</v>
      </c>
      <c r="W222" s="1" t="s">
        <v>1276</v>
      </c>
    </row>
    <row r="223" customFormat="false" ht="15" hidden="false" customHeight="true" outlineLevel="0" collapsed="false">
      <c r="A223" s="1" t="n">
        <v>0.381554</v>
      </c>
      <c r="B223" s="1" t="s">
        <v>1131</v>
      </c>
      <c r="C223" s="1" t="n">
        <v>5615.5</v>
      </c>
      <c r="D223" s="1" t="n">
        <v>2142.62</v>
      </c>
      <c r="E223" s="1" t="n">
        <v>5615.5</v>
      </c>
      <c r="F223" s="172" t="n">
        <v>0.381554</v>
      </c>
      <c r="G223" s="1" t="s">
        <v>123</v>
      </c>
      <c r="H223" s="1" t="s">
        <v>119</v>
      </c>
      <c r="I223" s="1" t="n">
        <v>1991597034</v>
      </c>
      <c r="J223" s="1" t="s">
        <v>1244</v>
      </c>
      <c r="K223" s="1" t="s">
        <v>104</v>
      </c>
      <c r="L223" s="1" t="s">
        <v>119</v>
      </c>
      <c r="M223" s="1" t="n">
        <v>1991597034</v>
      </c>
      <c r="N223" s="1" t="n">
        <v>2142.62</v>
      </c>
      <c r="O223" s="1" t="n">
        <v>467.96</v>
      </c>
      <c r="P223" s="1" t="s">
        <v>1281</v>
      </c>
      <c r="Q223" s="1" t="s">
        <v>100</v>
      </c>
      <c r="S223" s="1" t="s">
        <v>1004</v>
      </c>
      <c r="T223" s="1" t="s">
        <v>1274</v>
      </c>
      <c r="V223" s="1" t="s">
        <v>1291</v>
      </c>
      <c r="W223" s="1" t="s">
        <v>1276</v>
      </c>
    </row>
    <row r="224" customFormat="false" ht="15" hidden="false" customHeight="true" outlineLevel="0" collapsed="false">
      <c r="A224" s="1" t="n">
        <v>0.207823</v>
      </c>
      <c r="B224" s="1" t="s">
        <v>1131</v>
      </c>
      <c r="C224" s="1" t="n">
        <v>10200</v>
      </c>
      <c r="D224" s="1" t="n">
        <v>2119.79</v>
      </c>
      <c r="E224" s="1" t="n">
        <v>10200</v>
      </c>
      <c r="F224" s="172" t="n">
        <v>0.207823</v>
      </c>
      <c r="G224" s="1" t="s">
        <v>115</v>
      </c>
      <c r="H224" s="1" t="s">
        <v>119</v>
      </c>
      <c r="I224" s="1" t="n">
        <v>17996133737</v>
      </c>
      <c r="J224" s="1" t="s">
        <v>1244</v>
      </c>
      <c r="K224" s="1" t="s">
        <v>115</v>
      </c>
      <c r="L224" s="1" t="s">
        <v>119</v>
      </c>
      <c r="M224" s="1" t="n">
        <v>17996133737</v>
      </c>
      <c r="N224" s="1" t="n">
        <v>2119.79</v>
      </c>
      <c r="O224" s="1" t="n">
        <v>850</v>
      </c>
      <c r="P224" s="1" t="s">
        <v>1286</v>
      </c>
      <c r="Q224" s="1" t="s">
        <v>108</v>
      </c>
      <c r="S224" s="1" t="s">
        <v>1278</v>
      </c>
      <c r="T224" s="1" t="s">
        <v>1279</v>
      </c>
      <c r="V224" s="1" t="s">
        <v>1291</v>
      </c>
      <c r="W224" s="1" t="s">
        <v>1284</v>
      </c>
    </row>
    <row r="225" customFormat="false" ht="15" hidden="false" customHeight="true" outlineLevel="0" collapsed="false">
      <c r="A225" s="1" t="n">
        <v>0.376102</v>
      </c>
      <c r="B225" s="1" t="s">
        <v>1131</v>
      </c>
      <c r="C225" s="1" t="n">
        <v>5615.5</v>
      </c>
      <c r="D225" s="1" t="n">
        <v>2112</v>
      </c>
      <c r="E225" s="1" t="n">
        <v>5615.5</v>
      </c>
      <c r="F225" s="172" t="n">
        <v>0.376102</v>
      </c>
      <c r="G225" s="1" t="s">
        <v>123</v>
      </c>
      <c r="H225" s="1" t="s">
        <v>139</v>
      </c>
      <c r="I225" s="1" t="n">
        <v>4799780533</v>
      </c>
      <c r="J225" s="1" t="s">
        <v>1244</v>
      </c>
      <c r="K225" s="1" t="s">
        <v>104</v>
      </c>
      <c r="L225" s="1" t="s">
        <v>139</v>
      </c>
      <c r="M225" s="1" t="n">
        <v>4799780533</v>
      </c>
      <c r="N225" s="1" t="n">
        <v>2112</v>
      </c>
      <c r="O225" s="1" t="n">
        <v>467.96</v>
      </c>
      <c r="P225" s="1" t="s">
        <v>1277</v>
      </c>
      <c r="Q225" s="1" t="s">
        <v>108</v>
      </c>
      <c r="S225" s="1" t="s">
        <v>1278</v>
      </c>
      <c r="T225" s="1" t="s">
        <v>1279</v>
      </c>
      <c r="V225" s="1" t="s">
        <v>1291</v>
      </c>
      <c r="W225" s="1" t="s">
        <v>1276</v>
      </c>
    </row>
    <row r="226" customFormat="false" ht="15" hidden="false" customHeight="true" outlineLevel="0" collapsed="false">
      <c r="A226" s="1" t="n">
        <v>0.375184</v>
      </c>
      <c r="B226" s="1" t="s">
        <v>1131</v>
      </c>
      <c r="C226" s="1" t="n">
        <v>5615.5</v>
      </c>
      <c r="D226" s="1" t="n">
        <v>2106.85</v>
      </c>
      <c r="E226" s="1" t="n">
        <v>5615.5</v>
      </c>
      <c r="F226" s="172" t="n">
        <v>0.375184</v>
      </c>
      <c r="G226" s="1" t="s">
        <v>123</v>
      </c>
      <c r="H226" s="1" t="s">
        <v>119</v>
      </c>
      <c r="I226" s="1" t="n">
        <v>11933580088</v>
      </c>
      <c r="J226" s="1" t="s">
        <v>1244</v>
      </c>
      <c r="K226" s="1" t="s">
        <v>104</v>
      </c>
      <c r="L226" s="1" t="s">
        <v>119</v>
      </c>
      <c r="M226" s="1" t="n">
        <v>11933580088</v>
      </c>
      <c r="N226" s="1" t="n">
        <v>2106.85</v>
      </c>
      <c r="O226" s="1" t="n">
        <v>467.96</v>
      </c>
      <c r="P226" s="1" t="s">
        <v>1285</v>
      </c>
      <c r="Q226" s="1" t="s">
        <v>100</v>
      </c>
      <c r="S226" s="1" t="s">
        <v>1004</v>
      </c>
      <c r="T226" s="1" t="s">
        <v>1274</v>
      </c>
      <c r="V226" s="1" t="s">
        <v>1291</v>
      </c>
      <c r="W226" s="1" t="s">
        <v>1276</v>
      </c>
    </row>
    <row r="227" customFormat="false" ht="15" hidden="false" customHeight="true" outlineLevel="0" collapsed="false">
      <c r="A227" s="1" t="n">
        <v>0.368936</v>
      </c>
      <c r="B227" s="1" t="s">
        <v>1131</v>
      </c>
      <c r="C227" s="1" t="n">
        <v>5615.5</v>
      </c>
      <c r="D227" s="1" t="n">
        <v>2071.76</v>
      </c>
      <c r="E227" s="1" t="n">
        <v>5615.5</v>
      </c>
      <c r="F227" s="172" t="n">
        <v>0.368936</v>
      </c>
      <c r="G227" s="1" t="s">
        <v>123</v>
      </c>
      <c r="H227" s="1" t="s">
        <v>139</v>
      </c>
      <c r="I227" s="1" t="n">
        <v>4999044309</v>
      </c>
      <c r="J227" s="1" t="s">
        <v>1244</v>
      </c>
      <c r="K227" s="1" t="s">
        <v>104</v>
      </c>
      <c r="L227" s="1" t="s">
        <v>139</v>
      </c>
      <c r="M227" s="1" t="n">
        <v>4999044309</v>
      </c>
      <c r="N227" s="1" t="n">
        <v>2071.76</v>
      </c>
      <c r="O227" s="1" t="n">
        <v>467.96</v>
      </c>
      <c r="P227" s="1" t="s">
        <v>1277</v>
      </c>
      <c r="Q227" s="1" t="s">
        <v>108</v>
      </c>
      <c r="S227" s="1" t="s">
        <v>1278</v>
      </c>
      <c r="T227" s="1" t="s">
        <v>1279</v>
      </c>
      <c r="V227" s="1" t="s">
        <v>1291</v>
      </c>
      <c r="W227" s="1" t="s">
        <v>1276</v>
      </c>
    </row>
    <row r="228" customFormat="false" ht="15" hidden="false" customHeight="true" outlineLevel="0" collapsed="false">
      <c r="A228" s="1" t="n">
        <v>0.368857</v>
      </c>
      <c r="B228" s="1" t="s">
        <v>1131</v>
      </c>
      <c r="C228" s="1" t="n">
        <v>5615.5</v>
      </c>
      <c r="D228" s="1" t="n">
        <v>2071.32</v>
      </c>
      <c r="E228" s="1" t="n">
        <v>5615.5</v>
      </c>
      <c r="F228" s="172" t="n">
        <v>0.368857</v>
      </c>
      <c r="G228" s="1" t="s">
        <v>123</v>
      </c>
      <c r="H228" s="1" t="s">
        <v>139</v>
      </c>
      <c r="I228" s="1" t="n">
        <v>47996379456</v>
      </c>
      <c r="J228" s="1" t="s">
        <v>1244</v>
      </c>
      <c r="K228" s="1" t="s">
        <v>104</v>
      </c>
      <c r="L228" s="1" t="s">
        <v>139</v>
      </c>
      <c r="M228" s="1" t="n">
        <v>47996379456</v>
      </c>
      <c r="N228" s="1" t="n">
        <v>2071.32</v>
      </c>
      <c r="O228" s="1" t="n">
        <v>467.96</v>
      </c>
      <c r="P228" s="1" t="s">
        <v>1277</v>
      </c>
      <c r="Q228" s="1" t="s">
        <v>108</v>
      </c>
      <c r="S228" s="1" t="s">
        <v>1278</v>
      </c>
      <c r="T228" s="1" t="s">
        <v>1279</v>
      </c>
      <c r="V228" s="1" t="s">
        <v>1291</v>
      </c>
      <c r="W228" s="1" t="s">
        <v>1276</v>
      </c>
    </row>
    <row r="229" customFormat="false" ht="15" hidden="false" customHeight="true" outlineLevel="0" collapsed="false">
      <c r="A229" s="1" t="n">
        <v>0.193318</v>
      </c>
      <c r="B229" s="1" t="s">
        <v>1131</v>
      </c>
      <c r="C229" s="1" t="n">
        <v>10706.9</v>
      </c>
      <c r="D229" s="1" t="n">
        <v>2069.84</v>
      </c>
      <c r="E229" s="1" t="n">
        <v>10706.9</v>
      </c>
      <c r="F229" s="172" t="n">
        <v>0.193318</v>
      </c>
      <c r="G229" s="1" t="s">
        <v>66</v>
      </c>
      <c r="H229" s="1" t="s">
        <v>139</v>
      </c>
      <c r="I229" s="1" t="n">
        <v>48999320410</v>
      </c>
      <c r="J229" s="1" t="s">
        <v>1244</v>
      </c>
      <c r="K229" s="1" t="s">
        <v>66</v>
      </c>
      <c r="L229" s="1" t="s">
        <v>139</v>
      </c>
      <c r="M229" s="1" t="n">
        <v>48999320410</v>
      </c>
      <c r="N229" s="1" t="n">
        <v>2069.84</v>
      </c>
      <c r="O229" s="1" t="n">
        <v>892.24</v>
      </c>
      <c r="P229" s="1" t="s">
        <v>1286</v>
      </c>
      <c r="Q229" s="1" t="s">
        <v>175</v>
      </c>
      <c r="S229" s="1" t="s">
        <v>1287</v>
      </c>
      <c r="T229" s="1" t="s">
        <v>1274</v>
      </c>
      <c r="V229" s="1" t="s">
        <v>1291</v>
      </c>
      <c r="W229" s="1" t="s">
        <v>1284</v>
      </c>
    </row>
    <row r="230" customFormat="false" ht="15" hidden="false" customHeight="true" outlineLevel="0" collapsed="false">
      <c r="A230" s="1" t="n">
        <v>0.367267</v>
      </c>
      <c r="B230" s="1" t="s">
        <v>1131</v>
      </c>
      <c r="C230" s="1" t="n">
        <v>5615.5</v>
      </c>
      <c r="D230" s="1" t="n">
        <v>2062.39</v>
      </c>
      <c r="E230" s="1" t="n">
        <v>5615.5</v>
      </c>
      <c r="F230" s="172" t="n">
        <v>0.367267</v>
      </c>
      <c r="G230" s="1" t="s">
        <v>123</v>
      </c>
      <c r="H230" s="1" t="s">
        <v>139</v>
      </c>
      <c r="I230" s="1" t="n">
        <v>4899481178</v>
      </c>
      <c r="J230" s="1" t="s">
        <v>1244</v>
      </c>
      <c r="K230" s="1" t="s">
        <v>104</v>
      </c>
      <c r="L230" s="1" t="s">
        <v>139</v>
      </c>
      <c r="M230" s="1" t="n">
        <v>4899481178</v>
      </c>
      <c r="N230" s="1" t="n">
        <v>2062.39</v>
      </c>
      <c r="O230" s="1" t="n">
        <v>467.96</v>
      </c>
      <c r="P230" s="1" t="s">
        <v>1277</v>
      </c>
      <c r="Q230" s="1" t="s">
        <v>108</v>
      </c>
      <c r="S230" s="1" t="s">
        <v>1278</v>
      </c>
      <c r="T230" s="1" t="s">
        <v>1279</v>
      </c>
      <c r="V230" s="1" t="s">
        <v>1291</v>
      </c>
      <c r="W230" s="1" t="s">
        <v>1276</v>
      </c>
    </row>
    <row r="231" customFormat="false" ht="15" hidden="false" customHeight="true" outlineLevel="0" collapsed="false">
      <c r="A231" s="1" t="n">
        <v>0.367119</v>
      </c>
      <c r="B231" s="1" t="s">
        <v>1131</v>
      </c>
      <c r="C231" s="1" t="n">
        <v>5615.5</v>
      </c>
      <c r="D231" s="1" t="n">
        <v>2061.56</v>
      </c>
      <c r="E231" s="1" t="n">
        <v>5615.5</v>
      </c>
      <c r="F231" s="172" t="n">
        <v>0.367119</v>
      </c>
      <c r="G231" s="1" t="s">
        <v>123</v>
      </c>
      <c r="H231" s="1" t="s">
        <v>119</v>
      </c>
      <c r="I231" s="1" t="n">
        <v>14999082203</v>
      </c>
      <c r="J231" s="1" t="s">
        <v>1244</v>
      </c>
      <c r="K231" s="1" t="s">
        <v>104</v>
      </c>
      <c r="L231" s="1" t="s">
        <v>119</v>
      </c>
      <c r="M231" s="1" t="n">
        <v>14999082203</v>
      </c>
      <c r="N231" s="1" t="n">
        <v>2061.56</v>
      </c>
      <c r="O231" s="1" t="n">
        <v>467.96</v>
      </c>
      <c r="P231" s="1" t="s">
        <v>1281</v>
      </c>
      <c r="Q231" s="1" t="s">
        <v>100</v>
      </c>
      <c r="S231" s="1" t="s">
        <v>1278</v>
      </c>
      <c r="T231" s="1" t="s">
        <v>1274</v>
      </c>
      <c r="V231" s="1" t="s">
        <v>1291</v>
      </c>
      <c r="W231" s="1" t="s">
        <v>1276</v>
      </c>
    </row>
    <row r="232" customFormat="false" ht="15" hidden="false" customHeight="true" outlineLevel="0" collapsed="false">
      <c r="A232" s="1" t="n">
        <v>0.364455</v>
      </c>
      <c r="B232" s="1" t="s">
        <v>1131</v>
      </c>
      <c r="C232" s="1" t="n">
        <v>5615.5</v>
      </c>
      <c r="D232" s="1" t="n">
        <v>2046.6</v>
      </c>
      <c r="E232" s="1" t="n">
        <v>5615.5</v>
      </c>
      <c r="F232" s="172" t="n">
        <v>0.364455</v>
      </c>
      <c r="G232" s="1" t="s">
        <v>123</v>
      </c>
      <c r="H232" s="1" t="s">
        <v>420</v>
      </c>
      <c r="I232" s="1" t="n">
        <v>98992181903</v>
      </c>
      <c r="J232" s="1" t="s">
        <v>1244</v>
      </c>
      <c r="K232" s="1" t="s">
        <v>104</v>
      </c>
      <c r="L232" s="1" t="s">
        <v>420</v>
      </c>
      <c r="M232" s="1" t="n">
        <v>98992181903</v>
      </c>
      <c r="N232" s="1" t="n">
        <v>2046.6</v>
      </c>
      <c r="O232" s="1" t="n">
        <v>467.96</v>
      </c>
      <c r="P232" s="1" t="s">
        <v>1283</v>
      </c>
      <c r="Q232" s="1" t="s">
        <v>100</v>
      </c>
      <c r="S232" s="1" t="s">
        <v>1004</v>
      </c>
      <c r="T232" s="1" t="s">
        <v>1274</v>
      </c>
      <c r="V232" s="1" t="s">
        <v>1291</v>
      </c>
      <c r="W232" s="1" t="s">
        <v>1276</v>
      </c>
    </row>
    <row r="233" customFormat="false" ht="15" hidden="false" customHeight="true" outlineLevel="0" collapsed="false">
      <c r="A233" s="1" t="n">
        <v>0.362228</v>
      </c>
      <c r="B233" s="1" t="s">
        <v>1131</v>
      </c>
      <c r="C233" s="1" t="n">
        <v>5615.5</v>
      </c>
      <c r="D233" s="1" t="n">
        <v>2034.09</v>
      </c>
      <c r="E233" s="1" t="n">
        <v>5615.5</v>
      </c>
      <c r="F233" s="172" t="n">
        <v>0.362228</v>
      </c>
      <c r="G233" s="1" t="s">
        <v>123</v>
      </c>
      <c r="H233" s="1" t="s">
        <v>109</v>
      </c>
      <c r="I233" s="1" t="n">
        <v>4133693610</v>
      </c>
      <c r="J233" s="1" t="s">
        <v>1244</v>
      </c>
      <c r="K233" s="1" t="s">
        <v>104</v>
      </c>
      <c r="L233" s="1" t="s">
        <v>109</v>
      </c>
      <c r="M233" s="1" t="n">
        <v>4133693610</v>
      </c>
      <c r="N233" s="1" t="n">
        <v>2034.09</v>
      </c>
      <c r="O233" s="1" t="n">
        <v>467.96</v>
      </c>
      <c r="P233" s="1" t="s">
        <v>1277</v>
      </c>
      <c r="Q233" s="1" t="s">
        <v>108</v>
      </c>
      <c r="S233" s="1" t="s">
        <v>1278</v>
      </c>
      <c r="T233" s="1" t="s">
        <v>1274</v>
      </c>
      <c r="V233" s="1" t="s">
        <v>1291</v>
      </c>
      <c r="W233" s="1" t="s">
        <v>1276</v>
      </c>
    </row>
    <row r="234" customFormat="false" ht="15" hidden="false" customHeight="true" outlineLevel="0" collapsed="false">
      <c r="A234" s="1" t="n">
        <v>0.361921</v>
      </c>
      <c r="B234" s="1" t="s">
        <v>1131</v>
      </c>
      <c r="C234" s="1" t="n">
        <v>5615.5</v>
      </c>
      <c r="D234" s="1" t="n">
        <v>2032.37</v>
      </c>
      <c r="E234" s="1" t="n">
        <v>5615.5</v>
      </c>
      <c r="F234" s="172" t="n">
        <v>0.361921</v>
      </c>
      <c r="G234" s="1" t="s">
        <v>123</v>
      </c>
      <c r="H234" s="1" t="s">
        <v>114</v>
      </c>
      <c r="I234" s="1" t="n">
        <v>31985937048</v>
      </c>
      <c r="J234" s="1" t="s">
        <v>1244</v>
      </c>
      <c r="K234" s="1" t="s">
        <v>104</v>
      </c>
      <c r="L234" s="1" t="s">
        <v>114</v>
      </c>
      <c r="M234" s="1" t="n">
        <v>31985937048</v>
      </c>
      <c r="N234" s="1" t="n">
        <v>2032.37</v>
      </c>
      <c r="O234" s="1" t="n">
        <v>467.96</v>
      </c>
      <c r="P234" s="1" t="s">
        <v>1280</v>
      </c>
      <c r="Q234" s="1" t="s">
        <v>100</v>
      </c>
      <c r="S234" s="1" t="s">
        <v>1004</v>
      </c>
      <c r="T234" s="1" t="s">
        <v>1274</v>
      </c>
      <c r="V234" s="1" t="s">
        <v>1291</v>
      </c>
      <c r="W234" s="1" t="s">
        <v>1276</v>
      </c>
    </row>
    <row r="235" customFormat="false" ht="15" hidden="false" customHeight="true" outlineLevel="0" collapsed="false">
      <c r="A235" s="1" t="n">
        <v>0.361602</v>
      </c>
      <c r="B235" s="1" t="s">
        <v>1131</v>
      </c>
      <c r="C235" s="1" t="n">
        <v>5615.5</v>
      </c>
      <c r="D235" s="1" t="n">
        <v>2030.58</v>
      </c>
      <c r="E235" s="1" t="n">
        <v>5615.5</v>
      </c>
      <c r="F235" s="172" t="n">
        <v>0.361602</v>
      </c>
      <c r="G235" s="1" t="s">
        <v>123</v>
      </c>
      <c r="H235" s="1" t="s">
        <v>109</v>
      </c>
      <c r="I235" s="1" t="n">
        <v>4391970746</v>
      </c>
      <c r="J235" s="1" t="s">
        <v>1244</v>
      </c>
      <c r="K235" s="1" t="s">
        <v>104</v>
      </c>
      <c r="L235" s="1" t="s">
        <v>109</v>
      </c>
      <c r="M235" s="1" t="n">
        <v>4391970746</v>
      </c>
      <c r="N235" s="1" t="n">
        <v>2030.58</v>
      </c>
      <c r="O235" s="1" t="n">
        <v>467.96</v>
      </c>
      <c r="P235" s="1" t="s">
        <v>1277</v>
      </c>
      <c r="Q235" s="1" t="s">
        <v>108</v>
      </c>
      <c r="S235" s="1" t="s">
        <v>1278</v>
      </c>
      <c r="T235" s="1" t="s">
        <v>1279</v>
      </c>
      <c r="V235" s="1" t="s">
        <v>1291</v>
      </c>
      <c r="W235" s="1" t="s">
        <v>1276</v>
      </c>
    </row>
    <row r="236" customFormat="false" ht="15" hidden="false" customHeight="true" outlineLevel="0" collapsed="false">
      <c r="A236" s="1" t="n">
        <v>0.186165</v>
      </c>
      <c r="B236" s="1" t="s">
        <v>1131</v>
      </c>
      <c r="C236" s="1" t="n">
        <v>10875</v>
      </c>
      <c r="D236" s="1" t="n">
        <v>2024.54</v>
      </c>
      <c r="E236" s="1" t="n">
        <v>10875</v>
      </c>
      <c r="F236" s="172" t="n">
        <v>0.186165</v>
      </c>
      <c r="G236" s="1" t="s">
        <v>102</v>
      </c>
      <c r="H236" s="1" t="s">
        <v>139</v>
      </c>
      <c r="I236" s="1" t="n">
        <v>47988041731</v>
      </c>
      <c r="J236" s="1" t="s">
        <v>1244</v>
      </c>
      <c r="K236" s="1" t="s">
        <v>102</v>
      </c>
      <c r="L236" s="1" t="s">
        <v>139</v>
      </c>
      <c r="M236" s="1" t="n">
        <v>47988041731</v>
      </c>
      <c r="N236" s="1" t="n">
        <v>2024.54</v>
      </c>
      <c r="O236" s="1" t="n">
        <v>906.25</v>
      </c>
      <c r="P236" s="1" t="s">
        <v>1286</v>
      </c>
      <c r="Q236" s="1" t="s">
        <v>175</v>
      </c>
      <c r="S236" s="1" t="s">
        <v>1287</v>
      </c>
      <c r="T236" s="1" t="s">
        <v>1274</v>
      </c>
      <c r="V236" s="1" t="s">
        <v>1291</v>
      </c>
      <c r="W236" s="1" t="s">
        <v>1284</v>
      </c>
    </row>
    <row r="237" customFormat="false" ht="15" hidden="false" customHeight="true" outlineLevel="0" collapsed="false">
      <c r="A237" s="1" t="n">
        <v>0.358921</v>
      </c>
      <c r="B237" s="1" t="s">
        <v>1131</v>
      </c>
      <c r="C237" s="1" t="n">
        <v>5615.5</v>
      </c>
      <c r="D237" s="1" t="n">
        <v>2015.52</v>
      </c>
      <c r="E237" s="1" t="n">
        <v>5615.5</v>
      </c>
      <c r="F237" s="172" t="n">
        <v>0.358921</v>
      </c>
      <c r="G237" s="1" t="s">
        <v>123</v>
      </c>
      <c r="H237" s="1" t="s">
        <v>119</v>
      </c>
      <c r="I237" s="1" t="n">
        <v>11996548328</v>
      </c>
      <c r="J237" s="1" t="s">
        <v>1244</v>
      </c>
      <c r="K237" s="1" t="s">
        <v>104</v>
      </c>
      <c r="L237" s="1" t="s">
        <v>119</v>
      </c>
      <c r="M237" s="1" t="n">
        <v>11996548328</v>
      </c>
      <c r="N237" s="1" t="n">
        <v>2015.52</v>
      </c>
      <c r="O237" s="1" t="n">
        <v>467.96</v>
      </c>
      <c r="P237" s="1" t="s">
        <v>1281</v>
      </c>
      <c r="Q237" s="1" t="s">
        <v>100</v>
      </c>
      <c r="S237" s="1" t="s">
        <v>1004</v>
      </c>
      <c r="T237" s="1" t="s">
        <v>1274</v>
      </c>
      <c r="V237" s="1" t="s">
        <v>1291</v>
      </c>
      <c r="W237" s="1" t="s">
        <v>1276</v>
      </c>
    </row>
    <row r="238" customFormat="false" ht="15" hidden="false" customHeight="true" outlineLevel="0" collapsed="false">
      <c r="A238" s="1" t="n">
        <v>0.358908</v>
      </c>
      <c r="B238" s="1" t="s">
        <v>1131</v>
      </c>
      <c r="C238" s="1" t="n">
        <v>5615.5</v>
      </c>
      <c r="D238" s="1" t="n">
        <v>2015.45</v>
      </c>
      <c r="E238" s="1" t="n">
        <v>5615.5</v>
      </c>
      <c r="F238" s="172" t="n">
        <v>0.358908</v>
      </c>
      <c r="G238" s="1" t="s">
        <v>123</v>
      </c>
      <c r="H238" s="1" t="s">
        <v>119</v>
      </c>
      <c r="I238" s="1" t="n">
        <v>16996100364</v>
      </c>
      <c r="J238" s="1" t="s">
        <v>1244</v>
      </c>
      <c r="K238" s="1" t="s">
        <v>104</v>
      </c>
      <c r="L238" s="1" t="s">
        <v>119</v>
      </c>
      <c r="M238" s="1" t="n">
        <v>16996100364</v>
      </c>
      <c r="N238" s="1" t="n">
        <v>2015.45</v>
      </c>
      <c r="O238" s="1" t="n">
        <v>467.96</v>
      </c>
      <c r="P238" s="1" t="s">
        <v>1281</v>
      </c>
      <c r="Q238" s="1" t="s">
        <v>108</v>
      </c>
      <c r="S238" s="1" t="s">
        <v>1278</v>
      </c>
      <c r="T238" s="1" t="s">
        <v>1279</v>
      </c>
      <c r="V238" s="1" t="s">
        <v>1291</v>
      </c>
      <c r="W238" s="1" t="s">
        <v>1276</v>
      </c>
    </row>
    <row r="239" customFormat="false" ht="15" hidden="false" customHeight="true" outlineLevel="0" collapsed="false">
      <c r="A239" s="1" t="n">
        <v>0.352002</v>
      </c>
      <c r="B239" s="1" t="s">
        <v>1131</v>
      </c>
      <c r="C239" s="1" t="n">
        <v>5615.5</v>
      </c>
      <c r="D239" s="1" t="n">
        <v>1976.67</v>
      </c>
      <c r="E239" s="1" t="n">
        <v>5615.5</v>
      </c>
      <c r="F239" s="172" t="n">
        <v>0.352002</v>
      </c>
      <c r="G239" s="1" t="s">
        <v>123</v>
      </c>
      <c r="H239" s="1" t="s">
        <v>260</v>
      </c>
      <c r="I239" s="1" t="n">
        <v>21997156179</v>
      </c>
      <c r="J239" s="1" t="s">
        <v>1244</v>
      </c>
      <c r="K239" s="1" t="s">
        <v>104</v>
      </c>
      <c r="L239" s="1" t="s">
        <v>260</v>
      </c>
      <c r="M239" s="1" t="n">
        <v>21997156179</v>
      </c>
      <c r="N239" s="1" t="n">
        <v>1976.67</v>
      </c>
      <c r="O239" s="1" t="n">
        <v>467.96</v>
      </c>
      <c r="P239" s="1" t="s">
        <v>1280</v>
      </c>
      <c r="Q239" s="1" t="s">
        <v>100</v>
      </c>
      <c r="S239" s="1" t="s">
        <v>1004</v>
      </c>
      <c r="T239" s="1" t="s">
        <v>1274</v>
      </c>
      <c r="V239" s="1" t="s">
        <v>1291</v>
      </c>
      <c r="W239" s="1" t="s">
        <v>1276</v>
      </c>
    </row>
    <row r="240" customFormat="false" ht="15" hidden="false" customHeight="true" outlineLevel="0" collapsed="false">
      <c r="A240" s="1" t="n">
        <v>0.193531</v>
      </c>
      <c r="B240" s="1" t="s">
        <v>1131</v>
      </c>
      <c r="C240" s="1" t="n">
        <v>10200</v>
      </c>
      <c r="D240" s="1" t="n">
        <v>1974.02</v>
      </c>
      <c r="E240" s="1" t="n">
        <v>10200</v>
      </c>
      <c r="F240" s="172" t="n">
        <v>0.193531</v>
      </c>
      <c r="G240" s="1" t="s">
        <v>115</v>
      </c>
      <c r="H240" s="1" t="s">
        <v>109</v>
      </c>
      <c r="I240" s="1" t="n">
        <v>17992091540</v>
      </c>
      <c r="J240" s="1" t="s">
        <v>1244</v>
      </c>
      <c r="K240" s="1" t="s">
        <v>115</v>
      </c>
      <c r="L240" s="1" t="s">
        <v>109</v>
      </c>
      <c r="M240" s="1" t="n">
        <v>17992091540</v>
      </c>
      <c r="N240" s="1" t="n">
        <v>1974.02</v>
      </c>
      <c r="O240" s="1" t="n">
        <v>850</v>
      </c>
      <c r="P240" s="1" t="s">
        <v>1286</v>
      </c>
      <c r="Q240" s="1" t="s">
        <v>184</v>
      </c>
      <c r="S240" s="1" t="s">
        <v>1278</v>
      </c>
      <c r="T240" s="1" t="s">
        <v>1274</v>
      </c>
      <c r="V240" s="1" t="s">
        <v>1291</v>
      </c>
      <c r="W240" s="1" t="s">
        <v>1284</v>
      </c>
    </row>
    <row r="241" customFormat="false" ht="15" hidden="false" customHeight="true" outlineLevel="0" collapsed="false">
      <c r="A241" s="1" t="n">
        <v>0.351034</v>
      </c>
      <c r="B241" s="1" t="s">
        <v>1131</v>
      </c>
      <c r="C241" s="1" t="n">
        <v>5615.5</v>
      </c>
      <c r="D241" s="1" t="n">
        <v>1971.23</v>
      </c>
      <c r="E241" s="1" t="n">
        <v>5615.5</v>
      </c>
      <c r="F241" s="172" t="n">
        <v>0.351034</v>
      </c>
      <c r="G241" s="1" t="s">
        <v>123</v>
      </c>
      <c r="H241" s="1" t="s">
        <v>119</v>
      </c>
      <c r="I241" s="1" t="n">
        <v>12996532808</v>
      </c>
      <c r="J241" s="1" t="s">
        <v>1244</v>
      </c>
      <c r="K241" s="1" t="s">
        <v>104</v>
      </c>
      <c r="L241" s="1" t="s">
        <v>119</v>
      </c>
      <c r="M241" s="1" t="n">
        <v>12996532808</v>
      </c>
      <c r="N241" s="1" t="n">
        <v>1971.23</v>
      </c>
      <c r="O241" s="1" t="n">
        <v>467.96</v>
      </c>
      <c r="P241" s="1" t="s">
        <v>1281</v>
      </c>
      <c r="Q241" s="1" t="s">
        <v>100</v>
      </c>
      <c r="S241" s="1" t="s">
        <v>1004</v>
      </c>
      <c r="T241" s="1" t="s">
        <v>1274</v>
      </c>
      <c r="V241" s="1" t="s">
        <v>1291</v>
      </c>
      <c r="W241" s="1" t="s">
        <v>1276</v>
      </c>
    </row>
    <row r="242" customFormat="false" ht="15" hidden="false" customHeight="true" outlineLevel="0" collapsed="false">
      <c r="A242" s="1" t="n">
        <v>0.344112</v>
      </c>
      <c r="B242" s="1" t="s">
        <v>1131</v>
      </c>
      <c r="C242" s="1" t="n">
        <v>5615.5</v>
      </c>
      <c r="D242" s="1" t="n">
        <v>1932.36</v>
      </c>
      <c r="E242" s="1" t="n">
        <v>5615.5</v>
      </c>
      <c r="F242" s="172" t="n">
        <v>0.344112</v>
      </c>
      <c r="G242" s="1" t="s">
        <v>123</v>
      </c>
      <c r="H242" s="1" t="s">
        <v>139</v>
      </c>
      <c r="I242" s="1" t="n">
        <v>49998205538</v>
      </c>
      <c r="J242" s="1" t="s">
        <v>1244</v>
      </c>
      <c r="K242" s="1" t="s">
        <v>104</v>
      </c>
      <c r="L242" s="1" t="s">
        <v>139</v>
      </c>
      <c r="M242" s="1" t="n">
        <v>49998205538</v>
      </c>
      <c r="N242" s="1" t="n">
        <v>1932.36</v>
      </c>
      <c r="O242" s="1" t="n">
        <v>467.96</v>
      </c>
      <c r="P242" s="1" t="s">
        <v>1277</v>
      </c>
      <c r="Q242" s="1" t="s">
        <v>108</v>
      </c>
      <c r="S242" s="1" t="s">
        <v>1278</v>
      </c>
      <c r="T242" s="1" t="s">
        <v>1279</v>
      </c>
      <c r="V242" s="1" t="s">
        <v>1291</v>
      </c>
      <c r="W242" s="1" t="s">
        <v>1276</v>
      </c>
    </row>
    <row r="243" customFormat="false" ht="15" hidden="false" customHeight="true" outlineLevel="0" collapsed="false">
      <c r="A243" s="1" t="n">
        <v>0.2678</v>
      </c>
      <c r="B243" s="1" t="s">
        <v>1131</v>
      </c>
      <c r="C243" s="1" t="n">
        <v>7200</v>
      </c>
      <c r="D243" s="1" t="n">
        <v>1928.16</v>
      </c>
      <c r="E243" s="1" t="n">
        <v>7200</v>
      </c>
      <c r="F243" s="172" t="n">
        <v>0.2678</v>
      </c>
      <c r="G243" s="1" t="s">
        <v>1292</v>
      </c>
      <c r="H243" s="1" t="s">
        <v>119</v>
      </c>
      <c r="I243" s="1" t="n">
        <v>16982035010</v>
      </c>
      <c r="J243" s="1" t="s">
        <v>1244</v>
      </c>
      <c r="K243" s="1" t="s">
        <v>104</v>
      </c>
      <c r="L243" s="1" t="s">
        <v>119</v>
      </c>
      <c r="M243" s="1" t="n">
        <v>16982035010</v>
      </c>
      <c r="N243" s="1" t="n">
        <v>1928.16</v>
      </c>
      <c r="O243" s="1" t="n">
        <v>600</v>
      </c>
      <c r="P243" s="1" t="s">
        <v>1281</v>
      </c>
      <c r="Q243" s="1" t="s">
        <v>100</v>
      </c>
      <c r="S243" s="1" t="s">
        <v>1004</v>
      </c>
      <c r="T243" s="1" t="s">
        <v>1274</v>
      </c>
      <c r="V243" s="1" t="s">
        <v>1291</v>
      </c>
      <c r="W243" s="1" t="s">
        <v>1276</v>
      </c>
    </row>
    <row r="244" customFormat="false" ht="15" hidden="false" customHeight="true" outlineLevel="0" collapsed="false">
      <c r="A244" s="1" t="n">
        <v>0.343264</v>
      </c>
      <c r="B244" s="1" t="s">
        <v>1131</v>
      </c>
      <c r="C244" s="1" t="n">
        <v>5615.5</v>
      </c>
      <c r="D244" s="1" t="n">
        <v>1927.6</v>
      </c>
      <c r="E244" s="1" t="n">
        <v>5615.5</v>
      </c>
      <c r="F244" s="172" t="n">
        <v>0.343264</v>
      </c>
      <c r="G244" s="1" t="s">
        <v>123</v>
      </c>
      <c r="H244" s="1" t="s">
        <v>260</v>
      </c>
      <c r="I244" s="1" t="n">
        <v>22999419668</v>
      </c>
      <c r="J244" s="1" t="s">
        <v>1244</v>
      </c>
      <c r="K244" s="1" t="s">
        <v>104</v>
      </c>
      <c r="L244" s="1" t="s">
        <v>260</v>
      </c>
      <c r="M244" s="1" t="n">
        <v>22999419668</v>
      </c>
      <c r="N244" s="1" t="n">
        <v>1927.6</v>
      </c>
      <c r="O244" s="1" t="n">
        <v>467.96</v>
      </c>
      <c r="P244" s="1" t="s">
        <v>1280</v>
      </c>
      <c r="Q244" s="1" t="s">
        <v>100</v>
      </c>
      <c r="S244" s="1" t="s">
        <v>1004</v>
      </c>
      <c r="T244" s="1" t="s">
        <v>1274</v>
      </c>
      <c r="V244" s="1" t="s">
        <v>1291</v>
      </c>
      <c r="W244" s="1" t="s">
        <v>1276</v>
      </c>
    </row>
    <row r="245" customFormat="false" ht="15" hidden="false" customHeight="true" outlineLevel="0" collapsed="false">
      <c r="A245" s="1" t="n">
        <v>0.186969</v>
      </c>
      <c r="B245" s="1" t="s">
        <v>1131</v>
      </c>
      <c r="C245" s="1" t="n">
        <v>10200</v>
      </c>
      <c r="D245" s="1" t="n">
        <v>1907.08</v>
      </c>
      <c r="E245" s="1" t="n">
        <v>10200</v>
      </c>
      <c r="F245" s="172" t="n">
        <v>0.186969</v>
      </c>
      <c r="G245" s="1" t="s">
        <v>115</v>
      </c>
      <c r="H245" s="1" t="s">
        <v>109</v>
      </c>
      <c r="I245" s="1" t="n">
        <v>41988589412</v>
      </c>
      <c r="J245" s="1" t="s">
        <v>1244</v>
      </c>
      <c r="K245" s="1" t="s">
        <v>115</v>
      </c>
      <c r="L245" s="1" t="s">
        <v>109</v>
      </c>
      <c r="M245" s="1" t="n">
        <v>41988589412</v>
      </c>
      <c r="N245" s="1" t="n">
        <v>1907.08</v>
      </c>
      <c r="O245" s="1" t="n">
        <v>850</v>
      </c>
      <c r="P245" s="1" t="s">
        <v>1286</v>
      </c>
      <c r="Q245" s="1" t="s">
        <v>184</v>
      </c>
      <c r="S245" s="1" t="s">
        <v>1278</v>
      </c>
      <c r="T245" s="1" t="s">
        <v>1274</v>
      </c>
      <c r="V245" s="1" t="s">
        <v>1291</v>
      </c>
      <c r="W245" s="1" t="s">
        <v>1284</v>
      </c>
    </row>
    <row r="246" customFormat="false" ht="15" hidden="false" customHeight="true" outlineLevel="0" collapsed="false">
      <c r="A246" s="1" t="n">
        <v>0.338741</v>
      </c>
      <c r="B246" s="1" t="s">
        <v>1131</v>
      </c>
      <c r="C246" s="1" t="n">
        <v>5615.5</v>
      </c>
      <c r="D246" s="1" t="n">
        <v>1902.2</v>
      </c>
      <c r="E246" s="1" t="n">
        <v>5615.5</v>
      </c>
      <c r="F246" s="172" t="n">
        <v>0.338741</v>
      </c>
      <c r="G246" s="1" t="s">
        <v>123</v>
      </c>
      <c r="H246" s="1" t="s">
        <v>101</v>
      </c>
      <c r="I246" s="1" t="n">
        <v>65999367619</v>
      </c>
      <c r="J246" s="1" t="s">
        <v>1244</v>
      </c>
      <c r="K246" s="1" t="s">
        <v>104</v>
      </c>
      <c r="L246" s="1" t="s">
        <v>101</v>
      </c>
      <c r="M246" s="1" t="n">
        <v>65999367619</v>
      </c>
      <c r="N246" s="1" t="n">
        <v>1902.2</v>
      </c>
      <c r="O246" s="1" t="n">
        <v>467.96</v>
      </c>
      <c r="P246" s="1" t="s">
        <v>1273</v>
      </c>
      <c r="Q246" s="1" t="s">
        <v>100</v>
      </c>
      <c r="S246" s="1" t="s">
        <v>1004</v>
      </c>
      <c r="T246" s="1" t="s">
        <v>1274</v>
      </c>
      <c r="V246" s="1" t="s">
        <v>1291</v>
      </c>
      <c r="W246" s="1" t="s">
        <v>1276</v>
      </c>
    </row>
    <row r="247" customFormat="false" ht="15" hidden="false" customHeight="true" outlineLevel="0" collapsed="false">
      <c r="A247" s="1" t="n">
        <v>0.337957</v>
      </c>
      <c r="B247" s="1" t="s">
        <v>1131</v>
      </c>
      <c r="C247" s="1" t="n">
        <v>5615.5</v>
      </c>
      <c r="D247" s="1" t="n">
        <v>1897.8</v>
      </c>
      <c r="E247" s="1" t="n">
        <v>5615.5</v>
      </c>
      <c r="F247" s="172" t="n">
        <v>0.337957</v>
      </c>
      <c r="G247" s="1" t="s">
        <v>123</v>
      </c>
      <c r="H247" s="1" t="s">
        <v>250</v>
      </c>
      <c r="I247" s="1" t="n">
        <v>27992310947</v>
      </c>
      <c r="J247" s="1" t="s">
        <v>1244</v>
      </c>
      <c r="K247" s="1" t="s">
        <v>104</v>
      </c>
      <c r="L247" s="1" t="s">
        <v>250</v>
      </c>
      <c r="M247" s="1" t="n">
        <v>27992310947</v>
      </c>
      <c r="N247" s="1" t="n">
        <v>1897.8</v>
      </c>
      <c r="O247" s="1" t="n">
        <v>467.96</v>
      </c>
      <c r="P247" s="1" t="s">
        <v>1280</v>
      </c>
      <c r="Q247" s="1" t="s">
        <v>100</v>
      </c>
      <c r="S247" s="1" t="s">
        <v>1004</v>
      </c>
      <c r="T247" s="1" t="s">
        <v>1274</v>
      </c>
      <c r="V247" s="1" t="s">
        <v>1291</v>
      </c>
      <c r="W247" s="1" t="s">
        <v>1276</v>
      </c>
    </row>
    <row r="248" customFormat="false" ht="15" hidden="false" customHeight="true" outlineLevel="0" collapsed="false">
      <c r="A248" s="1" t="n">
        <v>0.337083</v>
      </c>
      <c r="B248" s="1" t="s">
        <v>1131</v>
      </c>
      <c r="C248" s="1" t="n">
        <v>5615.5</v>
      </c>
      <c r="D248" s="1" t="n">
        <v>1892.89</v>
      </c>
      <c r="E248" s="1" t="n">
        <v>5615.5</v>
      </c>
      <c r="F248" s="172" t="n">
        <v>0.337083</v>
      </c>
      <c r="G248" s="1" t="s">
        <v>123</v>
      </c>
      <c r="H248" s="1" t="s">
        <v>139</v>
      </c>
      <c r="I248" s="1" t="n">
        <v>48991730745</v>
      </c>
      <c r="J248" s="1" t="s">
        <v>1244</v>
      </c>
      <c r="K248" s="1" t="s">
        <v>104</v>
      </c>
      <c r="L248" s="1" t="s">
        <v>139</v>
      </c>
      <c r="M248" s="1" t="n">
        <v>48991730745</v>
      </c>
      <c r="N248" s="1" t="n">
        <v>1892.89</v>
      </c>
      <c r="O248" s="1" t="n">
        <v>467.96</v>
      </c>
      <c r="P248" s="1" t="s">
        <v>1277</v>
      </c>
      <c r="Q248" s="1" t="s">
        <v>108</v>
      </c>
      <c r="S248" s="1" t="s">
        <v>1278</v>
      </c>
      <c r="T248" s="1" t="s">
        <v>1279</v>
      </c>
      <c r="V248" s="1" t="s">
        <v>1291</v>
      </c>
      <c r="W248" s="1" t="s">
        <v>1276</v>
      </c>
    </row>
    <row r="249" customFormat="false" ht="15" hidden="false" customHeight="true" outlineLevel="0" collapsed="false">
      <c r="A249" s="1" t="n">
        <v>0.170212</v>
      </c>
      <c r="B249" s="1" t="s">
        <v>1131</v>
      </c>
      <c r="C249" s="1" t="n">
        <v>10875</v>
      </c>
      <c r="D249" s="1" t="n">
        <v>1851.06</v>
      </c>
      <c r="E249" s="1" t="n">
        <v>10875</v>
      </c>
      <c r="F249" s="172" t="n">
        <v>0.170212</v>
      </c>
      <c r="G249" s="1" t="s">
        <v>102</v>
      </c>
      <c r="H249" s="1" t="s">
        <v>139</v>
      </c>
      <c r="I249" s="1" t="n">
        <v>4834472489</v>
      </c>
      <c r="J249" s="1" t="s">
        <v>1244</v>
      </c>
      <c r="K249" s="1" t="s">
        <v>102</v>
      </c>
      <c r="L249" s="1" t="s">
        <v>139</v>
      </c>
      <c r="M249" s="1" t="n">
        <v>4834472489</v>
      </c>
      <c r="N249" s="1" t="n">
        <v>1851.06</v>
      </c>
      <c r="O249" s="1" t="n">
        <v>906.25</v>
      </c>
      <c r="P249" s="1" t="s">
        <v>1286</v>
      </c>
      <c r="Q249" s="1" t="s">
        <v>175</v>
      </c>
      <c r="S249" s="1" t="s">
        <v>1287</v>
      </c>
      <c r="T249" s="1" t="s">
        <v>1274</v>
      </c>
      <c r="V249" s="1" t="s">
        <v>1291</v>
      </c>
      <c r="W249" s="1" t="s">
        <v>1284</v>
      </c>
    </row>
    <row r="250" customFormat="false" ht="15" hidden="false" customHeight="true" outlineLevel="0" collapsed="false">
      <c r="A250" s="1" t="n">
        <v>0.326989</v>
      </c>
      <c r="B250" s="1" t="s">
        <v>1131</v>
      </c>
      <c r="C250" s="1" t="n">
        <v>5615.5</v>
      </c>
      <c r="D250" s="1" t="n">
        <v>1836.21</v>
      </c>
      <c r="E250" s="1" t="n">
        <v>5615.5</v>
      </c>
      <c r="F250" s="172" t="n">
        <v>0.326989</v>
      </c>
      <c r="G250" s="1" t="s">
        <v>123</v>
      </c>
      <c r="H250" s="1" t="s">
        <v>109</v>
      </c>
      <c r="I250" s="1" t="n">
        <v>4191464469</v>
      </c>
      <c r="J250" s="1" t="s">
        <v>1244</v>
      </c>
      <c r="K250" s="1" t="s">
        <v>104</v>
      </c>
      <c r="L250" s="1" t="s">
        <v>109</v>
      </c>
      <c r="M250" s="1" t="n">
        <v>4191464469</v>
      </c>
      <c r="N250" s="1" t="n">
        <v>1836.21</v>
      </c>
      <c r="O250" s="1" t="n">
        <v>467.96</v>
      </c>
      <c r="P250" s="1" t="s">
        <v>1277</v>
      </c>
      <c r="Q250" s="1" t="s">
        <v>108</v>
      </c>
      <c r="S250" s="1" t="s">
        <v>1278</v>
      </c>
      <c r="T250" s="1" t="s">
        <v>1274</v>
      </c>
      <c r="V250" s="1" t="s">
        <v>1291</v>
      </c>
      <c r="W250" s="1" t="s">
        <v>1276</v>
      </c>
    </row>
    <row r="251" customFormat="false" ht="15" hidden="false" customHeight="true" outlineLevel="0" collapsed="false">
      <c r="A251" s="1" t="n">
        <v>0.32614</v>
      </c>
      <c r="B251" s="1" t="s">
        <v>1131</v>
      </c>
      <c r="C251" s="1" t="n">
        <v>5615.5</v>
      </c>
      <c r="D251" s="1" t="n">
        <v>1831.44</v>
      </c>
      <c r="E251" s="1" t="n">
        <v>5615.5</v>
      </c>
      <c r="F251" s="172" t="n">
        <v>0.32614</v>
      </c>
      <c r="G251" s="1" t="s">
        <v>123</v>
      </c>
      <c r="H251" s="1" t="s">
        <v>139</v>
      </c>
      <c r="I251" s="1" t="n">
        <v>4733238507</v>
      </c>
      <c r="J251" s="1" t="s">
        <v>1244</v>
      </c>
      <c r="K251" s="1" t="s">
        <v>104</v>
      </c>
      <c r="L251" s="1" t="s">
        <v>139</v>
      </c>
      <c r="M251" s="1" t="n">
        <v>4733238507</v>
      </c>
      <c r="N251" s="1" t="n">
        <v>1831.44</v>
      </c>
      <c r="O251" s="1" t="n">
        <v>467.96</v>
      </c>
      <c r="P251" s="1" t="s">
        <v>1277</v>
      </c>
      <c r="Q251" s="1" t="s">
        <v>108</v>
      </c>
      <c r="S251" s="1" t="s">
        <v>1278</v>
      </c>
      <c r="T251" s="1" t="s">
        <v>1279</v>
      </c>
      <c r="V251" s="1" t="s">
        <v>1291</v>
      </c>
      <c r="W251" s="1" t="s">
        <v>1276</v>
      </c>
    </row>
    <row r="252" customFormat="false" ht="15" hidden="false" customHeight="true" outlineLevel="0" collapsed="false">
      <c r="A252" s="1" t="n">
        <v>0.32495</v>
      </c>
      <c r="B252" s="1" t="s">
        <v>1131</v>
      </c>
      <c r="C252" s="1" t="n">
        <v>5615.5</v>
      </c>
      <c r="D252" s="1" t="n">
        <v>1824.76</v>
      </c>
      <c r="E252" s="1" t="n">
        <v>5615.5</v>
      </c>
      <c r="F252" s="172" t="n">
        <v>0.32495</v>
      </c>
      <c r="G252" s="1" t="s">
        <v>123</v>
      </c>
      <c r="H252" s="1" t="s">
        <v>146</v>
      </c>
      <c r="I252" s="1" t="n">
        <v>91985331298</v>
      </c>
      <c r="J252" s="1" t="s">
        <v>1244</v>
      </c>
      <c r="K252" s="1" t="s">
        <v>104</v>
      </c>
      <c r="L252" s="1" t="s">
        <v>146</v>
      </c>
      <c r="M252" s="1" t="n">
        <v>91985331298</v>
      </c>
      <c r="N252" s="1" t="n">
        <v>1824.76</v>
      </c>
      <c r="O252" s="1" t="n">
        <v>467.96</v>
      </c>
      <c r="P252" s="1" t="s">
        <v>1283</v>
      </c>
      <c r="Q252" s="1" t="s">
        <v>100</v>
      </c>
      <c r="S252" s="1" t="s">
        <v>1004</v>
      </c>
      <c r="T252" s="1" t="s">
        <v>1274</v>
      </c>
      <c r="V252" s="1" t="s">
        <v>1291</v>
      </c>
      <c r="W252" s="1" t="s">
        <v>1276</v>
      </c>
    </row>
    <row r="253" customFormat="false" ht="15" hidden="false" customHeight="true" outlineLevel="0" collapsed="false">
      <c r="A253" s="1" t="n">
        <v>0.324001</v>
      </c>
      <c r="B253" s="1" t="s">
        <v>1131</v>
      </c>
      <c r="C253" s="1" t="n">
        <v>5615.5</v>
      </c>
      <c r="D253" s="1" t="n">
        <v>1819.43</v>
      </c>
      <c r="E253" s="1" t="n">
        <v>5615.5</v>
      </c>
      <c r="F253" s="172" t="n">
        <v>0.324001</v>
      </c>
      <c r="G253" s="1" t="s">
        <v>123</v>
      </c>
      <c r="H253" s="1" t="s">
        <v>109</v>
      </c>
      <c r="I253" s="1" t="n">
        <v>4391176642</v>
      </c>
      <c r="J253" s="1" t="s">
        <v>1244</v>
      </c>
      <c r="K253" s="1" t="s">
        <v>104</v>
      </c>
      <c r="L253" s="1" t="s">
        <v>109</v>
      </c>
      <c r="M253" s="1" t="n">
        <v>4391176642</v>
      </c>
      <c r="N253" s="1" t="n">
        <v>1819.43</v>
      </c>
      <c r="O253" s="1" t="n">
        <v>467.96</v>
      </c>
      <c r="P253" s="1" t="s">
        <v>1277</v>
      </c>
      <c r="Q253" s="1" t="s">
        <v>108</v>
      </c>
      <c r="S253" s="1" t="s">
        <v>1278</v>
      </c>
      <c r="T253" s="1" t="s">
        <v>1279</v>
      </c>
      <c r="V253" s="1" t="s">
        <v>1291</v>
      </c>
      <c r="W253" s="1" t="s">
        <v>1276</v>
      </c>
    </row>
    <row r="254" customFormat="false" ht="15" hidden="false" customHeight="true" outlineLevel="0" collapsed="false">
      <c r="A254" s="1" t="n">
        <v>0.323711</v>
      </c>
      <c r="B254" s="1" t="s">
        <v>1131</v>
      </c>
      <c r="C254" s="1" t="n">
        <v>5615.5</v>
      </c>
      <c r="D254" s="1" t="n">
        <v>1817.8</v>
      </c>
      <c r="E254" s="1" t="n">
        <v>5615.5</v>
      </c>
      <c r="F254" s="172" t="n">
        <v>0.323711</v>
      </c>
      <c r="G254" s="1" t="s">
        <v>123</v>
      </c>
      <c r="H254" s="1" t="s">
        <v>119</v>
      </c>
      <c r="I254" s="1" t="n">
        <v>11982636370</v>
      </c>
      <c r="J254" s="1" t="s">
        <v>1244</v>
      </c>
      <c r="K254" s="1" t="s">
        <v>104</v>
      </c>
      <c r="L254" s="1" t="s">
        <v>119</v>
      </c>
      <c r="M254" s="1" t="n">
        <v>11982636370</v>
      </c>
      <c r="N254" s="1" t="n">
        <v>1817.8</v>
      </c>
      <c r="O254" s="1" t="n">
        <v>467.96</v>
      </c>
      <c r="P254" s="1" t="s">
        <v>1281</v>
      </c>
      <c r="Q254" s="1" t="s">
        <v>100</v>
      </c>
      <c r="S254" s="1" t="s">
        <v>1278</v>
      </c>
      <c r="T254" s="1" t="s">
        <v>1274</v>
      </c>
      <c r="V254" s="1" t="s">
        <v>1291</v>
      </c>
      <c r="W254" s="1" t="s">
        <v>1276</v>
      </c>
    </row>
    <row r="255" customFormat="false" ht="15" hidden="false" customHeight="true" outlineLevel="0" collapsed="false">
      <c r="A255" s="1" t="n">
        <v>0.168765</v>
      </c>
      <c r="B255" s="1" t="s">
        <v>1131</v>
      </c>
      <c r="C255" s="1" t="n">
        <v>10706.9</v>
      </c>
      <c r="D255" s="1" t="n">
        <v>1806.95</v>
      </c>
      <c r="E255" s="1" t="n">
        <v>10706.9</v>
      </c>
      <c r="F255" s="172" t="n">
        <v>0.168765</v>
      </c>
      <c r="G255" s="1" t="s">
        <v>66</v>
      </c>
      <c r="H255" s="1" t="s">
        <v>139</v>
      </c>
      <c r="I255" s="1" t="n">
        <v>47992141901</v>
      </c>
      <c r="J255" s="1" t="s">
        <v>1244</v>
      </c>
      <c r="K255" s="1" t="s">
        <v>66</v>
      </c>
      <c r="L255" s="1" t="s">
        <v>139</v>
      </c>
      <c r="M255" s="1" t="n">
        <v>47992141901</v>
      </c>
      <c r="N255" s="1" t="n">
        <v>1806.95</v>
      </c>
      <c r="O255" s="1" t="n">
        <v>892.24</v>
      </c>
      <c r="P255" s="1" t="s">
        <v>1286</v>
      </c>
      <c r="Q255" s="1" t="s">
        <v>175</v>
      </c>
      <c r="S255" s="1" t="s">
        <v>1278</v>
      </c>
      <c r="T255" s="1" t="s">
        <v>1274</v>
      </c>
      <c r="V255" s="1" t="s">
        <v>1291</v>
      </c>
      <c r="W255" s="1" t="s">
        <v>1284</v>
      </c>
    </row>
    <row r="256" customFormat="false" ht="15" hidden="false" customHeight="true" outlineLevel="0" collapsed="false">
      <c r="A256" s="1" t="n">
        <v>0.315975</v>
      </c>
      <c r="B256" s="1" t="s">
        <v>1131</v>
      </c>
      <c r="C256" s="1" t="n">
        <v>5615.5</v>
      </c>
      <c r="D256" s="1" t="n">
        <v>1774.36</v>
      </c>
      <c r="E256" s="1" t="n">
        <v>5615.5</v>
      </c>
      <c r="F256" s="172" t="n">
        <v>0.315975</v>
      </c>
      <c r="G256" s="1" t="s">
        <v>123</v>
      </c>
      <c r="H256" s="1" t="s">
        <v>109</v>
      </c>
      <c r="I256" s="1" t="n">
        <v>41998795596</v>
      </c>
      <c r="J256" s="1" t="s">
        <v>1244</v>
      </c>
      <c r="K256" s="1" t="s">
        <v>104</v>
      </c>
      <c r="L256" s="1" t="s">
        <v>109</v>
      </c>
      <c r="M256" s="1" t="n">
        <v>41998795596</v>
      </c>
      <c r="N256" s="1" t="n">
        <v>1774.36</v>
      </c>
      <c r="O256" s="1" t="n">
        <v>467.96</v>
      </c>
      <c r="P256" s="1" t="s">
        <v>1277</v>
      </c>
      <c r="Q256" s="1" t="s">
        <v>108</v>
      </c>
      <c r="S256" s="1" t="s">
        <v>1278</v>
      </c>
      <c r="T256" s="1" t="s">
        <v>1279</v>
      </c>
      <c r="V256" s="1" t="s">
        <v>1291</v>
      </c>
      <c r="W256" s="1" t="s">
        <v>1276</v>
      </c>
    </row>
    <row r="257" customFormat="false" ht="15" hidden="false" customHeight="true" outlineLevel="0" collapsed="false">
      <c r="A257" s="1" t="n">
        <v>0.315576</v>
      </c>
      <c r="B257" s="1" t="s">
        <v>1131</v>
      </c>
      <c r="C257" s="1" t="n">
        <v>5615.5</v>
      </c>
      <c r="D257" s="1" t="n">
        <v>1772.12</v>
      </c>
      <c r="E257" s="1" t="n">
        <v>5615.5</v>
      </c>
      <c r="F257" s="172" t="n">
        <v>0.315576</v>
      </c>
      <c r="G257" s="1" t="s">
        <v>123</v>
      </c>
      <c r="H257" s="1" t="s">
        <v>139</v>
      </c>
      <c r="I257" s="1" t="n">
        <v>47925240074</v>
      </c>
      <c r="J257" s="1" t="s">
        <v>1244</v>
      </c>
      <c r="K257" s="1" t="s">
        <v>104</v>
      </c>
      <c r="L257" s="1" t="s">
        <v>139</v>
      </c>
      <c r="M257" s="1" t="n">
        <v>47925240074</v>
      </c>
      <c r="N257" s="1" t="n">
        <v>1772.12</v>
      </c>
      <c r="O257" s="1" t="n">
        <v>467.96</v>
      </c>
      <c r="P257" s="1" t="s">
        <v>1277</v>
      </c>
      <c r="Q257" s="1" t="s">
        <v>108</v>
      </c>
      <c r="S257" s="1" t="s">
        <v>1278</v>
      </c>
      <c r="T257" s="1" t="s">
        <v>1279</v>
      </c>
      <c r="V257" s="1" t="s">
        <v>1291</v>
      </c>
      <c r="W257" s="1" t="s">
        <v>1276</v>
      </c>
    </row>
    <row r="258" customFormat="false" ht="15" hidden="false" customHeight="true" outlineLevel="0" collapsed="false">
      <c r="A258" s="1" t="n">
        <v>0.165379</v>
      </c>
      <c r="B258" s="1" t="s">
        <v>1131</v>
      </c>
      <c r="C258" s="1" t="n">
        <v>10706.9</v>
      </c>
      <c r="D258" s="1" t="n">
        <v>1770.7</v>
      </c>
      <c r="E258" s="1" t="n">
        <v>10706.9</v>
      </c>
      <c r="F258" s="172" t="n">
        <v>0.165379</v>
      </c>
      <c r="G258" s="1" t="s">
        <v>66</v>
      </c>
      <c r="H258" s="1" t="s">
        <v>139</v>
      </c>
      <c r="I258" s="1" t="n">
        <v>4733680373</v>
      </c>
      <c r="J258" s="1" t="s">
        <v>1244</v>
      </c>
      <c r="K258" s="1" t="s">
        <v>66</v>
      </c>
      <c r="L258" s="1" t="s">
        <v>139</v>
      </c>
      <c r="M258" s="1" t="n">
        <v>4733680373</v>
      </c>
      <c r="N258" s="1" t="n">
        <v>1770.7</v>
      </c>
      <c r="O258" s="1" t="n">
        <v>892.24</v>
      </c>
      <c r="P258" s="1" t="s">
        <v>1286</v>
      </c>
      <c r="Q258" s="1" t="s">
        <v>175</v>
      </c>
      <c r="S258" s="1" t="s">
        <v>1278</v>
      </c>
      <c r="T258" s="1" t="s">
        <v>1274</v>
      </c>
      <c r="V258" s="1" t="s">
        <v>1291</v>
      </c>
      <c r="W258" s="1" t="s">
        <v>1284</v>
      </c>
    </row>
    <row r="259" customFormat="false" ht="15" hidden="false" customHeight="true" outlineLevel="0" collapsed="false">
      <c r="A259" s="1" t="n">
        <v>0.313874</v>
      </c>
      <c r="B259" s="1" t="s">
        <v>1131</v>
      </c>
      <c r="C259" s="1" t="n">
        <v>5615.5</v>
      </c>
      <c r="D259" s="1" t="n">
        <v>1762.56</v>
      </c>
      <c r="E259" s="1" t="n">
        <v>5615.5</v>
      </c>
      <c r="F259" s="172" t="n">
        <v>0.313874</v>
      </c>
      <c r="G259" s="1" t="s">
        <v>123</v>
      </c>
      <c r="H259" s="1" t="s">
        <v>119</v>
      </c>
      <c r="I259" s="1" t="n">
        <v>15998401484</v>
      </c>
      <c r="J259" s="1" t="s">
        <v>1244</v>
      </c>
      <c r="K259" s="1" t="s">
        <v>104</v>
      </c>
      <c r="L259" s="1" t="s">
        <v>119</v>
      </c>
      <c r="M259" s="1" t="n">
        <v>15998401484</v>
      </c>
      <c r="N259" s="1" t="n">
        <v>1762.56</v>
      </c>
      <c r="O259" s="1" t="n">
        <v>467.96</v>
      </c>
      <c r="P259" s="1" t="s">
        <v>1281</v>
      </c>
      <c r="Q259" s="1" t="s">
        <v>100</v>
      </c>
      <c r="S259" s="1" t="s">
        <v>1004</v>
      </c>
      <c r="T259" s="1" t="s">
        <v>1274</v>
      </c>
      <c r="V259" s="1" t="s">
        <v>1291</v>
      </c>
      <c r="W259" s="1" t="s">
        <v>1276</v>
      </c>
    </row>
    <row r="260" customFormat="false" ht="15" hidden="false" customHeight="true" outlineLevel="0" collapsed="false">
      <c r="A260" s="1" t="n">
        <v>0.3136</v>
      </c>
      <c r="B260" s="1" t="s">
        <v>1131</v>
      </c>
      <c r="C260" s="1" t="n">
        <v>5615.5</v>
      </c>
      <c r="D260" s="1" t="n">
        <v>1761.02</v>
      </c>
      <c r="E260" s="1" t="n">
        <v>5615.5</v>
      </c>
      <c r="F260" s="172" t="n">
        <v>0.3136</v>
      </c>
      <c r="G260" s="1" t="s">
        <v>123</v>
      </c>
      <c r="H260" s="1" t="s">
        <v>101</v>
      </c>
      <c r="I260" s="1" t="n">
        <v>66999911659</v>
      </c>
      <c r="J260" s="1" t="s">
        <v>1244</v>
      </c>
      <c r="K260" s="1" t="s">
        <v>104</v>
      </c>
      <c r="L260" s="1" t="s">
        <v>101</v>
      </c>
      <c r="M260" s="1" t="n">
        <v>66999911659</v>
      </c>
      <c r="N260" s="1" t="n">
        <v>1761.02</v>
      </c>
      <c r="O260" s="1" t="n">
        <v>467.96</v>
      </c>
      <c r="P260" s="1" t="s">
        <v>1273</v>
      </c>
      <c r="Q260" s="1" t="s">
        <v>100</v>
      </c>
      <c r="S260" s="1" t="s">
        <v>1004</v>
      </c>
      <c r="T260" s="1" t="s">
        <v>1274</v>
      </c>
      <c r="V260" s="1" t="s">
        <v>1291</v>
      </c>
      <c r="W260" s="1" t="s">
        <v>1276</v>
      </c>
    </row>
    <row r="261" customFormat="false" ht="15" hidden="false" customHeight="true" outlineLevel="0" collapsed="false">
      <c r="A261" s="1" t="n">
        <v>0.313391</v>
      </c>
      <c r="B261" s="1" t="s">
        <v>1131</v>
      </c>
      <c r="C261" s="1" t="n">
        <v>5615.5</v>
      </c>
      <c r="D261" s="1" t="n">
        <v>1759.85</v>
      </c>
      <c r="E261" s="1" t="n">
        <v>5615.5</v>
      </c>
      <c r="F261" s="172" t="n">
        <v>0.313391</v>
      </c>
      <c r="G261" s="1" t="s">
        <v>123</v>
      </c>
      <c r="H261" s="1" t="s">
        <v>139</v>
      </c>
      <c r="I261" s="1" t="n">
        <v>4792532971</v>
      </c>
      <c r="J261" s="1" t="s">
        <v>1244</v>
      </c>
      <c r="K261" s="1" t="s">
        <v>104</v>
      </c>
      <c r="L261" s="1" t="s">
        <v>139</v>
      </c>
      <c r="M261" s="1" t="n">
        <v>4792532971</v>
      </c>
      <c r="N261" s="1" t="n">
        <v>1759.85</v>
      </c>
      <c r="O261" s="1" t="n">
        <v>467.96</v>
      </c>
      <c r="P261" s="1" t="s">
        <v>1277</v>
      </c>
      <c r="Q261" s="1" t="s">
        <v>108</v>
      </c>
      <c r="S261" s="1" t="s">
        <v>1278</v>
      </c>
      <c r="T261" s="1" t="s">
        <v>1274</v>
      </c>
      <c r="V261" s="1" t="s">
        <v>1291</v>
      </c>
      <c r="W261" s="1" t="s">
        <v>1276</v>
      </c>
    </row>
    <row r="262" customFormat="false" ht="15" hidden="false" customHeight="true" outlineLevel="0" collapsed="false">
      <c r="A262" s="1" t="n">
        <v>0.311256</v>
      </c>
      <c r="B262" s="1" t="s">
        <v>1131</v>
      </c>
      <c r="C262" s="1" t="n">
        <v>5615.5</v>
      </c>
      <c r="D262" s="1" t="n">
        <v>1747.86</v>
      </c>
      <c r="E262" s="1" t="n">
        <v>5615.5</v>
      </c>
      <c r="F262" s="172" t="n">
        <v>0.311256</v>
      </c>
      <c r="G262" s="1" t="s">
        <v>123</v>
      </c>
      <c r="H262" s="1" t="s">
        <v>119</v>
      </c>
      <c r="I262" s="1" t="n">
        <v>1391441021</v>
      </c>
      <c r="J262" s="1" t="s">
        <v>1244</v>
      </c>
      <c r="K262" s="1" t="s">
        <v>104</v>
      </c>
      <c r="L262" s="1" t="s">
        <v>119</v>
      </c>
      <c r="M262" s="1" t="n">
        <v>1391441021</v>
      </c>
      <c r="N262" s="1" t="n">
        <v>1747.86</v>
      </c>
      <c r="O262" s="1" t="n">
        <v>467.96</v>
      </c>
      <c r="P262" s="1" t="s">
        <v>1285</v>
      </c>
      <c r="Q262" s="1" t="s">
        <v>100</v>
      </c>
      <c r="S262" s="1" t="s">
        <v>1004</v>
      </c>
      <c r="T262" s="1" t="s">
        <v>1274</v>
      </c>
      <c r="V262" s="1" t="s">
        <v>1291</v>
      </c>
      <c r="W262" s="1" t="s">
        <v>1276</v>
      </c>
    </row>
    <row r="263" customFormat="false" ht="15" hidden="false" customHeight="true" outlineLevel="0" collapsed="false">
      <c r="A263" s="1" t="n">
        <v>0.310711</v>
      </c>
      <c r="B263" s="1" t="s">
        <v>1131</v>
      </c>
      <c r="C263" s="1" t="n">
        <v>5615.5</v>
      </c>
      <c r="D263" s="1" t="n">
        <v>1744.8</v>
      </c>
      <c r="E263" s="1" t="n">
        <v>5615.5</v>
      </c>
      <c r="F263" s="172" t="n">
        <v>0.310711</v>
      </c>
      <c r="G263" s="1" t="s">
        <v>123</v>
      </c>
      <c r="H263" s="1" t="s">
        <v>109</v>
      </c>
      <c r="I263" s="1" t="n">
        <v>44997406173</v>
      </c>
      <c r="J263" s="1" t="s">
        <v>1244</v>
      </c>
      <c r="K263" s="1" t="s">
        <v>104</v>
      </c>
      <c r="L263" s="1" t="s">
        <v>109</v>
      </c>
      <c r="M263" s="1" t="n">
        <v>44997406173</v>
      </c>
      <c r="N263" s="1" t="n">
        <v>1744.8</v>
      </c>
      <c r="O263" s="1" t="n">
        <v>467.96</v>
      </c>
      <c r="P263" s="1" t="s">
        <v>1277</v>
      </c>
      <c r="Q263" s="1" t="s">
        <v>108</v>
      </c>
      <c r="S263" s="1" t="s">
        <v>1278</v>
      </c>
      <c r="T263" s="1" t="s">
        <v>1279</v>
      </c>
      <c r="V263" s="1" t="s">
        <v>1291</v>
      </c>
      <c r="W263" s="1" t="s">
        <v>1276</v>
      </c>
    </row>
    <row r="264" customFormat="false" ht="15" hidden="false" customHeight="true" outlineLevel="0" collapsed="false">
      <c r="A264" s="1" t="n">
        <v>0.310658</v>
      </c>
      <c r="B264" s="1" t="s">
        <v>1131</v>
      </c>
      <c r="C264" s="1" t="n">
        <v>5615.5</v>
      </c>
      <c r="D264" s="1" t="n">
        <v>1744.5</v>
      </c>
      <c r="E264" s="1" t="n">
        <v>5615.5</v>
      </c>
      <c r="F264" s="172" t="n">
        <v>0.310658</v>
      </c>
      <c r="G264" s="1" t="s">
        <v>123</v>
      </c>
      <c r="H264" s="1" t="s">
        <v>119</v>
      </c>
      <c r="I264" s="1" t="n">
        <v>16997813352</v>
      </c>
      <c r="J264" s="1" t="s">
        <v>1244</v>
      </c>
      <c r="K264" s="1" t="s">
        <v>104</v>
      </c>
      <c r="L264" s="1" t="s">
        <v>119</v>
      </c>
      <c r="M264" s="1" t="n">
        <v>16997813352</v>
      </c>
      <c r="N264" s="1" t="n">
        <v>1744.5</v>
      </c>
      <c r="O264" s="1" t="n">
        <v>467.96</v>
      </c>
      <c r="P264" s="1" t="s">
        <v>1281</v>
      </c>
      <c r="Q264" s="1" t="s">
        <v>100</v>
      </c>
      <c r="S264" s="1" t="s">
        <v>1004</v>
      </c>
      <c r="T264" s="1" t="s">
        <v>1274</v>
      </c>
      <c r="V264" s="1" t="s">
        <v>1291</v>
      </c>
      <c r="W264" s="1" t="s">
        <v>1276</v>
      </c>
    </row>
    <row r="265" customFormat="false" ht="15" hidden="false" customHeight="true" outlineLevel="0" collapsed="false">
      <c r="A265" s="1" t="n">
        <v>0.309856</v>
      </c>
      <c r="B265" s="1" t="s">
        <v>1131</v>
      </c>
      <c r="C265" s="1" t="n">
        <v>5615.5</v>
      </c>
      <c r="D265" s="1" t="n">
        <v>1740</v>
      </c>
      <c r="E265" s="1" t="n">
        <v>5615.5</v>
      </c>
      <c r="F265" s="172" t="n">
        <v>0.309856</v>
      </c>
      <c r="G265" s="1" t="s">
        <v>123</v>
      </c>
      <c r="H265" s="1" t="s">
        <v>119</v>
      </c>
      <c r="I265" s="1" t="n">
        <v>11953936791</v>
      </c>
      <c r="J265" s="1" t="s">
        <v>1244</v>
      </c>
      <c r="K265" s="1" t="s">
        <v>104</v>
      </c>
      <c r="L265" s="1" t="s">
        <v>119</v>
      </c>
      <c r="M265" s="1" t="n">
        <v>11953936791</v>
      </c>
      <c r="N265" s="1" t="n">
        <v>1740</v>
      </c>
      <c r="O265" s="1" t="n">
        <v>467.96</v>
      </c>
      <c r="P265" s="1" t="s">
        <v>1281</v>
      </c>
      <c r="Q265" s="1" t="s">
        <v>100</v>
      </c>
      <c r="S265" s="1" t="s">
        <v>1004</v>
      </c>
      <c r="T265" s="1" t="s">
        <v>1274</v>
      </c>
      <c r="V265" s="1" t="s">
        <v>1291</v>
      </c>
      <c r="W265" s="1" t="s">
        <v>1276</v>
      </c>
    </row>
    <row r="266" customFormat="false" ht="15" hidden="false" customHeight="true" outlineLevel="0" collapsed="false">
      <c r="A266" s="1" t="n">
        <v>0.308784</v>
      </c>
      <c r="B266" s="1" t="s">
        <v>1131</v>
      </c>
      <c r="C266" s="1" t="n">
        <v>5615.5</v>
      </c>
      <c r="D266" s="1" t="n">
        <v>1733.98</v>
      </c>
      <c r="E266" s="1" t="n">
        <v>5615.5</v>
      </c>
      <c r="F266" s="172" t="n">
        <v>0.308784</v>
      </c>
      <c r="G266" s="1" t="s">
        <v>123</v>
      </c>
      <c r="H266" s="1" t="s">
        <v>101</v>
      </c>
      <c r="I266" s="1" t="n">
        <v>66996310634</v>
      </c>
      <c r="J266" s="1" t="s">
        <v>1244</v>
      </c>
      <c r="K266" s="1" t="s">
        <v>104</v>
      </c>
      <c r="L266" s="1" t="s">
        <v>101</v>
      </c>
      <c r="M266" s="1" t="n">
        <v>66996310634</v>
      </c>
      <c r="N266" s="1" t="n">
        <v>1733.98</v>
      </c>
      <c r="O266" s="1" t="n">
        <v>467.96</v>
      </c>
      <c r="P266" s="1" t="s">
        <v>1273</v>
      </c>
      <c r="Q266" s="1" t="s">
        <v>100</v>
      </c>
      <c r="S266" s="1" t="s">
        <v>1004</v>
      </c>
      <c r="T266" s="1" t="s">
        <v>1274</v>
      </c>
      <c r="V266" s="1" t="s">
        <v>1291</v>
      </c>
      <c r="W266" s="1" t="s">
        <v>1276</v>
      </c>
    </row>
    <row r="267" customFormat="false" ht="15" hidden="false" customHeight="true" outlineLevel="0" collapsed="false">
      <c r="A267" s="1" t="n">
        <v>0.306177</v>
      </c>
      <c r="B267" s="1" t="s">
        <v>1131</v>
      </c>
      <c r="C267" s="1" t="n">
        <v>5615.5</v>
      </c>
      <c r="D267" s="1" t="n">
        <v>1719.34</v>
      </c>
      <c r="E267" s="1" t="n">
        <v>5615.5</v>
      </c>
      <c r="F267" s="172" t="n">
        <v>0.306177</v>
      </c>
      <c r="G267" s="1" t="s">
        <v>123</v>
      </c>
      <c r="H267" s="1" t="s">
        <v>139</v>
      </c>
      <c r="I267" s="1" t="n">
        <v>4899835143</v>
      </c>
      <c r="J267" s="1" t="s">
        <v>1244</v>
      </c>
      <c r="K267" s="1" t="s">
        <v>104</v>
      </c>
      <c r="L267" s="1" t="s">
        <v>139</v>
      </c>
      <c r="M267" s="1" t="n">
        <v>4899835143</v>
      </c>
      <c r="N267" s="1" t="n">
        <v>1719.34</v>
      </c>
      <c r="O267" s="1" t="n">
        <v>467.96</v>
      </c>
      <c r="P267" s="1" t="s">
        <v>1277</v>
      </c>
      <c r="Q267" s="1" t="s">
        <v>108</v>
      </c>
      <c r="S267" s="1" t="s">
        <v>1278</v>
      </c>
      <c r="T267" s="1" t="s">
        <v>1279</v>
      </c>
      <c r="V267" s="1" t="s">
        <v>1291</v>
      </c>
      <c r="W267" s="1" t="s">
        <v>1276</v>
      </c>
    </row>
    <row r="268" customFormat="false" ht="15" hidden="false" customHeight="true" outlineLevel="0" collapsed="false">
      <c r="A268" s="1" t="n">
        <v>0.304624</v>
      </c>
      <c r="B268" s="1" t="s">
        <v>1131</v>
      </c>
      <c r="C268" s="1" t="n">
        <v>5615.5</v>
      </c>
      <c r="D268" s="1" t="n">
        <v>1710.62</v>
      </c>
      <c r="E268" s="1" t="n">
        <v>5615.5</v>
      </c>
      <c r="F268" s="172" t="n">
        <v>0.304624</v>
      </c>
      <c r="G268" s="1" t="s">
        <v>123</v>
      </c>
      <c r="H268" s="1" t="s">
        <v>196</v>
      </c>
      <c r="I268" s="1" t="n">
        <v>5184104577</v>
      </c>
      <c r="J268" s="1" t="s">
        <v>1244</v>
      </c>
      <c r="K268" s="1" t="s">
        <v>104</v>
      </c>
      <c r="L268" s="1" t="s">
        <v>196</v>
      </c>
      <c r="M268" s="1" t="n">
        <v>5184104577</v>
      </c>
      <c r="N268" s="1" t="n">
        <v>1710.62</v>
      </c>
      <c r="O268" s="1" t="n">
        <v>467.96</v>
      </c>
      <c r="P268" s="1" t="s">
        <v>1277</v>
      </c>
      <c r="Q268" s="1" t="s">
        <v>108</v>
      </c>
      <c r="S268" s="1" t="s">
        <v>1278</v>
      </c>
      <c r="T268" s="1" t="s">
        <v>1279</v>
      </c>
      <c r="V268" s="1" t="s">
        <v>1291</v>
      </c>
      <c r="W268" s="1" t="s">
        <v>1276</v>
      </c>
    </row>
    <row r="269" customFormat="false" ht="15" hidden="false" customHeight="true" outlineLevel="0" collapsed="false">
      <c r="A269" s="1" t="n">
        <v>0.30352</v>
      </c>
      <c r="B269" s="1" t="s">
        <v>1131</v>
      </c>
      <c r="C269" s="1" t="n">
        <v>5615.5</v>
      </c>
      <c r="D269" s="1" t="n">
        <v>1704.42</v>
      </c>
      <c r="E269" s="1" t="n">
        <v>5615.5</v>
      </c>
      <c r="F269" s="172" t="n">
        <v>0.30352</v>
      </c>
      <c r="G269" s="1" t="s">
        <v>123</v>
      </c>
      <c r="H269" s="1" t="s">
        <v>109</v>
      </c>
      <c r="I269" s="1" t="n">
        <v>4199812308</v>
      </c>
      <c r="J269" s="1" t="s">
        <v>1244</v>
      </c>
      <c r="K269" s="1" t="s">
        <v>104</v>
      </c>
      <c r="L269" s="1" t="s">
        <v>109</v>
      </c>
      <c r="M269" s="1" t="n">
        <v>4199812308</v>
      </c>
      <c r="N269" s="1" t="n">
        <v>1704.42</v>
      </c>
      <c r="O269" s="1" t="n">
        <v>467.96</v>
      </c>
      <c r="P269" s="1" t="s">
        <v>1277</v>
      </c>
      <c r="Q269" s="1" t="s">
        <v>108</v>
      </c>
      <c r="S269" s="1" t="s">
        <v>1278</v>
      </c>
      <c r="T269" s="1" t="s">
        <v>1274</v>
      </c>
      <c r="V269" s="1" t="s">
        <v>1291</v>
      </c>
      <c r="W269" s="1" t="s">
        <v>1276</v>
      </c>
    </row>
    <row r="270" customFormat="false" ht="15" hidden="false" customHeight="true" outlineLevel="0" collapsed="false">
      <c r="A270" s="1" t="n">
        <v>0.301184</v>
      </c>
      <c r="B270" s="1" t="s">
        <v>1131</v>
      </c>
      <c r="C270" s="1" t="n">
        <v>5615.5</v>
      </c>
      <c r="D270" s="1" t="n">
        <v>1691.3</v>
      </c>
      <c r="E270" s="1" t="n">
        <v>5615.5</v>
      </c>
      <c r="F270" s="172" t="n">
        <v>0.301184</v>
      </c>
      <c r="G270" s="1" t="s">
        <v>123</v>
      </c>
      <c r="H270" s="1" t="s">
        <v>109</v>
      </c>
      <c r="I270" s="1" t="n">
        <v>4399660161</v>
      </c>
      <c r="J270" s="1" t="s">
        <v>1244</v>
      </c>
      <c r="K270" s="1" t="s">
        <v>104</v>
      </c>
      <c r="L270" s="1" t="s">
        <v>109</v>
      </c>
      <c r="M270" s="1" t="n">
        <v>4399660161</v>
      </c>
      <c r="N270" s="1" t="n">
        <v>1691.3</v>
      </c>
      <c r="O270" s="1" t="n">
        <v>467.96</v>
      </c>
      <c r="P270" s="1" t="s">
        <v>1277</v>
      </c>
      <c r="Q270" s="1" t="s">
        <v>108</v>
      </c>
      <c r="S270" s="1" t="s">
        <v>1278</v>
      </c>
      <c r="T270" s="1" t="s">
        <v>1279</v>
      </c>
      <c r="V270" s="1" t="s">
        <v>1291</v>
      </c>
      <c r="W270" s="1" t="s">
        <v>1276</v>
      </c>
    </row>
    <row r="271" customFormat="false" ht="15" hidden="false" customHeight="true" outlineLevel="0" collapsed="false">
      <c r="A271" s="1" t="n">
        <v>0.299181</v>
      </c>
      <c r="B271" s="1" t="s">
        <v>1131</v>
      </c>
      <c r="C271" s="1" t="n">
        <v>5615.5</v>
      </c>
      <c r="D271" s="1" t="n">
        <v>1680.05</v>
      </c>
      <c r="E271" s="1" t="n">
        <v>5615.5</v>
      </c>
      <c r="F271" s="172" t="n">
        <v>0.299181</v>
      </c>
      <c r="G271" s="1" t="s">
        <v>123</v>
      </c>
      <c r="H271" s="1" t="s">
        <v>139</v>
      </c>
      <c r="I271" s="1" t="n">
        <v>4733870191</v>
      </c>
      <c r="J271" s="1" t="s">
        <v>1244</v>
      </c>
      <c r="K271" s="1" t="s">
        <v>104</v>
      </c>
      <c r="L271" s="1" t="s">
        <v>139</v>
      </c>
      <c r="M271" s="1" t="n">
        <v>4733870191</v>
      </c>
      <c r="N271" s="1" t="n">
        <v>1680.05</v>
      </c>
      <c r="O271" s="1" t="n">
        <v>467.96</v>
      </c>
      <c r="P271" s="1" t="s">
        <v>1277</v>
      </c>
      <c r="Q271" s="1" t="s">
        <v>108</v>
      </c>
      <c r="S271" s="1" t="s">
        <v>1278</v>
      </c>
      <c r="T271" s="1" t="s">
        <v>1279</v>
      </c>
      <c r="V271" s="1" t="s">
        <v>1291</v>
      </c>
      <c r="W271" s="1" t="s">
        <v>1276</v>
      </c>
    </row>
    <row r="272" customFormat="false" ht="15" hidden="false" customHeight="true" outlineLevel="0" collapsed="false">
      <c r="A272" s="1" t="n">
        <v>0.285837</v>
      </c>
      <c r="B272" s="1" t="s">
        <v>1131</v>
      </c>
      <c r="C272" s="1" t="n">
        <v>5615.5</v>
      </c>
      <c r="D272" s="1" t="n">
        <v>1605.12</v>
      </c>
      <c r="E272" s="1" t="n">
        <v>5615.5</v>
      </c>
      <c r="F272" s="172" t="n">
        <v>0.285837</v>
      </c>
      <c r="G272" s="1" t="s">
        <v>123</v>
      </c>
      <c r="H272" s="1" t="s">
        <v>119</v>
      </c>
      <c r="I272" s="1" t="n">
        <v>1697204740</v>
      </c>
      <c r="J272" s="1" t="s">
        <v>1244</v>
      </c>
      <c r="K272" s="1" t="s">
        <v>104</v>
      </c>
      <c r="L272" s="1" t="s">
        <v>119</v>
      </c>
      <c r="M272" s="1" t="n">
        <v>1697204740</v>
      </c>
      <c r="N272" s="1" t="n">
        <v>1605.12</v>
      </c>
      <c r="O272" s="1" t="n">
        <v>467.96</v>
      </c>
      <c r="P272" s="1" t="s">
        <v>1281</v>
      </c>
      <c r="Q272" s="1" t="s">
        <v>100</v>
      </c>
      <c r="S272" s="1" t="s">
        <v>1004</v>
      </c>
      <c r="T272" s="1" t="s">
        <v>1274</v>
      </c>
      <c r="V272" s="1" t="s">
        <v>1291</v>
      </c>
      <c r="W272" s="1" t="s">
        <v>1276</v>
      </c>
    </row>
    <row r="273" customFormat="false" ht="15" hidden="false" customHeight="true" outlineLevel="0" collapsed="false">
      <c r="A273" s="1" t="n">
        <v>0.28343</v>
      </c>
      <c r="B273" s="1" t="s">
        <v>1131</v>
      </c>
      <c r="C273" s="1" t="n">
        <v>5615.5</v>
      </c>
      <c r="D273" s="1" t="n">
        <v>1591.6</v>
      </c>
      <c r="E273" s="1" t="n">
        <v>5615.5</v>
      </c>
      <c r="F273" s="172" t="n">
        <v>0.28343</v>
      </c>
      <c r="G273" s="1" t="s">
        <v>123</v>
      </c>
      <c r="H273" s="1" t="s">
        <v>109</v>
      </c>
      <c r="I273" s="1" t="n">
        <v>45984061896</v>
      </c>
      <c r="J273" s="1" t="s">
        <v>1244</v>
      </c>
      <c r="K273" s="1" t="s">
        <v>104</v>
      </c>
      <c r="L273" s="1" t="s">
        <v>109</v>
      </c>
      <c r="M273" s="1" t="n">
        <v>45984061896</v>
      </c>
      <c r="N273" s="1" t="n">
        <v>1591.6</v>
      </c>
      <c r="O273" s="1" t="n">
        <v>467.96</v>
      </c>
      <c r="P273" s="1" t="s">
        <v>1277</v>
      </c>
      <c r="Q273" s="1" t="s">
        <v>108</v>
      </c>
      <c r="S273" s="1" t="s">
        <v>1278</v>
      </c>
      <c r="T273" s="1" t="s">
        <v>1279</v>
      </c>
      <c r="V273" s="1" t="s">
        <v>1291</v>
      </c>
      <c r="W273" s="1" t="s">
        <v>1276</v>
      </c>
    </row>
    <row r="274" customFormat="false" ht="15" hidden="false" customHeight="true" outlineLevel="0" collapsed="false">
      <c r="A274" s="1" t="n">
        <v>0.282441</v>
      </c>
      <c r="B274" s="1" t="s">
        <v>1131</v>
      </c>
      <c r="C274" s="1" t="n">
        <v>5615.5</v>
      </c>
      <c r="D274" s="1" t="n">
        <v>1586.05</v>
      </c>
      <c r="E274" s="1" t="n">
        <v>5615.5</v>
      </c>
      <c r="F274" s="172" t="n">
        <v>0.282441</v>
      </c>
      <c r="G274" s="1" t="s">
        <v>123</v>
      </c>
      <c r="H274" s="1" t="s">
        <v>119</v>
      </c>
      <c r="I274" s="1" t="n">
        <v>11921909046</v>
      </c>
      <c r="J274" s="1" t="s">
        <v>1244</v>
      </c>
      <c r="K274" s="1" t="s">
        <v>104</v>
      </c>
      <c r="L274" s="1" t="s">
        <v>119</v>
      </c>
      <c r="M274" s="1" t="n">
        <v>11921909046</v>
      </c>
      <c r="N274" s="1" t="n">
        <v>1586.05</v>
      </c>
      <c r="O274" s="1" t="n">
        <v>467.96</v>
      </c>
      <c r="P274" s="1" t="s">
        <v>1285</v>
      </c>
      <c r="Q274" s="1" t="s">
        <v>100</v>
      </c>
      <c r="S274" s="1" t="s">
        <v>1004</v>
      </c>
      <c r="T274" s="1" t="s">
        <v>1274</v>
      </c>
      <c r="V274" s="1" t="s">
        <v>1291</v>
      </c>
      <c r="W274" s="1" t="s">
        <v>1276</v>
      </c>
    </row>
    <row r="275" customFormat="false" ht="15" hidden="false" customHeight="true" outlineLevel="0" collapsed="false">
      <c r="A275" s="1" t="n">
        <v>0.282295</v>
      </c>
      <c r="B275" s="1" t="s">
        <v>1131</v>
      </c>
      <c r="C275" s="1" t="n">
        <v>5615.5</v>
      </c>
      <c r="D275" s="1" t="n">
        <v>1585.23</v>
      </c>
      <c r="E275" s="1" t="n">
        <v>5615.5</v>
      </c>
      <c r="F275" s="172" t="n">
        <v>0.282295</v>
      </c>
      <c r="G275" s="1" t="s">
        <v>123</v>
      </c>
      <c r="H275" s="1" t="s">
        <v>119</v>
      </c>
      <c r="I275" s="1" t="n">
        <v>1699929667</v>
      </c>
      <c r="J275" s="1" t="s">
        <v>1244</v>
      </c>
      <c r="K275" s="1" t="s">
        <v>104</v>
      </c>
      <c r="L275" s="1" t="s">
        <v>119</v>
      </c>
      <c r="M275" s="1" t="n">
        <v>1699929667</v>
      </c>
      <c r="N275" s="1" t="n">
        <v>1585.23</v>
      </c>
      <c r="O275" s="1" t="n">
        <v>467.96</v>
      </c>
      <c r="P275" s="1" t="s">
        <v>1281</v>
      </c>
      <c r="Q275" s="1" t="s">
        <v>100</v>
      </c>
      <c r="S275" s="1" t="s">
        <v>1004</v>
      </c>
      <c r="T275" s="1" t="s">
        <v>1274</v>
      </c>
      <c r="V275" s="1" t="s">
        <v>1291</v>
      </c>
      <c r="W275" s="1" t="s">
        <v>1276</v>
      </c>
    </row>
    <row r="276" customFormat="false" ht="15" hidden="false" customHeight="true" outlineLevel="0" collapsed="false">
      <c r="A276" s="1" t="n">
        <v>0.279583</v>
      </c>
      <c r="B276" s="1" t="s">
        <v>1131</v>
      </c>
      <c r="C276" s="1" t="n">
        <v>5615.5</v>
      </c>
      <c r="D276" s="1" t="n">
        <v>1570</v>
      </c>
      <c r="E276" s="1" t="n">
        <v>5615.5</v>
      </c>
      <c r="F276" s="172" t="n">
        <v>0.279583</v>
      </c>
      <c r="G276" s="1" t="s">
        <v>123</v>
      </c>
      <c r="H276" s="1" t="s">
        <v>127</v>
      </c>
      <c r="I276" s="1" t="n">
        <v>62981558479</v>
      </c>
      <c r="J276" s="1" t="s">
        <v>1244</v>
      </c>
      <c r="K276" s="1" t="s">
        <v>104</v>
      </c>
      <c r="L276" s="1" t="s">
        <v>127</v>
      </c>
      <c r="M276" s="1" t="n">
        <v>62981558479</v>
      </c>
      <c r="N276" s="1" t="n">
        <v>1570</v>
      </c>
      <c r="O276" s="1" t="n">
        <v>467.96</v>
      </c>
      <c r="P276" s="1" t="s">
        <v>1273</v>
      </c>
      <c r="Q276" s="1" t="s">
        <v>108</v>
      </c>
      <c r="S276" s="1" t="s">
        <v>1278</v>
      </c>
      <c r="T276" s="1" t="s">
        <v>1279</v>
      </c>
      <c r="V276" s="1" t="s">
        <v>1291</v>
      </c>
      <c r="W276" s="1" t="s">
        <v>1276</v>
      </c>
    </row>
    <row r="277" customFormat="false" ht="15" hidden="false" customHeight="true" outlineLevel="0" collapsed="false">
      <c r="A277" s="1" t="n">
        <v>0.151765</v>
      </c>
      <c r="B277" s="1" t="s">
        <v>1131</v>
      </c>
      <c r="C277" s="1" t="n">
        <v>10200</v>
      </c>
      <c r="D277" s="1" t="n">
        <v>1548</v>
      </c>
      <c r="E277" s="1" t="n">
        <v>10200</v>
      </c>
      <c r="F277" s="172" t="n">
        <v>0.151765</v>
      </c>
      <c r="G277" s="1" t="s">
        <v>115</v>
      </c>
      <c r="H277" s="1" t="s">
        <v>243</v>
      </c>
      <c r="I277" s="1" t="n">
        <v>77997018683</v>
      </c>
      <c r="J277" s="1" t="s">
        <v>1244</v>
      </c>
      <c r="K277" s="1" t="s">
        <v>115</v>
      </c>
      <c r="L277" s="1" t="s">
        <v>243</v>
      </c>
      <c r="M277" s="1" t="n">
        <v>77997018683</v>
      </c>
      <c r="N277" s="1" t="n">
        <v>1548</v>
      </c>
      <c r="O277" s="1" t="n">
        <v>850</v>
      </c>
      <c r="P277" s="1" t="s">
        <v>1286</v>
      </c>
      <c r="Q277" s="1" t="s">
        <v>184</v>
      </c>
      <c r="S277" s="1" t="s">
        <v>1278</v>
      </c>
      <c r="T277" s="1" t="s">
        <v>1274</v>
      </c>
      <c r="V277" s="1" t="s">
        <v>1291</v>
      </c>
      <c r="W277" s="1" t="s">
        <v>1284</v>
      </c>
    </row>
    <row r="278" customFormat="false" ht="15" hidden="false" customHeight="true" outlineLevel="0" collapsed="false">
      <c r="A278" s="1" t="n">
        <v>0.271757</v>
      </c>
      <c r="B278" s="1" t="s">
        <v>1131</v>
      </c>
      <c r="C278" s="1" t="n">
        <v>5615.5</v>
      </c>
      <c r="D278" s="1" t="n">
        <v>1526.05</v>
      </c>
      <c r="E278" s="1" t="n">
        <v>5615.5</v>
      </c>
      <c r="F278" s="172" t="n">
        <v>0.271757</v>
      </c>
      <c r="G278" s="1" t="s">
        <v>123</v>
      </c>
      <c r="H278" s="1" t="s">
        <v>692</v>
      </c>
      <c r="I278" s="1" t="n">
        <v>8835124018</v>
      </c>
      <c r="J278" s="1" t="s">
        <v>1244</v>
      </c>
      <c r="K278" s="1" t="s">
        <v>104</v>
      </c>
      <c r="L278" s="1" t="s">
        <v>692</v>
      </c>
      <c r="M278" s="1" t="n">
        <v>8835124018</v>
      </c>
      <c r="N278" s="1" t="n">
        <v>1526.05</v>
      </c>
      <c r="O278" s="1" t="n">
        <v>467.96</v>
      </c>
      <c r="P278" s="1" t="s">
        <v>1282</v>
      </c>
      <c r="Q278" s="1" t="s">
        <v>100</v>
      </c>
      <c r="S278" s="1" t="s">
        <v>1004</v>
      </c>
      <c r="T278" s="1" t="s">
        <v>1274</v>
      </c>
      <c r="V278" s="1" t="s">
        <v>1291</v>
      </c>
      <c r="W278" s="1" t="s">
        <v>1276</v>
      </c>
    </row>
    <row r="279" customFormat="false" ht="15" hidden="false" customHeight="true" outlineLevel="0" collapsed="false">
      <c r="A279" s="1" t="n">
        <v>0.269468</v>
      </c>
      <c r="B279" s="1" t="s">
        <v>1131</v>
      </c>
      <c r="C279" s="1" t="n">
        <v>5615.5</v>
      </c>
      <c r="D279" s="1" t="n">
        <v>1513.2</v>
      </c>
      <c r="E279" s="1" t="n">
        <v>5615.5</v>
      </c>
      <c r="F279" s="172" t="n">
        <v>0.269468</v>
      </c>
      <c r="G279" s="1" t="s">
        <v>123</v>
      </c>
      <c r="H279" s="1" t="s">
        <v>109</v>
      </c>
      <c r="I279" s="1" t="n">
        <v>4136413003</v>
      </c>
      <c r="J279" s="1" t="s">
        <v>1244</v>
      </c>
      <c r="K279" s="1" t="s">
        <v>104</v>
      </c>
      <c r="L279" s="1" t="s">
        <v>109</v>
      </c>
      <c r="M279" s="1" t="n">
        <v>4136413003</v>
      </c>
      <c r="N279" s="1" t="n">
        <v>1513.2</v>
      </c>
      <c r="O279" s="1" t="n">
        <v>467.96</v>
      </c>
      <c r="P279" s="1" t="s">
        <v>1277</v>
      </c>
      <c r="Q279" s="1" t="s">
        <v>108</v>
      </c>
      <c r="S279" s="1" t="s">
        <v>1278</v>
      </c>
      <c r="T279" s="1" t="s">
        <v>1279</v>
      </c>
      <c r="V279" s="1" t="s">
        <v>1291</v>
      </c>
      <c r="W279" s="1" t="s">
        <v>1276</v>
      </c>
    </row>
    <row r="280" customFormat="false" ht="15" hidden="false" customHeight="true" outlineLevel="0" collapsed="false">
      <c r="A280" s="1" t="n">
        <v>0.141247</v>
      </c>
      <c r="B280" s="1" t="s">
        <v>1131</v>
      </c>
      <c r="C280" s="1" t="n">
        <v>10706.9</v>
      </c>
      <c r="D280" s="1" t="n">
        <v>1512.32</v>
      </c>
      <c r="E280" s="1" t="n">
        <v>10706.9</v>
      </c>
      <c r="F280" s="172" t="n">
        <v>0.141247</v>
      </c>
      <c r="G280" s="1" t="s">
        <v>66</v>
      </c>
      <c r="H280" s="1" t="s">
        <v>114</v>
      </c>
      <c r="I280" s="1" t="n">
        <v>3193909540</v>
      </c>
      <c r="J280" s="1" t="s">
        <v>1244</v>
      </c>
      <c r="K280" s="1" t="s">
        <v>66</v>
      </c>
      <c r="L280" s="1" t="s">
        <v>114</v>
      </c>
      <c r="M280" s="1" t="n">
        <v>3193909540</v>
      </c>
      <c r="N280" s="1" t="n">
        <v>1512.32</v>
      </c>
      <c r="O280" s="1" t="n">
        <v>892.24</v>
      </c>
      <c r="P280" s="1" t="s">
        <v>1286</v>
      </c>
      <c r="Q280" s="1" t="s">
        <v>175</v>
      </c>
      <c r="S280" s="1" t="s">
        <v>1287</v>
      </c>
      <c r="T280" s="1" t="s">
        <v>1274</v>
      </c>
      <c r="V280" s="1" t="s">
        <v>1291</v>
      </c>
      <c r="W280" s="1" t="s">
        <v>1284</v>
      </c>
    </row>
    <row r="281" customFormat="false" ht="15" hidden="false" customHeight="true" outlineLevel="0" collapsed="false">
      <c r="A281" s="1" t="n">
        <v>0.239592</v>
      </c>
      <c r="B281" s="1" t="s">
        <v>1131</v>
      </c>
      <c r="C281" s="1" t="n">
        <v>6281.25</v>
      </c>
      <c r="D281" s="1" t="n">
        <v>1504.94</v>
      </c>
      <c r="E281" s="1" t="n">
        <v>6281.25</v>
      </c>
      <c r="F281" s="172" t="n">
        <v>0.239592</v>
      </c>
      <c r="G281" s="1" t="s">
        <v>124</v>
      </c>
      <c r="H281" s="1" t="s">
        <v>127</v>
      </c>
      <c r="I281" s="1" t="n">
        <v>6292088174</v>
      </c>
      <c r="J281" s="1" t="s">
        <v>1244</v>
      </c>
      <c r="K281" s="1" t="s">
        <v>124</v>
      </c>
      <c r="L281" s="1" t="s">
        <v>127</v>
      </c>
      <c r="M281" s="1" t="n">
        <v>6292088174</v>
      </c>
      <c r="N281" s="1" t="n">
        <v>1504.94</v>
      </c>
      <c r="O281" s="1" t="n">
        <v>523.44</v>
      </c>
      <c r="P281" s="1" t="s">
        <v>1286</v>
      </c>
      <c r="Q281" s="1" t="s">
        <v>100</v>
      </c>
      <c r="S281" s="1" t="s">
        <v>1004</v>
      </c>
      <c r="T281" s="1" t="s">
        <v>1274</v>
      </c>
      <c r="V281" s="1" t="s">
        <v>1291</v>
      </c>
      <c r="W281" s="1" t="s">
        <v>1284</v>
      </c>
    </row>
    <row r="282" customFormat="false" ht="15" hidden="false" customHeight="true" outlineLevel="0" collapsed="false">
      <c r="A282" s="1" t="n">
        <v>0.147059</v>
      </c>
      <c r="B282" s="1" t="s">
        <v>1131</v>
      </c>
      <c r="C282" s="1" t="n">
        <v>10200</v>
      </c>
      <c r="D282" s="1" t="n">
        <v>1500</v>
      </c>
      <c r="E282" s="1" t="n">
        <v>10200</v>
      </c>
      <c r="F282" s="172" t="n">
        <v>0.147059</v>
      </c>
      <c r="G282" s="1" t="s">
        <v>115</v>
      </c>
      <c r="H282" s="1" t="s">
        <v>109</v>
      </c>
      <c r="I282" s="1" t="n">
        <v>44999048827</v>
      </c>
      <c r="J282" s="1" t="s">
        <v>1244</v>
      </c>
      <c r="K282" s="1" t="s">
        <v>115</v>
      </c>
      <c r="L282" s="1" t="s">
        <v>109</v>
      </c>
      <c r="M282" s="1" t="n">
        <v>44999048827</v>
      </c>
      <c r="N282" s="1" t="n">
        <v>1500</v>
      </c>
      <c r="O282" s="1" t="n">
        <v>850</v>
      </c>
      <c r="P282" s="1" t="s">
        <v>1286</v>
      </c>
      <c r="Q282" s="1" t="s">
        <v>184</v>
      </c>
      <c r="S282" s="1" t="s">
        <v>1278</v>
      </c>
      <c r="T282" s="1" t="s">
        <v>1274</v>
      </c>
      <c r="V282" s="1" t="s">
        <v>1291</v>
      </c>
      <c r="W282" s="1" t="s">
        <v>1284</v>
      </c>
    </row>
    <row r="283" customFormat="false" ht="15" hidden="false" customHeight="true" outlineLevel="0" collapsed="false">
      <c r="A283" s="1" t="n">
        <v>0.147059</v>
      </c>
      <c r="B283" s="1" t="s">
        <v>1131</v>
      </c>
      <c r="C283" s="1" t="n">
        <v>10200</v>
      </c>
      <c r="D283" s="1" t="n">
        <v>1500</v>
      </c>
      <c r="E283" s="1" t="n">
        <v>10200</v>
      </c>
      <c r="F283" s="172" t="n">
        <v>0.147059</v>
      </c>
      <c r="G283" s="1" t="s">
        <v>115</v>
      </c>
      <c r="H283" s="1" t="s">
        <v>146</v>
      </c>
      <c r="I283" s="1" t="n">
        <v>91991420078</v>
      </c>
      <c r="J283" s="1" t="s">
        <v>1244</v>
      </c>
      <c r="K283" s="1" t="s">
        <v>115</v>
      </c>
      <c r="L283" s="1" t="s">
        <v>146</v>
      </c>
      <c r="M283" s="1" t="n">
        <v>91991420078</v>
      </c>
      <c r="N283" s="1" t="n">
        <v>1500</v>
      </c>
      <c r="O283" s="1" t="n">
        <v>850</v>
      </c>
      <c r="P283" s="1" t="s">
        <v>1286</v>
      </c>
      <c r="Q283" s="1" t="s">
        <v>184</v>
      </c>
      <c r="S283" s="1" t="s">
        <v>1278</v>
      </c>
      <c r="T283" s="1" t="s">
        <v>1274</v>
      </c>
      <c r="V283" s="1" t="s">
        <v>1291</v>
      </c>
      <c r="W283" s="1" t="s">
        <v>1284</v>
      </c>
    </row>
    <row r="284" customFormat="false" ht="15" hidden="false" customHeight="true" outlineLevel="0" collapsed="false">
      <c r="A284" s="1" t="n">
        <v>0.147059</v>
      </c>
      <c r="B284" s="1" t="s">
        <v>1131</v>
      </c>
      <c r="C284" s="1" t="n">
        <v>10200</v>
      </c>
      <c r="D284" s="1" t="n">
        <v>1500</v>
      </c>
      <c r="E284" s="1" t="n">
        <v>10200</v>
      </c>
      <c r="F284" s="172" t="n">
        <v>0.147059</v>
      </c>
      <c r="G284" s="1" t="s">
        <v>115</v>
      </c>
      <c r="H284" s="1" t="s">
        <v>119</v>
      </c>
      <c r="I284" s="1" t="n">
        <v>11972626546</v>
      </c>
      <c r="J284" s="1" t="s">
        <v>1244</v>
      </c>
      <c r="K284" s="1" t="s">
        <v>115</v>
      </c>
      <c r="L284" s="1" t="s">
        <v>119</v>
      </c>
      <c r="M284" s="1" t="n">
        <v>11972626546</v>
      </c>
      <c r="N284" s="1" t="n">
        <v>1500</v>
      </c>
      <c r="O284" s="1" t="n">
        <v>850</v>
      </c>
      <c r="P284" s="1" t="s">
        <v>1286</v>
      </c>
      <c r="Q284" s="1" t="s">
        <v>184</v>
      </c>
      <c r="S284" s="1" t="s">
        <v>1278</v>
      </c>
      <c r="T284" s="1" t="s">
        <v>1274</v>
      </c>
      <c r="V284" s="1" t="s">
        <v>1291</v>
      </c>
      <c r="W284" s="1" t="s">
        <v>1284</v>
      </c>
    </row>
    <row r="285" customFormat="false" ht="15" hidden="false" customHeight="true" outlineLevel="0" collapsed="false">
      <c r="A285" s="1" t="n">
        <v>0.147059</v>
      </c>
      <c r="B285" s="1" t="s">
        <v>1131</v>
      </c>
      <c r="C285" s="1" t="n">
        <v>10200</v>
      </c>
      <c r="D285" s="1" t="n">
        <v>1500</v>
      </c>
      <c r="E285" s="1" t="n">
        <v>10200</v>
      </c>
      <c r="F285" s="172" t="n">
        <v>0.147059</v>
      </c>
      <c r="G285" s="1" t="s">
        <v>115</v>
      </c>
      <c r="H285" s="1" t="s">
        <v>513</v>
      </c>
      <c r="I285" s="1" t="n">
        <v>6999714711</v>
      </c>
      <c r="J285" s="1" t="s">
        <v>1244</v>
      </c>
      <c r="K285" s="1" t="s">
        <v>115</v>
      </c>
      <c r="L285" s="1" t="s">
        <v>513</v>
      </c>
      <c r="M285" s="1" t="n">
        <v>6999714711</v>
      </c>
      <c r="N285" s="1" t="n">
        <v>1500</v>
      </c>
      <c r="O285" s="1" t="n">
        <v>850</v>
      </c>
      <c r="P285" s="1" t="s">
        <v>1286</v>
      </c>
      <c r="Q285" s="1" t="s">
        <v>184</v>
      </c>
      <c r="S285" s="1" t="s">
        <v>1278</v>
      </c>
      <c r="T285" s="1" t="s">
        <v>1274</v>
      </c>
      <c r="V285" s="1" t="s">
        <v>1291</v>
      </c>
      <c r="W285" s="1" t="s">
        <v>1284</v>
      </c>
    </row>
    <row r="286" customFormat="false" ht="15" hidden="false" customHeight="true" outlineLevel="0" collapsed="false">
      <c r="A286" s="1" t="n">
        <v>0.266879</v>
      </c>
      <c r="B286" s="1" t="s">
        <v>1131</v>
      </c>
      <c r="C286" s="1" t="n">
        <v>5615.5</v>
      </c>
      <c r="D286" s="1" t="n">
        <v>1498.66</v>
      </c>
      <c r="E286" s="1" t="n">
        <v>5615.5</v>
      </c>
      <c r="F286" s="172" t="n">
        <v>0.266879</v>
      </c>
      <c r="G286" s="1" t="s">
        <v>123</v>
      </c>
      <c r="H286" s="1" t="s">
        <v>109</v>
      </c>
      <c r="I286" s="1" t="n">
        <v>4133635316</v>
      </c>
      <c r="J286" s="1" t="s">
        <v>1244</v>
      </c>
      <c r="K286" s="1" t="s">
        <v>104</v>
      </c>
      <c r="L286" s="1" t="s">
        <v>109</v>
      </c>
      <c r="M286" s="1" t="n">
        <v>4133635316</v>
      </c>
      <c r="N286" s="1" t="n">
        <v>1498.66</v>
      </c>
      <c r="O286" s="1" t="n">
        <v>467.96</v>
      </c>
      <c r="P286" s="1" t="s">
        <v>1277</v>
      </c>
      <c r="Q286" s="1" t="s">
        <v>108</v>
      </c>
      <c r="S286" s="1" t="s">
        <v>1278</v>
      </c>
      <c r="T286" s="1" t="s">
        <v>1279</v>
      </c>
      <c r="V286" s="1" t="s">
        <v>1291</v>
      </c>
      <c r="W286" s="1" t="s">
        <v>1276</v>
      </c>
    </row>
    <row r="287" customFormat="false" ht="15" hidden="false" customHeight="true" outlineLevel="0" collapsed="false">
      <c r="A287" s="1" t="n">
        <v>0.264653</v>
      </c>
      <c r="B287" s="1" t="s">
        <v>1131</v>
      </c>
      <c r="C287" s="1" t="n">
        <v>5615.5</v>
      </c>
      <c r="D287" s="1" t="n">
        <v>1486.16</v>
      </c>
      <c r="E287" s="1" t="n">
        <v>5615.5</v>
      </c>
      <c r="F287" s="172" t="n">
        <v>0.264653</v>
      </c>
      <c r="G287" s="1" t="s">
        <v>123</v>
      </c>
      <c r="H287" s="1" t="s">
        <v>114</v>
      </c>
      <c r="I287" s="1" t="n">
        <v>832222385</v>
      </c>
      <c r="J287" s="1" t="s">
        <v>1244</v>
      </c>
      <c r="K287" s="1" t="s">
        <v>104</v>
      </c>
      <c r="L287" s="1" t="s">
        <v>114</v>
      </c>
      <c r="M287" s="1" t="n">
        <v>832222385</v>
      </c>
      <c r="N287" s="1" t="n">
        <v>1486.16</v>
      </c>
      <c r="O287" s="1" t="n">
        <v>467.96</v>
      </c>
      <c r="P287" s="1" t="s">
        <v>1280</v>
      </c>
      <c r="Q287" s="1" t="s">
        <v>100</v>
      </c>
      <c r="S287" s="1" t="s">
        <v>1004</v>
      </c>
      <c r="T287" s="1" t="s">
        <v>1274</v>
      </c>
      <c r="V287" s="1" t="s">
        <v>1291</v>
      </c>
      <c r="W287" s="1" t="s">
        <v>1276</v>
      </c>
    </row>
    <row r="288" customFormat="false" ht="15" hidden="false" customHeight="true" outlineLevel="0" collapsed="false">
      <c r="A288" s="1" t="n">
        <v>0.263335</v>
      </c>
      <c r="B288" s="1" t="s">
        <v>1131</v>
      </c>
      <c r="C288" s="1" t="n">
        <v>5615.5</v>
      </c>
      <c r="D288" s="1" t="n">
        <v>1478.76</v>
      </c>
      <c r="E288" s="1" t="n">
        <v>5615.5</v>
      </c>
      <c r="F288" s="172" t="n">
        <v>0.263335</v>
      </c>
      <c r="G288" s="1" t="s">
        <v>123</v>
      </c>
      <c r="H288" s="1" t="s">
        <v>127</v>
      </c>
      <c r="I288" s="1" t="n">
        <v>62992088805</v>
      </c>
      <c r="J288" s="1" t="s">
        <v>1244</v>
      </c>
      <c r="K288" s="1" t="s">
        <v>104</v>
      </c>
      <c r="L288" s="1" t="s">
        <v>127</v>
      </c>
      <c r="M288" s="1" t="n">
        <v>62992088805</v>
      </c>
      <c r="N288" s="1" t="n">
        <v>1478.76</v>
      </c>
      <c r="O288" s="1" t="n">
        <v>467.96</v>
      </c>
      <c r="P288" s="1" t="s">
        <v>1273</v>
      </c>
      <c r="Q288" s="1" t="s">
        <v>100</v>
      </c>
      <c r="S288" s="1" t="s">
        <v>1278</v>
      </c>
      <c r="T288" s="1" t="s">
        <v>1274</v>
      </c>
      <c r="V288" s="1" t="s">
        <v>1291</v>
      </c>
      <c r="W288" s="1" t="s">
        <v>1276</v>
      </c>
    </row>
    <row r="289" customFormat="false" ht="15" hidden="false" customHeight="true" outlineLevel="0" collapsed="false">
      <c r="A289" s="1" t="n">
        <v>0.261494</v>
      </c>
      <c r="B289" s="1" t="s">
        <v>1131</v>
      </c>
      <c r="C289" s="1" t="n">
        <v>5615.5</v>
      </c>
      <c r="D289" s="1" t="n">
        <v>1468.42</v>
      </c>
      <c r="E289" s="1" t="n">
        <v>5615.5</v>
      </c>
      <c r="F289" s="172" t="n">
        <v>0.261494</v>
      </c>
      <c r="G289" s="1" t="s">
        <v>123</v>
      </c>
      <c r="H289" s="1" t="s">
        <v>109</v>
      </c>
      <c r="I289" s="1" t="n">
        <v>4198143375</v>
      </c>
      <c r="J289" s="1" t="s">
        <v>1244</v>
      </c>
      <c r="K289" s="1" t="s">
        <v>104</v>
      </c>
      <c r="L289" s="1" t="s">
        <v>109</v>
      </c>
      <c r="M289" s="1" t="n">
        <v>4198143375</v>
      </c>
      <c r="N289" s="1" t="n">
        <v>1468.42</v>
      </c>
      <c r="O289" s="1" t="n">
        <v>467.96</v>
      </c>
      <c r="P289" s="1" t="s">
        <v>1277</v>
      </c>
      <c r="Q289" s="1" t="s">
        <v>108</v>
      </c>
      <c r="S289" s="1" t="s">
        <v>1278</v>
      </c>
      <c r="T289" s="1" t="s">
        <v>1274</v>
      </c>
      <c r="V289" s="1" t="s">
        <v>1291</v>
      </c>
      <c r="W289" s="1" t="s">
        <v>1276</v>
      </c>
    </row>
    <row r="290" customFormat="false" ht="15" hidden="false" customHeight="true" outlineLevel="0" collapsed="false">
      <c r="A290" s="1" t="n">
        <v>0.221199</v>
      </c>
      <c r="B290" s="1" t="s">
        <v>1131</v>
      </c>
      <c r="C290" s="1" t="n">
        <v>6566.04</v>
      </c>
      <c r="D290" s="1" t="n">
        <v>1452.4</v>
      </c>
      <c r="E290" s="1" t="n">
        <v>6566.04</v>
      </c>
      <c r="F290" s="172" t="n">
        <v>0.221199</v>
      </c>
      <c r="G290" s="1" t="s">
        <v>110</v>
      </c>
      <c r="H290" s="1" t="s">
        <v>717</v>
      </c>
      <c r="I290" s="1" t="n">
        <v>95991125445</v>
      </c>
      <c r="J290" s="1" t="s">
        <v>1244</v>
      </c>
      <c r="K290" s="1" t="s">
        <v>110</v>
      </c>
      <c r="L290" s="1" t="s">
        <v>717</v>
      </c>
      <c r="M290" s="1" t="n">
        <v>95991125445</v>
      </c>
      <c r="N290" s="1" t="n">
        <v>1452.4</v>
      </c>
      <c r="O290" s="1" t="n">
        <v>547.17</v>
      </c>
      <c r="P290" s="1" t="s">
        <v>1286</v>
      </c>
      <c r="Q290" s="1" t="s">
        <v>184</v>
      </c>
      <c r="S290" s="1" t="s">
        <v>1278</v>
      </c>
      <c r="T290" s="1" t="s">
        <v>1274</v>
      </c>
      <c r="V290" s="1" t="s">
        <v>1291</v>
      </c>
      <c r="W290" s="1" t="s">
        <v>1284</v>
      </c>
    </row>
    <row r="291" customFormat="false" ht="15" hidden="false" customHeight="true" outlineLevel="0" collapsed="false">
      <c r="A291" s="1" t="n">
        <v>0.258036</v>
      </c>
      <c r="B291" s="1" t="s">
        <v>1131</v>
      </c>
      <c r="C291" s="1" t="n">
        <v>5615.5</v>
      </c>
      <c r="D291" s="1" t="n">
        <v>1449</v>
      </c>
      <c r="E291" s="1" t="n">
        <v>5615.5</v>
      </c>
      <c r="F291" s="172" t="n">
        <v>0.258036</v>
      </c>
      <c r="G291" s="1" t="s">
        <v>123</v>
      </c>
      <c r="H291" s="1" t="s">
        <v>109</v>
      </c>
      <c r="I291" s="1" t="n">
        <v>4191900066</v>
      </c>
      <c r="J291" s="1" t="s">
        <v>1244</v>
      </c>
      <c r="K291" s="1" t="s">
        <v>104</v>
      </c>
      <c r="L291" s="1" t="s">
        <v>109</v>
      </c>
      <c r="M291" s="1" t="n">
        <v>4191900066</v>
      </c>
      <c r="N291" s="1" t="n">
        <v>1449</v>
      </c>
      <c r="O291" s="1" t="n">
        <v>467.96</v>
      </c>
      <c r="P291" s="1" t="s">
        <v>1277</v>
      </c>
      <c r="Q291" s="1" t="s">
        <v>108</v>
      </c>
      <c r="S291" s="1" t="s">
        <v>1278</v>
      </c>
      <c r="T291" s="1" t="s">
        <v>1279</v>
      </c>
      <c r="V291" s="1" t="s">
        <v>1291</v>
      </c>
      <c r="W291" s="1" t="s">
        <v>1276</v>
      </c>
    </row>
    <row r="292" customFormat="false" ht="15" hidden="false" customHeight="true" outlineLevel="0" collapsed="false">
      <c r="A292" s="1" t="n">
        <v>0.254305</v>
      </c>
      <c r="B292" s="1" t="s">
        <v>1131</v>
      </c>
      <c r="C292" s="1" t="n">
        <v>5615.5</v>
      </c>
      <c r="D292" s="1" t="n">
        <v>1428.05</v>
      </c>
      <c r="E292" s="1" t="n">
        <v>5615.5</v>
      </c>
      <c r="F292" s="172" t="n">
        <v>0.254305</v>
      </c>
      <c r="G292" s="1" t="s">
        <v>123</v>
      </c>
      <c r="H292" s="1" t="s">
        <v>101</v>
      </c>
      <c r="I292" s="1" t="n">
        <v>65993472122</v>
      </c>
      <c r="J292" s="1" t="s">
        <v>1244</v>
      </c>
      <c r="K292" s="1" t="s">
        <v>104</v>
      </c>
      <c r="L292" s="1" t="s">
        <v>101</v>
      </c>
      <c r="M292" s="1" t="n">
        <v>65993472122</v>
      </c>
      <c r="N292" s="1" t="n">
        <v>1428.05</v>
      </c>
      <c r="O292" s="1" t="n">
        <v>467.96</v>
      </c>
      <c r="P292" s="1" t="s">
        <v>1273</v>
      </c>
      <c r="Q292" s="1" t="s">
        <v>100</v>
      </c>
      <c r="S292" s="1" t="s">
        <v>1004</v>
      </c>
      <c r="T292" s="1" t="s">
        <v>1274</v>
      </c>
      <c r="V292" s="1" t="s">
        <v>1291</v>
      </c>
      <c r="W292" s="1" t="s">
        <v>1276</v>
      </c>
    </row>
    <row r="293" customFormat="false" ht="15" hidden="false" customHeight="true" outlineLevel="0" collapsed="false">
      <c r="A293" s="1" t="n">
        <v>0.253981</v>
      </c>
      <c r="B293" s="1" t="s">
        <v>1131</v>
      </c>
      <c r="C293" s="1" t="n">
        <v>5615.5</v>
      </c>
      <c r="D293" s="1" t="n">
        <v>1426.23</v>
      </c>
      <c r="E293" s="1" t="n">
        <v>5615.5</v>
      </c>
      <c r="F293" s="172" t="n">
        <v>0.253981</v>
      </c>
      <c r="G293" s="1" t="s">
        <v>123</v>
      </c>
      <c r="H293" s="1" t="s">
        <v>127</v>
      </c>
      <c r="I293" s="1" t="n">
        <v>64992938706</v>
      </c>
      <c r="J293" s="1" t="s">
        <v>1244</v>
      </c>
      <c r="K293" s="1" t="s">
        <v>104</v>
      </c>
      <c r="L293" s="1" t="s">
        <v>127</v>
      </c>
      <c r="M293" s="1" t="n">
        <v>64992938706</v>
      </c>
      <c r="N293" s="1" t="n">
        <v>1426.23</v>
      </c>
      <c r="O293" s="1" t="n">
        <v>467.96</v>
      </c>
      <c r="P293" s="1" t="s">
        <v>1273</v>
      </c>
      <c r="Q293" s="1" t="s">
        <v>175</v>
      </c>
      <c r="S293" s="1" t="s">
        <v>1287</v>
      </c>
      <c r="T293" s="1" t="s">
        <v>1274</v>
      </c>
      <c r="V293" s="1" t="s">
        <v>1291</v>
      </c>
      <c r="W293" s="1" t="s">
        <v>1276</v>
      </c>
    </row>
    <row r="294" customFormat="false" ht="15" hidden="false" customHeight="true" outlineLevel="0" collapsed="false">
      <c r="A294" s="1" t="n">
        <v>0.252414</v>
      </c>
      <c r="B294" s="1" t="s">
        <v>1131</v>
      </c>
      <c r="C294" s="1" t="n">
        <v>5615.5</v>
      </c>
      <c r="D294" s="1" t="n">
        <v>1417.43</v>
      </c>
      <c r="E294" s="1" t="n">
        <v>5615.5</v>
      </c>
      <c r="F294" s="172" t="n">
        <v>0.252414</v>
      </c>
      <c r="G294" s="1" t="s">
        <v>123</v>
      </c>
      <c r="H294" s="1" t="s">
        <v>109</v>
      </c>
      <c r="I294" s="1" t="n">
        <v>4187560606</v>
      </c>
      <c r="J294" s="1" t="s">
        <v>1244</v>
      </c>
      <c r="K294" s="1" t="s">
        <v>104</v>
      </c>
      <c r="L294" s="1" t="s">
        <v>109</v>
      </c>
      <c r="M294" s="1" t="n">
        <v>4187560606</v>
      </c>
      <c r="N294" s="1" t="n">
        <v>1417.43</v>
      </c>
      <c r="O294" s="1" t="n">
        <v>467.96</v>
      </c>
      <c r="P294" s="1" t="s">
        <v>1277</v>
      </c>
      <c r="Q294" s="1" t="s">
        <v>108</v>
      </c>
      <c r="S294" s="1" t="s">
        <v>1278</v>
      </c>
      <c r="T294" s="1" t="s">
        <v>1279</v>
      </c>
      <c r="V294" s="1" t="s">
        <v>1291</v>
      </c>
      <c r="W294" s="1" t="s">
        <v>1276</v>
      </c>
    </row>
    <row r="295" customFormat="false" ht="15" hidden="false" customHeight="true" outlineLevel="0" collapsed="false">
      <c r="A295" s="1" t="n">
        <v>0.25155</v>
      </c>
      <c r="B295" s="1" t="s">
        <v>1131</v>
      </c>
      <c r="C295" s="1" t="n">
        <v>5615.5</v>
      </c>
      <c r="D295" s="1" t="n">
        <v>1412.58</v>
      </c>
      <c r="E295" s="1" t="n">
        <v>5615.5</v>
      </c>
      <c r="F295" s="172" t="n">
        <v>0.25155</v>
      </c>
      <c r="G295" s="1" t="s">
        <v>123</v>
      </c>
      <c r="H295" s="1" t="s">
        <v>101</v>
      </c>
      <c r="I295" s="1" t="n">
        <v>66352912586</v>
      </c>
      <c r="J295" s="1" t="s">
        <v>1244</v>
      </c>
      <c r="K295" s="1" t="s">
        <v>104</v>
      </c>
      <c r="L295" s="1" t="s">
        <v>101</v>
      </c>
      <c r="M295" s="1" t="n">
        <v>66352912586</v>
      </c>
      <c r="N295" s="1" t="n">
        <v>1412.58</v>
      </c>
      <c r="O295" s="1" t="n">
        <v>467.96</v>
      </c>
      <c r="P295" s="1" t="s">
        <v>1273</v>
      </c>
      <c r="Q295" s="1" t="s">
        <v>100</v>
      </c>
      <c r="S295" s="1" t="s">
        <v>1004</v>
      </c>
      <c r="T295" s="1" t="s">
        <v>1274</v>
      </c>
      <c r="V295" s="1" t="s">
        <v>1291</v>
      </c>
      <c r="W295" s="1" t="s">
        <v>1276</v>
      </c>
    </row>
    <row r="296" customFormat="false" ht="15" hidden="false" customHeight="true" outlineLevel="0" collapsed="false">
      <c r="A296" s="1" t="n">
        <v>0.249101</v>
      </c>
      <c r="B296" s="1" t="s">
        <v>1131</v>
      </c>
      <c r="C296" s="1" t="n">
        <v>5615.5</v>
      </c>
      <c r="D296" s="1" t="n">
        <v>1398.83</v>
      </c>
      <c r="E296" s="1" t="n">
        <v>5615.5</v>
      </c>
      <c r="F296" s="172" t="n">
        <v>0.249101</v>
      </c>
      <c r="G296" s="1" t="s">
        <v>123</v>
      </c>
      <c r="H296" s="1" t="s">
        <v>187</v>
      </c>
      <c r="I296" s="1" t="n">
        <v>87981797182</v>
      </c>
      <c r="J296" s="1" t="s">
        <v>1244</v>
      </c>
      <c r="K296" s="1" t="s">
        <v>104</v>
      </c>
      <c r="L296" s="1" t="s">
        <v>187</v>
      </c>
      <c r="M296" s="1" t="n">
        <v>87981797182</v>
      </c>
      <c r="N296" s="1" t="n">
        <v>1398.83</v>
      </c>
      <c r="O296" s="1" t="n">
        <v>467.96</v>
      </c>
      <c r="P296" s="1" t="s">
        <v>1282</v>
      </c>
      <c r="Q296" s="1" t="s">
        <v>100</v>
      </c>
      <c r="S296" s="1" t="s">
        <v>1004</v>
      </c>
      <c r="T296" s="1" t="s">
        <v>1274</v>
      </c>
      <c r="V296" s="1" t="s">
        <v>1291</v>
      </c>
      <c r="W296" s="1" t="s">
        <v>1276</v>
      </c>
    </row>
    <row r="297" customFormat="false" ht="15" hidden="false" customHeight="true" outlineLevel="0" collapsed="false">
      <c r="A297" s="1" t="n">
        <v>0.24898</v>
      </c>
      <c r="B297" s="1" t="s">
        <v>1131</v>
      </c>
      <c r="C297" s="1" t="n">
        <v>5615.5</v>
      </c>
      <c r="D297" s="1" t="n">
        <v>1398.15</v>
      </c>
      <c r="E297" s="1" t="n">
        <v>5615.5</v>
      </c>
      <c r="F297" s="172" t="n">
        <v>0.24898</v>
      </c>
      <c r="G297" s="1" t="s">
        <v>123</v>
      </c>
      <c r="H297" s="1" t="s">
        <v>114</v>
      </c>
      <c r="I297" s="1" t="n">
        <v>31983740512</v>
      </c>
      <c r="J297" s="1" t="s">
        <v>1244</v>
      </c>
      <c r="K297" s="1" t="s">
        <v>104</v>
      </c>
      <c r="L297" s="1" t="s">
        <v>114</v>
      </c>
      <c r="M297" s="1" t="n">
        <v>31983740512</v>
      </c>
      <c r="N297" s="1" t="n">
        <v>1398.15</v>
      </c>
      <c r="O297" s="1" t="n">
        <v>467.96</v>
      </c>
      <c r="P297" s="1" t="s">
        <v>1280</v>
      </c>
      <c r="Q297" s="1" t="s">
        <v>100</v>
      </c>
      <c r="S297" s="1" t="s">
        <v>1004</v>
      </c>
      <c r="T297" s="1" t="s">
        <v>1274</v>
      </c>
      <c r="V297" s="1" t="s">
        <v>1291</v>
      </c>
      <c r="W297" s="1" t="s">
        <v>1276</v>
      </c>
    </row>
    <row r="298" customFormat="false" ht="15" hidden="false" customHeight="true" outlineLevel="0" collapsed="false">
      <c r="A298" s="1" t="n">
        <v>0.248619</v>
      </c>
      <c r="B298" s="1" t="s">
        <v>1131</v>
      </c>
      <c r="C298" s="1" t="n">
        <v>5615.5</v>
      </c>
      <c r="D298" s="1" t="n">
        <v>1396.12</v>
      </c>
      <c r="E298" s="1" t="n">
        <v>5615.5</v>
      </c>
      <c r="F298" s="172" t="n">
        <v>0.248619</v>
      </c>
      <c r="G298" s="1" t="s">
        <v>123</v>
      </c>
      <c r="H298" s="1" t="s">
        <v>139</v>
      </c>
      <c r="I298" s="1" t="n">
        <v>1</v>
      </c>
      <c r="J298" s="1" t="s">
        <v>1244</v>
      </c>
      <c r="K298" s="1" t="s">
        <v>104</v>
      </c>
      <c r="L298" s="1" t="s">
        <v>139</v>
      </c>
      <c r="M298" s="1" t="n">
        <v>1</v>
      </c>
      <c r="N298" s="1" t="n">
        <v>1396.12</v>
      </c>
      <c r="O298" s="1" t="n">
        <v>467.96</v>
      </c>
      <c r="P298" s="1" t="s">
        <v>1277</v>
      </c>
      <c r="Q298" s="1" t="s">
        <v>108</v>
      </c>
      <c r="S298" s="1" t="s">
        <v>1278</v>
      </c>
      <c r="T298" s="1" t="s">
        <v>1279</v>
      </c>
      <c r="V298" s="1" t="s">
        <v>1291</v>
      </c>
      <c r="W298" s="1" t="s">
        <v>1276</v>
      </c>
    </row>
    <row r="299" customFormat="false" ht="15" hidden="false" customHeight="true" outlineLevel="0" collapsed="false">
      <c r="A299" s="1" t="n">
        <v>0.136765</v>
      </c>
      <c r="B299" s="1" t="s">
        <v>1131</v>
      </c>
      <c r="C299" s="1" t="n">
        <v>10200</v>
      </c>
      <c r="D299" s="1" t="n">
        <v>1395</v>
      </c>
      <c r="E299" s="1" t="n">
        <v>10200</v>
      </c>
      <c r="F299" s="172" t="n">
        <v>0.136765</v>
      </c>
      <c r="G299" s="1" t="s">
        <v>115</v>
      </c>
      <c r="H299" s="1" t="s">
        <v>260</v>
      </c>
      <c r="I299" s="1" t="n">
        <v>21997618088</v>
      </c>
      <c r="J299" s="1" t="s">
        <v>1244</v>
      </c>
      <c r="K299" s="1" t="s">
        <v>115</v>
      </c>
      <c r="L299" s="1" t="s">
        <v>260</v>
      </c>
      <c r="M299" s="1" t="n">
        <v>21997618088</v>
      </c>
      <c r="N299" s="1" t="n">
        <v>1395</v>
      </c>
      <c r="O299" s="1" t="n">
        <v>850</v>
      </c>
      <c r="P299" s="1" t="s">
        <v>1286</v>
      </c>
      <c r="Q299" s="1" t="s">
        <v>184</v>
      </c>
      <c r="S299" s="1" t="s">
        <v>1278</v>
      </c>
      <c r="T299" s="1" t="s">
        <v>1274</v>
      </c>
      <c r="V299" s="1" t="s">
        <v>1291</v>
      </c>
      <c r="W299" s="1" t="s">
        <v>1284</v>
      </c>
    </row>
    <row r="300" customFormat="false" ht="15" hidden="false" customHeight="true" outlineLevel="0" collapsed="false">
      <c r="A300" s="1" t="n">
        <v>0.246756</v>
      </c>
      <c r="B300" s="1" t="s">
        <v>1131</v>
      </c>
      <c r="C300" s="1" t="n">
        <v>5615.5</v>
      </c>
      <c r="D300" s="1" t="n">
        <v>1385.66</v>
      </c>
      <c r="E300" s="1" t="n">
        <v>5615.5</v>
      </c>
      <c r="F300" s="172" t="n">
        <v>0.246756</v>
      </c>
      <c r="G300" s="1" t="s">
        <v>123</v>
      </c>
      <c r="H300" s="1" t="s">
        <v>139</v>
      </c>
      <c r="I300" s="1" t="n">
        <v>4891551897</v>
      </c>
      <c r="J300" s="1" t="s">
        <v>1244</v>
      </c>
      <c r="K300" s="1" t="s">
        <v>104</v>
      </c>
      <c r="L300" s="1" t="s">
        <v>139</v>
      </c>
      <c r="M300" s="1" t="n">
        <v>4891551897</v>
      </c>
      <c r="N300" s="1" t="n">
        <v>1385.66</v>
      </c>
      <c r="O300" s="1" t="n">
        <v>467.96</v>
      </c>
      <c r="P300" s="1" t="s">
        <v>1277</v>
      </c>
      <c r="Q300" s="1" t="s">
        <v>108</v>
      </c>
      <c r="S300" s="1" t="s">
        <v>1278</v>
      </c>
      <c r="T300" s="1" t="s">
        <v>1279</v>
      </c>
      <c r="V300" s="1" t="s">
        <v>1291</v>
      </c>
      <c r="W300" s="1" t="s">
        <v>1276</v>
      </c>
    </row>
    <row r="301" customFormat="false" ht="15" hidden="false" customHeight="true" outlineLevel="0" collapsed="false">
      <c r="A301" s="1" t="n">
        <v>0.126546</v>
      </c>
      <c r="B301" s="1" t="s">
        <v>1131</v>
      </c>
      <c r="C301" s="1" t="n">
        <v>10875</v>
      </c>
      <c r="D301" s="1" t="n">
        <v>1376.19</v>
      </c>
      <c r="E301" s="1" t="n">
        <v>10875</v>
      </c>
      <c r="F301" s="172" t="n">
        <v>0.126546</v>
      </c>
      <c r="G301" s="1" t="s">
        <v>102</v>
      </c>
      <c r="H301" s="1" t="s">
        <v>109</v>
      </c>
      <c r="I301" s="1" t="n">
        <v>4187357088</v>
      </c>
      <c r="J301" s="1" t="s">
        <v>1244</v>
      </c>
      <c r="K301" s="1" t="s">
        <v>102</v>
      </c>
      <c r="L301" s="1" t="s">
        <v>109</v>
      </c>
      <c r="M301" s="1" t="n">
        <v>4187357088</v>
      </c>
      <c r="N301" s="1" t="n">
        <v>1376.19</v>
      </c>
      <c r="O301" s="1" t="n">
        <v>906.25</v>
      </c>
      <c r="P301" s="1" t="s">
        <v>1286</v>
      </c>
      <c r="Q301" s="1" t="s">
        <v>175</v>
      </c>
      <c r="S301" s="1" t="s">
        <v>1287</v>
      </c>
      <c r="T301" s="1" t="s">
        <v>1274</v>
      </c>
      <c r="V301" s="1" t="s">
        <v>1291</v>
      </c>
      <c r="W301" s="1" t="s">
        <v>1284</v>
      </c>
    </row>
    <row r="302" customFormat="false" ht="15" hidden="false" customHeight="true" outlineLevel="0" collapsed="false">
      <c r="A302" s="1" t="n">
        <v>0.126529</v>
      </c>
      <c r="B302" s="1" t="s">
        <v>1131</v>
      </c>
      <c r="C302" s="1" t="n">
        <v>10875</v>
      </c>
      <c r="D302" s="1" t="n">
        <v>1376</v>
      </c>
      <c r="E302" s="1" t="n">
        <v>10875</v>
      </c>
      <c r="F302" s="172" t="n">
        <v>0.126529</v>
      </c>
      <c r="G302" s="1" t="s">
        <v>102</v>
      </c>
      <c r="H302" s="1" t="s">
        <v>139</v>
      </c>
      <c r="I302" s="1" t="n">
        <v>4899981463</v>
      </c>
      <c r="J302" s="1" t="s">
        <v>1244</v>
      </c>
      <c r="K302" s="1" t="s">
        <v>102</v>
      </c>
      <c r="L302" s="1" t="s">
        <v>139</v>
      </c>
      <c r="M302" s="1" t="n">
        <v>4899981463</v>
      </c>
      <c r="N302" s="1" t="n">
        <v>1376</v>
      </c>
      <c r="O302" s="1" t="n">
        <v>906.25</v>
      </c>
      <c r="P302" s="1" t="s">
        <v>1286</v>
      </c>
      <c r="Q302" s="1" t="s">
        <v>175</v>
      </c>
      <c r="S302" s="1" t="s">
        <v>1287</v>
      </c>
      <c r="T302" s="1" t="s">
        <v>1274</v>
      </c>
      <c r="V302" s="1" t="s">
        <v>1291</v>
      </c>
      <c r="W302" s="1" t="s">
        <v>1284</v>
      </c>
    </row>
    <row r="303" customFormat="false" ht="15" hidden="false" customHeight="true" outlineLevel="0" collapsed="false">
      <c r="A303" s="1" t="n">
        <v>0.244153</v>
      </c>
      <c r="B303" s="1" t="s">
        <v>1131</v>
      </c>
      <c r="C303" s="1" t="n">
        <v>5615.5</v>
      </c>
      <c r="D303" s="1" t="n">
        <v>1371.04</v>
      </c>
      <c r="E303" s="1" t="n">
        <v>5615.5</v>
      </c>
      <c r="F303" s="172" t="n">
        <v>0.244153</v>
      </c>
      <c r="G303" s="1" t="s">
        <v>123</v>
      </c>
      <c r="H303" s="1" t="s">
        <v>119</v>
      </c>
      <c r="I303" s="1" t="n">
        <v>19981443676</v>
      </c>
      <c r="J303" s="1" t="s">
        <v>1244</v>
      </c>
      <c r="K303" s="1" t="s">
        <v>104</v>
      </c>
      <c r="L303" s="1" t="s">
        <v>119</v>
      </c>
      <c r="M303" s="1" t="n">
        <v>19981443676</v>
      </c>
      <c r="N303" s="1" t="n">
        <v>1371.04</v>
      </c>
      <c r="O303" s="1" t="n">
        <v>467.96</v>
      </c>
      <c r="P303" s="1" t="s">
        <v>1281</v>
      </c>
      <c r="Q303" s="1" t="s">
        <v>100</v>
      </c>
      <c r="S303" s="1" t="s">
        <v>1278</v>
      </c>
      <c r="T303" s="1" t="s">
        <v>1274</v>
      </c>
      <c r="V303" s="1" t="s">
        <v>1293</v>
      </c>
      <c r="W303" s="1" t="s">
        <v>1276</v>
      </c>
    </row>
    <row r="304" customFormat="false" ht="15" hidden="false" customHeight="true" outlineLevel="0" collapsed="false">
      <c r="A304" s="1" t="n">
        <v>0.244145</v>
      </c>
      <c r="B304" s="1" t="s">
        <v>1131</v>
      </c>
      <c r="C304" s="1" t="n">
        <v>5615.5</v>
      </c>
      <c r="D304" s="1" t="n">
        <v>1371</v>
      </c>
      <c r="E304" s="1" t="n">
        <v>5615.5</v>
      </c>
      <c r="F304" s="172" t="n">
        <v>0.244145</v>
      </c>
      <c r="G304" s="1" t="s">
        <v>123</v>
      </c>
      <c r="H304" s="1" t="s">
        <v>109</v>
      </c>
      <c r="I304" s="1" t="n">
        <v>42988084636</v>
      </c>
      <c r="J304" s="1" t="s">
        <v>1244</v>
      </c>
      <c r="K304" s="1" t="s">
        <v>104</v>
      </c>
      <c r="L304" s="1" t="s">
        <v>109</v>
      </c>
      <c r="M304" s="1" t="n">
        <v>42988084636</v>
      </c>
      <c r="N304" s="1" t="n">
        <v>1371</v>
      </c>
      <c r="O304" s="1" t="n">
        <v>467.96</v>
      </c>
      <c r="P304" s="1" t="s">
        <v>1277</v>
      </c>
      <c r="Q304" s="1" t="s">
        <v>108</v>
      </c>
      <c r="S304" s="1" t="s">
        <v>1278</v>
      </c>
      <c r="T304" s="1" t="s">
        <v>1279</v>
      </c>
      <c r="V304" s="1" t="s">
        <v>1293</v>
      </c>
      <c r="W304" s="1" t="s">
        <v>1276</v>
      </c>
    </row>
    <row r="305" customFormat="false" ht="15" hidden="false" customHeight="true" outlineLevel="0" collapsed="false">
      <c r="A305" s="1" t="n">
        <v>0.126987</v>
      </c>
      <c r="B305" s="1" t="s">
        <v>1131</v>
      </c>
      <c r="C305" s="1" t="n">
        <v>10706.9</v>
      </c>
      <c r="D305" s="1" t="n">
        <v>1359.64</v>
      </c>
      <c r="E305" s="1" t="n">
        <v>10706.9</v>
      </c>
      <c r="F305" s="172" t="n">
        <v>0.126987</v>
      </c>
      <c r="G305" s="1" t="s">
        <v>66</v>
      </c>
      <c r="H305" s="1" t="s">
        <v>139</v>
      </c>
      <c r="I305" s="1" t="n">
        <v>4832550664</v>
      </c>
      <c r="J305" s="1" t="s">
        <v>1244</v>
      </c>
      <c r="K305" s="1" t="s">
        <v>66</v>
      </c>
      <c r="L305" s="1" t="s">
        <v>139</v>
      </c>
      <c r="M305" s="1" t="n">
        <v>4832550664</v>
      </c>
      <c r="N305" s="1" t="n">
        <v>1359.64</v>
      </c>
      <c r="O305" s="1" t="n">
        <v>892.24</v>
      </c>
      <c r="P305" s="1" t="s">
        <v>1286</v>
      </c>
      <c r="Q305" s="1" t="s">
        <v>175</v>
      </c>
      <c r="S305" s="1" t="s">
        <v>1278</v>
      </c>
      <c r="T305" s="1" t="s">
        <v>1274</v>
      </c>
      <c r="V305" s="1" t="s">
        <v>1293</v>
      </c>
      <c r="W305" s="1" t="s">
        <v>1284</v>
      </c>
    </row>
    <row r="306" customFormat="false" ht="15" hidden="false" customHeight="true" outlineLevel="0" collapsed="false">
      <c r="A306" s="1" t="n">
        <v>0.216046</v>
      </c>
      <c r="B306" s="1" t="s">
        <v>1131</v>
      </c>
      <c r="C306" s="1" t="n">
        <v>6281.25</v>
      </c>
      <c r="D306" s="1" t="n">
        <v>1357.04</v>
      </c>
      <c r="E306" s="1" t="n">
        <v>6281.25</v>
      </c>
      <c r="F306" s="172" t="n">
        <v>0.216046</v>
      </c>
      <c r="G306" s="1" t="s">
        <v>124</v>
      </c>
      <c r="H306" s="1" t="s">
        <v>127</v>
      </c>
      <c r="I306" s="1" t="n">
        <v>62992088174</v>
      </c>
      <c r="J306" s="1" t="s">
        <v>1244</v>
      </c>
      <c r="K306" s="1" t="s">
        <v>124</v>
      </c>
      <c r="L306" s="1" t="s">
        <v>127</v>
      </c>
      <c r="M306" s="1" t="n">
        <v>62992088174</v>
      </c>
      <c r="N306" s="1" t="n">
        <v>1357.04</v>
      </c>
      <c r="O306" s="1" t="n">
        <v>523.44</v>
      </c>
      <c r="P306" s="1" t="s">
        <v>1286</v>
      </c>
      <c r="Q306" s="1" t="s">
        <v>184</v>
      </c>
      <c r="S306" s="1" t="s">
        <v>1278</v>
      </c>
      <c r="T306" s="1" t="s">
        <v>1274</v>
      </c>
      <c r="V306" s="1" t="s">
        <v>1293</v>
      </c>
      <c r="W306" s="1" t="s">
        <v>1284</v>
      </c>
    </row>
    <row r="307" customFormat="false" ht="15" hidden="false" customHeight="true" outlineLevel="0" collapsed="false">
      <c r="A307" s="1" t="n">
        <v>0.124759</v>
      </c>
      <c r="B307" s="1" t="s">
        <v>1131</v>
      </c>
      <c r="C307" s="1" t="n">
        <v>10875</v>
      </c>
      <c r="D307" s="1" t="n">
        <v>1356.75</v>
      </c>
      <c r="E307" s="1" t="n">
        <v>10875</v>
      </c>
      <c r="F307" s="172" t="n">
        <v>0.124759</v>
      </c>
      <c r="G307" s="1" t="s">
        <v>102</v>
      </c>
      <c r="H307" s="1" t="s">
        <v>139</v>
      </c>
      <c r="I307" s="1" t="n">
        <v>4899981463</v>
      </c>
      <c r="J307" s="1" t="s">
        <v>1244</v>
      </c>
      <c r="K307" s="1" t="s">
        <v>102</v>
      </c>
      <c r="L307" s="1" t="s">
        <v>139</v>
      </c>
      <c r="M307" s="1" t="n">
        <v>4899981463</v>
      </c>
      <c r="N307" s="1" t="n">
        <v>1356.75</v>
      </c>
      <c r="O307" s="1" t="n">
        <v>906.25</v>
      </c>
      <c r="P307" s="1" t="s">
        <v>1286</v>
      </c>
      <c r="Q307" s="1" t="s">
        <v>175</v>
      </c>
      <c r="S307" s="1" t="s">
        <v>1287</v>
      </c>
      <c r="T307" s="1" t="s">
        <v>1274</v>
      </c>
      <c r="V307" s="1" t="s">
        <v>1293</v>
      </c>
      <c r="W307" s="1" t="s">
        <v>1284</v>
      </c>
    </row>
    <row r="308" customFormat="false" ht="15" hidden="false" customHeight="true" outlineLevel="0" collapsed="false">
      <c r="A308" s="1" t="n">
        <v>0.240997</v>
      </c>
      <c r="B308" s="1" t="s">
        <v>1131</v>
      </c>
      <c r="C308" s="1" t="n">
        <v>5615.5</v>
      </c>
      <c r="D308" s="1" t="n">
        <v>1353.32</v>
      </c>
      <c r="E308" s="1" t="n">
        <v>5615.5</v>
      </c>
      <c r="F308" s="172" t="n">
        <v>0.240997</v>
      </c>
      <c r="G308" s="1" t="s">
        <v>123</v>
      </c>
      <c r="H308" s="1" t="s">
        <v>196</v>
      </c>
      <c r="I308" s="1" t="n">
        <v>51984314995</v>
      </c>
      <c r="J308" s="1" t="s">
        <v>1244</v>
      </c>
      <c r="K308" s="1" t="s">
        <v>104</v>
      </c>
      <c r="L308" s="1" t="s">
        <v>196</v>
      </c>
      <c r="M308" s="1" t="n">
        <v>51984314995</v>
      </c>
      <c r="N308" s="1" t="n">
        <v>1353.32</v>
      </c>
      <c r="O308" s="1" t="n">
        <v>467.96</v>
      </c>
      <c r="P308" s="1" t="s">
        <v>1277</v>
      </c>
      <c r="Q308" s="1" t="s">
        <v>108</v>
      </c>
      <c r="S308" s="1" t="s">
        <v>1278</v>
      </c>
      <c r="T308" s="1" t="s">
        <v>1279</v>
      </c>
      <c r="V308" s="1" t="s">
        <v>1293</v>
      </c>
      <c r="W308" s="1" t="s">
        <v>1276</v>
      </c>
    </row>
    <row r="309" customFormat="false" ht="15" hidden="false" customHeight="true" outlineLevel="0" collapsed="false">
      <c r="A309" s="1" t="n">
        <v>0.132352</v>
      </c>
      <c r="B309" s="1" t="s">
        <v>1131</v>
      </c>
      <c r="C309" s="1" t="n">
        <v>10200</v>
      </c>
      <c r="D309" s="1" t="n">
        <v>1349.99</v>
      </c>
      <c r="E309" s="1" t="n">
        <v>10200</v>
      </c>
      <c r="F309" s="172" t="n">
        <v>0.132352</v>
      </c>
      <c r="G309" s="1" t="s">
        <v>115</v>
      </c>
      <c r="H309" s="1" t="s">
        <v>347</v>
      </c>
      <c r="I309" s="1" t="n">
        <v>8632319828</v>
      </c>
      <c r="J309" s="1" t="s">
        <v>1244</v>
      </c>
      <c r="K309" s="1" t="s">
        <v>115</v>
      </c>
      <c r="L309" s="1" t="s">
        <v>347</v>
      </c>
      <c r="M309" s="1" t="n">
        <v>8632319828</v>
      </c>
      <c r="N309" s="1" t="n">
        <v>1349.99</v>
      </c>
      <c r="O309" s="1" t="n">
        <v>850</v>
      </c>
      <c r="P309" s="1" t="s">
        <v>1286</v>
      </c>
      <c r="Q309" s="1" t="s">
        <v>184</v>
      </c>
      <c r="S309" s="1" t="s">
        <v>1278</v>
      </c>
      <c r="T309" s="1" t="s">
        <v>1274</v>
      </c>
      <c r="V309" s="1" t="s">
        <v>1293</v>
      </c>
      <c r="W309" s="1" t="s">
        <v>1284</v>
      </c>
    </row>
    <row r="310" customFormat="false" ht="15" hidden="false" customHeight="true" outlineLevel="0" collapsed="false">
      <c r="A310" s="1" t="n">
        <v>0.239984</v>
      </c>
      <c r="B310" s="1" t="s">
        <v>1131</v>
      </c>
      <c r="C310" s="1" t="n">
        <v>5615.5</v>
      </c>
      <c r="D310" s="1" t="n">
        <v>1347.63</v>
      </c>
      <c r="E310" s="1" t="n">
        <v>5615.5</v>
      </c>
      <c r="F310" s="172" t="n">
        <v>0.239984</v>
      </c>
      <c r="G310" s="1" t="s">
        <v>123</v>
      </c>
      <c r="H310" s="1" t="s">
        <v>196</v>
      </c>
      <c r="I310" s="1" t="n">
        <v>5199929880</v>
      </c>
      <c r="J310" s="1" t="s">
        <v>1244</v>
      </c>
      <c r="K310" s="1" t="s">
        <v>104</v>
      </c>
      <c r="L310" s="1" t="s">
        <v>196</v>
      </c>
      <c r="M310" s="1" t="n">
        <v>5199929880</v>
      </c>
      <c r="N310" s="1" t="n">
        <v>1347.63</v>
      </c>
      <c r="O310" s="1" t="n">
        <v>467.96</v>
      </c>
      <c r="P310" s="1" t="s">
        <v>1277</v>
      </c>
      <c r="Q310" s="1" t="s">
        <v>108</v>
      </c>
      <c r="S310" s="1" t="s">
        <v>1278</v>
      </c>
      <c r="T310" s="1" t="s">
        <v>1279</v>
      </c>
      <c r="V310" s="1" t="s">
        <v>1293</v>
      </c>
      <c r="W310" s="1" t="s">
        <v>1276</v>
      </c>
    </row>
    <row r="311" customFormat="false" ht="15" hidden="false" customHeight="true" outlineLevel="0" collapsed="false">
      <c r="A311" s="1" t="n">
        <v>0.239346</v>
      </c>
      <c r="B311" s="1" t="s">
        <v>1131</v>
      </c>
      <c r="C311" s="1" t="n">
        <v>5615.5</v>
      </c>
      <c r="D311" s="1" t="n">
        <v>1344.05</v>
      </c>
      <c r="E311" s="1" t="n">
        <v>5615.5</v>
      </c>
      <c r="F311" s="172" t="n">
        <v>0.239346</v>
      </c>
      <c r="G311" s="1" t="s">
        <v>123</v>
      </c>
      <c r="H311" s="1" t="s">
        <v>196</v>
      </c>
      <c r="I311" s="1" t="n">
        <v>5121601195</v>
      </c>
      <c r="J311" s="1" t="s">
        <v>1244</v>
      </c>
      <c r="K311" s="1" t="s">
        <v>104</v>
      </c>
      <c r="L311" s="1" t="s">
        <v>196</v>
      </c>
      <c r="M311" s="1" t="n">
        <v>5121601195</v>
      </c>
      <c r="N311" s="1" t="n">
        <v>1344.05</v>
      </c>
      <c r="O311" s="1" t="n">
        <v>467.96</v>
      </c>
      <c r="P311" s="1" t="s">
        <v>1277</v>
      </c>
      <c r="Q311" s="1" t="s">
        <v>108</v>
      </c>
      <c r="S311" s="1" t="s">
        <v>1278</v>
      </c>
      <c r="T311" s="1" t="s">
        <v>1279</v>
      </c>
      <c r="V311" s="1" t="s">
        <v>1293</v>
      </c>
      <c r="W311" s="1" t="s">
        <v>1276</v>
      </c>
    </row>
    <row r="312" customFormat="false" ht="15" hidden="false" customHeight="true" outlineLevel="0" collapsed="false">
      <c r="A312" s="1" t="n">
        <v>0.125193</v>
      </c>
      <c r="B312" s="1" t="s">
        <v>1131</v>
      </c>
      <c r="C312" s="1" t="n">
        <v>10706.9</v>
      </c>
      <c r="D312" s="1" t="n">
        <v>1340.43</v>
      </c>
      <c r="E312" s="1" t="n">
        <v>10706.9</v>
      </c>
      <c r="F312" s="172" t="n">
        <v>0.125193</v>
      </c>
      <c r="G312" s="1" t="s">
        <v>66</v>
      </c>
      <c r="H312" s="1" t="s">
        <v>196</v>
      </c>
      <c r="I312" s="1" t="n">
        <v>5381462009</v>
      </c>
      <c r="J312" s="1" t="s">
        <v>1244</v>
      </c>
      <c r="K312" s="1" t="s">
        <v>66</v>
      </c>
      <c r="L312" s="1" t="s">
        <v>196</v>
      </c>
      <c r="M312" s="1" t="n">
        <v>5381462009</v>
      </c>
      <c r="N312" s="1" t="n">
        <v>1340.43</v>
      </c>
      <c r="O312" s="1" t="n">
        <v>892.24</v>
      </c>
      <c r="P312" s="1" t="s">
        <v>1286</v>
      </c>
      <c r="Q312" s="1" t="s">
        <v>175</v>
      </c>
      <c r="S312" s="1" t="s">
        <v>1287</v>
      </c>
      <c r="T312" s="1" t="s">
        <v>1274</v>
      </c>
      <c r="V312" s="1" t="s">
        <v>1293</v>
      </c>
      <c r="W312" s="1" t="s">
        <v>1284</v>
      </c>
    </row>
    <row r="313" customFormat="false" ht="15" hidden="false" customHeight="true" outlineLevel="0" collapsed="false">
      <c r="A313" s="1" t="n">
        <v>0.237934</v>
      </c>
      <c r="B313" s="1" t="s">
        <v>1131</v>
      </c>
      <c r="C313" s="1" t="n">
        <v>5615.5</v>
      </c>
      <c r="D313" s="1" t="n">
        <v>1336.12</v>
      </c>
      <c r="E313" s="1" t="n">
        <v>5615.5</v>
      </c>
      <c r="F313" s="172" t="n">
        <v>0.237934</v>
      </c>
      <c r="G313" s="1" t="s">
        <v>123</v>
      </c>
      <c r="H313" s="1" t="s">
        <v>119</v>
      </c>
      <c r="I313" s="1" t="n">
        <v>1897663455</v>
      </c>
      <c r="J313" s="1" t="s">
        <v>1244</v>
      </c>
      <c r="K313" s="1" t="s">
        <v>104</v>
      </c>
      <c r="L313" s="1" t="s">
        <v>119</v>
      </c>
      <c r="M313" s="1" t="n">
        <v>1897663455</v>
      </c>
      <c r="N313" s="1" t="n">
        <v>1336.12</v>
      </c>
      <c r="O313" s="1" t="n">
        <v>467.96</v>
      </c>
      <c r="P313" s="1" t="s">
        <v>1281</v>
      </c>
      <c r="Q313" s="1" t="s">
        <v>100</v>
      </c>
      <c r="S313" s="1" t="s">
        <v>1004</v>
      </c>
      <c r="T313" s="1" t="s">
        <v>1274</v>
      </c>
      <c r="V313" s="1" t="s">
        <v>1293</v>
      </c>
      <c r="W313" s="1" t="s">
        <v>1276</v>
      </c>
    </row>
    <row r="314" customFormat="false" ht="15" hidden="false" customHeight="true" outlineLevel="0" collapsed="false">
      <c r="A314" s="1" t="n">
        <v>0.237836</v>
      </c>
      <c r="B314" s="1" t="s">
        <v>1131</v>
      </c>
      <c r="C314" s="1" t="n">
        <v>5615.5</v>
      </c>
      <c r="D314" s="1" t="n">
        <v>1335.57</v>
      </c>
      <c r="E314" s="1" t="n">
        <v>5615.5</v>
      </c>
      <c r="F314" s="172" t="n">
        <v>0.237836</v>
      </c>
      <c r="G314" s="1" t="s">
        <v>123</v>
      </c>
      <c r="H314" s="1" t="s">
        <v>196</v>
      </c>
      <c r="I314" s="1" t="n">
        <v>51982920694</v>
      </c>
      <c r="J314" s="1" t="s">
        <v>1244</v>
      </c>
      <c r="K314" s="1" t="s">
        <v>104</v>
      </c>
      <c r="L314" s="1" t="s">
        <v>196</v>
      </c>
      <c r="M314" s="1" t="n">
        <v>51982920694</v>
      </c>
      <c r="N314" s="1" t="n">
        <v>1335.57</v>
      </c>
      <c r="O314" s="1" t="n">
        <v>467.96</v>
      </c>
      <c r="P314" s="1" t="s">
        <v>1277</v>
      </c>
      <c r="Q314" s="1" t="s">
        <v>108</v>
      </c>
      <c r="S314" s="1" t="s">
        <v>1278</v>
      </c>
      <c r="T314" s="1" t="s">
        <v>1279</v>
      </c>
      <c r="V314" s="1" t="s">
        <v>1293</v>
      </c>
      <c r="W314" s="1" t="s">
        <v>1276</v>
      </c>
    </row>
    <row r="315" customFormat="false" ht="15" hidden="false" customHeight="true" outlineLevel="0" collapsed="false">
      <c r="A315" s="1" t="n">
        <v>0.236593</v>
      </c>
      <c r="B315" s="1" t="s">
        <v>1131</v>
      </c>
      <c r="C315" s="1" t="n">
        <v>5615.5</v>
      </c>
      <c r="D315" s="1" t="n">
        <v>1328.59</v>
      </c>
      <c r="E315" s="1" t="n">
        <v>5615.5</v>
      </c>
      <c r="F315" s="172" t="n">
        <v>0.236593</v>
      </c>
      <c r="G315" s="1" t="s">
        <v>123</v>
      </c>
      <c r="H315" s="1" t="s">
        <v>114</v>
      </c>
      <c r="I315" s="1" t="n">
        <v>31994766841</v>
      </c>
      <c r="J315" s="1" t="s">
        <v>1244</v>
      </c>
      <c r="K315" s="1" t="s">
        <v>104</v>
      </c>
      <c r="L315" s="1" t="s">
        <v>114</v>
      </c>
      <c r="M315" s="1" t="n">
        <v>31994766841</v>
      </c>
      <c r="N315" s="1" t="n">
        <v>1328.59</v>
      </c>
      <c r="O315" s="1" t="n">
        <v>467.96</v>
      </c>
      <c r="P315" s="1" t="s">
        <v>1280</v>
      </c>
      <c r="Q315" s="1" t="s">
        <v>100</v>
      </c>
      <c r="S315" s="1" t="s">
        <v>1004</v>
      </c>
      <c r="T315" s="1" t="s">
        <v>1274</v>
      </c>
      <c r="V315" s="1" t="s">
        <v>1293</v>
      </c>
      <c r="W315" s="1" t="s">
        <v>1276</v>
      </c>
    </row>
    <row r="316" customFormat="false" ht="15" hidden="false" customHeight="true" outlineLevel="0" collapsed="false">
      <c r="A316" s="1" t="n">
        <v>0.195552</v>
      </c>
      <c r="B316" s="1" t="s">
        <v>1131</v>
      </c>
      <c r="C316" s="1" t="n">
        <v>6566.04</v>
      </c>
      <c r="D316" s="1" t="n">
        <v>1284</v>
      </c>
      <c r="E316" s="1" t="n">
        <v>6566.04</v>
      </c>
      <c r="F316" s="172" t="n">
        <v>0.195552</v>
      </c>
      <c r="G316" s="1" t="s">
        <v>110</v>
      </c>
      <c r="H316" s="1" t="s">
        <v>101</v>
      </c>
      <c r="I316" s="1" t="n">
        <v>66999655258</v>
      </c>
      <c r="J316" s="1" t="s">
        <v>1244</v>
      </c>
      <c r="K316" s="1" t="s">
        <v>110</v>
      </c>
      <c r="L316" s="1" t="s">
        <v>101</v>
      </c>
      <c r="M316" s="1" t="n">
        <v>66999655258</v>
      </c>
      <c r="N316" s="1" t="n">
        <v>1284</v>
      </c>
      <c r="O316" s="1" t="n">
        <v>547.17</v>
      </c>
      <c r="P316" s="1" t="s">
        <v>1286</v>
      </c>
      <c r="Q316" s="1" t="s">
        <v>108</v>
      </c>
      <c r="S316" s="1" t="s">
        <v>1278</v>
      </c>
      <c r="T316" s="1" t="s">
        <v>1279</v>
      </c>
      <c r="V316" s="1" t="s">
        <v>1293</v>
      </c>
      <c r="W316" s="1" t="s">
        <v>1284</v>
      </c>
    </row>
    <row r="317" customFormat="false" ht="15" hidden="false" customHeight="true" outlineLevel="0" collapsed="false">
      <c r="A317" s="1" t="n">
        <v>0.226672</v>
      </c>
      <c r="B317" s="1" t="s">
        <v>1131</v>
      </c>
      <c r="C317" s="1" t="n">
        <v>5615.5</v>
      </c>
      <c r="D317" s="1" t="n">
        <v>1272.88</v>
      </c>
      <c r="E317" s="1" t="n">
        <v>5615.5</v>
      </c>
      <c r="F317" s="172" t="n">
        <v>0.226672</v>
      </c>
      <c r="G317" s="1" t="s">
        <v>123</v>
      </c>
      <c r="H317" s="1" t="s">
        <v>139</v>
      </c>
      <c r="I317" s="1" t="n">
        <v>47988187995</v>
      </c>
      <c r="J317" s="1" t="s">
        <v>1244</v>
      </c>
      <c r="K317" s="1" t="s">
        <v>104</v>
      </c>
      <c r="L317" s="1" t="s">
        <v>139</v>
      </c>
      <c r="M317" s="1" t="n">
        <v>47988187995</v>
      </c>
      <c r="N317" s="1" t="n">
        <v>1272.88</v>
      </c>
      <c r="O317" s="1" t="n">
        <v>467.96</v>
      </c>
      <c r="P317" s="1" t="s">
        <v>1277</v>
      </c>
      <c r="Q317" s="1" t="s">
        <v>175</v>
      </c>
      <c r="S317" s="1" t="s">
        <v>1287</v>
      </c>
      <c r="T317" s="1" t="s">
        <v>1274</v>
      </c>
      <c r="V317" s="1" t="s">
        <v>1293</v>
      </c>
      <c r="W317" s="1" t="s">
        <v>1276</v>
      </c>
    </row>
    <row r="318" customFormat="false" ht="15" hidden="false" customHeight="true" outlineLevel="0" collapsed="false">
      <c r="A318" s="1" t="n">
        <v>0.118719</v>
      </c>
      <c r="B318" s="1" t="s">
        <v>1131</v>
      </c>
      <c r="C318" s="1" t="n">
        <v>10706.9</v>
      </c>
      <c r="D318" s="1" t="n">
        <v>1271.11</v>
      </c>
      <c r="E318" s="1" t="n">
        <v>10706.9</v>
      </c>
      <c r="F318" s="172" t="n">
        <v>0.118719</v>
      </c>
      <c r="G318" s="1" t="s">
        <v>66</v>
      </c>
      <c r="H318" s="1" t="s">
        <v>139</v>
      </c>
      <c r="I318" s="1" t="n">
        <v>4896885390</v>
      </c>
      <c r="J318" s="1" t="s">
        <v>1244</v>
      </c>
      <c r="K318" s="1" t="s">
        <v>66</v>
      </c>
      <c r="L318" s="1" t="s">
        <v>139</v>
      </c>
      <c r="M318" s="1" t="n">
        <v>4896885390</v>
      </c>
      <c r="N318" s="1" t="n">
        <v>1271.11</v>
      </c>
      <c r="O318" s="1" t="n">
        <v>892.24</v>
      </c>
      <c r="P318" s="1" t="s">
        <v>1286</v>
      </c>
      <c r="Q318" s="1" t="s">
        <v>175</v>
      </c>
      <c r="S318" s="1" t="s">
        <v>1287</v>
      </c>
      <c r="T318" s="1" t="s">
        <v>1274</v>
      </c>
      <c r="V318" s="1" t="s">
        <v>1293</v>
      </c>
      <c r="W318" s="1" t="s">
        <v>1284</v>
      </c>
    </row>
    <row r="319" customFormat="false" ht="15" hidden="false" customHeight="true" outlineLevel="0" collapsed="false">
      <c r="A319" s="1" t="n">
        <v>0.225848</v>
      </c>
      <c r="B319" s="1" t="s">
        <v>1131</v>
      </c>
      <c r="C319" s="1" t="n">
        <v>5615.5</v>
      </c>
      <c r="D319" s="1" t="n">
        <v>1268.25</v>
      </c>
      <c r="E319" s="1" t="n">
        <v>5615.5</v>
      </c>
      <c r="F319" s="172" t="n">
        <v>0.225848</v>
      </c>
      <c r="G319" s="1" t="s">
        <v>123</v>
      </c>
      <c r="H319" s="1" t="s">
        <v>114</v>
      </c>
      <c r="I319" s="1" t="n">
        <v>37988512269</v>
      </c>
      <c r="J319" s="1" t="s">
        <v>1244</v>
      </c>
      <c r="K319" s="1" t="s">
        <v>104</v>
      </c>
      <c r="L319" s="1" t="s">
        <v>114</v>
      </c>
      <c r="M319" s="1" t="n">
        <v>37988512269</v>
      </c>
      <c r="N319" s="1" t="n">
        <v>1268.25</v>
      </c>
      <c r="O319" s="1" t="n">
        <v>467.96</v>
      </c>
      <c r="P319" s="1" t="s">
        <v>1280</v>
      </c>
      <c r="Q319" s="1" t="s">
        <v>100</v>
      </c>
      <c r="S319" s="1" t="s">
        <v>1004</v>
      </c>
      <c r="T319" s="1" t="s">
        <v>1274</v>
      </c>
      <c r="V319" s="1" t="s">
        <v>1293</v>
      </c>
      <c r="W319" s="1" t="s">
        <v>1276</v>
      </c>
    </row>
    <row r="320" customFormat="false" ht="15" hidden="false" customHeight="true" outlineLevel="0" collapsed="false">
      <c r="A320" s="1" t="n">
        <v>0.225234</v>
      </c>
      <c r="B320" s="1" t="s">
        <v>1131</v>
      </c>
      <c r="C320" s="1" t="n">
        <v>5615.5</v>
      </c>
      <c r="D320" s="1" t="n">
        <v>1264.8</v>
      </c>
      <c r="E320" s="1" t="n">
        <v>5615.5</v>
      </c>
      <c r="F320" s="172" t="n">
        <v>0.225234</v>
      </c>
      <c r="G320" s="1" t="s">
        <v>123</v>
      </c>
      <c r="H320" s="1" t="s">
        <v>109</v>
      </c>
      <c r="I320" s="1" t="n">
        <v>4136413030</v>
      </c>
      <c r="J320" s="1" t="s">
        <v>1244</v>
      </c>
      <c r="K320" s="1" t="s">
        <v>104</v>
      </c>
      <c r="L320" s="1" t="s">
        <v>109</v>
      </c>
      <c r="M320" s="1" t="n">
        <v>4136413030</v>
      </c>
      <c r="N320" s="1" t="n">
        <v>1264.8</v>
      </c>
      <c r="O320" s="1" t="n">
        <v>467.96</v>
      </c>
      <c r="P320" s="1" t="s">
        <v>1277</v>
      </c>
      <c r="Q320" s="1" t="s">
        <v>108</v>
      </c>
      <c r="S320" s="1" t="s">
        <v>1278</v>
      </c>
      <c r="T320" s="1" t="s">
        <v>1279</v>
      </c>
      <c r="V320" s="1" t="s">
        <v>1293</v>
      </c>
      <c r="W320" s="1" t="s">
        <v>1276</v>
      </c>
    </row>
    <row r="321" customFormat="false" ht="15" hidden="false" customHeight="true" outlineLevel="0" collapsed="false">
      <c r="A321" s="1" t="n">
        <v>0.121994</v>
      </c>
      <c r="B321" s="1" t="s">
        <v>1131</v>
      </c>
      <c r="C321" s="1" t="n">
        <v>10200</v>
      </c>
      <c r="D321" s="1" t="n">
        <v>1244.34</v>
      </c>
      <c r="E321" s="1" t="n">
        <v>10200</v>
      </c>
      <c r="F321" s="172" t="n">
        <v>0.121994</v>
      </c>
      <c r="G321" s="1" t="s">
        <v>115</v>
      </c>
      <c r="H321" s="1" t="s">
        <v>139</v>
      </c>
      <c r="I321" s="1" t="n">
        <v>49999128183</v>
      </c>
      <c r="J321" s="1" t="s">
        <v>1244</v>
      </c>
      <c r="K321" s="1" t="s">
        <v>115</v>
      </c>
      <c r="L321" s="1" t="s">
        <v>139</v>
      </c>
      <c r="M321" s="1" t="n">
        <v>49999128183</v>
      </c>
      <c r="N321" s="1" t="n">
        <v>1244.34</v>
      </c>
      <c r="O321" s="1" t="n">
        <v>850</v>
      </c>
      <c r="P321" s="1" t="s">
        <v>1286</v>
      </c>
      <c r="Q321" s="1" t="s">
        <v>108</v>
      </c>
      <c r="S321" s="1" t="s">
        <v>1278</v>
      </c>
      <c r="T321" s="1" t="s">
        <v>1279</v>
      </c>
      <c r="V321" s="1" t="s">
        <v>1293</v>
      </c>
      <c r="W321" s="1" t="s">
        <v>1284</v>
      </c>
    </row>
    <row r="322" customFormat="false" ht="15" hidden="false" customHeight="true" outlineLevel="0" collapsed="false">
      <c r="A322" s="1" t="n">
        <v>0.218472</v>
      </c>
      <c r="B322" s="1" t="s">
        <v>1131</v>
      </c>
      <c r="C322" s="1" t="n">
        <v>5615.5</v>
      </c>
      <c r="D322" s="1" t="n">
        <v>1226.83</v>
      </c>
      <c r="E322" s="1" t="n">
        <v>5615.5</v>
      </c>
      <c r="F322" s="172" t="n">
        <v>0.218472</v>
      </c>
      <c r="G322" s="1" t="s">
        <v>123</v>
      </c>
      <c r="H322" s="1" t="s">
        <v>114</v>
      </c>
      <c r="I322" s="1" t="n">
        <v>3332461105</v>
      </c>
      <c r="J322" s="1" t="s">
        <v>1244</v>
      </c>
      <c r="K322" s="1" t="s">
        <v>104</v>
      </c>
      <c r="L322" s="1" t="s">
        <v>114</v>
      </c>
      <c r="M322" s="1" t="n">
        <v>3332461105</v>
      </c>
      <c r="N322" s="1" t="n">
        <v>1226.83</v>
      </c>
      <c r="O322" s="1" t="n">
        <v>467.96</v>
      </c>
      <c r="P322" s="1" t="s">
        <v>1280</v>
      </c>
      <c r="Q322" s="1" t="s">
        <v>100</v>
      </c>
      <c r="S322" s="1" t="s">
        <v>1004</v>
      </c>
      <c r="T322" s="1" t="s">
        <v>1274</v>
      </c>
      <c r="V322" s="1" t="s">
        <v>1293</v>
      </c>
      <c r="W322" s="1" t="s">
        <v>1276</v>
      </c>
    </row>
    <row r="323" customFormat="false" ht="15" hidden="false" customHeight="true" outlineLevel="0" collapsed="false">
      <c r="A323" s="1" t="n">
        <v>0.216663</v>
      </c>
      <c r="B323" s="1" t="s">
        <v>1131</v>
      </c>
      <c r="C323" s="1" t="n">
        <v>5615.5</v>
      </c>
      <c r="D323" s="1" t="n">
        <v>1216.67</v>
      </c>
      <c r="E323" s="1" t="n">
        <v>5615.5</v>
      </c>
      <c r="F323" s="172" t="n">
        <v>0.216663</v>
      </c>
      <c r="G323" s="1" t="s">
        <v>123</v>
      </c>
      <c r="H323" s="1" t="s">
        <v>139</v>
      </c>
      <c r="I323" s="1" t="n">
        <v>47984391430</v>
      </c>
      <c r="J323" s="1" t="s">
        <v>1244</v>
      </c>
      <c r="K323" s="1" t="s">
        <v>104</v>
      </c>
      <c r="L323" s="1" t="s">
        <v>139</v>
      </c>
      <c r="M323" s="1" t="n">
        <v>47984391430</v>
      </c>
      <c r="N323" s="1" t="n">
        <v>1216.67</v>
      </c>
      <c r="O323" s="1" t="n">
        <v>467.96</v>
      </c>
      <c r="P323" s="1" t="s">
        <v>1277</v>
      </c>
      <c r="Q323" s="1" t="s">
        <v>108</v>
      </c>
      <c r="S323" s="1" t="s">
        <v>1278</v>
      </c>
      <c r="T323" s="1" t="s">
        <v>1279</v>
      </c>
      <c r="V323" s="1" t="s">
        <v>1293</v>
      </c>
      <c r="W323" s="1" t="s">
        <v>1276</v>
      </c>
    </row>
    <row r="324" customFormat="false" ht="15" hidden="false" customHeight="true" outlineLevel="0" collapsed="false">
      <c r="A324" s="1" t="n">
        <v>0.216346</v>
      </c>
      <c r="B324" s="1" t="s">
        <v>1131</v>
      </c>
      <c r="C324" s="1" t="n">
        <v>5615.5</v>
      </c>
      <c r="D324" s="1" t="n">
        <v>1214.89</v>
      </c>
      <c r="E324" s="1" t="n">
        <v>5615.5</v>
      </c>
      <c r="F324" s="172" t="n">
        <v>0.216346</v>
      </c>
      <c r="G324" s="1" t="s">
        <v>123</v>
      </c>
      <c r="H324" s="1" t="s">
        <v>260</v>
      </c>
      <c r="I324" s="1" t="n">
        <v>24988662213</v>
      </c>
      <c r="J324" s="1" t="s">
        <v>1244</v>
      </c>
      <c r="K324" s="1" t="s">
        <v>104</v>
      </c>
      <c r="L324" s="1" t="s">
        <v>260</v>
      </c>
      <c r="M324" s="1" t="n">
        <v>24988662213</v>
      </c>
      <c r="N324" s="1" t="n">
        <v>1214.89</v>
      </c>
      <c r="O324" s="1" t="n">
        <v>467.96</v>
      </c>
      <c r="P324" s="1" t="s">
        <v>1280</v>
      </c>
      <c r="Q324" s="1" t="s">
        <v>100</v>
      </c>
      <c r="S324" s="1" t="s">
        <v>1004</v>
      </c>
      <c r="T324" s="1" t="s">
        <v>1274</v>
      </c>
      <c r="V324" s="1" t="s">
        <v>1293</v>
      </c>
      <c r="W324" s="1" t="s">
        <v>1276</v>
      </c>
    </row>
    <row r="325" customFormat="false" ht="15" hidden="false" customHeight="true" outlineLevel="0" collapsed="false">
      <c r="A325" s="1" t="n">
        <v>0.112694</v>
      </c>
      <c r="B325" s="1" t="s">
        <v>1131</v>
      </c>
      <c r="C325" s="1" t="n">
        <v>10706.9</v>
      </c>
      <c r="D325" s="1" t="n">
        <v>1206.6</v>
      </c>
      <c r="E325" s="1" t="n">
        <v>10706.9</v>
      </c>
      <c r="F325" s="172" t="n">
        <v>0.112694</v>
      </c>
      <c r="G325" s="1" t="s">
        <v>66</v>
      </c>
      <c r="H325" s="1" t="s">
        <v>139</v>
      </c>
      <c r="I325" s="1" t="n">
        <v>4899454161</v>
      </c>
      <c r="J325" s="1" t="s">
        <v>1244</v>
      </c>
      <c r="K325" s="1" t="s">
        <v>66</v>
      </c>
      <c r="L325" s="1" t="s">
        <v>139</v>
      </c>
      <c r="M325" s="1" t="n">
        <v>4899454161</v>
      </c>
      <c r="N325" s="1" t="n">
        <v>1206.6</v>
      </c>
      <c r="O325" s="1" t="n">
        <v>892.24</v>
      </c>
      <c r="P325" s="1" t="s">
        <v>1286</v>
      </c>
      <c r="Q325" s="1" t="s">
        <v>175</v>
      </c>
      <c r="S325" s="1" t="s">
        <v>1278</v>
      </c>
      <c r="T325" s="1" t="s">
        <v>1274</v>
      </c>
      <c r="V325" s="1" t="s">
        <v>1293</v>
      </c>
      <c r="W325" s="1" t="s">
        <v>1284</v>
      </c>
    </row>
    <row r="326" customFormat="false" ht="15" hidden="false" customHeight="true" outlineLevel="0" collapsed="false">
      <c r="A326" s="1" t="n">
        <v>0.117941</v>
      </c>
      <c r="B326" s="1" t="s">
        <v>1131</v>
      </c>
      <c r="C326" s="1" t="n">
        <v>10200</v>
      </c>
      <c r="D326" s="1" t="n">
        <v>1203</v>
      </c>
      <c r="E326" s="1" t="n">
        <v>10200</v>
      </c>
      <c r="F326" s="172" t="n">
        <v>0.117941</v>
      </c>
      <c r="G326" s="1" t="s">
        <v>115</v>
      </c>
      <c r="H326" s="1" t="s">
        <v>139</v>
      </c>
      <c r="I326" s="1" t="n">
        <v>48996572969</v>
      </c>
      <c r="J326" s="1" t="s">
        <v>1244</v>
      </c>
      <c r="K326" s="1" t="s">
        <v>115</v>
      </c>
      <c r="L326" s="1" t="s">
        <v>139</v>
      </c>
      <c r="M326" s="1" t="n">
        <v>48996572969</v>
      </c>
      <c r="N326" s="1" t="n">
        <v>1203</v>
      </c>
      <c r="O326" s="1" t="n">
        <v>850</v>
      </c>
      <c r="P326" s="1" t="s">
        <v>1286</v>
      </c>
      <c r="Q326" s="1" t="s">
        <v>184</v>
      </c>
      <c r="S326" s="1" t="s">
        <v>1278</v>
      </c>
      <c r="T326" s="1" t="s">
        <v>1274</v>
      </c>
      <c r="V326" s="1" t="s">
        <v>1293</v>
      </c>
      <c r="W326" s="1" t="s">
        <v>1284</v>
      </c>
    </row>
    <row r="327" customFormat="false" ht="15" hidden="false" customHeight="true" outlineLevel="0" collapsed="false">
      <c r="A327" s="1" t="n">
        <v>0.117647</v>
      </c>
      <c r="B327" s="1" t="s">
        <v>1131</v>
      </c>
      <c r="C327" s="1" t="n">
        <v>10200</v>
      </c>
      <c r="D327" s="1" t="n">
        <v>1200</v>
      </c>
      <c r="E327" s="1" t="n">
        <v>10200</v>
      </c>
      <c r="F327" s="172" t="n">
        <v>0.117647</v>
      </c>
      <c r="G327" s="1" t="s">
        <v>115</v>
      </c>
      <c r="H327" s="1" t="s">
        <v>119</v>
      </c>
      <c r="I327" s="1" t="n">
        <v>15997814718</v>
      </c>
      <c r="J327" s="1" t="s">
        <v>1244</v>
      </c>
      <c r="K327" s="1" t="s">
        <v>115</v>
      </c>
      <c r="L327" s="1" t="s">
        <v>119</v>
      </c>
      <c r="M327" s="1" t="n">
        <v>15997814718</v>
      </c>
      <c r="N327" s="1" t="n">
        <v>1200</v>
      </c>
      <c r="O327" s="1" t="n">
        <v>850</v>
      </c>
      <c r="P327" s="1" t="s">
        <v>1286</v>
      </c>
      <c r="Q327" s="1" t="s">
        <v>184</v>
      </c>
      <c r="S327" s="1" t="s">
        <v>1278</v>
      </c>
      <c r="T327" s="1" t="s">
        <v>1274</v>
      </c>
      <c r="V327" s="1" t="s">
        <v>1293</v>
      </c>
      <c r="W327" s="1" t="s">
        <v>1284</v>
      </c>
    </row>
    <row r="328" customFormat="false" ht="15" hidden="false" customHeight="true" outlineLevel="0" collapsed="false">
      <c r="A328" s="1" t="n">
        <v>0.110345</v>
      </c>
      <c r="B328" s="1" t="s">
        <v>1131</v>
      </c>
      <c r="C328" s="1" t="n">
        <v>10875</v>
      </c>
      <c r="D328" s="1" t="n">
        <v>1200</v>
      </c>
      <c r="E328" s="1" t="n">
        <v>10875</v>
      </c>
      <c r="F328" s="172" t="n">
        <v>0.110345</v>
      </c>
      <c r="G328" s="1" t="s">
        <v>102</v>
      </c>
      <c r="H328" s="1" t="s">
        <v>196</v>
      </c>
      <c r="I328" s="1" t="n">
        <v>48996729514</v>
      </c>
      <c r="J328" s="1" t="s">
        <v>1244</v>
      </c>
      <c r="K328" s="1" t="s">
        <v>102</v>
      </c>
      <c r="L328" s="1" t="s">
        <v>196</v>
      </c>
      <c r="M328" s="1" t="n">
        <v>48996729514</v>
      </c>
      <c r="N328" s="1" t="n">
        <v>1200</v>
      </c>
      <c r="O328" s="1" t="n">
        <v>906.25</v>
      </c>
      <c r="P328" s="1" t="s">
        <v>1286</v>
      </c>
      <c r="Q328" s="1" t="s">
        <v>175</v>
      </c>
      <c r="S328" s="1" t="s">
        <v>1287</v>
      </c>
      <c r="T328" s="1" t="s">
        <v>1274</v>
      </c>
      <c r="V328" s="1" t="s">
        <v>1293</v>
      </c>
      <c r="W328" s="1" t="s">
        <v>1284</v>
      </c>
    </row>
    <row r="329" customFormat="false" ht="15" hidden="false" customHeight="true" outlineLevel="0" collapsed="false">
      <c r="A329" s="1" t="n">
        <v>0.213694</v>
      </c>
      <c r="B329" s="1" t="s">
        <v>1131</v>
      </c>
      <c r="C329" s="1" t="n">
        <v>5615.5</v>
      </c>
      <c r="D329" s="1" t="n">
        <v>1200</v>
      </c>
      <c r="E329" s="1" t="n">
        <v>5615.5</v>
      </c>
      <c r="F329" s="172" t="n">
        <v>0.213694</v>
      </c>
      <c r="G329" s="1" t="s">
        <v>123</v>
      </c>
      <c r="H329" s="1" t="s">
        <v>139</v>
      </c>
      <c r="I329" s="1" t="n">
        <v>4884867502</v>
      </c>
      <c r="J329" s="1" t="s">
        <v>1244</v>
      </c>
      <c r="K329" s="1" t="s">
        <v>104</v>
      </c>
      <c r="L329" s="1" t="s">
        <v>139</v>
      </c>
      <c r="M329" s="1" t="n">
        <v>4884867502</v>
      </c>
      <c r="N329" s="1" t="n">
        <v>1200</v>
      </c>
      <c r="O329" s="1" t="n">
        <v>467.96</v>
      </c>
      <c r="P329" s="1" t="s">
        <v>1277</v>
      </c>
      <c r="Q329" s="1" t="s">
        <v>175</v>
      </c>
      <c r="S329" s="1" t="s">
        <v>1287</v>
      </c>
      <c r="T329" s="1" t="s">
        <v>1274</v>
      </c>
      <c r="V329" s="1" t="s">
        <v>1293</v>
      </c>
      <c r="W329" s="1" t="s">
        <v>1276</v>
      </c>
    </row>
    <row r="330" customFormat="false" ht="15" hidden="false" customHeight="true" outlineLevel="0" collapsed="false">
      <c r="A330" s="1" t="n">
        <v>0.102531</v>
      </c>
      <c r="B330" s="1" t="s">
        <v>1131</v>
      </c>
      <c r="C330" s="1" t="n">
        <v>11700</v>
      </c>
      <c r="D330" s="1" t="n">
        <v>1199.61</v>
      </c>
      <c r="E330" s="1" t="n">
        <v>11700</v>
      </c>
      <c r="F330" s="172" t="n">
        <v>0.102531</v>
      </c>
      <c r="G330" s="1" t="s">
        <v>120</v>
      </c>
      <c r="H330" s="1" t="s">
        <v>260</v>
      </c>
      <c r="I330" s="1" t="n">
        <v>21999780717</v>
      </c>
      <c r="J330" s="1" t="s">
        <v>1244</v>
      </c>
      <c r="K330" s="1" t="s">
        <v>120</v>
      </c>
      <c r="L330" s="1" t="s">
        <v>260</v>
      </c>
      <c r="M330" s="1" t="n">
        <v>21999780717</v>
      </c>
      <c r="N330" s="1" t="n">
        <v>1199.61</v>
      </c>
      <c r="O330" s="1" t="n">
        <v>975</v>
      </c>
      <c r="P330" s="1" t="s">
        <v>1286</v>
      </c>
      <c r="Q330" s="1" t="s">
        <v>100</v>
      </c>
      <c r="S330" s="1" t="s">
        <v>1004</v>
      </c>
      <c r="T330" s="1" t="s">
        <v>1274</v>
      </c>
      <c r="V330" s="1" t="s">
        <v>1293</v>
      </c>
      <c r="W330" s="1" t="s">
        <v>1284</v>
      </c>
    </row>
    <row r="331" customFormat="false" ht="15" hidden="false" customHeight="true" outlineLevel="0" collapsed="false">
      <c r="A331" s="1" t="n">
        <v>0.213309</v>
      </c>
      <c r="B331" s="1" t="s">
        <v>1131</v>
      </c>
      <c r="C331" s="1" t="n">
        <v>5615.5</v>
      </c>
      <c r="D331" s="1" t="n">
        <v>1197.84</v>
      </c>
      <c r="E331" s="1" t="n">
        <v>5615.5</v>
      </c>
      <c r="F331" s="172" t="n">
        <v>0.213309</v>
      </c>
      <c r="G331" s="1" t="s">
        <v>123</v>
      </c>
      <c r="H331" s="1" t="s">
        <v>114</v>
      </c>
      <c r="I331" s="1" t="n">
        <v>3433176069</v>
      </c>
      <c r="J331" s="1" t="s">
        <v>1244</v>
      </c>
      <c r="K331" s="1" t="s">
        <v>104</v>
      </c>
      <c r="L331" s="1" t="s">
        <v>114</v>
      </c>
      <c r="M331" s="1" t="n">
        <v>3433176069</v>
      </c>
      <c r="N331" s="1" t="n">
        <v>1197.84</v>
      </c>
      <c r="O331" s="1" t="n">
        <v>467.96</v>
      </c>
      <c r="P331" s="1" t="s">
        <v>1280</v>
      </c>
      <c r="Q331" s="1" t="s">
        <v>100</v>
      </c>
      <c r="S331" s="1" t="s">
        <v>1004</v>
      </c>
      <c r="T331" s="1" t="s">
        <v>1274</v>
      </c>
      <c r="V331" s="1" t="s">
        <v>1293</v>
      </c>
      <c r="W331" s="1" t="s">
        <v>1276</v>
      </c>
    </row>
    <row r="332" customFormat="false" ht="15" hidden="false" customHeight="true" outlineLevel="0" collapsed="false">
      <c r="A332" s="1" t="n">
        <v>0.111745</v>
      </c>
      <c r="B332" s="1" t="s">
        <v>1131</v>
      </c>
      <c r="C332" s="1" t="n">
        <v>10706.9</v>
      </c>
      <c r="D332" s="1" t="n">
        <v>1196.44</v>
      </c>
      <c r="E332" s="1" t="n">
        <v>10706.9</v>
      </c>
      <c r="F332" s="172" t="n">
        <v>0.111745</v>
      </c>
      <c r="G332" s="1" t="s">
        <v>66</v>
      </c>
      <c r="H332" s="1" t="s">
        <v>139</v>
      </c>
      <c r="I332" s="1" t="n">
        <v>47984339656</v>
      </c>
      <c r="J332" s="1" t="s">
        <v>1244</v>
      </c>
      <c r="K332" s="1" t="s">
        <v>66</v>
      </c>
      <c r="L332" s="1" t="s">
        <v>139</v>
      </c>
      <c r="M332" s="1" t="n">
        <v>47984339656</v>
      </c>
      <c r="N332" s="1" t="n">
        <v>1196.44</v>
      </c>
      <c r="O332" s="1" t="n">
        <v>892.24</v>
      </c>
      <c r="P332" s="1" t="s">
        <v>1286</v>
      </c>
      <c r="Q332" s="1" t="s">
        <v>175</v>
      </c>
      <c r="S332" s="1" t="s">
        <v>1278</v>
      </c>
      <c r="T332" s="1" t="s">
        <v>1274</v>
      </c>
      <c r="V332" s="1" t="s">
        <v>1293</v>
      </c>
      <c r="W332" s="1" t="s">
        <v>1284</v>
      </c>
    </row>
    <row r="333" customFormat="false" ht="15" hidden="false" customHeight="true" outlineLevel="0" collapsed="false">
      <c r="A333" s="1" t="n">
        <v>0.111745</v>
      </c>
      <c r="B333" s="1" t="s">
        <v>1131</v>
      </c>
      <c r="C333" s="1" t="n">
        <v>10706.9</v>
      </c>
      <c r="D333" s="1" t="n">
        <v>1196.44</v>
      </c>
      <c r="E333" s="1" t="n">
        <v>10706.9</v>
      </c>
      <c r="F333" s="172" t="n">
        <v>0.111745</v>
      </c>
      <c r="G333" s="1" t="s">
        <v>66</v>
      </c>
      <c r="H333" s="1" t="s">
        <v>139</v>
      </c>
      <c r="I333" s="1" t="n">
        <v>4899634376</v>
      </c>
      <c r="J333" s="1" t="s">
        <v>1244</v>
      </c>
      <c r="K333" s="1" t="s">
        <v>66</v>
      </c>
      <c r="L333" s="1" t="s">
        <v>139</v>
      </c>
      <c r="M333" s="1" t="n">
        <v>4899634376</v>
      </c>
      <c r="N333" s="1" t="n">
        <v>1196.44</v>
      </c>
      <c r="O333" s="1" t="n">
        <v>892.24</v>
      </c>
      <c r="P333" s="1" t="s">
        <v>1286</v>
      </c>
      <c r="Q333" s="1" t="s">
        <v>175</v>
      </c>
      <c r="S333" s="1" t="s">
        <v>1278</v>
      </c>
      <c r="T333" s="1" t="s">
        <v>1274</v>
      </c>
      <c r="V333" s="1" t="s">
        <v>1293</v>
      </c>
      <c r="W333" s="1" t="s">
        <v>1284</v>
      </c>
    </row>
    <row r="334" customFormat="false" ht="15" hidden="false" customHeight="true" outlineLevel="0" collapsed="false">
      <c r="A334" s="1" t="n">
        <v>0.21306</v>
      </c>
      <c r="B334" s="1" t="s">
        <v>1131</v>
      </c>
      <c r="C334" s="1" t="n">
        <v>5615.5</v>
      </c>
      <c r="D334" s="1" t="n">
        <v>1196.44</v>
      </c>
      <c r="E334" s="1" t="n">
        <v>5615.5</v>
      </c>
      <c r="F334" s="172" t="n">
        <v>0.21306</v>
      </c>
      <c r="G334" s="1" t="s">
        <v>123</v>
      </c>
      <c r="H334" s="1" t="s">
        <v>139</v>
      </c>
      <c r="I334" s="1" t="n">
        <v>48991061749</v>
      </c>
      <c r="J334" s="1" t="s">
        <v>1244</v>
      </c>
      <c r="K334" s="1" t="s">
        <v>104</v>
      </c>
      <c r="L334" s="1" t="s">
        <v>139</v>
      </c>
      <c r="M334" s="1" t="n">
        <v>48991061749</v>
      </c>
      <c r="N334" s="1" t="n">
        <v>1196.44</v>
      </c>
      <c r="O334" s="1" t="n">
        <v>467.96</v>
      </c>
      <c r="P334" s="1" t="s">
        <v>1277</v>
      </c>
      <c r="Q334" s="1" t="s">
        <v>108</v>
      </c>
      <c r="S334" s="1" t="s">
        <v>1278</v>
      </c>
      <c r="T334" s="1" t="s">
        <v>1274</v>
      </c>
      <c r="V334" s="1" t="s">
        <v>1293</v>
      </c>
      <c r="W334" s="1" t="s">
        <v>1276</v>
      </c>
    </row>
    <row r="335" customFormat="false" ht="15" hidden="false" customHeight="true" outlineLevel="0" collapsed="false">
      <c r="A335" s="1" t="n">
        <v>0.21306</v>
      </c>
      <c r="B335" s="1" t="s">
        <v>1131</v>
      </c>
      <c r="C335" s="1" t="n">
        <v>5615.5</v>
      </c>
      <c r="D335" s="1" t="n">
        <v>1196.44</v>
      </c>
      <c r="E335" s="1" t="n">
        <v>5615.5</v>
      </c>
      <c r="F335" s="172" t="n">
        <v>0.21306</v>
      </c>
      <c r="G335" s="1" t="s">
        <v>123</v>
      </c>
      <c r="H335" s="1" t="s">
        <v>139</v>
      </c>
      <c r="I335" s="1" t="n">
        <v>47988853938</v>
      </c>
      <c r="J335" s="1" t="s">
        <v>1244</v>
      </c>
      <c r="K335" s="1" t="s">
        <v>104</v>
      </c>
      <c r="L335" s="1" t="s">
        <v>139</v>
      </c>
      <c r="M335" s="1" t="n">
        <v>47988853938</v>
      </c>
      <c r="N335" s="1" t="n">
        <v>1196.44</v>
      </c>
      <c r="O335" s="1" t="n">
        <v>467.96</v>
      </c>
      <c r="P335" s="1" t="s">
        <v>1277</v>
      </c>
      <c r="Q335" s="1" t="s">
        <v>108</v>
      </c>
      <c r="S335" s="1" t="s">
        <v>1278</v>
      </c>
      <c r="T335" s="1" t="s">
        <v>1274</v>
      </c>
      <c r="V335" s="1" t="s">
        <v>1293</v>
      </c>
      <c r="W335" s="1" t="s">
        <v>1276</v>
      </c>
    </row>
    <row r="336" customFormat="false" ht="15" hidden="false" customHeight="true" outlineLevel="0" collapsed="false">
      <c r="A336" s="1" t="n">
        <v>0.111745</v>
      </c>
      <c r="B336" s="1" t="s">
        <v>1131</v>
      </c>
      <c r="C336" s="1" t="n">
        <v>10706.9</v>
      </c>
      <c r="D336" s="1" t="n">
        <v>1196.44</v>
      </c>
      <c r="E336" s="1" t="n">
        <v>10706.9</v>
      </c>
      <c r="F336" s="172" t="n">
        <v>0.111745</v>
      </c>
      <c r="G336" s="1" t="s">
        <v>66</v>
      </c>
      <c r="H336" s="1" t="s">
        <v>139</v>
      </c>
      <c r="I336" s="1" t="n">
        <v>47988202632</v>
      </c>
      <c r="J336" s="1" t="s">
        <v>1244</v>
      </c>
      <c r="K336" s="1" t="s">
        <v>66</v>
      </c>
      <c r="L336" s="1" t="s">
        <v>139</v>
      </c>
      <c r="M336" s="1" t="n">
        <v>47988202632</v>
      </c>
      <c r="N336" s="1" t="n">
        <v>1196.44</v>
      </c>
      <c r="O336" s="1" t="n">
        <v>892.24</v>
      </c>
      <c r="P336" s="1" t="s">
        <v>1286</v>
      </c>
      <c r="Q336" s="1" t="s">
        <v>175</v>
      </c>
      <c r="S336" s="1" t="s">
        <v>1278</v>
      </c>
      <c r="T336" s="1" t="s">
        <v>1274</v>
      </c>
      <c r="V336" s="1" t="s">
        <v>1293</v>
      </c>
      <c r="W336" s="1" t="s">
        <v>1284</v>
      </c>
    </row>
    <row r="337" customFormat="false" ht="15" hidden="false" customHeight="true" outlineLevel="0" collapsed="false">
      <c r="A337" s="1" t="n">
        <v>0.111745</v>
      </c>
      <c r="B337" s="1" t="s">
        <v>1131</v>
      </c>
      <c r="C337" s="1" t="n">
        <v>10706.9</v>
      </c>
      <c r="D337" s="1" t="n">
        <v>1196.44</v>
      </c>
      <c r="E337" s="1" t="n">
        <v>10706.9</v>
      </c>
      <c r="F337" s="172" t="n">
        <v>0.111745</v>
      </c>
      <c r="G337" s="1" t="s">
        <v>66</v>
      </c>
      <c r="H337" s="1" t="s">
        <v>139</v>
      </c>
      <c r="I337" s="1" t="n">
        <v>47991693934</v>
      </c>
      <c r="J337" s="1" t="s">
        <v>1244</v>
      </c>
      <c r="K337" s="1" t="s">
        <v>66</v>
      </c>
      <c r="L337" s="1" t="s">
        <v>139</v>
      </c>
      <c r="M337" s="1" t="n">
        <v>47991693934</v>
      </c>
      <c r="N337" s="1" t="n">
        <v>1196.44</v>
      </c>
      <c r="O337" s="1" t="n">
        <v>892.24</v>
      </c>
      <c r="P337" s="1" t="s">
        <v>1286</v>
      </c>
      <c r="Q337" s="1" t="s">
        <v>175</v>
      </c>
      <c r="S337" s="1" t="s">
        <v>1287</v>
      </c>
      <c r="T337" s="1" t="s">
        <v>1274</v>
      </c>
      <c r="V337" s="1" t="s">
        <v>1293</v>
      </c>
      <c r="W337" s="1" t="s">
        <v>1284</v>
      </c>
    </row>
    <row r="338" customFormat="false" ht="15" hidden="false" customHeight="true" outlineLevel="0" collapsed="false">
      <c r="A338" s="1" t="n">
        <v>0.212038</v>
      </c>
      <c r="B338" s="1" t="s">
        <v>1131</v>
      </c>
      <c r="C338" s="1" t="n">
        <v>5615.5</v>
      </c>
      <c r="D338" s="1" t="n">
        <v>1190.7</v>
      </c>
      <c r="E338" s="1" t="n">
        <v>5615.5</v>
      </c>
      <c r="F338" s="172" t="n">
        <v>0.212038</v>
      </c>
      <c r="G338" s="1" t="s">
        <v>123</v>
      </c>
      <c r="H338" s="1" t="s">
        <v>196</v>
      </c>
      <c r="I338" s="1" t="n">
        <v>55374460775</v>
      </c>
      <c r="J338" s="1" t="s">
        <v>1244</v>
      </c>
      <c r="K338" s="1" t="s">
        <v>104</v>
      </c>
      <c r="L338" s="1" t="s">
        <v>196</v>
      </c>
      <c r="M338" s="1" t="n">
        <v>55374460775</v>
      </c>
      <c r="N338" s="1" t="n">
        <v>1190.7</v>
      </c>
      <c r="O338" s="1" t="n">
        <v>467.96</v>
      </c>
      <c r="P338" s="1" t="s">
        <v>1277</v>
      </c>
      <c r="Q338" s="1" t="s">
        <v>108</v>
      </c>
      <c r="S338" s="1" t="s">
        <v>1278</v>
      </c>
      <c r="T338" s="1" t="s">
        <v>1279</v>
      </c>
      <c r="V338" s="1" t="s">
        <v>1293</v>
      </c>
      <c r="W338" s="1" t="s">
        <v>1276</v>
      </c>
    </row>
    <row r="339" customFormat="false" ht="15" hidden="false" customHeight="true" outlineLevel="0" collapsed="false">
      <c r="A339" s="1" t="n">
        <v>0.211782</v>
      </c>
      <c r="B339" s="1" t="s">
        <v>1131</v>
      </c>
      <c r="C339" s="1" t="n">
        <v>5615.5</v>
      </c>
      <c r="D339" s="1" t="n">
        <v>1189.26</v>
      </c>
      <c r="E339" s="1" t="n">
        <v>5615.5</v>
      </c>
      <c r="F339" s="172" t="n">
        <v>0.211782</v>
      </c>
      <c r="G339" s="1" t="s">
        <v>123</v>
      </c>
      <c r="H339" s="1" t="s">
        <v>114</v>
      </c>
      <c r="I339" s="1" t="n">
        <v>31985556502</v>
      </c>
      <c r="J339" s="1" t="s">
        <v>1244</v>
      </c>
      <c r="K339" s="1" t="s">
        <v>104</v>
      </c>
      <c r="L339" s="1" t="s">
        <v>114</v>
      </c>
      <c r="M339" s="1" t="n">
        <v>31985556502</v>
      </c>
      <c r="N339" s="1" t="n">
        <v>1189.26</v>
      </c>
      <c r="O339" s="1" t="n">
        <v>467.96</v>
      </c>
      <c r="P339" s="1" t="s">
        <v>1280</v>
      </c>
      <c r="Q339" s="1" t="s">
        <v>100</v>
      </c>
      <c r="S339" s="1" t="s">
        <v>1004</v>
      </c>
      <c r="T339" s="1" t="s">
        <v>1274</v>
      </c>
      <c r="V339" s="1" t="s">
        <v>1293</v>
      </c>
      <c r="W339" s="1" t="s">
        <v>1276</v>
      </c>
    </row>
    <row r="340" customFormat="false" ht="15" hidden="false" customHeight="true" outlineLevel="0" collapsed="false">
      <c r="A340" s="1" t="n">
        <v>0.211217</v>
      </c>
      <c r="B340" s="1" t="s">
        <v>1131</v>
      </c>
      <c r="C340" s="1" t="n">
        <v>5615.5</v>
      </c>
      <c r="D340" s="1" t="n">
        <v>1186.09</v>
      </c>
      <c r="E340" s="1" t="n">
        <v>5615.5</v>
      </c>
      <c r="F340" s="172" t="n">
        <v>0.211217</v>
      </c>
      <c r="G340" s="1" t="s">
        <v>123</v>
      </c>
      <c r="H340" s="1" t="s">
        <v>260</v>
      </c>
      <c r="I340" s="1" t="n">
        <v>21982570331</v>
      </c>
      <c r="J340" s="1" t="s">
        <v>1244</v>
      </c>
      <c r="K340" s="1" t="s">
        <v>104</v>
      </c>
      <c r="L340" s="1" t="s">
        <v>260</v>
      </c>
      <c r="M340" s="1" t="n">
        <v>21982570331</v>
      </c>
      <c r="N340" s="1" t="n">
        <v>1186.09</v>
      </c>
      <c r="O340" s="1" t="n">
        <v>467.96</v>
      </c>
      <c r="P340" s="1" t="s">
        <v>1280</v>
      </c>
      <c r="Q340" s="1" t="s">
        <v>100</v>
      </c>
      <c r="S340" s="1" t="s">
        <v>1004</v>
      </c>
      <c r="T340" s="1" t="s">
        <v>1274</v>
      </c>
      <c r="V340" s="1" t="s">
        <v>1293</v>
      </c>
      <c r="W340" s="1" t="s">
        <v>1276</v>
      </c>
    </row>
    <row r="341" customFormat="false" ht="15" hidden="false" customHeight="true" outlineLevel="0" collapsed="false">
      <c r="A341" s="1" t="n">
        <v>0.180343</v>
      </c>
      <c r="B341" s="1" t="s">
        <v>1131</v>
      </c>
      <c r="C341" s="1" t="n">
        <v>6566.04</v>
      </c>
      <c r="D341" s="1" t="n">
        <v>1184.14</v>
      </c>
      <c r="E341" s="1" t="n">
        <v>6566.04</v>
      </c>
      <c r="F341" s="172" t="n">
        <v>0.180343</v>
      </c>
      <c r="G341" s="1" t="s">
        <v>110</v>
      </c>
      <c r="H341" s="1" t="s">
        <v>139</v>
      </c>
      <c r="I341" s="1" t="n">
        <v>51985386315</v>
      </c>
      <c r="J341" s="1" t="s">
        <v>1244</v>
      </c>
      <c r="K341" s="1" t="s">
        <v>110</v>
      </c>
      <c r="L341" s="1" t="s">
        <v>139</v>
      </c>
      <c r="M341" s="1" t="n">
        <v>51985386315</v>
      </c>
      <c r="N341" s="1" t="n">
        <v>1184.14</v>
      </c>
      <c r="O341" s="1" t="n">
        <v>547.17</v>
      </c>
      <c r="P341" s="1" t="s">
        <v>1286</v>
      </c>
      <c r="Q341" s="1" t="s">
        <v>184</v>
      </c>
      <c r="S341" s="1" t="s">
        <v>1278</v>
      </c>
      <c r="T341" s="1" t="s">
        <v>1274</v>
      </c>
      <c r="V341" s="1" t="s">
        <v>1293</v>
      </c>
      <c r="W341" s="1" t="s">
        <v>1284</v>
      </c>
    </row>
    <row r="342" customFormat="false" ht="15" hidden="false" customHeight="true" outlineLevel="0" collapsed="false">
      <c r="A342" s="1" t="n">
        <v>0.210825</v>
      </c>
      <c r="B342" s="1" t="s">
        <v>1131</v>
      </c>
      <c r="C342" s="1" t="n">
        <v>5615.5</v>
      </c>
      <c r="D342" s="1" t="n">
        <v>1183.89</v>
      </c>
      <c r="E342" s="1" t="n">
        <v>5615.5</v>
      </c>
      <c r="F342" s="172" t="n">
        <v>0.210825</v>
      </c>
      <c r="G342" s="1" t="s">
        <v>123</v>
      </c>
      <c r="H342" s="1" t="s">
        <v>196</v>
      </c>
      <c r="I342" s="1" t="n">
        <v>54984141222</v>
      </c>
      <c r="J342" s="1" t="s">
        <v>1244</v>
      </c>
      <c r="K342" s="1" t="s">
        <v>104</v>
      </c>
      <c r="L342" s="1" t="s">
        <v>196</v>
      </c>
      <c r="M342" s="1" t="n">
        <v>54984141222</v>
      </c>
      <c r="N342" s="1" t="n">
        <v>1183.89</v>
      </c>
      <c r="O342" s="1" t="n">
        <v>467.96</v>
      </c>
      <c r="P342" s="1" t="s">
        <v>1277</v>
      </c>
      <c r="Q342" s="1" t="s">
        <v>108</v>
      </c>
      <c r="S342" s="1" t="s">
        <v>1278</v>
      </c>
      <c r="T342" s="1" t="s">
        <v>1279</v>
      </c>
      <c r="V342" s="1" t="s">
        <v>1293</v>
      </c>
      <c r="W342" s="1" t="s">
        <v>1276</v>
      </c>
    </row>
    <row r="343" customFormat="false" ht="15" hidden="false" customHeight="true" outlineLevel="0" collapsed="false">
      <c r="A343" s="1" t="n">
        <v>0.210624</v>
      </c>
      <c r="B343" s="1" t="s">
        <v>1131</v>
      </c>
      <c r="C343" s="1" t="n">
        <v>5615.5</v>
      </c>
      <c r="D343" s="1" t="n">
        <v>1182.76</v>
      </c>
      <c r="E343" s="1" t="n">
        <v>5615.5</v>
      </c>
      <c r="F343" s="172" t="n">
        <v>0.210624</v>
      </c>
      <c r="G343" s="1" t="s">
        <v>123</v>
      </c>
      <c r="H343" s="1" t="s">
        <v>119</v>
      </c>
      <c r="I343" s="1" t="n">
        <v>1199513202</v>
      </c>
      <c r="J343" s="1" t="s">
        <v>1244</v>
      </c>
      <c r="K343" s="1" t="s">
        <v>104</v>
      </c>
      <c r="L343" s="1" t="s">
        <v>119</v>
      </c>
      <c r="M343" s="1" t="n">
        <v>1199513202</v>
      </c>
      <c r="N343" s="1" t="n">
        <v>1182.76</v>
      </c>
      <c r="O343" s="1" t="n">
        <v>467.96</v>
      </c>
      <c r="P343" s="1" t="s">
        <v>1285</v>
      </c>
      <c r="Q343" s="1" t="s">
        <v>100</v>
      </c>
      <c r="S343" s="1" t="s">
        <v>1278</v>
      </c>
      <c r="T343" s="1" t="s">
        <v>1274</v>
      </c>
      <c r="V343" s="1" t="s">
        <v>1293</v>
      </c>
      <c r="W343" s="1" t="s">
        <v>1276</v>
      </c>
    </row>
    <row r="344" customFormat="false" ht="15" hidden="false" customHeight="true" outlineLevel="0" collapsed="false">
      <c r="A344" s="1" t="n">
        <v>0.209848</v>
      </c>
      <c r="B344" s="1" t="s">
        <v>1131</v>
      </c>
      <c r="C344" s="1" t="n">
        <v>5615.5</v>
      </c>
      <c r="D344" s="1" t="n">
        <v>1178.4</v>
      </c>
      <c r="E344" s="1" t="n">
        <v>5615.5</v>
      </c>
      <c r="F344" s="172" t="n">
        <v>0.209848</v>
      </c>
      <c r="G344" s="1" t="s">
        <v>123</v>
      </c>
      <c r="H344" s="1" t="s">
        <v>119</v>
      </c>
      <c r="I344" s="1" t="n">
        <v>15981727787</v>
      </c>
      <c r="J344" s="1" t="s">
        <v>1244</v>
      </c>
      <c r="K344" s="1" t="s">
        <v>104</v>
      </c>
      <c r="L344" s="1" t="s">
        <v>119</v>
      </c>
      <c r="M344" s="1" t="n">
        <v>15981727787</v>
      </c>
      <c r="N344" s="1" t="n">
        <v>1178.4</v>
      </c>
      <c r="O344" s="1" t="n">
        <v>467.96</v>
      </c>
      <c r="P344" s="1" t="s">
        <v>1281</v>
      </c>
      <c r="Q344" s="1" t="s">
        <v>100</v>
      </c>
      <c r="S344" s="1" t="s">
        <v>1004</v>
      </c>
      <c r="T344" s="1" t="s">
        <v>1274</v>
      </c>
      <c r="V344" s="1" t="s">
        <v>1293</v>
      </c>
      <c r="W344" s="1" t="s">
        <v>1276</v>
      </c>
    </row>
    <row r="345" customFormat="false" ht="15" hidden="false" customHeight="true" outlineLevel="0" collapsed="false">
      <c r="A345" s="1" t="n">
        <v>0.179231</v>
      </c>
      <c r="B345" s="1" t="s">
        <v>1131</v>
      </c>
      <c r="C345" s="1" t="n">
        <v>6566.04</v>
      </c>
      <c r="D345" s="1" t="n">
        <v>1176.84</v>
      </c>
      <c r="E345" s="1" t="n">
        <v>6566.04</v>
      </c>
      <c r="F345" s="172" t="n">
        <v>0.179231</v>
      </c>
      <c r="G345" s="1" t="s">
        <v>110</v>
      </c>
      <c r="H345" s="1" t="s">
        <v>109</v>
      </c>
      <c r="I345" s="1" t="n">
        <v>4399325611</v>
      </c>
      <c r="J345" s="1" t="s">
        <v>1244</v>
      </c>
      <c r="K345" s="1" t="s">
        <v>110</v>
      </c>
      <c r="L345" s="1" t="s">
        <v>109</v>
      </c>
      <c r="M345" s="1" t="n">
        <v>4399325611</v>
      </c>
      <c r="N345" s="1" t="n">
        <v>1176.84</v>
      </c>
      <c r="O345" s="1" t="n">
        <v>547.17</v>
      </c>
      <c r="P345" s="1" t="s">
        <v>1286</v>
      </c>
      <c r="Q345" s="1" t="s">
        <v>184</v>
      </c>
      <c r="S345" s="1" t="s">
        <v>1278</v>
      </c>
      <c r="T345" s="1" t="s">
        <v>1274</v>
      </c>
      <c r="V345" s="1" t="s">
        <v>1293</v>
      </c>
      <c r="W345" s="1" t="s">
        <v>1284</v>
      </c>
    </row>
    <row r="346" customFormat="false" ht="15" hidden="false" customHeight="true" outlineLevel="0" collapsed="false">
      <c r="A346" s="1" t="n">
        <v>0.209369</v>
      </c>
      <c r="B346" s="1" t="s">
        <v>1131</v>
      </c>
      <c r="C346" s="1" t="n">
        <v>5615.5</v>
      </c>
      <c r="D346" s="1" t="n">
        <v>1175.71</v>
      </c>
      <c r="E346" s="1" t="n">
        <v>5615.5</v>
      </c>
      <c r="F346" s="172" t="n">
        <v>0.209369</v>
      </c>
      <c r="G346" s="1" t="s">
        <v>123</v>
      </c>
      <c r="H346" s="1" t="s">
        <v>187</v>
      </c>
      <c r="I346" s="1" t="n">
        <v>8192761730</v>
      </c>
      <c r="J346" s="1" t="s">
        <v>1244</v>
      </c>
      <c r="K346" s="1" t="s">
        <v>104</v>
      </c>
      <c r="L346" s="1" t="s">
        <v>187</v>
      </c>
      <c r="M346" s="1" t="n">
        <v>8192761730</v>
      </c>
      <c r="N346" s="1" t="n">
        <v>1175.71</v>
      </c>
      <c r="O346" s="1" t="n">
        <v>467.96</v>
      </c>
      <c r="P346" s="1" t="s">
        <v>1282</v>
      </c>
      <c r="Q346" s="1" t="s">
        <v>100</v>
      </c>
      <c r="S346" s="1" t="s">
        <v>1004</v>
      </c>
      <c r="T346" s="1" t="s">
        <v>1274</v>
      </c>
      <c r="V346" s="1" t="s">
        <v>1293</v>
      </c>
      <c r="W346" s="1" t="s">
        <v>1276</v>
      </c>
    </row>
    <row r="347" customFormat="false" ht="15" hidden="false" customHeight="true" outlineLevel="0" collapsed="false">
      <c r="A347" s="1" t="n">
        <v>0.209171</v>
      </c>
      <c r="B347" s="1" t="s">
        <v>1131</v>
      </c>
      <c r="C347" s="1" t="n">
        <v>5615.5</v>
      </c>
      <c r="D347" s="1" t="n">
        <v>1174.6</v>
      </c>
      <c r="E347" s="1" t="n">
        <v>5615.5</v>
      </c>
      <c r="F347" s="172" t="n">
        <v>0.209171</v>
      </c>
      <c r="G347" s="1" t="s">
        <v>123</v>
      </c>
      <c r="H347" s="1" t="s">
        <v>347</v>
      </c>
      <c r="I347" s="1" t="n">
        <v>8688936533</v>
      </c>
      <c r="J347" s="1" t="s">
        <v>1244</v>
      </c>
      <c r="K347" s="1" t="s">
        <v>104</v>
      </c>
      <c r="L347" s="1" t="s">
        <v>347</v>
      </c>
      <c r="M347" s="1" t="n">
        <v>8688936533</v>
      </c>
      <c r="N347" s="1" t="n">
        <v>1174.6</v>
      </c>
      <c r="O347" s="1" t="n">
        <v>467.96</v>
      </c>
      <c r="P347" s="1" t="s">
        <v>1282</v>
      </c>
      <c r="Q347" s="1" t="s">
        <v>108</v>
      </c>
      <c r="S347" s="1" t="s">
        <v>1278</v>
      </c>
      <c r="T347" s="1" t="s">
        <v>1279</v>
      </c>
      <c r="V347" s="1" t="s">
        <v>1293</v>
      </c>
      <c r="W347" s="1" t="s">
        <v>1276</v>
      </c>
    </row>
    <row r="348" customFormat="false" ht="15" hidden="false" customHeight="true" outlineLevel="0" collapsed="false">
      <c r="A348" s="1" t="n">
        <v>0.114622</v>
      </c>
      <c r="B348" s="1" t="s">
        <v>1131</v>
      </c>
      <c r="C348" s="1" t="n">
        <v>10200</v>
      </c>
      <c r="D348" s="1" t="n">
        <v>1169.14</v>
      </c>
      <c r="E348" s="1" t="n">
        <v>10200</v>
      </c>
      <c r="F348" s="172" t="n">
        <v>0.114622</v>
      </c>
      <c r="G348" s="1" t="s">
        <v>115</v>
      </c>
      <c r="H348" s="1" t="s">
        <v>101</v>
      </c>
      <c r="I348" s="1" t="n">
        <v>6696180366</v>
      </c>
      <c r="J348" s="1" t="s">
        <v>1244</v>
      </c>
      <c r="K348" s="1" t="s">
        <v>115</v>
      </c>
      <c r="L348" s="1" t="s">
        <v>101</v>
      </c>
      <c r="M348" s="1" t="n">
        <v>6696180366</v>
      </c>
      <c r="N348" s="1" t="n">
        <v>1169.14</v>
      </c>
      <c r="O348" s="1" t="n">
        <v>850</v>
      </c>
      <c r="P348" s="1" t="s">
        <v>1286</v>
      </c>
      <c r="Q348" s="1" t="s">
        <v>184</v>
      </c>
      <c r="S348" s="1" t="s">
        <v>1278</v>
      </c>
      <c r="T348" s="1" t="s">
        <v>1274</v>
      </c>
      <c r="V348" s="1" t="s">
        <v>1293</v>
      </c>
      <c r="W348" s="1" t="s">
        <v>1284</v>
      </c>
    </row>
    <row r="349" customFormat="false" ht="15" hidden="false" customHeight="true" outlineLevel="0" collapsed="false">
      <c r="A349" s="1" t="n">
        <v>0.207871</v>
      </c>
      <c r="B349" s="1" t="s">
        <v>1131</v>
      </c>
      <c r="C349" s="1" t="n">
        <v>5615.5</v>
      </c>
      <c r="D349" s="1" t="n">
        <v>1167.3</v>
      </c>
      <c r="E349" s="1" t="n">
        <v>5615.5</v>
      </c>
      <c r="F349" s="172" t="n">
        <v>0.207871</v>
      </c>
      <c r="G349" s="1" t="s">
        <v>123</v>
      </c>
      <c r="H349" s="1" t="s">
        <v>311</v>
      </c>
      <c r="I349" s="1" t="n">
        <v>6182406973</v>
      </c>
      <c r="J349" s="1" t="s">
        <v>1244</v>
      </c>
      <c r="K349" s="1" t="s">
        <v>104</v>
      </c>
      <c r="L349" s="1" t="s">
        <v>311</v>
      </c>
      <c r="M349" s="1" t="n">
        <v>6182406973</v>
      </c>
      <c r="N349" s="1" t="n">
        <v>1167.3</v>
      </c>
      <c r="O349" s="1" t="n">
        <v>467.96</v>
      </c>
      <c r="P349" s="1" t="s">
        <v>1273</v>
      </c>
      <c r="Q349" s="1" t="s">
        <v>100</v>
      </c>
      <c r="S349" s="1" t="s">
        <v>1004</v>
      </c>
      <c r="T349" s="1" t="s">
        <v>1274</v>
      </c>
      <c r="V349" s="1" t="s">
        <v>1293</v>
      </c>
      <c r="W349" s="1" t="s">
        <v>1276</v>
      </c>
    </row>
    <row r="350" customFormat="false" ht="15" hidden="false" customHeight="true" outlineLevel="0" collapsed="false">
      <c r="A350" s="1" t="n">
        <v>0.206904</v>
      </c>
      <c r="B350" s="1" t="s">
        <v>1131</v>
      </c>
      <c r="C350" s="1" t="n">
        <v>5615.5</v>
      </c>
      <c r="D350" s="1" t="n">
        <v>1161.87</v>
      </c>
      <c r="E350" s="1" t="n">
        <v>5615.5</v>
      </c>
      <c r="F350" s="172" t="n">
        <v>0.206904</v>
      </c>
      <c r="G350" s="1" t="s">
        <v>123</v>
      </c>
      <c r="H350" s="1" t="s">
        <v>187</v>
      </c>
      <c r="I350" s="1" t="n">
        <v>81987341303</v>
      </c>
      <c r="J350" s="1" t="s">
        <v>1244</v>
      </c>
      <c r="K350" s="1" t="s">
        <v>104</v>
      </c>
      <c r="L350" s="1" t="s">
        <v>187</v>
      </c>
      <c r="M350" s="1" t="n">
        <v>81987341303</v>
      </c>
      <c r="N350" s="1" t="n">
        <v>1161.87</v>
      </c>
      <c r="O350" s="1" t="n">
        <v>467.96</v>
      </c>
      <c r="P350" s="1" t="s">
        <v>1282</v>
      </c>
      <c r="Q350" s="1" t="s">
        <v>100</v>
      </c>
      <c r="S350" s="1" t="s">
        <v>1004</v>
      </c>
      <c r="T350" s="1" t="s">
        <v>1274</v>
      </c>
      <c r="V350" s="1" t="s">
        <v>1293</v>
      </c>
      <c r="W350" s="1" t="s">
        <v>1276</v>
      </c>
    </row>
    <row r="351" customFormat="false" ht="15" hidden="false" customHeight="true" outlineLevel="0" collapsed="false">
      <c r="A351" s="1" t="n">
        <v>0.205946</v>
      </c>
      <c r="B351" s="1" t="s">
        <v>1131</v>
      </c>
      <c r="C351" s="1" t="n">
        <v>5615.5</v>
      </c>
      <c r="D351" s="1" t="n">
        <v>1156.49</v>
      </c>
      <c r="E351" s="1" t="n">
        <v>5615.5</v>
      </c>
      <c r="F351" s="172" t="n">
        <v>0.205946</v>
      </c>
      <c r="G351" s="1" t="s">
        <v>123</v>
      </c>
      <c r="H351" s="1" t="s">
        <v>196</v>
      </c>
      <c r="I351" s="1" t="n">
        <v>54999740606</v>
      </c>
      <c r="J351" s="1" t="s">
        <v>1244</v>
      </c>
      <c r="K351" s="1" t="s">
        <v>104</v>
      </c>
      <c r="L351" s="1" t="s">
        <v>196</v>
      </c>
      <c r="M351" s="1" t="n">
        <v>54999740606</v>
      </c>
      <c r="N351" s="1" t="n">
        <v>1156.49</v>
      </c>
      <c r="O351" s="1" t="n">
        <v>467.96</v>
      </c>
      <c r="P351" s="1" t="s">
        <v>1277</v>
      </c>
      <c r="Q351" s="1" t="s">
        <v>108</v>
      </c>
      <c r="S351" s="1" t="s">
        <v>1278</v>
      </c>
      <c r="T351" s="1" t="s">
        <v>1279</v>
      </c>
      <c r="V351" s="1" t="s">
        <v>1293</v>
      </c>
      <c r="W351" s="1" t="s">
        <v>1276</v>
      </c>
    </row>
    <row r="352" customFormat="false" ht="15" hidden="false" customHeight="true" outlineLevel="0" collapsed="false">
      <c r="A352" s="1" t="n">
        <v>0.203097</v>
      </c>
      <c r="B352" s="1" t="s">
        <v>1131</v>
      </c>
      <c r="C352" s="1" t="n">
        <v>5615.5</v>
      </c>
      <c r="D352" s="1" t="n">
        <v>1140.49</v>
      </c>
      <c r="E352" s="1" t="n">
        <v>5615.5</v>
      </c>
      <c r="F352" s="172" t="n">
        <v>0.203097</v>
      </c>
      <c r="G352" s="1" t="s">
        <v>123</v>
      </c>
      <c r="H352" s="1" t="s">
        <v>109</v>
      </c>
      <c r="I352" s="1" t="n">
        <v>4191464469</v>
      </c>
      <c r="J352" s="1" t="s">
        <v>1244</v>
      </c>
      <c r="K352" s="1" t="s">
        <v>104</v>
      </c>
      <c r="L352" s="1" t="s">
        <v>109</v>
      </c>
      <c r="M352" s="1" t="n">
        <v>4191464469</v>
      </c>
      <c r="N352" s="1" t="n">
        <v>1140.49</v>
      </c>
      <c r="O352" s="1" t="n">
        <v>467.96</v>
      </c>
      <c r="P352" s="1" t="s">
        <v>1277</v>
      </c>
      <c r="Q352" s="1" t="s">
        <v>108</v>
      </c>
      <c r="S352" s="1" t="s">
        <v>1278</v>
      </c>
      <c r="T352" s="1" t="s">
        <v>1274</v>
      </c>
      <c r="V352" s="1" t="s">
        <v>1293</v>
      </c>
      <c r="W352" s="1" t="s">
        <v>1276</v>
      </c>
    </row>
    <row r="353" customFormat="false" ht="15" hidden="false" customHeight="true" outlineLevel="0" collapsed="false">
      <c r="A353" s="1" t="n">
        <v>0.104114</v>
      </c>
      <c r="B353" s="1" t="s">
        <v>1131</v>
      </c>
      <c r="C353" s="1" t="n">
        <v>10875</v>
      </c>
      <c r="D353" s="1" t="n">
        <v>1132.24</v>
      </c>
      <c r="E353" s="1" t="n">
        <v>10875</v>
      </c>
      <c r="F353" s="172" t="n">
        <v>0.104114</v>
      </c>
      <c r="G353" s="1" t="s">
        <v>102</v>
      </c>
      <c r="H353" s="1" t="s">
        <v>139</v>
      </c>
      <c r="I353" s="1" t="n">
        <v>4899981463</v>
      </c>
      <c r="J353" s="1" t="s">
        <v>1244</v>
      </c>
      <c r="K353" s="1" t="s">
        <v>102</v>
      </c>
      <c r="L353" s="1" t="s">
        <v>139</v>
      </c>
      <c r="M353" s="1" t="n">
        <v>4899981463</v>
      </c>
      <c r="N353" s="1" t="n">
        <v>1132.24</v>
      </c>
      <c r="O353" s="1" t="n">
        <v>906.25</v>
      </c>
      <c r="P353" s="1" t="s">
        <v>1286</v>
      </c>
      <c r="Q353" s="1" t="s">
        <v>175</v>
      </c>
      <c r="S353" s="1" t="s">
        <v>1287</v>
      </c>
      <c r="T353" s="1" t="s">
        <v>1274</v>
      </c>
      <c r="V353" s="1" t="s">
        <v>1293</v>
      </c>
      <c r="W353" s="1" t="s">
        <v>1284</v>
      </c>
    </row>
    <row r="354" customFormat="false" ht="15" hidden="false" customHeight="true" outlineLevel="0" collapsed="false">
      <c r="A354" s="1" t="n">
        <v>0.200292</v>
      </c>
      <c r="B354" s="1" t="s">
        <v>1131</v>
      </c>
      <c r="C354" s="1" t="n">
        <v>5615.5</v>
      </c>
      <c r="D354" s="1" t="n">
        <v>1124.74</v>
      </c>
      <c r="E354" s="1" t="n">
        <v>5615.5</v>
      </c>
      <c r="F354" s="172" t="n">
        <v>0.200292</v>
      </c>
      <c r="G354" s="1" t="s">
        <v>123</v>
      </c>
      <c r="H354" s="1" t="s">
        <v>114</v>
      </c>
      <c r="I354" s="1" t="n">
        <v>32999917795</v>
      </c>
      <c r="J354" s="1" t="s">
        <v>1244</v>
      </c>
      <c r="K354" s="1" t="s">
        <v>104</v>
      </c>
      <c r="L354" s="1" t="s">
        <v>114</v>
      </c>
      <c r="M354" s="1" t="n">
        <v>32999917795</v>
      </c>
      <c r="N354" s="1" t="n">
        <v>1124.74</v>
      </c>
      <c r="O354" s="1" t="n">
        <v>467.96</v>
      </c>
      <c r="P354" s="1" t="s">
        <v>1280</v>
      </c>
      <c r="Q354" s="1" t="s">
        <v>100</v>
      </c>
      <c r="S354" s="1" t="s">
        <v>1278</v>
      </c>
      <c r="T354" s="1" t="s">
        <v>1274</v>
      </c>
      <c r="V354" s="1" t="s">
        <v>1293</v>
      </c>
      <c r="W354" s="1" t="s">
        <v>1276</v>
      </c>
    </row>
    <row r="355" customFormat="false" ht="15" hidden="false" customHeight="true" outlineLevel="0" collapsed="false">
      <c r="A355" s="1" t="n">
        <v>0.197168</v>
      </c>
      <c r="B355" s="1" t="s">
        <v>1131</v>
      </c>
      <c r="C355" s="1" t="n">
        <v>5615.5</v>
      </c>
      <c r="D355" s="1" t="n">
        <v>1107.2</v>
      </c>
      <c r="E355" s="1" t="n">
        <v>5615.5</v>
      </c>
      <c r="F355" s="172" t="n">
        <v>0.197168</v>
      </c>
      <c r="G355" s="1" t="s">
        <v>123</v>
      </c>
      <c r="H355" s="1" t="s">
        <v>139</v>
      </c>
      <c r="I355" s="1" t="n">
        <v>48998189444</v>
      </c>
      <c r="J355" s="1" t="s">
        <v>1244</v>
      </c>
      <c r="K355" s="1" t="s">
        <v>104</v>
      </c>
      <c r="L355" s="1" t="s">
        <v>139</v>
      </c>
      <c r="M355" s="1" t="n">
        <v>48998189444</v>
      </c>
      <c r="N355" s="1" t="n">
        <v>1107.2</v>
      </c>
      <c r="O355" s="1" t="n">
        <v>467.96</v>
      </c>
      <c r="P355" s="1" t="s">
        <v>1277</v>
      </c>
      <c r="Q355" s="1" t="s">
        <v>108</v>
      </c>
      <c r="S355" s="1" t="s">
        <v>1278</v>
      </c>
      <c r="T355" s="1" t="s">
        <v>1279</v>
      </c>
      <c r="V355" s="1" t="s">
        <v>1293</v>
      </c>
      <c r="W355" s="1" t="s">
        <v>1276</v>
      </c>
    </row>
    <row r="356" customFormat="false" ht="15" hidden="false" customHeight="true" outlineLevel="0" collapsed="false">
      <c r="A356" s="1" t="n">
        <v>0.196064</v>
      </c>
      <c r="B356" s="1" t="s">
        <v>1131</v>
      </c>
      <c r="C356" s="1" t="n">
        <v>5615.5</v>
      </c>
      <c r="D356" s="1" t="n">
        <v>1101</v>
      </c>
      <c r="E356" s="1" t="n">
        <v>5615.5</v>
      </c>
      <c r="F356" s="172" t="n">
        <v>0.196064</v>
      </c>
      <c r="G356" s="1" t="s">
        <v>123</v>
      </c>
      <c r="H356" s="1" t="s">
        <v>119</v>
      </c>
      <c r="I356" s="1" t="n">
        <v>31975430905</v>
      </c>
      <c r="J356" s="1" t="s">
        <v>1244</v>
      </c>
      <c r="K356" s="1" t="s">
        <v>104</v>
      </c>
      <c r="L356" s="1" t="s">
        <v>119</v>
      </c>
      <c r="M356" s="1" t="n">
        <v>31975430905</v>
      </c>
      <c r="N356" s="1" t="n">
        <v>1101</v>
      </c>
      <c r="O356" s="1" t="n">
        <v>467.96</v>
      </c>
      <c r="P356" s="1" t="s">
        <v>1285</v>
      </c>
      <c r="Q356" s="1" t="s">
        <v>100</v>
      </c>
      <c r="S356" s="1" t="s">
        <v>1004</v>
      </c>
      <c r="T356" s="1" t="s">
        <v>1274</v>
      </c>
      <c r="V356" s="1" t="s">
        <v>1293</v>
      </c>
      <c r="W356" s="1" t="s">
        <v>1276</v>
      </c>
    </row>
    <row r="357" customFormat="false" ht="15" hidden="false" customHeight="true" outlineLevel="0" collapsed="false">
      <c r="A357" s="1" t="n">
        <v>0.194802</v>
      </c>
      <c r="B357" s="1" t="s">
        <v>1131</v>
      </c>
      <c r="C357" s="1" t="n">
        <v>5615.5</v>
      </c>
      <c r="D357" s="1" t="n">
        <v>1093.91</v>
      </c>
      <c r="E357" s="1" t="n">
        <v>5615.5</v>
      </c>
      <c r="F357" s="172" t="n">
        <v>0.194802</v>
      </c>
      <c r="G357" s="1" t="s">
        <v>123</v>
      </c>
      <c r="H357" s="1" t="s">
        <v>109</v>
      </c>
      <c r="I357" s="1" t="n">
        <v>4134020880</v>
      </c>
      <c r="J357" s="1" t="s">
        <v>1244</v>
      </c>
      <c r="K357" s="1" t="s">
        <v>104</v>
      </c>
      <c r="L357" s="1" t="s">
        <v>109</v>
      </c>
      <c r="M357" s="1" t="n">
        <v>4134020880</v>
      </c>
      <c r="N357" s="1" t="n">
        <v>1093.91</v>
      </c>
      <c r="O357" s="1" t="n">
        <v>467.96</v>
      </c>
      <c r="P357" s="1" t="s">
        <v>1277</v>
      </c>
      <c r="Q357" s="1" t="s">
        <v>108</v>
      </c>
      <c r="S357" s="1" t="s">
        <v>1278</v>
      </c>
      <c r="T357" s="1" t="s">
        <v>1279</v>
      </c>
      <c r="V357" s="1" t="s">
        <v>1293</v>
      </c>
      <c r="W357" s="1" t="s">
        <v>1276</v>
      </c>
    </row>
    <row r="358" customFormat="false" ht="15" hidden="false" customHeight="true" outlineLevel="0" collapsed="false">
      <c r="A358" s="1" t="n">
        <v>0.194725</v>
      </c>
      <c r="B358" s="1" t="s">
        <v>1131</v>
      </c>
      <c r="C358" s="1" t="n">
        <v>5615.5</v>
      </c>
      <c r="D358" s="1" t="n">
        <v>1093.48</v>
      </c>
      <c r="E358" s="1" t="n">
        <v>5615.5</v>
      </c>
      <c r="F358" s="172" t="n">
        <v>0.194725</v>
      </c>
      <c r="G358" s="1" t="s">
        <v>123</v>
      </c>
      <c r="H358" s="1" t="s">
        <v>139</v>
      </c>
      <c r="I358" s="1" t="n">
        <v>4891468756</v>
      </c>
      <c r="J358" s="1" t="s">
        <v>1244</v>
      </c>
      <c r="K358" s="1" t="s">
        <v>104</v>
      </c>
      <c r="L358" s="1" t="s">
        <v>139</v>
      </c>
      <c r="M358" s="1" t="n">
        <v>4891468756</v>
      </c>
      <c r="N358" s="1" t="n">
        <v>1093.48</v>
      </c>
      <c r="O358" s="1" t="n">
        <v>467.96</v>
      </c>
      <c r="P358" s="1" t="s">
        <v>1277</v>
      </c>
      <c r="Q358" s="1" t="s">
        <v>175</v>
      </c>
      <c r="S358" s="1" t="s">
        <v>1287</v>
      </c>
      <c r="T358" s="1" t="s">
        <v>1274</v>
      </c>
      <c r="V358" s="1" t="s">
        <v>1293</v>
      </c>
      <c r="W358" s="1" t="s">
        <v>1276</v>
      </c>
    </row>
    <row r="359" customFormat="false" ht="15" hidden="false" customHeight="true" outlineLevel="0" collapsed="false">
      <c r="A359" s="1" t="n">
        <v>0.192859</v>
      </c>
      <c r="B359" s="1" t="s">
        <v>1131</v>
      </c>
      <c r="C359" s="1" t="n">
        <v>5615.5</v>
      </c>
      <c r="D359" s="1" t="n">
        <v>1083</v>
      </c>
      <c r="E359" s="1" t="n">
        <v>5615.5</v>
      </c>
      <c r="F359" s="172" t="n">
        <v>0.192859</v>
      </c>
      <c r="G359" s="1" t="s">
        <v>123</v>
      </c>
      <c r="H359" s="1" t="s">
        <v>146</v>
      </c>
      <c r="I359" s="1" t="n">
        <v>9191637070</v>
      </c>
      <c r="J359" s="1" t="s">
        <v>1244</v>
      </c>
      <c r="K359" s="1" t="s">
        <v>104</v>
      </c>
      <c r="L359" s="1" t="s">
        <v>146</v>
      </c>
      <c r="M359" s="1" t="n">
        <v>9191637070</v>
      </c>
      <c r="N359" s="1" t="n">
        <v>1083</v>
      </c>
      <c r="O359" s="1" t="n">
        <v>467.96</v>
      </c>
      <c r="P359" s="1" t="s">
        <v>1283</v>
      </c>
      <c r="Q359" s="1" t="s">
        <v>108</v>
      </c>
      <c r="S359" s="1" t="s">
        <v>1278</v>
      </c>
      <c r="T359" s="1" t="s">
        <v>1279</v>
      </c>
      <c r="V359" s="1" t="s">
        <v>1293</v>
      </c>
      <c r="W359" s="1" t="s">
        <v>1276</v>
      </c>
    </row>
    <row r="360" customFormat="false" ht="15" hidden="false" customHeight="true" outlineLevel="0" collapsed="false">
      <c r="A360" s="1" t="n">
        <v>0.100945</v>
      </c>
      <c r="B360" s="1" t="s">
        <v>1131</v>
      </c>
      <c r="C360" s="1" t="n">
        <v>10706.9</v>
      </c>
      <c r="D360" s="1" t="n">
        <v>1080.81</v>
      </c>
      <c r="E360" s="1" t="n">
        <v>10706.9</v>
      </c>
      <c r="F360" s="172" t="n">
        <v>0.100945</v>
      </c>
      <c r="G360" s="1" t="s">
        <v>66</v>
      </c>
      <c r="H360" s="1" t="s">
        <v>119</v>
      </c>
      <c r="I360" s="1" t="n">
        <v>18996607425</v>
      </c>
      <c r="J360" s="1" t="s">
        <v>1244</v>
      </c>
      <c r="K360" s="1" t="s">
        <v>66</v>
      </c>
      <c r="L360" s="1" t="s">
        <v>119</v>
      </c>
      <c r="M360" s="1" t="n">
        <v>18996607425</v>
      </c>
      <c r="N360" s="1" t="n">
        <v>1080.81</v>
      </c>
      <c r="O360" s="1" t="n">
        <v>892.24</v>
      </c>
      <c r="P360" s="1" t="s">
        <v>1286</v>
      </c>
      <c r="Q360" s="1" t="s">
        <v>175</v>
      </c>
      <c r="S360" s="1" t="s">
        <v>1287</v>
      </c>
      <c r="T360" s="1" t="s">
        <v>1274</v>
      </c>
      <c r="V360" s="1" t="s">
        <v>1293</v>
      </c>
      <c r="W360" s="1" t="s">
        <v>1284</v>
      </c>
    </row>
    <row r="361" customFormat="false" ht="15" hidden="false" customHeight="true" outlineLevel="0" collapsed="false">
      <c r="A361" s="1" t="n">
        <v>0.100824</v>
      </c>
      <c r="B361" s="1" t="s">
        <v>1131</v>
      </c>
      <c r="C361" s="1" t="n">
        <v>10706.9</v>
      </c>
      <c r="D361" s="1" t="n">
        <v>1079.51</v>
      </c>
      <c r="E361" s="1" t="n">
        <v>10706.9</v>
      </c>
      <c r="F361" s="172" t="n">
        <v>0.100824</v>
      </c>
      <c r="G361" s="1" t="s">
        <v>66</v>
      </c>
      <c r="H361" s="1" t="s">
        <v>139</v>
      </c>
      <c r="I361" s="1" t="n">
        <v>4830147151</v>
      </c>
      <c r="J361" s="1" t="s">
        <v>1244</v>
      </c>
      <c r="K361" s="1" t="s">
        <v>66</v>
      </c>
      <c r="L361" s="1" t="s">
        <v>139</v>
      </c>
      <c r="M361" s="1" t="n">
        <v>4830147151</v>
      </c>
      <c r="N361" s="1" t="n">
        <v>1079.51</v>
      </c>
      <c r="O361" s="1" t="n">
        <v>892.24</v>
      </c>
      <c r="P361" s="1" t="s">
        <v>1286</v>
      </c>
      <c r="Q361" s="1" t="s">
        <v>175</v>
      </c>
      <c r="S361" s="1" t="s">
        <v>1287</v>
      </c>
      <c r="T361" s="1" t="s">
        <v>1274</v>
      </c>
      <c r="V361" s="1" t="s">
        <v>1293</v>
      </c>
      <c r="W361" s="1" t="s">
        <v>1284</v>
      </c>
    </row>
    <row r="362" customFormat="false" ht="15" hidden="false" customHeight="true" outlineLevel="0" collapsed="false">
      <c r="A362" s="1" t="n">
        <v>0.192182</v>
      </c>
      <c r="B362" s="1" t="s">
        <v>1131</v>
      </c>
      <c r="C362" s="1" t="n">
        <v>5615.5</v>
      </c>
      <c r="D362" s="1" t="n">
        <v>1079.2</v>
      </c>
      <c r="E362" s="1" t="n">
        <v>5615.5</v>
      </c>
      <c r="F362" s="172" t="n">
        <v>0.192182</v>
      </c>
      <c r="G362" s="1" t="s">
        <v>123</v>
      </c>
      <c r="H362" s="1" t="s">
        <v>109</v>
      </c>
      <c r="I362" s="1" t="n">
        <v>41999389977</v>
      </c>
      <c r="J362" s="1" t="s">
        <v>1244</v>
      </c>
      <c r="K362" s="1" t="s">
        <v>104</v>
      </c>
      <c r="L362" s="1" t="s">
        <v>109</v>
      </c>
      <c r="M362" s="1" t="n">
        <v>41999389977</v>
      </c>
      <c r="N362" s="1" t="n">
        <v>1079.2</v>
      </c>
      <c r="O362" s="1" t="n">
        <v>467.96</v>
      </c>
      <c r="P362" s="1" t="s">
        <v>1277</v>
      </c>
      <c r="Q362" s="1" t="s">
        <v>108</v>
      </c>
      <c r="S362" s="1" t="s">
        <v>1278</v>
      </c>
      <c r="T362" s="1" t="s">
        <v>1279</v>
      </c>
      <c r="V362" s="1" t="s">
        <v>1293</v>
      </c>
      <c r="W362" s="1" t="s">
        <v>1276</v>
      </c>
    </row>
    <row r="363" customFormat="false" ht="15" hidden="false" customHeight="true" outlineLevel="0" collapsed="false">
      <c r="A363" s="1" t="n">
        <v>0.190188</v>
      </c>
      <c r="B363" s="1" t="s">
        <v>1131</v>
      </c>
      <c r="C363" s="1" t="n">
        <v>5615.5</v>
      </c>
      <c r="D363" s="1" t="n">
        <v>1068</v>
      </c>
      <c r="E363" s="1" t="n">
        <v>5615.5</v>
      </c>
      <c r="F363" s="172" t="n">
        <v>0.190188</v>
      </c>
      <c r="G363" s="1" t="s">
        <v>123</v>
      </c>
      <c r="H363" s="1" t="s">
        <v>139</v>
      </c>
      <c r="I363" s="1" t="n">
        <v>4896330100</v>
      </c>
      <c r="J363" s="1" t="s">
        <v>1244</v>
      </c>
      <c r="K363" s="1" t="s">
        <v>104</v>
      </c>
      <c r="L363" s="1" t="s">
        <v>139</v>
      </c>
      <c r="M363" s="1" t="n">
        <v>4896330100</v>
      </c>
      <c r="N363" s="1" t="n">
        <v>1068</v>
      </c>
      <c r="O363" s="1" t="n">
        <v>467.96</v>
      </c>
      <c r="P363" s="1" t="s">
        <v>1277</v>
      </c>
      <c r="Q363" s="1" t="s">
        <v>108</v>
      </c>
      <c r="S363" s="1" t="s">
        <v>1278</v>
      </c>
      <c r="T363" s="1" t="s">
        <v>1279</v>
      </c>
      <c r="V363" s="1" t="s">
        <v>1293</v>
      </c>
      <c r="W363" s="1" t="s">
        <v>1276</v>
      </c>
    </row>
    <row r="364" customFormat="false" ht="15" hidden="false" customHeight="true" outlineLevel="0" collapsed="false">
      <c r="A364" s="1" t="n">
        <v>0.189516</v>
      </c>
      <c r="B364" s="1" t="s">
        <v>1131</v>
      </c>
      <c r="C364" s="1" t="n">
        <v>5615.5</v>
      </c>
      <c r="D364" s="1" t="n">
        <v>1064.23</v>
      </c>
      <c r="E364" s="1" t="n">
        <v>5615.5</v>
      </c>
      <c r="F364" s="172" t="n">
        <v>0.189516</v>
      </c>
      <c r="G364" s="1" t="s">
        <v>123</v>
      </c>
      <c r="H364" s="1" t="s">
        <v>109</v>
      </c>
      <c r="I364" s="1" t="n">
        <v>4498062010</v>
      </c>
      <c r="J364" s="1" t="s">
        <v>1244</v>
      </c>
      <c r="K364" s="1" t="s">
        <v>104</v>
      </c>
      <c r="L364" s="1" t="s">
        <v>109</v>
      </c>
      <c r="M364" s="1" t="n">
        <v>4498062010</v>
      </c>
      <c r="N364" s="1" t="n">
        <v>1064.23</v>
      </c>
      <c r="O364" s="1" t="n">
        <v>467.96</v>
      </c>
      <c r="P364" s="1" t="s">
        <v>1277</v>
      </c>
      <c r="Q364" s="1" t="s">
        <v>108</v>
      </c>
      <c r="S364" s="1" t="s">
        <v>1278</v>
      </c>
      <c r="T364" s="1" t="s">
        <v>1274</v>
      </c>
      <c r="V364" s="1" t="s">
        <v>1293</v>
      </c>
      <c r="W364" s="1" t="s">
        <v>1276</v>
      </c>
    </row>
    <row r="365" customFormat="false" ht="15" hidden="false" customHeight="true" outlineLevel="0" collapsed="false">
      <c r="A365" s="1" t="n">
        <v>0.188181</v>
      </c>
      <c r="B365" s="1" t="s">
        <v>1131</v>
      </c>
      <c r="C365" s="1" t="n">
        <v>5615.5</v>
      </c>
      <c r="D365" s="1" t="n">
        <v>1056.73</v>
      </c>
      <c r="E365" s="1" t="n">
        <v>5615.5</v>
      </c>
      <c r="F365" s="172" t="n">
        <v>0.188181</v>
      </c>
      <c r="G365" s="1" t="s">
        <v>123</v>
      </c>
      <c r="H365" s="1" t="s">
        <v>109</v>
      </c>
      <c r="I365" s="1" t="n">
        <v>4497324973</v>
      </c>
      <c r="J365" s="1" t="s">
        <v>1244</v>
      </c>
      <c r="K365" s="1" t="s">
        <v>104</v>
      </c>
      <c r="L365" s="1" t="s">
        <v>109</v>
      </c>
      <c r="M365" s="1" t="n">
        <v>4497324973</v>
      </c>
      <c r="N365" s="1" t="n">
        <v>1056.73</v>
      </c>
      <c r="O365" s="1" t="n">
        <v>467.96</v>
      </c>
      <c r="P365" s="1" t="s">
        <v>1277</v>
      </c>
      <c r="Q365" s="1" t="s">
        <v>108</v>
      </c>
      <c r="S365" s="1" t="s">
        <v>1278</v>
      </c>
      <c r="T365" s="1" t="s">
        <v>1279</v>
      </c>
      <c r="V365" s="1" t="s">
        <v>1293</v>
      </c>
      <c r="W365" s="1" t="s">
        <v>1276</v>
      </c>
    </row>
    <row r="366" customFormat="false" ht="15" hidden="false" customHeight="true" outlineLevel="0" collapsed="false">
      <c r="A366" s="1" t="n">
        <v>0.096679</v>
      </c>
      <c r="B366" s="1" t="s">
        <v>1131</v>
      </c>
      <c r="C366" s="1" t="n">
        <v>10875</v>
      </c>
      <c r="D366" s="1" t="n">
        <v>1051.38</v>
      </c>
      <c r="E366" s="1" t="n">
        <v>10875</v>
      </c>
      <c r="F366" s="172" t="n">
        <v>0.096679</v>
      </c>
      <c r="G366" s="1" t="s">
        <v>102</v>
      </c>
      <c r="H366" s="1" t="s">
        <v>139</v>
      </c>
      <c r="I366" s="1" t="n">
        <v>48840020754</v>
      </c>
      <c r="J366" s="1" t="s">
        <v>1246</v>
      </c>
      <c r="K366" s="1" t="s">
        <v>102</v>
      </c>
      <c r="L366" s="1" t="s">
        <v>139</v>
      </c>
      <c r="M366" s="1" t="n">
        <v>48840020754</v>
      </c>
      <c r="N366" s="1" t="n">
        <v>1051.38</v>
      </c>
      <c r="O366" s="1" t="n">
        <v>906.25</v>
      </c>
      <c r="P366" s="1" t="s">
        <v>1286</v>
      </c>
      <c r="Q366" s="1" t="s">
        <v>175</v>
      </c>
      <c r="S366" s="1" t="s">
        <v>1287</v>
      </c>
      <c r="T366" s="1" t="s">
        <v>1274</v>
      </c>
      <c r="V366" s="1" t="s">
        <v>1293</v>
      </c>
      <c r="W366" s="1" t="s">
        <v>1284</v>
      </c>
    </row>
    <row r="367" customFormat="false" ht="15" hidden="false" customHeight="true" outlineLevel="0" collapsed="false">
      <c r="A367" s="1" t="n">
        <v>0.187178</v>
      </c>
      <c r="B367" s="1" t="s">
        <v>1131</v>
      </c>
      <c r="C367" s="1" t="n">
        <v>5615.5</v>
      </c>
      <c r="D367" s="1" t="n">
        <v>1051.1</v>
      </c>
      <c r="E367" s="1" t="n">
        <v>5615.5</v>
      </c>
      <c r="F367" s="172" t="n">
        <v>0.187178</v>
      </c>
      <c r="G367" s="1" t="s">
        <v>123</v>
      </c>
      <c r="H367" s="1" t="s">
        <v>119</v>
      </c>
      <c r="I367" s="1" t="n">
        <v>19998124261</v>
      </c>
      <c r="J367" s="1" t="s">
        <v>1244</v>
      </c>
      <c r="K367" s="1" t="s">
        <v>104</v>
      </c>
      <c r="L367" s="1" t="s">
        <v>119</v>
      </c>
      <c r="M367" s="1" t="n">
        <v>19998124261</v>
      </c>
      <c r="N367" s="1" t="n">
        <v>1051.1</v>
      </c>
      <c r="O367" s="1" t="n">
        <v>467.96</v>
      </c>
      <c r="P367" s="1" t="s">
        <v>1281</v>
      </c>
      <c r="Q367" s="1" t="s">
        <v>100</v>
      </c>
      <c r="S367" s="1" t="s">
        <v>1004</v>
      </c>
      <c r="T367" s="1" t="s">
        <v>1274</v>
      </c>
      <c r="V367" s="1" t="s">
        <v>1293</v>
      </c>
      <c r="W367" s="1" t="s">
        <v>1276</v>
      </c>
    </row>
    <row r="368" customFormat="false" ht="15" hidden="false" customHeight="true" outlineLevel="0" collapsed="false">
      <c r="A368" s="1" t="n">
        <v>0.186316</v>
      </c>
      <c r="B368" s="1" t="s">
        <v>1131</v>
      </c>
      <c r="C368" s="1" t="n">
        <v>5615.5</v>
      </c>
      <c r="D368" s="1" t="n">
        <v>1046.26</v>
      </c>
      <c r="E368" s="1" t="n">
        <v>5615.5</v>
      </c>
      <c r="F368" s="172" t="n">
        <v>0.186316</v>
      </c>
      <c r="G368" s="1" t="s">
        <v>123</v>
      </c>
      <c r="H368" s="1" t="s">
        <v>119</v>
      </c>
      <c r="I368" s="1" t="n">
        <v>11980565198</v>
      </c>
      <c r="J368" s="1" t="s">
        <v>1244</v>
      </c>
      <c r="K368" s="1" t="s">
        <v>104</v>
      </c>
      <c r="L368" s="1" t="s">
        <v>119</v>
      </c>
      <c r="M368" s="1" t="n">
        <v>11980565198</v>
      </c>
      <c r="N368" s="1" t="n">
        <v>1046.26</v>
      </c>
      <c r="O368" s="1" t="n">
        <v>467.96</v>
      </c>
      <c r="P368" s="1" t="s">
        <v>1285</v>
      </c>
      <c r="Q368" s="1" t="s">
        <v>100</v>
      </c>
      <c r="S368" s="1" t="s">
        <v>1278</v>
      </c>
      <c r="T368" s="1" t="s">
        <v>1274</v>
      </c>
      <c r="V368" s="1" t="s">
        <v>1293</v>
      </c>
      <c r="W368" s="1" t="s">
        <v>1276</v>
      </c>
    </row>
    <row r="369" customFormat="false" ht="15" hidden="false" customHeight="true" outlineLevel="0" collapsed="false">
      <c r="A369" s="1" t="n">
        <v>0.18538</v>
      </c>
      <c r="B369" s="1" t="s">
        <v>1131</v>
      </c>
      <c r="C369" s="1" t="n">
        <v>5615.5</v>
      </c>
      <c r="D369" s="1" t="n">
        <v>1041</v>
      </c>
      <c r="E369" s="1" t="n">
        <v>5615.5</v>
      </c>
      <c r="F369" s="172" t="n">
        <v>0.18538</v>
      </c>
      <c r="G369" s="1" t="s">
        <v>123</v>
      </c>
      <c r="H369" s="1" t="s">
        <v>119</v>
      </c>
      <c r="I369" s="1" t="n">
        <v>17988136187</v>
      </c>
      <c r="J369" s="1" t="s">
        <v>1244</v>
      </c>
      <c r="K369" s="1" t="s">
        <v>104</v>
      </c>
      <c r="L369" s="1" t="s">
        <v>119</v>
      </c>
      <c r="M369" s="1" t="n">
        <v>17988136187</v>
      </c>
      <c r="N369" s="1" t="n">
        <v>1041</v>
      </c>
      <c r="O369" s="1" t="n">
        <v>467.96</v>
      </c>
      <c r="P369" s="1" t="s">
        <v>1281</v>
      </c>
      <c r="Q369" s="1" t="s">
        <v>100</v>
      </c>
      <c r="S369" s="1" t="s">
        <v>1278</v>
      </c>
      <c r="T369" s="1" t="s">
        <v>1274</v>
      </c>
      <c r="V369" s="1" t="s">
        <v>1293</v>
      </c>
      <c r="W369" s="1" t="s">
        <v>1276</v>
      </c>
    </row>
    <row r="370" customFormat="false" ht="15" hidden="false" customHeight="true" outlineLevel="0" collapsed="false">
      <c r="A370" s="1" t="n">
        <v>0.095057</v>
      </c>
      <c r="B370" s="1" t="s">
        <v>1131</v>
      </c>
      <c r="C370" s="1" t="n">
        <v>10875</v>
      </c>
      <c r="D370" s="1" t="n">
        <v>1033.74</v>
      </c>
      <c r="E370" s="1" t="n">
        <v>10875</v>
      </c>
      <c r="F370" s="172" t="n">
        <v>0.095057</v>
      </c>
      <c r="G370" s="1" t="s">
        <v>102</v>
      </c>
      <c r="H370" s="1" t="s">
        <v>139</v>
      </c>
      <c r="I370" s="1" t="n">
        <v>48999981463</v>
      </c>
      <c r="J370" s="1" t="s">
        <v>1246</v>
      </c>
      <c r="K370" s="1" t="s">
        <v>102</v>
      </c>
      <c r="L370" s="1" t="s">
        <v>139</v>
      </c>
      <c r="M370" s="1" t="n">
        <v>48999981463</v>
      </c>
      <c r="N370" s="1" t="n">
        <v>1033.74</v>
      </c>
      <c r="O370" s="1" t="n">
        <v>906.25</v>
      </c>
      <c r="P370" s="1" t="s">
        <v>1286</v>
      </c>
      <c r="Q370" s="1" t="s">
        <v>175</v>
      </c>
      <c r="S370" s="1" t="s">
        <v>1287</v>
      </c>
      <c r="T370" s="1" t="s">
        <v>1274</v>
      </c>
      <c r="V370" s="1" t="s">
        <v>1293</v>
      </c>
      <c r="W370" s="1" t="s">
        <v>1284</v>
      </c>
    </row>
    <row r="371" customFormat="false" ht="15" hidden="false" customHeight="true" outlineLevel="0" collapsed="false">
      <c r="A371" s="1" t="n">
        <v>0.182375</v>
      </c>
      <c r="B371" s="1" t="s">
        <v>1131</v>
      </c>
      <c r="C371" s="1" t="n">
        <v>5615.5</v>
      </c>
      <c r="D371" s="1" t="n">
        <v>1024.13</v>
      </c>
      <c r="E371" s="1" t="n">
        <v>5615.5</v>
      </c>
      <c r="F371" s="172" t="n">
        <v>0.182375</v>
      </c>
      <c r="G371" s="1" t="s">
        <v>123</v>
      </c>
      <c r="H371" s="1" t="s">
        <v>139</v>
      </c>
      <c r="I371" s="1" t="n">
        <v>48991659616</v>
      </c>
      <c r="J371" s="1" t="s">
        <v>1244</v>
      </c>
      <c r="K371" s="1" t="s">
        <v>104</v>
      </c>
      <c r="L371" s="1" t="s">
        <v>139</v>
      </c>
      <c r="M371" s="1" t="n">
        <v>48991659616</v>
      </c>
      <c r="N371" s="1" t="n">
        <v>1024.13</v>
      </c>
      <c r="O371" s="1" t="n">
        <v>467.96</v>
      </c>
      <c r="P371" s="1" t="s">
        <v>1277</v>
      </c>
      <c r="Q371" s="1" t="s">
        <v>108</v>
      </c>
      <c r="S371" s="1" t="s">
        <v>1278</v>
      </c>
      <c r="T371" s="1" t="s">
        <v>1274</v>
      </c>
      <c r="V371" s="1" t="s">
        <v>1293</v>
      </c>
      <c r="W371" s="1" t="s">
        <v>1276</v>
      </c>
    </row>
    <row r="372" customFormat="false" ht="15" hidden="false" customHeight="true" outlineLevel="0" collapsed="false">
      <c r="A372" s="1" t="n">
        <v>0.099575</v>
      </c>
      <c r="B372" s="1" t="s">
        <v>1131</v>
      </c>
      <c r="C372" s="1" t="n">
        <v>10200</v>
      </c>
      <c r="D372" s="1" t="n">
        <v>1015.66</v>
      </c>
      <c r="E372" s="1" t="n">
        <v>10200</v>
      </c>
      <c r="F372" s="172" t="n">
        <v>0.099575</v>
      </c>
      <c r="G372" s="1" t="s">
        <v>115</v>
      </c>
      <c r="H372" s="1" t="s">
        <v>101</v>
      </c>
      <c r="I372" s="1" t="n">
        <v>66999867183</v>
      </c>
      <c r="J372" s="1" t="s">
        <v>1246</v>
      </c>
      <c r="K372" s="1" t="s">
        <v>115</v>
      </c>
      <c r="L372" s="1" t="s">
        <v>101</v>
      </c>
      <c r="M372" s="1" t="n">
        <v>66999867183</v>
      </c>
      <c r="N372" s="1" t="n">
        <v>1015.66</v>
      </c>
      <c r="O372" s="1" t="n">
        <v>850</v>
      </c>
      <c r="P372" s="1" t="s">
        <v>1286</v>
      </c>
      <c r="Q372" s="1" t="s">
        <v>184</v>
      </c>
      <c r="S372" s="1" t="s">
        <v>1278</v>
      </c>
      <c r="T372" s="1" t="s">
        <v>1274</v>
      </c>
      <c r="V372" s="1" t="s">
        <v>1293</v>
      </c>
      <c r="W372" s="1" t="s">
        <v>1284</v>
      </c>
    </row>
    <row r="373" customFormat="false" ht="15" hidden="false" customHeight="true" outlineLevel="0" collapsed="false">
      <c r="A373" s="1" t="n">
        <v>0.094856</v>
      </c>
      <c r="B373" s="1" t="s">
        <v>1131</v>
      </c>
      <c r="C373" s="1" t="n">
        <v>10706.9</v>
      </c>
      <c r="D373" s="1" t="n">
        <v>1015.61</v>
      </c>
      <c r="E373" s="1" t="n">
        <v>10706.9</v>
      </c>
      <c r="F373" s="172" t="n">
        <v>0.094856</v>
      </c>
      <c r="G373" s="1" t="s">
        <v>66</v>
      </c>
      <c r="H373" s="1" t="s">
        <v>243</v>
      </c>
      <c r="I373" s="1" t="n">
        <v>73999071310</v>
      </c>
      <c r="J373" s="1" t="s">
        <v>1246</v>
      </c>
      <c r="K373" s="1" t="s">
        <v>66</v>
      </c>
      <c r="L373" s="1" t="s">
        <v>243</v>
      </c>
      <c r="M373" s="1" t="n">
        <v>73999071310</v>
      </c>
      <c r="N373" s="1" t="n">
        <v>1015.61</v>
      </c>
      <c r="O373" s="1" t="n">
        <v>892.24</v>
      </c>
      <c r="P373" s="1" t="s">
        <v>1286</v>
      </c>
      <c r="Q373" s="1" t="s">
        <v>175</v>
      </c>
      <c r="S373" s="1" t="s">
        <v>1278</v>
      </c>
      <c r="T373" s="1" t="s">
        <v>1274</v>
      </c>
      <c r="V373" s="1" t="s">
        <v>1293</v>
      </c>
      <c r="W373" s="1" t="s">
        <v>1284</v>
      </c>
    </row>
    <row r="374" customFormat="false" ht="15" hidden="false" customHeight="true" outlineLevel="0" collapsed="false">
      <c r="A374" s="1" t="n">
        <v>0.093315</v>
      </c>
      <c r="B374" s="1" t="s">
        <v>1131</v>
      </c>
      <c r="C374" s="1" t="n">
        <v>10875</v>
      </c>
      <c r="D374" s="1" t="n">
        <v>1014.8</v>
      </c>
      <c r="E374" s="1" t="n">
        <v>10875</v>
      </c>
      <c r="F374" s="172" t="n">
        <v>0.093315</v>
      </c>
      <c r="G374" s="1" t="s">
        <v>102</v>
      </c>
      <c r="H374" s="1" t="s">
        <v>139</v>
      </c>
      <c r="I374" s="1" t="n">
        <v>4896982817</v>
      </c>
      <c r="J374" s="1" t="s">
        <v>1246</v>
      </c>
      <c r="K374" s="1" t="s">
        <v>102</v>
      </c>
      <c r="L374" s="1" t="s">
        <v>139</v>
      </c>
      <c r="M374" s="1" t="n">
        <v>4896982817</v>
      </c>
      <c r="N374" s="1" t="n">
        <v>1014.8</v>
      </c>
      <c r="O374" s="1" t="n">
        <v>906.25</v>
      </c>
      <c r="P374" s="1" t="s">
        <v>1286</v>
      </c>
      <c r="Q374" s="1" t="s">
        <v>175</v>
      </c>
      <c r="S374" s="1" t="s">
        <v>1287</v>
      </c>
      <c r="T374" s="1" t="s">
        <v>1274</v>
      </c>
      <c r="V374" s="1" t="s">
        <v>1293</v>
      </c>
      <c r="W374" s="1" t="s">
        <v>1284</v>
      </c>
    </row>
    <row r="375" customFormat="false" ht="15" hidden="false" customHeight="true" outlineLevel="0" collapsed="false">
      <c r="A375" s="1" t="n">
        <v>0.153395</v>
      </c>
      <c r="B375" s="1" t="s">
        <v>1131</v>
      </c>
      <c r="C375" s="1" t="n">
        <v>6566.04</v>
      </c>
      <c r="D375" s="1" t="n">
        <v>1007.2</v>
      </c>
      <c r="E375" s="1" t="n">
        <v>6566.04</v>
      </c>
      <c r="F375" s="172" t="n">
        <v>0.153395</v>
      </c>
      <c r="G375" s="1" t="s">
        <v>110</v>
      </c>
      <c r="H375" s="1" t="s">
        <v>109</v>
      </c>
      <c r="I375" s="1" t="n">
        <v>45991034143</v>
      </c>
      <c r="J375" s="1" t="s">
        <v>1244</v>
      </c>
      <c r="K375" s="1" t="s">
        <v>110</v>
      </c>
      <c r="L375" s="1" t="s">
        <v>109</v>
      </c>
      <c r="M375" s="1" t="n">
        <v>45991034143</v>
      </c>
      <c r="N375" s="1" t="n">
        <v>1007.2</v>
      </c>
      <c r="O375" s="1" t="n">
        <v>547.17</v>
      </c>
      <c r="P375" s="1" t="s">
        <v>1286</v>
      </c>
      <c r="Q375" s="1" t="s">
        <v>184</v>
      </c>
      <c r="S375" s="1" t="s">
        <v>1278</v>
      </c>
      <c r="T375" s="1" t="s">
        <v>1274</v>
      </c>
      <c r="V375" s="1" t="s">
        <v>1293</v>
      </c>
      <c r="W375" s="1" t="s">
        <v>1284</v>
      </c>
    </row>
    <row r="376" customFormat="false" ht="15" hidden="false" customHeight="true" outlineLevel="0" collapsed="false">
      <c r="A376" s="1" t="n">
        <v>0.179182</v>
      </c>
      <c r="B376" s="1" t="s">
        <v>1131</v>
      </c>
      <c r="C376" s="1" t="n">
        <v>5615.5</v>
      </c>
      <c r="D376" s="1" t="n">
        <v>1006.2</v>
      </c>
      <c r="E376" s="1" t="n">
        <v>5615.5</v>
      </c>
      <c r="F376" s="172" t="n">
        <v>0.179182</v>
      </c>
      <c r="G376" s="1" t="s">
        <v>123</v>
      </c>
      <c r="H376" s="1" t="s">
        <v>127</v>
      </c>
      <c r="I376" s="1" t="n">
        <v>6496418800</v>
      </c>
      <c r="J376" s="1" t="s">
        <v>1244</v>
      </c>
      <c r="K376" s="1" t="s">
        <v>104</v>
      </c>
      <c r="L376" s="1" t="s">
        <v>127</v>
      </c>
      <c r="M376" s="1" t="n">
        <v>6496418800</v>
      </c>
      <c r="N376" s="1" t="n">
        <v>1006.2</v>
      </c>
      <c r="O376" s="1" t="n">
        <v>467.96</v>
      </c>
      <c r="P376" s="1" t="s">
        <v>1273</v>
      </c>
      <c r="Q376" s="1" t="s">
        <v>100</v>
      </c>
      <c r="S376" s="1" t="s">
        <v>1004</v>
      </c>
      <c r="T376" s="1" t="s">
        <v>1274</v>
      </c>
      <c r="V376" s="1" t="s">
        <v>1293</v>
      </c>
      <c r="W376" s="1" t="s">
        <v>1276</v>
      </c>
    </row>
    <row r="377" customFormat="false" ht="15" hidden="false" customHeight="true" outlineLevel="0" collapsed="false">
      <c r="A377" s="1" t="n">
        <v>0.178963</v>
      </c>
      <c r="B377" s="1" t="s">
        <v>1131</v>
      </c>
      <c r="C377" s="1" t="n">
        <v>5615.5</v>
      </c>
      <c r="D377" s="1" t="n">
        <v>1004.97</v>
      </c>
      <c r="E377" s="1" t="n">
        <v>5615.5</v>
      </c>
      <c r="F377" s="172" t="n">
        <v>0.178963</v>
      </c>
      <c r="G377" s="1" t="s">
        <v>123</v>
      </c>
      <c r="H377" s="1" t="s">
        <v>139</v>
      </c>
      <c r="I377" s="1" t="n">
        <v>48991287322</v>
      </c>
      <c r="J377" s="1" t="s">
        <v>1244</v>
      </c>
      <c r="K377" s="1" t="s">
        <v>104</v>
      </c>
      <c r="L377" s="1" t="s">
        <v>139</v>
      </c>
      <c r="M377" s="1" t="n">
        <v>48991287322</v>
      </c>
      <c r="N377" s="1" t="n">
        <v>1004.97</v>
      </c>
      <c r="O377" s="1" t="n">
        <v>467.96</v>
      </c>
      <c r="P377" s="1" t="s">
        <v>1277</v>
      </c>
      <c r="Q377" s="1" t="s">
        <v>175</v>
      </c>
      <c r="S377" s="1" t="s">
        <v>1287</v>
      </c>
      <c r="T377" s="1" t="s">
        <v>1274</v>
      </c>
      <c r="V377" s="1" t="s">
        <v>1293</v>
      </c>
      <c r="W377" s="1" t="s">
        <v>1276</v>
      </c>
    </row>
    <row r="378" customFormat="false" ht="15" hidden="false" customHeight="true" outlineLevel="0" collapsed="false">
      <c r="A378" s="1" t="n">
        <v>0.091488</v>
      </c>
      <c r="B378" s="1" t="s">
        <v>1131</v>
      </c>
      <c r="C378" s="1" t="n">
        <v>10875</v>
      </c>
      <c r="D378" s="1" t="n">
        <v>994.93</v>
      </c>
      <c r="E378" s="1" t="n">
        <v>10875</v>
      </c>
      <c r="F378" s="172" t="n">
        <v>0.091488</v>
      </c>
      <c r="G378" s="1" t="s">
        <v>102</v>
      </c>
      <c r="H378" s="1" t="s">
        <v>139</v>
      </c>
      <c r="I378" s="1" t="n">
        <v>4899981463</v>
      </c>
      <c r="J378" s="1" t="s">
        <v>1246</v>
      </c>
      <c r="K378" s="1" t="s">
        <v>102</v>
      </c>
      <c r="L378" s="1" t="s">
        <v>139</v>
      </c>
      <c r="M378" s="1" t="n">
        <v>4899981463</v>
      </c>
      <c r="N378" s="1" t="n">
        <v>994.93</v>
      </c>
      <c r="O378" s="1" t="n">
        <v>906.25</v>
      </c>
      <c r="P378" s="1" t="s">
        <v>1286</v>
      </c>
      <c r="Q378" s="1" t="s">
        <v>175</v>
      </c>
      <c r="S378" s="1" t="s">
        <v>1287</v>
      </c>
      <c r="T378" s="1" t="s">
        <v>1274</v>
      </c>
      <c r="V378" s="1" t="s">
        <v>1293</v>
      </c>
      <c r="W378" s="1" t="s">
        <v>1284</v>
      </c>
    </row>
    <row r="379" customFormat="false" ht="15" hidden="false" customHeight="true" outlineLevel="0" collapsed="false">
      <c r="A379" s="1" t="n">
        <v>0.091427</v>
      </c>
      <c r="B379" s="1" t="s">
        <v>1131</v>
      </c>
      <c r="C379" s="1" t="n">
        <v>10875</v>
      </c>
      <c r="D379" s="1" t="n">
        <v>994.27</v>
      </c>
      <c r="E379" s="1" t="n">
        <v>10875</v>
      </c>
      <c r="F379" s="172" t="n">
        <v>0.091427</v>
      </c>
      <c r="G379" s="1" t="s">
        <v>102</v>
      </c>
      <c r="H379" s="1" t="s">
        <v>139</v>
      </c>
      <c r="I379" s="1" t="n">
        <v>4899981463</v>
      </c>
      <c r="J379" s="1" t="s">
        <v>1246</v>
      </c>
      <c r="K379" s="1" t="s">
        <v>102</v>
      </c>
      <c r="L379" s="1" t="s">
        <v>139</v>
      </c>
      <c r="M379" s="1" t="n">
        <v>4899981463</v>
      </c>
      <c r="N379" s="1" t="n">
        <v>994.27</v>
      </c>
      <c r="O379" s="1" t="n">
        <v>906.25</v>
      </c>
      <c r="P379" s="1" t="s">
        <v>1286</v>
      </c>
      <c r="Q379" s="1" t="s">
        <v>175</v>
      </c>
      <c r="S379" s="1" t="s">
        <v>1287</v>
      </c>
      <c r="T379" s="1" t="s">
        <v>1274</v>
      </c>
      <c r="V379" s="1" t="s">
        <v>1293</v>
      </c>
      <c r="W379" s="1" t="s">
        <v>1284</v>
      </c>
    </row>
    <row r="380" customFormat="false" ht="15" hidden="false" customHeight="true" outlineLevel="0" collapsed="false">
      <c r="A380" s="1" t="n">
        <v>0.176873</v>
      </c>
      <c r="B380" s="1" t="s">
        <v>1131</v>
      </c>
      <c r="C380" s="1" t="n">
        <v>5615.5</v>
      </c>
      <c r="D380" s="1" t="n">
        <v>993.23</v>
      </c>
      <c r="E380" s="1" t="n">
        <v>5615.5</v>
      </c>
      <c r="F380" s="172" t="n">
        <v>0.176873</v>
      </c>
      <c r="G380" s="1" t="s">
        <v>123</v>
      </c>
      <c r="H380" s="1" t="s">
        <v>127</v>
      </c>
      <c r="I380" s="1" t="n">
        <v>6291320767</v>
      </c>
      <c r="J380" s="1" t="s">
        <v>1244</v>
      </c>
      <c r="K380" s="1" t="s">
        <v>104</v>
      </c>
      <c r="L380" s="1" t="s">
        <v>127</v>
      </c>
      <c r="M380" s="1" t="n">
        <v>6291320767</v>
      </c>
      <c r="N380" s="1" t="n">
        <v>993.23</v>
      </c>
      <c r="O380" s="1" t="n">
        <v>467.96</v>
      </c>
      <c r="P380" s="1" t="s">
        <v>1273</v>
      </c>
      <c r="Q380" s="1" t="s">
        <v>100</v>
      </c>
      <c r="S380" s="1" t="s">
        <v>1004</v>
      </c>
      <c r="T380" s="1" t="s">
        <v>1274</v>
      </c>
      <c r="V380" s="1" t="s">
        <v>1293</v>
      </c>
      <c r="W380" s="1" t="s">
        <v>1276</v>
      </c>
    </row>
    <row r="381" customFormat="false" ht="15" hidden="false" customHeight="true" outlineLevel="0" collapsed="false">
      <c r="A381" s="1" t="n">
        <v>0.176392</v>
      </c>
      <c r="B381" s="1" t="s">
        <v>1131</v>
      </c>
      <c r="C381" s="1" t="n">
        <v>5615.5</v>
      </c>
      <c r="D381" s="1" t="n">
        <v>990.53</v>
      </c>
      <c r="E381" s="1" t="n">
        <v>5615.5</v>
      </c>
      <c r="F381" s="172" t="n">
        <v>0.176392</v>
      </c>
      <c r="G381" s="1" t="s">
        <v>123</v>
      </c>
      <c r="H381" s="1" t="s">
        <v>119</v>
      </c>
      <c r="I381" s="1" t="n">
        <v>11947777309</v>
      </c>
      <c r="J381" s="1" t="s">
        <v>1244</v>
      </c>
      <c r="K381" s="1" t="s">
        <v>104</v>
      </c>
      <c r="L381" s="1" t="s">
        <v>119</v>
      </c>
      <c r="M381" s="1" t="n">
        <v>11947777309</v>
      </c>
      <c r="N381" s="1" t="n">
        <v>990.53</v>
      </c>
      <c r="O381" s="1" t="n">
        <v>467.96</v>
      </c>
      <c r="P381" s="1" t="s">
        <v>1285</v>
      </c>
      <c r="Q381" s="1" t="s">
        <v>100</v>
      </c>
      <c r="S381" s="1" t="s">
        <v>1004</v>
      </c>
      <c r="T381" s="1" t="s">
        <v>1274</v>
      </c>
      <c r="V381" s="1" t="s">
        <v>1293</v>
      </c>
      <c r="W381" s="1" t="s">
        <v>1276</v>
      </c>
    </row>
    <row r="382" customFormat="false" ht="15" hidden="false" customHeight="true" outlineLevel="0" collapsed="false">
      <c r="A382" s="1" t="n">
        <v>0.090711</v>
      </c>
      <c r="B382" s="1" t="s">
        <v>1131</v>
      </c>
      <c r="C382" s="1" t="n">
        <v>10875</v>
      </c>
      <c r="D382" s="1" t="n">
        <v>986.48</v>
      </c>
      <c r="E382" s="1" t="n">
        <v>10875</v>
      </c>
      <c r="F382" s="172" t="n">
        <v>0.090711</v>
      </c>
      <c r="G382" s="1" t="s">
        <v>102</v>
      </c>
      <c r="H382" s="1" t="s">
        <v>139</v>
      </c>
      <c r="I382" s="1" t="n">
        <v>4830454219</v>
      </c>
      <c r="J382" s="1" t="s">
        <v>1246</v>
      </c>
      <c r="K382" s="1" t="s">
        <v>102</v>
      </c>
      <c r="L382" s="1" t="s">
        <v>139</v>
      </c>
      <c r="M382" s="1" t="n">
        <v>4830454219</v>
      </c>
      <c r="N382" s="1" t="n">
        <v>986.48</v>
      </c>
      <c r="O382" s="1" t="n">
        <v>906.25</v>
      </c>
      <c r="P382" s="1" t="s">
        <v>1286</v>
      </c>
      <c r="Q382" s="1" t="s">
        <v>175</v>
      </c>
      <c r="S382" s="1" t="s">
        <v>1287</v>
      </c>
      <c r="T382" s="1" t="s">
        <v>1274</v>
      </c>
      <c r="V382" s="1" t="s">
        <v>1293</v>
      </c>
      <c r="W382" s="1" t="s">
        <v>1284</v>
      </c>
    </row>
    <row r="383" customFormat="false" ht="15" hidden="false" customHeight="true" outlineLevel="0" collapsed="false">
      <c r="A383" s="1" t="n">
        <v>0.173128</v>
      </c>
      <c r="B383" s="1" t="s">
        <v>1131</v>
      </c>
      <c r="C383" s="1" t="n">
        <v>5615.5</v>
      </c>
      <c r="D383" s="1" t="n">
        <v>972.2</v>
      </c>
      <c r="E383" s="1" t="n">
        <v>5615.5</v>
      </c>
      <c r="F383" s="172" t="n">
        <v>0.173128</v>
      </c>
      <c r="G383" s="1" t="s">
        <v>123</v>
      </c>
      <c r="H383" s="1" t="s">
        <v>119</v>
      </c>
      <c r="I383" s="1" t="n">
        <v>11992136343</v>
      </c>
      <c r="J383" s="1" t="s">
        <v>1244</v>
      </c>
      <c r="K383" s="1" t="s">
        <v>104</v>
      </c>
      <c r="L383" s="1" t="s">
        <v>119</v>
      </c>
      <c r="M383" s="1" t="n">
        <v>11992136343</v>
      </c>
      <c r="N383" s="1" t="n">
        <v>972.2</v>
      </c>
      <c r="O383" s="1" t="n">
        <v>467.96</v>
      </c>
      <c r="P383" s="1" t="s">
        <v>1285</v>
      </c>
      <c r="Q383" s="1" t="s">
        <v>100</v>
      </c>
      <c r="S383" s="1" t="s">
        <v>1278</v>
      </c>
      <c r="T383" s="1" t="s">
        <v>1274</v>
      </c>
      <c r="V383" s="1" t="s">
        <v>1293</v>
      </c>
      <c r="W383" s="1" t="s">
        <v>1276</v>
      </c>
    </row>
    <row r="384" customFormat="false" ht="15" hidden="false" customHeight="true" outlineLevel="0" collapsed="false">
      <c r="A384" s="1" t="n">
        <v>0.171475</v>
      </c>
      <c r="B384" s="1" t="s">
        <v>1131</v>
      </c>
      <c r="C384" s="1" t="n">
        <v>5615.5</v>
      </c>
      <c r="D384" s="1" t="n">
        <v>962.92</v>
      </c>
      <c r="E384" s="1" t="n">
        <v>5615.5</v>
      </c>
      <c r="F384" s="172" t="n">
        <v>0.171475</v>
      </c>
      <c r="G384" s="1" t="s">
        <v>123</v>
      </c>
      <c r="H384" s="1" t="s">
        <v>119</v>
      </c>
      <c r="I384" s="1" t="n">
        <v>11962387340</v>
      </c>
      <c r="J384" s="1" t="s">
        <v>1244</v>
      </c>
      <c r="K384" s="1" t="s">
        <v>104</v>
      </c>
      <c r="L384" s="1" t="s">
        <v>119</v>
      </c>
      <c r="M384" s="1" t="n">
        <v>11962387340</v>
      </c>
      <c r="N384" s="1" t="n">
        <v>962.92</v>
      </c>
      <c r="O384" s="1" t="n">
        <v>467.96</v>
      </c>
      <c r="P384" s="1" t="s">
        <v>1281</v>
      </c>
      <c r="Q384" s="1" t="s">
        <v>100</v>
      </c>
      <c r="S384" s="1" t="s">
        <v>1278</v>
      </c>
      <c r="T384" s="1" t="s">
        <v>1274</v>
      </c>
      <c r="V384" s="1" t="s">
        <v>1293</v>
      </c>
      <c r="W384" s="1" t="s">
        <v>1276</v>
      </c>
    </row>
    <row r="385" customFormat="false" ht="15" hidden="false" customHeight="true" outlineLevel="0" collapsed="false">
      <c r="A385" s="1" t="n">
        <v>0.146303</v>
      </c>
      <c r="B385" s="1" t="s">
        <v>1131</v>
      </c>
      <c r="C385" s="1" t="n">
        <v>6566.04</v>
      </c>
      <c r="D385" s="1" t="n">
        <v>960.63</v>
      </c>
      <c r="E385" s="1" t="n">
        <v>6566.04</v>
      </c>
      <c r="F385" s="172" t="n">
        <v>0.146303</v>
      </c>
      <c r="G385" s="1" t="s">
        <v>110</v>
      </c>
      <c r="H385" s="1" t="s">
        <v>196</v>
      </c>
      <c r="I385" s="1" t="n">
        <v>5198059537</v>
      </c>
      <c r="J385" s="1" t="s">
        <v>1244</v>
      </c>
      <c r="K385" s="1" t="s">
        <v>110</v>
      </c>
      <c r="L385" s="1" t="s">
        <v>196</v>
      </c>
      <c r="M385" s="1" t="n">
        <v>5198059537</v>
      </c>
      <c r="N385" s="1" t="n">
        <v>960.63</v>
      </c>
      <c r="O385" s="1" t="n">
        <v>547.17</v>
      </c>
      <c r="P385" s="1" t="s">
        <v>1286</v>
      </c>
      <c r="Q385" s="1" t="s">
        <v>184</v>
      </c>
      <c r="S385" s="1" t="s">
        <v>1278</v>
      </c>
      <c r="T385" s="1" t="s">
        <v>1274</v>
      </c>
      <c r="V385" s="1" t="s">
        <v>1293</v>
      </c>
      <c r="W385" s="1" t="s">
        <v>1284</v>
      </c>
    </row>
    <row r="386" customFormat="false" ht="15" hidden="false" customHeight="true" outlineLevel="0" collapsed="false">
      <c r="A386" s="1" t="n">
        <v>0.170834</v>
      </c>
      <c r="B386" s="1" t="s">
        <v>1131</v>
      </c>
      <c r="C386" s="1" t="n">
        <v>5615.5</v>
      </c>
      <c r="D386" s="1" t="n">
        <v>959.32</v>
      </c>
      <c r="E386" s="1" t="n">
        <v>5615.5</v>
      </c>
      <c r="F386" s="172" t="n">
        <v>0.170834</v>
      </c>
      <c r="G386" s="1" t="s">
        <v>123</v>
      </c>
      <c r="H386" s="1" t="s">
        <v>109</v>
      </c>
      <c r="I386" s="1" t="n">
        <v>44303935354</v>
      </c>
      <c r="J386" s="1" t="s">
        <v>1244</v>
      </c>
      <c r="K386" s="1" t="s">
        <v>104</v>
      </c>
      <c r="L386" s="1" t="s">
        <v>109</v>
      </c>
      <c r="M386" s="1" t="n">
        <v>44303935354</v>
      </c>
      <c r="N386" s="1" t="n">
        <v>959.32</v>
      </c>
      <c r="O386" s="1" t="n">
        <v>467.96</v>
      </c>
      <c r="P386" s="1" t="s">
        <v>1277</v>
      </c>
      <c r="Q386" s="1" t="s">
        <v>108</v>
      </c>
      <c r="S386" s="1" t="s">
        <v>1278</v>
      </c>
      <c r="T386" s="1" t="s">
        <v>1279</v>
      </c>
      <c r="V386" s="1" t="s">
        <v>1293</v>
      </c>
      <c r="W386" s="1" t="s">
        <v>1276</v>
      </c>
    </row>
    <row r="387" customFormat="false" ht="15" hidden="false" customHeight="true" outlineLevel="0" collapsed="false">
      <c r="A387" s="1" t="n">
        <v>0.132479</v>
      </c>
      <c r="B387" s="1" t="s">
        <v>1131</v>
      </c>
      <c r="C387" s="1" t="n">
        <v>7200</v>
      </c>
      <c r="D387" s="1" t="n">
        <v>953.85</v>
      </c>
      <c r="E387" s="1" t="n">
        <v>7200</v>
      </c>
      <c r="F387" s="172" t="n">
        <v>0.132479</v>
      </c>
      <c r="G387" s="1" t="s">
        <v>906</v>
      </c>
      <c r="H387" s="1" t="s">
        <v>146</v>
      </c>
      <c r="I387" s="1" t="n">
        <v>9381170535</v>
      </c>
      <c r="J387" s="1" t="s">
        <v>1244</v>
      </c>
      <c r="K387" s="1" t="s">
        <v>104</v>
      </c>
      <c r="L387" s="1" t="s">
        <v>146</v>
      </c>
      <c r="M387" s="1" t="n">
        <v>9381170535</v>
      </c>
      <c r="N387" s="1" t="n">
        <v>953.85</v>
      </c>
      <c r="O387" s="1" t="n">
        <v>600</v>
      </c>
      <c r="P387" s="1" t="s">
        <v>1283</v>
      </c>
      <c r="Q387" s="1" t="s">
        <v>100</v>
      </c>
      <c r="S387" s="1" t="s">
        <v>1278</v>
      </c>
      <c r="T387" s="1" t="s">
        <v>1274</v>
      </c>
      <c r="V387" s="1" t="s">
        <v>1293</v>
      </c>
      <c r="W387" s="1" t="s">
        <v>1276</v>
      </c>
    </row>
    <row r="388" customFormat="false" ht="15" hidden="false" customHeight="true" outlineLevel="0" collapsed="false">
      <c r="A388" s="1" t="n">
        <v>0.092392</v>
      </c>
      <c r="B388" s="1" t="s">
        <v>1131</v>
      </c>
      <c r="C388" s="1" t="n">
        <v>10200</v>
      </c>
      <c r="D388" s="1" t="n">
        <v>942.4</v>
      </c>
      <c r="E388" s="1" t="n">
        <v>10200</v>
      </c>
      <c r="F388" s="172" t="n">
        <v>0.092392</v>
      </c>
      <c r="G388" s="1" t="s">
        <v>115</v>
      </c>
      <c r="H388" s="1" t="s">
        <v>109</v>
      </c>
      <c r="I388" s="1" t="n">
        <v>14996616661</v>
      </c>
      <c r="J388" s="1" t="s">
        <v>1246</v>
      </c>
      <c r="K388" s="1" t="s">
        <v>115</v>
      </c>
      <c r="L388" s="1" t="s">
        <v>109</v>
      </c>
      <c r="M388" s="1" t="n">
        <v>14996616661</v>
      </c>
      <c r="N388" s="1" t="n">
        <v>942.4</v>
      </c>
      <c r="O388" s="1" t="n">
        <v>850</v>
      </c>
      <c r="P388" s="1" t="s">
        <v>1286</v>
      </c>
      <c r="Q388" s="1" t="s">
        <v>184</v>
      </c>
      <c r="S388" s="1" t="s">
        <v>1278</v>
      </c>
      <c r="T388" s="1" t="s">
        <v>1274</v>
      </c>
      <c r="V388" s="1" t="s">
        <v>1293</v>
      </c>
      <c r="W388" s="1" t="s">
        <v>1284</v>
      </c>
    </row>
    <row r="389" customFormat="false" ht="15" hidden="false" customHeight="true" outlineLevel="0" collapsed="false">
      <c r="A389" s="1" t="n">
        <v>0.087911</v>
      </c>
      <c r="B389" s="1" t="s">
        <v>1131</v>
      </c>
      <c r="C389" s="1" t="n">
        <v>10706.9</v>
      </c>
      <c r="D389" s="1" t="n">
        <v>941.25</v>
      </c>
      <c r="E389" s="1" t="n">
        <v>10706.9</v>
      </c>
      <c r="F389" s="172" t="n">
        <v>0.087911</v>
      </c>
      <c r="G389" s="1" t="s">
        <v>66</v>
      </c>
      <c r="H389" s="1" t="s">
        <v>139</v>
      </c>
      <c r="I389" s="1" t="n">
        <v>4888553393</v>
      </c>
      <c r="J389" s="1" t="s">
        <v>1246</v>
      </c>
      <c r="K389" s="1" t="s">
        <v>66</v>
      </c>
      <c r="L389" s="1" t="s">
        <v>139</v>
      </c>
      <c r="M389" s="1" t="n">
        <v>4888553393</v>
      </c>
      <c r="N389" s="1" t="n">
        <v>941.25</v>
      </c>
      <c r="O389" s="1" t="n">
        <v>892.24</v>
      </c>
      <c r="P389" s="1" t="s">
        <v>1286</v>
      </c>
      <c r="Q389" s="1" t="s">
        <v>175</v>
      </c>
      <c r="S389" s="1" t="s">
        <v>1287</v>
      </c>
      <c r="T389" s="1" t="s">
        <v>1274</v>
      </c>
      <c r="V389" s="1" t="s">
        <v>1293</v>
      </c>
      <c r="W389" s="1" t="s">
        <v>1284</v>
      </c>
    </row>
    <row r="390" customFormat="false" ht="15" hidden="false" customHeight="true" outlineLevel="0" collapsed="false">
      <c r="A390" s="1" t="n">
        <v>0.167452</v>
      </c>
      <c r="B390" s="1" t="s">
        <v>1131</v>
      </c>
      <c r="C390" s="1" t="n">
        <v>5615.5</v>
      </c>
      <c r="D390" s="1" t="n">
        <v>940.33</v>
      </c>
      <c r="E390" s="1" t="n">
        <v>5615.5</v>
      </c>
      <c r="F390" s="172" t="n">
        <v>0.167452</v>
      </c>
      <c r="G390" s="1" t="s">
        <v>123</v>
      </c>
      <c r="H390" s="1" t="s">
        <v>119</v>
      </c>
      <c r="I390" s="1" t="n">
        <v>17992119555</v>
      </c>
      <c r="J390" s="1" t="s">
        <v>1244</v>
      </c>
      <c r="K390" s="1" t="s">
        <v>104</v>
      </c>
      <c r="L390" s="1" t="s">
        <v>119</v>
      </c>
      <c r="M390" s="1" t="n">
        <v>17992119555</v>
      </c>
      <c r="N390" s="1" t="n">
        <v>940.33</v>
      </c>
      <c r="O390" s="1" t="n">
        <v>467.96</v>
      </c>
      <c r="P390" s="1" t="s">
        <v>1281</v>
      </c>
      <c r="Q390" s="1" t="s">
        <v>100</v>
      </c>
      <c r="S390" s="1" t="s">
        <v>1004</v>
      </c>
      <c r="T390" s="1" t="s">
        <v>1274</v>
      </c>
      <c r="V390" s="1" t="s">
        <v>1293</v>
      </c>
      <c r="W390" s="1" t="s">
        <v>1276</v>
      </c>
    </row>
    <row r="391" customFormat="false" ht="15" hidden="false" customHeight="true" outlineLevel="0" collapsed="false">
      <c r="A391" s="1" t="n">
        <v>0.166835</v>
      </c>
      <c r="B391" s="1" t="s">
        <v>1131</v>
      </c>
      <c r="C391" s="1" t="n">
        <v>5615.5</v>
      </c>
      <c r="D391" s="1" t="n">
        <v>936.86</v>
      </c>
      <c r="E391" s="1" t="n">
        <v>5615.5</v>
      </c>
      <c r="F391" s="172" t="n">
        <v>0.166835</v>
      </c>
      <c r="G391" s="1" t="s">
        <v>123</v>
      </c>
      <c r="H391" s="1" t="s">
        <v>139</v>
      </c>
      <c r="I391" s="1" t="n">
        <v>4791193771</v>
      </c>
      <c r="J391" s="1" t="s">
        <v>1244</v>
      </c>
      <c r="K391" s="1" t="s">
        <v>104</v>
      </c>
      <c r="L391" s="1" t="s">
        <v>139</v>
      </c>
      <c r="M391" s="1" t="n">
        <v>4791193771</v>
      </c>
      <c r="N391" s="1" t="n">
        <v>936.86</v>
      </c>
      <c r="O391" s="1" t="n">
        <v>467.96</v>
      </c>
      <c r="P391" s="1" t="s">
        <v>1277</v>
      </c>
      <c r="Q391" s="1" t="s">
        <v>108</v>
      </c>
      <c r="S391" s="1" t="s">
        <v>1278</v>
      </c>
      <c r="T391" s="1" t="s">
        <v>1274</v>
      </c>
      <c r="V391" s="1" t="s">
        <v>1293</v>
      </c>
      <c r="W391" s="1" t="s">
        <v>1276</v>
      </c>
    </row>
    <row r="392" customFormat="false" ht="15" hidden="false" customHeight="true" outlineLevel="0" collapsed="false">
      <c r="A392" s="1" t="n">
        <v>0.091079</v>
      </c>
      <c r="B392" s="1" t="s">
        <v>1131</v>
      </c>
      <c r="C392" s="1" t="n">
        <v>10200</v>
      </c>
      <c r="D392" s="1" t="n">
        <v>929.01</v>
      </c>
      <c r="E392" s="1" t="n">
        <v>10200</v>
      </c>
      <c r="F392" s="172" t="n">
        <v>0.091079</v>
      </c>
      <c r="G392" s="1" t="s">
        <v>115</v>
      </c>
      <c r="H392" s="1" t="s">
        <v>243</v>
      </c>
      <c r="I392" s="1" t="n">
        <v>7399407732</v>
      </c>
      <c r="J392" s="1" t="s">
        <v>1246</v>
      </c>
      <c r="K392" s="1" t="s">
        <v>115</v>
      </c>
      <c r="L392" s="1" t="s">
        <v>243</v>
      </c>
      <c r="M392" s="1" t="n">
        <v>7399407732</v>
      </c>
      <c r="N392" s="1" t="n">
        <v>929.01</v>
      </c>
      <c r="O392" s="1" t="n">
        <v>850</v>
      </c>
      <c r="P392" s="1" t="s">
        <v>1286</v>
      </c>
      <c r="Q392" s="1" t="s">
        <v>184</v>
      </c>
      <c r="S392" s="1" t="s">
        <v>1278</v>
      </c>
      <c r="T392" s="1" t="s">
        <v>1274</v>
      </c>
      <c r="V392" s="1" t="s">
        <v>1293</v>
      </c>
      <c r="W392" s="1" t="s">
        <v>1284</v>
      </c>
    </row>
    <row r="393" customFormat="false" ht="15" hidden="false" customHeight="true" outlineLevel="0" collapsed="false">
      <c r="A393" s="1" t="n">
        <v>0.164512</v>
      </c>
      <c r="B393" s="1" t="s">
        <v>1131</v>
      </c>
      <c r="C393" s="1" t="n">
        <v>5615.5</v>
      </c>
      <c r="D393" s="1" t="n">
        <v>923.82</v>
      </c>
      <c r="E393" s="1" t="n">
        <v>5615.5</v>
      </c>
      <c r="F393" s="172" t="n">
        <v>0.164512</v>
      </c>
      <c r="G393" s="1" t="s">
        <v>123</v>
      </c>
      <c r="H393" s="1" t="s">
        <v>119</v>
      </c>
      <c r="I393" s="1" t="n">
        <v>16993154374</v>
      </c>
      <c r="J393" s="1" t="s">
        <v>1244</v>
      </c>
      <c r="K393" s="1" t="s">
        <v>104</v>
      </c>
      <c r="L393" s="1" t="s">
        <v>119</v>
      </c>
      <c r="M393" s="1" t="n">
        <v>16993154374</v>
      </c>
      <c r="N393" s="1" t="n">
        <v>923.82</v>
      </c>
      <c r="O393" s="1" t="n">
        <v>467.96</v>
      </c>
      <c r="P393" s="1" t="s">
        <v>1281</v>
      </c>
      <c r="Q393" s="1" t="s">
        <v>100</v>
      </c>
      <c r="S393" s="1" t="s">
        <v>1004</v>
      </c>
      <c r="T393" s="1" t="s">
        <v>1274</v>
      </c>
      <c r="V393" s="1" t="s">
        <v>1293</v>
      </c>
      <c r="W393" s="1" t="s">
        <v>1276</v>
      </c>
    </row>
    <row r="394" customFormat="false" ht="15" hidden="false" customHeight="true" outlineLevel="0" collapsed="false">
      <c r="A394" s="1" t="n">
        <v>0.155142</v>
      </c>
      <c r="B394" s="1" t="s">
        <v>1131</v>
      </c>
      <c r="C394" s="1" t="n">
        <v>5615.5</v>
      </c>
      <c r="D394" s="1" t="n">
        <v>871.2</v>
      </c>
      <c r="E394" s="1" t="n">
        <v>5615.5</v>
      </c>
      <c r="F394" s="172" t="n">
        <v>0.155142</v>
      </c>
      <c r="G394" s="1" t="s">
        <v>123</v>
      </c>
      <c r="H394" s="1" t="s">
        <v>127</v>
      </c>
      <c r="I394" s="1" t="n">
        <v>62995679045</v>
      </c>
      <c r="J394" s="1" t="s">
        <v>1244</v>
      </c>
      <c r="K394" s="1" t="s">
        <v>104</v>
      </c>
      <c r="L394" s="1" t="s">
        <v>127</v>
      </c>
      <c r="M394" s="1" t="n">
        <v>62995679045</v>
      </c>
      <c r="N394" s="1" t="n">
        <v>871.2</v>
      </c>
      <c r="O394" s="1" t="n">
        <v>467.96</v>
      </c>
      <c r="P394" s="1" t="s">
        <v>1273</v>
      </c>
      <c r="Q394" s="1" t="s">
        <v>100</v>
      </c>
      <c r="S394" s="1" t="s">
        <v>1278</v>
      </c>
      <c r="T394" s="1" t="s">
        <v>1274</v>
      </c>
      <c r="V394" s="1" t="s">
        <v>1293</v>
      </c>
      <c r="W394" s="1" t="s">
        <v>1276</v>
      </c>
    </row>
    <row r="395" customFormat="false" ht="15" hidden="false" customHeight="true" outlineLevel="0" collapsed="false">
      <c r="A395" s="1" t="n">
        <v>0.154918</v>
      </c>
      <c r="B395" s="1" t="s">
        <v>1131</v>
      </c>
      <c r="C395" s="1" t="n">
        <v>5615.5</v>
      </c>
      <c r="D395" s="1" t="n">
        <v>869.94</v>
      </c>
      <c r="E395" s="1" t="n">
        <v>5615.5</v>
      </c>
      <c r="F395" s="172" t="n">
        <v>0.154918</v>
      </c>
      <c r="G395" s="1" t="s">
        <v>123</v>
      </c>
      <c r="H395" s="1" t="s">
        <v>139</v>
      </c>
      <c r="I395" s="1" t="n">
        <v>49991094461</v>
      </c>
      <c r="J395" s="1" t="s">
        <v>1244</v>
      </c>
      <c r="K395" s="1" t="s">
        <v>104</v>
      </c>
      <c r="L395" s="1" t="s">
        <v>139</v>
      </c>
      <c r="M395" s="1" t="n">
        <v>49991094461</v>
      </c>
      <c r="N395" s="1" t="n">
        <v>869.94</v>
      </c>
      <c r="O395" s="1" t="n">
        <v>467.96</v>
      </c>
      <c r="P395" s="1" t="s">
        <v>1277</v>
      </c>
      <c r="Q395" s="1" t="s">
        <v>108</v>
      </c>
      <c r="S395" s="1" t="s">
        <v>1278</v>
      </c>
      <c r="T395" s="1" t="s">
        <v>1279</v>
      </c>
      <c r="V395" s="1" t="s">
        <v>1293</v>
      </c>
      <c r="W395" s="1" t="s">
        <v>1276</v>
      </c>
    </row>
    <row r="396" customFormat="false" ht="15" hidden="false" customHeight="true" outlineLevel="0" collapsed="false">
      <c r="A396" s="1" t="n">
        <v>0.097291</v>
      </c>
      <c r="B396" s="1" t="s">
        <v>1131</v>
      </c>
      <c r="C396" s="1" t="n">
        <v>8833.33</v>
      </c>
      <c r="D396" s="1" t="n">
        <v>859.4</v>
      </c>
      <c r="E396" s="1" t="n">
        <v>8833.33</v>
      </c>
      <c r="F396" s="172" t="n">
        <v>0.097291</v>
      </c>
      <c r="G396" s="1" t="s">
        <v>1289</v>
      </c>
      <c r="H396" s="1" t="s">
        <v>196</v>
      </c>
      <c r="I396" s="1" t="n">
        <v>5430289041</v>
      </c>
      <c r="J396" s="1" t="s">
        <v>1246</v>
      </c>
      <c r="K396" s="1" t="s">
        <v>128</v>
      </c>
      <c r="L396" s="1" t="s">
        <v>196</v>
      </c>
      <c r="M396" s="1" t="n">
        <v>5430289041</v>
      </c>
      <c r="N396" s="1" t="n">
        <v>859.4</v>
      </c>
      <c r="O396" s="1" t="n">
        <v>736.11</v>
      </c>
      <c r="P396" s="1" t="s">
        <v>1286</v>
      </c>
      <c r="Q396" s="1" t="s">
        <v>184</v>
      </c>
      <c r="S396" s="1" t="s">
        <v>1278</v>
      </c>
      <c r="T396" s="1" t="s">
        <v>1274</v>
      </c>
      <c r="V396" s="1" t="s">
        <v>1293</v>
      </c>
      <c r="W396" s="1" t="s">
        <v>1284</v>
      </c>
    </row>
    <row r="397" customFormat="false" ht="15" hidden="false" customHeight="true" outlineLevel="0" collapsed="false">
      <c r="A397" s="1" t="n">
        <v>0.152859</v>
      </c>
      <c r="B397" s="1" t="s">
        <v>1131</v>
      </c>
      <c r="C397" s="1" t="n">
        <v>5615.5</v>
      </c>
      <c r="D397" s="1" t="n">
        <v>858.38</v>
      </c>
      <c r="E397" s="1" t="n">
        <v>5615.5</v>
      </c>
      <c r="F397" s="172" t="n">
        <v>0.152859</v>
      </c>
      <c r="G397" s="1" t="s">
        <v>123</v>
      </c>
      <c r="H397" s="1" t="s">
        <v>109</v>
      </c>
      <c r="I397" s="1" t="n">
        <v>43991478823</v>
      </c>
      <c r="J397" s="1" t="s">
        <v>1244</v>
      </c>
      <c r="K397" s="1" t="s">
        <v>104</v>
      </c>
      <c r="L397" s="1" t="s">
        <v>109</v>
      </c>
      <c r="M397" s="1" t="n">
        <v>43991478823</v>
      </c>
      <c r="N397" s="1" t="n">
        <v>858.38</v>
      </c>
      <c r="O397" s="1" t="n">
        <v>467.96</v>
      </c>
      <c r="P397" s="1" t="s">
        <v>1277</v>
      </c>
      <c r="Q397" s="1" t="s">
        <v>108</v>
      </c>
      <c r="S397" s="1" t="s">
        <v>1278</v>
      </c>
      <c r="T397" s="1" t="s">
        <v>1279</v>
      </c>
      <c r="V397" s="1" t="s">
        <v>1293</v>
      </c>
      <c r="W397" s="1" t="s">
        <v>1276</v>
      </c>
    </row>
    <row r="398" customFormat="false" ht="15" hidden="false" customHeight="true" outlineLevel="0" collapsed="false">
      <c r="A398" s="1" t="n">
        <v>0.128894</v>
      </c>
      <c r="B398" s="1" t="s">
        <v>1131</v>
      </c>
      <c r="C398" s="1" t="n">
        <v>6566.04</v>
      </c>
      <c r="D398" s="1" t="n">
        <v>846.32</v>
      </c>
      <c r="E398" s="1" t="n">
        <v>6566.04</v>
      </c>
      <c r="F398" s="172" t="n">
        <v>0.128894</v>
      </c>
      <c r="G398" s="1" t="s">
        <v>110</v>
      </c>
      <c r="H398" s="1" t="s">
        <v>196</v>
      </c>
      <c r="I398" s="1" t="n">
        <v>5198059537</v>
      </c>
      <c r="J398" s="1" t="s">
        <v>1244</v>
      </c>
      <c r="K398" s="1" t="s">
        <v>110</v>
      </c>
      <c r="L398" s="1" t="s">
        <v>196</v>
      </c>
      <c r="M398" s="1" t="n">
        <v>5198059537</v>
      </c>
      <c r="N398" s="1" t="n">
        <v>846.32</v>
      </c>
      <c r="O398" s="1" t="n">
        <v>547.17</v>
      </c>
      <c r="P398" s="1" t="s">
        <v>1286</v>
      </c>
      <c r="Q398" s="1" t="s">
        <v>184</v>
      </c>
      <c r="S398" s="1" t="s">
        <v>1278</v>
      </c>
      <c r="T398" s="1" t="s">
        <v>1274</v>
      </c>
      <c r="V398" s="1" t="s">
        <v>1293</v>
      </c>
      <c r="W398" s="1" t="s">
        <v>1284</v>
      </c>
    </row>
    <row r="399" customFormat="false" ht="15" hidden="false" customHeight="true" outlineLevel="0" collapsed="false">
      <c r="A399" s="1" t="n">
        <v>0.150654</v>
      </c>
      <c r="B399" s="1" t="s">
        <v>1131</v>
      </c>
      <c r="C399" s="1" t="n">
        <v>5615.5</v>
      </c>
      <c r="D399" s="1" t="n">
        <v>846</v>
      </c>
      <c r="E399" s="1" t="n">
        <v>5615.5</v>
      </c>
      <c r="F399" s="172" t="n">
        <v>0.150654</v>
      </c>
      <c r="G399" s="1" t="s">
        <v>123</v>
      </c>
      <c r="H399" s="1" t="s">
        <v>119</v>
      </c>
      <c r="I399" s="1" t="n">
        <v>1138191933</v>
      </c>
      <c r="J399" s="1" t="s">
        <v>1244</v>
      </c>
      <c r="K399" s="1" t="s">
        <v>104</v>
      </c>
      <c r="L399" s="1" t="s">
        <v>119</v>
      </c>
      <c r="M399" s="1" t="n">
        <v>1138191933</v>
      </c>
      <c r="N399" s="1" t="n">
        <v>846</v>
      </c>
      <c r="O399" s="1" t="n">
        <v>467.96</v>
      </c>
      <c r="P399" s="1" t="s">
        <v>1285</v>
      </c>
      <c r="Q399" s="1" t="s">
        <v>100</v>
      </c>
      <c r="S399" s="1" t="s">
        <v>1004</v>
      </c>
      <c r="T399" s="1" t="s">
        <v>1274</v>
      </c>
      <c r="V399" s="1" t="s">
        <v>1293</v>
      </c>
      <c r="W399" s="1" t="s">
        <v>1276</v>
      </c>
    </row>
    <row r="400" customFormat="false" ht="15" hidden="false" customHeight="true" outlineLevel="0" collapsed="false">
      <c r="A400" s="1" t="n">
        <v>0.148818</v>
      </c>
      <c r="B400" s="1" t="s">
        <v>1131</v>
      </c>
      <c r="C400" s="1" t="n">
        <v>5615.5</v>
      </c>
      <c r="D400" s="1" t="n">
        <v>835.69</v>
      </c>
      <c r="E400" s="1" t="n">
        <v>5615.5</v>
      </c>
      <c r="F400" s="172" t="n">
        <v>0.148818</v>
      </c>
      <c r="G400" s="1" t="s">
        <v>123</v>
      </c>
      <c r="H400" s="1" t="s">
        <v>119</v>
      </c>
      <c r="I400" s="1" t="n">
        <v>11964067326</v>
      </c>
      <c r="J400" s="1" t="s">
        <v>1244</v>
      </c>
      <c r="K400" s="1" t="s">
        <v>104</v>
      </c>
      <c r="L400" s="1" t="s">
        <v>119</v>
      </c>
      <c r="M400" s="1" t="n">
        <v>11964067326</v>
      </c>
      <c r="N400" s="1" t="n">
        <v>835.69</v>
      </c>
      <c r="O400" s="1" t="n">
        <v>467.96</v>
      </c>
      <c r="P400" s="1" t="s">
        <v>1285</v>
      </c>
      <c r="Q400" s="1" t="s">
        <v>108</v>
      </c>
      <c r="S400" s="1" t="s">
        <v>1278</v>
      </c>
      <c r="T400" s="1" t="s">
        <v>1279</v>
      </c>
      <c r="V400" s="1" t="s">
        <v>1293</v>
      </c>
      <c r="W400" s="1" t="s">
        <v>1276</v>
      </c>
    </row>
    <row r="401" customFormat="false" ht="15" hidden="false" customHeight="true" outlineLevel="0" collapsed="false">
      <c r="A401" s="1" t="n">
        <v>0.147944</v>
      </c>
      <c r="B401" s="1" t="s">
        <v>1131</v>
      </c>
      <c r="C401" s="1" t="n">
        <v>5615.5</v>
      </c>
      <c r="D401" s="1" t="n">
        <v>830.78</v>
      </c>
      <c r="E401" s="1" t="n">
        <v>5615.5</v>
      </c>
      <c r="F401" s="172" t="n">
        <v>0.147944</v>
      </c>
      <c r="G401" s="1" t="s">
        <v>123</v>
      </c>
      <c r="H401" s="1" t="s">
        <v>935</v>
      </c>
      <c r="I401" s="1" t="n">
        <v>8399404210</v>
      </c>
      <c r="J401" s="1" t="s">
        <v>1244</v>
      </c>
      <c r="K401" s="1" t="s">
        <v>104</v>
      </c>
      <c r="L401" s="1" t="s">
        <v>935</v>
      </c>
      <c r="M401" s="1" t="n">
        <v>8399404210</v>
      </c>
      <c r="N401" s="1" t="n">
        <v>830.78</v>
      </c>
      <c r="O401" s="1" t="n">
        <v>467.96</v>
      </c>
      <c r="P401" s="1" t="s">
        <v>1282</v>
      </c>
      <c r="Q401" s="1" t="s">
        <v>100</v>
      </c>
      <c r="S401" s="1" t="s">
        <v>1004</v>
      </c>
      <c r="T401" s="1" t="s">
        <v>1274</v>
      </c>
      <c r="V401" s="1" t="s">
        <v>1293</v>
      </c>
      <c r="W401" s="1" t="s">
        <v>1276</v>
      </c>
    </row>
    <row r="402" customFormat="false" ht="15" hidden="false" customHeight="true" outlineLevel="0" collapsed="false">
      <c r="A402" s="1" t="n">
        <v>0.147531</v>
      </c>
      <c r="B402" s="1" t="s">
        <v>1131</v>
      </c>
      <c r="C402" s="1" t="n">
        <v>5615.5</v>
      </c>
      <c r="D402" s="1" t="n">
        <v>828.46</v>
      </c>
      <c r="E402" s="1" t="n">
        <v>5615.5</v>
      </c>
      <c r="F402" s="172" t="n">
        <v>0.147531</v>
      </c>
      <c r="G402" s="1" t="s">
        <v>123</v>
      </c>
      <c r="H402" s="1" t="s">
        <v>187</v>
      </c>
      <c r="I402" s="1" t="n">
        <v>81984682343</v>
      </c>
      <c r="J402" s="1" t="s">
        <v>1244</v>
      </c>
      <c r="K402" s="1" t="s">
        <v>104</v>
      </c>
      <c r="L402" s="1" t="s">
        <v>187</v>
      </c>
      <c r="M402" s="1" t="n">
        <v>81984682343</v>
      </c>
      <c r="N402" s="1" t="n">
        <v>828.46</v>
      </c>
      <c r="O402" s="1" t="n">
        <v>467.96</v>
      </c>
      <c r="P402" s="1" t="s">
        <v>1282</v>
      </c>
      <c r="Q402" s="1" t="s">
        <v>100</v>
      </c>
      <c r="S402" s="1" t="s">
        <v>1004</v>
      </c>
      <c r="T402" s="1" t="s">
        <v>1274</v>
      </c>
      <c r="V402" s="1" t="s">
        <v>1293</v>
      </c>
      <c r="W402" s="1" t="s">
        <v>1276</v>
      </c>
    </row>
    <row r="403" customFormat="false" ht="15" hidden="false" customHeight="true" outlineLevel="0" collapsed="false">
      <c r="A403" s="1" t="n">
        <v>0.146968</v>
      </c>
      <c r="B403" s="1" t="s">
        <v>1131</v>
      </c>
      <c r="C403" s="1" t="n">
        <v>5615.5</v>
      </c>
      <c r="D403" s="1" t="n">
        <v>825.3</v>
      </c>
      <c r="E403" s="1" t="n">
        <v>5615.5</v>
      </c>
      <c r="F403" s="172" t="n">
        <v>0.146968</v>
      </c>
      <c r="G403" s="1" t="s">
        <v>123</v>
      </c>
      <c r="H403" s="1" t="s">
        <v>139</v>
      </c>
      <c r="I403" s="1" t="n">
        <v>48326680374</v>
      </c>
      <c r="J403" s="1" t="s">
        <v>1244</v>
      </c>
      <c r="K403" s="1" t="s">
        <v>104</v>
      </c>
      <c r="L403" s="1" t="s">
        <v>139</v>
      </c>
      <c r="M403" s="1" t="n">
        <v>48326680374</v>
      </c>
      <c r="N403" s="1" t="n">
        <v>825.3</v>
      </c>
      <c r="O403" s="1" t="n">
        <v>467.96</v>
      </c>
      <c r="P403" s="1" t="s">
        <v>1277</v>
      </c>
      <c r="Q403" s="1" t="s">
        <v>108</v>
      </c>
      <c r="S403" s="1" t="s">
        <v>1278</v>
      </c>
      <c r="T403" s="1" t="s">
        <v>1279</v>
      </c>
      <c r="V403" s="1" t="s">
        <v>1293</v>
      </c>
      <c r="W403" s="1" t="s">
        <v>1276</v>
      </c>
    </row>
    <row r="404" customFormat="false" ht="15" hidden="false" customHeight="true" outlineLevel="0" collapsed="false">
      <c r="A404" s="1" t="n">
        <v>0.146859</v>
      </c>
      <c r="B404" s="1" t="s">
        <v>1131</v>
      </c>
      <c r="C404" s="1" t="n">
        <v>5615.5</v>
      </c>
      <c r="D404" s="1" t="n">
        <v>824.69</v>
      </c>
      <c r="E404" s="1" t="n">
        <v>5615.5</v>
      </c>
      <c r="F404" s="172" t="n">
        <v>0.146859</v>
      </c>
      <c r="G404" s="1" t="s">
        <v>123</v>
      </c>
      <c r="H404" s="1" t="s">
        <v>139</v>
      </c>
      <c r="I404" s="1" t="n">
        <v>47984977786</v>
      </c>
      <c r="J404" s="1" t="s">
        <v>1244</v>
      </c>
      <c r="K404" s="1" t="s">
        <v>104</v>
      </c>
      <c r="L404" s="1" t="s">
        <v>139</v>
      </c>
      <c r="M404" s="1" t="n">
        <v>47984977786</v>
      </c>
      <c r="N404" s="1" t="n">
        <v>824.69</v>
      </c>
      <c r="O404" s="1" t="n">
        <v>467.96</v>
      </c>
      <c r="P404" s="1" t="s">
        <v>1277</v>
      </c>
      <c r="Q404" s="1" t="s">
        <v>108</v>
      </c>
      <c r="S404" s="1" t="s">
        <v>1278</v>
      </c>
      <c r="T404" s="1" t="s">
        <v>1279</v>
      </c>
      <c r="V404" s="1" t="s">
        <v>1293</v>
      </c>
      <c r="W404" s="1" t="s">
        <v>1276</v>
      </c>
    </row>
    <row r="405" customFormat="false" ht="15" hidden="false" customHeight="true" outlineLevel="0" collapsed="false">
      <c r="A405" s="1" t="n">
        <v>0.14175</v>
      </c>
      <c r="B405" s="1" t="s">
        <v>1131</v>
      </c>
      <c r="C405" s="1" t="n">
        <v>5615.5</v>
      </c>
      <c r="D405" s="1" t="n">
        <v>796</v>
      </c>
      <c r="E405" s="1" t="n">
        <v>5615.5</v>
      </c>
      <c r="F405" s="172" t="n">
        <v>0.14175</v>
      </c>
      <c r="G405" s="1" t="s">
        <v>123</v>
      </c>
      <c r="H405" s="1" t="s">
        <v>260</v>
      </c>
      <c r="I405" s="1" t="n">
        <v>21982480681</v>
      </c>
      <c r="J405" s="1" t="s">
        <v>1244</v>
      </c>
      <c r="K405" s="1" t="s">
        <v>104</v>
      </c>
      <c r="L405" s="1" t="s">
        <v>260</v>
      </c>
      <c r="M405" s="1" t="n">
        <v>21982480681</v>
      </c>
      <c r="N405" s="1" t="n">
        <v>796</v>
      </c>
      <c r="O405" s="1" t="n">
        <v>467.96</v>
      </c>
      <c r="P405" s="1" t="s">
        <v>1280</v>
      </c>
      <c r="Q405" s="1" t="s">
        <v>100</v>
      </c>
      <c r="S405" s="1" t="s">
        <v>1004</v>
      </c>
      <c r="T405" s="1" t="s">
        <v>1274</v>
      </c>
      <c r="V405" s="1" t="s">
        <v>1293</v>
      </c>
      <c r="W405" s="1" t="s">
        <v>1276</v>
      </c>
    </row>
    <row r="406" customFormat="false" ht="15" hidden="false" customHeight="true" outlineLevel="0" collapsed="false">
      <c r="A406" s="1" t="n">
        <v>0.073891</v>
      </c>
      <c r="B406" s="1" t="s">
        <v>1131</v>
      </c>
      <c r="C406" s="1" t="n">
        <v>10706.9</v>
      </c>
      <c r="D406" s="1" t="n">
        <v>791.14</v>
      </c>
      <c r="E406" s="1" t="n">
        <v>10706.9</v>
      </c>
      <c r="F406" s="172" t="n">
        <v>0.073891</v>
      </c>
      <c r="G406" s="1" t="s">
        <v>66</v>
      </c>
      <c r="H406" s="1" t="s">
        <v>119</v>
      </c>
      <c r="I406" s="1" t="n">
        <v>1183977705</v>
      </c>
      <c r="J406" s="1" t="s">
        <v>1246</v>
      </c>
      <c r="K406" s="1" t="s">
        <v>66</v>
      </c>
      <c r="L406" s="1" t="s">
        <v>119</v>
      </c>
      <c r="M406" s="1" t="n">
        <v>1183977705</v>
      </c>
      <c r="N406" s="1" t="n">
        <v>791.14</v>
      </c>
      <c r="O406" s="1" t="n">
        <v>892.24</v>
      </c>
      <c r="P406" s="1" t="s">
        <v>1286</v>
      </c>
      <c r="Q406" s="1" t="s">
        <v>175</v>
      </c>
      <c r="S406" s="1" t="s">
        <v>1278</v>
      </c>
      <c r="T406" s="1" t="s">
        <v>1274</v>
      </c>
      <c r="V406" s="1" t="s">
        <v>1293</v>
      </c>
      <c r="W406" s="1" t="s">
        <v>1284</v>
      </c>
    </row>
    <row r="407" customFormat="false" ht="15" hidden="false" customHeight="true" outlineLevel="0" collapsed="false">
      <c r="A407" s="1" t="n">
        <v>0.137833</v>
      </c>
      <c r="B407" s="1" t="s">
        <v>1131</v>
      </c>
      <c r="C407" s="1" t="n">
        <v>5615.5</v>
      </c>
      <c r="D407" s="1" t="n">
        <v>774</v>
      </c>
      <c r="E407" s="1" t="n">
        <v>5615.5</v>
      </c>
      <c r="F407" s="172" t="n">
        <v>0.137833</v>
      </c>
      <c r="G407" s="1" t="s">
        <v>123</v>
      </c>
      <c r="H407" s="1" t="s">
        <v>119</v>
      </c>
      <c r="I407" s="1" t="n">
        <v>1933655030</v>
      </c>
      <c r="J407" s="1" t="s">
        <v>1244</v>
      </c>
      <c r="K407" s="1" t="s">
        <v>104</v>
      </c>
      <c r="L407" s="1" t="s">
        <v>119</v>
      </c>
      <c r="M407" s="1" t="n">
        <v>1933655030</v>
      </c>
      <c r="N407" s="1" t="n">
        <v>774</v>
      </c>
      <c r="O407" s="1" t="n">
        <v>467.96</v>
      </c>
      <c r="P407" s="1" t="s">
        <v>1281</v>
      </c>
      <c r="Q407" s="1" t="s">
        <v>100</v>
      </c>
      <c r="S407" s="1" t="s">
        <v>1004</v>
      </c>
      <c r="T407" s="1" t="s">
        <v>1274</v>
      </c>
      <c r="V407" s="1" t="s">
        <v>1293</v>
      </c>
      <c r="W407" s="1" t="s">
        <v>1276</v>
      </c>
    </row>
    <row r="408" customFormat="false" ht="15" hidden="false" customHeight="true" outlineLevel="0" collapsed="false">
      <c r="A408" s="1" t="n">
        <v>0.137498</v>
      </c>
      <c r="B408" s="1" t="s">
        <v>1131</v>
      </c>
      <c r="C408" s="1" t="n">
        <v>5615.5</v>
      </c>
      <c r="D408" s="1" t="n">
        <v>772.12</v>
      </c>
      <c r="E408" s="1" t="n">
        <v>5615.5</v>
      </c>
      <c r="F408" s="172" t="n">
        <v>0.137498</v>
      </c>
      <c r="G408" s="1" t="s">
        <v>123</v>
      </c>
      <c r="H408" s="1" t="s">
        <v>139</v>
      </c>
      <c r="I408" s="1" t="n">
        <v>4792401103</v>
      </c>
      <c r="J408" s="1" t="s">
        <v>1244</v>
      </c>
      <c r="K408" s="1" t="s">
        <v>104</v>
      </c>
      <c r="L408" s="1" t="s">
        <v>139</v>
      </c>
      <c r="M408" s="1" t="n">
        <v>4792401103</v>
      </c>
      <c r="N408" s="1" t="n">
        <v>772.12</v>
      </c>
      <c r="O408" s="1" t="n">
        <v>467.96</v>
      </c>
      <c r="P408" s="1" t="s">
        <v>1277</v>
      </c>
      <c r="Q408" s="1" t="s">
        <v>108</v>
      </c>
      <c r="S408" s="1" t="s">
        <v>1278</v>
      </c>
      <c r="T408" s="1" t="s">
        <v>1279</v>
      </c>
      <c r="V408" s="1" t="s">
        <v>1293</v>
      </c>
      <c r="W408" s="1" t="s">
        <v>1276</v>
      </c>
    </row>
    <row r="409" customFormat="false" ht="15" hidden="false" customHeight="true" outlineLevel="0" collapsed="false">
      <c r="A409" s="1" t="n">
        <v>0.136764</v>
      </c>
      <c r="B409" s="1" t="s">
        <v>1131</v>
      </c>
      <c r="C409" s="1" t="n">
        <v>5615.5</v>
      </c>
      <c r="D409" s="1" t="n">
        <v>768</v>
      </c>
      <c r="E409" s="1" t="n">
        <v>5615.5</v>
      </c>
      <c r="F409" s="172" t="n">
        <v>0.136764</v>
      </c>
      <c r="G409" s="1" t="s">
        <v>123</v>
      </c>
      <c r="H409" s="1" t="s">
        <v>109</v>
      </c>
      <c r="I409" s="1" t="n">
        <v>41992825084</v>
      </c>
      <c r="J409" s="1" t="s">
        <v>1244</v>
      </c>
      <c r="K409" s="1" t="s">
        <v>104</v>
      </c>
      <c r="L409" s="1" t="s">
        <v>109</v>
      </c>
      <c r="M409" s="1" t="n">
        <v>41992825084</v>
      </c>
      <c r="N409" s="1" t="n">
        <v>768</v>
      </c>
      <c r="O409" s="1" t="n">
        <v>467.96</v>
      </c>
      <c r="P409" s="1" t="s">
        <v>1277</v>
      </c>
      <c r="Q409" s="1" t="s">
        <v>108</v>
      </c>
      <c r="S409" s="1" t="s">
        <v>1278</v>
      </c>
      <c r="T409" s="1" t="s">
        <v>1279</v>
      </c>
      <c r="V409" s="1" t="s">
        <v>1293</v>
      </c>
      <c r="W409" s="1" t="s">
        <v>1276</v>
      </c>
    </row>
    <row r="410" customFormat="false" ht="15" hidden="false" customHeight="true" outlineLevel="0" collapsed="false">
      <c r="A410" s="1" t="n">
        <v>0.070315</v>
      </c>
      <c r="B410" s="1" t="s">
        <v>1131</v>
      </c>
      <c r="C410" s="1" t="n">
        <v>10875</v>
      </c>
      <c r="D410" s="1" t="n">
        <v>764.68</v>
      </c>
      <c r="E410" s="1" t="n">
        <v>10875</v>
      </c>
      <c r="F410" s="172" t="n">
        <v>0.070315</v>
      </c>
      <c r="G410" s="1" t="s">
        <v>102</v>
      </c>
      <c r="H410" s="1" t="s">
        <v>139</v>
      </c>
      <c r="I410" s="1" t="n">
        <v>4888041731</v>
      </c>
      <c r="J410" s="1" t="s">
        <v>1246</v>
      </c>
      <c r="K410" s="1" t="s">
        <v>102</v>
      </c>
      <c r="L410" s="1" t="s">
        <v>139</v>
      </c>
      <c r="M410" s="1" t="n">
        <v>4888041731</v>
      </c>
      <c r="N410" s="1" t="n">
        <v>764.68</v>
      </c>
      <c r="O410" s="1" t="n">
        <v>906.25</v>
      </c>
      <c r="P410" s="1" t="s">
        <v>1286</v>
      </c>
      <c r="Q410" s="1" t="s">
        <v>175</v>
      </c>
      <c r="S410" s="1" t="s">
        <v>1287</v>
      </c>
      <c r="T410" s="1" t="s">
        <v>1274</v>
      </c>
      <c r="V410" s="1" t="s">
        <v>1293</v>
      </c>
      <c r="W410" s="1" t="s">
        <v>1284</v>
      </c>
    </row>
    <row r="411" customFormat="false" ht="15" hidden="false" customHeight="true" outlineLevel="0" collapsed="false">
      <c r="A411" s="1" t="n">
        <v>0.136145</v>
      </c>
      <c r="B411" s="1" t="s">
        <v>1131</v>
      </c>
      <c r="C411" s="1" t="n">
        <v>5615.5</v>
      </c>
      <c r="D411" s="1" t="n">
        <v>764.52</v>
      </c>
      <c r="E411" s="1" t="n">
        <v>5615.5</v>
      </c>
      <c r="F411" s="172" t="n">
        <v>0.136145</v>
      </c>
      <c r="G411" s="1" t="s">
        <v>123</v>
      </c>
      <c r="H411" s="1" t="s">
        <v>196</v>
      </c>
      <c r="I411" s="1" t="n">
        <v>51980517392</v>
      </c>
      <c r="J411" s="1" t="s">
        <v>1244</v>
      </c>
      <c r="K411" s="1" t="s">
        <v>104</v>
      </c>
      <c r="L411" s="1" t="s">
        <v>196</v>
      </c>
      <c r="M411" s="1" t="n">
        <v>51980517392</v>
      </c>
      <c r="N411" s="1" t="n">
        <v>764.52</v>
      </c>
      <c r="O411" s="1" t="n">
        <v>467.96</v>
      </c>
      <c r="P411" s="1" t="s">
        <v>1277</v>
      </c>
      <c r="Q411" s="1" t="s">
        <v>108</v>
      </c>
      <c r="S411" s="1" t="s">
        <v>1278</v>
      </c>
      <c r="T411" s="1" t="s">
        <v>1279</v>
      </c>
      <c r="V411" s="1" t="s">
        <v>1293</v>
      </c>
      <c r="W411" s="1" t="s">
        <v>1276</v>
      </c>
    </row>
    <row r="412" customFormat="false" ht="15" hidden="false" customHeight="true" outlineLevel="0" collapsed="false">
      <c r="A412" s="1" t="n">
        <v>0.069598</v>
      </c>
      <c r="B412" s="1" t="s">
        <v>1131</v>
      </c>
      <c r="C412" s="1" t="n">
        <v>10875</v>
      </c>
      <c r="D412" s="1" t="n">
        <v>756.88</v>
      </c>
      <c r="E412" s="1" t="n">
        <v>10875</v>
      </c>
      <c r="F412" s="172" t="n">
        <v>0.069598</v>
      </c>
      <c r="G412" s="1" t="s">
        <v>102</v>
      </c>
      <c r="H412" s="1" t="s">
        <v>139</v>
      </c>
      <c r="I412" s="1" t="n">
        <v>48996173674</v>
      </c>
      <c r="J412" s="1" t="s">
        <v>1246</v>
      </c>
      <c r="K412" s="1" t="s">
        <v>102</v>
      </c>
      <c r="L412" s="1" t="s">
        <v>139</v>
      </c>
      <c r="M412" s="1" t="n">
        <v>48996173674</v>
      </c>
      <c r="N412" s="1" t="n">
        <v>756.88</v>
      </c>
      <c r="O412" s="1" t="n">
        <v>906.25</v>
      </c>
      <c r="P412" s="1" t="s">
        <v>1286</v>
      </c>
      <c r="Q412" s="1" t="s">
        <v>175</v>
      </c>
      <c r="S412" s="1" t="s">
        <v>1287</v>
      </c>
      <c r="T412" s="1" t="s">
        <v>1274</v>
      </c>
      <c r="V412" s="1" t="s">
        <v>1293</v>
      </c>
      <c r="W412" s="1" t="s">
        <v>1284</v>
      </c>
    </row>
    <row r="413" customFormat="false" ht="15" hidden="false" customHeight="true" outlineLevel="0" collapsed="false">
      <c r="A413" s="1" t="n">
        <v>0.134652</v>
      </c>
      <c r="B413" s="1" t="s">
        <v>1131</v>
      </c>
      <c r="C413" s="1" t="n">
        <v>5615.5</v>
      </c>
      <c r="D413" s="1" t="n">
        <v>756.14</v>
      </c>
      <c r="E413" s="1" t="n">
        <v>5615.5</v>
      </c>
      <c r="F413" s="172" t="n">
        <v>0.134652</v>
      </c>
      <c r="G413" s="1" t="s">
        <v>123</v>
      </c>
      <c r="H413" s="1" t="s">
        <v>196</v>
      </c>
      <c r="I413" s="1" t="n">
        <v>51983137358</v>
      </c>
      <c r="J413" s="1" t="s">
        <v>1244</v>
      </c>
      <c r="K413" s="1" t="s">
        <v>104</v>
      </c>
      <c r="L413" s="1" t="s">
        <v>196</v>
      </c>
      <c r="M413" s="1" t="n">
        <v>51983137358</v>
      </c>
      <c r="N413" s="1" t="n">
        <v>756.14</v>
      </c>
      <c r="O413" s="1" t="n">
        <v>467.96</v>
      </c>
      <c r="P413" s="1" t="s">
        <v>1277</v>
      </c>
      <c r="Q413" s="1" t="s">
        <v>108</v>
      </c>
      <c r="S413" s="1" t="s">
        <v>1278</v>
      </c>
      <c r="T413" s="1" t="s">
        <v>1279</v>
      </c>
      <c r="V413" s="1" t="s">
        <v>1293</v>
      </c>
      <c r="W413" s="1" t="s">
        <v>1276</v>
      </c>
    </row>
    <row r="414" customFormat="false" ht="15" hidden="false" customHeight="true" outlineLevel="0" collapsed="false">
      <c r="A414" s="1" t="n">
        <v>0.134098</v>
      </c>
      <c r="B414" s="1" t="s">
        <v>1131</v>
      </c>
      <c r="C414" s="1" t="n">
        <v>5615.5</v>
      </c>
      <c r="D414" s="1" t="n">
        <v>753.03</v>
      </c>
      <c r="E414" s="1" t="n">
        <v>5615.5</v>
      </c>
      <c r="F414" s="172" t="n">
        <v>0.134098</v>
      </c>
      <c r="G414" s="1" t="s">
        <v>123</v>
      </c>
      <c r="H414" s="1" t="s">
        <v>109</v>
      </c>
      <c r="I414" s="1" t="n">
        <v>4399879730</v>
      </c>
      <c r="J414" s="1" t="s">
        <v>1244</v>
      </c>
      <c r="K414" s="1" t="s">
        <v>104</v>
      </c>
      <c r="L414" s="1" t="s">
        <v>109</v>
      </c>
      <c r="M414" s="1" t="n">
        <v>4399879730</v>
      </c>
      <c r="N414" s="1" t="n">
        <v>753.03</v>
      </c>
      <c r="O414" s="1" t="n">
        <v>467.96</v>
      </c>
      <c r="P414" s="1" t="s">
        <v>1277</v>
      </c>
      <c r="Q414" s="1" t="s">
        <v>108</v>
      </c>
      <c r="S414" s="1" t="s">
        <v>1278</v>
      </c>
      <c r="T414" s="1" t="s">
        <v>1274</v>
      </c>
      <c r="V414" s="1" t="s">
        <v>1293</v>
      </c>
      <c r="W414" s="1" t="s">
        <v>1276</v>
      </c>
    </row>
    <row r="415" customFormat="false" ht="15" hidden="false" customHeight="true" outlineLevel="0" collapsed="false">
      <c r="A415" s="1" t="n">
        <v>0.132134</v>
      </c>
      <c r="B415" s="1" t="s">
        <v>1131</v>
      </c>
      <c r="C415" s="1" t="n">
        <v>5615.5</v>
      </c>
      <c r="D415" s="1" t="n">
        <v>742</v>
      </c>
      <c r="E415" s="1" t="n">
        <v>5615.5</v>
      </c>
      <c r="F415" s="172" t="n">
        <v>0.132134</v>
      </c>
      <c r="G415" s="1" t="s">
        <v>123</v>
      </c>
      <c r="H415" s="1" t="s">
        <v>109</v>
      </c>
      <c r="I415" s="1" t="n">
        <v>4130581510</v>
      </c>
      <c r="J415" s="1" t="s">
        <v>1244</v>
      </c>
      <c r="K415" s="1" t="s">
        <v>104</v>
      </c>
      <c r="L415" s="1" t="s">
        <v>109</v>
      </c>
      <c r="M415" s="1" t="n">
        <v>4130581510</v>
      </c>
      <c r="N415" s="1" t="n">
        <v>742</v>
      </c>
      <c r="O415" s="1" t="n">
        <v>467.96</v>
      </c>
      <c r="P415" s="1" t="s">
        <v>1277</v>
      </c>
      <c r="Q415" s="1" t="s">
        <v>108</v>
      </c>
      <c r="S415" s="1" t="s">
        <v>1278</v>
      </c>
      <c r="T415" s="1" t="s">
        <v>1274</v>
      </c>
      <c r="V415" s="1" t="s">
        <v>1293</v>
      </c>
      <c r="W415" s="1" t="s">
        <v>1276</v>
      </c>
    </row>
    <row r="416" customFormat="false" ht="15" hidden="false" customHeight="true" outlineLevel="0" collapsed="false">
      <c r="A416" s="1" t="n">
        <v>0.128713</v>
      </c>
      <c r="B416" s="1" t="s">
        <v>1131</v>
      </c>
      <c r="C416" s="1" t="n">
        <v>5615.5</v>
      </c>
      <c r="D416" s="1" t="n">
        <v>722.79</v>
      </c>
      <c r="E416" s="1" t="n">
        <v>5615.5</v>
      </c>
      <c r="F416" s="172" t="n">
        <v>0.128713</v>
      </c>
      <c r="G416" s="1" t="s">
        <v>123</v>
      </c>
      <c r="H416" s="1" t="s">
        <v>196</v>
      </c>
      <c r="I416" s="1" t="n">
        <v>5499587823</v>
      </c>
      <c r="J416" s="1" t="s">
        <v>1244</v>
      </c>
      <c r="K416" s="1" t="s">
        <v>104</v>
      </c>
      <c r="L416" s="1" t="s">
        <v>196</v>
      </c>
      <c r="M416" s="1" t="n">
        <v>5499587823</v>
      </c>
      <c r="N416" s="1" t="n">
        <v>722.79</v>
      </c>
      <c r="O416" s="1" t="n">
        <v>467.96</v>
      </c>
      <c r="P416" s="1" t="s">
        <v>1277</v>
      </c>
      <c r="Q416" s="1" t="s">
        <v>108</v>
      </c>
      <c r="S416" s="1" t="s">
        <v>1278</v>
      </c>
      <c r="T416" s="1" t="s">
        <v>1279</v>
      </c>
      <c r="V416" s="1" t="s">
        <v>1293</v>
      </c>
      <c r="W416" s="1" t="s">
        <v>1276</v>
      </c>
    </row>
    <row r="417" customFormat="false" ht="15" hidden="false" customHeight="true" outlineLevel="0" collapsed="false">
      <c r="A417" s="1" t="n">
        <v>0.128288</v>
      </c>
      <c r="B417" s="1" t="s">
        <v>1131</v>
      </c>
      <c r="C417" s="1" t="n">
        <v>5615.5</v>
      </c>
      <c r="D417" s="1" t="n">
        <v>720.4</v>
      </c>
      <c r="E417" s="1" t="n">
        <v>5615.5</v>
      </c>
      <c r="F417" s="172" t="n">
        <v>0.128288</v>
      </c>
      <c r="G417" s="1" t="s">
        <v>123</v>
      </c>
      <c r="H417" s="1" t="s">
        <v>139</v>
      </c>
      <c r="I417" s="1" t="n">
        <v>47984186657</v>
      </c>
      <c r="J417" s="1" t="s">
        <v>1244</v>
      </c>
      <c r="K417" s="1" t="s">
        <v>104</v>
      </c>
      <c r="L417" s="1" t="s">
        <v>139</v>
      </c>
      <c r="M417" s="1" t="n">
        <v>47984186657</v>
      </c>
      <c r="N417" s="1" t="n">
        <v>720.4</v>
      </c>
      <c r="O417" s="1" t="n">
        <v>467.96</v>
      </c>
      <c r="P417" s="1" t="s">
        <v>1277</v>
      </c>
      <c r="Q417" s="1" t="s">
        <v>108</v>
      </c>
      <c r="S417" s="1" t="s">
        <v>1278</v>
      </c>
      <c r="T417" s="1" t="s">
        <v>1279</v>
      </c>
      <c r="V417" s="1" t="s">
        <v>1293</v>
      </c>
      <c r="W417" s="1" t="s">
        <v>1276</v>
      </c>
    </row>
    <row r="418" customFormat="false" ht="15" hidden="false" customHeight="true" outlineLevel="0" collapsed="false">
      <c r="A418" s="1" t="n">
        <v>0.124812</v>
      </c>
      <c r="B418" s="1" t="s">
        <v>1131</v>
      </c>
      <c r="C418" s="1" t="n">
        <v>5615.5</v>
      </c>
      <c r="D418" s="1" t="n">
        <v>700.88</v>
      </c>
      <c r="E418" s="1" t="n">
        <v>5615.5</v>
      </c>
      <c r="F418" s="172" t="n">
        <v>0.124812</v>
      </c>
      <c r="G418" s="1" t="s">
        <v>123</v>
      </c>
      <c r="H418" s="1" t="s">
        <v>109</v>
      </c>
      <c r="I418" s="1" t="n">
        <v>4188273848</v>
      </c>
      <c r="J418" s="1" t="s">
        <v>1244</v>
      </c>
      <c r="K418" s="1" t="s">
        <v>104</v>
      </c>
      <c r="L418" s="1" t="s">
        <v>109</v>
      </c>
      <c r="M418" s="1" t="n">
        <v>4188273848</v>
      </c>
      <c r="N418" s="1" t="n">
        <v>700.88</v>
      </c>
      <c r="O418" s="1" t="n">
        <v>467.96</v>
      </c>
      <c r="P418" s="1" t="s">
        <v>1277</v>
      </c>
      <c r="Q418" s="1" t="s">
        <v>108</v>
      </c>
      <c r="S418" s="1" t="s">
        <v>1278</v>
      </c>
      <c r="T418" s="1" t="s">
        <v>1279</v>
      </c>
      <c r="V418" s="1" t="s">
        <v>1293</v>
      </c>
      <c r="W418" s="1" t="s">
        <v>1276</v>
      </c>
    </row>
    <row r="419" customFormat="false" ht="15" hidden="false" customHeight="true" outlineLevel="0" collapsed="false">
      <c r="A419" s="1" t="n">
        <v>0.0654</v>
      </c>
      <c r="B419" s="1" t="s">
        <v>1131</v>
      </c>
      <c r="C419" s="1" t="n">
        <v>10706.9</v>
      </c>
      <c r="D419" s="1" t="n">
        <v>700.23</v>
      </c>
      <c r="E419" s="1" t="n">
        <v>10706.9</v>
      </c>
      <c r="F419" s="172" t="n">
        <v>0.0654</v>
      </c>
      <c r="G419" s="1" t="s">
        <v>66</v>
      </c>
      <c r="H419" s="1" t="s">
        <v>196</v>
      </c>
      <c r="I419" s="1" t="n">
        <v>5591498448</v>
      </c>
      <c r="J419" s="1" t="s">
        <v>1246</v>
      </c>
      <c r="K419" s="1" t="s">
        <v>66</v>
      </c>
      <c r="L419" s="1" t="s">
        <v>196</v>
      </c>
      <c r="M419" s="1" t="n">
        <v>5591498448</v>
      </c>
      <c r="N419" s="1" t="n">
        <v>700.23</v>
      </c>
      <c r="O419" s="1" t="n">
        <v>892.24</v>
      </c>
      <c r="P419" s="1" t="s">
        <v>1286</v>
      </c>
      <c r="Q419" s="1" t="s">
        <v>175</v>
      </c>
      <c r="S419" s="1" t="s">
        <v>1278</v>
      </c>
      <c r="T419" s="1" t="s">
        <v>1274</v>
      </c>
      <c r="V419" s="1" t="s">
        <v>1293</v>
      </c>
      <c r="W419" s="1" t="s">
        <v>1284</v>
      </c>
    </row>
    <row r="420" customFormat="false" ht="15" hidden="false" customHeight="true" outlineLevel="0" collapsed="false">
      <c r="A420" s="1" t="n">
        <v>0.124543</v>
      </c>
      <c r="B420" s="1" t="s">
        <v>1131</v>
      </c>
      <c r="C420" s="1" t="n">
        <v>5615.5</v>
      </c>
      <c r="D420" s="1" t="n">
        <v>699.37</v>
      </c>
      <c r="E420" s="1" t="n">
        <v>5615.5</v>
      </c>
      <c r="F420" s="172" t="n">
        <v>0.124543</v>
      </c>
      <c r="G420" s="1" t="s">
        <v>123</v>
      </c>
      <c r="H420" s="1" t="s">
        <v>119</v>
      </c>
      <c r="I420" s="1" t="n">
        <v>16982311881</v>
      </c>
      <c r="J420" s="1" t="s">
        <v>1244</v>
      </c>
      <c r="K420" s="1" t="s">
        <v>104</v>
      </c>
      <c r="L420" s="1" t="s">
        <v>119</v>
      </c>
      <c r="M420" s="1" t="n">
        <v>16982311881</v>
      </c>
      <c r="N420" s="1" t="n">
        <v>699.37</v>
      </c>
      <c r="O420" s="1" t="n">
        <v>467.96</v>
      </c>
      <c r="P420" s="1" t="s">
        <v>1281</v>
      </c>
      <c r="Q420" s="1" t="s">
        <v>100</v>
      </c>
      <c r="S420" s="1" t="s">
        <v>1004</v>
      </c>
      <c r="T420" s="1" t="s">
        <v>1274</v>
      </c>
      <c r="V420" s="1" t="s">
        <v>1293</v>
      </c>
      <c r="W420" s="1" t="s">
        <v>1276</v>
      </c>
    </row>
    <row r="421" customFormat="false" ht="15" hidden="false" customHeight="true" outlineLevel="0" collapsed="false">
      <c r="A421" s="1" t="n">
        <v>0.123391</v>
      </c>
      <c r="B421" s="1" t="s">
        <v>1131</v>
      </c>
      <c r="C421" s="1" t="n">
        <v>5615.5</v>
      </c>
      <c r="D421" s="1" t="n">
        <v>692.9</v>
      </c>
      <c r="E421" s="1" t="n">
        <v>5615.5</v>
      </c>
      <c r="F421" s="172" t="n">
        <v>0.123391</v>
      </c>
      <c r="G421" s="1" t="s">
        <v>123</v>
      </c>
      <c r="H421" s="1" t="s">
        <v>196</v>
      </c>
      <c r="I421" s="1" t="n">
        <v>51997055488</v>
      </c>
      <c r="J421" s="1" t="s">
        <v>1244</v>
      </c>
      <c r="K421" s="1" t="s">
        <v>104</v>
      </c>
      <c r="L421" s="1" t="s">
        <v>196</v>
      </c>
      <c r="M421" s="1" t="n">
        <v>51997055488</v>
      </c>
      <c r="N421" s="1" t="n">
        <v>692.9</v>
      </c>
      <c r="O421" s="1" t="n">
        <v>467.96</v>
      </c>
      <c r="P421" s="1" t="s">
        <v>1277</v>
      </c>
      <c r="Q421" s="1" t="s">
        <v>108</v>
      </c>
      <c r="S421" s="1" t="s">
        <v>1278</v>
      </c>
      <c r="T421" s="1" t="s">
        <v>1279</v>
      </c>
      <c r="V421" s="1" t="s">
        <v>1293</v>
      </c>
      <c r="W421" s="1" t="s">
        <v>1276</v>
      </c>
    </row>
    <row r="422" customFormat="false" ht="15" hidden="false" customHeight="true" outlineLevel="0" collapsed="false">
      <c r="A422" s="1" t="n">
        <v>0.122447</v>
      </c>
      <c r="B422" s="1" t="s">
        <v>1131</v>
      </c>
      <c r="C422" s="1" t="n">
        <v>5615.5</v>
      </c>
      <c r="D422" s="1" t="n">
        <v>687.6</v>
      </c>
      <c r="E422" s="1" t="n">
        <v>5615.5</v>
      </c>
      <c r="F422" s="172" t="n">
        <v>0.122447</v>
      </c>
      <c r="G422" s="1" t="s">
        <v>123</v>
      </c>
      <c r="H422" s="1" t="s">
        <v>119</v>
      </c>
      <c r="I422" s="1" t="n">
        <v>11986378153</v>
      </c>
      <c r="J422" s="1" t="s">
        <v>1244</v>
      </c>
      <c r="K422" s="1" t="s">
        <v>104</v>
      </c>
      <c r="L422" s="1" t="s">
        <v>119</v>
      </c>
      <c r="M422" s="1" t="n">
        <v>11986378153</v>
      </c>
      <c r="N422" s="1" t="n">
        <v>687.6</v>
      </c>
      <c r="O422" s="1" t="n">
        <v>467.96</v>
      </c>
      <c r="P422" s="1" t="s">
        <v>1285</v>
      </c>
      <c r="Q422" s="1" t="s">
        <v>108</v>
      </c>
      <c r="S422" s="1" t="s">
        <v>1278</v>
      </c>
      <c r="T422" s="1" t="s">
        <v>1279</v>
      </c>
      <c r="V422" s="1" t="s">
        <v>1293</v>
      </c>
      <c r="W422" s="1" t="s">
        <v>1276</v>
      </c>
    </row>
    <row r="423" customFormat="false" ht="15" hidden="false" customHeight="true" outlineLevel="0" collapsed="false">
      <c r="A423" s="1" t="n">
        <v>0.122335</v>
      </c>
      <c r="B423" s="1" t="s">
        <v>1131</v>
      </c>
      <c r="C423" s="1" t="n">
        <v>5615.5</v>
      </c>
      <c r="D423" s="1" t="n">
        <v>686.97</v>
      </c>
      <c r="E423" s="1" t="n">
        <v>5615.5</v>
      </c>
      <c r="F423" s="172" t="n">
        <v>0.122335</v>
      </c>
      <c r="G423" s="1" t="s">
        <v>123</v>
      </c>
      <c r="H423" s="1" t="s">
        <v>109</v>
      </c>
      <c r="I423" s="1" t="n">
        <v>4135389003</v>
      </c>
      <c r="J423" s="1" t="s">
        <v>1244</v>
      </c>
      <c r="K423" s="1" t="s">
        <v>104</v>
      </c>
      <c r="L423" s="1" t="s">
        <v>109</v>
      </c>
      <c r="M423" s="1" t="n">
        <v>4135389003</v>
      </c>
      <c r="N423" s="1" t="n">
        <v>686.97</v>
      </c>
      <c r="O423" s="1" t="n">
        <v>467.96</v>
      </c>
      <c r="P423" s="1" t="s">
        <v>1277</v>
      </c>
      <c r="Q423" s="1" t="s">
        <v>108</v>
      </c>
      <c r="S423" s="1" t="s">
        <v>1278</v>
      </c>
      <c r="T423" s="1" t="s">
        <v>1274</v>
      </c>
      <c r="V423" s="1" t="s">
        <v>1293</v>
      </c>
      <c r="W423" s="1" t="s">
        <v>1276</v>
      </c>
    </row>
    <row r="424" customFormat="false" ht="15" hidden="false" customHeight="true" outlineLevel="0" collapsed="false">
      <c r="A424" s="1" t="n">
        <v>0.122073</v>
      </c>
      <c r="B424" s="1" t="s">
        <v>1131</v>
      </c>
      <c r="C424" s="1" t="n">
        <v>5615.5</v>
      </c>
      <c r="D424" s="1" t="n">
        <v>685.5</v>
      </c>
      <c r="E424" s="1" t="n">
        <v>5615.5</v>
      </c>
      <c r="F424" s="172" t="n">
        <v>0.122073</v>
      </c>
      <c r="G424" s="1" t="s">
        <v>123</v>
      </c>
      <c r="H424" s="1" t="s">
        <v>114</v>
      </c>
      <c r="I424" s="1" t="n">
        <v>38999765269</v>
      </c>
      <c r="J424" s="1" t="s">
        <v>1244</v>
      </c>
      <c r="K424" s="1" t="s">
        <v>104</v>
      </c>
      <c r="L424" s="1" t="s">
        <v>114</v>
      </c>
      <c r="M424" s="1" t="n">
        <v>38999765269</v>
      </c>
      <c r="N424" s="1" t="n">
        <v>685.5</v>
      </c>
      <c r="O424" s="1" t="n">
        <v>467.96</v>
      </c>
      <c r="P424" s="1" t="s">
        <v>1280</v>
      </c>
      <c r="Q424" s="1" t="s">
        <v>100</v>
      </c>
      <c r="S424" s="1" t="s">
        <v>1278</v>
      </c>
      <c r="T424" s="1" t="s">
        <v>1274</v>
      </c>
      <c r="V424" s="1" t="s">
        <v>1293</v>
      </c>
      <c r="W424" s="1" t="s">
        <v>1276</v>
      </c>
    </row>
    <row r="425" customFormat="false" ht="15" hidden="false" customHeight="true" outlineLevel="0" collapsed="false">
      <c r="A425" s="1" t="n">
        <v>0.12151</v>
      </c>
      <c r="B425" s="1" t="s">
        <v>1131</v>
      </c>
      <c r="C425" s="1" t="n">
        <v>5615.5</v>
      </c>
      <c r="D425" s="1" t="n">
        <v>682.34</v>
      </c>
      <c r="E425" s="1" t="n">
        <v>5615.5</v>
      </c>
      <c r="F425" s="172" t="n">
        <v>0.12151</v>
      </c>
      <c r="G425" s="1" t="s">
        <v>123</v>
      </c>
      <c r="H425" s="1" t="s">
        <v>139</v>
      </c>
      <c r="I425" s="1" t="n">
        <v>4896183888</v>
      </c>
      <c r="J425" s="1" t="s">
        <v>1244</v>
      </c>
      <c r="K425" s="1" t="s">
        <v>104</v>
      </c>
      <c r="L425" s="1" t="s">
        <v>139</v>
      </c>
      <c r="M425" s="1" t="n">
        <v>4896183888</v>
      </c>
      <c r="N425" s="1" t="n">
        <v>682.34</v>
      </c>
      <c r="O425" s="1" t="n">
        <v>467.96</v>
      </c>
      <c r="P425" s="1" t="s">
        <v>1277</v>
      </c>
      <c r="Q425" s="1" t="s">
        <v>108</v>
      </c>
      <c r="S425" s="1" t="s">
        <v>1278</v>
      </c>
      <c r="T425" s="1" t="s">
        <v>1279</v>
      </c>
      <c r="V425" s="1" t="s">
        <v>1293</v>
      </c>
      <c r="W425" s="1" t="s">
        <v>1276</v>
      </c>
    </row>
    <row r="426" customFormat="false" ht="15" hidden="false" customHeight="true" outlineLevel="0" collapsed="false">
      <c r="A426" s="1" t="n">
        <v>0.12146</v>
      </c>
      <c r="B426" s="1" t="s">
        <v>1131</v>
      </c>
      <c r="C426" s="1" t="n">
        <v>5615.5</v>
      </c>
      <c r="D426" s="1" t="n">
        <v>682.06</v>
      </c>
      <c r="E426" s="1" t="n">
        <v>5615.5</v>
      </c>
      <c r="F426" s="172" t="n">
        <v>0.12146</v>
      </c>
      <c r="G426" s="1" t="s">
        <v>123</v>
      </c>
      <c r="H426" s="1" t="s">
        <v>139</v>
      </c>
      <c r="I426" s="1" t="n">
        <v>47984645353</v>
      </c>
      <c r="J426" s="1" t="s">
        <v>1244</v>
      </c>
      <c r="K426" s="1" t="s">
        <v>104</v>
      </c>
      <c r="L426" s="1" t="s">
        <v>139</v>
      </c>
      <c r="M426" s="1" t="n">
        <v>47984645353</v>
      </c>
      <c r="N426" s="1" t="n">
        <v>682.06</v>
      </c>
      <c r="O426" s="1" t="n">
        <v>467.96</v>
      </c>
      <c r="P426" s="1" t="s">
        <v>1277</v>
      </c>
      <c r="Q426" s="1" t="s">
        <v>108</v>
      </c>
      <c r="S426" s="1" t="s">
        <v>1278</v>
      </c>
      <c r="T426" s="1" t="s">
        <v>1279</v>
      </c>
      <c r="V426" s="1" t="s">
        <v>1293</v>
      </c>
      <c r="W426" s="1" t="s">
        <v>1276</v>
      </c>
    </row>
    <row r="427" customFormat="false" ht="15" hidden="false" customHeight="true" outlineLevel="0" collapsed="false">
      <c r="A427" s="1" t="n">
        <v>0.062356</v>
      </c>
      <c r="B427" s="1" t="s">
        <v>1131</v>
      </c>
      <c r="C427" s="1" t="n">
        <v>10875</v>
      </c>
      <c r="D427" s="1" t="n">
        <v>678.12</v>
      </c>
      <c r="E427" s="1" t="n">
        <v>10875</v>
      </c>
      <c r="F427" s="172" t="n">
        <v>0.062356</v>
      </c>
      <c r="G427" s="1" t="s">
        <v>102</v>
      </c>
      <c r="H427" s="1" t="s">
        <v>139</v>
      </c>
      <c r="I427" s="1" t="n">
        <v>4834387130</v>
      </c>
      <c r="J427" s="1" t="s">
        <v>1246</v>
      </c>
      <c r="K427" s="1" t="s">
        <v>102</v>
      </c>
      <c r="L427" s="1" t="s">
        <v>139</v>
      </c>
      <c r="M427" s="1" t="n">
        <v>4834387130</v>
      </c>
      <c r="N427" s="1" t="n">
        <v>678.12</v>
      </c>
      <c r="O427" s="1" t="n">
        <v>906.25</v>
      </c>
      <c r="P427" s="1" t="s">
        <v>1286</v>
      </c>
      <c r="Q427" s="1" t="s">
        <v>175</v>
      </c>
      <c r="S427" s="1" t="s">
        <v>1287</v>
      </c>
      <c r="T427" s="1" t="s">
        <v>1274</v>
      </c>
      <c r="V427" s="1" t="s">
        <v>1293</v>
      </c>
      <c r="W427" s="1" t="s">
        <v>1284</v>
      </c>
    </row>
    <row r="428" customFormat="false" ht="15" hidden="false" customHeight="true" outlineLevel="0" collapsed="false">
      <c r="A428" s="1" t="n">
        <v>0.12031</v>
      </c>
      <c r="B428" s="1" t="s">
        <v>1131</v>
      </c>
      <c r="C428" s="1" t="n">
        <v>5615.5</v>
      </c>
      <c r="D428" s="1" t="n">
        <v>675.6</v>
      </c>
      <c r="E428" s="1" t="n">
        <v>5615.5</v>
      </c>
      <c r="F428" s="172" t="n">
        <v>0.12031</v>
      </c>
      <c r="G428" s="1" t="s">
        <v>123</v>
      </c>
      <c r="H428" s="1" t="s">
        <v>490</v>
      </c>
      <c r="I428" s="1" t="n">
        <v>8491898095</v>
      </c>
      <c r="J428" s="1" t="s">
        <v>1244</v>
      </c>
      <c r="K428" s="1" t="s">
        <v>104</v>
      </c>
      <c r="L428" s="1" t="s">
        <v>490</v>
      </c>
      <c r="M428" s="1" t="n">
        <v>8491898095</v>
      </c>
      <c r="N428" s="1" t="n">
        <v>675.6</v>
      </c>
      <c r="O428" s="1" t="n">
        <v>467.96</v>
      </c>
      <c r="P428" s="1" t="s">
        <v>1282</v>
      </c>
      <c r="Q428" s="1" t="s">
        <v>100</v>
      </c>
      <c r="S428" s="1" t="s">
        <v>1004</v>
      </c>
      <c r="T428" s="1" t="s">
        <v>1274</v>
      </c>
      <c r="V428" s="1" t="s">
        <v>1293</v>
      </c>
      <c r="W428" s="1" t="s">
        <v>1276</v>
      </c>
    </row>
    <row r="429" customFormat="false" ht="15" hidden="false" customHeight="true" outlineLevel="0" collapsed="false">
      <c r="A429" s="1" t="n">
        <v>0.120267</v>
      </c>
      <c r="B429" s="1" t="s">
        <v>1131</v>
      </c>
      <c r="C429" s="1" t="n">
        <v>5615.5</v>
      </c>
      <c r="D429" s="1" t="n">
        <v>675.36</v>
      </c>
      <c r="E429" s="1" t="n">
        <v>5615.5</v>
      </c>
      <c r="F429" s="172" t="n">
        <v>0.120267</v>
      </c>
      <c r="G429" s="1" t="s">
        <v>123</v>
      </c>
      <c r="H429" s="1" t="s">
        <v>109</v>
      </c>
      <c r="I429" s="1" t="n">
        <v>43984327552</v>
      </c>
      <c r="J429" s="1" t="s">
        <v>1244</v>
      </c>
      <c r="K429" s="1" t="s">
        <v>104</v>
      </c>
      <c r="L429" s="1" t="s">
        <v>109</v>
      </c>
      <c r="M429" s="1" t="n">
        <v>43984327552</v>
      </c>
      <c r="N429" s="1" t="n">
        <v>675.36</v>
      </c>
      <c r="O429" s="1" t="n">
        <v>467.96</v>
      </c>
      <c r="P429" s="1" t="s">
        <v>1277</v>
      </c>
      <c r="Q429" s="1" t="s">
        <v>108</v>
      </c>
      <c r="S429" s="1" t="s">
        <v>1278</v>
      </c>
      <c r="T429" s="1" t="s">
        <v>1279</v>
      </c>
      <c r="V429" s="1" t="s">
        <v>1293</v>
      </c>
      <c r="W429" s="1" t="s">
        <v>1276</v>
      </c>
    </row>
    <row r="430" customFormat="false" ht="15" hidden="false" customHeight="true" outlineLevel="0" collapsed="false">
      <c r="A430" s="1" t="n">
        <v>0.120255</v>
      </c>
      <c r="B430" s="1" t="s">
        <v>1131</v>
      </c>
      <c r="C430" s="1" t="n">
        <v>5615.5</v>
      </c>
      <c r="D430" s="1" t="n">
        <v>675.29</v>
      </c>
      <c r="E430" s="1" t="n">
        <v>5615.5</v>
      </c>
      <c r="F430" s="172" t="n">
        <v>0.120255</v>
      </c>
      <c r="G430" s="1" t="s">
        <v>123</v>
      </c>
      <c r="H430" s="1" t="s">
        <v>114</v>
      </c>
      <c r="I430" s="1" t="n">
        <v>32987051662</v>
      </c>
      <c r="J430" s="1" t="s">
        <v>1244</v>
      </c>
      <c r="K430" s="1" t="s">
        <v>104</v>
      </c>
      <c r="L430" s="1" t="s">
        <v>114</v>
      </c>
      <c r="M430" s="1" t="n">
        <v>32987051662</v>
      </c>
      <c r="N430" s="1" t="n">
        <v>675.29</v>
      </c>
      <c r="O430" s="1" t="n">
        <v>467.96</v>
      </c>
      <c r="P430" s="1" t="s">
        <v>1280</v>
      </c>
      <c r="Q430" s="1" t="s">
        <v>100</v>
      </c>
      <c r="S430" s="1" t="s">
        <v>1278</v>
      </c>
      <c r="T430" s="1" t="s">
        <v>1274</v>
      </c>
      <c r="V430" s="1" t="s">
        <v>1293</v>
      </c>
      <c r="W430" s="1" t="s">
        <v>1276</v>
      </c>
    </row>
    <row r="431" customFormat="false" ht="15" hidden="false" customHeight="true" outlineLevel="0" collapsed="false">
      <c r="A431" s="1" t="n">
        <v>0.102208</v>
      </c>
      <c r="B431" s="1" t="s">
        <v>1131</v>
      </c>
      <c r="C431" s="1" t="n">
        <v>6566.04</v>
      </c>
      <c r="D431" s="1" t="n">
        <v>671.1</v>
      </c>
      <c r="E431" s="1" t="n">
        <v>6566.04</v>
      </c>
      <c r="F431" s="172" t="n">
        <v>0.102208</v>
      </c>
      <c r="G431" s="1" t="s">
        <v>110</v>
      </c>
      <c r="H431" s="1" t="s">
        <v>196</v>
      </c>
      <c r="I431" s="1" t="n">
        <v>5199570807</v>
      </c>
      <c r="J431" s="1" t="s">
        <v>1244</v>
      </c>
      <c r="K431" s="1" t="s">
        <v>110</v>
      </c>
      <c r="L431" s="1" t="s">
        <v>196</v>
      </c>
      <c r="M431" s="1" t="n">
        <v>5199570807</v>
      </c>
      <c r="N431" s="1" t="n">
        <v>671.1</v>
      </c>
      <c r="O431" s="1" t="n">
        <v>547.17</v>
      </c>
      <c r="P431" s="1" t="s">
        <v>1286</v>
      </c>
      <c r="Q431" s="1" t="s">
        <v>108</v>
      </c>
      <c r="S431" s="1" t="s">
        <v>1278</v>
      </c>
      <c r="T431" s="1" t="s">
        <v>1279</v>
      </c>
      <c r="V431" s="1" t="s">
        <v>1293</v>
      </c>
      <c r="W431" s="1" t="s">
        <v>1284</v>
      </c>
    </row>
    <row r="432" customFormat="false" ht="15" hidden="false" customHeight="true" outlineLevel="0" collapsed="false">
      <c r="A432" s="1" t="n">
        <v>0.11946</v>
      </c>
      <c r="B432" s="1" t="s">
        <v>1131</v>
      </c>
      <c r="C432" s="1" t="n">
        <v>5615.5</v>
      </c>
      <c r="D432" s="1" t="n">
        <v>670.83</v>
      </c>
      <c r="E432" s="1" t="n">
        <v>5615.5</v>
      </c>
      <c r="F432" s="172" t="n">
        <v>0.11946</v>
      </c>
      <c r="G432" s="1" t="s">
        <v>123</v>
      </c>
      <c r="H432" s="1" t="s">
        <v>243</v>
      </c>
      <c r="I432" s="1" t="n">
        <v>11981418684</v>
      </c>
      <c r="J432" s="1" t="s">
        <v>1244</v>
      </c>
      <c r="K432" s="1" t="s">
        <v>104</v>
      </c>
      <c r="L432" s="1" t="s">
        <v>243</v>
      </c>
      <c r="M432" s="1" t="n">
        <v>11981418684</v>
      </c>
      <c r="N432" s="1" t="n">
        <v>670.83</v>
      </c>
      <c r="O432" s="1" t="n">
        <v>467.96</v>
      </c>
      <c r="P432" s="1" t="s">
        <v>1282</v>
      </c>
      <c r="Q432" s="1" t="s">
        <v>100</v>
      </c>
      <c r="S432" s="1" t="s">
        <v>1004</v>
      </c>
      <c r="T432" s="1" t="s">
        <v>1274</v>
      </c>
      <c r="V432" s="1" t="s">
        <v>1293</v>
      </c>
      <c r="W432" s="1" t="s">
        <v>1276</v>
      </c>
    </row>
    <row r="433" customFormat="false" ht="15" hidden="false" customHeight="true" outlineLevel="0" collapsed="false">
      <c r="A433" s="1" t="n">
        <v>0.119161</v>
      </c>
      <c r="B433" s="1" t="s">
        <v>1131</v>
      </c>
      <c r="C433" s="1" t="n">
        <v>5615.5</v>
      </c>
      <c r="D433" s="1" t="n">
        <v>669.15</v>
      </c>
      <c r="E433" s="1" t="n">
        <v>5615.5</v>
      </c>
      <c r="F433" s="172" t="n">
        <v>0.119161</v>
      </c>
      <c r="G433" s="1" t="s">
        <v>123</v>
      </c>
      <c r="H433" s="1" t="s">
        <v>119</v>
      </c>
      <c r="I433" s="1" t="n">
        <v>11972750236</v>
      </c>
      <c r="J433" s="1" t="s">
        <v>1244</v>
      </c>
      <c r="K433" s="1" t="s">
        <v>104</v>
      </c>
      <c r="L433" s="1" t="s">
        <v>119</v>
      </c>
      <c r="M433" s="1" t="n">
        <v>11972750236</v>
      </c>
      <c r="N433" s="1" t="n">
        <v>669.15</v>
      </c>
      <c r="O433" s="1" t="n">
        <v>467.96</v>
      </c>
      <c r="P433" s="1" t="s">
        <v>1285</v>
      </c>
      <c r="Q433" s="1" t="s">
        <v>100</v>
      </c>
      <c r="S433" s="1" t="s">
        <v>1278</v>
      </c>
      <c r="T433" s="1" t="s">
        <v>1274</v>
      </c>
      <c r="V433" s="1" t="s">
        <v>1293</v>
      </c>
      <c r="W433" s="1" t="s">
        <v>1276</v>
      </c>
    </row>
    <row r="434" customFormat="false" ht="15" hidden="false" customHeight="true" outlineLevel="0" collapsed="false">
      <c r="A434" s="1" t="n">
        <v>0.118789</v>
      </c>
      <c r="B434" s="1" t="s">
        <v>1131</v>
      </c>
      <c r="C434" s="1" t="n">
        <v>5615.5</v>
      </c>
      <c r="D434" s="1" t="n">
        <v>667.06</v>
      </c>
      <c r="E434" s="1" t="n">
        <v>5615.5</v>
      </c>
      <c r="F434" s="172" t="n">
        <v>0.118789</v>
      </c>
      <c r="G434" s="1" t="s">
        <v>123</v>
      </c>
      <c r="H434" s="1" t="s">
        <v>243</v>
      </c>
      <c r="I434" s="1" t="n">
        <v>75991448812</v>
      </c>
      <c r="J434" s="1" t="s">
        <v>1244</v>
      </c>
      <c r="K434" s="1" t="s">
        <v>104</v>
      </c>
      <c r="L434" s="1" t="s">
        <v>243</v>
      </c>
      <c r="M434" s="1" t="n">
        <v>75991448812</v>
      </c>
      <c r="N434" s="1" t="n">
        <v>667.06</v>
      </c>
      <c r="O434" s="1" t="n">
        <v>467.96</v>
      </c>
      <c r="P434" s="1" t="s">
        <v>1282</v>
      </c>
      <c r="Q434" s="1" t="s">
        <v>100</v>
      </c>
      <c r="S434" s="1" t="s">
        <v>1004</v>
      </c>
      <c r="T434" s="1" t="s">
        <v>1274</v>
      </c>
      <c r="V434" s="1" t="s">
        <v>1293</v>
      </c>
      <c r="W434" s="1" t="s">
        <v>1276</v>
      </c>
    </row>
    <row r="435" customFormat="false" ht="15" hidden="false" customHeight="true" outlineLevel="0" collapsed="false">
      <c r="A435" s="1" t="n">
        <v>0.101171</v>
      </c>
      <c r="B435" s="1" t="s">
        <v>1131</v>
      </c>
      <c r="C435" s="1" t="n">
        <v>6566.04</v>
      </c>
      <c r="D435" s="1" t="n">
        <v>664.29</v>
      </c>
      <c r="E435" s="1" t="n">
        <v>6566.04</v>
      </c>
      <c r="F435" s="172" t="n">
        <v>0.101171</v>
      </c>
      <c r="G435" s="1" t="s">
        <v>110</v>
      </c>
      <c r="H435" s="1" t="s">
        <v>139</v>
      </c>
      <c r="I435" s="1" t="n">
        <v>49991030124</v>
      </c>
      <c r="J435" s="1" t="s">
        <v>1244</v>
      </c>
      <c r="K435" s="1" t="s">
        <v>110</v>
      </c>
      <c r="L435" s="1" t="s">
        <v>139</v>
      </c>
      <c r="M435" s="1" t="n">
        <v>49991030124</v>
      </c>
      <c r="N435" s="1" t="n">
        <v>664.29</v>
      </c>
      <c r="O435" s="1" t="n">
        <v>547.17</v>
      </c>
      <c r="P435" s="1" t="s">
        <v>1286</v>
      </c>
      <c r="Q435" s="1" t="s">
        <v>184</v>
      </c>
      <c r="S435" s="1" t="s">
        <v>1278</v>
      </c>
      <c r="T435" s="1" t="s">
        <v>1274</v>
      </c>
      <c r="V435" s="1" t="s">
        <v>1293</v>
      </c>
      <c r="W435" s="1" t="s">
        <v>1284</v>
      </c>
    </row>
    <row r="436" customFormat="false" ht="15" hidden="false" customHeight="true" outlineLevel="0" collapsed="false">
      <c r="A436" s="1" t="n">
        <v>0.1181</v>
      </c>
      <c r="B436" s="1" t="s">
        <v>1131</v>
      </c>
      <c r="C436" s="1" t="n">
        <v>5615.5</v>
      </c>
      <c r="D436" s="1" t="n">
        <v>663.19</v>
      </c>
      <c r="E436" s="1" t="n">
        <v>5615.5</v>
      </c>
      <c r="F436" s="172" t="n">
        <v>0.1181</v>
      </c>
      <c r="G436" s="1" t="s">
        <v>123</v>
      </c>
      <c r="H436" s="1" t="s">
        <v>139</v>
      </c>
      <c r="I436" s="1" t="n">
        <v>47984065800</v>
      </c>
      <c r="J436" s="1" t="s">
        <v>1244</v>
      </c>
      <c r="K436" s="1" t="s">
        <v>104</v>
      </c>
      <c r="L436" s="1" t="s">
        <v>139</v>
      </c>
      <c r="M436" s="1" t="n">
        <v>47984065800</v>
      </c>
      <c r="N436" s="1" t="n">
        <v>663.19</v>
      </c>
      <c r="O436" s="1" t="n">
        <v>467.96</v>
      </c>
      <c r="P436" s="1" t="s">
        <v>1277</v>
      </c>
      <c r="Q436" s="1" t="s">
        <v>108</v>
      </c>
      <c r="S436" s="1" t="s">
        <v>1278</v>
      </c>
      <c r="T436" s="1" t="s">
        <v>1279</v>
      </c>
      <c r="V436" s="1" t="s">
        <v>1293</v>
      </c>
      <c r="W436" s="1" t="s">
        <v>1276</v>
      </c>
    </row>
    <row r="437" customFormat="false" ht="15" hidden="false" customHeight="true" outlineLevel="0" collapsed="false">
      <c r="A437" s="1" t="n">
        <v>0.117708</v>
      </c>
      <c r="B437" s="1" t="s">
        <v>1131</v>
      </c>
      <c r="C437" s="1" t="n">
        <v>5615.5</v>
      </c>
      <c r="D437" s="1" t="n">
        <v>660.99</v>
      </c>
      <c r="E437" s="1" t="n">
        <v>5615.5</v>
      </c>
      <c r="F437" s="172" t="n">
        <v>0.117708</v>
      </c>
      <c r="G437" s="1" t="s">
        <v>123</v>
      </c>
      <c r="H437" s="1" t="s">
        <v>109</v>
      </c>
      <c r="I437" s="1" t="n">
        <v>4131562009</v>
      </c>
      <c r="J437" s="1" t="s">
        <v>1244</v>
      </c>
      <c r="K437" s="1" t="s">
        <v>104</v>
      </c>
      <c r="L437" s="1" t="s">
        <v>109</v>
      </c>
      <c r="M437" s="1" t="n">
        <v>4131562009</v>
      </c>
      <c r="N437" s="1" t="n">
        <v>660.99</v>
      </c>
      <c r="O437" s="1" t="n">
        <v>467.96</v>
      </c>
      <c r="P437" s="1" t="s">
        <v>1277</v>
      </c>
      <c r="Q437" s="1" t="s">
        <v>108</v>
      </c>
      <c r="S437" s="1" t="s">
        <v>1278</v>
      </c>
      <c r="T437" s="1" t="s">
        <v>1274</v>
      </c>
      <c r="V437" s="1" t="s">
        <v>1293</v>
      </c>
      <c r="W437" s="1" t="s">
        <v>1276</v>
      </c>
    </row>
    <row r="438" customFormat="false" ht="15" hidden="false" customHeight="true" outlineLevel="0" collapsed="false">
      <c r="A438" s="1" t="n">
        <v>0.117612</v>
      </c>
      <c r="B438" s="1" t="s">
        <v>1131</v>
      </c>
      <c r="C438" s="1" t="n">
        <v>5615.5</v>
      </c>
      <c r="D438" s="1" t="n">
        <v>660.45</v>
      </c>
      <c r="E438" s="1" t="n">
        <v>5615.5</v>
      </c>
      <c r="F438" s="172" t="n">
        <v>0.117612</v>
      </c>
      <c r="G438" s="1" t="s">
        <v>123</v>
      </c>
      <c r="H438" s="1" t="s">
        <v>119</v>
      </c>
      <c r="I438" s="1" t="n">
        <v>11966453643</v>
      </c>
      <c r="J438" s="1" t="s">
        <v>1244</v>
      </c>
      <c r="K438" s="1" t="s">
        <v>104</v>
      </c>
      <c r="L438" s="1" t="s">
        <v>119</v>
      </c>
      <c r="M438" s="1" t="n">
        <v>11966453643</v>
      </c>
      <c r="N438" s="1" t="n">
        <v>660.45</v>
      </c>
      <c r="O438" s="1" t="n">
        <v>467.96</v>
      </c>
      <c r="P438" s="1" t="s">
        <v>1285</v>
      </c>
      <c r="Q438" s="1" t="s">
        <v>100</v>
      </c>
      <c r="S438" s="1" t="s">
        <v>1004</v>
      </c>
      <c r="T438" s="1" t="s">
        <v>1274</v>
      </c>
      <c r="V438" s="1" t="s">
        <v>1293</v>
      </c>
      <c r="W438" s="1" t="s">
        <v>1276</v>
      </c>
    </row>
    <row r="439" customFormat="false" ht="15" hidden="false" customHeight="true" outlineLevel="0" collapsed="false">
      <c r="A439" s="1" t="n">
        <v>0.117001</v>
      </c>
      <c r="B439" s="1" t="s">
        <v>1131</v>
      </c>
      <c r="C439" s="1" t="n">
        <v>5615.5</v>
      </c>
      <c r="D439" s="1" t="n">
        <v>657.02</v>
      </c>
      <c r="E439" s="1" t="n">
        <v>5615.5</v>
      </c>
      <c r="F439" s="172" t="n">
        <v>0.117001</v>
      </c>
      <c r="G439" s="1" t="s">
        <v>123</v>
      </c>
      <c r="H439" s="1" t="s">
        <v>935</v>
      </c>
      <c r="I439" s="1" t="n">
        <v>83981815719</v>
      </c>
      <c r="J439" s="1" t="s">
        <v>1244</v>
      </c>
      <c r="K439" s="1" t="s">
        <v>104</v>
      </c>
      <c r="L439" s="1" t="s">
        <v>935</v>
      </c>
      <c r="M439" s="1" t="n">
        <v>83981815719</v>
      </c>
      <c r="N439" s="1" t="n">
        <v>657.02</v>
      </c>
      <c r="O439" s="1" t="n">
        <v>467.96</v>
      </c>
      <c r="P439" s="1" t="s">
        <v>1282</v>
      </c>
      <c r="Q439" s="1" t="s">
        <v>100</v>
      </c>
      <c r="S439" s="1" t="s">
        <v>1004</v>
      </c>
      <c r="T439" s="1" t="s">
        <v>1274</v>
      </c>
      <c r="V439" s="1" t="s">
        <v>1293</v>
      </c>
      <c r="W439" s="1" t="s">
        <v>1276</v>
      </c>
    </row>
    <row r="440" customFormat="false" ht="15" hidden="false" customHeight="true" outlineLevel="0" collapsed="false">
      <c r="A440" s="1" t="n">
        <v>0.116333</v>
      </c>
      <c r="B440" s="1" t="s">
        <v>1131</v>
      </c>
      <c r="C440" s="1" t="n">
        <v>5615.5</v>
      </c>
      <c r="D440" s="1" t="n">
        <v>653.27</v>
      </c>
      <c r="E440" s="1" t="n">
        <v>5615.5</v>
      </c>
      <c r="F440" s="172" t="n">
        <v>0.116333</v>
      </c>
      <c r="G440" s="1" t="s">
        <v>123</v>
      </c>
      <c r="H440" s="1" t="s">
        <v>196</v>
      </c>
      <c r="I440" s="1" t="n">
        <v>51996615844</v>
      </c>
      <c r="J440" s="1" t="s">
        <v>1244</v>
      </c>
      <c r="K440" s="1" t="s">
        <v>104</v>
      </c>
      <c r="L440" s="1" t="s">
        <v>196</v>
      </c>
      <c r="M440" s="1" t="n">
        <v>51996615844</v>
      </c>
      <c r="N440" s="1" t="n">
        <v>653.27</v>
      </c>
      <c r="O440" s="1" t="n">
        <v>467.96</v>
      </c>
      <c r="P440" s="1" t="s">
        <v>1277</v>
      </c>
      <c r="Q440" s="1" t="s">
        <v>108</v>
      </c>
      <c r="S440" s="1" t="s">
        <v>1278</v>
      </c>
      <c r="T440" s="1" t="s">
        <v>1274</v>
      </c>
      <c r="V440" s="1" t="s">
        <v>1293</v>
      </c>
      <c r="W440" s="1" t="s">
        <v>1276</v>
      </c>
    </row>
    <row r="441" customFormat="false" ht="15" hidden="false" customHeight="true" outlineLevel="0" collapsed="false">
      <c r="A441" s="1" t="n">
        <v>0.116164</v>
      </c>
      <c r="B441" s="1" t="s">
        <v>1131</v>
      </c>
      <c r="C441" s="1" t="n">
        <v>5615.5</v>
      </c>
      <c r="D441" s="1" t="n">
        <v>652.32</v>
      </c>
      <c r="E441" s="1" t="n">
        <v>5615.5</v>
      </c>
      <c r="F441" s="172" t="n">
        <v>0.116164</v>
      </c>
      <c r="G441" s="1" t="s">
        <v>123</v>
      </c>
      <c r="H441" s="1" t="s">
        <v>119</v>
      </c>
      <c r="I441" s="1" t="n">
        <v>16991341864</v>
      </c>
      <c r="J441" s="1" t="s">
        <v>1244</v>
      </c>
      <c r="K441" s="1" t="s">
        <v>104</v>
      </c>
      <c r="L441" s="1" t="s">
        <v>119</v>
      </c>
      <c r="M441" s="1" t="n">
        <v>16991341864</v>
      </c>
      <c r="N441" s="1" t="n">
        <v>652.32</v>
      </c>
      <c r="O441" s="1" t="n">
        <v>467.96</v>
      </c>
      <c r="P441" s="1" t="s">
        <v>1281</v>
      </c>
      <c r="Q441" s="1" t="s">
        <v>100</v>
      </c>
      <c r="S441" s="1" t="s">
        <v>1004</v>
      </c>
      <c r="T441" s="1" t="s">
        <v>1274</v>
      </c>
      <c r="V441" s="1" t="s">
        <v>1293</v>
      </c>
      <c r="W441" s="1" t="s">
        <v>1276</v>
      </c>
    </row>
    <row r="442" customFormat="false" ht="15" hidden="false" customHeight="true" outlineLevel="0" collapsed="false">
      <c r="A442" s="1" t="n">
        <v>0.116136</v>
      </c>
      <c r="B442" s="1" t="s">
        <v>1131</v>
      </c>
      <c r="C442" s="1" t="n">
        <v>5615.5</v>
      </c>
      <c r="D442" s="1" t="n">
        <v>652.16</v>
      </c>
      <c r="E442" s="1" t="n">
        <v>5615.5</v>
      </c>
      <c r="F442" s="172" t="n">
        <v>0.116136</v>
      </c>
      <c r="G442" s="1" t="s">
        <v>123</v>
      </c>
      <c r="H442" s="1" t="s">
        <v>109</v>
      </c>
      <c r="I442" s="1" t="n">
        <v>4195403795</v>
      </c>
      <c r="J442" s="1" t="s">
        <v>1244</v>
      </c>
      <c r="K442" s="1" t="s">
        <v>104</v>
      </c>
      <c r="L442" s="1" t="s">
        <v>109</v>
      </c>
      <c r="M442" s="1" t="n">
        <v>4195403795</v>
      </c>
      <c r="N442" s="1" t="n">
        <v>652.16</v>
      </c>
      <c r="O442" s="1" t="n">
        <v>467.96</v>
      </c>
      <c r="P442" s="1" t="s">
        <v>1277</v>
      </c>
      <c r="Q442" s="1" t="s">
        <v>108</v>
      </c>
      <c r="S442" s="1" t="s">
        <v>1278</v>
      </c>
      <c r="T442" s="1" t="s">
        <v>1279</v>
      </c>
      <c r="V442" s="1" t="s">
        <v>1293</v>
      </c>
      <c r="W442" s="1" t="s">
        <v>1276</v>
      </c>
    </row>
    <row r="443" customFormat="false" ht="15" hidden="false" customHeight="true" outlineLevel="0" collapsed="false">
      <c r="A443" s="1" t="n">
        <v>0.115838</v>
      </c>
      <c r="B443" s="1" t="s">
        <v>1131</v>
      </c>
      <c r="C443" s="1" t="n">
        <v>5615.5</v>
      </c>
      <c r="D443" s="1" t="n">
        <v>650.49</v>
      </c>
      <c r="E443" s="1" t="n">
        <v>5615.5</v>
      </c>
      <c r="F443" s="172" t="n">
        <v>0.115838</v>
      </c>
      <c r="G443" s="1" t="s">
        <v>123</v>
      </c>
      <c r="H443" s="1" t="s">
        <v>263</v>
      </c>
      <c r="I443" s="1" t="n">
        <v>44970646226</v>
      </c>
      <c r="J443" s="1" t="s">
        <v>1244</v>
      </c>
      <c r="K443" s="1" t="s">
        <v>104</v>
      </c>
      <c r="L443" s="1" t="s">
        <v>263</v>
      </c>
      <c r="M443" s="1" t="n">
        <v>44970646226</v>
      </c>
      <c r="N443" s="1" t="n">
        <v>650.49</v>
      </c>
      <c r="O443" s="1" t="n">
        <v>467.96</v>
      </c>
      <c r="P443" s="1" t="s">
        <v>1273</v>
      </c>
      <c r="Q443" s="1" t="s">
        <v>100</v>
      </c>
      <c r="S443" s="1" t="s">
        <v>1004</v>
      </c>
      <c r="T443" s="1" t="s">
        <v>1274</v>
      </c>
      <c r="V443" s="1" t="s">
        <v>1293</v>
      </c>
      <c r="W443" s="1" t="s">
        <v>1276</v>
      </c>
    </row>
    <row r="444" customFormat="false" ht="15" hidden="false" customHeight="true" outlineLevel="0" collapsed="false">
      <c r="A444" s="1" t="n">
        <v>0.115712</v>
      </c>
      <c r="B444" s="1" t="s">
        <v>1131</v>
      </c>
      <c r="C444" s="1" t="n">
        <v>5615.5</v>
      </c>
      <c r="D444" s="1" t="n">
        <v>649.78</v>
      </c>
      <c r="E444" s="1" t="n">
        <v>5615.5</v>
      </c>
      <c r="F444" s="172" t="n">
        <v>0.115712</v>
      </c>
      <c r="G444" s="1" t="s">
        <v>123</v>
      </c>
      <c r="H444" s="1" t="s">
        <v>139</v>
      </c>
      <c r="I444" s="1" t="n">
        <v>49984379123</v>
      </c>
      <c r="J444" s="1" t="s">
        <v>1244</v>
      </c>
      <c r="K444" s="1" t="s">
        <v>104</v>
      </c>
      <c r="L444" s="1" t="s">
        <v>139</v>
      </c>
      <c r="M444" s="1" t="n">
        <v>49984379123</v>
      </c>
      <c r="N444" s="1" t="n">
        <v>649.78</v>
      </c>
      <c r="O444" s="1" t="n">
        <v>467.96</v>
      </c>
      <c r="P444" s="1" t="s">
        <v>1277</v>
      </c>
      <c r="Q444" s="1" t="s">
        <v>108</v>
      </c>
      <c r="S444" s="1" t="s">
        <v>1278</v>
      </c>
      <c r="T444" s="1" t="s">
        <v>1279</v>
      </c>
      <c r="V444" s="1" t="s">
        <v>1293</v>
      </c>
      <c r="W444" s="1" t="s">
        <v>1276</v>
      </c>
    </row>
    <row r="445" customFormat="false" ht="15" hidden="false" customHeight="true" outlineLevel="0" collapsed="false">
      <c r="A445" s="1" t="n">
        <v>0.115699</v>
      </c>
      <c r="B445" s="1" t="s">
        <v>1131</v>
      </c>
      <c r="C445" s="1" t="n">
        <v>5615.5</v>
      </c>
      <c r="D445" s="1" t="n">
        <v>649.71</v>
      </c>
      <c r="E445" s="1" t="n">
        <v>5615.5</v>
      </c>
      <c r="F445" s="172" t="n">
        <v>0.115699</v>
      </c>
      <c r="G445" s="1" t="s">
        <v>123</v>
      </c>
      <c r="H445" s="1" t="s">
        <v>196</v>
      </c>
      <c r="I445" s="1" t="n">
        <v>54999199019</v>
      </c>
      <c r="J445" s="1" t="s">
        <v>1244</v>
      </c>
      <c r="K445" s="1" t="s">
        <v>104</v>
      </c>
      <c r="L445" s="1" t="s">
        <v>196</v>
      </c>
      <c r="M445" s="1" t="n">
        <v>54999199019</v>
      </c>
      <c r="N445" s="1" t="n">
        <v>649.71</v>
      </c>
      <c r="O445" s="1" t="n">
        <v>467.96</v>
      </c>
      <c r="P445" s="1" t="s">
        <v>1277</v>
      </c>
      <c r="Q445" s="1" t="s">
        <v>108</v>
      </c>
      <c r="S445" s="1" t="s">
        <v>1278</v>
      </c>
      <c r="T445" s="1" t="s">
        <v>1279</v>
      </c>
      <c r="V445" s="1" t="s">
        <v>1293</v>
      </c>
      <c r="W445" s="1" t="s">
        <v>1276</v>
      </c>
    </row>
    <row r="446" customFormat="false" ht="15" hidden="false" customHeight="true" outlineLevel="0" collapsed="false">
      <c r="A446" s="1" t="n">
        <v>0.114636</v>
      </c>
      <c r="B446" s="1" t="s">
        <v>1131</v>
      </c>
      <c r="C446" s="1" t="n">
        <v>5615.5</v>
      </c>
      <c r="D446" s="1" t="n">
        <v>643.74</v>
      </c>
      <c r="E446" s="1" t="n">
        <v>5615.5</v>
      </c>
      <c r="F446" s="172" t="n">
        <v>0.114636</v>
      </c>
      <c r="G446" s="1" t="s">
        <v>123</v>
      </c>
      <c r="H446" s="1" t="s">
        <v>139</v>
      </c>
      <c r="I446" s="1" t="n">
        <v>4834436589</v>
      </c>
      <c r="J446" s="1" t="s">
        <v>1244</v>
      </c>
      <c r="K446" s="1" t="s">
        <v>104</v>
      </c>
      <c r="L446" s="1" t="s">
        <v>139</v>
      </c>
      <c r="M446" s="1" t="n">
        <v>4834436589</v>
      </c>
      <c r="N446" s="1" t="n">
        <v>643.74</v>
      </c>
      <c r="O446" s="1" t="n">
        <v>467.96</v>
      </c>
      <c r="P446" s="1" t="s">
        <v>1277</v>
      </c>
      <c r="Q446" s="1" t="s">
        <v>108</v>
      </c>
      <c r="S446" s="1" t="s">
        <v>1278</v>
      </c>
      <c r="T446" s="1" t="s">
        <v>1279</v>
      </c>
      <c r="V446" s="1" t="s">
        <v>1293</v>
      </c>
      <c r="W446" s="1" t="s">
        <v>1276</v>
      </c>
    </row>
    <row r="447" customFormat="false" ht="15" hidden="false" customHeight="true" outlineLevel="0" collapsed="false">
      <c r="A447" s="1" t="n">
        <v>0.114136</v>
      </c>
      <c r="B447" s="1" t="s">
        <v>1131</v>
      </c>
      <c r="C447" s="1" t="n">
        <v>5615.5</v>
      </c>
      <c r="D447" s="1" t="n">
        <v>640.93</v>
      </c>
      <c r="E447" s="1" t="n">
        <v>5615.5</v>
      </c>
      <c r="F447" s="172" t="n">
        <v>0.114136</v>
      </c>
      <c r="G447" s="1" t="s">
        <v>123</v>
      </c>
      <c r="H447" s="1" t="s">
        <v>139</v>
      </c>
      <c r="I447" s="1" t="n">
        <v>1</v>
      </c>
      <c r="J447" s="1" t="s">
        <v>1244</v>
      </c>
      <c r="K447" s="1" t="s">
        <v>104</v>
      </c>
      <c r="L447" s="1" t="s">
        <v>139</v>
      </c>
      <c r="M447" s="1" t="n">
        <v>1</v>
      </c>
      <c r="N447" s="1" t="n">
        <v>640.93</v>
      </c>
      <c r="O447" s="1" t="n">
        <v>467.96</v>
      </c>
      <c r="P447" s="1" t="s">
        <v>1277</v>
      </c>
      <c r="Q447" s="1" t="s">
        <v>108</v>
      </c>
      <c r="S447" s="1" t="s">
        <v>1278</v>
      </c>
      <c r="T447" s="1" t="s">
        <v>1274</v>
      </c>
      <c r="V447" s="1" t="s">
        <v>1293</v>
      </c>
      <c r="W447" s="1" t="s">
        <v>1276</v>
      </c>
    </row>
    <row r="448" customFormat="false" ht="15" hidden="false" customHeight="true" outlineLevel="0" collapsed="false">
      <c r="A448" s="1" t="n">
        <v>0.114107</v>
      </c>
      <c r="B448" s="1" t="s">
        <v>1131</v>
      </c>
      <c r="C448" s="1" t="n">
        <v>5615.5</v>
      </c>
      <c r="D448" s="1" t="n">
        <v>640.77</v>
      </c>
      <c r="E448" s="1" t="n">
        <v>5615.5</v>
      </c>
      <c r="F448" s="172" t="n">
        <v>0.114107</v>
      </c>
      <c r="G448" s="1" t="s">
        <v>123</v>
      </c>
      <c r="H448" s="1" t="s">
        <v>109</v>
      </c>
      <c r="I448" s="1" t="n">
        <v>4134084191</v>
      </c>
      <c r="J448" s="1" t="s">
        <v>1244</v>
      </c>
      <c r="K448" s="1" t="s">
        <v>104</v>
      </c>
      <c r="L448" s="1" t="s">
        <v>109</v>
      </c>
      <c r="M448" s="1" t="n">
        <v>4134084191</v>
      </c>
      <c r="N448" s="1" t="n">
        <v>640.77</v>
      </c>
      <c r="O448" s="1" t="n">
        <v>467.96</v>
      </c>
      <c r="P448" s="1" t="s">
        <v>1277</v>
      </c>
      <c r="Q448" s="1" t="s">
        <v>108</v>
      </c>
      <c r="S448" s="1" t="s">
        <v>1278</v>
      </c>
      <c r="T448" s="1" t="s">
        <v>1274</v>
      </c>
      <c r="V448" s="1" t="s">
        <v>1293</v>
      </c>
      <c r="W448" s="1" t="s">
        <v>1276</v>
      </c>
    </row>
    <row r="449" customFormat="false" ht="15" hidden="false" customHeight="true" outlineLevel="0" collapsed="false">
      <c r="A449" s="1" t="n">
        <v>0.113801</v>
      </c>
      <c r="B449" s="1" t="s">
        <v>1131</v>
      </c>
      <c r="C449" s="1" t="n">
        <v>5615.5</v>
      </c>
      <c r="D449" s="1" t="n">
        <v>639.05</v>
      </c>
      <c r="E449" s="1" t="n">
        <v>5615.5</v>
      </c>
      <c r="F449" s="172" t="n">
        <v>0.113801</v>
      </c>
      <c r="G449" s="1" t="s">
        <v>123</v>
      </c>
      <c r="H449" s="1" t="s">
        <v>114</v>
      </c>
      <c r="I449" s="1" t="n">
        <v>3598024566</v>
      </c>
      <c r="J449" s="1" t="s">
        <v>1244</v>
      </c>
      <c r="K449" s="1" t="s">
        <v>104</v>
      </c>
      <c r="L449" s="1" t="s">
        <v>114</v>
      </c>
      <c r="M449" s="1" t="n">
        <v>3598024566</v>
      </c>
      <c r="N449" s="1" t="n">
        <v>639.05</v>
      </c>
      <c r="O449" s="1" t="n">
        <v>467.96</v>
      </c>
      <c r="P449" s="1" t="s">
        <v>1280</v>
      </c>
      <c r="Q449" s="1" t="s">
        <v>100</v>
      </c>
      <c r="S449" s="1" t="s">
        <v>1004</v>
      </c>
      <c r="T449" s="1" t="s">
        <v>1274</v>
      </c>
      <c r="V449" s="1" t="s">
        <v>1293</v>
      </c>
      <c r="W449" s="1" t="s">
        <v>1276</v>
      </c>
    </row>
    <row r="450" customFormat="false" ht="15" hidden="false" customHeight="true" outlineLevel="0" collapsed="false">
      <c r="A450" s="1" t="n">
        <v>0.113792</v>
      </c>
      <c r="B450" s="1" t="s">
        <v>1131</v>
      </c>
      <c r="C450" s="1" t="n">
        <v>5615.5</v>
      </c>
      <c r="D450" s="1" t="n">
        <v>639</v>
      </c>
      <c r="E450" s="1" t="n">
        <v>5615.5</v>
      </c>
      <c r="F450" s="172" t="n">
        <v>0.113792</v>
      </c>
      <c r="G450" s="1" t="s">
        <v>123</v>
      </c>
      <c r="H450" s="1" t="s">
        <v>139</v>
      </c>
      <c r="I450" s="1" t="n">
        <v>4898322004</v>
      </c>
      <c r="J450" s="1" t="s">
        <v>1244</v>
      </c>
      <c r="K450" s="1" t="s">
        <v>104</v>
      </c>
      <c r="L450" s="1" t="s">
        <v>139</v>
      </c>
      <c r="M450" s="1" t="n">
        <v>4898322004</v>
      </c>
      <c r="N450" s="1" t="n">
        <v>639</v>
      </c>
      <c r="O450" s="1" t="n">
        <v>467.96</v>
      </c>
      <c r="P450" s="1" t="s">
        <v>1277</v>
      </c>
      <c r="Q450" s="1" t="s">
        <v>108</v>
      </c>
      <c r="S450" s="1" t="s">
        <v>1278</v>
      </c>
      <c r="T450" s="1" t="s">
        <v>1279</v>
      </c>
      <c r="V450" s="1" t="s">
        <v>1293</v>
      </c>
      <c r="W450" s="1" t="s">
        <v>1276</v>
      </c>
    </row>
    <row r="451" customFormat="false" ht="15" hidden="false" customHeight="true" outlineLevel="0" collapsed="false">
      <c r="A451" s="1" t="n">
        <v>0.058176</v>
      </c>
      <c r="B451" s="1" t="s">
        <v>1131</v>
      </c>
      <c r="C451" s="1" t="n">
        <v>10875</v>
      </c>
      <c r="D451" s="1" t="n">
        <v>632.66</v>
      </c>
      <c r="E451" s="1" t="n">
        <v>10875</v>
      </c>
      <c r="F451" s="172" t="n">
        <v>0.058176</v>
      </c>
      <c r="G451" s="1" t="s">
        <v>102</v>
      </c>
      <c r="H451" s="1" t="s">
        <v>196</v>
      </c>
      <c r="I451" s="1" t="n">
        <v>51997038430</v>
      </c>
      <c r="J451" s="1" t="s">
        <v>1246</v>
      </c>
      <c r="K451" s="1" t="s">
        <v>102</v>
      </c>
      <c r="L451" s="1" t="s">
        <v>196</v>
      </c>
      <c r="M451" s="1" t="n">
        <v>51997038430</v>
      </c>
      <c r="N451" s="1" t="n">
        <v>632.66</v>
      </c>
      <c r="O451" s="1" t="n">
        <v>906.25</v>
      </c>
      <c r="P451" s="1" t="s">
        <v>1286</v>
      </c>
      <c r="Q451" s="1" t="s">
        <v>108</v>
      </c>
      <c r="S451" s="1" t="s">
        <v>1278</v>
      </c>
      <c r="T451" s="1" t="s">
        <v>1279</v>
      </c>
      <c r="V451" s="1" t="s">
        <v>1293</v>
      </c>
      <c r="W451" s="1" t="s">
        <v>1284</v>
      </c>
    </row>
    <row r="452" customFormat="false" ht="15" hidden="false" customHeight="true" outlineLevel="0" collapsed="false">
      <c r="A452" s="1" t="n">
        <v>0.112284</v>
      </c>
      <c r="B452" s="1" t="s">
        <v>1131</v>
      </c>
      <c r="C452" s="1" t="n">
        <v>5615.5</v>
      </c>
      <c r="D452" s="1" t="n">
        <v>630.53</v>
      </c>
      <c r="E452" s="1" t="n">
        <v>5615.5</v>
      </c>
      <c r="F452" s="172" t="n">
        <v>0.112284</v>
      </c>
      <c r="G452" s="1" t="s">
        <v>123</v>
      </c>
      <c r="H452" s="1" t="s">
        <v>114</v>
      </c>
      <c r="I452" s="1" t="n">
        <v>19981135234</v>
      </c>
      <c r="J452" s="1" t="s">
        <v>1244</v>
      </c>
      <c r="K452" s="1" t="s">
        <v>104</v>
      </c>
      <c r="L452" s="1" t="s">
        <v>114</v>
      </c>
      <c r="M452" s="1" t="n">
        <v>19981135234</v>
      </c>
      <c r="N452" s="1" t="n">
        <v>630.53</v>
      </c>
      <c r="O452" s="1" t="n">
        <v>467.96</v>
      </c>
      <c r="P452" s="1" t="s">
        <v>1280</v>
      </c>
      <c r="Q452" s="1" t="s">
        <v>100</v>
      </c>
      <c r="S452" s="1" t="s">
        <v>1004</v>
      </c>
      <c r="T452" s="1" t="s">
        <v>1274</v>
      </c>
      <c r="V452" s="1" t="s">
        <v>1293</v>
      </c>
      <c r="W452" s="1" t="s">
        <v>1276</v>
      </c>
    </row>
    <row r="453" customFormat="false" ht="15" hidden="false" customHeight="true" outlineLevel="0" collapsed="false">
      <c r="A453" s="1" t="n">
        <v>0.11214</v>
      </c>
      <c r="B453" s="1" t="s">
        <v>1131</v>
      </c>
      <c r="C453" s="1" t="n">
        <v>5615.5</v>
      </c>
      <c r="D453" s="1" t="n">
        <v>629.72</v>
      </c>
      <c r="E453" s="1" t="n">
        <v>5615.5</v>
      </c>
      <c r="F453" s="172" t="n">
        <v>0.11214</v>
      </c>
      <c r="G453" s="1" t="s">
        <v>123</v>
      </c>
      <c r="H453" s="1" t="s">
        <v>119</v>
      </c>
      <c r="I453" s="1" t="n">
        <v>4499253701</v>
      </c>
      <c r="J453" s="1" t="s">
        <v>1244</v>
      </c>
      <c r="K453" s="1" t="s">
        <v>104</v>
      </c>
      <c r="L453" s="1" t="s">
        <v>119</v>
      </c>
      <c r="M453" s="1" t="n">
        <v>4499253701</v>
      </c>
      <c r="N453" s="1" t="n">
        <v>629.72</v>
      </c>
      <c r="O453" s="1" t="n">
        <v>467.96</v>
      </c>
      <c r="P453" s="1" t="s">
        <v>1281</v>
      </c>
      <c r="Q453" s="1" t="s">
        <v>108</v>
      </c>
      <c r="S453" s="1" t="s">
        <v>1278</v>
      </c>
      <c r="T453" s="1" t="s">
        <v>1279</v>
      </c>
      <c r="V453" s="1" t="s">
        <v>1293</v>
      </c>
      <c r="W453" s="1" t="s">
        <v>1276</v>
      </c>
    </row>
    <row r="454" customFormat="false" ht="15" hidden="false" customHeight="true" outlineLevel="0" collapsed="false">
      <c r="A454" s="1" t="n">
        <v>0.109807</v>
      </c>
      <c r="B454" s="1" t="s">
        <v>1131</v>
      </c>
      <c r="C454" s="1" t="n">
        <v>5615.5</v>
      </c>
      <c r="D454" s="1" t="n">
        <v>616.62</v>
      </c>
      <c r="E454" s="1" t="n">
        <v>5615.5</v>
      </c>
      <c r="F454" s="172" t="n">
        <v>0.109807</v>
      </c>
      <c r="G454" s="1" t="s">
        <v>123</v>
      </c>
      <c r="H454" s="1" t="s">
        <v>139</v>
      </c>
      <c r="I454" s="1" t="n">
        <v>4797870432</v>
      </c>
      <c r="J454" s="1" t="s">
        <v>1244</v>
      </c>
      <c r="K454" s="1" t="s">
        <v>104</v>
      </c>
      <c r="L454" s="1" t="s">
        <v>139</v>
      </c>
      <c r="M454" s="1" t="n">
        <v>4797870432</v>
      </c>
      <c r="N454" s="1" t="n">
        <v>616.62</v>
      </c>
      <c r="O454" s="1" t="n">
        <v>467.96</v>
      </c>
      <c r="P454" s="1" t="s">
        <v>1277</v>
      </c>
      <c r="Q454" s="1" t="s">
        <v>108</v>
      </c>
      <c r="S454" s="1" t="s">
        <v>1278</v>
      </c>
      <c r="T454" s="1" t="s">
        <v>1279</v>
      </c>
      <c r="V454" s="1" t="s">
        <v>1293</v>
      </c>
      <c r="W454" s="1" t="s">
        <v>1276</v>
      </c>
    </row>
    <row r="455" customFormat="false" ht="15" hidden="false" customHeight="true" outlineLevel="0" collapsed="false">
      <c r="A455" s="1" t="n">
        <v>0.109271</v>
      </c>
      <c r="B455" s="1" t="s">
        <v>1131</v>
      </c>
      <c r="C455" s="1" t="n">
        <v>5615.5</v>
      </c>
      <c r="D455" s="1" t="n">
        <v>613.61</v>
      </c>
      <c r="E455" s="1" t="n">
        <v>5615.5</v>
      </c>
      <c r="F455" s="172" t="n">
        <v>0.109271</v>
      </c>
      <c r="G455" s="1" t="s">
        <v>123</v>
      </c>
      <c r="H455" s="1" t="s">
        <v>119</v>
      </c>
      <c r="I455" s="1" t="n">
        <v>11974594225</v>
      </c>
      <c r="J455" s="1" t="s">
        <v>1244</v>
      </c>
      <c r="K455" s="1" t="s">
        <v>104</v>
      </c>
      <c r="L455" s="1" t="s">
        <v>119</v>
      </c>
      <c r="M455" s="1" t="n">
        <v>11974594225</v>
      </c>
      <c r="N455" s="1" t="n">
        <v>613.61</v>
      </c>
      <c r="O455" s="1" t="n">
        <v>467.96</v>
      </c>
      <c r="P455" s="1" t="s">
        <v>1285</v>
      </c>
      <c r="Q455" s="1" t="s">
        <v>100</v>
      </c>
      <c r="S455" s="1" t="s">
        <v>1004</v>
      </c>
      <c r="T455" s="1" t="s">
        <v>1274</v>
      </c>
      <c r="V455" s="1" t="s">
        <v>1293</v>
      </c>
      <c r="W455" s="1" t="s">
        <v>1276</v>
      </c>
    </row>
    <row r="456" customFormat="false" ht="15" hidden="false" customHeight="true" outlineLevel="0" collapsed="false">
      <c r="A456" s="1" t="n">
        <v>0.107203</v>
      </c>
      <c r="B456" s="1" t="s">
        <v>1131</v>
      </c>
      <c r="C456" s="1" t="n">
        <v>5615.5</v>
      </c>
      <c r="D456" s="1" t="n">
        <v>602</v>
      </c>
      <c r="E456" s="1" t="n">
        <v>5615.5</v>
      </c>
      <c r="F456" s="172" t="n">
        <v>0.107203</v>
      </c>
      <c r="G456" s="1" t="s">
        <v>123</v>
      </c>
      <c r="H456" s="1" t="s">
        <v>139</v>
      </c>
      <c r="I456" s="1" t="n">
        <v>4991100101</v>
      </c>
      <c r="J456" s="1" t="s">
        <v>1244</v>
      </c>
      <c r="K456" s="1" t="s">
        <v>104</v>
      </c>
      <c r="L456" s="1" t="s">
        <v>139</v>
      </c>
      <c r="M456" s="1" t="n">
        <v>4991100101</v>
      </c>
      <c r="N456" s="1" t="n">
        <v>602</v>
      </c>
      <c r="O456" s="1" t="n">
        <v>467.96</v>
      </c>
      <c r="P456" s="1" t="s">
        <v>1277</v>
      </c>
      <c r="Q456" s="1" t="s">
        <v>108</v>
      </c>
      <c r="S456" s="1" t="s">
        <v>1278</v>
      </c>
      <c r="T456" s="1" t="s">
        <v>1279</v>
      </c>
      <c r="V456" s="1" t="s">
        <v>1293</v>
      </c>
      <c r="W456" s="1" t="s">
        <v>1276</v>
      </c>
    </row>
    <row r="457" customFormat="false" ht="15" hidden="false" customHeight="true" outlineLevel="0" collapsed="false">
      <c r="A457" s="1" t="n">
        <v>0.105779</v>
      </c>
      <c r="B457" s="1" t="s">
        <v>1131</v>
      </c>
      <c r="C457" s="1" t="n">
        <v>5615.5</v>
      </c>
      <c r="D457" s="1" t="n">
        <v>594</v>
      </c>
      <c r="E457" s="1" t="n">
        <v>5615.5</v>
      </c>
      <c r="F457" s="172" t="n">
        <v>0.105779</v>
      </c>
      <c r="G457" s="1" t="s">
        <v>123</v>
      </c>
      <c r="H457" s="1" t="s">
        <v>119</v>
      </c>
      <c r="I457" s="1" t="n">
        <v>1138191933</v>
      </c>
      <c r="J457" s="1" t="s">
        <v>1244</v>
      </c>
      <c r="K457" s="1" t="s">
        <v>104</v>
      </c>
      <c r="L457" s="1" t="s">
        <v>119</v>
      </c>
      <c r="M457" s="1" t="n">
        <v>1138191933</v>
      </c>
      <c r="N457" s="1" t="n">
        <v>594</v>
      </c>
      <c r="O457" s="1" t="n">
        <v>467.96</v>
      </c>
      <c r="P457" s="1" t="s">
        <v>1285</v>
      </c>
      <c r="Q457" s="1" t="s">
        <v>100</v>
      </c>
      <c r="S457" s="1" t="s">
        <v>1004</v>
      </c>
      <c r="T457" s="1" t="s">
        <v>1274</v>
      </c>
      <c r="V457" s="1" t="s">
        <v>1293</v>
      </c>
      <c r="W457" s="1" t="s">
        <v>1276</v>
      </c>
    </row>
    <row r="458" customFormat="false" ht="15" hidden="false" customHeight="true" outlineLevel="0" collapsed="false">
      <c r="A458" s="1" t="n">
        <v>0.105451</v>
      </c>
      <c r="B458" s="1" t="s">
        <v>1131</v>
      </c>
      <c r="C458" s="1" t="n">
        <v>5615.5</v>
      </c>
      <c r="D458" s="1" t="n">
        <v>592.16</v>
      </c>
      <c r="E458" s="1" t="n">
        <v>5615.5</v>
      </c>
      <c r="F458" s="172" t="n">
        <v>0.105451</v>
      </c>
      <c r="G458" s="1" t="s">
        <v>123</v>
      </c>
      <c r="H458" s="1" t="s">
        <v>119</v>
      </c>
      <c r="I458" s="1" t="n">
        <v>18997820497</v>
      </c>
      <c r="J458" s="1" t="s">
        <v>1244</v>
      </c>
      <c r="K458" s="1" t="s">
        <v>104</v>
      </c>
      <c r="L458" s="1" t="s">
        <v>119</v>
      </c>
      <c r="M458" s="1" t="n">
        <v>18997820497</v>
      </c>
      <c r="N458" s="1" t="n">
        <v>592.16</v>
      </c>
      <c r="O458" s="1" t="n">
        <v>467.96</v>
      </c>
      <c r="P458" s="1" t="s">
        <v>1281</v>
      </c>
      <c r="Q458" s="1" t="s">
        <v>108</v>
      </c>
      <c r="S458" s="1" t="s">
        <v>1278</v>
      </c>
      <c r="T458" s="1" t="s">
        <v>1279</v>
      </c>
      <c r="V458" s="1" t="s">
        <v>1293</v>
      </c>
      <c r="W458" s="1" t="s">
        <v>1276</v>
      </c>
    </row>
    <row r="459" customFormat="false" ht="15" hidden="false" customHeight="true" outlineLevel="0" collapsed="false">
      <c r="A459" s="1" t="n">
        <v>0.105365</v>
      </c>
      <c r="B459" s="1" t="s">
        <v>1131</v>
      </c>
      <c r="C459" s="1" t="n">
        <v>5615.5</v>
      </c>
      <c r="D459" s="1" t="n">
        <v>591.68</v>
      </c>
      <c r="E459" s="1" t="n">
        <v>5615.5</v>
      </c>
      <c r="F459" s="172" t="n">
        <v>0.105365</v>
      </c>
      <c r="G459" s="1" t="s">
        <v>123</v>
      </c>
      <c r="H459" s="1" t="s">
        <v>119</v>
      </c>
      <c r="I459" s="1" t="n">
        <v>13997006070</v>
      </c>
      <c r="J459" s="1" t="s">
        <v>1244</v>
      </c>
      <c r="K459" s="1" t="s">
        <v>104</v>
      </c>
      <c r="L459" s="1" t="s">
        <v>119</v>
      </c>
      <c r="M459" s="1" t="n">
        <v>13997006070</v>
      </c>
      <c r="N459" s="1" t="n">
        <v>591.68</v>
      </c>
      <c r="O459" s="1" t="n">
        <v>467.96</v>
      </c>
      <c r="P459" s="1" t="s">
        <v>1285</v>
      </c>
      <c r="Q459" s="1" t="s">
        <v>100</v>
      </c>
      <c r="S459" s="1" t="s">
        <v>1278</v>
      </c>
      <c r="T459" s="1" t="s">
        <v>1274</v>
      </c>
      <c r="V459" s="1" t="s">
        <v>1293</v>
      </c>
      <c r="W459" s="1" t="s">
        <v>1276</v>
      </c>
    </row>
    <row r="460" customFormat="false" ht="15" hidden="false" customHeight="true" outlineLevel="0" collapsed="false">
      <c r="A460" s="1" t="n">
        <v>0.104201</v>
      </c>
      <c r="B460" s="1" t="s">
        <v>1131</v>
      </c>
      <c r="C460" s="1" t="n">
        <v>5615.5</v>
      </c>
      <c r="D460" s="1" t="n">
        <v>585.14</v>
      </c>
      <c r="E460" s="1" t="n">
        <v>5615.5</v>
      </c>
      <c r="F460" s="172" t="n">
        <v>0.104201</v>
      </c>
      <c r="G460" s="1" t="s">
        <v>123</v>
      </c>
      <c r="H460" s="1" t="s">
        <v>119</v>
      </c>
      <c r="I460" s="1" t="n">
        <v>11443607601</v>
      </c>
      <c r="J460" s="1" t="s">
        <v>1244</v>
      </c>
      <c r="K460" s="1" t="s">
        <v>104</v>
      </c>
      <c r="L460" s="1" t="s">
        <v>119</v>
      </c>
      <c r="M460" s="1" t="n">
        <v>11443607601</v>
      </c>
      <c r="N460" s="1" t="n">
        <v>585.14</v>
      </c>
      <c r="O460" s="1" t="n">
        <v>467.96</v>
      </c>
      <c r="P460" s="1" t="s">
        <v>1285</v>
      </c>
      <c r="Q460" s="1" t="s">
        <v>100</v>
      </c>
      <c r="S460" s="1" t="s">
        <v>1004</v>
      </c>
      <c r="T460" s="1" t="s">
        <v>1274</v>
      </c>
      <c r="V460" s="1" t="s">
        <v>1293</v>
      </c>
      <c r="W460" s="1" t="s">
        <v>1276</v>
      </c>
    </row>
    <row r="461" customFormat="false" ht="15" hidden="false" customHeight="true" outlineLevel="0" collapsed="false">
      <c r="A461" s="1" t="n">
        <v>0.104112</v>
      </c>
      <c r="B461" s="1" t="s">
        <v>1131</v>
      </c>
      <c r="C461" s="1" t="n">
        <v>5615.5</v>
      </c>
      <c r="D461" s="1" t="n">
        <v>584.64</v>
      </c>
      <c r="E461" s="1" t="n">
        <v>5615.5</v>
      </c>
      <c r="F461" s="172" t="n">
        <v>0.104112</v>
      </c>
      <c r="G461" s="1" t="s">
        <v>123</v>
      </c>
      <c r="H461" s="1" t="s">
        <v>109</v>
      </c>
      <c r="I461" s="1" t="n">
        <v>1</v>
      </c>
      <c r="J461" s="1" t="s">
        <v>1244</v>
      </c>
      <c r="K461" s="1" t="s">
        <v>104</v>
      </c>
      <c r="L461" s="1" t="s">
        <v>109</v>
      </c>
      <c r="M461" s="1" t="n">
        <v>1</v>
      </c>
      <c r="N461" s="1" t="n">
        <v>584.64</v>
      </c>
      <c r="O461" s="1" t="n">
        <v>467.96</v>
      </c>
      <c r="P461" s="1" t="s">
        <v>1277</v>
      </c>
      <c r="Q461" s="1" t="s">
        <v>108</v>
      </c>
      <c r="S461" s="1" t="s">
        <v>1278</v>
      </c>
      <c r="T461" s="1" t="s">
        <v>1279</v>
      </c>
      <c r="V461" s="1" t="s">
        <v>1293</v>
      </c>
      <c r="W461" s="1" t="s">
        <v>1276</v>
      </c>
    </row>
    <row r="462" customFormat="false" ht="15" hidden="false" customHeight="true" outlineLevel="0" collapsed="false">
      <c r="A462" s="1" t="n">
        <v>0.104094</v>
      </c>
      <c r="B462" s="1" t="s">
        <v>1131</v>
      </c>
      <c r="C462" s="1" t="n">
        <v>5615.5</v>
      </c>
      <c r="D462" s="1" t="n">
        <v>584.54</v>
      </c>
      <c r="E462" s="1" t="n">
        <v>5615.5</v>
      </c>
      <c r="F462" s="172" t="n">
        <v>0.104094</v>
      </c>
      <c r="G462" s="1" t="s">
        <v>123</v>
      </c>
      <c r="H462" s="1" t="s">
        <v>196</v>
      </c>
      <c r="I462" s="1" t="n">
        <v>51981774433</v>
      </c>
      <c r="J462" s="1" t="s">
        <v>1244</v>
      </c>
      <c r="K462" s="1" t="s">
        <v>104</v>
      </c>
      <c r="L462" s="1" t="s">
        <v>196</v>
      </c>
      <c r="M462" s="1" t="n">
        <v>51981774433</v>
      </c>
      <c r="N462" s="1" t="n">
        <v>584.54</v>
      </c>
      <c r="O462" s="1" t="n">
        <v>467.96</v>
      </c>
      <c r="P462" s="1" t="s">
        <v>1277</v>
      </c>
      <c r="Q462" s="1" t="s">
        <v>108</v>
      </c>
      <c r="S462" s="1" t="s">
        <v>1278</v>
      </c>
      <c r="T462" s="1" t="s">
        <v>1279</v>
      </c>
      <c r="V462" s="1" t="s">
        <v>1293</v>
      </c>
      <c r="W462" s="1" t="s">
        <v>1276</v>
      </c>
    </row>
    <row r="463" customFormat="false" ht="15" hidden="false" customHeight="true" outlineLevel="0" collapsed="false">
      <c r="A463" s="1" t="n">
        <v>0.054542</v>
      </c>
      <c r="B463" s="1" t="s">
        <v>1131</v>
      </c>
      <c r="C463" s="1" t="n">
        <v>10706.9</v>
      </c>
      <c r="D463" s="1" t="n">
        <v>583.98</v>
      </c>
      <c r="E463" s="1" t="n">
        <v>10706.9</v>
      </c>
      <c r="F463" s="172" t="n">
        <v>0.054542</v>
      </c>
      <c r="G463" s="1" t="s">
        <v>66</v>
      </c>
      <c r="H463" s="1" t="s">
        <v>109</v>
      </c>
      <c r="I463" s="1" t="n">
        <v>41991464469</v>
      </c>
      <c r="J463" s="1" t="s">
        <v>1246</v>
      </c>
      <c r="K463" s="1" t="s">
        <v>66</v>
      </c>
      <c r="L463" s="1" t="s">
        <v>109</v>
      </c>
      <c r="M463" s="1" t="n">
        <v>41991464469</v>
      </c>
      <c r="N463" s="1" t="n">
        <v>583.98</v>
      </c>
      <c r="O463" s="1" t="n">
        <v>892.24</v>
      </c>
      <c r="P463" s="1" t="s">
        <v>1286</v>
      </c>
      <c r="Q463" s="1" t="s">
        <v>175</v>
      </c>
      <c r="S463" s="1" t="s">
        <v>1278</v>
      </c>
      <c r="T463" s="1" t="s">
        <v>1274</v>
      </c>
      <c r="V463" s="1" t="s">
        <v>1293</v>
      </c>
      <c r="W463" s="1" t="s">
        <v>1284</v>
      </c>
    </row>
    <row r="464" customFormat="false" ht="15" hidden="false" customHeight="true" outlineLevel="0" collapsed="false">
      <c r="A464" s="1" t="n">
        <v>0.10257</v>
      </c>
      <c r="B464" s="1" t="s">
        <v>1131</v>
      </c>
      <c r="C464" s="1" t="n">
        <v>5615.5</v>
      </c>
      <c r="D464" s="1" t="n">
        <v>575.98</v>
      </c>
      <c r="E464" s="1" t="n">
        <v>5615.5</v>
      </c>
      <c r="F464" s="172" t="n">
        <v>0.10257</v>
      </c>
      <c r="G464" s="1" t="s">
        <v>123</v>
      </c>
      <c r="H464" s="1" t="s">
        <v>119</v>
      </c>
      <c r="I464" s="1" t="n">
        <v>18981504646</v>
      </c>
      <c r="J464" s="1" t="s">
        <v>1244</v>
      </c>
      <c r="K464" s="1" t="s">
        <v>104</v>
      </c>
      <c r="L464" s="1" t="s">
        <v>119</v>
      </c>
      <c r="M464" s="1" t="n">
        <v>18981504646</v>
      </c>
      <c r="N464" s="1" t="n">
        <v>575.98</v>
      </c>
      <c r="O464" s="1" t="n">
        <v>467.96</v>
      </c>
      <c r="P464" s="1" t="s">
        <v>1281</v>
      </c>
      <c r="Q464" s="1" t="s">
        <v>100</v>
      </c>
      <c r="S464" s="1" t="s">
        <v>1004</v>
      </c>
      <c r="T464" s="1" t="s">
        <v>1274</v>
      </c>
      <c r="V464" s="1" t="s">
        <v>1293</v>
      </c>
      <c r="W464" s="1" t="s">
        <v>1276</v>
      </c>
    </row>
    <row r="465" customFormat="false" ht="15" hidden="false" customHeight="true" outlineLevel="0" collapsed="false">
      <c r="A465" s="1" t="n">
        <v>0.100789</v>
      </c>
      <c r="B465" s="1" t="s">
        <v>1131</v>
      </c>
      <c r="C465" s="1" t="n">
        <v>5615.5</v>
      </c>
      <c r="D465" s="1" t="n">
        <v>565.98</v>
      </c>
      <c r="E465" s="1" t="n">
        <v>5615.5</v>
      </c>
      <c r="F465" s="172" t="n">
        <v>0.100789</v>
      </c>
      <c r="G465" s="1" t="s">
        <v>123</v>
      </c>
      <c r="H465" s="1" t="s">
        <v>260</v>
      </c>
      <c r="I465" s="1" t="n">
        <v>22981093913</v>
      </c>
      <c r="J465" s="1" t="s">
        <v>1244</v>
      </c>
      <c r="K465" s="1" t="s">
        <v>104</v>
      </c>
      <c r="L465" s="1" t="s">
        <v>260</v>
      </c>
      <c r="M465" s="1" t="n">
        <v>22981093913</v>
      </c>
      <c r="N465" s="1" t="n">
        <v>565.98</v>
      </c>
      <c r="O465" s="1" t="n">
        <v>467.96</v>
      </c>
      <c r="P465" s="1" t="s">
        <v>1280</v>
      </c>
      <c r="Q465" s="1" t="s">
        <v>108</v>
      </c>
      <c r="S465" s="1" t="s">
        <v>1278</v>
      </c>
      <c r="T465" s="1" t="s">
        <v>1279</v>
      </c>
      <c r="V465" s="1" t="s">
        <v>1293</v>
      </c>
      <c r="W465" s="1" t="s">
        <v>1276</v>
      </c>
    </row>
    <row r="466" customFormat="false" ht="15" hidden="false" customHeight="true" outlineLevel="0" collapsed="false">
      <c r="A466" s="1" t="n">
        <v>0.099939</v>
      </c>
      <c r="B466" s="1" t="s">
        <v>1131</v>
      </c>
      <c r="C466" s="1" t="n">
        <v>5615.5</v>
      </c>
      <c r="D466" s="1" t="n">
        <v>561.21</v>
      </c>
      <c r="E466" s="1" t="n">
        <v>5615.5</v>
      </c>
      <c r="F466" s="172" t="n">
        <v>0.099939</v>
      </c>
      <c r="G466" s="1" t="s">
        <v>123</v>
      </c>
      <c r="H466" s="1" t="s">
        <v>196</v>
      </c>
      <c r="I466" s="1" t="n">
        <v>51984097998</v>
      </c>
      <c r="J466" s="1" t="s">
        <v>1246</v>
      </c>
      <c r="K466" s="1" t="s">
        <v>104</v>
      </c>
      <c r="L466" s="1" t="s">
        <v>196</v>
      </c>
      <c r="M466" s="1" t="n">
        <v>51984097998</v>
      </c>
      <c r="N466" s="1" t="n">
        <v>561.21</v>
      </c>
      <c r="O466" s="1" t="n">
        <v>467.96</v>
      </c>
      <c r="P466" s="1" t="s">
        <v>1277</v>
      </c>
      <c r="Q466" s="1" t="s">
        <v>108</v>
      </c>
      <c r="S466" s="1" t="s">
        <v>1278</v>
      </c>
      <c r="T466" s="1" t="s">
        <v>1279</v>
      </c>
      <c r="V466" s="1" t="s">
        <v>1293</v>
      </c>
      <c r="W466" s="1" t="s">
        <v>1276</v>
      </c>
    </row>
    <row r="467" customFormat="false" ht="15" hidden="false" customHeight="true" outlineLevel="0" collapsed="false">
      <c r="A467" s="1" t="n">
        <v>0.09732</v>
      </c>
      <c r="B467" s="1" t="s">
        <v>1131</v>
      </c>
      <c r="C467" s="1" t="n">
        <v>5615.5</v>
      </c>
      <c r="D467" s="1" t="n">
        <v>546.5</v>
      </c>
      <c r="E467" s="1" t="n">
        <v>5615.5</v>
      </c>
      <c r="F467" s="172" t="n">
        <v>0.09732</v>
      </c>
      <c r="G467" s="1" t="s">
        <v>123</v>
      </c>
      <c r="H467" s="1" t="s">
        <v>119</v>
      </c>
      <c r="I467" s="1" t="n">
        <v>19981389325</v>
      </c>
      <c r="J467" s="1" t="s">
        <v>1246</v>
      </c>
      <c r="K467" s="1" t="s">
        <v>104</v>
      </c>
      <c r="L467" s="1" t="s">
        <v>119</v>
      </c>
      <c r="M467" s="1" t="n">
        <v>19981389325</v>
      </c>
      <c r="N467" s="1" t="n">
        <v>546.5</v>
      </c>
      <c r="O467" s="1" t="n">
        <v>467.96</v>
      </c>
      <c r="P467" s="1" t="s">
        <v>1281</v>
      </c>
      <c r="Q467" s="1" t="s">
        <v>100</v>
      </c>
      <c r="S467" s="1" t="s">
        <v>1004</v>
      </c>
      <c r="T467" s="1" t="s">
        <v>1274</v>
      </c>
      <c r="V467" s="1" t="s">
        <v>1293</v>
      </c>
      <c r="W467" s="1" t="s">
        <v>1276</v>
      </c>
    </row>
    <row r="468" customFormat="false" ht="15" hidden="false" customHeight="true" outlineLevel="0" collapsed="false">
      <c r="A468" s="1" t="n">
        <v>0.097124</v>
      </c>
      <c r="B468" s="1" t="s">
        <v>1131</v>
      </c>
      <c r="C468" s="1" t="n">
        <v>5615.5</v>
      </c>
      <c r="D468" s="1" t="n">
        <v>545.4</v>
      </c>
      <c r="E468" s="1" t="n">
        <v>5615.5</v>
      </c>
      <c r="F468" s="172" t="n">
        <v>0.097124</v>
      </c>
      <c r="G468" s="1" t="s">
        <v>123</v>
      </c>
      <c r="H468" s="1" t="s">
        <v>114</v>
      </c>
      <c r="I468" s="1" t="n">
        <v>19998488255</v>
      </c>
      <c r="J468" s="1" t="s">
        <v>1246</v>
      </c>
      <c r="K468" s="1" t="s">
        <v>104</v>
      </c>
      <c r="L468" s="1" t="s">
        <v>114</v>
      </c>
      <c r="M468" s="1" t="n">
        <v>19998488255</v>
      </c>
      <c r="N468" s="1" t="n">
        <v>545.4</v>
      </c>
      <c r="O468" s="1" t="n">
        <v>467.96</v>
      </c>
      <c r="P468" s="1" t="s">
        <v>1280</v>
      </c>
      <c r="Q468" s="1" t="s">
        <v>100</v>
      </c>
      <c r="S468" s="1" t="s">
        <v>1004</v>
      </c>
      <c r="T468" s="1" t="s">
        <v>1274</v>
      </c>
      <c r="V468" s="1" t="s">
        <v>1293</v>
      </c>
      <c r="W468" s="1" t="s">
        <v>1276</v>
      </c>
    </row>
    <row r="469" customFormat="false" ht="15" hidden="false" customHeight="true" outlineLevel="0" collapsed="false">
      <c r="A469" s="1" t="n">
        <v>0.052984</v>
      </c>
      <c r="B469" s="1" t="s">
        <v>1131</v>
      </c>
      <c r="C469" s="1" t="n">
        <v>10200</v>
      </c>
      <c r="D469" s="1" t="n">
        <v>540.44</v>
      </c>
      <c r="E469" s="1" t="n">
        <v>10200</v>
      </c>
      <c r="F469" s="172" t="n">
        <v>0.052984</v>
      </c>
      <c r="G469" s="1" t="s">
        <v>115</v>
      </c>
      <c r="H469" s="1" t="s">
        <v>139</v>
      </c>
      <c r="I469" s="1" t="n">
        <v>51997049422</v>
      </c>
      <c r="J469" s="1" t="s">
        <v>1246</v>
      </c>
      <c r="K469" s="1" t="s">
        <v>115</v>
      </c>
      <c r="L469" s="1" t="s">
        <v>139</v>
      </c>
      <c r="M469" s="1" t="n">
        <v>51997049422</v>
      </c>
      <c r="N469" s="1" t="n">
        <v>540.44</v>
      </c>
      <c r="O469" s="1" t="n">
        <v>850</v>
      </c>
      <c r="P469" s="1" t="s">
        <v>1286</v>
      </c>
      <c r="Q469" s="1" t="s">
        <v>184</v>
      </c>
      <c r="S469" s="1" t="s">
        <v>1278</v>
      </c>
      <c r="T469" s="1" t="s">
        <v>1274</v>
      </c>
      <c r="V469" s="1" t="s">
        <v>1293</v>
      </c>
      <c r="W469" s="1" t="s">
        <v>1284</v>
      </c>
    </row>
    <row r="470" customFormat="false" ht="15" hidden="false" customHeight="true" outlineLevel="0" collapsed="false">
      <c r="A470" s="1" t="n">
        <v>0.095183</v>
      </c>
      <c r="B470" s="1" t="s">
        <v>1131</v>
      </c>
      <c r="C470" s="1" t="n">
        <v>5615.5</v>
      </c>
      <c r="D470" s="1" t="n">
        <v>534.5</v>
      </c>
      <c r="E470" s="1" t="n">
        <v>5615.5</v>
      </c>
      <c r="F470" s="172" t="n">
        <v>0.095183</v>
      </c>
      <c r="G470" s="1" t="s">
        <v>123</v>
      </c>
      <c r="H470" s="1" t="s">
        <v>109</v>
      </c>
      <c r="I470" s="1" t="n">
        <v>41991856234</v>
      </c>
      <c r="J470" s="1" t="s">
        <v>1246</v>
      </c>
      <c r="K470" s="1" t="s">
        <v>104</v>
      </c>
      <c r="L470" s="1" t="s">
        <v>109</v>
      </c>
      <c r="M470" s="1" t="n">
        <v>41991856234</v>
      </c>
      <c r="N470" s="1" t="n">
        <v>534.5</v>
      </c>
      <c r="O470" s="1" t="n">
        <v>467.96</v>
      </c>
      <c r="P470" s="1" t="s">
        <v>1277</v>
      </c>
      <c r="Q470" s="1" t="s">
        <v>108</v>
      </c>
      <c r="S470" s="1" t="s">
        <v>1278</v>
      </c>
      <c r="T470" s="1" t="s">
        <v>1279</v>
      </c>
      <c r="V470" s="1" t="s">
        <v>1293</v>
      </c>
      <c r="W470" s="1" t="s">
        <v>1276</v>
      </c>
    </row>
    <row r="471" customFormat="false" ht="15" hidden="false" customHeight="true" outlineLevel="0" collapsed="false">
      <c r="A471" s="1" t="n">
        <v>0.095001</v>
      </c>
      <c r="B471" s="1" t="s">
        <v>1131</v>
      </c>
      <c r="C471" s="1" t="n">
        <v>5615.5</v>
      </c>
      <c r="D471" s="1" t="n">
        <v>533.48</v>
      </c>
      <c r="E471" s="1" t="n">
        <v>5615.5</v>
      </c>
      <c r="F471" s="172" t="n">
        <v>0.095001</v>
      </c>
      <c r="G471" s="1" t="s">
        <v>123</v>
      </c>
      <c r="H471" s="1" t="s">
        <v>250</v>
      </c>
      <c r="I471" s="1" t="n">
        <v>28999268380</v>
      </c>
      <c r="J471" s="1" t="s">
        <v>1246</v>
      </c>
      <c r="K471" s="1" t="s">
        <v>104</v>
      </c>
      <c r="L471" s="1" t="s">
        <v>250</v>
      </c>
      <c r="M471" s="1" t="n">
        <v>28999268380</v>
      </c>
      <c r="N471" s="1" t="n">
        <v>533.48</v>
      </c>
      <c r="O471" s="1" t="n">
        <v>467.96</v>
      </c>
      <c r="P471" s="1" t="s">
        <v>1280</v>
      </c>
      <c r="Q471" s="1" t="s">
        <v>100</v>
      </c>
      <c r="S471" s="1" t="s">
        <v>1004</v>
      </c>
      <c r="T471" s="1" t="s">
        <v>1274</v>
      </c>
      <c r="V471" s="1" t="s">
        <v>1293</v>
      </c>
      <c r="W471" s="1" t="s">
        <v>1276</v>
      </c>
    </row>
    <row r="472" customFormat="false" ht="15" hidden="false" customHeight="true" outlineLevel="0" collapsed="false">
      <c r="A472" s="1" t="n">
        <v>0.09353</v>
      </c>
      <c r="B472" s="1" t="s">
        <v>1131</v>
      </c>
      <c r="C472" s="1" t="n">
        <v>5615.5</v>
      </c>
      <c r="D472" s="1" t="n">
        <v>525.22</v>
      </c>
      <c r="E472" s="1" t="n">
        <v>5615.5</v>
      </c>
      <c r="F472" s="172" t="n">
        <v>0.09353</v>
      </c>
      <c r="G472" s="1" t="s">
        <v>123</v>
      </c>
      <c r="H472" s="1" t="s">
        <v>139</v>
      </c>
      <c r="I472" s="1" t="n">
        <v>47999923625</v>
      </c>
      <c r="J472" s="1" t="s">
        <v>1246</v>
      </c>
      <c r="K472" s="1" t="s">
        <v>104</v>
      </c>
      <c r="L472" s="1" t="s">
        <v>139</v>
      </c>
      <c r="M472" s="1" t="n">
        <v>47999923625</v>
      </c>
      <c r="N472" s="1" t="n">
        <v>525.22</v>
      </c>
      <c r="O472" s="1" t="n">
        <v>467.96</v>
      </c>
      <c r="P472" s="1" t="s">
        <v>1277</v>
      </c>
      <c r="Q472" s="1" t="s">
        <v>108</v>
      </c>
      <c r="S472" s="1" t="s">
        <v>1278</v>
      </c>
      <c r="T472" s="1" t="s">
        <v>1279</v>
      </c>
      <c r="V472" s="1" t="s">
        <v>1293</v>
      </c>
      <c r="W472" s="1" t="s">
        <v>1276</v>
      </c>
    </row>
    <row r="473" customFormat="false" ht="15" hidden="false" customHeight="true" outlineLevel="0" collapsed="false">
      <c r="A473" s="1" t="n">
        <v>0.090966</v>
      </c>
      <c r="B473" s="1" t="s">
        <v>1131</v>
      </c>
      <c r="C473" s="1" t="n">
        <v>5615.5</v>
      </c>
      <c r="D473" s="1" t="n">
        <v>510.82</v>
      </c>
      <c r="E473" s="1" t="n">
        <v>5615.5</v>
      </c>
      <c r="F473" s="172" t="n">
        <v>0.090966</v>
      </c>
      <c r="G473" s="1" t="s">
        <v>123</v>
      </c>
      <c r="H473" s="1" t="s">
        <v>109</v>
      </c>
      <c r="I473" s="1" t="n">
        <v>0</v>
      </c>
      <c r="J473" s="1" t="s">
        <v>1246</v>
      </c>
      <c r="K473" s="1" t="s">
        <v>104</v>
      </c>
      <c r="L473" s="1" t="s">
        <v>109</v>
      </c>
      <c r="M473" s="1" t="n">
        <v>0</v>
      </c>
      <c r="N473" s="1" t="n">
        <v>510.82</v>
      </c>
      <c r="O473" s="1" t="n">
        <v>467.96</v>
      </c>
      <c r="P473" s="1" t="s">
        <v>1277</v>
      </c>
      <c r="Q473" s="1" t="s">
        <v>108</v>
      </c>
      <c r="S473" s="1" t="s">
        <v>1278</v>
      </c>
      <c r="T473" s="1" t="s">
        <v>1279</v>
      </c>
      <c r="V473" s="1" t="s">
        <v>1293</v>
      </c>
      <c r="W473" s="1" t="s">
        <v>1276</v>
      </c>
    </row>
    <row r="474" customFormat="false" ht="15" hidden="false" customHeight="true" outlineLevel="0" collapsed="false">
      <c r="A474" s="1" t="n">
        <v>0.090268</v>
      </c>
      <c r="B474" s="1" t="s">
        <v>1131</v>
      </c>
      <c r="C474" s="1" t="n">
        <v>5615.5</v>
      </c>
      <c r="D474" s="1" t="n">
        <v>506.9</v>
      </c>
      <c r="E474" s="1" t="n">
        <v>5615.5</v>
      </c>
      <c r="F474" s="172" t="n">
        <v>0.090268</v>
      </c>
      <c r="G474" s="1" t="s">
        <v>123</v>
      </c>
      <c r="H474" s="1" t="s">
        <v>196</v>
      </c>
      <c r="I474" s="1" t="n">
        <v>51991587245</v>
      </c>
      <c r="J474" s="1" t="s">
        <v>1246</v>
      </c>
      <c r="K474" s="1" t="s">
        <v>104</v>
      </c>
      <c r="L474" s="1" t="s">
        <v>196</v>
      </c>
      <c r="M474" s="1" t="n">
        <v>51991587245</v>
      </c>
      <c r="N474" s="1" t="n">
        <v>506.9</v>
      </c>
      <c r="O474" s="1" t="n">
        <v>467.96</v>
      </c>
      <c r="P474" s="1" t="s">
        <v>1277</v>
      </c>
      <c r="Q474" s="1" t="s">
        <v>108</v>
      </c>
      <c r="S474" s="1" t="s">
        <v>1278</v>
      </c>
      <c r="T474" s="1" t="s">
        <v>1279</v>
      </c>
      <c r="V474" s="1" t="s">
        <v>1293</v>
      </c>
      <c r="W474" s="1" t="s">
        <v>1276</v>
      </c>
    </row>
    <row r="475" customFormat="false" ht="15" hidden="false" customHeight="true" outlineLevel="0" collapsed="false">
      <c r="A475" s="1" t="n">
        <v>0.072479</v>
      </c>
      <c r="B475" s="1" t="s">
        <v>1131</v>
      </c>
      <c r="C475" s="1" t="n">
        <v>6566.04</v>
      </c>
      <c r="D475" s="1" t="n">
        <v>475.9</v>
      </c>
      <c r="E475" s="1" t="n">
        <v>6566.04</v>
      </c>
      <c r="F475" s="172" t="n">
        <v>0.072479</v>
      </c>
      <c r="G475" s="1" t="s">
        <v>110</v>
      </c>
      <c r="H475" s="1" t="s">
        <v>196</v>
      </c>
      <c r="I475" s="1" t="n">
        <v>51981926407</v>
      </c>
      <c r="J475" s="1" t="s">
        <v>1246</v>
      </c>
      <c r="K475" s="1" t="s">
        <v>110</v>
      </c>
      <c r="L475" s="1" t="s">
        <v>196</v>
      </c>
      <c r="M475" s="1" t="n">
        <v>51981926407</v>
      </c>
      <c r="N475" s="1" t="n">
        <v>475.9</v>
      </c>
      <c r="O475" s="1" t="n">
        <v>547.17</v>
      </c>
      <c r="P475" s="1" t="s">
        <v>1286</v>
      </c>
      <c r="Q475" s="1" t="s">
        <v>108</v>
      </c>
      <c r="S475" s="1" t="s">
        <v>1278</v>
      </c>
      <c r="T475" s="1" t="s">
        <v>1279</v>
      </c>
      <c r="V475" s="1" t="s">
        <v>1293</v>
      </c>
      <c r="W475" s="1" t="s">
        <v>1284</v>
      </c>
    </row>
    <row r="476" customFormat="false" ht="15" hidden="false" customHeight="true" outlineLevel="0" collapsed="false">
      <c r="A476" s="1" t="n">
        <v>0.080135</v>
      </c>
      <c r="B476" s="1" t="s">
        <v>1131</v>
      </c>
      <c r="C476" s="1" t="n">
        <v>5615.5</v>
      </c>
      <c r="D476" s="1" t="n">
        <v>450</v>
      </c>
      <c r="E476" s="1" t="n">
        <v>5615.5</v>
      </c>
      <c r="F476" s="172" t="n">
        <v>0.080135</v>
      </c>
      <c r="G476" s="1" t="s">
        <v>123</v>
      </c>
      <c r="H476" s="1" t="s">
        <v>196</v>
      </c>
      <c r="I476" s="1" t="n">
        <v>51974015448</v>
      </c>
      <c r="J476" s="1" t="s">
        <v>1246</v>
      </c>
      <c r="K476" s="1" t="s">
        <v>104</v>
      </c>
      <c r="L476" s="1" t="s">
        <v>196</v>
      </c>
      <c r="M476" s="1" t="n">
        <v>51974015448</v>
      </c>
      <c r="N476" s="1" t="n">
        <v>450</v>
      </c>
      <c r="O476" s="1" t="n">
        <v>467.96</v>
      </c>
      <c r="P476" s="1" t="s">
        <v>1277</v>
      </c>
      <c r="Q476" s="1" t="s">
        <v>108</v>
      </c>
      <c r="S476" s="1" t="s">
        <v>1278</v>
      </c>
      <c r="T476" s="1" t="s">
        <v>1279</v>
      </c>
      <c r="V476" s="1" t="s">
        <v>1293</v>
      </c>
      <c r="W476" s="1" t="s">
        <v>1276</v>
      </c>
    </row>
    <row r="477" customFormat="false" ht="15" hidden="false" customHeight="true" outlineLevel="0" collapsed="false">
      <c r="A477" s="1" t="n">
        <v>0.04188</v>
      </c>
      <c r="B477" s="1" t="s">
        <v>1131</v>
      </c>
      <c r="C477" s="1" t="n">
        <v>10706.9</v>
      </c>
      <c r="D477" s="1" t="n">
        <v>448.4</v>
      </c>
      <c r="E477" s="1" t="n">
        <v>10706.9</v>
      </c>
      <c r="F477" s="172" t="n">
        <v>0.04188</v>
      </c>
      <c r="G477" s="1" t="s">
        <v>66</v>
      </c>
      <c r="H477" s="1" t="s">
        <v>139</v>
      </c>
      <c r="I477" s="1" t="n">
        <v>4896909572</v>
      </c>
      <c r="J477" s="1" t="s">
        <v>1246</v>
      </c>
      <c r="K477" s="1" t="s">
        <v>66</v>
      </c>
      <c r="L477" s="1" t="s">
        <v>139</v>
      </c>
      <c r="M477" s="1" t="n">
        <v>4896909572</v>
      </c>
      <c r="N477" s="1" t="n">
        <v>448.4</v>
      </c>
      <c r="O477" s="1" t="n">
        <v>892.24</v>
      </c>
      <c r="P477" s="1" t="s">
        <v>1286</v>
      </c>
      <c r="Q477" s="1" t="s">
        <v>175</v>
      </c>
      <c r="S477" s="1" t="s">
        <v>1278</v>
      </c>
      <c r="T477" s="1" t="s">
        <v>1274</v>
      </c>
      <c r="V477" s="1" t="s">
        <v>1293</v>
      </c>
      <c r="W477" s="1" t="s">
        <v>1284</v>
      </c>
    </row>
    <row r="478" customFormat="false" ht="15" hidden="false" customHeight="true" outlineLevel="0" collapsed="false">
      <c r="A478" s="1" t="n">
        <v>0.0792</v>
      </c>
      <c r="B478" s="1" t="s">
        <v>1131</v>
      </c>
      <c r="C478" s="1" t="n">
        <v>5615.5</v>
      </c>
      <c r="D478" s="1" t="n">
        <v>444.75</v>
      </c>
      <c r="E478" s="1" t="n">
        <v>5615.5</v>
      </c>
      <c r="F478" s="172" t="n">
        <v>0.0792</v>
      </c>
      <c r="G478" s="1" t="s">
        <v>123</v>
      </c>
      <c r="H478" s="1" t="s">
        <v>250</v>
      </c>
      <c r="I478" s="1" t="n">
        <v>1</v>
      </c>
      <c r="J478" s="1" t="s">
        <v>1246</v>
      </c>
      <c r="K478" s="1" t="s">
        <v>104</v>
      </c>
      <c r="L478" s="1" t="s">
        <v>250</v>
      </c>
      <c r="M478" s="1" t="n">
        <v>1</v>
      </c>
      <c r="N478" s="1" t="n">
        <v>444.75</v>
      </c>
      <c r="O478" s="1" t="n">
        <v>467.96</v>
      </c>
      <c r="P478" s="1" t="s">
        <v>1280</v>
      </c>
      <c r="Q478" s="1" t="s">
        <v>100</v>
      </c>
      <c r="S478" s="1" t="s">
        <v>1004</v>
      </c>
      <c r="T478" s="1" t="s">
        <v>1274</v>
      </c>
      <c r="V478" s="1" t="s">
        <v>1293</v>
      </c>
      <c r="W478" s="1" t="s">
        <v>1276</v>
      </c>
    </row>
    <row r="479" customFormat="false" ht="15" hidden="false" customHeight="true" outlineLevel="0" collapsed="false">
      <c r="A479" s="1" t="n">
        <v>0.078597</v>
      </c>
      <c r="B479" s="1" t="s">
        <v>1131</v>
      </c>
      <c r="C479" s="1" t="n">
        <v>5615.5</v>
      </c>
      <c r="D479" s="1" t="n">
        <v>441.36</v>
      </c>
      <c r="E479" s="1" t="n">
        <v>5615.5</v>
      </c>
      <c r="F479" s="172" t="n">
        <v>0.078597</v>
      </c>
      <c r="G479" s="1" t="s">
        <v>123</v>
      </c>
      <c r="H479" s="1" t="s">
        <v>114</v>
      </c>
      <c r="I479" s="1" t="n">
        <v>31975631545</v>
      </c>
      <c r="J479" s="1" t="s">
        <v>1246</v>
      </c>
      <c r="K479" s="1" t="s">
        <v>104</v>
      </c>
      <c r="L479" s="1" t="s">
        <v>114</v>
      </c>
      <c r="M479" s="1" t="n">
        <v>31975631545</v>
      </c>
      <c r="N479" s="1" t="n">
        <v>441.36</v>
      </c>
      <c r="O479" s="1" t="n">
        <v>467.96</v>
      </c>
      <c r="P479" s="1" t="s">
        <v>1280</v>
      </c>
      <c r="Q479" s="1" t="s">
        <v>100</v>
      </c>
      <c r="S479" s="1" t="s">
        <v>1004</v>
      </c>
      <c r="T479" s="1" t="s">
        <v>1274</v>
      </c>
      <c r="V479" s="1" t="s">
        <v>1293</v>
      </c>
      <c r="W479" s="1" t="s">
        <v>1276</v>
      </c>
    </row>
    <row r="480" customFormat="false" ht="15" hidden="false" customHeight="true" outlineLevel="0" collapsed="false">
      <c r="A480" s="1" t="n">
        <v>0.077407</v>
      </c>
      <c r="B480" s="1" t="s">
        <v>1131</v>
      </c>
      <c r="C480" s="1" t="n">
        <v>5615.5</v>
      </c>
      <c r="D480" s="1" t="n">
        <v>434.68</v>
      </c>
      <c r="E480" s="1" t="n">
        <v>5615.5</v>
      </c>
      <c r="F480" s="172" t="n">
        <v>0.077407</v>
      </c>
      <c r="G480" s="1" t="s">
        <v>123</v>
      </c>
      <c r="H480" s="1" t="s">
        <v>139</v>
      </c>
      <c r="I480" s="1" t="n">
        <v>4734540773</v>
      </c>
      <c r="J480" s="1" t="s">
        <v>1246</v>
      </c>
      <c r="K480" s="1" t="s">
        <v>104</v>
      </c>
      <c r="L480" s="1" t="s">
        <v>139</v>
      </c>
      <c r="M480" s="1" t="n">
        <v>4734540773</v>
      </c>
      <c r="N480" s="1" t="n">
        <v>434.68</v>
      </c>
      <c r="O480" s="1" t="n">
        <v>467.96</v>
      </c>
      <c r="P480" s="1" t="s">
        <v>1277</v>
      </c>
      <c r="Q480" s="1" t="s">
        <v>108</v>
      </c>
      <c r="S480" s="1" t="s">
        <v>1278</v>
      </c>
      <c r="T480" s="1" t="s">
        <v>1279</v>
      </c>
      <c r="V480" s="1" t="s">
        <v>1293</v>
      </c>
      <c r="W480" s="1" t="s">
        <v>1276</v>
      </c>
    </row>
    <row r="481" customFormat="false" ht="15" hidden="false" customHeight="true" outlineLevel="0" collapsed="false">
      <c r="A481" s="1" t="n">
        <v>0.077286</v>
      </c>
      <c r="B481" s="1" t="s">
        <v>1131</v>
      </c>
      <c r="C481" s="1" t="n">
        <v>5615.5</v>
      </c>
      <c r="D481" s="1" t="n">
        <v>434</v>
      </c>
      <c r="E481" s="1" t="n">
        <v>5615.5</v>
      </c>
      <c r="F481" s="172" t="n">
        <v>0.077286</v>
      </c>
      <c r="G481" s="1" t="s">
        <v>123</v>
      </c>
      <c r="H481" s="1" t="s">
        <v>139</v>
      </c>
      <c r="I481" s="1" t="n">
        <v>4791377929</v>
      </c>
      <c r="J481" s="1" t="s">
        <v>1246</v>
      </c>
      <c r="K481" s="1" t="s">
        <v>104</v>
      </c>
      <c r="L481" s="1" t="s">
        <v>139</v>
      </c>
      <c r="M481" s="1" t="n">
        <v>4791377929</v>
      </c>
      <c r="N481" s="1" t="n">
        <v>434</v>
      </c>
      <c r="O481" s="1" t="n">
        <v>467.96</v>
      </c>
      <c r="P481" s="1" t="s">
        <v>1277</v>
      </c>
      <c r="Q481" s="1" t="s">
        <v>108</v>
      </c>
      <c r="S481" s="1" t="s">
        <v>1278</v>
      </c>
      <c r="T481" s="1" t="s">
        <v>1279</v>
      </c>
      <c r="V481" s="1" t="s">
        <v>1293</v>
      </c>
      <c r="W481" s="1" t="s">
        <v>1276</v>
      </c>
    </row>
    <row r="482" customFormat="false" ht="15" hidden="false" customHeight="true" outlineLevel="0" collapsed="false">
      <c r="A482" s="1" t="n">
        <v>0.038919</v>
      </c>
      <c r="B482" s="1" t="s">
        <v>1131</v>
      </c>
      <c r="C482" s="1" t="n">
        <v>10706.9</v>
      </c>
      <c r="D482" s="1" t="n">
        <v>416.7</v>
      </c>
      <c r="E482" s="1" t="n">
        <v>10706.9</v>
      </c>
      <c r="F482" s="172" t="n">
        <v>0.038919</v>
      </c>
      <c r="G482" s="1" t="s">
        <v>66</v>
      </c>
      <c r="H482" s="1" t="s">
        <v>139</v>
      </c>
      <c r="I482" s="1" t="n">
        <v>1</v>
      </c>
      <c r="J482" s="1" t="s">
        <v>1246</v>
      </c>
      <c r="K482" s="1" t="s">
        <v>66</v>
      </c>
      <c r="L482" s="1" t="s">
        <v>139</v>
      </c>
      <c r="M482" s="1" t="n">
        <v>1</v>
      </c>
      <c r="N482" s="1" t="n">
        <v>416.7</v>
      </c>
      <c r="O482" s="1" t="n">
        <v>892.24</v>
      </c>
      <c r="P482" s="1" t="s">
        <v>1286</v>
      </c>
      <c r="Q482" s="1" t="s">
        <v>175</v>
      </c>
      <c r="S482" s="1" t="s">
        <v>1278</v>
      </c>
      <c r="T482" s="1" t="s">
        <v>1274</v>
      </c>
      <c r="V482" s="1" t="s">
        <v>1293</v>
      </c>
      <c r="W482" s="1" t="s">
        <v>1284</v>
      </c>
    </row>
    <row r="483" customFormat="false" ht="15" hidden="false" customHeight="true" outlineLevel="0" collapsed="false">
      <c r="A483" s="1" t="n">
        <v>0.072157</v>
      </c>
      <c r="B483" s="1" t="s">
        <v>1131</v>
      </c>
      <c r="C483" s="1" t="n">
        <v>5615.5</v>
      </c>
      <c r="D483" s="1" t="n">
        <v>405.2</v>
      </c>
      <c r="E483" s="1" t="n">
        <v>5615.5</v>
      </c>
      <c r="F483" s="172" t="n">
        <v>0.072157</v>
      </c>
      <c r="G483" s="1" t="s">
        <v>123</v>
      </c>
      <c r="H483" s="1" t="s">
        <v>196</v>
      </c>
      <c r="I483" s="1" t="n">
        <v>54334411755</v>
      </c>
      <c r="J483" s="1" t="s">
        <v>1246</v>
      </c>
      <c r="K483" s="1" t="s">
        <v>104</v>
      </c>
      <c r="L483" s="1" t="s">
        <v>196</v>
      </c>
      <c r="M483" s="1" t="n">
        <v>54334411755</v>
      </c>
      <c r="N483" s="1" t="n">
        <v>405.2</v>
      </c>
      <c r="O483" s="1" t="n">
        <v>467.96</v>
      </c>
      <c r="P483" s="1" t="s">
        <v>1277</v>
      </c>
      <c r="Q483" s="1" t="s">
        <v>108</v>
      </c>
      <c r="S483" s="1" t="s">
        <v>1278</v>
      </c>
      <c r="T483" s="1" t="s">
        <v>1279</v>
      </c>
      <c r="V483" s="1" t="s">
        <v>1293</v>
      </c>
      <c r="W483" s="1" t="s">
        <v>1276</v>
      </c>
    </row>
    <row r="484" customFormat="false" ht="15" hidden="false" customHeight="true" outlineLevel="0" collapsed="false">
      <c r="A484" s="1" t="n">
        <v>0.070804</v>
      </c>
      <c r="B484" s="1" t="s">
        <v>1131</v>
      </c>
      <c r="C484" s="1" t="n">
        <v>5615.5</v>
      </c>
      <c r="D484" s="1" t="n">
        <v>397.6</v>
      </c>
      <c r="E484" s="1" t="n">
        <v>5615.5</v>
      </c>
      <c r="F484" s="172" t="n">
        <v>0.070804</v>
      </c>
      <c r="G484" s="1" t="s">
        <v>123</v>
      </c>
      <c r="H484" s="1" t="s">
        <v>114</v>
      </c>
      <c r="I484" s="1" t="n">
        <v>31998340443</v>
      </c>
      <c r="J484" s="1" t="s">
        <v>1246</v>
      </c>
      <c r="K484" s="1" t="s">
        <v>104</v>
      </c>
      <c r="L484" s="1" t="s">
        <v>114</v>
      </c>
      <c r="M484" s="1" t="n">
        <v>31998340443</v>
      </c>
      <c r="N484" s="1" t="n">
        <v>397.6</v>
      </c>
      <c r="O484" s="1" t="n">
        <v>467.96</v>
      </c>
      <c r="P484" s="1" t="s">
        <v>1280</v>
      </c>
      <c r="Q484" s="1" t="s">
        <v>100</v>
      </c>
      <c r="S484" s="1" t="s">
        <v>1004</v>
      </c>
      <c r="T484" s="1" t="s">
        <v>1274</v>
      </c>
      <c r="V484" s="1" t="s">
        <v>1293</v>
      </c>
      <c r="W484" s="1" t="s">
        <v>1276</v>
      </c>
    </row>
    <row r="485" customFormat="false" ht="15" hidden="false" customHeight="true" outlineLevel="0" collapsed="false">
      <c r="A485" s="1" t="n">
        <v>0.070264</v>
      </c>
      <c r="B485" s="1" t="s">
        <v>1131</v>
      </c>
      <c r="C485" s="1" t="n">
        <v>5615.5</v>
      </c>
      <c r="D485" s="1" t="n">
        <v>394.57</v>
      </c>
      <c r="E485" s="1" t="n">
        <v>5615.5</v>
      </c>
      <c r="F485" s="172" t="n">
        <v>0.070264</v>
      </c>
      <c r="G485" s="1" t="s">
        <v>123</v>
      </c>
      <c r="H485" s="1" t="s">
        <v>109</v>
      </c>
      <c r="I485" s="1" t="n">
        <v>41996380291</v>
      </c>
      <c r="J485" s="1" t="s">
        <v>1246</v>
      </c>
      <c r="K485" s="1" t="s">
        <v>104</v>
      </c>
      <c r="L485" s="1" t="s">
        <v>109</v>
      </c>
      <c r="M485" s="1" t="n">
        <v>41996380291</v>
      </c>
      <c r="N485" s="1" t="n">
        <v>394.57</v>
      </c>
      <c r="O485" s="1" t="n">
        <v>467.96</v>
      </c>
      <c r="P485" s="1" t="s">
        <v>1277</v>
      </c>
      <c r="Q485" s="1" t="s">
        <v>108</v>
      </c>
      <c r="S485" s="1" t="s">
        <v>1278</v>
      </c>
      <c r="T485" s="1" t="s">
        <v>1279</v>
      </c>
      <c r="V485" s="1" t="s">
        <v>1293</v>
      </c>
      <c r="W485" s="1" t="s">
        <v>1276</v>
      </c>
    </row>
    <row r="486" customFormat="false" ht="15" hidden="false" customHeight="true" outlineLevel="0" collapsed="false">
      <c r="A486" s="1" t="n">
        <v>0.058796</v>
      </c>
      <c r="B486" s="1" t="s">
        <v>1131</v>
      </c>
      <c r="C486" s="1" t="n">
        <v>6566.04</v>
      </c>
      <c r="D486" s="1" t="n">
        <v>386.06</v>
      </c>
      <c r="E486" s="1" t="n">
        <v>6566.04</v>
      </c>
      <c r="F486" s="172" t="n">
        <v>0.058796</v>
      </c>
      <c r="G486" s="1" t="s">
        <v>110</v>
      </c>
      <c r="H486" s="1" t="s">
        <v>139</v>
      </c>
      <c r="I486" s="1" t="n">
        <v>49991801104</v>
      </c>
      <c r="J486" s="1" t="s">
        <v>1246</v>
      </c>
      <c r="K486" s="1" t="s">
        <v>110</v>
      </c>
      <c r="L486" s="1" t="s">
        <v>139</v>
      </c>
      <c r="M486" s="1" t="n">
        <v>49991801104</v>
      </c>
      <c r="N486" s="1" t="n">
        <v>386.06</v>
      </c>
      <c r="O486" s="1" t="n">
        <v>547.17</v>
      </c>
      <c r="P486" s="1" t="s">
        <v>1286</v>
      </c>
      <c r="Q486" s="1" t="s">
        <v>184</v>
      </c>
      <c r="S486" s="1" t="s">
        <v>1278</v>
      </c>
      <c r="T486" s="1" t="s">
        <v>1274</v>
      </c>
      <c r="V486" s="1" t="s">
        <v>1293</v>
      </c>
      <c r="W486" s="1" t="s">
        <v>1284</v>
      </c>
    </row>
    <row r="487" customFormat="false" ht="15" hidden="false" customHeight="true" outlineLevel="0" collapsed="false">
      <c r="A487" s="1" t="n">
        <v>0.068088</v>
      </c>
      <c r="B487" s="1" t="s">
        <v>1131</v>
      </c>
      <c r="C487" s="1" t="n">
        <v>5615.5</v>
      </c>
      <c r="D487" s="1" t="n">
        <v>382.35</v>
      </c>
      <c r="E487" s="1" t="n">
        <v>5615.5</v>
      </c>
      <c r="F487" s="172" t="n">
        <v>0.068088</v>
      </c>
      <c r="G487" s="1" t="s">
        <v>123</v>
      </c>
      <c r="H487" s="1" t="s">
        <v>347</v>
      </c>
      <c r="I487" s="1" t="n">
        <v>8695516151</v>
      </c>
      <c r="J487" s="1" t="s">
        <v>1246</v>
      </c>
      <c r="K487" s="1" t="s">
        <v>104</v>
      </c>
      <c r="L487" s="1" t="s">
        <v>347</v>
      </c>
      <c r="M487" s="1" t="n">
        <v>8695516151</v>
      </c>
      <c r="N487" s="1" t="n">
        <v>382.35</v>
      </c>
      <c r="O487" s="1" t="n">
        <v>467.96</v>
      </c>
      <c r="P487" s="1" t="s">
        <v>1282</v>
      </c>
      <c r="Q487" s="1" t="s">
        <v>100</v>
      </c>
      <c r="S487" s="1" t="s">
        <v>1004</v>
      </c>
      <c r="T487" s="1" t="s">
        <v>1274</v>
      </c>
      <c r="V487" s="1" t="s">
        <v>1293</v>
      </c>
      <c r="W487" s="1" t="s">
        <v>1276</v>
      </c>
    </row>
    <row r="488" customFormat="false" ht="15" hidden="false" customHeight="true" outlineLevel="0" collapsed="false">
      <c r="A488" s="1" t="n">
        <v>0.067659</v>
      </c>
      <c r="B488" s="1" t="s">
        <v>1131</v>
      </c>
      <c r="C488" s="1" t="n">
        <v>5615.5</v>
      </c>
      <c r="D488" s="1" t="n">
        <v>379.94</v>
      </c>
      <c r="E488" s="1" t="n">
        <v>5615.5</v>
      </c>
      <c r="F488" s="172" t="n">
        <v>0.067659</v>
      </c>
      <c r="G488" s="1" t="s">
        <v>123</v>
      </c>
      <c r="H488" s="1" t="s">
        <v>101</v>
      </c>
      <c r="I488" s="1" t="n">
        <v>66999684606</v>
      </c>
      <c r="J488" s="1" t="s">
        <v>1246</v>
      </c>
      <c r="K488" s="1" t="s">
        <v>104</v>
      </c>
      <c r="L488" s="1" t="s">
        <v>101</v>
      </c>
      <c r="M488" s="1" t="n">
        <v>66999684606</v>
      </c>
      <c r="N488" s="1" t="n">
        <v>379.94</v>
      </c>
      <c r="O488" s="1" t="n">
        <v>467.96</v>
      </c>
      <c r="P488" s="1" t="s">
        <v>1273</v>
      </c>
      <c r="Q488" s="1" t="s">
        <v>100</v>
      </c>
      <c r="S488" s="1" t="s">
        <v>1004</v>
      </c>
      <c r="T488" s="1" t="s">
        <v>1274</v>
      </c>
      <c r="V488" s="1" t="s">
        <v>1293</v>
      </c>
      <c r="W488" s="1" t="s">
        <v>1276</v>
      </c>
    </row>
    <row r="489" customFormat="false" ht="15" hidden="false" customHeight="true" outlineLevel="0" collapsed="false">
      <c r="A489" s="1" t="n">
        <v>0.067198</v>
      </c>
      <c r="B489" s="1" t="s">
        <v>1131</v>
      </c>
      <c r="C489" s="1" t="n">
        <v>5615.5</v>
      </c>
      <c r="D489" s="1" t="n">
        <v>377.35</v>
      </c>
      <c r="E489" s="1" t="n">
        <v>5615.5</v>
      </c>
      <c r="F489" s="172" t="n">
        <v>0.067198</v>
      </c>
      <c r="G489" s="1" t="s">
        <v>123</v>
      </c>
      <c r="H489" s="1" t="s">
        <v>109</v>
      </c>
      <c r="I489" s="1" t="n">
        <v>43984033992</v>
      </c>
      <c r="J489" s="1" t="s">
        <v>1246</v>
      </c>
      <c r="K489" s="1" t="s">
        <v>104</v>
      </c>
      <c r="L489" s="1" t="s">
        <v>109</v>
      </c>
      <c r="M489" s="1" t="n">
        <v>43984033992</v>
      </c>
      <c r="N489" s="1" t="n">
        <v>377.35</v>
      </c>
      <c r="O489" s="1" t="n">
        <v>467.96</v>
      </c>
      <c r="P489" s="1" t="s">
        <v>1277</v>
      </c>
      <c r="Q489" s="1" t="s">
        <v>108</v>
      </c>
      <c r="S489" s="1" t="s">
        <v>1278</v>
      </c>
      <c r="T489" s="1" t="s">
        <v>1279</v>
      </c>
      <c r="V489" s="1" t="s">
        <v>1293</v>
      </c>
      <c r="W489" s="1" t="s">
        <v>1276</v>
      </c>
    </row>
    <row r="490" customFormat="false" ht="15" hidden="false" customHeight="true" outlineLevel="0" collapsed="false">
      <c r="A490" s="1" t="n">
        <v>0.052489</v>
      </c>
      <c r="B490" s="1" t="s">
        <v>1131</v>
      </c>
      <c r="C490" s="1" t="n">
        <v>5615.5</v>
      </c>
      <c r="D490" s="1" t="n">
        <v>294.75</v>
      </c>
      <c r="E490" s="1" t="n">
        <v>5615.5</v>
      </c>
      <c r="F490" s="172" t="n">
        <v>0.052489</v>
      </c>
      <c r="G490" s="1" t="s">
        <v>123</v>
      </c>
      <c r="H490" s="1" t="s">
        <v>119</v>
      </c>
      <c r="I490" s="1" t="n">
        <v>1934957166</v>
      </c>
      <c r="J490" s="1" t="s">
        <v>1246</v>
      </c>
      <c r="K490" s="1" t="s">
        <v>104</v>
      </c>
      <c r="L490" s="1" t="s">
        <v>119</v>
      </c>
      <c r="M490" s="1" t="n">
        <v>1934957166</v>
      </c>
      <c r="N490" s="1" t="n">
        <v>294.75</v>
      </c>
      <c r="O490" s="1" t="n">
        <v>467.96</v>
      </c>
      <c r="P490" s="1" t="s">
        <v>1281</v>
      </c>
      <c r="Q490" s="1" t="s">
        <v>100</v>
      </c>
      <c r="S490" s="1" t="s">
        <v>1278</v>
      </c>
      <c r="T490" s="1" t="s">
        <v>1274</v>
      </c>
      <c r="V490" s="1" t="s">
        <v>1293</v>
      </c>
      <c r="W490" s="1" t="s">
        <v>1276</v>
      </c>
    </row>
    <row r="491" customFormat="false" ht="15" hidden="false" customHeight="true" outlineLevel="0" collapsed="false">
      <c r="A491" s="1" t="n">
        <v>0.051244</v>
      </c>
      <c r="B491" s="1" t="s">
        <v>1131</v>
      </c>
      <c r="C491" s="1" t="n">
        <v>5615.5</v>
      </c>
      <c r="D491" s="1" t="n">
        <v>287.76</v>
      </c>
      <c r="E491" s="1" t="n">
        <v>5615.5</v>
      </c>
      <c r="F491" s="172" t="n">
        <v>0.051244</v>
      </c>
      <c r="G491" s="1" t="s">
        <v>123</v>
      </c>
      <c r="H491" s="1" t="s">
        <v>260</v>
      </c>
      <c r="I491" s="1" t="n">
        <v>22988709405</v>
      </c>
      <c r="J491" s="1" t="s">
        <v>1246</v>
      </c>
      <c r="K491" s="1" t="s">
        <v>104</v>
      </c>
      <c r="L491" s="1" t="s">
        <v>260</v>
      </c>
      <c r="M491" s="1" t="n">
        <v>22988709405</v>
      </c>
      <c r="N491" s="1" t="n">
        <v>287.76</v>
      </c>
      <c r="O491" s="1" t="n">
        <v>467.96</v>
      </c>
      <c r="P491" s="1" t="s">
        <v>1280</v>
      </c>
      <c r="Q491" s="1" t="s">
        <v>100</v>
      </c>
      <c r="S491" s="1" t="s">
        <v>1004</v>
      </c>
      <c r="T491" s="1" t="s">
        <v>1274</v>
      </c>
      <c r="V491" s="1" t="s">
        <v>1293</v>
      </c>
      <c r="W491" s="1" t="s">
        <v>1276</v>
      </c>
    </row>
    <row r="492" customFormat="false" ht="15" hidden="false" customHeight="true" outlineLevel="0" collapsed="false">
      <c r="A492" s="1" t="n">
        <v>0.047825</v>
      </c>
      <c r="B492" s="1" t="s">
        <v>1131</v>
      </c>
      <c r="C492" s="1" t="n">
        <v>5615.5</v>
      </c>
      <c r="D492" s="1" t="n">
        <v>268.56</v>
      </c>
      <c r="E492" s="1" t="n">
        <v>5615.5</v>
      </c>
      <c r="F492" s="172" t="n">
        <v>0.047825</v>
      </c>
      <c r="G492" s="1" t="s">
        <v>123</v>
      </c>
      <c r="H492" s="1" t="s">
        <v>119</v>
      </c>
      <c r="I492" s="1" t="n">
        <v>19991003669</v>
      </c>
      <c r="J492" s="1" t="s">
        <v>1246</v>
      </c>
      <c r="K492" s="1" t="s">
        <v>104</v>
      </c>
      <c r="L492" s="1" t="s">
        <v>119</v>
      </c>
      <c r="M492" s="1" t="n">
        <v>19991003669</v>
      </c>
      <c r="N492" s="1" t="n">
        <v>268.56</v>
      </c>
      <c r="O492" s="1" t="n">
        <v>467.96</v>
      </c>
      <c r="P492" s="1" t="s">
        <v>1281</v>
      </c>
      <c r="Q492" s="1" t="s">
        <v>100</v>
      </c>
      <c r="S492" s="1" t="s">
        <v>1004</v>
      </c>
      <c r="T492" s="1" t="s">
        <v>1274</v>
      </c>
      <c r="V492" s="1" t="s">
        <v>1293</v>
      </c>
      <c r="W492" s="1" t="s">
        <v>1276</v>
      </c>
    </row>
    <row r="493" customFormat="false" ht="15" hidden="false" customHeight="true" outlineLevel="0" collapsed="false">
      <c r="A493" s="1" t="n">
        <v>0.017988</v>
      </c>
      <c r="B493" s="1" t="s">
        <v>1131</v>
      </c>
      <c r="C493" s="1" t="n">
        <v>10706.9</v>
      </c>
      <c r="D493" s="1" t="n">
        <v>192.6</v>
      </c>
      <c r="E493" s="1" t="n">
        <v>10706.9</v>
      </c>
      <c r="F493" s="172" t="n">
        <v>0.017988</v>
      </c>
      <c r="G493" s="1" t="s">
        <v>66</v>
      </c>
      <c r="H493" s="1" t="s">
        <v>139</v>
      </c>
      <c r="I493" s="1" t="n">
        <v>4885009192</v>
      </c>
      <c r="J493" s="1" t="s">
        <v>1246</v>
      </c>
      <c r="K493" s="1" t="s">
        <v>66</v>
      </c>
      <c r="L493" s="1" t="s">
        <v>139</v>
      </c>
      <c r="M493" s="1" t="n">
        <v>4885009192</v>
      </c>
      <c r="N493" s="1" t="n">
        <v>192.6</v>
      </c>
      <c r="O493" s="1" t="n">
        <v>892.24</v>
      </c>
      <c r="P493" s="1" t="s">
        <v>1286</v>
      </c>
      <c r="Q493" s="1" t="s">
        <v>175</v>
      </c>
      <c r="S493" s="1" t="s">
        <v>1278</v>
      </c>
      <c r="T493" s="1" t="s">
        <v>1274</v>
      </c>
      <c r="V493" s="1" t="s">
        <v>1293</v>
      </c>
      <c r="W493" s="1" t="s">
        <v>1284</v>
      </c>
    </row>
    <row r="494" customFormat="false" ht="15" hidden="false" customHeight="true" outlineLevel="0" collapsed="false">
      <c r="A494" s="1" t="n">
        <v>0.01198</v>
      </c>
      <c r="B494" s="1" t="s">
        <v>1131</v>
      </c>
      <c r="C494" s="1" t="n">
        <v>10706.9</v>
      </c>
      <c r="D494" s="1" t="n">
        <v>128.27</v>
      </c>
      <c r="E494" s="1" t="n">
        <v>10706.9</v>
      </c>
      <c r="F494" s="172" t="n">
        <v>0.01198</v>
      </c>
      <c r="G494" s="1" t="s">
        <v>66</v>
      </c>
      <c r="H494" s="1" t="s">
        <v>139</v>
      </c>
      <c r="I494" s="1" t="n">
        <v>4885009192</v>
      </c>
      <c r="J494" s="1" t="s">
        <v>1246</v>
      </c>
      <c r="K494" s="1" t="s">
        <v>66</v>
      </c>
      <c r="L494" s="1" t="s">
        <v>139</v>
      </c>
      <c r="M494" s="1" t="n">
        <v>4885009192</v>
      </c>
      <c r="N494" s="1" t="n">
        <v>128.27</v>
      </c>
      <c r="O494" s="1" t="n">
        <v>892.24</v>
      </c>
      <c r="P494" s="1" t="s">
        <v>1286</v>
      </c>
      <c r="Q494" s="1" t="s">
        <v>175</v>
      </c>
      <c r="S494" s="1" t="s">
        <v>1278</v>
      </c>
      <c r="T494" s="1" t="s">
        <v>1274</v>
      </c>
      <c r="V494" s="1" t="s">
        <v>1293</v>
      </c>
      <c r="W494" s="1" t="s">
        <v>1284</v>
      </c>
    </row>
    <row r="495" customFormat="false" ht="15" hidden="false" customHeight="true" outlineLevel="0" collapsed="false">
      <c r="A495" s="1" t="n">
        <v>0</v>
      </c>
      <c r="B495" s="1" t="s">
        <v>1132</v>
      </c>
      <c r="C495" s="1" t="n">
        <v>6281.25</v>
      </c>
      <c r="D495" s="1" t="n">
        <v>0</v>
      </c>
      <c r="E495" s="1" t="n">
        <v>6281.25</v>
      </c>
      <c r="F495" s="172" t="n">
        <v>0</v>
      </c>
      <c r="G495" s="1" t="s">
        <v>124</v>
      </c>
      <c r="H495" s="1" t="s">
        <v>146</v>
      </c>
      <c r="I495" s="1" t="n">
        <v>9191661360</v>
      </c>
      <c r="J495" s="1" t="s">
        <v>1248</v>
      </c>
      <c r="K495" s="1" t="s">
        <v>124</v>
      </c>
      <c r="L495" s="1" t="s">
        <v>146</v>
      </c>
      <c r="M495" s="1" t="n">
        <v>9191661360</v>
      </c>
      <c r="N495" s="1" t="n">
        <v>0</v>
      </c>
      <c r="O495" s="1" t="n">
        <v>523.44</v>
      </c>
      <c r="P495" s="1" t="s">
        <v>1286</v>
      </c>
      <c r="Q495" s="1" t="s">
        <v>184</v>
      </c>
      <c r="S495" s="1" t="s">
        <v>1278</v>
      </c>
      <c r="T495" s="1" t="s">
        <v>1274</v>
      </c>
      <c r="V495" s="1" t="s">
        <v>1293</v>
      </c>
      <c r="W495" s="1" t="s">
        <v>1284</v>
      </c>
    </row>
    <row r="496" customFormat="false" ht="15" hidden="false" customHeight="true" outlineLevel="0" collapsed="false">
      <c r="A496" s="1" t="n">
        <v>0</v>
      </c>
      <c r="B496" s="1" t="s">
        <v>1132</v>
      </c>
      <c r="C496" s="1" t="n">
        <v>6566.04</v>
      </c>
      <c r="D496" s="1" t="n">
        <v>0</v>
      </c>
      <c r="E496" s="1" t="n">
        <v>6566.04</v>
      </c>
      <c r="F496" s="172" t="n">
        <v>0</v>
      </c>
      <c r="G496" s="1" t="s">
        <v>110</v>
      </c>
      <c r="H496" s="1" t="s">
        <v>146</v>
      </c>
      <c r="I496" s="1" t="n">
        <v>9130385403</v>
      </c>
      <c r="J496" s="1" t="s">
        <v>1248</v>
      </c>
      <c r="K496" s="1" t="s">
        <v>110</v>
      </c>
      <c r="L496" s="1" t="s">
        <v>146</v>
      </c>
      <c r="M496" s="1" t="n">
        <v>9130385403</v>
      </c>
      <c r="N496" s="1" t="n">
        <v>0</v>
      </c>
      <c r="O496" s="1" t="n">
        <v>547.17</v>
      </c>
      <c r="P496" s="1" t="s">
        <v>1286</v>
      </c>
      <c r="Q496" s="1" t="s">
        <v>184</v>
      </c>
      <c r="S496" s="1" t="s">
        <v>1278</v>
      </c>
      <c r="T496" s="1" t="s">
        <v>1274</v>
      </c>
      <c r="V496" s="1" t="s">
        <v>1293</v>
      </c>
      <c r="W496" s="1" t="s">
        <v>1284</v>
      </c>
    </row>
    <row r="497" customFormat="false" ht="15" hidden="false" customHeight="true" outlineLevel="0" collapsed="false">
      <c r="A497" s="1" t="n">
        <v>0</v>
      </c>
      <c r="B497" s="1" t="s">
        <v>1132</v>
      </c>
      <c r="C497" s="1" t="n">
        <v>6281.25</v>
      </c>
      <c r="D497" s="1" t="n">
        <v>0</v>
      </c>
      <c r="E497" s="1" t="n">
        <v>6281.25</v>
      </c>
      <c r="F497" s="172" t="n">
        <v>0</v>
      </c>
      <c r="G497" s="1" t="s">
        <v>124</v>
      </c>
      <c r="H497" s="1" t="s">
        <v>1114</v>
      </c>
      <c r="I497" s="1" t="n">
        <v>9191526077</v>
      </c>
      <c r="J497" s="1" t="s">
        <v>1248</v>
      </c>
      <c r="K497" s="1" t="s">
        <v>124</v>
      </c>
      <c r="L497" s="1" t="s">
        <v>1114</v>
      </c>
      <c r="M497" s="1" t="n">
        <v>9191526077</v>
      </c>
      <c r="N497" s="1" t="n">
        <v>0</v>
      </c>
      <c r="O497" s="1" t="n">
        <v>523.44</v>
      </c>
      <c r="P497" s="1" t="s">
        <v>1286</v>
      </c>
      <c r="Q497" s="1" t="s">
        <v>184</v>
      </c>
      <c r="S497" s="1" t="s">
        <v>1278</v>
      </c>
      <c r="T497" s="1" t="s">
        <v>1274</v>
      </c>
      <c r="V497" s="1" t="s">
        <v>1293</v>
      </c>
      <c r="W497" s="1" t="s">
        <v>1284</v>
      </c>
    </row>
    <row r="498" customFormat="false" ht="15" hidden="false" customHeight="true" outlineLevel="0" collapsed="false">
      <c r="A498" s="1" t="n">
        <v>0</v>
      </c>
      <c r="B498" s="1" t="s">
        <v>1132</v>
      </c>
      <c r="C498" s="1" t="n">
        <v>6281.25</v>
      </c>
      <c r="D498" s="1" t="n">
        <v>0</v>
      </c>
      <c r="E498" s="1" t="n">
        <v>6281.25</v>
      </c>
      <c r="F498" s="172" t="n">
        <v>0</v>
      </c>
      <c r="G498" s="1" t="s">
        <v>124</v>
      </c>
      <c r="H498" s="1" t="s">
        <v>127</v>
      </c>
      <c r="I498" s="1" t="n">
        <v>6292088174</v>
      </c>
      <c r="J498" s="1" t="s">
        <v>1248</v>
      </c>
      <c r="K498" s="1" t="s">
        <v>124</v>
      </c>
      <c r="L498" s="1" t="s">
        <v>127</v>
      </c>
      <c r="M498" s="1" t="n">
        <v>6292088174</v>
      </c>
      <c r="N498" s="1" t="n">
        <v>0</v>
      </c>
      <c r="O498" s="1" t="n">
        <v>523.44</v>
      </c>
      <c r="P498" s="1" t="s">
        <v>1286</v>
      </c>
      <c r="Q498" s="1" t="s">
        <v>184</v>
      </c>
      <c r="S498" s="1" t="s">
        <v>1278</v>
      </c>
      <c r="T498" s="1" t="s">
        <v>1274</v>
      </c>
      <c r="V498" s="1" t="s">
        <v>1293</v>
      </c>
      <c r="W498" s="1" t="s">
        <v>1284</v>
      </c>
    </row>
    <row r="499" customFormat="false" ht="15" hidden="false" customHeight="true" outlineLevel="0" collapsed="false">
      <c r="A499" s="1" t="n">
        <v>0</v>
      </c>
      <c r="B499" s="1" t="s">
        <v>1132</v>
      </c>
      <c r="C499" s="1" t="n">
        <v>6566.04</v>
      </c>
      <c r="D499" s="1" t="n">
        <v>0</v>
      </c>
      <c r="E499" s="1" t="n">
        <v>6566.04</v>
      </c>
      <c r="F499" s="172" t="n">
        <v>0</v>
      </c>
      <c r="G499" s="1" t="s">
        <v>110</v>
      </c>
      <c r="H499" s="1" t="s">
        <v>935</v>
      </c>
      <c r="I499" s="1" t="n">
        <v>83996111876</v>
      </c>
      <c r="J499" s="1" t="s">
        <v>1248</v>
      </c>
      <c r="K499" s="1" t="s">
        <v>110</v>
      </c>
      <c r="L499" s="1" t="s">
        <v>935</v>
      </c>
      <c r="M499" s="1" t="n">
        <v>83996111876</v>
      </c>
      <c r="N499" s="1" t="n">
        <v>0</v>
      </c>
      <c r="O499" s="1" t="n">
        <v>547.17</v>
      </c>
      <c r="P499" s="1" t="s">
        <v>1286</v>
      </c>
      <c r="Q499" s="1" t="s">
        <v>184</v>
      </c>
      <c r="S499" s="1" t="s">
        <v>1278</v>
      </c>
      <c r="T499" s="1" t="s">
        <v>1274</v>
      </c>
      <c r="V499" s="1" t="s">
        <v>1293</v>
      </c>
      <c r="W499" s="1" t="s">
        <v>1284</v>
      </c>
    </row>
    <row r="500" customFormat="false" ht="15" hidden="false" customHeight="true" outlineLevel="0" collapsed="false">
      <c r="A500" s="1" t="n">
        <v>0</v>
      </c>
      <c r="B500" s="1" t="s">
        <v>1132</v>
      </c>
      <c r="C500" s="1" t="n">
        <v>10200</v>
      </c>
      <c r="D500" s="1" t="n">
        <v>0</v>
      </c>
      <c r="E500" s="1" t="n">
        <v>10200</v>
      </c>
      <c r="F500" s="172" t="n">
        <v>0</v>
      </c>
      <c r="G500" s="1" t="s">
        <v>115</v>
      </c>
      <c r="H500" s="1" t="s">
        <v>101</v>
      </c>
      <c r="I500" s="1" t="n">
        <v>66992239861</v>
      </c>
      <c r="J500" s="1" t="s">
        <v>1248</v>
      </c>
      <c r="K500" s="1" t="s">
        <v>115</v>
      </c>
      <c r="L500" s="1" t="s">
        <v>101</v>
      </c>
      <c r="M500" s="1" t="n">
        <v>66992239861</v>
      </c>
      <c r="N500" s="1" t="n">
        <v>0</v>
      </c>
      <c r="O500" s="1" t="n">
        <v>850</v>
      </c>
      <c r="P500" s="1" t="s">
        <v>1286</v>
      </c>
      <c r="Q500" s="1" t="s">
        <v>184</v>
      </c>
      <c r="S500" s="1" t="s">
        <v>1278</v>
      </c>
      <c r="T500" s="1" t="s">
        <v>1274</v>
      </c>
      <c r="V500" s="1" t="s">
        <v>1293</v>
      </c>
      <c r="W500" s="1" t="s">
        <v>1284</v>
      </c>
    </row>
    <row r="501" customFormat="false" ht="15" hidden="false" customHeight="true" outlineLevel="0" collapsed="false">
      <c r="A501" s="1" t="n">
        <v>0</v>
      </c>
      <c r="B501" s="1" t="s">
        <v>1132</v>
      </c>
      <c r="C501" s="1" t="n">
        <v>10875</v>
      </c>
      <c r="D501" s="1" t="n">
        <v>0</v>
      </c>
      <c r="E501" s="1" t="n">
        <v>10875</v>
      </c>
      <c r="F501" s="172" t="n">
        <v>0</v>
      </c>
      <c r="G501" s="1" t="s">
        <v>102</v>
      </c>
      <c r="H501" s="1" t="s">
        <v>114</v>
      </c>
      <c r="I501" s="1" t="n">
        <v>31355115213</v>
      </c>
      <c r="J501" s="1" t="s">
        <v>1248</v>
      </c>
      <c r="K501" s="1" t="s">
        <v>102</v>
      </c>
      <c r="L501" s="1" t="s">
        <v>114</v>
      </c>
      <c r="M501" s="1" t="n">
        <v>31355115213</v>
      </c>
      <c r="N501" s="1" t="n">
        <v>0</v>
      </c>
      <c r="O501" s="1" t="n">
        <v>906.25</v>
      </c>
      <c r="P501" s="1" t="s">
        <v>1286</v>
      </c>
      <c r="Q501" s="1" t="s">
        <v>175</v>
      </c>
      <c r="S501" s="1" t="s">
        <v>1278</v>
      </c>
      <c r="T501" s="1" t="s">
        <v>1274</v>
      </c>
      <c r="V501" s="1" t="s">
        <v>1293</v>
      </c>
      <c r="W501" s="1" t="s">
        <v>1284</v>
      </c>
    </row>
    <row r="502" customFormat="false" ht="15" hidden="false" customHeight="true" outlineLevel="0" collapsed="false">
      <c r="A502" s="1" t="n">
        <v>0</v>
      </c>
      <c r="B502" s="1" t="s">
        <v>1132</v>
      </c>
      <c r="C502" s="1" t="n">
        <v>10875</v>
      </c>
      <c r="D502" s="1" t="n">
        <v>0</v>
      </c>
      <c r="E502" s="1" t="n">
        <v>10875</v>
      </c>
      <c r="F502" s="172" t="n">
        <v>0</v>
      </c>
      <c r="G502" s="1" t="s">
        <v>102</v>
      </c>
      <c r="H502" s="1" t="s">
        <v>114</v>
      </c>
      <c r="I502" s="1" t="n">
        <v>31986333559</v>
      </c>
      <c r="J502" s="1" t="s">
        <v>1248</v>
      </c>
      <c r="K502" s="1" t="s">
        <v>102</v>
      </c>
      <c r="L502" s="1" t="s">
        <v>114</v>
      </c>
      <c r="M502" s="1" t="n">
        <v>31986333559</v>
      </c>
      <c r="N502" s="1" t="n">
        <v>0</v>
      </c>
      <c r="O502" s="1" t="n">
        <v>906.25</v>
      </c>
      <c r="P502" s="1" t="s">
        <v>1286</v>
      </c>
      <c r="Q502" s="1" t="s">
        <v>175</v>
      </c>
      <c r="S502" s="1" t="s">
        <v>1287</v>
      </c>
      <c r="T502" s="1" t="s">
        <v>1274</v>
      </c>
      <c r="V502" s="1" t="s">
        <v>1293</v>
      </c>
      <c r="W502" s="1" t="s">
        <v>1284</v>
      </c>
    </row>
    <row r="503" customFormat="false" ht="15" hidden="false" customHeight="true" outlineLevel="0" collapsed="false">
      <c r="A503" s="1" t="n">
        <v>0</v>
      </c>
      <c r="B503" s="1" t="s">
        <v>1132</v>
      </c>
      <c r="C503" s="1" t="n">
        <v>6566.04</v>
      </c>
      <c r="D503" s="1" t="n">
        <v>0</v>
      </c>
      <c r="E503" s="1" t="n">
        <v>6566.04</v>
      </c>
      <c r="F503" s="172" t="n">
        <v>0</v>
      </c>
      <c r="G503" s="1" t="s">
        <v>110</v>
      </c>
      <c r="H503" s="1" t="s">
        <v>119</v>
      </c>
      <c r="I503" s="1" t="n">
        <v>1195589320</v>
      </c>
      <c r="J503" s="1" t="s">
        <v>1248</v>
      </c>
      <c r="K503" s="1" t="s">
        <v>110</v>
      </c>
      <c r="L503" s="1" t="s">
        <v>119</v>
      </c>
      <c r="M503" s="1" t="n">
        <v>1195589320</v>
      </c>
      <c r="N503" s="1" t="n">
        <v>0</v>
      </c>
      <c r="O503" s="1" t="n">
        <v>547.17</v>
      </c>
      <c r="P503" s="1" t="s">
        <v>1286</v>
      </c>
      <c r="Q503" s="1" t="s">
        <v>184</v>
      </c>
      <c r="S503" s="1" t="s">
        <v>1278</v>
      </c>
      <c r="T503" s="1" t="s">
        <v>1274</v>
      </c>
      <c r="V503" s="1" t="s">
        <v>1293</v>
      </c>
      <c r="W503" s="1" t="s">
        <v>1284</v>
      </c>
    </row>
    <row r="504" customFormat="false" ht="15" hidden="false" customHeight="true" outlineLevel="0" collapsed="false">
      <c r="A504" s="1" t="n">
        <v>0</v>
      </c>
      <c r="B504" s="1" t="s">
        <v>1132</v>
      </c>
      <c r="C504" s="1" t="n">
        <v>8833.33</v>
      </c>
      <c r="D504" s="1" t="n">
        <v>0</v>
      </c>
      <c r="E504" s="1" t="n">
        <v>8833.33</v>
      </c>
      <c r="F504" s="172" t="n">
        <v>0</v>
      </c>
      <c r="G504" s="1" t="s">
        <v>1289</v>
      </c>
      <c r="H504" s="1" t="s">
        <v>119</v>
      </c>
      <c r="I504" s="1" t="n">
        <v>11952517604</v>
      </c>
      <c r="J504" s="1" t="s">
        <v>1248</v>
      </c>
      <c r="K504" s="1" t="s">
        <v>128</v>
      </c>
      <c r="L504" s="1" t="s">
        <v>119</v>
      </c>
      <c r="M504" s="1" t="n">
        <v>11952517604</v>
      </c>
      <c r="N504" s="1" t="n">
        <v>0</v>
      </c>
      <c r="O504" s="1" t="n">
        <v>736.11</v>
      </c>
      <c r="P504" s="1" t="s">
        <v>1286</v>
      </c>
      <c r="Q504" s="1" t="s">
        <v>184</v>
      </c>
      <c r="S504" s="1" t="s">
        <v>1278</v>
      </c>
      <c r="T504" s="1" t="s">
        <v>1274</v>
      </c>
      <c r="V504" s="1" t="s">
        <v>1293</v>
      </c>
      <c r="W504" s="1" t="s">
        <v>1284</v>
      </c>
    </row>
    <row r="505" customFormat="false" ht="15" hidden="false" customHeight="true" outlineLevel="0" collapsed="false">
      <c r="A505" s="1" t="n">
        <v>0</v>
      </c>
      <c r="B505" s="1" t="s">
        <v>1132</v>
      </c>
      <c r="C505" s="1" t="n">
        <v>6566.04</v>
      </c>
      <c r="D505" s="1" t="n">
        <v>0</v>
      </c>
      <c r="E505" s="1" t="n">
        <v>6566.04</v>
      </c>
      <c r="F505" s="172" t="n">
        <v>0</v>
      </c>
      <c r="G505" s="1" t="s">
        <v>110</v>
      </c>
      <c r="H505" s="1" t="s">
        <v>119</v>
      </c>
      <c r="I505" s="1" t="n">
        <v>11941321414</v>
      </c>
      <c r="J505" s="1" t="s">
        <v>1248</v>
      </c>
      <c r="K505" s="1" t="s">
        <v>110</v>
      </c>
      <c r="L505" s="1" t="s">
        <v>119</v>
      </c>
      <c r="M505" s="1" t="n">
        <v>11941321414</v>
      </c>
      <c r="N505" s="1" t="n">
        <v>0</v>
      </c>
      <c r="O505" s="1" t="n">
        <v>547.17</v>
      </c>
      <c r="P505" s="1" t="s">
        <v>1286</v>
      </c>
      <c r="Q505" s="1" t="s">
        <v>184</v>
      </c>
      <c r="S505" s="1" t="s">
        <v>1278</v>
      </c>
      <c r="T505" s="1" t="s">
        <v>1274</v>
      </c>
      <c r="V505" s="1" t="s">
        <v>1293</v>
      </c>
      <c r="W505" s="1" t="s">
        <v>1284</v>
      </c>
    </row>
    <row r="506" customFormat="false" ht="15" hidden="false" customHeight="true" outlineLevel="0" collapsed="false">
      <c r="A506" s="1" t="n">
        <v>0</v>
      </c>
      <c r="B506" s="1" t="s">
        <v>1132</v>
      </c>
      <c r="C506" s="1" t="n">
        <v>10875</v>
      </c>
      <c r="D506" s="1" t="n">
        <v>0</v>
      </c>
      <c r="E506" s="1" t="n">
        <v>10875</v>
      </c>
      <c r="F506" s="172" t="n">
        <v>0</v>
      </c>
      <c r="G506" s="1" t="s">
        <v>102</v>
      </c>
      <c r="H506" s="1" t="s">
        <v>119</v>
      </c>
      <c r="I506" s="1" t="n">
        <v>11357121111</v>
      </c>
      <c r="J506" s="1" t="s">
        <v>1248</v>
      </c>
      <c r="K506" s="1" t="s">
        <v>102</v>
      </c>
      <c r="L506" s="1" t="s">
        <v>119</v>
      </c>
      <c r="M506" s="1" t="n">
        <v>11357121111</v>
      </c>
      <c r="N506" s="1" t="n">
        <v>0</v>
      </c>
      <c r="O506" s="1" t="n">
        <v>906.25</v>
      </c>
      <c r="P506" s="1" t="s">
        <v>1286</v>
      </c>
      <c r="Q506" s="1" t="s">
        <v>175</v>
      </c>
      <c r="S506" s="1" t="s">
        <v>1278</v>
      </c>
      <c r="T506" s="1" t="s">
        <v>1274</v>
      </c>
      <c r="V506" s="1" t="s">
        <v>1293</v>
      </c>
      <c r="W506" s="1" t="s">
        <v>1284</v>
      </c>
    </row>
    <row r="507" customFormat="false" ht="15" hidden="false" customHeight="true" outlineLevel="0" collapsed="false">
      <c r="A507" s="1" t="n">
        <v>0</v>
      </c>
      <c r="B507" s="1" t="s">
        <v>1132</v>
      </c>
      <c r="C507" s="1" t="n">
        <v>11700</v>
      </c>
      <c r="D507" s="1" t="n">
        <v>0</v>
      </c>
      <c r="E507" s="1" t="n">
        <v>11700</v>
      </c>
      <c r="F507" s="172" t="n">
        <v>0</v>
      </c>
      <c r="G507" s="1" t="s">
        <v>120</v>
      </c>
      <c r="H507" s="1" t="s">
        <v>260</v>
      </c>
      <c r="I507" s="1" t="n">
        <v>21968863000</v>
      </c>
      <c r="J507" s="1" t="s">
        <v>1248</v>
      </c>
      <c r="K507" s="1" t="s">
        <v>120</v>
      </c>
      <c r="L507" s="1" t="s">
        <v>260</v>
      </c>
      <c r="M507" s="1" t="n">
        <v>21968863000</v>
      </c>
      <c r="N507" s="1" t="n">
        <v>0</v>
      </c>
      <c r="O507" s="1" t="n">
        <v>975</v>
      </c>
      <c r="P507" s="1" t="s">
        <v>1286</v>
      </c>
      <c r="Q507" s="1" t="s">
        <v>184</v>
      </c>
      <c r="S507" s="1" t="s">
        <v>1278</v>
      </c>
      <c r="T507" s="1" t="s">
        <v>1274</v>
      </c>
      <c r="V507" s="1" t="s">
        <v>1293</v>
      </c>
      <c r="W507" s="1" t="s">
        <v>1284</v>
      </c>
    </row>
    <row r="508" customFormat="false" ht="15" hidden="false" customHeight="true" outlineLevel="0" collapsed="false">
      <c r="A508" s="1" t="n">
        <v>0</v>
      </c>
      <c r="B508" s="1" t="s">
        <v>1132</v>
      </c>
      <c r="C508" s="1" t="n">
        <v>6566.04</v>
      </c>
      <c r="D508" s="1" t="n">
        <v>0</v>
      </c>
      <c r="E508" s="1" t="n">
        <v>6566.04</v>
      </c>
      <c r="F508" s="172" t="n">
        <v>0</v>
      </c>
      <c r="G508" s="1" t="s">
        <v>110</v>
      </c>
      <c r="H508" s="1" t="s">
        <v>119</v>
      </c>
      <c r="I508" s="1" t="n">
        <v>11953598017</v>
      </c>
      <c r="J508" s="1" t="s">
        <v>1248</v>
      </c>
      <c r="K508" s="1" t="s">
        <v>110</v>
      </c>
      <c r="L508" s="1" t="s">
        <v>119</v>
      </c>
      <c r="M508" s="1" t="n">
        <v>11953598017</v>
      </c>
      <c r="N508" s="1" t="n">
        <v>0</v>
      </c>
      <c r="O508" s="1" t="n">
        <v>547.17</v>
      </c>
      <c r="P508" s="1" t="s">
        <v>1286</v>
      </c>
      <c r="Q508" s="1" t="s">
        <v>184</v>
      </c>
      <c r="S508" s="1" t="s">
        <v>1278</v>
      </c>
      <c r="T508" s="1" t="s">
        <v>1274</v>
      </c>
      <c r="V508" s="1" t="s">
        <v>1293</v>
      </c>
      <c r="W508" s="1" t="s">
        <v>1284</v>
      </c>
    </row>
    <row r="509" customFormat="false" ht="15" hidden="false" customHeight="true" outlineLevel="0" collapsed="false">
      <c r="A509" s="1" t="n">
        <v>0</v>
      </c>
      <c r="B509" s="1" t="s">
        <v>1132</v>
      </c>
      <c r="C509" s="1" t="n">
        <v>10875</v>
      </c>
      <c r="D509" s="1" t="n">
        <v>0</v>
      </c>
      <c r="E509" s="1" t="n">
        <v>10875</v>
      </c>
      <c r="F509" s="172" t="n">
        <v>0</v>
      </c>
      <c r="G509" s="1" t="s">
        <v>102</v>
      </c>
      <c r="H509" s="1" t="s">
        <v>139</v>
      </c>
      <c r="I509" s="1" t="n">
        <v>4896982817</v>
      </c>
      <c r="J509" s="1" t="s">
        <v>1248</v>
      </c>
      <c r="K509" s="1" t="s">
        <v>102</v>
      </c>
      <c r="L509" s="1" t="s">
        <v>139</v>
      </c>
      <c r="M509" s="1" t="n">
        <v>4896982817</v>
      </c>
      <c r="N509" s="1" t="n">
        <v>0</v>
      </c>
      <c r="O509" s="1" t="n">
        <v>906.25</v>
      </c>
      <c r="P509" s="1" t="s">
        <v>1286</v>
      </c>
      <c r="Q509" s="1" t="s">
        <v>175</v>
      </c>
      <c r="S509" s="1" t="s">
        <v>1287</v>
      </c>
      <c r="T509" s="1" t="s">
        <v>1274</v>
      </c>
      <c r="V509" s="1" t="s">
        <v>1293</v>
      </c>
      <c r="W509" s="1" t="s">
        <v>1284</v>
      </c>
    </row>
    <row r="510" customFormat="false" ht="15" hidden="false" customHeight="true" outlineLevel="0" collapsed="false">
      <c r="A510" s="1" t="n">
        <v>0</v>
      </c>
      <c r="B510" s="1" t="s">
        <v>1132</v>
      </c>
      <c r="C510" s="1" t="n">
        <v>10875</v>
      </c>
      <c r="D510" s="1" t="n">
        <v>0</v>
      </c>
      <c r="E510" s="1" t="n">
        <v>10875</v>
      </c>
      <c r="F510" s="172" t="n">
        <v>0</v>
      </c>
      <c r="G510" s="1" t="s">
        <v>102</v>
      </c>
      <c r="H510" s="1" t="s">
        <v>139</v>
      </c>
      <c r="I510" s="1" t="n">
        <v>48364434974</v>
      </c>
      <c r="J510" s="1" t="s">
        <v>1248</v>
      </c>
      <c r="K510" s="1" t="s">
        <v>102</v>
      </c>
      <c r="L510" s="1" t="s">
        <v>139</v>
      </c>
      <c r="M510" s="1" t="n">
        <v>48364434974</v>
      </c>
      <c r="N510" s="1" t="n">
        <v>0</v>
      </c>
      <c r="O510" s="1" t="n">
        <v>906.25</v>
      </c>
      <c r="P510" s="1" t="s">
        <v>1286</v>
      </c>
      <c r="Q510" s="1" t="s">
        <v>175</v>
      </c>
      <c r="S510" s="1" t="s">
        <v>1287</v>
      </c>
      <c r="T510" s="1" t="s">
        <v>1274</v>
      </c>
      <c r="V510" s="1" t="s">
        <v>1293</v>
      </c>
      <c r="W510" s="1" t="s">
        <v>1284</v>
      </c>
    </row>
    <row r="511" customFormat="false" ht="15" hidden="false" customHeight="true" outlineLevel="0" collapsed="false">
      <c r="A511" s="1" t="n">
        <v>0</v>
      </c>
      <c r="B511" s="1" t="s">
        <v>1132</v>
      </c>
      <c r="C511" s="1" t="n">
        <v>10875</v>
      </c>
      <c r="D511" s="1" t="n">
        <v>0</v>
      </c>
      <c r="E511" s="1" t="n">
        <v>10875</v>
      </c>
      <c r="F511" s="172" t="n">
        <v>0</v>
      </c>
      <c r="G511" s="1" t="s">
        <v>102</v>
      </c>
      <c r="H511" s="1" t="s">
        <v>139</v>
      </c>
      <c r="I511" s="1" t="n">
        <v>4896065937</v>
      </c>
      <c r="J511" s="1" t="s">
        <v>1248</v>
      </c>
      <c r="K511" s="1" t="s">
        <v>102</v>
      </c>
      <c r="L511" s="1" t="s">
        <v>139</v>
      </c>
      <c r="M511" s="1" t="n">
        <v>4896065937</v>
      </c>
      <c r="N511" s="1" t="n">
        <v>0</v>
      </c>
      <c r="O511" s="1" t="n">
        <v>906.25</v>
      </c>
      <c r="P511" s="1" t="s">
        <v>1286</v>
      </c>
      <c r="Q511" s="1" t="s">
        <v>175</v>
      </c>
      <c r="S511" s="1" t="s">
        <v>1287</v>
      </c>
      <c r="T511" s="1" t="s">
        <v>1274</v>
      </c>
      <c r="V511" s="1" t="s">
        <v>1293</v>
      </c>
      <c r="W511" s="1" t="s">
        <v>1284</v>
      </c>
    </row>
    <row r="512" customFormat="false" ht="15" hidden="false" customHeight="true" outlineLevel="0" collapsed="false">
      <c r="A512" s="1" t="n">
        <v>0</v>
      </c>
      <c r="B512" s="1" t="s">
        <v>1132</v>
      </c>
      <c r="C512" s="1" t="n">
        <v>10875</v>
      </c>
      <c r="D512" s="1" t="n">
        <v>0</v>
      </c>
      <c r="E512" s="1" t="n">
        <v>10875</v>
      </c>
      <c r="F512" s="172" t="n">
        <v>0</v>
      </c>
      <c r="G512" s="1" t="s">
        <v>102</v>
      </c>
      <c r="H512" s="1" t="s">
        <v>139</v>
      </c>
      <c r="I512" s="1" t="n">
        <v>4896065937</v>
      </c>
      <c r="J512" s="1" t="s">
        <v>1248</v>
      </c>
      <c r="K512" s="1" t="s">
        <v>102</v>
      </c>
      <c r="L512" s="1" t="s">
        <v>139</v>
      </c>
      <c r="M512" s="1" t="n">
        <v>4896065937</v>
      </c>
      <c r="N512" s="1" t="n">
        <v>0</v>
      </c>
      <c r="O512" s="1" t="n">
        <v>906.25</v>
      </c>
      <c r="P512" s="1" t="s">
        <v>1286</v>
      </c>
      <c r="Q512" s="1" t="s">
        <v>175</v>
      </c>
      <c r="S512" s="1" t="s">
        <v>1287</v>
      </c>
      <c r="T512" s="1" t="s">
        <v>1274</v>
      </c>
      <c r="V512" s="1" t="s">
        <v>1293</v>
      </c>
      <c r="W512" s="1" t="s">
        <v>1284</v>
      </c>
    </row>
    <row r="513" customFormat="false" ht="15" hidden="false" customHeight="true" outlineLevel="0" collapsed="false">
      <c r="A513" s="1" t="n">
        <v>0</v>
      </c>
      <c r="B513" s="1" t="s">
        <v>1132</v>
      </c>
      <c r="C513" s="1" t="n">
        <v>10706.9</v>
      </c>
      <c r="D513" s="1" t="n">
        <v>0</v>
      </c>
      <c r="E513" s="1" t="n">
        <v>10706.9</v>
      </c>
      <c r="F513" s="172" t="n">
        <v>0</v>
      </c>
      <c r="G513" s="1" t="s">
        <v>66</v>
      </c>
      <c r="H513" s="1" t="s">
        <v>139</v>
      </c>
      <c r="I513" s="1" t="n">
        <v>55479932148</v>
      </c>
      <c r="J513" s="1" t="s">
        <v>1248</v>
      </c>
      <c r="K513" s="1" t="s">
        <v>66</v>
      </c>
      <c r="L513" s="1" t="s">
        <v>139</v>
      </c>
      <c r="M513" s="1" t="n">
        <v>55479932148</v>
      </c>
      <c r="N513" s="1" t="n">
        <v>0</v>
      </c>
      <c r="O513" s="1" t="n">
        <v>892.24</v>
      </c>
      <c r="P513" s="1" t="s">
        <v>1286</v>
      </c>
      <c r="Q513" s="1" t="s">
        <v>175</v>
      </c>
      <c r="S513" s="1" t="s">
        <v>1278</v>
      </c>
      <c r="T513" s="1" t="s">
        <v>1274</v>
      </c>
      <c r="V513" s="1" t="s">
        <v>1293</v>
      </c>
      <c r="W513" s="1" t="s">
        <v>1284</v>
      </c>
    </row>
    <row r="514" customFormat="false" ht="15" hidden="false" customHeight="true" outlineLevel="0" collapsed="false">
      <c r="A514" s="1" t="n">
        <v>0</v>
      </c>
      <c r="B514" s="1" t="s">
        <v>1132</v>
      </c>
      <c r="C514" s="1" t="n">
        <v>10875</v>
      </c>
      <c r="D514" s="1" t="n">
        <v>0</v>
      </c>
      <c r="E514" s="1" t="n">
        <v>10875</v>
      </c>
      <c r="F514" s="172" t="n">
        <v>0</v>
      </c>
      <c r="G514" s="1" t="s">
        <v>102</v>
      </c>
      <c r="H514" s="1" t="s">
        <v>139</v>
      </c>
      <c r="I514" s="1" t="n">
        <v>48996462635</v>
      </c>
      <c r="J514" s="1" t="s">
        <v>1248</v>
      </c>
      <c r="K514" s="1" t="s">
        <v>102</v>
      </c>
      <c r="L514" s="1" t="s">
        <v>139</v>
      </c>
      <c r="M514" s="1" t="n">
        <v>48996462635</v>
      </c>
      <c r="N514" s="1" t="n">
        <v>0</v>
      </c>
      <c r="O514" s="1" t="n">
        <v>906.25</v>
      </c>
      <c r="P514" s="1" t="s">
        <v>1286</v>
      </c>
      <c r="Q514" s="1" t="s">
        <v>175</v>
      </c>
      <c r="S514" s="1" t="s">
        <v>1287</v>
      </c>
      <c r="T514" s="1" t="s">
        <v>1274</v>
      </c>
      <c r="V514" s="1" t="s">
        <v>1293</v>
      </c>
      <c r="W514" s="1" t="s">
        <v>1284</v>
      </c>
    </row>
    <row r="515" customFormat="false" ht="15" hidden="false" customHeight="true" outlineLevel="0" collapsed="false">
      <c r="A515" s="1" t="n">
        <v>0</v>
      </c>
      <c r="B515" s="1" t="s">
        <v>1132</v>
      </c>
      <c r="C515" s="1" t="n">
        <v>10875</v>
      </c>
      <c r="D515" s="1" t="n">
        <v>0</v>
      </c>
      <c r="E515" s="1" t="n">
        <v>10875</v>
      </c>
      <c r="F515" s="172" t="n">
        <v>0</v>
      </c>
      <c r="G515" s="1" t="s">
        <v>102</v>
      </c>
      <c r="H515" s="1" t="s">
        <v>139</v>
      </c>
      <c r="I515" s="1" t="n">
        <v>4891607118</v>
      </c>
      <c r="J515" s="1" t="s">
        <v>1248</v>
      </c>
      <c r="K515" s="1" t="s">
        <v>102</v>
      </c>
      <c r="L515" s="1" t="s">
        <v>139</v>
      </c>
      <c r="M515" s="1" t="n">
        <v>4891607118</v>
      </c>
      <c r="N515" s="1" t="n">
        <v>0</v>
      </c>
      <c r="O515" s="1" t="n">
        <v>906.25</v>
      </c>
      <c r="P515" s="1" t="s">
        <v>1286</v>
      </c>
      <c r="Q515" s="1" t="s">
        <v>175</v>
      </c>
      <c r="S515" s="1" t="s">
        <v>1287</v>
      </c>
      <c r="T515" s="1" t="s">
        <v>1274</v>
      </c>
      <c r="V515" s="1" t="s">
        <v>1293</v>
      </c>
      <c r="W515" s="1" t="s">
        <v>1284</v>
      </c>
    </row>
    <row r="516" customFormat="false" ht="15" hidden="false" customHeight="true" outlineLevel="0" collapsed="false">
      <c r="A516" s="1" t="n">
        <v>0</v>
      </c>
      <c r="B516" s="1" t="s">
        <v>1132</v>
      </c>
      <c r="C516" s="1" t="n">
        <v>10706.9</v>
      </c>
      <c r="D516" s="1" t="n">
        <v>0</v>
      </c>
      <c r="E516" s="1" t="n">
        <v>10706.9</v>
      </c>
      <c r="F516" s="172" t="n">
        <v>0</v>
      </c>
      <c r="G516" s="1" t="s">
        <v>66</v>
      </c>
      <c r="H516" s="1" t="s">
        <v>139</v>
      </c>
      <c r="I516" s="1" t="n">
        <v>4899570928</v>
      </c>
      <c r="J516" s="1" t="s">
        <v>1248</v>
      </c>
      <c r="K516" s="1" t="s">
        <v>66</v>
      </c>
      <c r="L516" s="1" t="s">
        <v>139</v>
      </c>
      <c r="M516" s="1" t="n">
        <v>4899570928</v>
      </c>
      <c r="N516" s="1" t="n">
        <v>0</v>
      </c>
      <c r="O516" s="1" t="n">
        <v>892.24</v>
      </c>
      <c r="P516" s="1" t="s">
        <v>1286</v>
      </c>
      <c r="Q516" s="1" t="s">
        <v>175</v>
      </c>
      <c r="S516" s="1" t="s">
        <v>1278</v>
      </c>
      <c r="T516" s="1" t="s">
        <v>1274</v>
      </c>
      <c r="V516" s="1" t="s">
        <v>1293</v>
      </c>
      <c r="W516" s="1" t="s">
        <v>1284</v>
      </c>
    </row>
    <row r="517" customFormat="false" ht="15" hidden="false" customHeight="true" outlineLevel="0" collapsed="false">
      <c r="A517" s="1" t="n">
        <v>0</v>
      </c>
      <c r="B517" s="1" t="s">
        <v>1132</v>
      </c>
      <c r="C517" s="1" t="n">
        <v>10875</v>
      </c>
      <c r="D517" s="1" t="n">
        <v>0</v>
      </c>
      <c r="E517" s="1" t="n">
        <v>10875</v>
      </c>
      <c r="F517" s="172" t="n">
        <v>0</v>
      </c>
      <c r="G517" s="1" t="s">
        <v>102</v>
      </c>
      <c r="H517" s="1" t="s">
        <v>139</v>
      </c>
      <c r="I517" s="1" t="n">
        <v>49352109454</v>
      </c>
      <c r="J517" s="1" t="s">
        <v>1248</v>
      </c>
      <c r="K517" s="1" t="s">
        <v>102</v>
      </c>
      <c r="L517" s="1" t="s">
        <v>139</v>
      </c>
      <c r="M517" s="1" t="n">
        <v>49352109454</v>
      </c>
      <c r="N517" s="1" t="n">
        <v>0</v>
      </c>
      <c r="O517" s="1" t="n">
        <v>906.25</v>
      </c>
      <c r="P517" s="1" t="s">
        <v>1286</v>
      </c>
      <c r="Q517" s="1" t="s">
        <v>175</v>
      </c>
      <c r="S517" s="1" t="s">
        <v>1287</v>
      </c>
      <c r="T517" s="1" t="s">
        <v>1274</v>
      </c>
      <c r="V517" s="1" t="s">
        <v>1293</v>
      </c>
      <c r="W517" s="1" t="s">
        <v>1284</v>
      </c>
    </row>
    <row r="518" customFormat="false" ht="15" hidden="false" customHeight="true" outlineLevel="0" collapsed="false">
      <c r="A518" s="1" t="n">
        <v>0</v>
      </c>
      <c r="B518" s="1" t="s">
        <v>1132</v>
      </c>
      <c r="C518" s="1" t="n">
        <v>10875</v>
      </c>
      <c r="D518" s="1" t="n">
        <v>0</v>
      </c>
      <c r="E518" s="1" t="n">
        <v>10875</v>
      </c>
      <c r="F518" s="172" t="n">
        <v>0</v>
      </c>
      <c r="G518" s="1" t="s">
        <v>102</v>
      </c>
      <c r="H518" s="1" t="s">
        <v>139</v>
      </c>
      <c r="I518" s="1" t="n">
        <v>49355518064</v>
      </c>
      <c r="J518" s="1" t="s">
        <v>1248</v>
      </c>
      <c r="K518" s="1" t="s">
        <v>102</v>
      </c>
      <c r="L518" s="1" t="s">
        <v>139</v>
      </c>
      <c r="M518" s="1" t="n">
        <v>49355518064</v>
      </c>
      <c r="N518" s="1" t="n">
        <v>0</v>
      </c>
      <c r="O518" s="1" t="n">
        <v>906.25</v>
      </c>
      <c r="P518" s="1" t="s">
        <v>1286</v>
      </c>
      <c r="Q518" s="1" t="s">
        <v>175</v>
      </c>
      <c r="S518" s="1" t="s">
        <v>1287</v>
      </c>
      <c r="T518" s="1" t="s">
        <v>1274</v>
      </c>
      <c r="V518" s="1" t="s">
        <v>1293</v>
      </c>
      <c r="W518" s="1" t="s">
        <v>1284</v>
      </c>
    </row>
    <row r="519" customFormat="false" ht="15" hidden="false" customHeight="true" outlineLevel="0" collapsed="false">
      <c r="A519" s="1" t="n">
        <v>0</v>
      </c>
      <c r="B519" s="1" t="s">
        <v>1132</v>
      </c>
      <c r="C519" s="1" t="n">
        <v>6566.04</v>
      </c>
      <c r="D519" s="1" t="n">
        <v>0</v>
      </c>
      <c r="E519" s="1" t="n">
        <v>6566.04</v>
      </c>
      <c r="F519" s="172" t="n">
        <v>0</v>
      </c>
      <c r="G519" s="1" t="s">
        <v>110</v>
      </c>
      <c r="H519" s="1" t="s">
        <v>139</v>
      </c>
      <c r="I519" s="1" t="n">
        <v>49991380807</v>
      </c>
      <c r="J519" s="1" t="s">
        <v>1248</v>
      </c>
      <c r="K519" s="1" t="s">
        <v>110</v>
      </c>
      <c r="L519" s="1" t="s">
        <v>139</v>
      </c>
      <c r="M519" s="1" t="n">
        <v>49991380807</v>
      </c>
      <c r="N519" s="1" t="n">
        <v>0</v>
      </c>
      <c r="O519" s="1" t="n">
        <v>547.17</v>
      </c>
      <c r="P519" s="1" t="s">
        <v>1286</v>
      </c>
      <c r="Q519" s="1" t="s">
        <v>184</v>
      </c>
      <c r="S519" s="1" t="s">
        <v>1278</v>
      </c>
      <c r="T519" s="1" t="s">
        <v>1274</v>
      </c>
      <c r="V519" s="1" t="s">
        <v>1293</v>
      </c>
      <c r="W519" s="1" t="s">
        <v>1284</v>
      </c>
    </row>
    <row r="520" customFormat="false" ht="15" hidden="false" customHeight="true" outlineLevel="0" collapsed="false">
      <c r="A520" s="1" t="n">
        <v>0</v>
      </c>
      <c r="B520" s="1" t="s">
        <v>1132</v>
      </c>
      <c r="C520" s="1" t="n">
        <v>10875</v>
      </c>
      <c r="D520" s="1" t="n">
        <v>0</v>
      </c>
      <c r="E520" s="1" t="n">
        <v>10875</v>
      </c>
      <c r="F520" s="172" t="n">
        <v>0</v>
      </c>
      <c r="G520" s="1" t="s">
        <v>102</v>
      </c>
      <c r="H520" s="1" t="s">
        <v>139</v>
      </c>
      <c r="I520" s="1" t="n">
        <v>48353315324</v>
      </c>
      <c r="J520" s="1" t="s">
        <v>1248</v>
      </c>
      <c r="K520" s="1" t="s">
        <v>102</v>
      </c>
      <c r="L520" s="1" t="s">
        <v>139</v>
      </c>
      <c r="M520" s="1" t="n">
        <v>48353315324</v>
      </c>
      <c r="N520" s="1" t="n">
        <v>0</v>
      </c>
      <c r="O520" s="1" t="n">
        <v>906.25</v>
      </c>
      <c r="P520" s="1" t="s">
        <v>1286</v>
      </c>
      <c r="Q520" s="1" t="s">
        <v>175</v>
      </c>
      <c r="S520" s="1" t="s">
        <v>1287</v>
      </c>
      <c r="T520" s="1" t="s">
        <v>1274</v>
      </c>
      <c r="V520" s="1" t="s">
        <v>1293</v>
      </c>
      <c r="W520" s="1" t="s">
        <v>1284</v>
      </c>
    </row>
    <row r="521" customFormat="false" ht="15" hidden="false" customHeight="true" outlineLevel="0" collapsed="false">
      <c r="A521" s="1" t="n">
        <v>0</v>
      </c>
      <c r="B521" s="1" t="s">
        <v>1132</v>
      </c>
      <c r="C521" s="1" t="n">
        <v>10875</v>
      </c>
      <c r="D521" s="1" t="n">
        <v>0</v>
      </c>
      <c r="E521" s="1" t="n">
        <v>10875</v>
      </c>
      <c r="F521" s="172" t="n">
        <v>0</v>
      </c>
      <c r="G521" s="1" t="s">
        <v>102</v>
      </c>
      <c r="H521" s="1" t="s">
        <v>139</v>
      </c>
      <c r="I521" s="1" t="n">
        <v>48999933386</v>
      </c>
      <c r="J521" s="1" t="s">
        <v>1248</v>
      </c>
      <c r="K521" s="1" t="s">
        <v>102</v>
      </c>
      <c r="L521" s="1" t="s">
        <v>139</v>
      </c>
      <c r="M521" s="1" t="n">
        <v>48999933386</v>
      </c>
      <c r="N521" s="1" t="n">
        <v>0</v>
      </c>
      <c r="O521" s="1" t="n">
        <v>906.25</v>
      </c>
      <c r="P521" s="1" t="s">
        <v>1286</v>
      </c>
      <c r="Q521" s="1" t="s">
        <v>175</v>
      </c>
      <c r="S521" s="1" t="s">
        <v>1287</v>
      </c>
      <c r="T521" s="1" t="s">
        <v>1274</v>
      </c>
      <c r="V521" s="1" t="s">
        <v>1293</v>
      </c>
      <c r="W521" s="1" t="s">
        <v>1284</v>
      </c>
    </row>
    <row r="522" customFormat="false" ht="15" hidden="false" customHeight="true" outlineLevel="0" collapsed="false">
      <c r="A522" s="1" t="n">
        <v>0</v>
      </c>
      <c r="B522" s="1" t="s">
        <v>1132</v>
      </c>
      <c r="C522" s="1" t="n">
        <v>10875</v>
      </c>
      <c r="D522" s="1" t="n">
        <v>0</v>
      </c>
      <c r="E522" s="1" t="n">
        <v>10875</v>
      </c>
      <c r="F522" s="172" t="n">
        <v>0</v>
      </c>
      <c r="G522" s="1" t="s">
        <v>102</v>
      </c>
      <c r="H522" s="1" t="s">
        <v>139</v>
      </c>
      <c r="I522" s="1" t="n">
        <v>4834365126</v>
      </c>
      <c r="J522" s="1" t="s">
        <v>1248</v>
      </c>
      <c r="K522" s="1" t="s">
        <v>102</v>
      </c>
      <c r="L522" s="1" t="s">
        <v>139</v>
      </c>
      <c r="M522" s="1" t="n">
        <v>4834365126</v>
      </c>
      <c r="N522" s="1" t="n">
        <v>0</v>
      </c>
      <c r="O522" s="1" t="n">
        <v>906.25</v>
      </c>
      <c r="P522" s="1" t="s">
        <v>1286</v>
      </c>
      <c r="Q522" s="1" t="s">
        <v>108</v>
      </c>
      <c r="S522" s="1" t="s">
        <v>1278</v>
      </c>
      <c r="T522" s="1" t="s">
        <v>1279</v>
      </c>
      <c r="V522" s="1" t="s">
        <v>1293</v>
      </c>
      <c r="W522" s="1" t="s">
        <v>1284</v>
      </c>
    </row>
    <row r="523" customFormat="false" ht="15" hidden="false" customHeight="true" outlineLevel="0" collapsed="false">
      <c r="A523" s="1" t="n">
        <v>0</v>
      </c>
      <c r="B523" s="1" t="s">
        <v>1132</v>
      </c>
      <c r="C523" s="1" t="n">
        <v>10875</v>
      </c>
      <c r="D523" s="1" t="n">
        <v>0</v>
      </c>
      <c r="E523" s="1" t="n">
        <v>10875</v>
      </c>
      <c r="F523" s="172" t="n">
        <v>0</v>
      </c>
      <c r="G523" s="1" t="s">
        <v>102</v>
      </c>
      <c r="H523" s="1" t="s">
        <v>139</v>
      </c>
      <c r="I523" s="1" t="n">
        <v>32458714489</v>
      </c>
      <c r="J523" s="1" t="s">
        <v>1248</v>
      </c>
      <c r="K523" s="1" t="s">
        <v>102</v>
      </c>
      <c r="L523" s="1" t="s">
        <v>139</v>
      </c>
      <c r="M523" s="1" t="n">
        <v>32458714489</v>
      </c>
      <c r="N523" s="1" t="n">
        <v>0</v>
      </c>
      <c r="O523" s="1" t="n">
        <v>906.25</v>
      </c>
      <c r="P523" s="1" t="s">
        <v>1286</v>
      </c>
      <c r="Q523" s="1" t="s">
        <v>175</v>
      </c>
      <c r="S523" s="1" t="s">
        <v>1287</v>
      </c>
      <c r="T523" s="1" t="s">
        <v>1274</v>
      </c>
      <c r="V523" s="1" t="s">
        <v>1293</v>
      </c>
      <c r="W523" s="1" t="s">
        <v>1284</v>
      </c>
    </row>
    <row r="524" customFormat="false" ht="15" hidden="false" customHeight="true" outlineLevel="0" collapsed="false">
      <c r="A524" s="1" t="n">
        <v>0</v>
      </c>
      <c r="B524" s="1" t="s">
        <v>1132</v>
      </c>
      <c r="C524" s="1" t="n">
        <v>10875</v>
      </c>
      <c r="D524" s="1" t="n">
        <v>0</v>
      </c>
      <c r="E524" s="1" t="n">
        <v>10875</v>
      </c>
      <c r="F524" s="172" t="n">
        <v>0</v>
      </c>
      <c r="G524" s="1" t="s">
        <v>102</v>
      </c>
      <c r="H524" s="1" t="s">
        <v>139</v>
      </c>
      <c r="I524" s="1" t="n">
        <v>48328541974</v>
      </c>
      <c r="J524" s="1" t="s">
        <v>1248</v>
      </c>
      <c r="K524" s="1" t="s">
        <v>102</v>
      </c>
      <c r="L524" s="1" t="s">
        <v>139</v>
      </c>
      <c r="M524" s="1" t="n">
        <v>48328541974</v>
      </c>
      <c r="N524" s="1" t="n">
        <v>0</v>
      </c>
      <c r="O524" s="1" t="n">
        <v>906.25</v>
      </c>
      <c r="P524" s="1" t="s">
        <v>1286</v>
      </c>
      <c r="Q524" s="1" t="s">
        <v>175</v>
      </c>
      <c r="S524" s="1" t="s">
        <v>1287</v>
      </c>
      <c r="T524" s="1" t="s">
        <v>1274</v>
      </c>
      <c r="V524" s="1" t="s">
        <v>1293</v>
      </c>
      <c r="W524" s="1" t="s">
        <v>1284</v>
      </c>
    </row>
    <row r="525" customFormat="false" ht="15" hidden="false" customHeight="true" outlineLevel="0" collapsed="false">
      <c r="A525" s="1" t="n">
        <v>0</v>
      </c>
      <c r="B525" s="1" t="s">
        <v>1132</v>
      </c>
      <c r="C525" s="1" t="n">
        <v>10875</v>
      </c>
      <c r="D525" s="1" t="n">
        <v>0</v>
      </c>
      <c r="E525" s="1" t="n">
        <v>10875</v>
      </c>
      <c r="F525" s="172" t="n">
        <v>0</v>
      </c>
      <c r="G525" s="1" t="s">
        <v>102</v>
      </c>
      <c r="H525" s="1" t="s">
        <v>139</v>
      </c>
      <c r="I525" s="1" t="n">
        <v>49301843424</v>
      </c>
      <c r="J525" s="1" t="s">
        <v>1248</v>
      </c>
      <c r="K525" s="1" t="s">
        <v>102</v>
      </c>
      <c r="L525" s="1" t="s">
        <v>139</v>
      </c>
      <c r="M525" s="1" t="n">
        <v>49301843424</v>
      </c>
      <c r="N525" s="1" t="n">
        <v>0</v>
      </c>
      <c r="O525" s="1" t="n">
        <v>906.25</v>
      </c>
      <c r="P525" s="1" t="s">
        <v>1286</v>
      </c>
      <c r="Q525" s="1" t="s">
        <v>175</v>
      </c>
      <c r="S525" s="1" t="s">
        <v>1287</v>
      </c>
      <c r="T525" s="1" t="s">
        <v>1274</v>
      </c>
      <c r="V525" s="1" t="s">
        <v>1293</v>
      </c>
      <c r="W525" s="1" t="s">
        <v>1284</v>
      </c>
    </row>
    <row r="526" customFormat="false" ht="15" hidden="false" customHeight="true" outlineLevel="0" collapsed="false">
      <c r="A526" s="1" t="n">
        <v>0</v>
      </c>
      <c r="B526" s="1" t="s">
        <v>1132</v>
      </c>
      <c r="C526" s="1" t="n">
        <v>10706.9</v>
      </c>
      <c r="D526" s="1" t="n">
        <v>0</v>
      </c>
      <c r="E526" s="1" t="n">
        <v>10706.9</v>
      </c>
      <c r="F526" s="172" t="n">
        <v>0</v>
      </c>
      <c r="G526" s="1" t="s">
        <v>66</v>
      </c>
      <c r="H526" s="1" t="s">
        <v>139</v>
      </c>
      <c r="I526" s="1" t="n">
        <v>4899208020</v>
      </c>
      <c r="J526" s="1" t="s">
        <v>1248</v>
      </c>
      <c r="K526" s="1" t="s">
        <v>66</v>
      </c>
      <c r="L526" s="1" t="s">
        <v>139</v>
      </c>
      <c r="M526" s="1" t="n">
        <v>4899208020</v>
      </c>
      <c r="N526" s="1" t="n">
        <v>0</v>
      </c>
      <c r="O526" s="1" t="n">
        <v>892.24</v>
      </c>
      <c r="P526" s="1" t="s">
        <v>1286</v>
      </c>
      <c r="Q526" s="1" t="s">
        <v>175</v>
      </c>
      <c r="S526" s="1" t="s">
        <v>1278</v>
      </c>
      <c r="T526" s="1" t="s">
        <v>1274</v>
      </c>
      <c r="V526" s="1" t="s">
        <v>1293</v>
      </c>
      <c r="W526" s="1" t="s">
        <v>1284</v>
      </c>
    </row>
    <row r="527" customFormat="false" ht="15" hidden="false" customHeight="true" outlineLevel="0" collapsed="false">
      <c r="A527" s="1" t="n">
        <v>0</v>
      </c>
      <c r="B527" s="1" t="s">
        <v>1132</v>
      </c>
      <c r="C527" s="1" t="n">
        <v>10875</v>
      </c>
      <c r="D527" s="1" t="n">
        <v>0</v>
      </c>
      <c r="E527" s="1" t="n">
        <v>10875</v>
      </c>
      <c r="F527" s="172" t="n">
        <v>0</v>
      </c>
      <c r="G527" s="1" t="s">
        <v>102</v>
      </c>
      <c r="H527" s="1" t="s">
        <v>139</v>
      </c>
      <c r="I527" s="1" t="n">
        <v>48999471457</v>
      </c>
      <c r="J527" s="1" t="s">
        <v>1248</v>
      </c>
      <c r="K527" s="1" t="s">
        <v>102</v>
      </c>
      <c r="L527" s="1" t="s">
        <v>139</v>
      </c>
      <c r="M527" s="1" t="n">
        <v>48999471457</v>
      </c>
      <c r="N527" s="1" t="n">
        <v>0</v>
      </c>
      <c r="O527" s="1" t="n">
        <v>906.25</v>
      </c>
      <c r="P527" s="1" t="s">
        <v>1286</v>
      </c>
      <c r="Q527" s="1" t="s">
        <v>175</v>
      </c>
      <c r="S527" s="1" t="s">
        <v>1287</v>
      </c>
      <c r="T527" s="1" t="s">
        <v>1274</v>
      </c>
      <c r="V527" s="1" t="s">
        <v>1293</v>
      </c>
      <c r="W527" s="1" t="s">
        <v>1284</v>
      </c>
    </row>
    <row r="528" customFormat="false" ht="15" hidden="false" customHeight="true" outlineLevel="0" collapsed="false">
      <c r="A528" s="1" t="n">
        <v>0</v>
      </c>
      <c r="B528" s="1" t="s">
        <v>1132</v>
      </c>
      <c r="C528" s="1" t="n">
        <v>10875</v>
      </c>
      <c r="D528" s="1" t="n">
        <v>0</v>
      </c>
      <c r="E528" s="1" t="n">
        <v>10875</v>
      </c>
      <c r="F528" s="172" t="n">
        <v>0</v>
      </c>
      <c r="G528" s="1" t="s">
        <v>102</v>
      </c>
      <c r="H528" s="1" t="s">
        <v>139</v>
      </c>
      <c r="I528" s="1" t="n">
        <v>4834330546</v>
      </c>
      <c r="J528" s="1" t="s">
        <v>1248</v>
      </c>
      <c r="K528" s="1" t="s">
        <v>102</v>
      </c>
      <c r="L528" s="1" t="s">
        <v>139</v>
      </c>
      <c r="M528" s="1" t="n">
        <v>4834330546</v>
      </c>
      <c r="N528" s="1" t="n">
        <v>0</v>
      </c>
      <c r="O528" s="1" t="n">
        <v>906.25</v>
      </c>
      <c r="P528" s="1" t="s">
        <v>1286</v>
      </c>
      <c r="Q528" s="1" t="s">
        <v>175</v>
      </c>
      <c r="S528" s="1" t="s">
        <v>1287</v>
      </c>
      <c r="T528" s="1" t="s">
        <v>1274</v>
      </c>
      <c r="V528" s="1" t="s">
        <v>1293</v>
      </c>
      <c r="W528" s="1" t="s">
        <v>1284</v>
      </c>
    </row>
    <row r="529" customFormat="false" ht="15" hidden="false" customHeight="true" outlineLevel="0" collapsed="false">
      <c r="A529" s="1" t="n">
        <v>0</v>
      </c>
      <c r="B529" s="1" t="s">
        <v>1132</v>
      </c>
      <c r="C529" s="1" t="n">
        <v>10875</v>
      </c>
      <c r="D529" s="1" t="n">
        <v>0</v>
      </c>
      <c r="E529" s="1" t="n">
        <v>10875</v>
      </c>
      <c r="F529" s="172" t="n">
        <v>0</v>
      </c>
      <c r="G529" s="1" t="s">
        <v>102</v>
      </c>
      <c r="H529" s="1" t="s">
        <v>692</v>
      </c>
      <c r="I529" s="1" t="n">
        <v>5588993612</v>
      </c>
      <c r="J529" s="1" t="s">
        <v>1248</v>
      </c>
      <c r="K529" s="1" t="s">
        <v>102</v>
      </c>
      <c r="L529" s="1" t="s">
        <v>692</v>
      </c>
      <c r="M529" s="1" t="n">
        <v>5588993612</v>
      </c>
      <c r="N529" s="1" t="n">
        <v>0</v>
      </c>
      <c r="O529" s="1" t="n">
        <v>906.25</v>
      </c>
      <c r="P529" s="1" t="s">
        <v>1286</v>
      </c>
      <c r="Q529" s="1" t="s">
        <v>175</v>
      </c>
      <c r="S529" s="1" t="s">
        <v>1278</v>
      </c>
      <c r="T529" s="1" t="s">
        <v>1274</v>
      </c>
      <c r="V529" s="1" t="s">
        <v>1293</v>
      </c>
      <c r="W529" s="1" t="s">
        <v>1284</v>
      </c>
    </row>
    <row r="530" customFormat="false" ht="15" hidden="false" customHeight="true" outlineLevel="0" collapsed="false">
      <c r="A530" s="1" t="n">
        <v>0</v>
      </c>
      <c r="B530" s="1" t="s">
        <v>1132</v>
      </c>
      <c r="C530" s="1" t="n">
        <v>10200</v>
      </c>
      <c r="D530" s="1" t="n">
        <v>0</v>
      </c>
      <c r="E530" s="1" t="n">
        <v>10200</v>
      </c>
      <c r="F530" s="172" t="n">
        <v>0</v>
      </c>
      <c r="G530" s="1" t="s">
        <v>115</v>
      </c>
      <c r="H530" s="1" t="s">
        <v>243</v>
      </c>
      <c r="I530" s="1" t="n">
        <v>71999623033</v>
      </c>
      <c r="J530" s="1" t="s">
        <v>1248</v>
      </c>
      <c r="K530" s="1" t="s">
        <v>115</v>
      </c>
      <c r="L530" s="1" t="s">
        <v>243</v>
      </c>
      <c r="M530" s="1" t="n">
        <v>71999623033</v>
      </c>
      <c r="N530" s="1" t="n">
        <v>0</v>
      </c>
      <c r="O530" s="1" t="n">
        <v>850</v>
      </c>
      <c r="P530" s="1" t="s">
        <v>1286</v>
      </c>
      <c r="Q530" s="1" t="s">
        <v>184</v>
      </c>
      <c r="S530" s="1" t="s">
        <v>1278</v>
      </c>
      <c r="T530" s="1" t="s">
        <v>1274</v>
      </c>
      <c r="V530" s="1" t="s">
        <v>1293</v>
      </c>
      <c r="W530" s="1" t="s">
        <v>1284</v>
      </c>
    </row>
    <row r="531" customFormat="false" ht="15" hidden="false" customHeight="true" outlineLevel="0" collapsed="false">
      <c r="A531" s="1" t="n">
        <v>0</v>
      </c>
      <c r="B531" s="1" t="s">
        <v>1132</v>
      </c>
      <c r="C531" s="1" t="n">
        <v>10200</v>
      </c>
      <c r="D531" s="1" t="n">
        <v>0</v>
      </c>
      <c r="E531" s="1" t="n">
        <v>10200</v>
      </c>
      <c r="F531" s="172" t="n">
        <v>0</v>
      </c>
      <c r="G531" s="1" t="s">
        <v>115</v>
      </c>
      <c r="H531" s="1" t="s">
        <v>243</v>
      </c>
      <c r="I531" s="1" t="n">
        <v>45998168921</v>
      </c>
      <c r="J531" s="1" t="s">
        <v>1248</v>
      </c>
      <c r="K531" s="1" t="s">
        <v>115</v>
      </c>
      <c r="L531" s="1" t="s">
        <v>243</v>
      </c>
      <c r="M531" s="1" t="n">
        <v>45998168921</v>
      </c>
      <c r="N531" s="1" t="n">
        <v>0</v>
      </c>
      <c r="O531" s="1" t="n">
        <v>850</v>
      </c>
      <c r="P531" s="1" t="s">
        <v>1286</v>
      </c>
      <c r="Q531" s="1" t="s">
        <v>184</v>
      </c>
      <c r="S531" s="1" t="s">
        <v>1278</v>
      </c>
      <c r="T531" s="1" t="s">
        <v>1274</v>
      </c>
      <c r="V531" s="1" t="s">
        <v>1293</v>
      </c>
      <c r="W531" s="1" t="s">
        <v>1284</v>
      </c>
    </row>
    <row r="532" customFormat="false" ht="15" hidden="false" customHeight="true" outlineLevel="0" collapsed="false">
      <c r="A532" s="1" t="n">
        <v>0</v>
      </c>
      <c r="B532" s="1" t="s">
        <v>1132</v>
      </c>
      <c r="C532" s="1" t="n">
        <v>6566.04</v>
      </c>
      <c r="D532" s="1" t="n">
        <v>0</v>
      </c>
      <c r="E532" s="1" t="n">
        <v>6566.04</v>
      </c>
      <c r="F532" s="172" t="n">
        <v>0</v>
      </c>
      <c r="G532" s="1" t="s">
        <v>110</v>
      </c>
      <c r="H532" s="1" t="s">
        <v>250</v>
      </c>
      <c r="I532" s="1" t="n">
        <v>27999646131</v>
      </c>
      <c r="J532" s="1" t="s">
        <v>1248</v>
      </c>
      <c r="K532" s="1" t="s">
        <v>110</v>
      </c>
      <c r="L532" s="1" t="s">
        <v>250</v>
      </c>
      <c r="M532" s="1" t="n">
        <v>27999646131</v>
      </c>
      <c r="N532" s="1" t="n">
        <v>0</v>
      </c>
      <c r="O532" s="1" t="n">
        <v>547.17</v>
      </c>
      <c r="P532" s="1" t="s">
        <v>1286</v>
      </c>
      <c r="Q532" s="1" t="s">
        <v>184</v>
      </c>
      <c r="S532" s="1" t="s">
        <v>1278</v>
      </c>
      <c r="T532" s="1" t="s">
        <v>1274</v>
      </c>
      <c r="V532" s="1" t="s">
        <v>1293</v>
      </c>
      <c r="W532" s="1" t="s">
        <v>1284</v>
      </c>
    </row>
    <row r="533" customFormat="false" ht="15" hidden="false" customHeight="true" outlineLevel="0" collapsed="false">
      <c r="A533" s="1" t="n">
        <v>0</v>
      </c>
      <c r="B533" s="1" t="s">
        <v>1132</v>
      </c>
      <c r="C533" s="1" t="n">
        <v>6566.04</v>
      </c>
      <c r="D533" s="1" t="n">
        <v>0</v>
      </c>
      <c r="E533" s="1" t="n">
        <v>6566.04</v>
      </c>
      <c r="F533" s="172" t="n">
        <v>0</v>
      </c>
      <c r="G533" s="1" t="s">
        <v>110</v>
      </c>
      <c r="H533" s="1" t="s">
        <v>250</v>
      </c>
      <c r="I533" s="1" t="n">
        <v>2799241766</v>
      </c>
      <c r="J533" s="1" t="s">
        <v>1248</v>
      </c>
      <c r="K533" s="1" t="s">
        <v>110</v>
      </c>
      <c r="L533" s="1" t="s">
        <v>250</v>
      </c>
      <c r="M533" s="1" t="n">
        <v>2799241766</v>
      </c>
      <c r="N533" s="1" t="n">
        <v>0</v>
      </c>
      <c r="O533" s="1" t="n">
        <v>547.17</v>
      </c>
      <c r="P533" s="1" t="s">
        <v>1286</v>
      </c>
      <c r="Q533" s="1" t="s">
        <v>100</v>
      </c>
      <c r="S533" s="1" t="s">
        <v>1004</v>
      </c>
      <c r="T533" s="1" t="s">
        <v>1274</v>
      </c>
      <c r="V533" s="1" t="s">
        <v>1293</v>
      </c>
      <c r="W533" s="1" t="s">
        <v>1284</v>
      </c>
    </row>
    <row r="534" customFormat="false" ht="15" hidden="false" customHeight="true" outlineLevel="0" collapsed="false">
      <c r="A534" s="1" t="n">
        <v>0</v>
      </c>
      <c r="B534" s="1" t="s">
        <v>1132</v>
      </c>
      <c r="C534" s="1" t="n">
        <v>8833.33</v>
      </c>
      <c r="D534" s="1" t="n">
        <v>0</v>
      </c>
      <c r="E534" s="1" t="n">
        <v>8833.33</v>
      </c>
      <c r="F534" s="172" t="n">
        <v>0</v>
      </c>
      <c r="G534" s="1" t="s">
        <v>1289</v>
      </c>
      <c r="H534" s="1" t="s">
        <v>311</v>
      </c>
      <c r="I534" s="1" t="n">
        <v>61921777496</v>
      </c>
      <c r="J534" s="1" t="s">
        <v>1248</v>
      </c>
      <c r="K534" s="1" t="s">
        <v>128</v>
      </c>
      <c r="L534" s="1" t="s">
        <v>311</v>
      </c>
      <c r="M534" s="1" t="n">
        <v>61921777496</v>
      </c>
      <c r="N534" s="1" t="n">
        <v>0</v>
      </c>
      <c r="O534" s="1" t="n">
        <v>736.11</v>
      </c>
      <c r="P534" s="1" t="s">
        <v>1286</v>
      </c>
      <c r="Q534" s="1" t="s">
        <v>184</v>
      </c>
      <c r="S534" s="1" t="s">
        <v>1278</v>
      </c>
      <c r="T534" s="1" t="s">
        <v>1274</v>
      </c>
      <c r="V534" s="1" t="s">
        <v>1293</v>
      </c>
      <c r="W534" s="1" t="s">
        <v>1284</v>
      </c>
    </row>
    <row r="535" customFormat="false" ht="15" hidden="false" customHeight="true" outlineLevel="0" collapsed="false">
      <c r="A535" s="1" t="n">
        <v>0</v>
      </c>
      <c r="B535" s="1" t="s">
        <v>1132</v>
      </c>
      <c r="C535" s="1" t="n">
        <v>6281.25</v>
      </c>
      <c r="D535" s="1" t="n">
        <v>0</v>
      </c>
      <c r="E535" s="1" t="n">
        <v>6281.25</v>
      </c>
      <c r="F535" s="172" t="n">
        <v>0</v>
      </c>
      <c r="G535" s="1" t="s">
        <v>124</v>
      </c>
      <c r="H535" s="1" t="s">
        <v>311</v>
      </c>
      <c r="I535" s="1" t="n">
        <v>61986344434</v>
      </c>
      <c r="J535" s="1" t="s">
        <v>1248</v>
      </c>
      <c r="K535" s="1" t="s">
        <v>124</v>
      </c>
      <c r="L535" s="1" t="s">
        <v>311</v>
      </c>
      <c r="M535" s="1" t="n">
        <v>61986344434</v>
      </c>
      <c r="N535" s="1" t="n">
        <v>0</v>
      </c>
      <c r="O535" s="1" t="n">
        <v>523.44</v>
      </c>
      <c r="P535" s="1" t="s">
        <v>1286</v>
      </c>
      <c r="Q535" s="1" t="s">
        <v>100</v>
      </c>
      <c r="S535" s="1" t="s">
        <v>1004</v>
      </c>
      <c r="T535" s="1" t="s">
        <v>1274</v>
      </c>
      <c r="V535" s="1" t="s">
        <v>1293</v>
      </c>
      <c r="W535" s="1" t="s">
        <v>1284</v>
      </c>
    </row>
    <row r="536" customFormat="false" ht="15" hidden="false" customHeight="true" outlineLevel="0" collapsed="false">
      <c r="A536" s="1" t="n">
        <v>0</v>
      </c>
      <c r="B536" s="1" t="s">
        <v>1132</v>
      </c>
      <c r="C536" s="1" t="n">
        <v>7200</v>
      </c>
      <c r="D536" s="1" t="n">
        <v>0</v>
      </c>
      <c r="E536" s="1" t="n">
        <v>7200</v>
      </c>
      <c r="F536" s="172" t="n">
        <v>0</v>
      </c>
      <c r="G536" s="1" t="s">
        <v>1183</v>
      </c>
      <c r="H536" s="1" t="s">
        <v>420</v>
      </c>
      <c r="I536" s="1" t="n">
        <v>9981318177</v>
      </c>
      <c r="J536" s="1" t="s">
        <v>1248</v>
      </c>
      <c r="K536" s="1" t="s">
        <v>1183</v>
      </c>
      <c r="L536" s="1" t="s">
        <v>420</v>
      </c>
      <c r="M536" s="1" t="n">
        <v>9981318177</v>
      </c>
      <c r="N536" s="1" t="n">
        <v>0</v>
      </c>
      <c r="O536" s="1" t="n">
        <v>600</v>
      </c>
      <c r="P536" s="1" t="s">
        <v>1283</v>
      </c>
      <c r="Q536" s="1" t="s">
        <v>100</v>
      </c>
      <c r="S536" s="1" t="s">
        <v>1004</v>
      </c>
      <c r="T536" s="1" t="s">
        <v>1274</v>
      </c>
      <c r="V536" s="1" t="s">
        <v>1293</v>
      </c>
      <c r="W536" s="1" t="s">
        <v>1284</v>
      </c>
    </row>
    <row r="537" customFormat="false" ht="15" hidden="false" customHeight="true" outlineLevel="0" collapsed="false">
      <c r="A537" s="1" t="n">
        <v>0</v>
      </c>
      <c r="B537" s="1" t="s">
        <v>1132</v>
      </c>
      <c r="C537" s="1" t="n">
        <v>6566.04</v>
      </c>
      <c r="D537" s="1" t="n">
        <v>0</v>
      </c>
      <c r="E537" s="1" t="n">
        <v>6566.04</v>
      </c>
      <c r="F537" s="172" t="n">
        <v>0</v>
      </c>
      <c r="G537" s="1" t="s">
        <v>110</v>
      </c>
      <c r="H537" s="1" t="s">
        <v>281</v>
      </c>
      <c r="I537" s="1" t="n">
        <v>6384306000</v>
      </c>
      <c r="J537" s="1" t="s">
        <v>1248</v>
      </c>
      <c r="K537" s="1" t="s">
        <v>110</v>
      </c>
      <c r="L537" s="1" t="s">
        <v>281</v>
      </c>
      <c r="M537" s="1" t="n">
        <v>6384306000</v>
      </c>
      <c r="N537" s="1" t="n">
        <v>0</v>
      </c>
      <c r="O537" s="1" t="n">
        <v>547.17</v>
      </c>
      <c r="P537" s="1" t="s">
        <v>1286</v>
      </c>
      <c r="Q537" s="1" t="s">
        <v>184</v>
      </c>
      <c r="S537" s="1" t="s">
        <v>1278</v>
      </c>
      <c r="T537" s="1" t="s">
        <v>1274</v>
      </c>
      <c r="V537" s="1" t="s">
        <v>1293</v>
      </c>
      <c r="W537" s="1" t="s">
        <v>1284</v>
      </c>
    </row>
    <row r="538" customFormat="false" ht="15" hidden="false" customHeight="true" outlineLevel="0" collapsed="false">
      <c r="A538" s="1" t="n">
        <v>0</v>
      </c>
      <c r="B538" s="1" t="s">
        <v>1132</v>
      </c>
      <c r="C538" s="1" t="n">
        <v>10706.9</v>
      </c>
      <c r="D538" s="1" t="n">
        <v>0</v>
      </c>
      <c r="E538" s="1" t="n">
        <v>10706.9</v>
      </c>
      <c r="F538" s="172" t="n">
        <v>0</v>
      </c>
      <c r="G538" s="1" t="s">
        <v>66</v>
      </c>
      <c r="H538" s="1" t="s">
        <v>347</v>
      </c>
      <c r="I538" s="1" t="n">
        <v>86998504191</v>
      </c>
      <c r="J538" s="1" t="s">
        <v>1248</v>
      </c>
      <c r="K538" s="1" t="s">
        <v>66</v>
      </c>
      <c r="L538" s="1" t="s">
        <v>347</v>
      </c>
      <c r="M538" s="1" t="n">
        <v>86998504191</v>
      </c>
      <c r="N538" s="1" t="n">
        <v>0</v>
      </c>
      <c r="O538" s="1" t="n">
        <v>892.24</v>
      </c>
      <c r="P538" s="1" t="s">
        <v>1286</v>
      </c>
      <c r="Q538" s="1" t="s">
        <v>175</v>
      </c>
      <c r="S538" s="1" t="s">
        <v>1278</v>
      </c>
      <c r="T538" s="1" t="s">
        <v>1274</v>
      </c>
      <c r="V538" s="1" t="s">
        <v>1293</v>
      </c>
      <c r="W538" s="1" t="s">
        <v>1284</v>
      </c>
    </row>
    <row r="539" customFormat="false" ht="15" hidden="false" customHeight="true" outlineLevel="0" collapsed="false">
      <c r="A539" s="1" t="n">
        <v>0</v>
      </c>
      <c r="B539" s="1" t="s">
        <v>1132</v>
      </c>
      <c r="C539" s="1" t="n">
        <v>6281.25</v>
      </c>
      <c r="D539" s="1" t="n">
        <v>0</v>
      </c>
      <c r="E539" s="1" t="n">
        <v>6281.25</v>
      </c>
      <c r="F539" s="172" t="n">
        <v>0</v>
      </c>
      <c r="G539" s="1" t="s">
        <v>124</v>
      </c>
      <c r="H539" s="1" t="s">
        <v>347</v>
      </c>
      <c r="I539" s="1" t="n">
        <v>9996311517</v>
      </c>
      <c r="J539" s="1" t="s">
        <v>1248</v>
      </c>
      <c r="K539" s="1" t="s">
        <v>124</v>
      </c>
      <c r="L539" s="1" t="s">
        <v>347</v>
      </c>
      <c r="M539" s="1" t="n">
        <v>9996311517</v>
      </c>
      <c r="N539" s="1" t="n">
        <v>0</v>
      </c>
      <c r="O539" s="1" t="n">
        <v>523.44</v>
      </c>
      <c r="P539" s="1" t="s">
        <v>1286</v>
      </c>
      <c r="Q539" s="1" t="s">
        <v>184</v>
      </c>
      <c r="S539" s="1" t="s">
        <v>1278</v>
      </c>
      <c r="T539" s="1" t="s">
        <v>1274</v>
      </c>
      <c r="V539" s="1" t="s">
        <v>1293</v>
      </c>
      <c r="W539" s="1" t="s">
        <v>1284</v>
      </c>
    </row>
    <row r="540" customFormat="false" ht="15" hidden="false" customHeight="true" outlineLevel="0" collapsed="false">
      <c r="A540" s="1" t="n">
        <v>0</v>
      </c>
      <c r="B540" s="1" t="s">
        <v>1132</v>
      </c>
      <c r="C540" s="1" t="n">
        <v>8833.33</v>
      </c>
      <c r="D540" s="1" t="n">
        <v>0</v>
      </c>
      <c r="E540" s="1" t="n">
        <v>8833.33</v>
      </c>
      <c r="F540" s="172" t="n">
        <v>0</v>
      </c>
      <c r="G540" s="1" t="s">
        <v>1289</v>
      </c>
      <c r="H540" s="1" t="s">
        <v>109</v>
      </c>
      <c r="I540" s="1" t="n">
        <v>47666666666</v>
      </c>
      <c r="J540" s="1" t="s">
        <v>1248</v>
      </c>
      <c r="K540" s="1" t="s">
        <v>128</v>
      </c>
      <c r="L540" s="1" t="s">
        <v>109</v>
      </c>
      <c r="M540" s="1" t="n">
        <v>47666666666</v>
      </c>
      <c r="N540" s="1" t="n">
        <v>0</v>
      </c>
      <c r="O540" s="1" t="n">
        <v>736.11</v>
      </c>
      <c r="P540" s="1" t="s">
        <v>1286</v>
      </c>
      <c r="Q540" s="1" t="s">
        <v>184</v>
      </c>
      <c r="S540" s="1" t="s">
        <v>1278</v>
      </c>
      <c r="T540" s="1" t="s">
        <v>1274</v>
      </c>
      <c r="V540" s="1" t="s">
        <v>1293</v>
      </c>
      <c r="W540" s="1" t="s">
        <v>1284</v>
      </c>
    </row>
    <row r="541" customFormat="false" ht="15" hidden="false" customHeight="true" outlineLevel="0" collapsed="false">
      <c r="A541" s="1" t="n">
        <v>0</v>
      </c>
      <c r="B541" s="1" t="s">
        <v>1132</v>
      </c>
      <c r="C541" s="1" t="n">
        <v>6566.04</v>
      </c>
      <c r="D541" s="1" t="n">
        <v>0</v>
      </c>
      <c r="E541" s="1" t="n">
        <v>6566.04</v>
      </c>
      <c r="F541" s="172" t="n">
        <v>0</v>
      </c>
      <c r="G541" s="1" t="s">
        <v>110</v>
      </c>
      <c r="H541" s="1" t="s">
        <v>109</v>
      </c>
      <c r="I541" s="1" t="n">
        <v>46999156565</v>
      </c>
      <c r="J541" s="1" t="s">
        <v>1248</v>
      </c>
      <c r="K541" s="1" t="s">
        <v>110</v>
      </c>
      <c r="L541" s="1" t="s">
        <v>109</v>
      </c>
      <c r="M541" s="1" t="n">
        <v>46999156565</v>
      </c>
      <c r="N541" s="1" t="n">
        <v>0</v>
      </c>
      <c r="O541" s="1" t="n">
        <v>547.17</v>
      </c>
      <c r="P541" s="1" t="s">
        <v>1286</v>
      </c>
      <c r="Q541" s="1" t="s">
        <v>184</v>
      </c>
      <c r="S541" s="1" t="s">
        <v>1278</v>
      </c>
      <c r="T541" s="1" t="s">
        <v>1274</v>
      </c>
      <c r="V541" s="1" t="s">
        <v>1293</v>
      </c>
      <c r="W541" s="1" t="s">
        <v>1284</v>
      </c>
    </row>
    <row r="542" customFormat="false" ht="15" hidden="false" customHeight="true" outlineLevel="0" collapsed="false">
      <c r="A542" s="1" t="n">
        <v>0</v>
      </c>
      <c r="B542" s="1" t="s">
        <v>1132</v>
      </c>
      <c r="C542" s="1" t="n">
        <v>6281.25</v>
      </c>
      <c r="D542" s="1" t="n">
        <v>0</v>
      </c>
      <c r="E542" s="1" t="n">
        <v>6281.25</v>
      </c>
      <c r="F542" s="172" t="n">
        <v>0</v>
      </c>
      <c r="G542" s="1" t="s">
        <v>124</v>
      </c>
      <c r="H542" s="1" t="s">
        <v>146</v>
      </c>
      <c r="I542" s="1" t="n">
        <v>6192861144</v>
      </c>
      <c r="J542" s="1" t="s">
        <v>1248</v>
      </c>
      <c r="K542" s="1" t="s">
        <v>124</v>
      </c>
      <c r="L542" s="1" t="s">
        <v>146</v>
      </c>
      <c r="M542" s="1" t="n">
        <v>6192861144</v>
      </c>
      <c r="N542" s="1" t="n">
        <v>0</v>
      </c>
      <c r="O542" s="1" t="n">
        <v>523.44</v>
      </c>
      <c r="P542" s="1" t="s">
        <v>1286</v>
      </c>
      <c r="Q542" s="1" t="s">
        <v>184</v>
      </c>
      <c r="S542" s="1" t="s">
        <v>1278</v>
      </c>
      <c r="T542" s="1" t="s">
        <v>1274</v>
      </c>
      <c r="V542" s="1" t="s">
        <v>1293</v>
      </c>
      <c r="W542" s="1" t="s">
        <v>1284</v>
      </c>
    </row>
    <row r="543" customFormat="false" ht="15" hidden="false" customHeight="true" outlineLevel="0" collapsed="false">
      <c r="A543" s="1" t="n">
        <v>0</v>
      </c>
      <c r="B543" s="1" t="s">
        <v>1132</v>
      </c>
      <c r="C543" s="1" t="n">
        <v>10200</v>
      </c>
      <c r="D543" s="1" t="n">
        <v>0</v>
      </c>
      <c r="E543" s="1" t="n">
        <v>10200</v>
      </c>
      <c r="F543" s="172" t="n">
        <v>0</v>
      </c>
      <c r="G543" s="1" t="s">
        <v>115</v>
      </c>
      <c r="H543" s="1" t="s">
        <v>146</v>
      </c>
      <c r="I543" s="1" t="n">
        <v>91920064409</v>
      </c>
      <c r="J543" s="1" t="s">
        <v>1248</v>
      </c>
      <c r="K543" s="1" t="s">
        <v>115</v>
      </c>
      <c r="L543" s="1" t="s">
        <v>146</v>
      </c>
      <c r="M543" s="1" t="n">
        <v>91920064409</v>
      </c>
      <c r="N543" s="1" t="n">
        <v>0</v>
      </c>
      <c r="O543" s="1" t="n">
        <v>850</v>
      </c>
      <c r="P543" s="1" t="s">
        <v>1286</v>
      </c>
      <c r="Q543" s="1" t="s">
        <v>100</v>
      </c>
      <c r="S543" s="1" t="s">
        <v>1004</v>
      </c>
      <c r="T543" s="1" t="s">
        <v>1274</v>
      </c>
      <c r="V543" s="1" t="s">
        <v>1293</v>
      </c>
      <c r="W543" s="1" t="s">
        <v>1284</v>
      </c>
    </row>
    <row r="544" customFormat="false" ht="15" hidden="false" customHeight="true" outlineLevel="0" collapsed="false">
      <c r="A544" s="1" t="n">
        <v>0</v>
      </c>
      <c r="B544" s="1" t="s">
        <v>1132</v>
      </c>
      <c r="C544" s="1" t="n">
        <v>10200</v>
      </c>
      <c r="D544" s="1" t="n">
        <v>0</v>
      </c>
      <c r="E544" s="1" t="n">
        <v>10200</v>
      </c>
      <c r="F544" s="172" t="n">
        <v>0</v>
      </c>
      <c r="G544" s="1" t="s">
        <v>115</v>
      </c>
      <c r="H544" s="1" t="s">
        <v>146</v>
      </c>
      <c r="I544" s="1" t="n">
        <v>91982018463</v>
      </c>
      <c r="J544" s="1" t="s">
        <v>1248</v>
      </c>
      <c r="K544" s="1" t="s">
        <v>115</v>
      </c>
      <c r="L544" s="1" t="s">
        <v>146</v>
      </c>
      <c r="M544" s="1" t="n">
        <v>91982018463</v>
      </c>
      <c r="N544" s="1" t="n">
        <v>0</v>
      </c>
      <c r="O544" s="1" t="n">
        <v>850</v>
      </c>
      <c r="P544" s="1" t="s">
        <v>1286</v>
      </c>
      <c r="Q544" s="1" t="s">
        <v>100</v>
      </c>
      <c r="S544" s="1" t="s">
        <v>1004</v>
      </c>
      <c r="T544" s="1" t="s">
        <v>1274</v>
      </c>
      <c r="V544" s="1" t="s">
        <v>1293</v>
      </c>
      <c r="W544" s="1" t="s">
        <v>1284</v>
      </c>
    </row>
    <row r="545" customFormat="false" ht="15" hidden="false" customHeight="true" outlineLevel="0" collapsed="false">
      <c r="A545" s="1" t="n">
        <v>0</v>
      </c>
      <c r="B545" s="1" t="s">
        <v>1132</v>
      </c>
      <c r="C545" s="1" t="n">
        <v>6566.04</v>
      </c>
      <c r="D545" s="1" t="n">
        <v>0</v>
      </c>
      <c r="E545" s="1" t="n">
        <v>6566.04</v>
      </c>
      <c r="F545" s="172" t="n">
        <v>0</v>
      </c>
      <c r="G545" s="1" t="s">
        <v>110</v>
      </c>
      <c r="H545" s="1" t="s">
        <v>146</v>
      </c>
      <c r="I545" s="1" t="n">
        <v>9199937313</v>
      </c>
      <c r="J545" s="1" t="s">
        <v>1248</v>
      </c>
      <c r="K545" s="1" t="s">
        <v>110</v>
      </c>
      <c r="L545" s="1" t="s">
        <v>146</v>
      </c>
      <c r="M545" s="1" t="n">
        <v>9199937313</v>
      </c>
      <c r="N545" s="1" t="n">
        <v>0</v>
      </c>
      <c r="O545" s="1" t="n">
        <v>547.17</v>
      </c>
      <c r="P545" s="1" t="s">
        <v>1286</v>
      </c>
      <c r="Q545" s="1" t="s">
        <v>184</v>
      </c>
      <c r="S545" s="1" t="s">
        <v>1278</v>
      </c>
      <c r="T545" s="1" t="s">
        <v>1274</v>
      </c>
      <c r="V545" s="1" t="s">
        <v>1293</v>
      </c>
      <c r="W545" s="1" t="s">
        <v>1284</v>
      </c>
    </row>
    <row r="546" customFormat="false" ht="15" hidden="false" customHeight="true" outlineLevel="0" collapsed="false">
      <c r="A546" s="1" t="n">
        <v>0</v>
      </c>
      <c r="B546" s="1" t="s">
        <v>1132</v>
      </c>
      <c r="C546" s="1" t="n">
        <v>10875</v>
      </c>
      <c r="D546" s="1" t="n">
        <v>0</v>
      </c>
      <c r="E546" s="1" t="n">
        <v>10875</v>
      </c>
      <c r="F546" s="172" t="n">
        <v>0</v>
      </c>
      <c r="G546" s="1" t="s">
        <v>102</v>
      </c>
      <c r="H546" s="1" t="s">
        <v>139</v>
      </c>
      <c r="I546" s="1" t="n">
        <v>4899181526</v>
      </c>
      <c r="J546" s="1" t="s">
        <v>1248</v>
      </c>
      <c r="K546" s="1" t="s">
        <v>102</v>
      </c>
      <c r="L546" s="1" t="s">
        <v>139</v>
      </c>
      <c r="M546" s="1" t="n">
        <v>4899181526</v>
      </c>
      <c r="N546" s="1" t="n">
        <v>0</v>
      </c>
      <c r="O546" s="1" t="n">
        <v>906.25</v>
      </c>
      <c r="P546" s="1" t="s">
        <v>1286</v>
      </c>
      <c r="Q546" s="1" t="s">
        <v>108</v>
      </c>
      <c r="S546" s="1" t="s">
        <v>1278</v>
      </c>
      <c r="T546" s="1" t="s">
        <v>1279</v>
      </c>
      <c r="V546" s="1" t="s">
        <v>1293</v>
      </c>
      <c r="W546" s="1" t="s">
        <v>1284</v>
      </c>
    </row>
    <row r="547" customFormat="false" ht="15" hidden="false" customHeight="true" outlineLevel="0" collapsed="false">
      <c r="A547" s="1" t="n">
        <v>0</v>
      </c>
      <c r="B547" s="1" t="s">
        <v>1132</v>
      </c>
      <c r="C547" s="1" t="n">
        <v>6566.04</v>
      </c>
      <c r="D547" s="1" t="n">
        <v>0</v>
      </c>
      <c r="E547" s="1" t="n">
        <v>6566.04</v>
      </c>
      <c r="F547" s="172" t="n">
        <v>0</v>
      </c>
      <c r="G547" s="1" t="s">
        <v>110</v>
      </c>
      <c r="H547" s="1" t="s">
        <v>119</v>
      </c>
      <c r="I547" s="1" t="n">
        <v>19991984564</v>
      </c>
      <c r="J547" s="1" t="s">
        <v>1248</v>
      </c>
      <c r="K547" s="1" t="s">
        <v>110</v>
      </c>
      <c r="L547" s="1" t="s">
        <v>119</v>
      </c>
      <c r="M547" s="1" t="n">
        <v>19991984564</v>
      </c>
      <c r="N547" s="1" t="n">
        <v>0</v>
      </c>
      <c r="O547" s="1" t="n">
        <v>547.17</v>
      </c>
      <c r="P547" s="1" t="s">
        <v>1286</v>
      </c>
      <c r="Q547" s="1" t="s">
        <v>100</v>
      </c>
      <c r="S547" s="1" t="s">
        <v>1004</v>
      </c>
      <c r="T547" s="1" t="s">
        <v>1274</v>
      </c>
      <c r="V547" s="1" t="s">
        <v>1293</v>
      </c>
      <c r="W547" s="1" t="s">
        <v>1284</v>
      </c>
    </row>
    <row r="548" customFormat="false" ht="15" hidden="false" customHeight="true" outlineLevel="0" collapsed="false">
      <c r="A548" s="1" t="n">
        <v>0</v>
      </c>
      <c r="B548" s="1" t="s">
        <v>1132</v>
      </c>
      <c r="C548" s="1" t="n">
        <v>6566.04</v>
      </c>
      <c r="D548" s="1" t="n">
        <v>0</v>
      </c>
      <c r="E548" s="1" t="n">
        <v>6566.04</v>
      </c>
      <c r="F548" s="172" t="n">
        <v>0</v>
      </c>
      <c r="G548" s="1" t="s">
        <v>110</v>
      </c>
      <c r="H548" s="1" t="s">
        <v>119</v>
      </c>
      <c r="I548" s="1" t="n">
        <v>11994431674</v>
      </c>
      <c r="J548" s="1" t="s">
        <v>1248</v>
      </c>
      <c r="K548" s="1" t="s">
        <v>110</v>
      </c>
      <c r="L548" s="1" t="s">
        <v>119</v>
      </c>
      <c r="M548" s="1" t="n">
        <v>11994431674</v>
      </c>
      <c r="N548" s="1" t="n">
        <v>0</v>
      </c>
      <c r="O548" s="1" t="n">
        <v>547.17</v>
      </c>
      <c r="P548" s="1" t="s">
        <v>1286</v>
      </c>
      <c r="Q548" s="1" t="s">
        <v>100</v>
      </c>
      <c r="S548" s="1" t="s">
        <v>1004</v>
      </c>
      <c r="T548" s="1" t="s">
        <v>1274</v>
      </c>
      <c r="V548" s="1" t="s">
        <v>1293</v>
      </c>
      <c r="W548" s="1" t="s">
        <v>1284</v>
      </c>
    </row>
    <row r="549" customFormat="false" ht="15" hidden="false" customHeight="true" outlineLevel="0" collapsed="false">
      <c r="A549" s="1" t="n">
        <v>0</v>
      </c>
      <c r="B549" s="1" t="s">
        <v>1132</v>
      </c>
      <c r="C549" s="1" t="n">
        <v>6566.04</v>
      </c>
      <c r="D549" s="1" t="n">
        <v>0</v>
      </c>
      <c r="E549" s="1" t="n">
        <v>6566.04</v>
      </c>
      <c r="F549" s="172" t="n">
        <v>0</v>
      </c>
      <c r="G549" s="1" t="s">
        <v>110</v>
      </c>
      <c r="H549" s="1" t="s">
        <v>119</v>
      </c>
      <c r="I549" s="1" t="n">
        <v>12992291837</v>
      </c>
      <c r="J549" s="1" t="s">
        <v>1248</v>
      </c>
      <c r="K549" s="1" t="s">
        <v>110</v>
      </c>
      <c r="L549" s="1" t="s">
        <v>119</v>
      </c>
      <c r="M549" s="1" t="n">
        <v>12992291837</v>
      </c>
      <c r="N549" s="1" t="n">
        <v>0</v>
      </c>
      <c r="O549" s="1" t="n">
        <v>547.17</v>
      </c>
      <c r="P549" s="1" t="s">
        <v>1286</v>
      </c>
      <c r="Q549" s="1" t="s">
        <v>100</v>
      </c>
      <c r="S549" s="1" t="s">
        <v>1004</v>
      </c>
      <c r="T549" s="1" t="s">
        <v>1274</v>
      </c>
      <c r="V549" s="1" t="s">
        <v>1293</v>
      </c>
      <c r="W549" s="1" t="s">
        <v>1284</v>
      </c>
    </row>
    <row r="550" customFormat="false" ht="15" hidden="false" customHeight="true" outlineLevel="0" collapsed="false">
      <c r="A550" s="1" t="n">
        <v>0</v>
      </c>
      <c r="B550" s="1" t="s">
        <v>1132</v>
      </c>
      <c r="C550" s="1" t="n">
        <v>6566.04</v>
      </c>
      <c r="D550" s="1" t="n">
        <v>0</v>
      </c>
      <c r="E550" s="1" t="n">
        <v>6566.04</v>
      </c>
      <c r="F550" s="172" t="n">
        <v>0</v>
      </c>
      <c r="G550" s="1" t="s">
        <v>110</v>
      </c>
      <c r="H550" s="1" t="s">
        <v>196</v>
      </c>
      <c r="I550" s="1" t="n">
        <v>51991322184</v>
      </c>
      <c r="J550" s="1" t="s">
        <v>1248</v>
      </c>
      <c r="K550" s="1" t="s">
        <v>110</v>
      </c>
      <c r="L550" s="1" t="s">
        <v>196</v>
      </c>
      <c r="M550" s="1" t="n">
        <v>51991322184</v>
      </c>
      <c r="N550" s="1" t="n">
        <v>0</v>
      </c>
      <c r="O550" s="1" t="n">
        <v>547.17</v>
      </c>
      <c r="P550" s="1" t="s">
        <v>1286</v>
      </c>
      <c r="Q550" s="1" t="s">
        <v>108</v>
      </c>
      <c r="S550" s="1" t="s">
        <v>1278</v>
      </c>
      <c r="T550" s="1" t="s">
        <v>1279</v>
      </c>
      <c r="V550" s="1" t="s">
        <v>1293</v>
      </c>
      <c r="W550" s="1" t="s">
        <v>1284</v>
      </c>
    </row>
    <row r="551" customFormat="false" ht="15" hidden="false" customHeight="true" outlineLevel="0" collapsed="false">
      <c r="A551" s="1" t="n">
        <v>0</v>
      </c>
      <c r="B551" s="1" t="s">
        <v>1132</v>
      </c>
      <c r="C551" s="1" t="n">
        <v>6566.04</v>
      </c>
      <c r="D551" s="1" t="n">
        <v>0</v>
      </c>
      <c r="E551" s="1" t="n">
        <v>6566.04</v>
      </c>
      <c r="F551" s="172" t="n">
        <v>0</v>
      </c>
      <c r="G551" s="1" t="s">
        <v>110</v>
      </c>
      <c r="H551" s="1" t="s">
        <v>196</v>
      </c>
      <c r="I551" s="1" t="n">
        <v>5198650320</v>
      </c>
      <c r="J551" s="1" t="s">
        <v>1248</v>
      </c>
      <c r="K551" s="1" t="s">
        <v>110</v>
      </c>
      <c r="L551" s="1" t="s">
        <v>196</v>
      </c>
      <c r="M551" s="1" t="n">
        <v>5198650320</v>
      </c>
      <c r="N551" s="1" t="n">
        <v>0</v>
      </c>
      <c r="O551" s="1" t="n">
        <v>547.17</v>
      </c>
      <c r="P551" s="1" t="s">
        <v>1286</v>
      </c>
      <c r="Q551" s="1" t="s">
        <v>184</v>
      </c>
      <c r="S551" s="1" t="s">
        <v>1278</v>
      </c>
      <c r="T551" s="1" t="s">
        <v>1274</v>
      </c>
      <c r="V551" s="1" t="s">
        <v>1293</v>
      </c>
      <c r="W551" s="1" t="s">
        <v>1284</v>
      </c>
    </row>
    <row r="552" customFormat="false" ht="15" hidden="false" customHeight="true" outlineLevel="0" collapsed="false">
      <c r="A552" s="1" t="n">
        <v>0</v>
      </c>
      <c r="B552" s="1" t="s">
        <v>1132</v>
      </c>
      <c r="C552" s="1" t="n">
        <v>6566.04</v>
      </c>
      <c r="D552" s="1" t="n">
        <v>0</v>
      </c>
      <c r="E552" s="1" t="n">
        <v>6566.04</v>
      </c>
      <c r="F552" s="172" t="n">
        <v>0</v>
      </c>
      <c r="G552" s="1" t="s">
        <v>110</v>
      </c>
      <c r="H552" s="1" t="s">
        <v>196</v>
      </c>
      <c r="I552" s="1" t="n">
        <v>51997348809</v>
      </c>
      <c r="J552" s="1" t="s">
        <v>1248</v>
      </c>
      <c r="K552" s="1" t="s">
        <v>110</v>
      </c>
      <c r="L552" s="1" t="s">
        <v>196</v>
      </c>
      <c r="M552" s="1" t="n">
        <v>51997348809</v>
      </c>
      <c r="N552" s="1" t="n">
        <v>0</v>
      </c>
      <c r="O552" s="1" t="n">
        <v>547.17</v>
      </c>
      <c r="P552" s="1" t="s">
        <v>1286</v>
      </c>
      <c r="Q552" s="1" t="s">
        <v>108</v>
      </c>
      <c r="S552" s="1" t="s">
        <v>1278</v>
      </c>
      <c r="T552" s="1" t="s">
        <v>1279</v>
      </c>
      <c r="V552" s="1" t="s">
        <v>1293</v>
      </c>
      <c r="W552" s="1" t="s">
        <v>1284</v>
      </c>
    </row>
    <row r="553" customFormat="false" ht="15" hidden="false" customHeight="true" outlineLevel="0" collapsed="false">
      <c r="A553" s="1" t="n">
        <v>0</v>
      </c>
      <c r="B553" s="1" t="s">
        <v>1132</v>
      </c>
      <c r="C553" s="1" t="n">
        <v>7200</v>
      </c>
      <c r="D553" s="1" t="n">
        <v>0</v>
      </c>
      <c r="E553" s="1" t="n">
        <v>7200</v>
      </c>
      <c r="F553" s="172" t="n">
        <v>0</v>
      </c>
      <c r="G553" s="1" t="s">
        <v>1183</v>
      </c>
      <c r="H553" s="1" t="s">
        <v>196</v>
      </c>
      <c r="I553" s="1" t="n">
        <v>5436986665</v>
      </c>
      <c r="J553" s="1" t="s">
        <v>1248</v>
      </c>
      <c r="K553" s="1" t="s">
        <v>1183</v>
      </c>
      <c r="L553" s="1" t="s">
        <v>196</v>
      </c>
      <c r="M553" s="1" t="n">
        <v>5436986665</v>
      </c>
      <c r="N553" s="1" t="n">
        <v>0</v>
      </c>
      <c r="O553" s="1" t="n">
        <v>600</v>
      </c>
      <c r="P553" s="1" t="s">
        <v>1277</v>
      </c>
      <c r="Q553" s="1" t="s">
        <v>108</v>
      </c>
      <c r="S553" s="1" t="s">
        <v>1278</v>
      </c>
      <c r="T553" s="1" t="s">
        <v>1279</v>
      </c>
      <c r="V553" s="1" t="s">
        <v>1293</v>
      </c>
      <c r="W553" s="1" t="s">
        <v>1284</v>
      </c>
    </row>
    <row r="554" customFormat="false" ht="15" hidden="false" customHeight="true" outlineLevel="0" collapsed="false">
      <c r="A554" s="1" t="n">
        <v>0</v>
      </c>
      <c r="B554" s="1" t="s">
        <v>1132</v>
      </c>
      <c r="C554" s="1" t="n">
        <v>8833.33</v>
      </c>
      <c r="D554" s="1" t="n">
        <v>0</v>
      </c>
      <c r="E554" s="1" t="n">
        <v>8833.33</v>
      </c>
      <c r="F554" s="172" t="n">
        <v>0</v>
      </c>
      <c r="G554" s="1" t="s">
        <v>1289</v>
      </c>
      <c r="H554" s="1" t="s">
        <v>196</v>
      </c>
      <c r="I554" s="1" t="n">
        <v>5181315857</v>
      </c>
      <c r="J554" s="1" t="s">
        <v>1248</v>
      </c>
      <c r="K554" s="1" t="s">
        <v>128</v>
      </c>
      <c r="L554" s="1" t="s">
        <v>196</v>
      </c>
      <c r="M554" s="1" t="n">
        <v>5181315857</v>
      </c>
      <c r="N554" s="1" t="n">
        <v>0</v>
      </c>
      <c r="O554" s="1" t="n">
        <v>736.11</v>
      </c>
      <c r="P554" s="1" t="s">
        <v>1286</v>
      </c>
      <c r="Q554" s="1" t="s">
        <v>184</v>
      </c>
      <c r="S554" s="1" t="s">
        <v>1278</v>
      </c>
      <c r="T554" s="1" t="s">
        <v>1274</v>
      </c>
      <c r="V554" s="1" t="s">
        <v>1293</v>
      </c>
      <c r="W554" s="1" t="s">
        <v>1284</v>
      </c>
    </row>
    <row r="555" customFormat="false" ht="15" hidden="false" customHeight="true" outlineLevel="0" collapsed="false">
      <c r="A555" s="1" t="n">
        <v>0</v>
      </c>
      <c r="B555" s="1" t="s">
        <v>1132</v>
      </c>
      <c r="C555" s="1" t="n">
        <v>8833.33</v>
      </c>
      <c r="D555" s="1" t="n">
        <v>0</v>
      </c>
      <c r="E555" s="1" t="n">
        <v>8833.33</v>
      </c>
      <c r="F555" s="172" t="n">
        <v>0</v>
      </c>
      <c r="G555" s="1" t="s">
        <v>1289</v>
      </c>
      <c r="H555" s="1" t="s">
        <v>196</v>
      </c>
      <c r="I555" s="1" t="n">
        <v>5399432620</v>
      </c>
      <c r="J555" s="1" t="s">
        <v>1248</v>
      </c>
      <c r="K555" s="1" t="s">
        <v>128</v>
      </c>
      <c r="L555" s="1" t="s">
        <v>196</v>
      </c>
      <c r="M555" s="1" t="n">
        <v>5399432620</v>
      </c>
      <c r="N555" s="1" t="n">
        <v>0</v>
      </c>
      <c r="O555" s="1" t="n">
        <v>736.11</v>
      </c>
      <c r="P555" s="1" t="s">
        <v>1286</v>
      </c>
      <c r="Q555" s="1" t="s">
        <v>184</v>
      </c>
      <c r="S555" s="1" t="s">
        <v>1278</v>
      </c>
      <c r="T555" s="1" t="s">
        <v>1274</v>
      </c>
      <c r="V555" s="1" t="s">
        <v>1293</v>
      </c>
      <c r="W555" s="1" t="s">
        <v>1284</v>
      </c>
    </row>
    <row r="556" customFormat="false" ht="15" hidden="false" customHeight="true" outlineLevel="0" collapsed="false">
      <c r="A556" s="1" t="n">
        <v>0</v>
      </c>
      <c r="B556" s="1" t="s">
        <v>1132</v>
      </c>
      <c r="C556" s="1" t="n">
        <v>6566.04</v>
      </c>
      <c r="D556" s="1" t="n">
        <v>0</v>
      </c>
      <c r="E556" s="1" t="n">
        <v>6566.04</v>
      </c>
      <c r="F556" s="172" t="n">
        <v>0</v>
      </c>
      <c r="G556" s="1" t="s">
        <v>110</v>
      </c>
      <c r="H556" s="1" t="s">
        <v>196</v>
      </c>
      <c r="I556" s="1" t="n">
        <v>5182698275</v>
      </c>
      <c r="J556" s="1" t="s">
        <v>1248</v>
      </c>
      <c r="K556" s="1" t="s">
        <v>110</v>
      </c>
      <c r="L556" s="1" t="s">
        <v>196</v>
      </c>
      <c r="M556" s="1" t="n">
        <v>5182698275</v>
      </c>
      <c r="N556" s="1" t="n">
        <v>0</v>
      </c>
      <c r="O556" s="1" t="n">
        <v>547.17</v>
      </c>
      <c r="P556" s="1" t="s">
        <v>1286</v>
      </c>
      <c r="Q556" s="1" t="s">
        <v>108</v>
      </c>
      <c r="S556" s="1" t="s">
        <v>1278</v>
      </c>
      <c r="T556" s="1" t="s">
        <v>1279</v>
      </c>
      <c r="V556" s="1" t="s">
        <v>1293</v>
      </c>
      <c r="W556" s="1" t="s">
        <v>1284</v>
      </c>
    </row>
    <row r="557" customFormat="false" ht="15" hidden="false" customHeight="true" outlineLevel="0" collapsed="false">
      <c r="A557" s="1" t="n">
        <v>0</v>
      </c>
      <c r="B557" s="1" t="s">
        <v>1132</v>
      </c>
      <c r="C557" s="1" t="n">
        <v>6566.04</v>
      </c>
      <c r="D557" s="1" t="n">
        <v>0</v>
      </c>
      <c r="E557" s="1" t="n">
        <v>6566.04</v>
      </c>
      <c r="F557" s="172" t="n">
        <v>0</v>
      </c>
      <c r="G557" s="1" t="s">
        <v>110</v>
      </c>
      <c r="H557" s="1" t="s">
        <v>196</v>
      </c>
      <c r="I557" s="1" t="n">
        <v>5198650320</v>
      </c>
      <c r="J557" s="1" t="s">
        <v>1248</v>
      </c>
      <c r="K557" s="1" t="s">
        <v>110</v>
      </c>
      <c r="L557" s="1" t="s">
        <v>196</v>
      </c>
      <c r="M557" s="1" t="n">
        <v>5198650320</v>
      </c>
      <c r="N557" s="1" t="n">
        <v>0</v>
      </c>
      <c r="O557" s="1" t="n">
        <v>547.17</v>
      </c>
      <c r="P557" s="1" t="s">
        <v>1286</v>
      </c>
      <c r="Q557" s="1" t="s">
        <v>108</v>
      </c>
      <c r="S557" s="1" t="s">
        <v>1278</v>
      </c>
      <c r="T557" s="1" t="s">
        <v>1279</v>
      </c>
      <c r="V557" s="1" t="s">
        <v>1293</v>
      </c>
      <c r="W557" s="1" t="s">
        <v>1284</v>
      </c>
    </row>
    <row r="558" customFormat="false" ht="15" hidden="false" customHeight="true" outlineLevel="0" collapsed="false">
      <c r="A558" s="1" t="n">
        <v>0</v>
      </c>
      <c r="B558" s="1" t="s">
        <v>1132</v>
      </c>
      <c r="C558" s="1" t="n">
        <v>6566.04</v>
      </c>
      <c r="D558" s="1" t="n">
        <v>0</v>
      </c>
      <c r="E558" s="1" t="n">
        <v>6566.04</v>
      </c>
      <c r="F558" s="172" t="n">
        <v>0</v>
      </c>
      <c r="G558" s="1" t="s">
        <v>110</v>
      </c>
      <c r="H558" s="1" t="s">
        <v>196</v>
      </c>
      <c r="I558" s="1" t="n">
        <v>51981162558</v>
      </c>
      <c r="J558" s="1" t="s">
        <v>1248</v>
      </c>
      <c r="K558" s="1" t="s">
        <v>110</v>
      </c>
      <c r="L558" s="1" t="s">
        <v>196</v>
      </c>
      <c r="M558" s="1" t="n">
        <v>51981162558</v>
      </c>
      <c r="N558" s="1" t="n">
        <v>0</v>
      </c>
      <c r="O558" s="1" t="n">
        <v>547.17</v>
      </c>
      <c r="P558" s="1" t="s">
        <v>1286</v>
      </c>
      <c r="Q558" s="1" t="s">
        <v>108</v>
      </c>
      <c r="S558" s="1" t="s">
        <v>1278</v>
      </c>
      <c r="T558" s="1" t="s">
        <v>1279</v>
      </c>
      <c r="V558" s="1" t="s">
        <v>1293</v>
      </c>
      <c r="W558" s="1" t="s">
        <v>1284</v>
      </c>
    </row>
    <row r="559" customFormat="false" ht="15" hidden="false" customHeight="true" outlineLevel="0" collapsed="false">
      <c r="A559" s="1" t="n">
        <v>0</v>
      </c>
      <c r="B559" s="1" t="s">
        <v>1132</v>
      </c>
      <c r="C559" s="1" t="n">
        <v>6566.04</v>
      </c>
      <c r="D559" s="1" t="n">
        <v>0</v>
      </c>
      <c r="E559" s="1" t="n">
        <v>6566.04</v>
      </c>
      <c r="F559" s="172" t="n">
        <v>0</v>
      </c>
      <c r="G559" s="1" t="s">
        <v>110</v>
      </c>
      <c r="H559" s="1" t="s">
        <v>196</v>
      </c>
      <c r="I559" s="1" t="n">
        <v>5499389135</v>
      </c>
      <c r="J559" s="1" t="s">
        <v>1248</v>
      </c>
      <c r="K559" s="1" t="s">
        <v>110</v>
      </c>
      <c r="L559" s="1" t="s">
        <v>196</v>
      </c>
      <c r="M559" s="1" t="n">
        <v>5499389135</v>
      </c>
      <c r="N559" s="1" t="n">
        <v>0</v>
      </c>
      <c r="O559" s="1" t="n">
        <v>547.17</v>
      </c>
      <c r="P559" s="1" t="s">
        <v>1286</v>
      </c>
      <c r="Q559" s="1" t="s">
        <v>184</v>
      </c>
      <c r="S559" s="1" t="s">
        <v>1278</v>
      </c>
      <c r="T559" s="1" t="s">
        <v>1274</v>
      </c>
      <c r="V559" s="1" t="s">
        <v>1293</v>
      </c>
      <c r="W559" s="1" t="s">
        <v>1284</v>
      </c>
    </row>
    <row r="560" customFormat="false" ht="15" hidden="false" customHeight="true" outlineLevel="0" collapsed="false">
      <c r="A560" s="1" t="n">
        <v>0</v>
      </c>
      <c r="B560" s="1" t="s">
        <v>1132</v>
      </c>
      <c r="C560" s="1" t="n">
        <v>10200</v>
      </c>
      <c r="D560" s="1" t="n">
        <v>0</v>
      </c>
      <c r="E560" s="1" t="n">
        <v>10200</v>
      </c>
      <c r="F560" s="172" t="n">
        <v>0</v>
      </c>
      <c r="G560" s="1" t="s">
        <v>115</v>
      </c>
      <c r="H560" s="1" t="s">
        <v>196</v>
      </c>
      <c r="I560" s="1" t="n">
        <v>51978432995</v>
      </c>
      <c r="J560" s="1" t="s">
        <v>1248</v>
      </c>
      <c r="K560" s="1" t="s">
        <v>115</v>
      </c>
      <c r="L560" s="1" t="s">
        <v>196</v>
      </c>
      <c r="M560" s="1" t="n">
        <v>51978432995</v>
      </c>
      <c r="N560" s="1" t="n">
        <v>0</v>
      </c>
      <c r="O560" s="1" t="n">
        <v>850</v>
      </c>
      <c r="P560" s="1" t="s">
        <v>1286</v>
      </c>
      <c r="Q560" s="1" t="s">
        <v>108</v>
      </c>
      <c r="S560" s="1" t="s">
        <v>1278</v>
      </c>
      <c r="T560" s="1" t="s">
        <v>1279</v>
      </c>
      <c r="V560" s="1" t="s">
        <v>1293</v>
      </c>
      <c r="W560" s="1" t="s">
        <v>1284</v>
      </c>
    </row>
    <row r="561" customFormat="false" ht="15" hidden="false" customHeight="true" outlineLevel="0" collapsed="false">
      <c r="A561" s="1" t="n">
        <v>0</v>
      </c>
      <c r="B561" s="1" t="s">
        <v>1132</v>
      </c>
      <c r="C561" s="1" t="n">
        <v>6566.04</v>
      </c>
      <c r="D561" s="1" t="n">
        <v>0</v>
      </c>
      <c r="E561" s="1" t="n">
        <v>6566.04</v>
      </c>
      <c r="F561" s="172" t="n">
        <v>0</v>
      </c>
      <c r="G561" s="1" t="s">
        <v>110</v>
      </c>
      <c r="H561" s="1" t="s">
        <v>196</v>
      </c>
      <c r="I561" s="1" t="n">
        <v>5130881170</v>
      </c>
      <c r="J561" s="1" t="s">
        <v>1248</v>
      </c>
      <c r="K561" s="1" t="s">
        <v>110</v>
      </c>
      <c r="L561" s="1" t="s">
        <v>196</v>
      </c>
      <c r="M561" s="1" t="n">
        <v>5130881170</v>
      </c>
      <c r="N561" s="1" t="n">
        <v>0</v>
      </c>
      <c r="O561" s="1" t="n">
        <v>547.17</v>
      </c>
      <c r="P561" s="1" t="s">
        <v>1286</v>
      </c>
      <c r="Q561" s="1" t="s">
        <v>108</v>
      </c>
      <c r="S561" s="1" t="s">
        <v>1278</v>
      </c>
      <c r="T561" s="1" t="s">
        <v>1279</v>
      </c>
      <c r="V561" s="1" t="s">
        <v>1293</v>
      </c>
      <c r="W561" s="1" t="s">
        <v>1284</v>
      </c>
    </row>
    <row r="562" customFormat="false" ht="15" hidden="false" customHeight="true" outlineLevel="0" collapsed="false">
      <c r="A562" s="1" t="n">
        <v>0</v>
      </c>
      <c r="B562" s="1" t="s">
        <v>1132</v>
      </c>
      <c r="C562" s="1" t="n">
        <v>10875</v>
      </c>
      <c r="D562" s="1" t="n">
        <v>0</v>
      </c>
      <c r="E562" s="1" t="n">
        <v>10875</v>
      </c>
      <c r="F562" s="172" t="n">
        <v>0</v>
      </c>
      <c r="G562" s="1" t="s">
        <v>102</v>
      </c>
      <c r="H562" s="1" t="s">
        <v>196</v>
      </c>
      <c r="I562" s="1" t="n">
        <v>5198326810</v>
      </c>
      <c r="J562" s="1" t="s">
        <v>1248</v>
      </c>
      <c r="K562" s="1" t="s">
        <v>102</v>
      </c>
      <c r="L562" s="1" t="s">
        <v>196</v>
      </c>
      <c r="M562" s="1" t="n">
        <v>5198326810</v>
      </c>
      <c r="N562" s="1" t="n">
        <v>0</v>
      </c>
      <c r="O562" s="1" t="n">
        <v>906.25</v>
      </c>
      <c r="P562" s="1" t="s">
        <v>1286</v>
      </c>
      <c r="Q562" s="1" t="s">
        <v>108</v>
      </c>
      <c r="S562" s="1" t="s">
        <v>1278</v>
      </c>
      <c r="T562" s="1" t="s">
        <v>1279</v>
      </c>
      <c r="V562" s="1" t="s">
        <v>1293</v>
      </c>
      <c r="W562" s="1" t="s">
        <v>1284</v>
      </c>
    </row>
    <row r="563" customFormat="false" ht="15" hidden="false" customHeight="true" outlineLevel="0" collapsed="false">
      <c r="A563" s="1" t="n">
        <v>0</v>
      </c>
      <c r="B563" s="1" t="s">
        <v>1132</v>
      </c>
      <c r="C563" s="1" t="n">
        <v>6566.04</v>
      </c>
      <c r="D563" s="1" t="n">
        <v>0</v>
      </c>
      <c r="E563" s="1" t="n">
        <v>6566.04</v>
      </c>
      <c r="F563" s="172" t="n">
        <v>0</v>
      </c>
      <c r="G563" s="1" t="s">
        <v>110</v>
      </c>
      <c r="H563" s="1" t="s">
        <v>196</v>
      </c>
      <c r="I563" s="1" t="n">
        <v>5198059537</v>
      </c>
      <c r="J563" s="1" t="s">
        <v>1248</v>
      </c>
      <c r="K563" s="1" t="s">
        <v>110</v>
      </c>
      <c r="L563" s="1" t="s">
        <v>196</v>
      </c>
      <c r="M563" s="1" t="n">
        <v>5198059537</v>
      </c>
      <c r="N563" s="1" t="n">
        <v>0</v>
      </c>
      <c r="O563" s="1" t="n">
        <v>547.17</v>
      </c>
      <c r="P563" s="1" t="s">
        <v>1286</v>
      </c>
      <c r="Q563" s="1" t="s">
        <v>108</v>
      </c>
      <c r="S563" s="1" t="s">
        <v>1278</v>
      </c>
      <c r="T563" s="1" t="s">
        <v>1279</v>
      </c>
      <c r="V563" s="1" t="s">
        <v>1293</v>
      </c>
      <c r="W563" s="1" t="s">
        <v>1284</v>
      </c>
    </row>
    <row r="564" customFormat="false" ht="15" hidden="false" customHeight="true" outlineLevel="0" collapsed="false">
      <c r="A564" s="1" t="n">
        <v>0</v>
      </c>
      <c r="B564" s="1" t="s">
        <v>1132</v>
      </c>
      <c r="C564" s="1" t="n">
        <v>6566.04</v>
      </c>
      <c r="D564" s="1" t="n">
        <v>0</v>
      </c>
      <c r="E564" s="1" t="n">
        <v>6566.04</v>
      </c>
      <c r="F564" s="172" t="n">
        <v>0</v>
      </c>
      <c r="G564" s="1" t="s">
        <v>110</v>
      </c>
      <c r="H564" s="1" t="s">
        <v>196</v>
      </c>
      <c r="I564" s="1" t="n">
        <v>5121605809</v>
      </c>
      <c r="J564" s="1" t="s">
        <v>1248</v>
      </c>
      <c r="K564" s="1" t="s">
        <v>110</v>
      </c>
      <c r="L564" s="1" t="s">
        <v>196</v>
      </c>
      <c r="M564" s="1" t="n">
        <v>5121605809</v>
      </c>
      <c r="N564" s="1" t="n">
        <v>0</v>
      </c>
      <c r="O564" s="1" t="n">
        <v>547.17</v>
      </c>
      <c r="P564" s="1" t="s">
        <v>1286</v>
      </c>
      <c r="Q564" s="1" t="s">
        <v>108</v>
      </c>
      <c r="S564" s="1" t="s">
        <v>1278</v>
      </c>
      <c r="T564" s="1" t="s">
        <v>1279</v>
      </c>
      <c r="V564" s="1" t="s">
        <v>1293</v>
      </c>
      <c r="W564" s="1" t="s">
        <v>1284</v>
      </c>
    </row>
    <row r="565" customFormat="false" ht="15" hidden="false" customHeight="true" outlineLevel="0" collapsed="false">
      <c r="A565" s="1" t="n">
        <v>0</v>
      </c>
      <c r="B565" s="1" t="s">
        <v>1132</v>
      </c>
      <c r="C565" s="1" t="n">
        <v>6566.04</v>
      </c>
      <c r="D565" s="1" t="n">
        <v>0</v>
      </c>
      <c r="E565" s="1" t="n">
        <v>6566.04</v>
      </c>
      <c r="F565" s="172" t="n">
        <v>0</v>
      </c>
      <c r="G565" s="1" t="s">
        <v>110</v>
      </c>
      <c r="H565" s="1" t="s">
        <v>196</v>
      </c>
      <c r="I565" s="1" t="n">
        <v>54911206035</v>
      </c>
      <c r="J565" s="1" t="s">
        <v>1248</v>
      </c>
      <c r="K565" s="1" t="s">
        <v>110</v>
      </c>
      <c r="L565" s="1" t="s">
        <v>196</v>
      </c>
      <c r="M565" s="1" t="n">
        <v>54911206035</v>
      </c>
      <c r="N565" s="1" t="n">
        <v>0</v>
      </c>
      <c r="O565" s="1" t="n">
        <v>547.17</v>
      </c>
      <c r="P565" s="1" t="s">
        <v>1286</v>
      </c>
      <c r="Q565" s="1" t="s">
        <v>108</v>
      </c>
      <c r="S565" s="1" t="s">
        <v>1278</v>
      </c>
      <c r="T565" s="1" t="s">
        <v>1279</v>
      </c>
      <c r="V565" s="1" t="s">
        <v>1293</v>
      </c>
      <c r="W565" s="1" t="s">
        <v>1284</v>
      </c>
    </row>
    <row r="566" customFormat="false" ht="15" hidden="false" customHeight="true" outlineLevel="0" collapsed="false">
      <c r="A566" s="1" t="n">
        <v>0</v>
      </c>
      <c r="B566" s="1" t="s">
        <v>1132</v>
      </c>
      <c r="C566" s="1" t="n">
        <v>6566.04</v>
      </c>
      <c r="D566" s="1" t="n">
        <v>0</v>
      </c>
      <c r="E566" s="1" t="n">
        <v>6566.04</v>
      </c>
      <c r="F566" s="172" t="n">
        <v>0</v>
      </c>
      <c r="G566" s="1" t="s">
        <v>110</v>
      </c>
      <c r="H566" s="1" t="s">
        <v>196</v>
      </c>
      <c r="I566" s="1" t="n">
        <v>51999060096</v>
      </c>
      <c r="J566" s="1" t="s">
        <v>1248</v>
      </c>
      <c r="K566" s="1" t="s">
        <v>110</v>
      </c>
      <c r="L566" s="1" t="s">
        <v>196</v>
      </c>
      <c r="M566" s="1" t="n">
        <v>51999060096</v>
      </c>
      <c r="N566" s="1" t="n">
        <v>0</v>
      </c>
      <c r="O566" s="1" t="n">
        <v>547.17</v>
      </c>
      <c r="P566" s="1" t="s">
        <v>1286</v>
      </c>
      <c r="Q566" s="1" t="s">
        <v>184</v>
      </c>
      <c r="S566" s="1" t="s">
        <v>1278</v>
      </c>
      <c r="T566" s="1" t="s">
        <v>1274</v>
      </c>
      <c r="V566" s="1" t="s">
        <v>1293</v>
      </c>
      <c r="W566" s="1" t="s">
        <v>1284</v>
      </c>
    </row>
    <row r="567" customFormat="false" ht="15" hidden="false" customHeight="true" outlineLevel="0" collapsed="false">
      <c r="A567" s="1" t="n">
        <v>0</v>
      </c>
      <c r="B567" s="1" t="s">
        <v>1132</v>
      </c>
      <c r="C567" s="1" t="n">
        <v>6566.04</v>
      </c>
      <c r="D567" s="1" t="n">
        <v>0</v>
      </c>
      <c r="E567" s="1" t="n">
        <v>6566.04</v>
      </c>
      <c r="F567" s="172" t="n">
        <v>0</v>
      </c>
      <c r="G567" s="1" t="s">
        <v>110</v>
      </c>
      <c r="H567" s="1" t="s">
        <v>196</v>
      </c>
      <c r="I567" s="1" t="n">
        <v>51999868288</v>
      </c>
      <c r="J567" s="1" t="s">
        <v>1248</v>
      </c>
      <c r="K567" s="1" t="s">
        <v>110</v>
      </c>
      <c r="L567" s="1" t="s">
        <v>196</v>
      </c>
      <c r="M567" s="1" t="n">
        <v>51999868288</v>
      </c>
      <c r="N567" s="1" t="n">
        <v>0</v>
      </c>
      <c r="O567" s="1" t="n">
        <v>547.17</v>
      </c>
      <c r="P567" s="1" t="s">
        <v>1286</v>
      </c>
      <c r="Q567" s="1" t="s">
        <v>184</v>
      </c>
      <c r="S567" s="1" t="s">
        <v>1278</v>
      </c>
      <c r="T567" s="1" t="s">
        <v>1274</v>
      </c>
      <c r="V567" s="1" t="s">
        <v>1293</v>
      </c>
      <c r="W567" s="1" t="s">
        <v>1284</v>
      </c>
    </row>
    <row r="568" customFormat="false" ht="15" hidden="false" customHeight="true" outlineLevel="0" collapsed="false">
      <c r="A568" s="1" t="n">
        <v>0</v>
      </c>
      <c r="B568" s="1" t="s">
        <v>1132</v>
      </c>
      <c r="C568" s="1" t="n">
        <v>6566.04</v>
      </c>
      <c r="D568" s="1" t="n">
        <v>0</v>
      </c>
      <c r="E568" s="1" t="n">
        <v>6566.04</v>
      </c>
      <c r="F568" s="172" t="n">
        <v>0</v>
      </c>
      <c r="G568" s="1" t="s">
        <v>110</v>
      </c>
      <c r="H568" s="1" t="s">
        <v>196</v>
      </c>
      <c r="I568" s="1" t="n">
        <v>54341205505</v>
      </c>
      <c r="J568" s="1" t="s">
        <v>1248</v>
      </c>
      <c r="K568" s="1" t="s">
        <v>110</v>
      </c>
      <c r="L568" s="1" t="s">
        <v>196</v>
      </c>
      <c r="M568" s="1" t="n">
        <v>54341205505</v>
      </c>
      <c r="N568" s="1" t="n">
        <v>0</v>
      </c>
      <c r="O568" s="1" t="n">
        <v>547.17</v>
      </c>
      <c r="P568" s="1" t="s">
        <v>1286</v>
      </c>
      <c r="Q568" s="1" t="s">
        <v>184</v>
      </c>
      <c r="S568" s="1" t="s">
        <v>1278</v>
      </c>
      <c r="T568" s="1" t="s">
        <v>1274</v>
      </c>
      <c r="V568" s="1" t="s">
        <v>1293</v>
      </c>
      <c r="W568" s="1" t="s">
        <v>1284</v>
      </c>
    </row>
    <row r="569" customFormat="false" ht="15" hidden="false" customHeight="true" outlineLevel="0" collapsed="false">
      <c r="A569" s="1" t="n">
        <v>0</v>
      </c>
      <c r="B569" s="1" t="s">
        <v>1132</v>
      </c>
      <c r="C569" s="1" t="n">
        <v>6566.04</v>
      </c>
      <c r="D569" s="1" t="n">
        <v>0</v>
      </c>
      <c r="E569" s="1" t="n">
        <v>6566.04</v>
      </c>
      <c r="F569" s="172" t="n">
        <v>0</v>
      </c>
      <c r="G569" s="1" t="s">
        <v>110</v>
      </c>
      <c r="H569" s="1" t="s">
        <v>196</v>
      </c>
      <c r="I569" s="1" t="n">
        <v>5481337313</v>
      </c>
      <c r="J569" s="1" t="s">
        <v>1248</v>
      </c>
      <c r="K569" s="1" t="s">
        <v>110</v>
      </c>
      <c r="L569" s="1" t="s">
        <v>196</v>
      </c>
      <c r="M569" s="1" t="n">
        <v>5481337313</v>
      </c>
      <c r="N569" s="1" t="n">
        <v>0</v>
      </c>
      <c r="O569" s="1" t="n">
        <v>547.17</v>
      </c>
      <c r="P569" s="1" t="s">
        <v>1286</v>
      </c>
      <c r="Q569" s="1" t="s">
        <v>108</v>
      </c>
      <c r="S569" s="1" t="s">
        <v>1278</v>
      </c>
      <c r="T569" s="1" t="s">
        <v>1279</v>
      </c>
      <c r="V569" s="1" t="s">
        <v>1293</v>
      </c>
      <c r="W569" s="1" t="s">
        <v>1284</v>
      </c>
    </row>
    <row r="570" customFormat="false" ht="15" hidden="false" customHeight="true" outlineLevel="0" collapsed="false">
      <c r="A570" s="1" t="n">
        <v>0</v>
      </c>
      <c r="B570" s="1" t="s">
        <v>1132</v>
      </c>
      <c r="C570" s="1" t="n">
        <v>6566.04</v>
      </c>
      <c r="D570" s="1" t="n">
        <v>0</v>
      </c>
      <c r="E570" s="1" t="n">
        <v>6566.04</v>
      </c>
      <c r="F570" s="172" t="n">
        <v>0</v>
      </c>
      <c r="G570" s="1" t="s">
        <v>110</v>
      </c>
      <c r="H570" s="1" t="s">
        <v>196</v>
      </c>
      <c r="I570" s="1" t="n">
        <v>4791983912</v>
      </c>
      <c r="J570" s="1" t="s">
        <v>1248</v>
      </c>
      <c r="K570" s="1" t="s">
        <v>110</v>
      </c>
      <c r="L570" s="1" t="s">
        <v>196</v>
      </c>
      <c r="M570" s="1" t="n">
        <v>4791983912</v>
      </c>
      <c r="N570" s="1" t="n">
        <v>0</v>
      </c>
      <c r="O570" s="1" t="n">
        <v>547.17</v>
      </c>
      <c r="P570" s="1" t="s">
        <v>1286</v>
      </c>
      <c r="Q570" s="1" t="s">
        <v>184</v>
      </c>
      <c r="S570" s="1" t="s">
        <v>1278</v>
      </c>
      <c r="T570" s="1" t="s">
        <v>1274</v>
      </c>
      <c r="V570" s="1" t="s">
        <v>1293</v>
      </c>
      <c r="W570" s="1" t="s">
        <v>1284</v>
      </c>
    </row>
    <row r="571" customFormat="false" ht="15" hidden="false" customHeight="true" outlineLevel="0" collapsed="false">
      <c r="A571" s="1" t="n">
        <v>0</v>
      </c>
      <c r="B571" s="1" t="s">
        <v>1132</v>
      </c>
      <c r="C571" s="1" t="n">
        <v>7200</v>
      </c>
      <c r="D571" s="1" t="n">
        <v>0</v>
      </c>
      <c r="E571" s="1" t="n">
        <v>7200</v>
      </c>
      <c r="F571" s="172" t="n">
        <v>0</v>
      </c>
      <c r="G571" s="1" t="s">
        <v>1183</v>
      </c>
      <c r="H571" s="1" t="s">
        <v>196</v>
      </c>
      <c r="I571" s="1" t="n">
        <v>54996971028</v>
      </c>
      <c r="J571" s="1" t="s">
        <v>1248</v>
      </c>
      <c r="K571" s="1" t="s">
        <v>1183</v>
      </c>
      <c r="L571" s="1" t="s">
        <v>196</v>
      </c>
      <c r="M571" s="1" t="n">
        <v>54996971028</v>
      </c>
      <c r="N571" s="1" t="n">
        <v>0</v>
      </c>
      <c r="O571" s="1" t="n">
        <v>600</v>
      </c>
      <c r="P571" s="1" t="s">
        <v>1277</v>
      </c>
      <c r="Q571" s="1" t="s">
        <v>108</v>
      </c>
      <c r="S571" s="1" t="s">
        <v>1278</v>
      </c>
      <c r="T571" s="1" t="s">
        <v>1279</v>
      </c>
      <c r="V571" s="1" t="s">
        <v>1293</v>
      </c>
      <c r="W571" s="1" t="s">
        <v>1284</v>
      </c>
    </row>
    <row r="572" customFormat="false" ht="15" hidden="false" customHeight="true" outlineLevel="0" collapsed="false">
      <c r="A572" s="1" t="n">
        <v>0</v>
      </c>
      <c r="B572" s="1" t="s">
        <v>1132</v>
      </c>
      <c r="C572" s="1" t="n">
        <v>8833.33</v>
      </c>
      <c r="D572" s="1" t="n">
        <v>0</v>
      </c>
      <c r="E572" s="1" t="n">
        <v>8833.33</v>
      </c>
      <c r="F572" s="172" t="n">
        <v>0</v>
      </c>
      <c r="G572" s="1" t="s">
        <v>1289</v>
      </c>
      <c r="H572" s="1" t="s">
        <v>139</v>
      </c>
      <c r="I572" s="1" t="n">
        <v>48991032636</v>
      </c>
      <c r="J572" s="1" t="s">
        <v>1248</v>
      </c>
      <c r="K572" s="1" t="s">
        <v>128</v>
      </c>
      <c r="L572" s="1" t="s">
        <v>139</v>
      </c>
      <c r="M572" s="1" t="n">
        <v>48991032636</v>
      </c>
      <c r="N572" s="1" t="n">
        <v>0</v>
      </c>
      <c r="O572" s="1" t="n">
        <v>736.11</v>
      </c>
      <c r="P572" s="1" t="s">
        <v>1286</v>
      </c>
      <c r="Q572" s="1" t="s">
        <v>184</v>
      </c>
      <c r="S572" s="1" t="s">
        <v>1278</v>
      </c>
      <c r="T572" s="1" t="s">
        <v>1274</v>
      </c>
      <c r="V572" s="1" t="s">
        <v>1293</v>
      </c>
      <c r="W572" s="1" t="s">
        <v>1284</v>
      </c>
    </row>
    <row r="573" customFormat="false" ht="15" hidden="false" customHeight="true" outlineLevel="0" collapsed="false">
      <c r="A573" s="1" t="n">
        <v>0</v>
      </c>
      <c r="B573" s="1" t="s">
        <v>1132</v>
      </c>
      <c r="C573" s="1" t="n">
        <v>10875</v>
      </c>
      <c r="D573" s="1" t="n">
        <v>0</v>
      </c>
      <c r="E573" s="1" t="n">
        <v>10875</v>
      </c>
      <c r="F573" s="172" t="n">
        <v>0</v>
      </c>
      <c r="G573" s="1" t="s">
        <v>102</v>
      </c>
      <c r="H573" s="1" t="s">
        <v>139</v>
      </c>
      <c r="I573" s="1" t="n">
        <v>48306564114</v>
      </c>
      <c r="J573" s="1" t="s">
        <v>1248</v>
      </c>
      <c r="K573" s="1" t="s">
        <v>102</v>
      </c>
      <c r="L573" s="1" t="s">
        <v>139</v>
      </c>
      <c r="M573" s="1" t="n">
        <v>48306564114</v>
      </c>
      <c r="N573" s="1" t="n">
        <v>0</v>
      </c>
      <c r="O573" s="1" t="n">
        <v>906.25</v>
      </c>
      <c r="P573" s="1" t="s">
        <v>1286</v>
      </c>
      <c r="Q573" s="1" t="s">
        <v>175</v>
      </c>
      <c r="S573" s="1" t="s">
        <v>1287</v>
      </c>
      <c r="T573" s="1" t="s">
        <v>1274</v>
      </c>
      <c r="V573" s="1" t="s">
        <v>1293</v>
      </c>
      <c r="W573" s="1" t="s">
        <v>1284</v>
      </c>
    </row>
    <row r="574" customFormat="false" ht="15" hidden="false" customHeight="true" outlineLevel="0" collapsed="false">
      <c r="A574" s="1" t="n">
        <v>0</v>
      </c>
      <c r="B574" s="1" t="s">
        <v>1132</v>
      </c>
      <c r="C574" s="1" t="n">
        <v>10706.9</v>
      </c>
      <c r="D574" s="1" t="n">
        <v>0</v>
      </c>
      <c r="E574" s="1" t="n">
        <v>10706.9</v>
      </c>
      <c r="F574" s="172" t="n">
        <v>0</v>
      </c>
      <c r="G574" s="1" t="s">
        <v>66</v>
      </c>
      <c r="H574" s="1" t="s">
        <v>139</v>
      </c>
      <c r="I574" s="1" t="n">
        <v>4899454161</v>
      </c>
      <c r="J574" s="1" t="s">
        <v>1248</v>
      </c>
      <c r="K574" s="1" t="s">
        <v>66</v>
      </c>
      <c r="L574" s="1" t="s">
        <v>139</v>
      </c>
      <c r="M574" s="1" t="n">
        <v>4899454161</v>
      </c>
      <c r="N574" s="1" t="n">
        <v>0</v>
      </c>
      <c r="O574" s="1" t="n">
        <v>892.24</v>
      </c>
      <c r="P574" s="1" t="s">
        <v>1286</v>
      </c>
      <c r="Q574" s="1" t="s">
        <v>175</v>
      </c>
      <c r="S574" s="1" t="s">
        <v>1278</v>
      </c>
      <c r="T574" s="1" t="s">
        <v>1274</v>
      </c>
      <c r="V574" s="1" t="s">
        <v>1293</v>
      </c>
      <c r="W574" s="1" t="s">
        <v>1284</v>
      </c>
    </row>
    <row r="575" customFormat="false" ht="15" hidden="false" customHeight="true" outlineLevel="0" collapsed="false">
      <c r="A575" s="1" t="n">
        <v>0</v>
      </c>
      <c r="B575" s="1" t="s">
        <v>1132</v>
      </c>
      <c r="C575" s="1" t="n">
        <v>10875</v>
      </c>
      <c r="D575" s="1" t="n">
        <v>0</v>
      </c>
      <c r="E575" s="1" t="n">
        <v>10875</v>
      </c>
      <c r="F575" s="172" t="n">
        <v>0</v>
      </c>
      <c r="G575" s="1" t="s">
        <v>102</v>
      </c>
      <c r="H575" s="1" t="s">
        <v>139</v>
      </c>
      <c r="I575" s="1" t="n">
        <v>48991945703</v>
      </c>
      <c r="J575" s="1" t="s">
        <v>1248</v>
      </c>
      <c r="K575" s="1" t="s">
        <v>102</v>
      </c>
      <c r="L575" s="1" t="s">
        <v>139</v>
      </c>
      <c r="M575" s="1" t="n">
        <v>48991945703</v>
      </c>
      <c r="N575" s="1" t="n">
        <v>0</v>
      </c>
      <c r="O575" s="1" t="n">
        <v>906.25</v>
      </c>
      <c r="P575" s="1" t="s">
        <v>1286</v>
      </c>
      <c r="Q575" s="1" t="s">
        <v>175</v>
      </c>
      <c r="S575" s="1" t="s">
        <v>1287</v>
      </c>
      <c r="T575" s="1" t="s">
        <v>1274</v>
      </c>
      <c r="V575" s="1" t="s">
        <v>1293</v>
      </c>
      <c r="W575" s="1" t="s">
        <v>1284</v>
      </c>
    </row>
    <row r="576" customFormat="false" ht="15" hidden="false" customHeight="true" outlineLevel="0" collapsed="false">
      <c r="A576" s="1" t="n">
        <v>0</v>
      </c>
      <c r="B576" s="1" t="s">
        <v>1132</v>
      </c>
      <c r="C576" s="1" t="n">
        <v>6566.04</v>
      </c>
      <c r="D576" s="1" t="n">
        <v>0</v>
      </c>
      <c r="E576" s="1" t="n">
        <v>6566.04</v>
      </c>
      <c r="F576" s="172" t="n">
        <v>0</v>
      </c>
      <c r="G576" s="1" t="s">
        <v>110</v>
      </c>
      <c r="H576" s="1" t="s">
        <v>139</v>
      </c>
      <c r="I576" s="1" t="n">
        <v>48991619107</v>
      </c>
      <c r="J576" s="1" t="s">
        <v>1248</v>
      </c>
      <c r="K576" s="1" t="s">
        <v>110</v>
      </c>
      <c r="L576" s="1" t="s">
        <v>139</v>
      </c>
      <c r="M576" s="1" t="n">
        <v>48991619107</v>
      </c>
      <c r="N576" s="1" t="n">
        <v>0</v>
      </c>
      <c r="O576" s="1" t="n">
        <v>547.17</v>
      </c>
      <c r="P576" s="1" t="s">
        <v>1286</v>
      </c>
      <c r="Q576" s="1" t="s">
        <v>175</v>
      </c>
      <c r="S576" s="1" t="s">
        <v>1287</v>
      </c>
      <c r="T576" s="1" t="s">
        <v>1274</v>
      </c>
      <c r="V576" s="1" t="s">
        <v>1293</v>
      </c>
      <c r="W576" s="1" t="s">
        <v>1284</v>
      </c>
    </row>
    <row r="577" customFormat="false" ht="15" hidden="false" customHeight="true" outlineLevel="0" collapsed="false">
      <c r="A577" s="1" t="n">
        <v>0</v>
      </c>
      <c r="B577" s="1" t="s">
        <v>1132</v>
      </c>
      <c r="C577" s="1" t="n">
        <v>6566.04</v>
      </c>
      <c r="D577" s="1" t="n">
        <v>0</v>
      </c>
      <c r="E577" s="1" t="n">
        <v>6566.04</v>
      </c>
      <c r="F577" s="172" t="n">
        <v>0</v>
      </c>
      <c r="G577" s="1" t="s">
        <v>110</v>
      </c>
      <c r="H577" s="1" t="s">
        <v>109</v>
      </c>
      <c r="I577" s="1" t="n">
        <v>0</v>
      </c>
      <c r="J577" s="1" t="s">
        <v>1248</v>
      </c>
      <c r="K577" s="1" t="s">
        <v>110</v>
      </c>
      <c r="L577" s="1" t="s">
        <v>109</v>
      </c>
      <c r="M577" s="1" t="n">
        <v>0</v>
      </c>
      <c r="N577" s="1" t="n">
        <v>0</v>
      </c>
      <c r="O577" s="1" t="n">
        <v>547.17</v>
      </c>
      <c r="P577" s="1" t="s">
        <v>1286</v>
      </c>
      <c r="Q577" s="1" t="s">
        <v>108</v>
      </c>
      <c r="S577" s="1" t="s">
        <v>1278</v>
      </c>
      <c r="T577" s="1" t="s">
        <v>1279</v>
      </c>
      <c r="V577" s="1" t="s">
        <v>1293</v>
      </c>
      <c r="W577" s="1" t="s">
        <v>1284</v>
      </c>
    </row>
    <row r="578" customFormat="false" ht="15" hidden="false" customHeight="true" outlineLevel="0" collapsed="false">
      <c r="A578" s="1" t="n">
        <v>0</v>
      </c>
      <c r="B578" s="1" t="s">
        <v>1132</v>
      </c>
      <c r="C578" s="1" t="n">
        <v>10875</v>
      </c>
      <c r="D578" s="1" t="n">
        <v>0</v>
      </c>
      <c r="E578" s="1" t="n">
        <v>10875</v>
      </c>
      <c r="F578" s="172" t="n">
        <v>0</v>
      </c>
      <c r="G578" s="1" t="s">
        <v>102</v>
      </c>
      <c r="H578" s="1" t="s">
        <v>109</v>
      </c>
      <c r="I578" s="1" t="n">
        <v>4195595101</v>
      </c>
      <c r="J578" s="1" t="s">
        <v>1248</v>
      </c>
      <c r="K578" s="1" t="s">
        <v>102</v>
      </c>
      <c r="L578" s="1" t="s">
        <v>109</v>
      </c>
      <c r="M578" s="1" t="n">
        <v>4195595101</v>
      </c>
      <c r="N578" s="1" t="n">
        <v>0</v>
      </c>
      <c r="O578" s="1" t="n">
        <v>906.25</v>
      </c>
      <c r="P578" s="1" t="s">
        <v>1286</v>
      </c>
      <c r="Q578" s="1" t="s">
        <v>175</v>
      </c>
      <c r="S578" s="1" t="s">
        <v>1287</v>
      </c>
      <c r="T578" s="1" t="s">
        <v>1274</v>
      </c>
      <c r="V578" s="1" t="s">
        <v>1293</v>
      </c>
      <c r="W578" s="1" t="s">
        <v>1284</v>
      </c>
    </row>
    <row r="579" customFormat="false" ht="15" hidden="false" customHeight="true" outlineLevel="0" collapsed="false">
      <c r="A579" s="1" t="n">
        <v>0</v>
      </c>
      <c r="B579" s="1" t="s">
        <v>1132</v>
      </c>
      <c r="C579" s="1" t="n">
        <v>6566.04</v>
      </c>
      <c r="D579" s="1" t="n">
        <v>0</v>
      </c>
      <c r="E579" s="1" t="n">
        <v>6566.04</v>
      </c>
      <c r="F579" s="172" t="n">
        <v>0</v>
      </c>
      <c r="G579" s="1" t="s">
        <v>110</v>
      </c>
      <c r="H579" s="1" t="s">
        <v>139</v>
      </c>
      <c r="I579" s="1" t="n">
        <v>51997011934</v>
      </c>
      <c r="J579" s="1" t="s">
        <v>1248</v>
      </c>
      <c r="K579" s="1" t="s">
        <v>110</v>
      </c>
      <c r="L579" s="1" t="s">
        <v>139</v>
      </c>
      <c r="M579" s="1" t="n">
        <v>51997011934</v>
      </c>
      <c r="N579" s="1" t="n">
        <v>0</v>
      </c>
      <c r="O579" s="1" t="n">
        <v>547.17</v>
      </c>
      <c r="P579" s="1" t="s">
        <v>1286</v>
      </c>
      <c r="Q579" s="1" t="s">
        <v>108</v>
      </c>
      <c r="S579" s="1" t="s">
        <v>1278</v>
      </c>
      <c r="T579" s="1" t="s">
        <v>1279</v>
      </c>
      <c r="V579" s="1" t="s">
        <v>1293</v>
      </c>
      <c r="W579" s="1" t="s">
        <v>1284</v>
      </c>
    </row>
    <row r="580" customFormat="false" ht="15" hidden="false" customHeight="true" outlineLevel="0" collapsed="false">
      <c r="A580" s="1" t="n">
        <v>0</v>
      </c>
      <c r="B580" s="1" t="s">
        <v>1132</v>
      </c>
      <c r="C580" s="1" t="n">
        <v>10875</v>
      </c>
      <c r="D580" s="1" t="n">
        <v>0</v>
      </c>
      <c r="E580" s="1" t="n">
        <v>10875</v>
      </c>
      <c r="F580" s="172" t="n">
        <v>0</v>
      </c>
      <c r="G580" s="1" t="s">
        <v>102</v>
      </c>
      <c r="H580" s="1" t="s">
        <v>139</v>
      </c>
      <c r="I580" s="1" t="n">
        <v>47984460123</v>
      </c>
      <c r="J580" s="1" t="s">
        <v>1248</v>
      </c>
      <c r="K580" s="1" t="s">
        <v>102</v>
      </c>
      <c r="L580" s="1" t="s">
        <v>139</v>
      </c>
      <c r="M580" s="1" t="n">
        <v>47984460123</v>
      </c>
      <c r="N580" s="1" t="n">
        <v>0</v>
      </c>
      <c r="O580" s="1" t="n">
        <v>906.25</v>
      </c>
      <c r="P580" s="1" t="s">
        <v>1286</v>
      </c>
      <c r="Q580" s="1" t="s">
        <v>175</v>
      </c>
      <c r="S580" s="1" t="s">
        <v>1287</v>
      </c>
      <c r="T580" s="1" t="s">
        <v>1274</v>
      </c>
      <c r="V580" s="1" t="s">
        <v>1293</v>
      </c>
      <c r="W580" s="1" t="s">
        <v>1284</v>
      </c>
    </row>
    <row r="581" customFormat="false" ht="15" hidden="false" customHeight="true" outlineLevel="0" collapsed="false">
      <c r="A581" s="1" t="n">
        <v>0</v>
      </c>
      <c r="B581" s="1" t="s">
        <v>1132</v>
      </c>
      <c r="C581" s="1" t="n">
        <v>10875</v>
      </c>
      <c r="D581" s="1" t="n">
        <v>0</v>
      </c>
      <c r="E581" s="1" t="n">
        <v>10875</v>
      </c>
      <c r="F581" s="172" t="n">
        <v>0</v>
      </c>
      <c r="G581" s="1" t="s">
        <v>102</v>
      </c>
      <c r="H581" s="1" t="s">
        <v>139</v>
      </c>
      <c r="I581" s="1" t="n">
        <v>4799670863</v>
      </c>
      <c r="J581" s="1" t="s">
        <v>1248</v>
      </c>
      <c r="K581" s="1" t="s">
        <v>102</v>
      </c>
      <c r="L581" s="1" t="s">
        <v>139</v>
      </c>
      <c r="M581" s="1" t="n">
        <v>4799670863</v>
      </c>
      <c r="N581" s="1" t="n">
        <v>0</v>
      </c>
      <c r="O581" s="1" t="n">
        <v>906.25</v>
      </c>
      <c r="P581" s="1" t="s">
        <v>1286</v>
      </c>
      <c r="Q581" s="1" t="s">
        <v>175</v>
      </c>
      <c r="S581" s="1" t="s">
        <v>1287</v>
      </c>
      <c r="T581" s="1" t="s">
        <v>1274</v>
      </c>
      <c r="V581" s="1" t="s">
        <v>1293</v>
      </c>
      <c r="W581" s="1" t="s">
        <v>1284</v>
      </c>
    </row>
    <row r="582" customFormat="false" ht="15" hidden="false" customHeight="true" outlineLevel="0" collapsed="false">
      <c r="A582" s="1" t="n">
        <v>0</v>
      </c>
      <c r="B582" s="1" t="s">
        <v>1132</v>
      </c>
      <c r="C582" s="1" t="n">
        <v>6566.04</v>
      </c>
      <c r="D582" s="1" t="n">
        <v>0</v>
      </c>
      <c r="E582" s="1" t="n">
        <v>6566.04</v>
      </c>
      <c r="F582" s="172" t="n">
        <v>0</v>
      </c>
      <c r="G582" s="1" t="s">
        <v>110</v>
      </c>
      <c r="H582" s="1" t="s">
        <v>139</v>
      </c>
      <c r="I582" s="1" t="n">
        <v>48912662695</v>
      </c>
      <c r="J582" s="1" t="s">
        <v>1248</v>
      </c>
      <c r="K582" s="1" t="s">
        <v>110</v>
      </c>
      <c r="L582" s="1" t="s">
        <v>139</v>
      </c>
      <c r="M582" s="1" t="n">
        <v>48912662695</v>
      </c>
      <c r="N582" s="1" t="n">
        <v>0</v>
      </c>
      <c r="O582" s="1" t="n">
        <v>547.17</v>
      </c>
      <c r="P582" s="1" t="s">
        <v>1286</v>
      </c>
      <c r="Q582" s="1" t="s">
        <v>184</v>
      </c>
      <c r="S582" s="1" t="s">
        <v>1278</v>
      </c>
      <c r="T582" s="1" t="s">
        <v>1274</v>
      </c>
      <c r="V582" s="1" t="s">
        <v>1293</v>
      </c>
      <c r="W582" s="1" t="s">
        <v>1284</v>
      </c>
    </row>
    <row r="583" customFormat="false" ht="15" hidden="false" customHeight="true" outlineLevel="0" collapsed="false">
      <c r="A583" s="1" t="n">
        <v>0</v>
      </c>
      <c r="B583" s="1" t="s">
        <v>1132</v>
      </c>
      <c r="C583" s="1" t="n">
        <v>10706.9</v>
      </c>
      <c r="D583" s="1" t="n">
        <v>0</v>
      </c>
      <c r="E583" s="1" t="n">
        <v>10706.9</v>
      </c>
      <c r="F583" s="172" t="n">
        <v>0</v>
      </c>
      <c r="G583" s="1" t="s">
        <v>66</v>
      </c>
      <c r="H583" s="1" t="s">
        <v>139</v>
      </c>
      <c r="I583" s="1" t="n">
        <v>4733680373</v>
      </c>
      <c r="J583" s="1" t="s">
        <v>1248</v>
      </c>
      <c r="K583" s="1" t="s">
        <v>66</v>
      </c>
      <c r="L583" s="1" t="s">
        <v>139</v>
      </c>
      <c r="M583" s="1" t="n">
        <v>4733680373</v>
      </c>
      <c r="N583" s="1" t="n">
        <v>0</v>
      </c>
      <c r="O583" s="1" t="n">
        <v>892.24</v>
      </c>
      <c r="P583" s="1" t="s">
        <v>1286</v>
      </c>
      <c r="Q583" s="1" t="s">
        <v>175</v>
      </c>
      <c r="S583" s="1" t="s">
        <v>1278</v>
      </c>
      <c r="T583" s="1" t="s">
        <v>1274</v>
      </c>
      <c r="V583" s="1" t="s">
        <v>1293</v>
      </c>
      <c r="W583" s="1" t="s">
        <v>1284</v>
      </c>
    </row>
    <row r="584" customFormat="false" ht="15" hidden="false" customHeight="true" outlineLevel="0" collapsed="false">
      <c r="A584" s="1" t="n">
        <v>0</v>
      </c>
      <c r="B584" s="1" t="s">
        <v>1132</v>
      </c>
      <c r="C584" s="1" t="n">
        <v>10875</v>
      </c>
      <c r="D584" s="1" t="n">
        <v>0</v>
      </c>
      <c r="E584" s="1" t="n">
        <v>10875</v>
      </c>
      <c r="F584" s="172" t="n">
        <v>0</v>
      </c>
      <c r="G584" s="1" t="s">
        <v>102</v>
      </c>
      <c r="H584" s="1" t="s">
        <v>139</v>
      </c>
      <c r="I584" s="1" t="n">
        <v>48337193684</v>
      </c>
      <c r="J584" s="1" t="s">
        <v>1248</v>
      </c>
      <c r="K584" s="1" t="s">
        <v>102</v>
      </c>
      <c r="L584" s="1" t="s">
        <v>139</v>
      </c>
      <c r="M584" s="1" t="n">
        <v>48337193684</v>
      </c>
      <c r="N584" s="1" t="n">
        <v>0</v>
      </c>
      <c r="O584" s="1" t="n">
        <v>906.25</v>
      </c>
      <c r="P584" s="1" t="s">
        <v>1286</v>
      </c>
      <c r="Q584" s="1" t="s">
        <v>175</v>
      </c>
      <c r="S584" s="1" t="s">
        <v>1287</v>
      </c>
      <c r="T584" s="1" t="s">
        <v>1274</v>
      </c>
      <c r="V584" s="1" t="s">
        <v>1293</v>
      </c>
      <c r="W584" s="1" t="s">
        <v>1284</v>
      </c>
    </row>
    <row r="585" customFormat="false" ht="15" hidden="false" customHeight="true" outlineLevel="0" collapsed="false">
      <c r="A585" s="1" t="n">
        <v>0</v>
      </c>
      <c r="B585" s="1" t="s">
        <v>1132</v>
      </c>
      <c r="C585" s="1" t="n">
        <v>10875</v>
      </c>
      <c r="D585" s="1" t="n">
        <v>0</v>
      </c>
      <c r="E585" s="1" t="n">
        <v>10875</v>
      </c>
      <c r="F585" s="172" t="n">
        <v>0</v>
      </c>
      <c r="G585" s="1" t="s">
        <v>102</v>
      </c>
      <c r="H585" s="1" t="s">
        <v>139</v>
      </c>
      <c r="I585" s="1" t="n">
        <v>48999974522</v>
      </c>
      <c r="J585" s="1" t="s">
        <v>1248</v>
      </c>
      <c r="K585" s="1" t="s">
        <v>102</v>
      </c>
      <c r="L585" s="1" t="s">
        <v>139</v>
      </c>
      <c r="M585" s="1" t="n">
        <v>48999974522</v>
      </c>
      <c r="N585" s="1" t="n">
        <v>0</v>
      </c>
      <c r="O585" s="1" t="n">
        <v>906.25</v>
      </c>
      <c r="P585" s="1" t="s">
        <v>1286</v>
      </c>
      <c r="Q585" s="1" t="s">
        <v>175</v>
      </c>
      <c r="S585" s="1" t="s">
        <v>1287</v>
      </c>
      <c r="T585" s="1" t="s">
        <v>1274</v>
      </c>
      <c r="V585" s="1" t="s">
        <v>1293</v>
      </c>
      <c r="W585" s="1" t="s">
        <v>1284</v>
      </c>
    </row>
    <row r="586" customFormat="false" ht="15" hidden="false" customHeight="true" outlineLevel="0" collapsed="false">
      <c r="A586" s="1" t="n">
        <v>0</v>
      </c>
      <c r="B586" s="1" t="s">
        <v>1132</v>
      </c>
      <c r="C586" s="1" t="n">
        <v>6566.04</v>
      </c>
      <c r="D586" s="1" t="n">
        <v>0</v>
      </c>
      <c r="E586" s="1" t="n">
        <v>6566.04</v>
      </c>
      <c r="F586" s="172" t="n">
        <v>0</v>
      </c>
      <c r="G586" s="1" t="s">
        <v>110</v>
      </c>
      <c r="H586" s="1" t="s">
        <v>139</v>
      </c>
      <c r="I586" s="1" t="n">
        <v>48309193006</v>
      </c>
      <c r="J586" s="1" t="s">
        <v>1248</v>
      </c>
      <c r="K586" s="1" t="s">
        <v>110</v>
      </c>
      <c r="L586" s="1" t="s">
        <v>139</v>
      </c>
      <c r="M586" s="1" t="n">
        <v>48309193006</v>
      </c>
      <c r="N586" s="1" t="n">
        <v>0</v>
      </c>
      <c r="O586" s="1" t="n">
        <v>547.17</v>
      </c>
      <c r="P586" s="1" t="s">
        <v>1286</v>
      </c>
      <c r="Q586" s="1" t="s">
        <v>184</v>
      </c>
      <c r="S586" s="1" t="s">
        <v>1278</v>
      </c>
      <c r="T586" s="1" t="s">
        <v>1274</v>
      </c>
      <c r="V586" s="1" t="s">
        <v>1293</v>
      </c>
      <c r="W586" s="1" t="s">
        <v>1284</v>
      </c>
    </row>
    <row r="587" customFormat="false" ht="15" hidden="false" customHeight="true" outlineLevel="0" collapsed="false">
      <c r="A587" s="1" t="n">
        <v>0</v>
      </c>
      <c r="B587" s="1" t="s">
        <v>1132</v>
      </c>
      <c r="C587" s="1" t="n">
        <v>10875</v>
      </c>
      <c r="D587" s="1" t="n">
        <v>0</v>
      </c>
      <c r="E587" s="1" t="n">
        <v>10875</v>
      </c>
      <c r="F587" s="172" t="n">
        <v>0</v>
      </c>
      <c r="G587" s="1" t="s">
        <v>102</v>
      </c>
      <c r="H587" s="1" t="s">
        <v>139</v>
      </c>
      <c r="I587" s="1" t="n">
        <v>48323876674</v>
      </c>
      <c r="J587" s="1" t="s">
        <v>1248</v>
      </c>
      <c r="K587" s="1" t="s">
        <v>102</v>
      </c>
      <c r="L587" s="1" t="s">
        <v>139</v>
      </c>
      <c r="M587" s="1" t="n">
        <v>48323876674</v>
      </c>
      <c r="N587" s="1" t="n">
        <v>0</v>
      </c>
      <c r="O587" s="1" t="n">
        <v>906.25</v>
      </c>
      <c r="P587" s="1" t="s">
        <v>1286</v>
      </c>
      <c r="Q587" s="1" t="s">
        <v>175</v>
      </c>
      <c r="S587" s="1" t="s">
        <v>1287</v>
      </c>
      <c r="T587" s="1" t="s">
        <v>1274</v>
      </c>
      <c r="V587" s="1" t="s">
        <v>1293</v>
      </c>
      <c r="W587" s="1" t="s">
        <v>1284</v>
      </c>
    </row>
    <row r="588" customFormat="false" ht="15" hidden="false" customHeight="true" outlineLevel="0" collapsed="false">
      <c r="A588" s="1" t="n">
        <v>0</v>
      </c>
      <c r="B588" s="1" t="s">
        <v>1132</v>
      </c>
      <c r="C588" s="1" t="n">
        <v>7200</v>
      </c>
      <c r="D588" s="1" t="n">
        <v>0</v>
      </c>
      <c r="E588" s="1" t="n">
        <v>7200</v>
      </c>
      <c r="F588" s="172" t="n">
        <v>0</v>
      </c>
      <c r="G588" s="1" t="s">
        <v>1183</v>
      </c>
      <c r="H588" s="1" t="s">
        <v>139</v>
      </c>
      <c r="I588" s="1" t="n">
        <v>4832097774</v>
      </c>
      <c r="J588" s="1" t="s">
        <v>1248</v>
      </c>
      <c r="K588" s="1" t="s">
        <v>1183</v>
      </c>
      <c r="L588" s="1" t="s">
        <v>139</v>
      </c>
      <c r="M588" s="1" t="n">
        <v>4832097774</v>
      </c>
      <c r="N588" s="1" t="n">
        <v>0</v>
      </c>
      <c r="O588" s="1" t="n">
        <v>600</v>
      </c>
      <c r="P588" s="1" t="s">
        <v>1277</v>
      </c>
      <c r="Q588" s="1" t="s">
        <v>184</v>
      </c>
      <c r="S588" s="1" t="s">
        <v>1278</v>
      </c>
      <c r="T588" s="1" t="s">
        <v>1274</v>
      </c>
      <c r="V588" s="1" t="s">
        <v>1293</v>
      </c>
      <c r="W588" s="1" t="s">
        <v>1284</v>
      </c>
    </row>
    <row r="589" customFormat="false" ht="15" hidden="false" customHeight="true" outlineLevel="0" collapsed="false">
      <c r="A589" s="1" t="n">
        <v>0</v>
      </c>
      <c r="B589" s="1" t="s">
        <v>1132</v>
      </c>
      <c r="C589" s="1" t="n">
        <v>10875</v>
      </c>
      <c r="D589" s="1" t="n">
        <v>0</v>
      </c>
      <c r="E589" s="1" t="n">
        <v>10875</v>
      </c>
      <c r="F589" s="172" t="n">
        <v>0</v>
      </c>
      <c r="G589" s="1" t="s">
        <v>102</v>
      </c>
      <c r="H589" s="1" t="s">
        <v>139</v>
      </c>
      <c r="I589" s="1" t="n">
        <v>48336457054</v>
      </c>
      <c r="J589" s="1" t="s">
        <v>1248</v>
      </c>
      <c r="K589" s="1" t="s">
        <v>102</v>
      </c>
      <c r="L589" s="1" t="s">
        <v>139</v>
      </c>
      <c r="M589" s="1" t="n">
        <v>48336457054</v>
      </c>
      <c r="N589" s="1" t="n">
        <v>0</v>
      </c>
      <c r="O589" s="1" t="n">
        <v>906.25</v>
      </c>
      <c r="P589" s="1" t="s">
        <v>1286</v>
      </c>
      <c r="Q589" s="1" t="s">
        <v>175</v>
      </c>
      <c r="S589" s="1" t="s">
        <v>1287</v>
      </c>
      <c r="T589" s="1" t="s">
        <v>1274</v>
      </c>
      <c r="V589" s="1" t="s">
        <v>1293</v>
      </c>
      <c r="W589" s="1" t="s">
        <v>1284</v>
      </c>
    </row>
    <row r="590" customFormat="false" ht="15" hidden="false" customHeight="true" outlineLevel="0" collapsed="false">
      <c r="A590" s="1" t="n">
        <v>0</v>
      </c>
      <c r="B590" s="1" t="s">
        <v>1132</v>
      </c>
      <c r="C590" s="1" t="n">
        <v>10706.9</v>
      </c>
      <c r="D590" s="1" t="n">
        <v>0</v>
      </c>
      <c r="E590" s="1" t="n">
        <v>10706.9</v>
      </c>
      <c r="F590" s="172" t="n">
        <v>0</v>
      </c>
      <c r="G590" s="1" t="s">
        <v>66</v>
      </c>
      <c r="H590" s="1" t="s">
        <v>139</v>
      </c>
      <c r="I590" s="1" t="n">
        <v>4799208020</v>
      </c>
      <c r="J590" s="1" t="s">
        <v>1248</v>
      </c>
      <c r="K590" s="1" t="s">
        <v>66</v>
      </c>
      <c r="L590" s="1" t="s">
        <v>139</v>
      </c>
      <c r="M590" s="1" t="n">
        <v>4799208020</v>
      </c>
      <c r="N590" s="1" t="n">
        <v>0</v>
      </c>
      <c r="O590" s="1" t="n">
        <v>892.24</v>
      </c>
      <c r="P590" s="1" t="s">
        <v>1286</v>
      </c>
      <c r="Q590" s="1" t="s">
        <v>175</v>
      </c>
      <c r="S590" s="1" t="s">
        <v>1278</v>
      </c>
      <c r="T590" s="1" t="s">
        <v>1274</v>
      </c>
      <c r="V590" s="1" t="s">
        <v>1293</v>
      </c>
      <c r="W590" s="1" t="s">
        <v>1284</v>
      </c>
    </row>
    <row r="591" customFormat="false" ht="15" hidden="false" customHeight="true" outlineLevel="0" collapsed="false">
      <c r="A591" s="1" t="n">
        <v>0</v>
      </c>
      <c r="B591" s="1" t="s">
        <v>1132</v>
      </c>
      <c r="C591" s="1" t="n">
        <v>10875</v>
      </c>
      <c r="D591" s="1" t="n">
        <v>0</v>
      </c>
      <c r="E591" s="1" t="n">
        <v>10875</v>
      </c>
      <c r="F591" s="172" t="n">
        <v>0</v>
      </c>
      <c r="G591" s="1" t="s">
        <v>102</v>
      </c>
      <c r="H591" s="1" t="s">
        <v>139</v>
      </c>
      <c r="I591" s="1" t="n">
        <v>4735151264</v>
      </c>
      <c r="J591" s="1" t="s">
        <v>1248</v>
      </c>
      <c r="K591" s="1" t="s">
        <v>102</v>
      </c>
      <c r="L591" s="1" t="s">
        <v>139</v>
      </c>
      <c r="M591" s="1" t="n">
        <v>4735151264</v>
      </c>
      <c r="N591" s="1" t="n">
        <v>0</v>
      </c>
      <c r="O591" s="1" t="n">
        <v>906.25</v>
      </c>
      <c r="P591" s="1" t="s">
        <v>1286</v>
      </c>
      <c r="Q591" s="1" t="s">
        <v>175</v>
      </c>
      <c r="S591" s="1" t="s">
        <v>1287</v>
      </c>
      <c r="T591" s="1" t="s">
        <v>1274</v>
      </c>
      <c r="V591" s="1" t="s">
        <v>1293</v>
      </c>
      <c r="W591" s="1" t="s">
        <v>1284</v>
      </c>
    </row>
    <row r="592" customFormat="false" ht="15" hidden="false" customHeight="true" outlineLevel="0" collapsed="false">
      <c r="A592" s="1" t="n">
        <v>0</v>
      </c>
      <c r="B592" s="1" t="s">
        <v>1132</v>
      </c>
      <c r="C592" s="1" t="n">
        <v>6566.04</v>
      </c>
      <c r="D592" s="1" t="n">
        <v>0</v>
      </c>
      <c r="E592" s="1" t="n">
        <v>6566.04</v>
      </c>
      <c r="F592" s="172" t="n">
        <v>0</v>
      </c>
      <c r="G592" s="1" t="s">
        <v>110</v>
      </c>
      <c r="H592" s="1" t="s">
        <v>139</v>
      </c>
      <c r="I592" s="1" t="n">
        <v>47992313977</v>
      </c>
      <c r="J592" s="1" t="s">
        <v>1248</v>
      </c>
      <c r="K592" s="1" t="s">
        <v>110</v>
      </c>
      <c r="L592" s="1" t="s">
        <v>139</v>
      </c>
      <c r="M592" s="1" t="n">
        <v>47992313977</v>
      </c>
      <c r="N592" s="1" t="n">
        <v>0</v>
      </c>
      <c r="O592" s="1" t="n">
        <v>547.17</v>
      </c>
      <c r="P592" s="1" t="s">
        <v>1286</v>
      </c>
      <c r="Q592" s="1" t="s">
        <v>184</v>
      </c>
      <c r="S592" s="1" t="s">
        <v>1278</v>
      </c>
      <c r="T592" s="1" t="s">
        <v>1274</v>
      </c>
      <c r="V592" s="1" t="s">
        <v>1293</v>
      </c>
      <c r="W592" s="1" t="s">
        <v>1284</v>
      </c>
    </row>
    <row r="593" customFormat="false" ht="15" hidden="false" customHeight="true" outlineLevel="0" collapsed="false">
      <c r="A593" s="1" t="n">
        <v>0</v>
      </c>
      <c r="B593" s="1" t="s">
        <v>1132</v>
      </c>
      <c r="C593" s="1" t="n">
        <v>10875</v>
      </c>
      <c r="D593" s="1" t="n">
        <v>0</v>
      </c>
      <c r="E593" s="1" t="n">
        <v>10875</v>
      </c>
      <c r="F593" s="172" t="n">
        <v>0</v>
      </c>
      <c r="G593" s="1" t="s">
        <v>102</v>
      </c>
      <c r="H593" s="1" t="s">
        <v>139</v>
      </c>
      <c r="I593" s="1" t="n">
        <v>51980271949</v>
      </c>
      <c r="J593" s="1" t="s">
        <v>1248</v>
      </c>
      <c r="K593" s="1" t="s">
        <v>102</v>
      </c>
      <c r="L593" s="1" t="s">
        <v>139</v>
      </c>
      <c r="M593" s="1" t="n">
        <v>51980271949</v>
      </c>
      <c r="N593" s="1" t="n">
        <v>0</v>
      </c>
      <c r="O593" s="1" t="n">
        <v>906.25</v>
      </c>
      <c r="P593" s="1" t="s">
        <v>1286</v>
      </c>
      <c r="Q593" s="1" t="s">
        <v>175</v>
      </c>
      <c r="S593" s="1" t="s">
        <v>1287</v>
      </c>
      <c r="T593" s="1" t="s">
        <v>1274</v>
      </c>
      <c r="V593" s="1" t="s">
        <v>1293</v>
      </c>
      <c r="W593" s="1" t="s">
        <v>1284</v>
      </c>
    </row>
    <row r="594" customFormat="false" ht="15" hidden="false" customHeight="true" outlineLevel="0" collapsed="false">
      <c r="A594" s="1" t="n">
        <v>0</v>
      </c>
      <c r="B594" s="1" t="s">
        <v>1132</v>
      </c>
      <c r="C594" s="1" t="n">
        <v>6566.04</v>
      </c>
      <c r="D594" s="1" t="n">
        <v>0</v>
      </c>
      <c r="E594" s="1" t="n">
        <v>6566.04</v>
      </c>
      <c r="F594" s="172" t="n">
        <v>0</v>
      </c>
      <c r="G594" s="1" t="s">
        <v>110</v>
      </c>
      <c r="H594" s="1" t="s">
        <v>139</v>
      </c>
      <c r="I594" s="1" t="n">
        <v>47989024341</v>
      </c>
      <c r="J594" s="1" t="s">
        <v>1248</v>
      </c>
      <c r="K594" s="1" t="s">
        <v>110</v>
      </c>
      <c r="L594" s="1" t="s">
        <v>139</v>
      </c>
      <c r="M594" s="1" t="n">
        <v>47989024341</v>
      </c>
      <c r="N594" s="1" t="n">
        <v>0</v>
      </c>
      <c r="O594" s="1" t="n">
        <v>547.17</v>
      </c>
      <c r="P594" s="1" t="s">
        <v>1286</v>
      </c>
      <c r="Q594" s="1" t="s">
        <v>184</v>
      </c>
      <c r="S594" s="1" t="s">
        <v>1278</v>
      </c>
      <c r="T594" s="1" t="s">
        <v>1274</v>
      </c>
      <c r="V594" s="1" t="s">
        <v>1293</v>
      </c>
      <c r="W594" s="1" t="s">
        <v>1284</v>
      </c>
    </row>
    <row r="595" customFormat="false" ht="15" hidden="false" customHeight="true" outlineLevel="0" collapsed="false">
      <c r="A595" s="1" t="n">
        <v>0</v>
      </c>
      <c r="B595" s="1" t="s">
        <v>1132</v>
      </c>
      <c r="C595" s="1" t="n">
        <v>10706.9</v>
      </c>
      <c r="D595" s="1" t="n">
        <v>0</v>
      </c>
      <c r="E595" s="1" t="n">
        <v>10706.9</v>
      </c>
      <c r="F595" s="172" t="n">
        <v>0</v>
      </c>
      <c r="G595" s="1" t="s">
        <v>66</v>
      </c>
      <c r="H595" s="1" t="s">
        <v>139</v>
      </c>
      <c r="I595" s="1" t="n">
        <v>47988666600</v>
      </c>
      <c r="J595" s="1" t="s">
        <v>1248</v>
      </c>
      <c r="K595" s="1" t="s">
        <v>66</v>
      </c>
      <c r="L595" s="1" t="s">
        <v>139</v>
      </c>
      <c r="M595" s="1" t="n">
        <v>47988666600</v>
      </c>
      <c r="N595" s="1" t="n">
        <v>0</v>
      </c>
      <c r="O595" s="1" t="n">
        <v>892.24</v>
      </c>
      <c r="P595" s="1" t="s">
        <v>1286</v>
      </c>
      <c r="Q595" s="1" t="s">
        <v>175</v>
      </c>
      <c r="S595" s="1" t="s">
        <v>1278</v>
      </c>
      <c r="T595" s="1" t="s">
        <v>1274</v>
      </c>
      <c r="V595" s="1" t="s">
        <v>1293</v>
      </c>
      <c r="W595" s="1" t="s">
        <v>1284</v>
      </c>
    </row>
    <row r="596" customFormat="false" ht="15" hidden="false" customHeight="true" outlineLevel="0" collapsed="false">
      <c r="A596" s="1" t="n">
        <v>0</v>
      </c>
      <c r="B596" s="1" t="s">
        <v>1132</v>
      </c>
      <c r="C596" s="1" t="n">
        <v>10875</v>
      </c>
      <c r="D596" s="1" t="n">
        <v>0</v>
      </c>
      <c r="E596" s="1" t="n">
        <v>10875</v>
      </c>
      <c r="F596" s="172" t="n">
        <v>0</v>
      </c>
      <c r="G596" s="1" t="s">
        <v>102</v>
      </c>
      <c r="H596" s="1" t="s">
        <v>139</v>
      </c>
      <c r="I596" s="1" t="n">
        <v>11952819565</v>
      </c>
      <c r="J596" s="1" t="s">
        <v>1248</v>
      </c>
      <c r="K596" s="1" t="s">
        <v>102</v>
      </c>
      <c r="L596" s="1" t="s">
        <v>139</v>
      </c>
      <c r="M596" s="1" t="n">
        <v>11952819565</v>
      </c>
      <c r="N596" s="1" t="n">
        <v>0</v>
      </c>
      <c r="O596" s="1" t="n">
        <v>906.25</v>
      </c>
      <c r="P596" s="1" t="s">
        <v>1286</v>
      </c>
      <c r="Q596" s="1" t="s">
        <v>175</v>
      </c>
      <c r="S596" s="1" t="s">
        <v>1287</v>
      </c>
      <c r="T596" s="1" t="s">
        <v>1274</v>
      </c>
      <c r="V596" s="1" t="s">
        <v>1293</v>
      </c>
      <c r="W596" s="1" t="s">
        <v>1284</v>
      </c>
    </row>
    <row r="597" customFormat="false" ht="15" hidden="false" customHeight="true" outlineLevel="0" collapsed="false">
      <c r="A597" s="1" t="n">
        <v>0</v>
      </c>
      <c r="B597" s="1" t="s">
        <v>1132</v>
      </c>
      <c r="C597" s="1" t="n">
        <v>10875</v>
      </c>
      <c r="D597" s="1" t="n">
        <v>0</v>
      </c>
      <c r="E597" s="1" t="n">
        <v>10875</v>
      </c>
      <c r="F597" s="172" t="n">
        <v>0</v>
      </c>
      <c r="G597" s="1" t="s">
        <v>102</v>
      </c>
      <c r="H597" s="1" t="s">
        <v>139</v>
      </c>
      <c r="I597" s="1" t="n">
        <v>4898165198</v>
      </c>
      <c r="J597" s="1" t="s">
        <v>1248</v>
      </c>
      <c r="K597" s="1" t="s">
        <v>102</v>
      </c>
      <c r="L597" s="1" t="s">
        <v>139</v>
      </c>
      <c r="M597" s="1" t="n">
        <v>4898165198</v>
      </c>
      <c r="N597" s="1" t="n">
        <v>0</v>
      </c>
      <c r="O597" s="1" t="n">
        <v>906.25</v>
      </c>
      <c r="P597" s="1" t="s">
        <v>1286</v>
      </c>
      <c r="Q597" s="1" t="s">
        <v>175</v>
      </c>
      <c r="S597" s="1" t="s">
        <v>1287</v>
      </c>
      <c r="T597" s="1" t="s">
        <v>1274</v>
      </c>
      <c r="V597" s="1" t="s">
        <v>1293</v>
      </c>
      <c r="W597" s="1" t="s">
        <v>1284</v>
      </c>
    </row>
    <row r="598" customFormat="false" ht="15" hidden="false" customHeight="true" outlineLevel="0" collapsed="false">
      <c r="A598" s="1" t="n">
        <v>0</v>
      </c>
      <c r="B598" s="1" t="s">
        <v>1132</v>
      </c>
      <c r="C598" s="1" t="n">
        <v>6566.04</v>
      </c>
      <c r="D598" s="1" t="n">
        <v>0</v>
      </c>
      <c r="E598" s="1" t="n">
        <v>6566.04</v>
      </c>
      <c r="F598" s="172" t="n">
        <v>0</v>
      </c>
      <c r="G598" s="1" t="s">
        <v>110</v>
      </c>
      <c r="H598" s="1" t="s">
        <v>139</v>
      </c>
      <c r="I598" s="1" t="n">
        <v>49991912112</v>
      </c>
      <c r="J598" s="1" t="s">
        <v>1248</v>
      </c>
      <c r="K598" s="1" t="s">
        <v>110</v>
      </c>
      <c r="L598" s="1" t="s">
        <v>139</v>
      </c>
      <c r="M598" s="1" t="n">
        <v>49991912112</v>
      </c>
      <c r="N598" s="1" t="n">
        <v>0</v>
      </c>
      <c r="O598" s="1" t="n">
        <v>547.17</v>
      </c>
      <c r="P598" s="1" t="s">
        <v>1286</v>
      </c>
      <c r="Q598" s="1" t="s">
        <v>184</v>
      </c>
      <c r="S598" s="1" t="s">
        <v>1278</v>
      </c>
      <c r="T598" s="1" t="s">
        <v>1274</v>
      </c>
      <c r="V598" s="1" t="s">
        <v>1293</v>
      </c>
      <c r="W598" s="1" t="s">
        <v>1284</v>
      </c>
    </row>
    <row r="599" customFormat="false" ht="15" hidden="false" customHeight="true" outlineLevel="0" collapsed="false">
      <c r="A599" s="1" t="n">
        <v>0</v>
      </c>
      <c r="B599" s="1" t="s">
        <v>1132</v>
      </c>
      <c r="C599" s="1" t="n">
        <v>6281.25</v>
      </c>
      <c r="D599" s="1" t="n">
        <v>0</v>
      </c>
      <c r="E599" s="1" t="n">
        <v>6281.25</v>
      </c>
      <c r="F599" s="172" t="n">
        <v>0</v>
      </c>
      <c r="G599" s="1" t="s">
        <v>124</v>
      </c>
      <c r="H599" s="1" t="s">
        <v>139</v>
      </c>
      <c r="I599" s="1" t="n">
        <v>4733046797</v>
      </c>
      <c r="J599" s="1" t="s">
        <v>1248</v>
      </c>
      <c r="K599" s="1" t="s">
        <v>124</v>
      </c>
      <c r="L599" s="1" t="s">
        <v>139</v>
      </c>
      <c r="M599" s="1" t="n">
        <v>4733046797</v>
      </c>
      <c r="N599" s="1" t="n">
        <v>0</v>
      </c>
      <c r="O599" s="1" t="n">
        <v>523.44</v>
      </c>
      <c r="P599" s="1" t="s">
        <v>1286</v>
      </c>
      <c r="Q599" s="1" t="s">
        <v>108</v>
      </c>
      <c r="S599" s="1" t="s">
        <v>1278</v>
      </c>
      <c r="T599" s="1" t="s">
        <v>1279</v>
      </c>
      <c r="V599" s="1" t="s">
        <v>1293</v>
      </c>
      <c r="W599" s="1" t="s">
        <v>1284</v>
      </c>
    </row>
    <row r="600" customFormat="false" ht="15" hidden="false" customHeight="true" outlineLevel="0" collapsed="false">
      <c r="A600" s="1" t="n">
        <v>0</v>
      </c>
      <c r="B600" s="1" t="s">
        <v>1132</v>
      </c>
      <c r="C600" s="1" t="n">
        <v>10875</v>
      </c>
      <c r="D600" s="1" t="n">
        <v>0</v>
      </c>
      <c r="E600" s="1" t="n">
        <v>10875</v>
      </c>
      <c r="F600" s="172" t="n">
        <v>0</v>
      </c>
      <c r="G600" s="1" t="s">
        <v>102</v>
      </c>
      <c r="H600" s="1" t="s">
        <v>139</v>
      </c>
      <c r="I600" s="1" t="n">
        <v>4732789010</v>
      </c>
      <c r="J600" s="1" t="s">
        <v>1248</v>
      </c>
      <c r="K600" s="1" t="s">
        <v>102</v>
      </c>
      <c r="L600" s="1" t="s">
        <v>139</v>
      </c>
      <c r="M600" s="1" t="n">
        <v>4732789010</v>
      </c>
      <c r="N600" s="1" t="n">
        <v>0</v>
      </c>
      <c r="O600" s="1" t="n">
        <v>906.25</v>
      </c>
      <c r="P600" s="1" t="s">
        <v>1286</v>
      </c>
      <c r="Q600" s="1" t="s">
        <v>175</v>
      </c>
      <c r="S600" s="1" t="s">
        <v>1287</v>
      </c>
      <c r="T600" s="1" t="s">
        <v>1274</v>
      </c>
      <c r="V600" s="1" t="s">
        <v>1293</v>
      </c>
      <c r="W600" s="1" t="s">
        <v>1284</v>
      </c>
    </row>
    <row r="601" customFormat="false" ht="15" hidden="false" customHeight="true" outlineLevel="0" collapsed="false">
      <c r="A601" s="1" t="n">
        <v>0</v>
      </c>
      <c r="B601" s="1" t="s">
        <v>1132</v>
      </c>
      <c r="C601" s="1" t="n">
        <v>10706.9</v>
      </c>
      <c r="D601" s="1" t="n">
        <v>0</v>
      </c>
      <c r="E601" s="1" t="n">
        <v>10706.9</v>
      </c>
      <c r="F601" s="172" t="n">
        <v>0</v>
      </c>
      <c r="G601" s="1" t="s">
        <v>66</v>
      </c>
      <c r="H601" s="1" t="s">
        <v>139</v>
      </c>
      <c r="I601" s="1" t="n">
        <v>4799208020</v>
      </c>
      <c r="J601" s="1" t="s">
        <v>1248</v>
      </c>
      <c r="K601" s="1" t="s">
        <v>66</v>
      </c>
      <c r="L601" s="1" t="s">
        <v>139</v>
      </c>
      <c r="M601" s="1" t="n">
        <v>4799208020</v>
      </c>
      <c r="N601" s="1" t="n">
        <v>0</v>
      </c>
      <c r="O601" s="1" t="n">
        <v>892.24</v>
      </c>
      <c r="P601" s="1" t="s">
        <v>1286</v>
      </c>
      <c r="Q601" s="1" t="s">
        <v>175</v>
      </c>
      <c r="S601" s="1" t="s">
        <v>1287</v>
      </c>
      <c r="T601" s="1" t="s">
        <v>1274</v>
      </c>
      <c r="V601" s="1" t="s">
        <v>1293</v>
      </c>
      <c r="W601" s="1" t="s">
        <v>1284</v>
      </c>
    </row>
    <row r="602" customFormat="false" ht="15" hidden="false" customHeight="true" outlineLevel="0" collapsed="false">
      <c r="A602" s="1" t="n">
        <v>0</v>
      </c>
      <c r="B602" s="1" t="s">
        <v>1132</v>
      </c>
      <c r="C602" s="1" t="n">
        <v>10875</v>
      </c>
      <c r="D602" s="1" t="n">
        <v>0</v>
      </c>
      <c r="E602" s="1" t="n">
        <v>10875</v>
      </c>
      <c r="F602" s="172" t="n">
        <v>0</v>
      </c>
      <c r="G602" s="1" t="s">
        <v>102</v>
      </c>
      <c r="H602" s="1" t="s">
        <v>139</v>
      </c>
      <c r="I602" s="1" t="n">
        <v>48999144680</v>
      </c>
      <c r="J602" s="1" t="s">
        <v>1248</v>
      </c>
      <c r="K602" s="1" t="s">
        <v>102</v>
      </c>
      <c r="L602" s="1" t="s">
        <v>139</v>
      </c>
      <c r="M602" s="1" t="n">
        <v>48999144680</v>
      </c>
      <c r="N602" s="1" t="n">
        <v>0</v>
      </c>
      <c r="O602" s="1" t="n">
        <v>906.25</v>
      </c>
      <c r="P602" s="1" t="s">
        <v>1286</v>
      </c>
      <c r="Q602" s="1" t="s">
        <v>175</v>
      </c>
      <c r="S602" s="1" t="s">
        <v>1287</v>
      </c>
      <c r="T602" s="1" t="s">
        <v>1274</v>
      </c>
      <c r="V602" s="1" t="s">
        <v>1293</v>
      </c>
      <c r="W602" s="1" t="s">
        <v>1284</v>
      </c>
    </row>
    <row r="603" customFormat="false" ht="15" hidden="false" customHeight="true" outlineLevel="0" collapsed="false">
      <c r="A603" s="1" t="n">
        <v>0</v>
      </c>
      <c r="B603" s="1" t="s">
        <v>1132</v>
      </c>
      <c r="C603" s="1" t="n">
        <v>10875</v>
      </c>
      <c r="D603" s="1" t="n">
        <v>0</v>
      </c>
      <c r="E603" s="1" t="n">
        <v>10875</v>
      </c>
      <c r="F603" s="172" t="n">
        <v>0</v>
      </c>
      <c r="G603" s="1" t="s">
        <v>102</v>
      </c>
      <c r="H603" s="1" t="s">
        <v>139</v>
      </c>
      <c r="I603" s="1" t="n">
        <v>48960659374</v>
      </c>
      <c r="J603" s="1" t="s">
        <v>1248</v>
      </c>
      <c r="K603" s="1" t="s">
        <v>102</v>
      </c>
      <c r="L603" s="1" t="s">
        <v>139</v>
      </c>
      <c r="M603" s="1" t="n">
        <v>48960659374</v>
      </c>
      <c r="N603" s="1" t="n">
        <v>0</v>
      </c>
      <c r="O603" s="1" t="n">
        <v>906.25</v>
      </c>
      <c r="P603" s="1" t="s">
        <v>1286</v>
      </c>
      <c r="Q603" s="1" t="s">
        <v>175</v>
      </c>
      <c r="S603" s="1" t="s">
        <v>1287</v>
      </c>
      <c r="T603" s="1" t="s">
        <v>1274</v>
      </c>
      <c r="V603" s="1" t="s">
        <v>1293</v>
      </c>
      <c r="W603" s="1" t="s">
        <v>1284</v>
      </c>
    </row>
    <row r="604" customFormat="false" ht="15" hidden="false" customHeight="true" outlineLevel="0" collapsed="false">
      <c r="A604" s="1" t="n">
        <v>0</v>
      </c>
      <c r="B604" s="1" t="s">
        <v>1132</v>
      </c>
      <c r="C604" s="1" t="n">
        <v>10875</v>
      </c>
      <c r="D604" s="1" t="n">
        <v>0</v>
      </c>
      <c r="E604" s="1" t="n">
        <v>10875</v>
      </c>
      <c r="F604" s="172" t="n">
        <v>0</v>
      </c>
      <c r="G604" s="1" t="s">
        <v>102</v>
      </c>
      <c r="H604" s="1" t="s">
        <v>139</v>
      </c>
      <c r="I604" s="1" t="n">
        <v>4799612048</v>
      </c>
      <c r="J604" s="1" t="s">
        <v>1248</v>
      </c>
      <c r="K604" s="1" t="s">
        <v>102</v>
      </c>
      <c r="L604" s="1" t="s">
        <v>139</v>
      </c>
      <c r="M604" s="1" t="n">
        <v>4799612048</v>
      </c>
      <c r="N604" s="1" t="n">
        <v>0</v>
      </c>
      <c r="O604" s="1" t="n">
        <v>906.25</v>
      </c>
      <c r="P604" s="1" t="s">
        <v>1286</v>
      </c>
      <c r="Q604" s="1" t="s">
        <v>175</v>
      </c>
      <c r="S604" s="1" t="s">
        <v>1287</v>
      </c>
      <c r="T604" s="1" t="s">
        <v>1274</v>
      </c>
      <c r="V604" s="1" t="s">
        <v>1293</v>
      </c>
      <c r="W604" s="1" t="s">
        <v>1284</v>
      </c>
    </row>
    <row r="605" customFormat="false" ht="15" hidden="false" customHeight="true" outlineLevel="0" collapsed="false">
      <c r="A605" s="1" t="n">
        <v>0</v>
      </c>
      <c r="B605" s="1" t="s">
        <v>1132</v>
      </c>
      <c r="C605" s="1" t="n">
        <v>10875</v>
      </c>
      <c r="D605" s="1" t="n">
        <v>0</v>
      </c>
      <c r="E605" s="1" t="n">
        <v>10875</v>
      </c>
      <c r="F605" s="172" t="n">
        <v>0</v>
      </c>
      <c r="G605" s="1" t="s">
        <v>102</v>
      </c>
      <c r="H605" s="1" t="s">
        <v>139</v>
      </c>
      <c r="I605" s="1" t="n">
        <v>47339687024</v>
      </c>
      <c r="J605" s="1" t="s">
        <v>1248</v>
      </c>
      <c r="K605" s="1" t="s">
        <v>102</v>
      </c>
      <c r="L605" s="1" t="s">
        <v>139</v>
      </c>
      <c r="M605" s="1" t="n">
        <v>47339687024</v>
      </c>
      <c r="N605" s="1" t="n">
        <v>0</v>
      </c>
      <c r="O605" s="1" t="n">
        <v>906.25</v>
      </c>
      <c r="P605" s="1" t="s">
        <v>1286</v>
      </c>
      <c r="Q605" s="1" t="s">
        <v>175</v>
      </c>
      <c r="S605" s="1" t="s">
        <v>1287</v>
      </c>
      <c r="T605" s="1" t="s">
        <v>1274</v>
      </c>
      <c r="V605" s="1" t="s">
        <v>1293</v>
      </c>
      <c r="W605" s="1" t="s">
        <v>1284</v>
      </c>
    </row>
    <row r="606" customFormat="false" ht="15" hidden="false" customHeight="true" outlineLevel="0" collapsed="false">
      <c r="A606" s="1" t="n">
        <v>0</v>
      </c>
      <c r="B606" s="1" t="s">
        <v>1132</v>
      </c>
      <c r="C606" s="1" t="n">
        <v>6566.04</v>
      </c>
      <c r="D606" s="1" t="n">
        <v>0</v>
      </c>
      <c r="E606" s="1" t="n">
        <v>6566.04</v>
      </c>
      <c r="F606" s="172" t="n">
        <v>0</v>
      </c>
      <c r="G606" s="1" t="s">
        <v>110</v>
      </c>
      <c r="H606" s="1" t="s">
        <v>139</v>
      </c>
      <c r="I606" s="1" t="n">
        <v>5181182130</v>
      </c>
      <c r="J606" s="1" t="s">
        <v>1248</v>
      </c>
      <c r="K606" s="1" t="s">
        <v>110</v>
      </c>
      <c r="L606" s="1" t="s">
        <v>139</v>
      </c>
      <c r="M606" s="1" t="n">
        <v>5181182130</v>
      </c>
      <c r="N606" s="1" t="n">
        <v>0</v>
      </c>
      <c r="O606" s="1" t="n">
        <v>547.17</v>
      </c>
      <c r="P606" s="1" t="s">
        <v>1286</v>
      </c>
      <c r="Q606" s="1" t="s">
        <v>108</v>
      </c>
      <c r="S606" s="1" t="s">
        <v>1278</v>
      </c>
      <c r="T606" s="1" t="s">
        <v>1279</v>
      </c>
      <c r="V606" s="1" t="s">
        <v>1293</v>
      </c>
      <c r="W606" s="1" t="s">
        <v>1284</v>
      </c>
    </row>
    <row r="607" customFormat="false" ht="15" hidden="false" customHeight="true" outlineLevel="0" collapsed="false">
      <c r="A607" s="1" t="n">
        <v>0</v>
      </c>
      <c r="B607" s="1" t="s">
        <v>1132</v>
      </c>
      <c r="C607" s="1" t="n">
        <v>10706.9</v>
      </c>
      <c r="D607" s="1" t="n">
        <v>0</v>
      </c>
      <c r="E607" s="1" t="n">
        <v>10706.9</v>
      </c>
      <c r="F607" s="172" t="n">
        <v>0</v>
      </c>
      <c r="G607" s="1" t="s">
        <v>66</v>
      </c>
      <c r="H607" s="1" t="s">
        <v>139</v>
      </c>
      <c r="I607" s="1" t="n">
        <v>4899277117</v>
      </c>
      <c r="J607" s="1" t="s">
        <v>1248</v>
      </c>
      <c r="K607" s="1" t="s">
        <v>66</v>
      </c>
      <c r="L607" s="1" t="s">
        <v>139</v>
      </c>
      <c r="M607" s="1" t="n">
        <v>4899277117</v>
      </c>
      <c r="N607" s="1" t="n">
        <v>0</v>
      </c>
      <c r="O607" s="1" t="n">
        <v>892.24</v>
      </c>
      <c r="P607" s="1" t="s">
        <v>1286</v>
      </c>
      <c r="Q607" s="1" t="s">
        <v>175</v>
      </c>
      <c r="S607" s="1" t="s">
        <v>1278</v>
      </c>
      <c r="T607" s="1" t="s">
        <v>1274</v>
      </c>
      <c r="V607" s="1" t="s">
        <v>1293</v>
      </c>
      <c r="W607" s="1" t="s">
        <v>1284</v>
      </c>
    </row>
    <row r="608" customFormat="false" ht="15" hidden="false" customHeight="true" outlineLevel="0" collapsed="false">
      <c r="A608" s="1" t="n">
        <v>0</v>
      </c>
      <c r="B608" s="1" t="s">
        <v>1132</v>
      </c>
      <c r="C608" s="1" t="n">
        <v>7200</v>
      </c>
      <c r="D608" s="1" t="n">
        <v>0</v>
      </c>
      <c r="E608" s="1" t="n">
        <v>7200</v>
      </c>
      <c r="F608" s="172" t="n">
        <v>0</v>
      </c>
      <c r="G608" s="1" t="s">
        <v>1183</v>
      </c>
      <c r="H608" s="1" t="s">
        <v>139</v>
      </c>
      <c r="I608" s="1" t="n">
        <v>48991098332</v>
      </c>
      <c r="J608" s="1" t="s">
        <v>1248</v>
      </c>
      <c r="K608" s="1" t="s">
        <v>1183</v>
      </c>
      <c r="L608" s="1" t="s">
        <v>139</v>
      </c>
      <c r="M608" s="1" t="n">
        <v>48991098332</v>
      </c>
      <c r="N608" s="1" t="n">
        <v>0</v>
      </c>
      <c r="O608" s="1" t="n">
        <v>600</v>
      </c>
      <c r="P608" s="1" t="s">
        <v>1277</v>
      </c>
      <c r="Q608" s="1" t="s">
        <v>175</v>
      </c>
      <c r="S608" s="1" t="s">
        <v>1287</v>
      </c>
      <c r="T608" s="1" t="s">
        <v>1274</v>
      </c>
      <c r="V608" s="1" t="s">
        <v>1293</v>
      </c>
      <c r="W608" s="1" t="s">
        <v>1284</v>
      </c>
    </row>
    <row r="609" customFormat="false" ht="15" hidden="false" customHeight="true" outlineLevel="0" collapsed="false">
      <c r="A609" s="1" t="n">
        <v>0</v>
      </c>
      <c r="B609" s="1" t="s">
        <v>1132</v>
      </c>
      <c r="C609" s="1" t="n">
        <v>10875</v>
      </c>
      <c r="D609" s="1" t="n">
        <v>0</v>
      </c>
      <c r="E609" s="1" t="n">
        <v>10875</v>
      </c>
      <c r="F609" s="172" t="n">
        <v>0</v>
      </c>
      <c r="G609" s="1" t="s">
        <v>102</v>
      </c>
      <c r="H609" s="1" t="s">
        <v>139</v>
      </c>
      <c r="I609" s="1" t="n">
        <v>48991756386</v>
      </c>
      <c r="J609" s="1" t="s">
        <v>1248</v>
      </c>
      <c r="K609" s="1" t="s">
        <v>102</v>
      </c>
      <c r="L609" s="1" t="s">
        <v>139</v>
      </c>
      <c r="M609" s="1" t="n">
        <v>48991756386</v>
      </c>
      <c r="N609" s="1" t="n">
        <v>0</v>
      </c>
      <c r="O609" s="1" t="n">
        <v>906.25</v>
      </c>
      <c r="P609" s="1" t="s">
        <v>1286</v>
      </c>
      <c r="Q609" s="1" t="s">
        <v>175</v>
      </c>
      <c r="S609" s="1" t="s">
        <v>1287</v>
      </c>
      <c r="T609" s="1" t="s">
        <v>1274</v>
      </c>
      <c r="V609" s="1" t="s">
        <v>1293</v>
      </c>
      <c r="W609" s="1" t="s">
        <v>1284</v>
      </c>
    </row>
    <row r="610" customFormat="false" ht="15" hidden="false" customHeight="true" outlineLevel="0" collapsed="false">
      <c r="A610" s="1" t="n">
        <v>0</v>
      </c>
      <c r="B610" s="1" t="s">
        <v>1132</v>
      </c>
      <c r="C610" s="1" t="n">
        <v>10875</v>
      </c>
      <c r="D610" s="1" t="n">
        <v>0</v>
      </c>
      <c r="E610" s="1" t="n">
        <v>10875</v>
      </c>
      <c r="F610" s="172" t="n">
        <v>0</v>
      </c>
      <c r="G610" s="1" t="s">
        <v>102</v>
      </c>
      <c r="H610" s="1" t="s">
        <v>139</v>
      </c>
      <c r="I610" s="1" t="n">
        <v>4899944030</v>
      </c>
      <c r="J610" s="1" t="s">
        <v>1248</v>
      </c>
      <c r="K610" s="1" t="s">
        <v>102</v>
      </c>
      <c r="L610" s="1" t="s">
        <v>139</v>
      </c>
      <c r="M610" s="1" t="n">
        <v>4899944030</v>
      </c>
      <c r="N610" s="1" t="n">
        <v>0</v>
      </c>
      <c r="O610" s="1" t="n">
        <v>906.25</v>
      </c>
      <c r="P610" s="1" t="s">
        <v>1286</v>
      </c>
      <c r="Q610" s="1" t="s">
        <v>175</v>
      </c>
      <c r="S610" s="1" t="s">
        <v>1287</v>
      </c>
      <c r="T610" s="1" t="s">
        <v>1274</v>
      </c>
      <c r="V610" s="1" t="s">
        <v>1293</v>
      </c>
      <c r="W610" s="1" t="s">
        <v>1284</v>
      </c>
    </row>
    <row r="611" customFormat="false" ht="15" hidden="false" customHeight="true" outlineLevel="0" collapsed="false">
      <c r="A611" s="1" t="n">
        <v>0</v>
      </c>
      <c r="B611" s="1" t="s">
        <v>1132</v>
      </c>
      <c r="C611" s="1" t="n">
        <v>10875</v>
      </c>
      <c r="D611" s="1" t="n">
        <v>0</v>
      </c>
      <c r="E611" s="1" t="n">
        <v>10875</v>
      </c>
      <c r="F611" s="172" t="n">
        <v>0</v>
      </c>
      <c r="G611" s="1" t="s">
        <v>102</v>
      </c>
      <c r="H611" s="1" t="s">
        <v>139</v>
      </c>
      <c r="I611" s="1" t="n">
        <v>4891891718</v>
      </c>
      <c r="J611" s="1" t="s">
        <v>1248</v>
      </c>
      <c r="K611" s="1" t="s">
        <v>102</v>
      </c>
      <c r="L611" s="1" t="s">
        <v>139</v>
      </c>
      <c r="M611" s="1" t="n">
        <v>4891891718</v>
      </c>
      <c r="N611" s="1" t="n">
        <v>0</v>
      </c>
      <c r="O611" s="1" t="n">
        <v>906.25</v>
      </c>
      <c r="P611" s="1" t="s">
        <v>1286</v>
      </c>
      <c r="Q611" s="1" t="s">
        <v>175</v>
      </c>
      <c r="S611" s="1" t="s">
        <v>1287</v>
      </c>
      <c r="T611" s="1" t="s">
        <v>1274</v>
      </c>
      <c r="V611" s="1" t="s">
        <v>1293</v>
      </c>
      <c r="W611" s="1" t="s">
        <v>1284</v>
      </c>
    </row>
    <row r="612" customFormat="false" ht="15" hidden="false" customHeight="true" outlineLevel="0" collapsed="false">
      <c r="A612" s="1" t="n">
        <v>0</v>
      </c>
      <c r="B612" s="1" t="s">
        <v>1132</v>
      </c>
      <c r="C612" s="1" t="n">
        <v>10875</v>
      </c>
      <c r="D612" s="1" t="n">
        <v>0</v>
      </c>
      <c r="E612" s="1" t="n">
        <v>10875</v>
      </c>
      <c r="F612" s="172" t="n">
        <v>0</v>
      </c>
      <c r="G612" s="1" t="s">
        <v>102</v>
      </c>
      <c r="H612" s="1" t="s">
        <v>139</v>
      </c>
      <c r="I612" s="1" t="n">
        <v>4899494412</v>
      </c>
      <c r="J612" s="1" t="s">
        <v>1248</v>
      </c>
      <c r="K612" s="1" t="s">
        <v>102</v>
      </c>
      <c r="L612" s="1" t="s">
        <v>139</v>
      </c>
      <c r="M612" s="1" t="n">
        <v>4899494412</v>
      </c>
      <c r="N612" s="1" t="n">
        <v>0</v>
      </c>
      <c r="O612" s="1" t="n">
        <v>906.25</v>
      </c>
      <c r="P612" s="1" t="s">
        <v>1286</v>
      </c>
      <c r="Q612" s="1" t="s">
        <v>175</v>
      </c>
      <c r="S612" s="1" t="s">
        <v>1287</v>
      </c>
      <c r="T612" s="1" t="s">
        <v>1274</v>
      </c>
      <c r="V612" s="1" t="s">
        <v>1293</v>
      </c>
      <c r="W612" s="1" t="s">
        <v>1284</v>
      </c>
    </row>
    <row r="613" customFormat="false" ht="15" hidden="false" customHeight="true" outlineLevel="0" collapsed="false">
      <c r="A613" s="1" t="n">
        <v>0</v>
      </c>
      <c r="B613" s="1" t="s">
        <v>1132</v>
      </c>
      <c r="C613" s="1" t="n">
        <v>10875</v>
      </c>
      <c r="D613" s="1" t="n">
        <v>0</v>
      </c>
      <c r="E613" s="1" t="n">
        <v>10875</v>
      </c>
      <c r="F613" s="172" t="n">
        <v>0</v>
      </c>
      <c r="G613" s="1" t="s">
        <v>102</v>
      </c>
      <c r="H613" s="1" t="s">
        <v>139</v>
      </c>
      <c r="I613" s="1" t="n">
        <v>48343305464</v>
      </c>
      <c r="J613" s="1" t="s">
        <v>1248</v>
      </c>
      <c r="K613" s="1" t="s">
        <v>102</v>
      </c>
      <c r="L613" s="1" t="s">
        <v>139</v>
      </c>
      <c r="M613" s="1" t="n">
        <v>48343305464</v>
      </c>
      <c r="N613" s="1" t="n">
        <v>0</v>
      </c>
      <c r="O613" s="1" t="n">
        <v>906.25</v>
      </c>
      <c r="P613" s="1" t="s">
        <v>1286</v>
      </c>
      <c r="Q613" s="1" t="s">
        <v>175</v>
      </c>
      <c r="S613" s="1" t="s">
        <v>1287</v>
      </c>
      <c r="T613" s="1" t="s">
        <v>1274</v>
      </c>
      <c r="V613" s="1" t="s">
        <v>1293</v>
      </c>
      <c r="W613" s="1" t="s">
        <v>1284</v>
      </c>
    </row>
    <row r="614" customFormat="false" ht="15" hidden="false" customHeight="true" outlineLevel="0" collapsed="false">
      <c r="A614" s="1" t="n">
        <v>0</v>
      </c>
      <c r="B614" s="1" t="s">
        <v>1132</v>
      </c>
      <c r="C614" s="1" t="n">
        <v>36000</v>
      </c>
      <c r="D614" s="1" t="n">
        <v>0</v>
      </c>
      <c r="E614" s="1" t="n">
        <v>36000</v>
      </c>
      <c r="F614" s="172" t="n">
        <v>0</v>
      </c>
      <c r="G614" s="1" t="s">
        <v>1184</v>
      </c>
      <c r="H614" s="1" t="s">
        <v>109</v>
      </c>
      <c r="I614" s="1" t="n">
        <v>41988205031</v>
      </c>
      <c r="J614" s="1" t="s">
        <v>1248</v>
      </c>
      <c r="K614" s="1" t="s">
        <v>1184</v>
      </c>
      <c r="L614" s="1" t="s">
        <v>109</v>
      </c>
      <c r="M614" s="1" t="n">
        <v>41988205031</v>
      </c>
      <c r="N614" s="1" t="n">
        <v>0</v>
      </c>
      <c r="O614" s="1" t="n">
        <v>3000</v>
      </c>
      <c r="P614" s="1" t="s">
        <v>1286</v>
      </c>
      <c r="Q614" s="1" t="s">
        <v>184</v>
      </c>
      <c r="S614" s="1" t="s">
        <v>1278</v>
      </c>
      <c r="T614" s="1" t="s">
        <v>1274</v>
      </c>
      <c r="V614" s="1" t="s">
        <v>1293</v>
      </c>
      <c r="W614" s="1" t="s">
        <v>1284</v>
      </c>
    </row>
    <row r="615" customFormat="false" ht="15" hidden="false" customHeight="true" outlineLevel="0" collapsed="false">
      <c r="A615" s="1" t="n">
        <v>0</v>
      </c>
      <c r="B615" s="1" t="s">
        <v>1132</v>
      </c>
      <c r="C615" s="1" t="n">
        <v>10875</v>
      </c>
      <c r="D615" s="1" t="n">
        <v>0</v>
      </c>
      <c r="E615" s="1" t="n">
        <v>10875</v>
      </c>
      <c r="F615" s="172" t="n">
        <v>0</v>
      </c>
      <c r="G615" s="1" t="s">
        <v>102</v>
      </c>
      <c r="H615" s="1" t="s">
        <v>109</v>
      </c>
      <c r="I615" s="1" t="n">
        <v>41885835074</v>
      </c>
      <c r="J615" s="1" t="s">
        <v>1248</v>
      </c>
      <c r="K615" s="1" t="s">
        <v>102</v>
      </c>
      <c r="L615" s="1" t="s">
        <v>109</v>
      </c>
      <c r="M615" s="1" t="n">
        <v>41885835074</v>
      </c>
      <c r="N615" s="1" t="n">
        <v>0</v>
      </c>
      <c r="O615" s="1" t="n">
        <v>906.25</v>
      </c>
      <c r="P615" s="1" t="s">
        <v>1286</v>
      </c>
      <c r="Q615" s="1" t="s">
        <v>175</v>
      </c>
      <c r="S615" s="1" t="s">
        <v>1287</v>
      </c>
      <c r="T615" s="1" t="s">
        <v>1274</v>
      </c>
      <c r="V615" s="1" t="s">
        <v>1293</v>
      </c>
      <c r="W615" s="1" t="s">
        <v>1284</v>
      </c>
    </row>
    <row r="616" customFormat="false" ht="15" hidden="false" customHeight="true" outlineLevel="0" collapsed="false">
      <c r="A616" s="1" t="n">
        <v>0</v>
      </c>
      <c r="B616" s="1" t="s">
        <v>1132</v>
      </c>
      <c r="C616" s="1" t="n">
        <v>10875</v>
      </c>
      <c r="D616" s="1" t="n">
        <v>0</v>
      </c>
      <c r="E616" s="1" t="n">
        <v>10875</v>
      </c>
      <c r="F616" s="172" t="n">
        <v>0</v>
      </c>
      <c r="G616" s="1" t="s">
        <v>102</v>
      </c>
      <c r="H616" s="1" t="s">
        <v>139</v>
      </c>
      <c r="I616" s="1" t="n">
        <v>4735151264</v>
      </c>
      <c r="J616" s="1" t="s">
        <v>1248</v>
      </c>
      <c r="K616" s="1" t="s">
        <v>102</v>
      </c>
      <c r="L616" s="1" t="s">
        <v>139</v>
      </c>
      <c r="M616" s="1" t="n">
        <v>4735151264</v>
      </c>
      <c r="N616" s="1" t="n">
        <v>0</v>
      </c>
      <c r="O616" s="1" t="n">
        <v>906.25</v>
      </c>
      <c r="P616" s="1" t="s">
        <v>1286</v>
      </c>
      <c r="Q616" s="1" t="s">
        <v>175</v>
      </c>
      <c r="S616" s="1" t="s">
        <v>1287</v>
      </c>
      <c r="T616" s="1" t="s">
        <v>1274</v>
      </c>
      <c r="V616" s="1" t="s">
        <v>1293</v>
      </c>
      <c r="W616" s="1" t="s">
        <v>1284</v>
      </c>
    </row>
    <row r="617" customFormat="false" ht="15" hidden="false" customHeight="true" outlineLevel="0" collapsed="false">
      <c r="A617" s="1" t="n">
        <v>0</v>
      </c>
      <c r="B617" s="1" t="s">
        <v>1132</v>
      </c>
      <c r="C617" s="1" t="n">
        <v>10706.9</v>
      </c>
      <c r="D617" s="1" t="n">
        <v>0</v>
      </c>
      <c r="E617" s="1" t="n">
        <v>10706.9</v>
      </c>
      <c r="F617" s="172" t="n">
        <v>0</v>
      </c>
      <c r="G617" s="1" t="s">
        <v>66</v>
      </c>
      <c r="H617" s="1" t="s">
        <v>139</v>
      </c>
      <c r="I617" s="1" t="n">
        <v>4899350025</v>
      </c>
      <c r="J617" s="1" t="s">
        <v>1248</v>
      </c>
      <c r="K617" s="1" t="s">
        <v>66</v>
      </c>
      <c r="L617" s="1" t="s">
        <v>139</v>
      </c>
      <c r="M617" s="1" t="n">
        <v>4899350025</v>
      </c>
      <c r="N617" s="1" t="n">
        <v>0</v>
      </c>
      <c r="O617" s="1" t="n">
        <v>892.24</v>
      </c>
      <c r="P617" s="1" t="s">
        <v>1286</v>
      </c>
      <c r="Q617" s="1" t="s">
        <v>175</v>
      </c>
      <c r="S617" s="1" t="s">
        <v>1278</v>
      </c>
      <c r="T617" s="1" t="s">
        <v>1274</v>
      </c>
      <c r="V617" s="1" t="s">
        <v>1293</v>
      </c>
      <c r="W617" s="1" t="s">
        <v>1284</v>
      </c>
    </row>
    <row r="618" customFormat="false" ht="15" hidden="false" customHeight="true" outlineLevel="0" collapsed="false">
      <c r="A618" s="1" t="n">
        <v>0</v>
      </c>
      <c r="B618" s="1" t="s">
        <v>1132</v>
      </c>
      <c r="C618" s="1" t="n">
        <v>6566.04</v>
      </c>
      <c r="D618" s="1" t="n">
        <v>0</v>
      </c>
      <c r="E618" s="1" t="n">
        <v>6566.04</v>
      </c>
      <c r="F618" s="172" t="n">
        <v>0</v>
      </c>
      <c r="G618" s="1" t="s">
        <v>110</v>
      </c>
      <c r="H618" s="1" t="s">
        <v>101</v>
      </c>
      <c r="I618" s="1" t="n">
        <v>6630153509</v>
      </c>
      <c r="J618" s="1" t="s">
        <v>1248</v>
      </c>
      <c r="K618" s="1" t="s">
        <v>110</v>
      </c>
      <c r="L618" s="1" t="s">
        <v>101</v>
      </c>
      <c r="M618" s="1" t="n">
        <v>6630153509</v>
      </c>
      <c r="N618" s="1" t="n">
        <v>0</v>
      </c>
      <c r="O618" s="1" t="n">
        <v>547.17</v>
      </c>
      <c r="P618" s="1" t="s">
        <v>1286</v>
      </c>
      <c r="Q618" s="1" t="s">
        <v>184</v>
      </c>
      <c r="S618" s="1" t="s">
        <v>1278</v>
      </c>
      <c r="T618" s="1" t="s">
        <v>1274</v>
      </c>
      <c r="V618" s="1" t="s">
        <v>1293</v>
      </c>
      <c r="W618" s="1" t="s">
        <v>1284</v>
      </c>
    </row>
    <row r="619" customFormat="false" ht="15" hidden="false" customHeight="true" outlineLevel="0" collapsed="false">
      <c r="A619" s="1" t="n">
        <v>0</v>
      </c>
      <c r="B619" s="1" t="s">
        <v>1132</v>
      </c>
      <c r="C619" s="1" t="n">
        <v>10706.9</v>
      </c>
      <c r="D619" s="1" t="n">
        <v>0</v>
      </c>
      <c r="E619" s="1" t="n">
        <v>10706.9</v>
      </c>
      <c r="F619" s="172" t="n">
        <v>0</v>
      </c>
      <c r="G619" s="1" t="s">
        <v>66</v>
      </c>
      <c r="H619" s="1" t="s">
        <v>139</v>
      </c>
      <c r="I619" s="1" t="n">
        <v>4899208020</v>
      </c>
      <c r="J619" s="1" t="s">
        <v>1248</v>
      </c>
      <c r="K619" s="1" t="s">
        <v>66</v>
      </c>
      <c r="L619" s="1" t="s">
        <v>139</v>
      </c>
      <c r="M619" s="1" t="n">
        <v>4899208020</v>
      </c>
      <c r="N619" s="1" t="n">
        <v>0</v>
      </c>
      <c r="O619" s="1" t="n">
        <v>892.24</v>
      </c>
      <c r="P619" s="1" t="s">
        <v>1286</v>
      </c>
      <c r="Q619" s="1" t="s">
        <v>175</v>
      </c>
      <c r="S619" s="1" t="s">
        <v>1287</v>
      </c>
      <c r="T619" s="1" t="s">
        <v>1274</v>
      </c>
      <c r="V619" s="1" t="s">
        <v>1293</v>
      </c>
      <c r="W619" s="1" t="s">
        <v>1284</v>
      </c>
    </row>
    <row r="620" customFormat="false" ht="15" hidden="false" customHeight="true" outlineLevel="0" collapsed="false">
      <c r="A620" s="1" t="n">
        <v>0</v>
      </c>
      <c r="B620" s="1" t="s">
        <v>1132</v>
      </c>
      <c r="C620" s="1" t="n">
        <v>10706.9</v>
      </c>
      <c r="D620" s="1" t="n">
        <v>0</v>
      </c>
      <c r="E620" s="1" t="n">
        <v>10706.9</v>
      </c>
      <c r="F620" s="172" t="n">
        <v>0</v>
      </c>
      <c r="G620" s="1" t="s">
        <v>66</v>
      </c>
      <c r="H620" s="1" t="s">
        <v>139</v>
      </c>
      <c r="I620" s="1" t="n">
        <v>5199217941</v>
      </c>
      <c r="J620" s="1" t="s">
        <v>1248</v>
      </c>
      <c r="K620" s="1" t="s">
        <v>66</v>
      </c>
      <c r="L620" s="1" t="s">
        <v>139</v>
      </c>
      <c r="M620" s="1" t="n">
        <v>5199217941</v>
      </c>
      <c r="N620" s="1" t="n">
        <v>0</v>
      </c>
      <c r="O620" s="1" t="n">
        <v>892.24</v>
      </c>
      <c r="P620" s="1" t="s">
        <v>1286</v>
      </c>
      <c r="Q620" s="1" t="s">
        <v>175</v>
      </c>
      <c r="S620" s="1" t="s">
        <v>1278</v>
      </c>
      <c r="T620" s="1" t="s">
        <v>1274</v>
      </c>
      <c r="V620" s="1" t="s">
        <v>1293</v>
      </c>
      <c r="W620" s="1" t="s">
        <v>1284</v>
      </c>
    </row>
    <row r="621" customFormat="false" ht="15" hidden="false" customHeight="true" outlineLevel="0" collapsed="false">
      <c r="A621" s="1" t="n">
        <v>0</v>
      </c>
      <c r="B621" s="1" t="s">
        <v>1132</v>
      </c>
      <c r="C621" s="1" t="n">
        <v>6000</v>
      </c>
      <c r="D621" s="1" t="n">
        <v>0</v>
      </c>
      <c r="E621" s="1" t="n">
        <v>6000</v>
      </c>
      <c r="F621" s="172" t="n">
        <v>0</v>
      </c>
      <c r="G621" s="1" t="s">
        <v>289</v>
      </c>
      <c r="H621" s="1" t="s">
        <v>260</v>
      </c>
      <c r="I621" s="1" t="n">
        <v>2196652683</v>
      </c>
      <c r="J621" s="1" t="s">
        <v>1248</v>
      </c>
      <c r="K621" s="1" t="s">
        <v>289</v>
      </c>
      <c r="L621" s="1" t="s">
        <v>260</v>
      </c>
      <c r="M621" s="1" t="n">
        <v>2196652683</v>
      </c>
      <c r="N621" s="1" t="n">
        <v>0</v>
      </c>
      <c r="O621" s="1" t="n">
        <v>500</v>
      </c>
      <c r="P621" s="1" t="s">
        <v>1286</v>
      </c>
      <c r="Q621" s="1" t="s">
        <v>100</v>
      </c>
      <c r="S621" s="1" t="s">
        <v>1004</v>
      </c>
      <c r="T621" s="1" t="s">
        <v>1274</v>
      </c>
      <c r="V621" s="1" t="s">
        <v>1293</v>
      </c>
      <c r="W621" s="1" t="s">
        <v>1284</v>
      </c>
    </row>
    <row r="622" customFormat="false" ht="15" hidden="false" customHeight="true" outlineLevel="0" collapsed="false">
      <c r="A622" s="1" t="n">
        <v>0</v>
      </c>
      <c r="B622" s="1" t="s">
        <v>1132</v>
      </c>
      <c r="C622" s="1" t="n">
        <v>10875</v>
      </c>
      <c r="D622" s="1" t="n">
        <v>0</v>
      </c>
      <c r="E622" s="1" t="n">
        <v>10875</v>
      </c>
      <c r="F622" s="172" t="n">
        <v>0</v>
      </c>
      <c r="G622" s="1" t="s">
        <v>102</v>
      </c>
      <c r="H622" s="1" t="s">
        <v>139</v>
      </c>
      <c r="I622" s="1" t="n">
        <v>4784679894</v>
      </c>
      <c r="J622" s="1" t="s">
        <v>1248</v>
      </c>
      <c r="K622" s="1" t="s">
        <v>102</v>
      </c>
      <c r="L622" s="1" t="s">
        <v>139</v>
      </c>
      <c r="M622" s="1" t="n">
        <v>4784679894</v>
      </c>
      <c r="N622" s="1" t="n">
        <v>0</v>
      </c>
      <c r="O622" s="1" t="n">
        <v>906.25</v>
      </c>
      <c r="P622" s="1" t="s">
        <v>1286</v>
      </c>
      <c r="Q622" s="1" t="s">
        <v>175</v>
      </c>
      <c r="S622" s="1" t="s">
        <v>1287</v>
      </c>
      <c r="T622" s="1" t="s">
        <v>1274</v>
      </c>
      <c r="V622" s="1" t="s">
        <v>1293</v>
      </c>
      <c r="W622" s="1" t="s">
        <v>1284</v>
      </c>
    </row>
    <row r="623" customFormat="false" ht="15" hidden="false" customHeight="true" outlineLevel="0" collapsed="false">
      <c r="A623" s="1" t="n">
        <v>0</v>
      </c>
      <c r="B623" s="1" t="s">
        <v>1132</v>
      </c>
      <c r="C623" s="1" t="n">
        <v>10706.9</v>
      </c>
      <c r="D623" s="1" t="n">
        <v>0</v>
      </c>
      <c r="E623" s="1" t="n">
        <v>10706.9</v>
      </c>
      <c r="F623" s="172" t="n">
        <v>0</v>
      </c>
      <c r="G623" s="1" t="s">
        <v>66</v>
      </c>
      <c r="H623" s="1" t="s">
        <v>139</v>
      </c>
      <c r="I623" s="1" t="n">
        <v>4888199013</v>
      </c>
      <c r="J623" s="1" t="s">
        <v>1248</v>
      </c>
      <c r="K623" s="1" t="s">
        <v>66</v>
      </c>
      <c r="L623" s="1" t="s">
        <v>139</v>
      </c>
      <c r="M623" s="1" t="n">
        <v>4888199013</v>
      </c>
      <c r="N623" s="1" t="n">
        <v>0</v>
      </c>
      <c r="O623" s="1" t="n">
        <v>892.24</v>
      </c>
      <c r="P623" s="1" t="s">
        <v>1286</v>
      </c>
      <c r="Q623" s="1" t="s">
        <v>175</v>
      </c>
      <c r="S623" s="1" t="s">
        <v>1278</v>
      </c>
      <c r="T623" s="1" t="s">
        <v>1274</v>
      </c>
      <c r="V623" s="1" t="s">
        <v>1293</v>
      </c>
      <c r="W623" s="1" t="s">
        <v>1284</v>
      </c>
    </row>
    <row r="624" customFormat="false" ht="15" hidden="false" customHeight="true" outlineLevel="0" collapsed="false">
      <c r="A624" s="1" t="n">
        <v>0</v>
      </c>
      <c r="B624" s="1" t="s">
        <v>1132</v>
      </c>
      <c r="C624" s="1" t="n">
        <v>10875</v>
      </c>
      <c r="D624" s="1" t="n">
        <v>0</v>
      </c>
      <c r="E624" s="1" t="n">
        <v>10875</v>
      </c>
      <c r="F624" s="172" t="n">
        <v>0</v>
      </c>
      <c r="G624" s="1" t="s">
        <v>102</v>
      </c>
      <c r="H624" s="1" t="s">
        <v>139</v>
      </c>
      <c r="I624" s="1" t="n">
        <v>4830585741</v>
      </c>
      <c r="J624" s="1" t="s">
        <v>1248</v>
      </c>
      <c r="K624" s="1" t="s">
        <v>102</v>
      </c>
      <c r="L624" s="1" t="s">
        <v>139</v>
      </c>
      <c r="M624" s="1" t="n">
        <v>4830585741</v>
      </c>
      <c r="N624" s="1" t="n">
        <v>0</v>
      </c>
      <c r="O624" s="1" t="n">
        <v>906.25</v>
      </c>
      <c r="P624" s="1" t="s">
        <v>1286</v>
      </c>
      <c r="Q624" s="1" t="s">
        <v>175</v>
      </c>
      <c r="S624" s="1" t="s">
        <v>1287</v>
      </c>
      <c r="T624" s="1" t="s">
        <v>1274</v>
      </c>
      <c r="V624" s="1" t="s">
        <v>1293</v>
      </c>
      <c r="W624" s="1" t="s">
        <v>1284</v>
      </c>
    </row>
    <row r="625" customFormat="false" ht="15" hidden="false" customHeight="true" outlineLevel="0" collapsed="false">
      <c r="A625" s="1" t="n">
        <v>0</v>
      </c>
      <c r="B625" s="1" t="s">
        <v>1132</v>
      </c>
      <c r="C625" s="1" t="n">
        <v>10200</v>
      </c>
      <c r="D625" s="1" t="n">
        <v>0</v>
      </c>
      <c r="E625" s="1" t="n">
        <v>10200</v>
      </c>
      <c r="F625" s="172" t="n">
        <v>0</v>
      </c>
      <c r="G625" s="1" t="s">
        <v>115</v>
      </c>
      <c r="H625" s="1" t="s">
        <v>243</v>
      </c>
      <c r="I625" s="1" t="n">
        <v>71993025896</v>
      </c>
      <c r="J625" s="1" t="s">
        <v>1248</v>
      </c>
      <c r="K625" s="1" t="s">
        <v>115</v>
      </c>
      <c r="L625" s="1" t="s">
        <v>243</v>
      </c>
      <c r="M625" s="1" t="n">
        <v>71993025896</v>
      </c>
      <c r="N625" s="1" t="n">
        <v>0</v>
      </c>
      <c r="O625" s="1" t="n">
        <v>850</v>
      </c>
      <c r="P625" s="1" t="s">
        <v>1286</v>
      </c>
      <c r="Q625" s="1" t="s">
        <v>100</v>
      </c>
      <c r="S625" s="1" t="s">
        <v>1004</v>
      </c>
      <c r="T625" s="1" t="s">
        <v>1274</v>
      </c>
      <c r="V625" s="1" t="s">
        <v>1293</v>
      </c>
      <c r="W625" s="1" t="s">
        <v>1284</v>
      </c>
    </row>
    <row r="626" customFormat="false" ht="15" hidden="false" customHeight="true" outlineLevel="0" collapsed="false">
      <c r="A626" s="1" t="n">
        <v>0</v>
      </c>
      <c r="B626" s="1" t="s">
        <v>1132</v>
      </c>
      <c r="C626" s="1" t="n">
        <v>6000</v>
      </c>
      <c r="D626" s="1" t="n">
        <v>0</v>
      </c>
      <c r="E626" s="1" t="n">
        <v>6000</v>
      </c>
      <c r="F626" s="172" t="n">
        <v>0</v>
      </c>
      <c r="G626" s="1" t="s">
        <v>289</v>
      </c>
      <c r="H626" s="1" t="s">
        <v>260</v>
      </c>
      <c r="I626" s="1" t="n">
        <v>2137880348</v>
      </c>
      <c r="J626" s="1" t="s">
        <v>1248</v>
      </c>
      <c r="K626" s="1" t="s">
        <v>289</v>
      </c>
      <c r="L626" s="1" t="s">
        <v>260</v>
      </c>
      <c r="M626" s="1" t="n">
        <v>2137880348</v>
      </c>
      <c r="N626" s="1" t="n">
        <v>0</v>
      </c>
      <c r="O626" s="1" t="n">
        <v>500</v>
      </c>
      <c r="P626" s="1" t="s">
        <v>1286</v>
      </c>
      <c r="Q626" s="1" t="s">
        <v>100</v>
      </c>
      <c r="S626" s="1" t="s">
        <v>1004</v>
      </c>
      <c r="T626" s="1" t="s">
        <v>1274</v>
      </c>
      <c r="V626" s="1" t="s">
        <v>1293</v>
      </c>
      <c r="W626" s="1" t="s">
        <v>1284</v>
      </c>
    </row>
    <row r="627" customFormat="false" ht="15" hidden="false" customHeight="true" outlineLevel="0" collapsed="false">
      <c r="A627" s="1" t="n">
        <v>0</v>
      </c>
      <c r="B627" s="1" t="s">
        <v>1132</v>
      </c>
      <c r="C627" s="1" t="n">
        <v>5615.5</v>
      </c>
      <c r="D627" s="1" t="n">
        <v>0</v>
      </c>
      <c r="E627" s="1" t="n">
        <v>5615.5</v>
      </c>
      <c r="F627" s="172" t="n">
        <v>0</v>
      </c>
      <c r="G627" s="1" t="s">
        <v>123</v>
      </c>
      <c r="H627" s="1" t="s">
        <v>109</v>
      </c>
      <c r="I627" s="1" t="n">
        <v>11932574943</v>
      </c>
      <c r="J627" s="1" t="s">
        <v>1248</v>
      </c>
      <c r="K627" s="1" t="s">
        <v>104</v>
      </c>
      <c r="L627" s="1" t="s">
        <v>109</v>
      </c>
      <c r="M627" s="1" t="n">
        <v>11932574943</v>
      </c>
      <c r="N627" s="1" t="n">
        <v>0</v>
      </c>
      <c r="O627" s="1" t="n">
        <v>467.96</v>
      </c>
      <c r="P627" s="1" t="s">
        <v>1277</v>
      </c>
      <c r="Q627" s="1" t="s">
        <v>108</v>
      </c>
      <c r="S627" s="1" t="s">
        <v>1278</v>
      </c>
      <c r="T627" s="1" t="s">
        <v>1274</v>
      </c>
      <c r="V627" s="1" t="s">
        <v>1293</v>
      </c>
      <c r="W627" s="1" t="s">
        <v>1276</v>
      </c>
    </row>
    <row r="628" customFormat="false" ht="15" hidden="false" customHeight="true" outlineLevel="0" collapsed="false">
      <c r="A628" s="1" t="n">
        <v>0</v>
      </c>
      <c r="B628" s="1" t="s">
        <v>1132</v>
      </c>
      <c r="C628" s="1" t="n">
        <v>6281.25</v>
      </c>
      <c r="D628" s="1" t="n">
        <v>0</v>
      </c>
      <c r="E628" s="1" t="n">
        <v>6281.25</v>
      </c>
      <c r="F628" s="172" t="n">
        <v>0</v>
      </c>
      <c r="G628" s="1" t="s">
        <v>124</v>
      </c>
      <c r="H628" s="1" t="s">
        <v>311</v>
      </c>
      <c r="I628" s="1" t="n">
        <v>6133633809</v>
      </c>
      <c r="J628" s="1" t="s">
        <v>1248</v>
      </c>
      <c r="K628" s="1" t="s">
        <v>124</v>
      </c>
      <c r="L628" s="1" t="s">
        <v>311</v>
      </c>
      <c r="M628" s="1" t="n">
        <v>6133633809</v>
      </c>
      <c r="N628" s="1" t="n">
        <v>0</v>
      </c>
      <c r="O628" s="1" t="n">
        <v>523.44</v>
      </c>
      <c r="P628" s="1" t="s">
        <v>1286</v>
      </c>
      <c r="Q628" s="1" t="s">
        <v>184</v>
      </c>
      <c r="S628" s="1" t="s">
        <v>1278</v>
      </c>
      <c r="T628" s="1" t="s">
        <v>1274</v>
      </c>
      <c r="V628" s="1" t="s">
        <v>1293</v>
      </c>
      <c r="W628" s="1" t="s">
        <v>1284</v>
      </c>
    </row>
    <row r="629" customFormat="false" ht="15" hidden="false" customHeight="true" outlineLevel="0" collapsed="false">
      <c r="A629" s="1" t="n">
        <v>0</v>
      </c>
      <c r="B629" s="1" t="s">
        <v>1132</v>
      </c>
      <c r="C629" s="1" t="n">
        <v>5615.5</v>
      </c>
      <c r="D629" s="1" t="n">
        <v>0</v>
      </c>
      <c r="E629" s="1" t="n">
        <v>5615.5</v>
      </c>
      <c r="F629" s="172" t="n">
        <v>0</v>
      </c>
      <c r="G629" s="1" t="s">
        <v>123</v>
      </c>
      <c r="H629" s="1" t="s">
        <v>196</v>
      </c>
      <c r="I629" s="1" t="n">
        <v>5196887423</v>
      </c>
      <c r="J629" s="1" t="s">
        <v>1248</v>
      </c>
      <c r="K629" s="1" t="s">
        <v>104</v>
      </c>
      <c r="L629" s="1" t="s">
        <v>196</v>
      </c>
      <c r="M629" s="1" t="n">
        <v>5196887423</v>
      </c>
      <c r="N629" s="1" t="n">
        <v>0</v>
      </c>
      <c r="O629" s="1" t="n">
        <v>467.96</v>
      </c>
      <c r="P629" s="1" t="s">
        <v>1277</v>
      </c>
      <c r="Q629" s="1" t="s">
        <v>108</v>
      </c>
      <c r="S629" s="1" t="s">
        <v>1278</v>
      </c>
      <c r="T629" s="1" t="s">
        <v>1279</v>
      </c>
      <c r="V629" s="1" t="s">
        <v>1293</v>
      </c>
      <c r="W629" s="1" t="s">
        <v>1276</v>
      </c>
    </row>
    <row r="630" customFormat="false" ht="15" hidden="false" customHeight="true" outlineLevel="0" collapsed="false">
      <c r="A630" s="1" t="n">
        <v>0</v>
      </c>
      <c r="B630" s="1" t="s">
        <v>1132</v>
      </c>
      <c r="C630" s="1" t="n">
        <v>6281.25</v>
      </c>
      <c r="D630" s="1" t="n">
        <v>0</v>
      </c>
      <c r="E630" s="1" t="n">
        <v>6281.25</v>
      </c>
      <c r="F630" s="172" t="n">
        <v>0</v>
      </c>
      <c r="G630" s="1" t="s">
        <v>124</v>
      </c>
      <c r="H630" s="1" t="s">
        <v>281</v>
      </c>
      <c r="I630" s="1" t="n">
        <v>6181292671</v>
      </c>
      <c r="J630" s="1" t="s">
        <v>1248</v>
      </c>
      <c r="K630" s="1" t="s">
        <v>124</v>
      </c>
      <c r="L630" s="1" t="s">
        <v>281</v>
      </c>
      <c r="M630" s="1" t="n">
        <v>6181292671</v>
      </c>
      <c r="N630" s="1" t="n">
        <v>0</v>
      </c>
      <c r="O630" s="1" t="n">
        <v>523.44</v>
      </c>
      <c r="P630" s="1" t="s">
        <v>1286</v>
      </c>
      <c r="Q630" s="1" t="s">
        <v>108</v>
      </c>
      <c r="S630" s="1" t="s">
        <v>1278</v>
      </c>
      <c r="T630" s="1" t="s">
        <v>1279</v>
      </c>
      <c r="V630" s="1" t="s">
        <v>1293</v>
      </c>
      <c r="W630" s="1" t="s">
        <v>1284</v>
      </c>
    </row>
    <row r="631" customFormat="false" ht="15" hidden="false" customHeight="true" outlineLevel="0" collapsed="false">
      <c r="A631" s="1" t="n">
        <v>0</v>
      </c>
      <c r="B631" s="1" t="s">
        <v>1132</v>
      </c>
      <c r="C631" s="1" t="n">
        <v>5615.5</v>
      </c>
      <c r="D631" s="1" t="n">
        <v>0</v>
      </c>
      <c r="E631" s="1" t="n">
        <v>5615.5</v>
      </c>
      <c r="F631" s="172" t="n">
        <v>0</v>
      </c>
      <c r="G631" s="1" t="s">
        <v>123</v>
      </c>
      <c r="H631" s="1" t="s">
        <v>109</v>
      </c>
      <c r="I631" s="1" t="n">
        <v>4132763516</v>
      </c>
      <c r="J631" s="1" t="s">
        <v>1248</v>
      </c>
      <c r="K631" s="1" t="s">
        <v>104</v>
      </c>
      <c r="L631" s="1" t="s">
        <v>109</v>
      </c>
      <c r="M631" s="1" t="n">
        <v>4132763516</v>
      </c>
      <c r="N631" s="1" t="n">
        <v>0</v>
      </c>
      <c r="O631" s="1" t="n">
        <v>467.96</v>
      </c>
      <c r="P631" s="1" t="s">
        <v>1277</v>
      </c>
      <c r="Q631" s="1" t="s">
        <v>108</v>
      </c>
      <c r="S631" s="1" t="s">
        <v>1278</v>
      </c>
      <c r="T631" s="1" t="s">
        <v>1279</v>
      </c>
      <c r="V631" s="1" t="s">
        <v>1293</v>
      </c>
      <c r="W631" s="1" t="s">
        <v>1276</v>
      </c>
    </row>
    <row r="632" customFormat="false" ht="15" hidden="false" customHeight="true" outlineLevel="0" collapsed="false">
      <c r="A632" s="1" t="n">
        <v>0</v>
      </c>
      <c r="B632" s="1" t="s">
        <v>1132</v>
      </c>
      <c r="C632" s="1" t="n">
        <v>6566.04</v>
      </c>
      <c r="D632" s="1" t="n">
        <v>0</v>
      </c>
      <c r="E632" s="1" t="n">
        <v>6566.04</v>
      </c>
      <c r="F632" s="172" t="n">
        <v>0</v>
      </c>
      <c r="G632" s="1" t="s">
        <v>110</v>
      </c>
      <c r="H632" s="1" t="s">
        <v>1114</v>
      </c>
      <c r="I632" s="1" t="n">
        <v>9281536452</v>
      </c>
      <c r="J632" s="1" t="s">
        <v>1248</v>
      </c>
      <c r="K632" s="1" t="s">
        <v>110</v>
      </c>
      <c r="L632" s="1" t="s">
        <v>1114</v>
      </c>
      <c r="M632" s="1" t="n">
        <v>9281536452</v>
      </c>
      <c r="N632" s="1" t="n">
        <v>0</v>
      </c>
      <c r="O632" s="1" t="n">
        <v>547.17</v>
      </c>
      <c r="P632" s="1" t="s">
        <v>1286</v>
      </c>
      <c r="Q632" s="1" t="s">
        <v>100</v>
      </c>
      <c r="S632" s="1" t="s">
        <v>1004</v>
      </c>
      <c r="T632" s="1" t="s">
        <v>1274</v>
      </c>
      <c r="V632" s="1" t="s">
        <v>1293</v>
      </c>
      <c r="W632" s="1" t="s">
        <v>1284</v>
      </c>
    </row>
    <row r="633" customFormat="false" ht="15" hidden="false" customHeight="true" outlineLevel="0" collapsed="false">
      <c r="A633" s="1" t="n">
        <v>0</v>
      </c>
      <c r="B633" s="1" t="s">
        <v>1132</v>
      </c>
      <c r="C633" s="1" t="n">
        <v>6281.25</v>
      </c>
      <c r="D633" s="1" t="n">
        <v>0</v>
      </c>
      <c r="E633" s="1" t="n">
        <v>6281.25</v>
      </c>
      <c r="F633" s="172" t="n">
        <v>0</v>
      </c>
      <c r="G633" s="1" t="s">
        <v>124</v>
      </c>
      <c r="H633" s="1" t="s">
        <v>420</v>
      </c>
      <c r="I633" s="1" t="n">
        <v>9996311517</v>
      </c>
      <c r="J633" s="1" t="s">
        <v>1248</v>
      </c>
      <c r="K633" s="1" t="s">
        <v>124</v>
      </c>
      <c r="L633" s="1" t="s">
        <v>420</v>
      </c>
      <c r="M633" s="1" t="n">
        <v>9996311517</v>
      </c>
      <c r="N633" s="1" t="n">
        <v>0</v>
      </c>
      <c r="O633" s="1" t="n">
        <v>523.44</v>
      </c>
      <c r="P633" s="1" t="s">
        <v>1286</v>
      </c>
      <c r="Q633" s="1" t="s">
        <v>184</v>
      </c>
      <c r="S633" s="1" t="s">
        <v>1278</v>
      </c>
      <c r="T633" s="1" t="s">
        <v>1274</v>
      </c>
      <c r="V633" s="1" t="s">
        <v>1293</v>
      </c>
      <c r="W633" s="1" t="s">
        <v>1284</v>
      </c>
    </row>
    <row r="634" customFormat="false" ht="15" hidden="false" customHeight="true" outlineLevel="0" collapsed="false">
      <c r="A634" s="1" t="n">
        <v>0</v>
      </c>
      <c r="B634" s="1" t="s">
        <v>1132</v>
      </c>
      <c r="C634" s="1" t="n">
        <v>8833.33</v>
      </c>
      <c r="D634" s="1" t="n">
        <v>0</v>
      </c>
      <c r="E634" s="1" t="n">
        <v>8833.33</v>
      </c>
      <c r="F634" s="172" t="n">
        <v>0</v>
      </c>
      <c r="G634" s="1" t="s">
        <v>1289</v>
      </c>
      <c r="H634" s="1" t="s">
        <v>196</v>
      </c>
      <c r="I634" s="1" t="n">
        <v>54999710194</v>
      </c>
      <c r="J634" s="1" t="s">
        <v>1248</v>
      </c>
      <c r="K634" s="1" t="s">
        <v>128</v>
      </c>
      <c r="L634" s="1" t="s">
        <v>196</v>
      </c>
      <c r="M634" s="1" t="n">
        <v>54999710194</v>
      </c>
      <c r="N634" s="1" t="n">
        <v>0</v>
      </c>
      <c r="O634" s="1" t="n">
        <v>736.11</v>
      </c>
      <c r="P634" s="1" t="s">
        <v>1286</v>
      </c>
      <c r="Q634" s="1" t="s">
        <v>184</v>
      </c>
      <c r="S634" s="1" t="s">
        <v>1278</v>
      </c>
      <c r="T634" s="1" t="s">
        <v>1274</v>
      </c>
      <c r="V634" s="1" t="s">
        <v>1293</v>
      </c>
      <c r="W634" s="1" t="s">
        <v>1284</v>
      </c>
    </row>
    <row r="635" customFormat="false" ht="15" hidden="false" customHeight="true" outlineLevel="0" collapsed="false">
      <c r="A635" s="1" t="n">
        <v>0</v>
      </c>
      <c r="B635" s="1" t="s">
        <v>1132</v>
      </c>
      <c r="C635" s="1" t="n">
        <v>10875</v>
      </c>
      <c r="D635" s="1" t="n">
        <v>0</v>
      </c>
      <c r="E635" s="1" t="n">
        <v>10875</v>
      </c>
      <c r="F635" s="172" t="n">
        <v>0</v>
      </c>
      <c r="G635" s="1" t="s">
        <v>102</v>
      </c>
      <c r="H635" s="1" t="s">
        <v>139</v>
      </c>
      <c r="I635" s="1" t="n">
        <v>4896466193</v>
      </c>
      <c r="J635" s="1" t="s">
        <v>1248</v>
      </c>
      <c r="K635" s="1" t="s">
        <v>102</v>
      </c>
      <c r="L635" s="1" t="s">
        <v>139</v>
      </c>
      <c r="M635" s="1" t="n">
        <v>4896466193</v>
      </c>
      <c r="N635" s="1" t="n">
        <v>0</v>
      </c>
      <c r="O635" s="1" t="n">
        <v>906.25</v>
      </c>
      <c r="P635" s="1" t="s">
        <v>1286</v>
      </c>
      <c r="Q635" s="1" t="s">
        <v>175</v>
      </c>
      <c r="S635" s="1" t="s">
        <v>1287</v>
      </c>
      <c r="T635" s="1" t="s">
        <v>1274</v>
      </c>
      <c r="V635" s="1" t="s">
        <v>1293</v>
      </c>
      <c r="W635" s="1" t="s">
        <v>1284</v>
      </c>
    </row>
    <row r="636" customFormat="false" ht="15" hidden="false" customHeight="true" outlineLevel="0" collapsed="false">
      <c r="A636" s="1" t="n">
        <v>0</v>
      </c>
      <c r="B636" s="1" t="s">
        <v>1132</v>
      </c>
      <c r="C636" s="1" t="n">
        <v>10200</v>
      </c>
      <c r="D636" s="1" t="n">
        <v>0</v>
      </c>
      <c r="E636" s="1" t="n">
        <v>10200</v>
      </c>
      <c r="F636" s="172" t="n">
        <v>0</v>
      </c>
      <c r="G636" s="1" t="s">
        <v>115</v>
      </c>
      <c r="H636" s="1" t="s">
        <v>119</v>
      </c>
      <c r="I636" s="1" t="n">
        <v>11977926459</v>
      </c>
      <c r="J636" s="1" t="s">
        <v>1248</v>
      </c>
      <c r="K636" s="1" t="s">
        <v>115</v>
      </c>
      <c r="L636" s="1" t="s">
        <v>119</v>
      </c>
      <c r="M636" s="1" t="n">
        <v>11977926459</v>
      </c>
      <c r="N636" s="1" t="n">
        <v>0</v>
      </c>
      <c r="O636" s="1" t="n">
        <v>850</v>
      </c>
      <c r="P636" s="1" t="s">
        <v>1286</v>
      </c>
      <c r="Q636" s="1" t="s">
        <v>184</v>
      </c>
      <c r="S636" s="1" t="s">
        <v>1278</v>
      </c>
      <c r="T636" s="1" t="s">
        <v>1274</v>
      </c>
      <c r="V636" s="1" t="s">
        <v>1293</v>
      </c>
      <c r="W636" s="1" t="s">
        <v>1284</v>
      </c>
    </row>
    <row r="637" customFormat="false" ht="15" hidden="false" customHeight="true" outlineLevel="0" collapsed="false">
      <c r="A637" s="1" t="n">
        <v>0</v>
      </c>
      <c r="B637" s="1" t="s">
        <v>1132</v>
      </c>
      <c r="C637" s="1" t="n">
        <v>6281.25</v>
      </c>
      <c r="D637" s="1" t="n">
        <v>0</v>
      </c>
      <c r="E637" s="1" t="n">
        <v>6281.25</v>
      </c>
      <c r="F637" s="172" t="n">
        <v>0</v>
      </c>
      <c r="G637" s="1" t="s">
        <v>124</v>
      </c>
      <c r="H637" s="1" t="s">
        <v>260</v>
      </c>
      <c r="I637" s="1" t="n">
        <v>24993043660</v>
      </c>
      <c r="J637" s="1" t="s">
        <v>1248</v>
      </c>
      <c r="K637" s="1" t="s">
        <v>124</v>
      </c>
      <c r="L637" s="1" t="s">
        <v>260</v>
      </c>
      <c r="M637" s="1" t="n">
        <v>24993043660</v>
      </c>
      <c r="N637" s="1" t="n">
        <v>0</v>
      </c>
      <c r="O637" s="1" t="n">
        <v>523.44</v>
      </c>
      <c r="P637" s="1" t="s">
        <v>1286</v>
      </c>
      <c r="Q637" s="1" t="s">
        <v>100</v>
      </c>
      <c r="S637" s="1" t="s">
        <v>1004</v>
      </c>
      <c r="T637" s="1" t="s">
        <v>1274</v>
      </c>
      <c r="V637" s="1" t="s">
        <v>1293</v>
      </c>
      <c r="W637" s="1" t="s">
        <v>1284</v>
      </c>
    </row>
    <row r="638" customFormat="false" ht="15" hidden="false" customHeight="true" outlineLevel="0" collapsed="false">
      <c r="A638" s="1" t="n">
        <v>0</v>
      </c>
      <c r="B638" s="1" t="s">
        <v>1132</v>
      </c>
      <c r="C638" s="1" t="n">
        <v>9000</v>
      </c>
      <c r="D638" s="1" t="n">
        <v>0</v>
      </c>
      <c r="E638" s="1" t="n">
        <v>9000</v>
      </c>
      <c r="F638" s="172" t="n">
        <v>0</v>
      </c>
      <c r="G638" s="1" t="s">
        <v>1182</v>
      </c>
      <c r="H638" s="1" t="s">
        <v>139</v>
      </c>
      <c r="I638" s="1" t="n">
        <v>48988457748</v>
      </c>
      <c r="J638" s="1" t="s">
        <v>1248</v>
      </c>
      <c r="K638" s="1" t="s">
        <v>1182</v>
      </c>
      <c r="L638" s="1" t="s">
        <v>139</v>
      </c>
      <c r="M638" s="1" t="n">
        <v>48988457748</v>
      </c>
      <c r="N638" s="1" t="n">
        <v>0</v>
      </c>
      <c r="O638" s="1" t="n">
        <v>750</v>
      </c>
      <c r="P638" s="1" t="s">
        <v>1277</v>
      </c>
      <c r="Q638" s="1" t="s">
        <v>108</v>
      </c>
      <c r="S638" s="1" t="s">
        <v>1278</v>
      </c>
      <c r="T638" s="1" t="s">
        <v>1279</v>
      </c>
      <c r="V638" s="1" t="s">
        <v>1293</v>
      </c>
      <c r="W638" s="1" t="s">
        <v>1284</v>
      </c>
    </row>
    <row r="639" customFormat="false" ht="15" hidden="false" customHeight="true" outlineLevel="0" collapsed="false">
      <c r="A639" s="1" t="n">
        <v>0</v>
      </c>
      <c r="B639" s="1" t="s">
        <v>1132</v>
      </c>
      <c r="C639" s="1" t="n">
        <v>10875</v>
      </c>
      <c r="D639" s="1" t="n">
        <v>0</v>
      </c>
      <c r="E639" s="1" t="n">
        <v>10875</v>
      </c>
      <c r="F639" s="172" t="n">
        <v>0</v>
      </c>
      <c r="G639" s="1" t="s">
        <v>102</v>
      </c>
      <c r="H639" s="1" t="s">
        <v>139</v>
      </c>
      <c r="I639" s="1" t="n">
        <v>4833645705</v>
      </c>
      <c r="J639" s="1" t="s">
        <v>1248</v>
      </c>
      <c r="K639" s="1" t="s">
        <v>102</v>
      </c>
      <c r="L639" s="1" t="s">
        <v>139</v>
      </c>
      <c r="M639" s="1" t="n">
        <v>4833645705</v>
      </c>
      <c r="N639" s="1" t="n">
        <v>0</v>
      </c>
      <c r="O639" s="1" t="n">
        <v>906.25</v>
      </c>
      <c r="P639" s="1" t="s">
        <v>1286</v>
      </c>
      <c r="Q639" s="1" t="s">
        <v>175</v>
      </c>
      <c r="S639" s="1" t="s">
        <v>1287</v>
      </c>
      <c r="T639" s="1" t="s">
        <v>1274</v>
      </c>
      <c r="V639" s="1" t="s">
        <v>1293</v>
      </c>
      <c r="W639" s="1" t="s">
        <v>1284</v>
      </c>
    </row>
    <row r="640" customFormat="false" ht="15" hidden="false" customHeight="true" outlineLevel="0" collapsed="false">
      <c r="A640" s="1" t="n">
        <v>0</v>
      </c>
      <c r="B640" s="1" t="s">
        <v>1132</v>
      </c>
      <c r="C640" s="1" t="n">
        <v>10875</v>
      </c>
      <c r="D640" s="1" t="n">
        <v>0</v>
      </c>
      <c r="E640" s="1" t="n">
        <v>10875</v>
      </c>
      <c r="F640" s="172" t="n">
        <v>0</v>
      </c>
      <c r="G640" s="1" t="s">
        <v>102</v>
      </c>
      <c r="H640" s="1" t="s">
        <v>139</v>
      </c>
      <c r="I640" s="1" t="n">
        <v>4730254770</v>
      </c>
      <c r="J640" s="1" t="s">
        <v>1248</v>
      </c>
      <c r="K640" s="1" t="s">
        <v>102</v>
      </c>
      <c r="L640" s="1" t="s">
        <v>139</v>
      </c>
      <c r="M640" s="1" t="n">
        <v>4730254770</v>
      </c>
      <c r="N640" s="1" t="n">
        <v>0</v>
      </c>
      <c r="O640" s="1" t="n">
        <v>906.25</v>
      </c>
      <c r="P640" s="1" t="s">
        <v>1286</v>
      </c>
      <c r="Q640" s="1" t="s">
        <v>175</v>
      </c>
      <c r="S640" s="1" t="s">
        <v>1287</v>
      </c>
      <c r="T640" s="1" t="s">
        <v>1274</v>
      </c>
      <c r="V640" s="1" t="s">
        <v>1293</v>
      </c>
      <c r="W640" s="1" t="s">
        <v>1284</v>
      </c>
    </row>
    <row r="641" customFormat="false" ht="15" hidden="false" customHeight="true" outlineLevel="0" collapsed="false">
      <c r="A641" s="1" t="n">
        <v>0</v>
      </c>
      <c r="B641" s="1" t="s">
        <v>1132</v>
      </c>
      <c r="C641" s="1" t="n">
        <v>10875</v>
      </c>
      <c r="D641" s="1" t="n">
        <v>0</v>
      </c>
      <c r="E641" s="1" t="n">
        <v>10875</v>
      </c>
      <c r="F641" s="172" t="n">
        <v>0</v>
      </c>
      <c r="G641" s="1" t="s">
        <v>102</v>
      </c>
      <c r="H641" s="1" t="s">
        <v>139</v>
      </c>
      <c r="I641" s="1" t="n">
        <v>48999153553</v>
      </c>
      <c r="J641" s="1" t="s">
        <v>1248</v>
      </c>
      <c r="K641" s="1" t="s">
        <v>102</v>
      </c>
      <c r="L641" s="1" t="s">
        <v>139</v>
      </c>
      <c r="M641" s="1" t="n">
        <v>48999153553</v>
      </c>
      <c r="N641" s="1" t="n">
        <v>0</v>
      </c>
      <c r="O641" s="1" t="n">
        <v>906.25</v>
      </c>
      <c r="P641" s="1" t="s">
        <v>1286</v>
      </c>
      <c r="Q641" s="1" t="s">
        <v>175</v>
      </c>
      <c r="S641" s="1" t="s">
        <v>1287</v>
      </c>
      <c r="T641" s="1" t="s">
        <v>1274</v>
      </c>
      <c r="V641" s="1" t="s">
        <v>1293</v>
      </c>
      <c r="W641" s="1" t="s">
        <v>1284</v>
      </c>
    </row>
    <row r="642" customFormat="false" ht="15" hidden="false" customHeight="true" outlineLevel="0" collapsed="false">
      <c r="A642" s="1" t="n">
        <v>0</v>
      </c>
      <c r="B642" s="1" t="s">
        <v>1132</v>
      </c>
      <c r="C642" s="1" t="n">
        <v>5615.5</v>
      </c>
      <c r="D642" s="1" t="n">
        <v>0</v>
      </c>
      <c r="E642" s="1" t="n">
        <v>5615.5</v>
      </c>
      <c r="F642" s="172" t="n">
        <v>0</v>
      </c>
      <c r="G642" s="1" t="s">
        <v>123</v>
      </c>
      <c r="H642" s="1" t="s">
        <v>139</v>
      </c>
      <c r="I642" s="1" t="n">
        <v>4732278525</v>
      </c>
      <c r="J642" s="1" t="s">
        <v>1248</v>
      </c>
      <c r="K642" s="1" t="s">
        <v>104</v>
      </c>
      <c r="L642" s="1" t="s">
        <v>139</v>
      </c>
      <c r="M642" s="1" t="n">
        <v>4732278525</v>
      </c>
      <c r="N642" s="1" t="n">
        <v>0</v>
      </c>
      <c r="O642" s="1" t="n">
        <v>467.96</v>
      </c>
      <c r="P642" s="1" t="s">
        <v>1277</v>
      </c>
      <c r="Q642" s="1" t="s">
        <v>108</v>
      </c>
      <c r="S642" s="1" t="s">
        <v>1278</v>
      </c>
      <c r="T642" s="1" t="s">
        <v>1279</v>
      </c>
      <c r="V642" s="1" t="s">
        <v>1293</v>
      </c>
      <c r="W642" s="1" t="s">
        <v>1276</v>
      </c>
    </row>
    <row r="643" customFormat="false" ht="15" hidden="false" customHeight="true" outlineLevel="0" collapsed="false">
      <c r="A643" s="1" t="n">
        <v>0</v>
      </c>
      <c r="B643" s="1" t="s">
        <v>1132</v>
      </c>
      <c r="C643" s="1" t="n">
        <v>5615.5</v>
      </c>
      <c r="D643" s="1" t="n">
        <v>0</v>
      </c>
      <c r="E643" s="1" t="n">
        <v>5615.5</v>
      </c>
      <c r="F643" s="172" t="n">
        <v>0</v>
      </c>
      <c r="G643" s="1" t="s">
        <v>123</v>
      </c>
      <c r="H643" s="1" t="s">
        <v>260</v>
      </c>
      <c r="I643" s="1" t="n">
        <v>21995704191</v>
      </c>
      <c r="J643" s="1" t="s">
        <v>1248</v>
      </c>
      <c r="K643" s="1" t="s">
        <v>104</v>
      </c>
      <c r="L643" s="1" t="s">
        <v>260</v>
      </c>
      <c r="M643" s="1" t="n">
        <v>21995704191</v>
      </c>
      <c r="N643" s="1" t="n">
        <v>0</v>
      </c>
      <c r="O643" s="1" t="n">
        <v>467.96</v>
      </c>
      <c r="P643" s="1" t="s">
        <v>1280</v>
      </c>
      <c r="Q643" s="1" t="s">
        <v>100</v>
      </c>
      <c r="S643" s="1" t="s">
        <v>1004</v>
      </c>
      <c r="T643" s="1" t="s">
        <v>1274</v>
      </c>
      <c r="V643" s="1" t="s">
        <v>1293</v>
      </c>
      <c r="W643" s="1" t="s">
        <v>1276</v>
      </c>
    </row>
    <row r="644" customFormat="false" ht="15" hidden="false" customHeight="true" outlineLevel="0" collapsed="false">
      <c r="A644" s="1" t="n">
        <v>0</v>
      </c>
      <c r="B644" s="1" t="s">
        <v>1132</v>
      </c>
      <c r="C644" s="1" t="n">
        <v>5615.5</v>
      </c>
      <c r="D644" s="1" t="n">
        <v>0</v>
      </c>
      <c r="E644" s="1" t="n">
        <v>5615.5</v>
      </c>
      <c r="F644" s="172" t="n">
        <v>0</v>
      </c>
      <c r="G644" s="1" t="s">
        <v>123</v>
      </c>
      <c r="H644" s="1" t="s">
        <v>101</v>
      </c>
      <c r="I644" s="1" t="n">
        <v>6684376194</v>
      </c>
      <c r="J644" s="1" t="s">
        <v>1248</v>
      </c>
      <c r="K644" s="1" t="s">
        <v>104</v>
      </c>
      <c r="L644" s="1" t="s">
        <v>101</v>
      </c>
      <c r="M644" s="1" t="n">
        <v>6684376194</v>
      </c>
      <c r="N644" s="1" t="n">
        <v>0</v>
      </c>
      <c r="O644" s="1" t="n">
        <v>467.96</v>
      </c>
      <c r="P644" s="1" t="s">
        <v>1273</v>
      </c>
      <c r="Q644" s="1" t="s">
        <v>100</v>
      </c>
      <c r="S644" s="1" t="s">
        <v>1004</v>
      </c>
      <c r="T644" s="1" t="s">
        <v>1274</v>
      </c>
      <c r="V644" s="1" t="s">
        <v>1293</v>
      </c>
      <c r="W644" s="1" t="s">
        <v>1276</v>
      </c>
    </row>
    <row r="645" customFormat="false" ht="15" hidden="false" customHeight="true" outlineLevel="0" collapsed="false">
      <c r="A645" s="1" t="n">
        <v>0</v>
      </c>
      <c r="B645" s="1" t="s">
        <v>1132</v>
      </c>
      <c r="C645" s="1" t="n">
        <v>5615.5</v>
      </c>
      <c r="D645" s="1" t="n">
        <v>0</v>
      </c>
      <c r="E645" s="1" t="n">
        <v>5615.5</v>
      </c>
      <c r="F645" s="172" t="n">
        <v>0</v>
      </c>
      <c r="G645" s="1" t="s">
        <v>123</v>
      </c>
      <c r="H645" s="1" t="s">
        <v>139</v>
      </c>
      <c r="I645" s="1" t="n">
        <v>47989081234</v>
      </c>
      <c r="J645" s="1" t="s">
        <v>1248</v>
      </c>
      <c r="K645" s="1" t="s">
        <v>104</v>
      </c>
      <c r="L645" s="1" t="s">
        <v>139</v>
      </c>
      <c r="M645" s="1" t="n">
        <v>47989081234</v>
      </c>
      <c r="N645" s="1" t="n">
        <v>0</v>
      </c>
      <c r="O645" s="1" t="n">
        <v>467.96</v>
      </c>
      <c r="P645" s="1" t="s">
        <v>1277</v>
      </c>
      <c r="Q645" s="1" t="s">
        <v>108</v>
      </c>
      <c r="S645" s="1" t="s">
        <v>1278</v>
      </c>
      <c r="T645" s="1" t="s">
        <v>1279</v>
      </c>
      <c r="V645" s="1" t="s">
        <v>1293</v>
      </c>
      <c r="W645" s="1" t="s">
        <v>1276</v>
      </c>
    </row>
    <row r="646" customFormat="false" ht="15" hidden="false" customHeight="true" outlineLevel="0" collapsed="false">
      <c r="A646" s="1" t="n">
        <v>0</v>
      </c>
      <c r="B646" s="1" t="s">
        <v>1132</v>
      </c>
      <c r="C646" s="1" t="n">
        <v>10200</v>
      </c>
      <c r="D646" s="1" t="n">
        <v>0</v>
      </c>
      <c r="E646" s="1" t="n">
        <v>10200</v>
      </c>
      <c r="F646" s="172" t="n">
        <v>0</v>
      </c>
      <c r="G646" s="1" t="s">
        <v>115</v>
      </c>
      <c r="H646" s="1" t="s">
        <v>119</v>
      </c>
      <c r="I646" s="1" t="n">
        <v>17981330043</v>
      </c>
      <c r="J646" s="1" t="s">
        <v>1248</v>
      </c>
      <c r="K646" s="1" t="s">
        <v>115</v>
      </c>
      <c r="L646" s="1" t="s">
        <v>119</v>
      </c>
      <c r="M646" s="1" t="n">
        <v>17981330043</v>
      </c>
      <c r="N646" s="1" t="n">
        <v>0</v>
      </c>
      <c r="O646" s="1" t="n">
        <v>850</v>
      </c>
      <c r="P646" s="1" t="s">
        <v>1286</v>
      </c>
      <c r="Q646" s="1" t="s">
        <v>184</v>
      </c>
      <c r="S646" s="1" t="s">
        <v>1278</v>
      </c>
      <c r="T646" s="1" t="s">
        <v>1274</v>
      </c>
      <c r="V646" s="1" t="s">
        <v>1293</v>
      </c>
      <c r="W646" s="1" t="s">
        <v>1284</v>
      </c>
    </row>
    <row r="647" customFormat="false" ht="15" hidden="false" customHeight="true" outlineLevel="0" collapsed="false">
      <c r="A647" s="1" t="n">
        <v>0</v>
      </c>
      <c r="B647" s="1" t="s">
        <v>1132</v>
      </c>
      <c r="C647" s="1" t="n">
        <v>5615.5</v>
      </c>
      <c r="D647" s="1" t="n">
        <v>0</v>
      </c>
      <c r="E647" s="1" t="n">
        <v>5615.5</v>
      </c>
      <c r="F647" s="172" t="n">
        <v>0</v>
      </c>
      <c r="G647" s="1" t="s">
        <v>123</v>
      </c>
      <c r="H647" s="1" t="s">
        <v>119</v>
      </c>
      <c r="I647" s="1" t="n">
        <v>11964002134</v>
      </c>
      <c r="J647" s="1" t="s">
        <v>1248</v>
      </c>
      <c r="K647" s="1" t="s">
        <v>104</v>
      </c>
      <c r="L647" s="1" t="s">
        <v>119</v>
      </c>
      <c r="M647" s="1" t="n">
        <v>11964002134</v>
      </c>
      <c r="N647" s="1" t="n">
        <v>0</v>
      </c>
      <c r="O647" s="1" t="n">
        <v>467.96</v>
      </c>
      <c r="P647" s="1" t="s">
        <v>1285</v>
      </c>
      <c r="Q647" s="1" t="s">
        <v>100</v>
      </c>
      <c r="S647" s="1" t="s">
        <v>1004</v>
      </c>
      <c r="T647" s="1" t="s">
        <v>1274</v>
      </c>
      <c r="V647" s="1" t="s">
        <v>1293</v>
      </c>
      <c r="W647" s="1" t="s">
        <v>1276</v>
      </c>
    </row>
    <row r="648" customFormat="false" ht="15" hidden="false" customHeight="true" outlineLevel="0" collapsed="false">
      <c r="A648" s="1" t="n">
        <v>0</v>
      </c>
      <c r="B648" s="1" t="s">
        <v>1132</v>
      </c>
      <c r="C648" s="1" t="n">
        <v>10200</v>
      </c>
      <c r="D648" s="1" t="n">
        <v>0</v>
      </c>
      <c r="E648" s="1" t="n">
        <v>10200</v>
      </c>
      <c r="F648" s="172" t="n">
        <v>0</v>
      </c>
      <c r="G648" s="1" t="s">
        <v>115</v>
      </c>
      <c r="H648" s="1" t="s">
        <v>281</v>
      </c>
      <c r="I648" s="1" t="n">
        <v>63992080630</v>
      </c>
      <c r="J648" s="1" t="s">
        <v>1248</v>
      </c>
      <c r="K648" s="1" t="s">
        <v>115</v>
      </c>
      <c r="L648" s="1" t="s">
        <v>281</v>
      </c>
      <c r="M648" s="1" t="n">
        <v>63992080630</v>
      </c>
      <c r="N648" s="1" t="n">
        <v>0</v>
      </c>
      <c r="O648" s="1" t="n">
        <v>850</v>
      </c>
      <c r="P648" s="1" t="s">
        <v>1286</v>
      </c>
      <c r="Q648" s="1" t="s">
        <v>184</v>
      </c>
      <c r="S648" s="1" t="s">
        <v>1278</v>
      </c>
      <c r="T648" s="1" t="s">
        <v>1274</v>
      </c>
      <c r="V648" s="1" t="s">
        <v>1293</v>
      </c>
      <c r="W648" s="1" t="s">
        <v>1284</v>
      </c>
    </row>
    <row r="649" customFormat="false" ht="15" hidden="false" customHeight="true" outlineLevel="0" collapsed="false">
      <c r="A649" s="1" t="n">
        <v>0</v>
      </c>
      <c r="B649" s="1" t="s">
        <v>1132</v>
      </c>
      <c r="C649" s="1" t="n">
        <v>5615.5</v>
      </c>
      <c r="D649" s="1" t="n">
        <v>0</v>
      </c>
      <c r="E649" s="1" t="n">
        <v>5615.5</v>
      </c>
      <c r="F649" s="172" t="n">
        <v>0</v>
      </c>
      <c r="G649" s="1" t="s">
        <v>123</v>
      </c>
      <c r="H649" s="1" t="s">
        <v>114</v>
      </c>
      <c r="I649" s="1" t="n">
        <v>3333238852</v>
      </c>
      <c r="J649" s="1" t="s">
        <v>1248</v>
      </c>
      <c r="K649" s="1" t="s">
        <v>104</v>
      </c>
      <c r="L649" s="1" t="s">
        <v>114</v>
      </c>
      <c r="M649" s="1" t="n">
        <v>3333238852</v>
      </c>
      <c r="N649" s="1" t="n">
        <v>0</v>
      </c>
      <c r="O649" s="1" t="n">
        <v>467.96</v>
      </c>
      <c r="P649" s="1" t="s">
        <v>1280</v>
      </c>
      <c r="Q649" s="1" t="s">
        <v>100</v>
      </c>
      <c r="S649" s="1" t="s">
        <v>1004</v>
      </c>
      <c r="T649" s="1" t="s">
        <v>1274</v>
      </c>
      <c r="V649" s="1" t="s">
        <v>1293</v>
      </c>
      <c r="W649" s="1" t="s">
        <v>1276</v>
      </c>
    </row>
    <row r="650" customFormat="false" ht="15" hidden="false" customHeight="true" outlineLevel="0" collapsed="false">
      <c r="A650" s="1" t="n">
        <v>0</v>
      </c>
      <c r="B650" s="1" t="s">
        <v>1132</v>
      </c>
      <c r="C650" s="1" t="n">
        <v>5615.5</v>
      </c>
      <c r="D650" s="1" t="n">
        <v>0</v>
      </c>
      <c r="E650" s="1" t="n">
        <v>5615.5</v>
      </c>
      <c r="F650" s="172" t="n">
        <v>0</v>
      </c>
      <c r="G650" s="1" t="s">
        <v>123</v>
      </c>
      <c r="H650" s="1" t="s">
        <v>119</v>
      </c>
      <c r="I650" s="1" t="n">
        <v>11945142686</v>
      </c>
      <c r="J650" s="1" t="s">
        <v>1248</v>
      </c>
      <c r="K650" s="1" t="s">
        <v>104</v>
      </c>
      <c r="L650" s="1" t="s">
        <v>119</v>
      </c>
      <c r="M650" s="1" t="n">
        <v>11945142686</v>
      </c>
      <c r="N650" s="1" t="n">
        <v>0</v>
      </c>
      <c r="O650" s="1" t="n">
        <v>467.96</v>
      </c>
      <c r="P650" s="1" t="s">
        <v>1285</v>
      </c>
      <c r="Q650" s="1" t="s">
        <v>100</v>
      </c>
      <c r="S650" s="1" t="s">
        <v>1004</v>
      </c>
      <c r="T650" s="1" t="s">
        <v>1274</v>
      </c>
      <c r="V650" s="1" t="s">
        <v>1293</v>
      </c>
      <c r="W650" s="1" t="s">
        <v>1276</v>
      </c>
    </row>
    <row r="651" customFormat="false" ht="15" hidden="false" customHeight="true" outlineLevel="0" collapsed="false">
      <c r="A651" s="1" t="n">
        <v>0</v>
      </c>
      <c r="B651" s="1" t="s">
        <v>1132</v>
      </c>
      <c r="C651" s="1" t="n">
        <v>5615.5</v>
      </c>
      <c r="D651" s="1" t="n">
        <v>0</v>
      </c>
      <c r="E651" s="1" t="n">
        <v>5615.5</v>
      </c>
      <c r="F651" s="172" t="n">
        <v>0</v>
      </c>
      <c r="G651" s="1" t="s">
        <v>123</v>
      </c>
      <c r="H651" s="1" t="s">
        <v>196</v>
      </c>
      <c r="I651" s="1" t="n">
        <v>5192141635</v>
      </c>
      <c r="J651" s="1" t="s">
        <v>1248</v>
      </c>
      <c r="K651" s="1" t="s">
        <v>104</v>
      </c>
      <c r="L651" s="1" t="s">
        <v>196</v>
      </c>
      <c r="M651" s="1" t="n">
        <v>5192141635</v>
      </c>
      <c r="N651" s="1" t="n">
        <v>0</v>
      </c>
      <c r="O651" s="1" t="n">
        <v>467.96</v>
      </c>
      <c r="P651" s="1" t="s">
        <v>1277</v>
      </c>
      <c r="Q651" s="1" t="s">
        <v>108</v>
      </c>
      <c r="S651" s="1" t="s">
        <v>1278</v>
      </c>
      <c r="T651" s="1" t="s">
        <v>1279</v>
      </c>
      <c r="V651" s="1" t="s">
        <v>1293</v>
      </c>
      <c r="W651" s="1" t="s">
        <v>1276</v>
      </c>
    </row>
    <row r="652" customFormat="false" ht="15" hidden="false" customHeight="true" outlineLevel="0" collapsed="false">
      <c r="A652" s="1" t="n">
        <v>0</v>
      </c>
      <c r="B652" s="1" t="s">
        <v>1132</v>
      </c>
      <c r="C652" s="1" t="n">
        <v>5615.5</v>
      </c>
      <c r="D652" s="1" t="n">
        <v>0</v>
      </c>
      <c r="E652" s="1" t="n">
        <v>5615.5</v>
      </c>
      <c r="F652" s="172" t="n">
        <v>0</v>
      </c>
      <c r="G652" s="1" t="s">
        <v>123</v>
      </c>
      <c r="H652" s="1" t="s">
        <v>114</v>
      </c>
      <c r="I652" s="1" t="n">
        <v>3832189304</v>
      </c>
      <c r="J652" s="1" t="s">
        <v>1248</v>
      </c>
      <c r="K652" s="1" t="s">
        <v>104</v>
      </c>
      <c r="L652" s="1" t="s">
        <v>114</v>
      </c>
      <c r="M652" s="1" t="n">
        <v>3832189304</v>
      </c>
      <c r="N652" s="1" t="n">
        <v>0</v>
      </c>
      <c r="O652" s="1" t="n">
        <v>467.96</v>
      </c>
      <c r="P652" s="1" t="s">
        <v>1280</v>
      </c>
      <c r="Q652" s="1" t="s">
        <v>100</v>
      </c>
      <c r="S652" s="1" t="s">
        <v>1004</v>
      </c>
      <c r="T652" s="1" t="s">
        <v>1274</v>
      </c>
      <c r="V652" s="1" t="s">
        <v>1293</v>
      </c>
      <c r="W652" s="1" t="s">
        <v>1276</v>
      </c>
    </row>
    <row r="653" customFormat="false" ht="15" hidden="false" customHeight="true" outlineLevel="0" collapsed="false">
      <c r="A653" s="1" t="n">
        <v>0</v>
      </c>
      <c r="B653" s="1" t="s">
        <v>1132</v>
      </c>
      <c r="C653" s="1" t="n">
        <v>5615.5</v>
      </c>
      <c r="D653" s="1" t="n">
        <v>0</v>
      </c>
      <c r="E653" s="1" t="n">
        <v>5615.5</v>
      </c>
      <c r="F653" s="172" t="n">
        <v>0</v>
      </c>
      <c r="G653" s="1" t="s">
        <v>123</v>
      </c>
      <c r="H653" s="1" t="s">
        <v>187</v>
      </c>
      <c r="I653" s="1" t="n">
        <v>8192595179</v>
      </c>
      <c r="J653" s="1" t="s">
        <v>1248</v>
      </c>
      <c r="K653" s="1" t="s">
        <v>104</v>
      </c>
      <c r="L653" s="1" t="s">
        <v>187</v>
      </c>
      <c r="M653" s="1" t="n">
        <v>8192595179</v>
      </c>
      <c r="N653" s="1" t="n">
        <v>0</v>
      </c>
      <c r="O653" s="1" t="n">
        <v>467.96</v>
      </c>
      <c r="P653" s="1" t="s">
        <v>1282</v>
      </c>
      <c r="Q653" s="1" t="s">
        <v>100</v>
      </c>
      <c r="S653" s="1" t="s">
        <v>1004</v>
      </c>
      <c r="T653" s="1" t="s">
        <v>1274</v>
      </c>
      <c r="V653" s="1" t="s">
        <v>1293</v>
      </c>
      <c r="W653" s="1" t="s">
        <v>1276</v>
      </c>
    </row>
    <row r="654" customFormat="false" ht="15" hidden="false" customHeight="true" outlineLevel="0" collapsed="false">
      <c r="A654" s="1" t="n">
        <v>0</v>
      </c>
      <c r="B654" s="1" t="s">
        <v>1132</v>
      </c>
      <c r="C654" s="1" t="n">
        <v>5615.5</v>
      </c>
      <c r="D654" s="1" t="n">
        <v>0</v>
      </c>
      <c r="E654" s="1" t="n">
        <v>5615.5</v>
      </c>
      <c r="F654" s="172" t="n">
        <v>0</v>
      </c>
      <c r="G654" s="1" t="s">
        <v>123</v>
      </c>
      <c r="H654" s="1" t="s">
        <v>119</v>
      </c>
      <c r="I654" s="1" t="n">
        <v>1438142348</v>
      </c>
      <c r="J654" s="1" t="s">
        <v>1248</v>
      </c>
      <c r="K654" s="1" t="s">
        <v>104</v>
      </c>
      <c r="L654" s="1" t="s">
        <v>119</v>
      </c>
      <c r="M654" s="1" t="n">
        <v>1438142348</v>
      </c>
      <c r="N654" s="1" t="n">
        <v>0</v>
      </c>
      <c r="O654" s="1" t="n">
        <v>467.96</v>
      </c>
      <c r="P654" s="1" t="s">
        <v>1281</v>
      </c>
      <c r="Q654" s="1" t="s">
        <v>100</v>
      </c>
      <c r="S654" s="1" t="s">
        <v>1004</v>
      </c>
      <c r="T654" s="1" t="s">
        <v>1274</v>
      </c>
      <c r="V654" s="1" t="s">
        <v>1293</v>
      </c>
      <c r="W654" s="1" t="s">
        <v>1276</v>
      </c>
    </row>
    <row r="655" customFormat="false" ht="15" hidden="false" customHeight="true" outlineLevel="0" collapsed="false">
      <c r="A655" s="1" t="n">
        <v>0</v>
      </c>
      <c r="B655" s="1" t="s">
        <v>1132</v>
      </c>
      <c r="C655" s="1" t="n">
        <v>5615.5</v>
      </c>
      <c r="D655" s="1" t="n">
        <v>0</v>
      </c>
      <c r="E655" s="1" t="n">
        <v>5615.5</v>
      </c>
      <c r="F655" s="172" t="n">
        <v>0</v>
      </c>
      <c r="G655" s="1" t="s">
        <v>123</v>
      </c>
      <c r="H655" s="1" t="s">
        <v>420</v>
      </c>
      <c r="I655" s="1" t="n">
        <v>9892319022</v>
      </c>
      <c r="J655" s="1" t="s">
        <v>1248</v>
      </c>
      <c r="K655" s="1" t="s">
        <v>104</v>
      </c>
      <c r="L655" s="1" t="s">
        <v>420</v>
      </c>
      <c r="M655" s="1" t="n">
        <v>9892319022</v>
      </c>
      <c r="N655" s="1" t="n">
        <v>0</v>
      </c>
      <c r="O655" s="1" t="n">
        <v>467.96</v>
      </c>
      <c r="P655" s="1" t="s">
        <v>1283</v>
      </c>
      <c r="Q655" s="1" t="s">
        <v>100</v>
      </c>
      <c r="S655" s="1" t="s">
        <v>1004</v>
      </c>
      <c r="T655" s="1" t="s">
        <v>1274</v>
      </c>
      <c r="V655" s="1" t="s">
        <v>1293</v>
      </c>
      <c r="W655" s="1" t="s">
        <v>1276</v>
      </c>
    </row>
    <row r="656" customFormat="false" ht="15" hidden="false" customHeight="true" outlineLevel="0" collapsed="false">
      <c r="A656" s="1" t="n">
        <v>0</v>
      </c>
      <c r="B656" s="1" t="s">
        <v>1132</v>
      </c>
      <c r="C656" s="1" t="n">
        <v>5615.5</v>
      </c>
      <c r="D656" s="1" t="n">
        <v>0</v>
      </c>
      <c r="E656" s="1" t="n">
        <v>5615.5</v>
      </c>
      <c r="F656" s="172" t="n">
        <v>0</v>
      </c>
      <c r="G656" s="1" t="s">
        <v>123</v>
      </c>
      <c r="H656" s="1" t="s">
        <v>196</v>
      </c>
      <c r="I656" s="1" t="n">
        <v>5196787833</v>
      </c>
      <c r="J656" s="1" t="s">
        <v>1248</v>
      </c>
      <c r="K656" s="1" t="s">
        <v>104</v>
      </c>
      <c r="L656" s="1" t="s">
        <v>196</v>
      </c>
      <c r="M656" s="1" t="n">
        <v>5196787833</v>
      </c>
      <c r="N656" s="1" t="n">
        <v>0</v>
      </c>
      <c r="O656" s="1" t="n">
        <v>467.96</v>
      </c>
      <c r="P656" s="1" t="s">
        <v>1277</v>
      </c>
      <c r="Q656" s="1" t="s">
        <v>108</v>
      </c>
      <c r="S656" s="1" t="s">
        <v>1278</v>
      </c>
      <c r="T656" s="1" t="s">
        <v>1279</v>
      </c>
      <c r="V656" s="1" t="s">
        <v>1293</v>
      </c>
      <c r="W656" s="1" t="s">
        <v>1276</v>
      </c>
    </row>
    <row r="657" customFormat="false" ht="15" hidden="false" customHeight="true" outlineLevel="0" collapsed="false">
      <c r="A657" s="1" t="n">
        <v>0</v>
      </c>
      <c r="B657" s="1" t="s">
        <v>1132</v>
      </c>
      <c r="C657" s="1" t="n">
        <v>5615.5</v>
      </c>
      <c r="D657" s="1" t="n">
        <v>0</v>
      </c>
      <c r="E657" s="1" t="n">
        <v>5615.5</v>
      </c>
      <c r="F657" s="172" t="n">
        <v>0</v>
      </c>
      <c r="G657" s="1" t="s">
        <v>123</v>
      </c>
      <c r="H657" s="1" t="s">
        <v>139</v>
      </c>
      <c r="I657" s="1" t="n">
        <v>48999316068</v>
      </c>
      <c r="J657" s="1" t="s">
        <v>1248</v>
      </c>
      <c r="K657" s="1" t="s">
        <v>104</v>
      </c>
      <c r="L657" s="1" t="s">
        <v>139</v>
      </c>
      <c r="M657" s="1" t="n">
        <v>48999316068</v>
      </c>
      <c r="N657" s="1" t="n">
        <v>0</v>
      </c>
      <c r="O657" s="1" t="n">
        <v>467.96</v>
      </c>
      <c r="P657" s="1" t="s">
        <v>1277</v>
      </c>
      <c r="Q657" s="1" t="s">
        <v>175</v>
      </c>
      <c r="S657" s="1" t="s">
        <v>1287</v>
      </c>
      <c r="T657" s="1" t="s">
        <v>1274</v>
      </c>
      <c r="V657" s="1" t="s">
        <v>1293</v>
      </c>
      <c r="W657" s="1" t="s">
        <v>1276</v>
      </c>
    </row>
    <row r="658" customFormat="false" ht="15" hidden="false" customHeight="true" outlineLevel="0" collapsed="false">
      <c r="A658" s="1" t="n">
        <v>0</v>
      </c>
      <c r="B658" s="1" t="s">
        <v>1132</v>
      </c>
      <c r="C658" s="1" t="n">
        <v>6281.25</v>
      </c>
      <c r="D658" s="1" t="n">
        <v>0</v>
      </c>
      <c r="E658" s="1" t="n">
        <v>6281.25</v>
      </c>
      <c r="F658" s="172" t="n">
        <v>0</v>
      </c>
      <c r="G658" s="1" t="s">
        <v>124</v>
      </c>
      <c r="H658" s="1" t="s">
        <v>311</v>
      </c>
      <c r="I658" s="1" t="n">
        <v>61986098577</v>
      </c>
      <c r="J658" s="1" t="s">
        <v>1248</v>
      </c>
      <c r="K658" s="1" t="s">
        <v>124</v>
      </c>
      <c r="L658" s="1" t="s">
        <v>311</v>
      </c>
      <c r="M658" s="1" t="n">
        <v>61986098577</v>
      </c>
      <c r="N658" s="1" t="n">
        <v>0</v>
      </c>
      <c r="O658" s="1" t="n">
        <v>523.44</v>
      </c>
      <c r="P658" s="1" t="s">
        <v>1286</v>
      </c>
      <c r="Q658" s="1" t="s">
        <v>184</v>
      </c>
      <c r="S658" s="1" t="s">
        <v>1278</v>
      </c>
      <c r="T658" s="1" t="s">
        <v>1274</v>
      </c>
      <c r="V658" s="1" t="s">
        <v>1293</v>
      </c>
      <c r="W658" s="1" t="s">
        <v>1284</v>
      </c>
    </row>
    <row r="659" customFormat="false" ht="15" hidden="false" customHeight="true" outlineLevel="0" collapsed="false">
      <c r="A659" s="1" t="n">
        <v>0</v>
      </c>
      <c r="B659" s="1" t="s">
        <v>1132</v>
      </c>
      <c r="C659" s="1" t="n">
        <v>5615.5</v>
      </c>
      <c r="D659" s="1" t="n">
        <v>0</v>
      </c>
      <c r="E659" s="1" t="n">
        <v>5615.5</v>
      </c>
      <c r="F659" s="172" t="n">
        <v>0</v>
      </c>
      <c r="G659" s="1" t="s">
        <v>123</v>
      </c>
      <c r="H659" s="1" t="s">
        <v>127</v>
      </c>
      <c r="I659" s="1" t="n">
        <v>64996610968</v>
      </c>
      <c r="J659" s="1" t="s">
        <v>1248</v>
      </c>
      <c r="K659" s="1" t="s">
        <v>104</v>
      </c>
      <c r="L659" s="1" t="s">
        <v>127</v>
      </c>
      <c r="M659" s="1" t="n">
        <v>64996610968</v>
      </c>
      <c r="N659" s="1" t="n">
        <v>0</v>
      </c>
      <c r="O659" s="1" t="n">
        <v>467.96</v>
      </c>
      <c r="P659" s="1" t="s">
        <v>1273</v>
      </c>
      <c r="Q659" s="1" t="s">
        <v>100</v>
      </c>
      <c r="S659" s="1" t="s">
        <v>1278</v>
      </c>
      <c r="T659" s="1" t="s">
        <v>1274</v>
      </c>
      <c r="V659" s="1" t="s">
        <v>1293</v>
      </c>
      <c r="W659" s="1" t="s">
        <v>1276</v>
      </c>
    </row>
    <row r="660" customFormat="false" ht="15" hidden="false" customHeight="true" outlineLevel="0" collapsed="false">
      <c r="A660" s="1" t="n">
        <v>-0.003619</v>
      </c>
      <c r="B660" s="1" t="s">
        <v>1132</v>
      </c>
      <c r="C660" s="1" t="n">
        <v>5615.5</v>
      </c>
      <c r="D660" s="1" t="n">
        <v>-20.32</v>
      </c>
      <c r="E660" s="1" t="n">
        <v>5615.5</v>
      </c>
      <c r="F660" s="172" t="n">
        <v>-0.003619</v>
      </c>
      <c r="G660" s="1" t="s">
        <v>123</v>
      </c>
      <c r="H660" s="1" t="s">
        <v>196</v>
      </c>
      <c r="I660" s="1" t="n">
        <v>5491613776</v>
      </c>
      <c r="J660" s="1" t="s">
        <v>1248</v>
      </c>
      <c r="K660" s="1" t="s">
        <v>104</v>
      </c>
      <c r="L660" s="1" t="s">
        <v>196</v>
      </c>
      <c r="M660" s="1" t="n">
        <v>5491613776</v>
      </c>
      <c r="N660" s="1" t="n">
        <v>-20.32</v>
      </c>
      <c r="O660" s="1" t="n">
        <v>467.96</v>
      </c>
      <c r="P660" s="1" t="s">
        <v>1277</v>
      </c>
      <c r="Q660" s="1" t="s">
        <v>108</v>
      </c>
      <c r="S660" s="1" t="s">
        <v>1278</v>
      </c>
      <c r="T660" s="1" t="s">
        <v>1279</v>
      </c>
      <c r="V660" s="1" t="s">
        <v>1293</v>
      </c>
      <c r="W660" s="1" t="s">
        <v>1276</v>
      </c>
    </row>
    <row r="661" customFormat="false" ht="15" hidden="false" customHeight="true" outlineLevel="0" collapsed="false">
      <c r="A661" s="1" t="n">
        <v>-0.055406</v>
      </c>
      <c r="B661" s="1" t="s">
        <v>1132</v>
      </c>
      <c r="C661" s="1" t="n">
        <v>5615.5</v>
      </c>
      <c r="D661" s="1" t="n">
        <v>-311.13</v>
      </c>
      <c r="E661" s="1" t="n">
        <v>5615.5</v>
      </c>
      <c r="F661" s="172" t="n">
        <v>-0.055406</v>
      </c>
      <c r="G661" s="1" t="s">
        <v>123</v>
      </c>
      <c r="H661" s="1" t="s">
        <v>127</v>
      </c>
      <c r="I661" s="1" t="n">
        <v>6232677053</v>
      </c>
      <c r="J661" s="1" t="s">
        <v>1248</v>
      </c>
      <c r="K661" s="1" t="s">
        <v>104</v>
      </c>
      <c r="L661" s="1" t="s">
        <v>127</v>
      </c>
      <c r="M661" s="1" t="n">
        <v>6232677053</v>
      </c>
      <c r="N661" s="1" t="n">
        <v>-311.13</v>
      </c>
      <c r="O661" s="1" t="n">
        <v>467.96</v>
      </c>
      <c r="P661" s="1" t="s">
        <v>1273</v>
      </c>
      <c r="Q661" s="1" t="s">
        <v>100</v>
      </c>
      <c r="S661" s="1" t="s">
        <v>1004</v>
      </c>
      <c r="T661" s="1" t="s">
        <v>1274</v>
      </c>
      <c r="V661" s="1" t="s">
        <v>1293</v>
      </c>
      <c r="W661" s="1" t="s">
        <v>1276</v>
      </c>
    </row>
    <row r="662" customFormat="false" ht="15" hidden="false" customHeight="true" outlineLevel="0" collapsed="false">
      <c r="A662" s="1" t="n">
        <v>-0.13249</v>
      </c>
      <c r="B662" s="1" t="s">
        <v>1132</v>
      </c>
      <c r="C662" s="1" t="n">
        <v>5615.5</v>
      </c>
      <c r="D662" s="1" t="n">
        <v>-744</v>
      </c>
      <c r="E662" s="1" t="n">
        <v>5615.5</v>
      </c>
      <c r="F662" s="172" t="n">
        <v>-0.13249</v>
      </c>
      <c r="G662" s="1" t="s">
        <v>123</v>
      </c>
      <c r="H662" s="1" t="s">
        <v>119</v>
      </c>
      <c r="I662" s="1" t="n">
        <v>11970518503</v>
      </c>
      <c r="J662" s="1" t="s">
        <v>1248</v>
      </c>
      <c r="K662" s="1" t="s">
        <v>104</v>
      </c>
      <c r="L662" s="1" t="s">
        <v>119</v>
      </c>
      <c r="M662" s="1" t="n">
        <v>11970518503</v>
      </c>
      <c r="N662" s="1" t="n">
        <v>-744</v>
      </c>
      <c r="O662" s="1" t="n">
        <v>467.96</v>
      </c>
      <c r="P662" s="1" t="s">
        <v>1285</v>
      </c>
      <c r="Q662" s="1" t="s">
        <v>100</v>
      </c>
      <c r="S662" s="1" t="s">
        <v>1004</v>
      </c>
      <c r="T662" s="1" t="s">
        <v>1274</v>
      </c>
      <c r="V662" s="1" t="s">
        <v>1293</v>
      </c>
      <c r="W662" s="1" t="s">
        <v>1276</v>
      </c>
    </row>
    <row r="663" customFormat="false" ht="15" hidden="false" customHeight="true" outlineLevel="0" collapsed="false">
      <c r="A663" s="1" t="n">
        <v>-0.390577</v>
      </c>
      <c r="B663" s="1" t="s">
        <v>1132</v>
      </c>
      <c r="C663" s="1" t="n">
        <v>10200</v>
      </c>
      <c r="D663" s="1" t="n">
        <v>-3983.89</v>
      </c>
      <c r="E663" s="1" t="n">
        <v>10200</v>
      </c>
      <c r="F663" s="172" t="n">
        <v>-0.390577</v>
      </c>
      <c r="G663" s="1" t="s">
        <v>115</v>
      </c>
      <c r="H663" s="1" t="s">
        <v>119</v>
      </c>
      <c r="I663" s="1" t="n">
        <v>1791342344</v>
      </c>
      <c r="J663" s="1" t="s">
        <v>1248</v>
      </c>
      <c r="K663" s="1" t="s">
        <v>115</v>
      </c>
      <c r="L663" s="1" t="s">
        <v>119</v>
      </c>
      <c r="M663" s="1" t="n">
        <v>1791342344</v>
      </c>
      <c r="N663" s="1" t="n">
        <v>-3983.89</v>
      </c>
      <c r="O663" s="1" t="n">
        <v>850</v>
      </c>
      <c r="P663" s="1" t="s">
        <v>1286</v>
      </c>
      <c r="Q663" s="1" t="s">
        <v>100</v>
      </c>
      <c r="S663" s="1" t="s">
        <v>1004</v>
      </c>
      <c r="T663" s="1" t="s">
        <v>1274</v>
      </c>
      <c r="V663" s="1" t="s">
        <v>1293</v>
      </c>
      <c r="W663" s="1" t="s">
        <v>1284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drawing r:id="rIdDraw1"/>
  <extLst>
    <ext xmlns:x14="http://schemas.microsoft.com/office/spreadsheetml/2009/9/main" uri="{A8765BA9-456A-4dab-B4F3-ACF838C121DE}">
      <x14:slicerList>
        <x14:slicer r:id="rIdSlicer1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4" min="3" style="1" width="8"/>
    <col collapsed="false" customWidth="true" hidden="false" outlineLevel="0" max="6" min="5" style="1" width="20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11" min="9" style="1" width="14"/>
    <col collapsed="false" customWidth="true" hidden="false" outlineLevel="0" max="13" min="12" style="1" width="16"/>
  </cols>
  <sheetData>
    <row r="1" customFormat="false" ht="23.25" hidden="false" customHeight="true" outlineLevel="0" collapsed="false">
      <c r="A1" s="168" t="s">
        <v>1294</v>
      </c>
      <c r="B1" s="168" t="s">
        <v>1258</v>
      </c>
      <c r="C1" s="168" t="s">
        <v>1259</v>
      </c>
      <c r="D1" s="168" t="s">
        <v>1260</v>
      </c>
      <c r="E1" s="168" t="s">
        <v>1261</v>
      </c>
      <c r="F1" s="168" t="s">
        <v>1180</v>
      </c>
      <c r="G1" s="168" t="s">
        <v>1271</v>
      </c>
      <c r="H1" s="168" t="s">
        <v>1170</v>
      </c>
      <c r="I1" s="168" t="s">
        <v>1295</v>
      </c>
      <c r="J1" s="168" t="s">
        <v>1296</v>
      </c>
      <c r="K1" s="168" t="s">
        <v>1297</v>
      </c>
      <c r="L1" s="168" t="s">
        <v>1298</v>
      </c>
      <c r="M1" s="168" t="s">
        <v>1299</v>
      </c>
    </row>
    <row r="2" customFormat="false" ht="15" hidden="false" customHeight="true" outlineLevel="0" collapsed="false">
      <c r="A2" s="1" t="n">
        <v>17.888993</v>
      </c>
      <c r="B2" s="1" t="s">
        <v>123</v>
      </c>
      <c r="C2" s="1" t="s">
        <v>101</v>
      </c>
      <c r="D2" s="1" t="n">
        <v>6630220990</v>
      </c>
      <c r="E2" s="1" t="s">
        <v>1242</v>
      </c>
      <c r="F2" s="1" t="s">
        <v>104</v>
      </c>
      <c r="G2" s="1" t="s">
        <v>1275</v>
      </c>
      <c r="H2" s="1" t="s">
        <v>100</v>
      </c>
    </row>
    <row r="3" customFormat="false" ht="15" hidden="false" customHeight="true" outlineLevel="0" collapsed="false">
      <c r="A3" s="1" t="n">
        <v>11.631797</v>
      </c>
      <c r="B3" s="1" t="s">
        <v>123</v>
      </c>
      <c r="C3" s="1" t="s">
        <v>109</v>
      </c>
      <c r="D3" s="1" t="n">
        <v>4191038174</v>
      </c>
      <c r="E3" s="1" t="s">
        <v>1242</v>
      </c>
      <c r="F3" s="1" t="s">
        <v>104</v>
      </c>
      <c r="G3" s="1" t="s">
        <v>1275</v>
      </c>
      <c r="H3" s="1" t="s">
        <v>108</v>
      </c>
    </row>
    <row r="4" customFormat="false" ht="15" hidden="false" customHeight="true" outlineLevel="0" collapsed="false">
      <c r="A4" s="1" t="n">
        <v>8.957898</v>
      </c>
      <c r="B4" s="1" t="s">
        <v>123</v>
      </c>
      <c r="C4" s="1" t="s">
        <v>114</v>
      </c>
      <c r="D4" s="1" t="n">
        <v>31975430905</v>
      </c>
      <c r="E4" s="1" t="s">
        <v>1242</v>
      </c>
      <c r="F4" s="1" t="s">
        <v>104</v>
      </c>
      <c r="G4" s="1" t="s">
        <v>1275</v>
      </c>
      <c r="H4" s="1" t="s">
        <v>100</v>
      </c>
    </row>
    <row r="5" customFormat="false" ht="15" hidden="false" customHeight="true" outlineLevel="0" collapsed="false">
      <c r="A5" s="1" t="n">
        <v>7.410765</v>
      </c>
      <c r="B5" s="1" t="s">
        <v>123</v>
      </c>
      <c r="C5" s="1" t="s">
        <v>119</v>
      </c>
      <c r="D5" s="1" t="n">
        <v>35984415576</v>
      </c>
      <c r="E5" s="1" t="s">
        <v>1242</v>
      </c>
      <c r="F5" s="1" t="s">
        <v>104</v>
      </c>
      <c r="G5" s="1" t="s">
        <v>1275</v>
      </c>
      <c r="H5" s="1" t="s">
        <v>100</v>
      </c>
    </row>
    <row r="6" customFormat="false" ht="15" hidden="false" customHeight="true" outlineLevel="0" collapsed="false">
      <c r="A6" s="1" t="n">
        <v>6.92987</v>
      </c>
      <c r="B6" s="1" t="s">
        <v>123</v>
      </c>
      <c r="C6" s="1" t="s">
        <v>187</v>
      </c>
      <c r="D6" s="1" t="n">
        <v>81988663616</v>
      </c>
      <c r="E6" s="1" t="s">
        <v>1242</v>
      </c>
      <c r="F6" s="1" t="s">
        <v>104</v>
      </c>
      <c r="G6" s="1" t="s">
        <v>1275</v>
      </c>
      <c r="H6" s="1" t="s">
        <v>100</v>
      </c>
    </row>
    <row r="7" customFormat="false" ht="15" hidden="false" customHeight="true" outlineLevel="0" collapsed="false">
      <c r="A7" s="1" t="n">
        <v>5.967792</v>
      </c>
      <c r="B7" s="1" t="s">
        <v>123</v>
      </c>
      <c r="C7" s="1" t="s">
        <v>127</v>
      </c>
      <c r="D7" s="1" t="n">
        <v>6281539520</v>
      </c>
      <c r="E7" s="1" t="s">
        <v>1242</v>
      </c>
      <c r="F7" s="1" t="s">
        <v>104</v>
      </c>
      <c r="G7" s="1" t="s">
        <v>1275</v>
      </c>
      <c r="H7" s="1" t="s">
        <v>100</v>
      </c>
    </row>
    <row r="8" customFormat="false" ht="15" hidden="false" customHeight="true" outlineLevel="0" collapsed="false">
      <c r="A8" s="1" t="n">
        <v>5.388914</v>
      </c>
      <c r="B8" s="1" t="s">
        <v>123</v>
      </c>
      <c r="C8" s="1" t="s">
        <v>187</v>
      </c>
      <c r="D8" s="1" t="n">
        <v>81988663616</v>
      </c>
      <c r="E8" s="1" t="s">
        <v>1242</v>
      </c>
      <c r="F8" s="1" t="s">
        <v>104</v>
      </c>
      <c r="G8" s="1" t="s">
        <v>1275</v>
      </c>
      <c r="H8" s="1" t="s">
        <v>100</v>
      </c>
    </row>
    <row r="9" customFormat="false" ht="15" hidden="false" customHeight="true" outlineLevel="0" collapsed="false">
      <c r="A9" s="1" t="n">
        <v>4.629353</v>
      </c>
      <c r="B9" s="1" t="s">
        <v>123</v>
      </c>
      <c r="C9" s="1" t="s">
        <v>119</v>
      </c>
      <c r="D9" s="1" t="n">
        <v>1435334300</v>
      </c>
      <c r="E9" s="1" t="s">
        <v>1242</v>
      </c>
      <c r="F9" s="1" t="s">
        <v>104</v>
      </c>
      <c r="G9" s="1" t="s">
        <v>1275</v>
      </c>
      <c r="H9" s="1" t="s">
        <v>108</v>
      </c>
    </row>
    <row r="10" customFormat="false" ht="15" hidden="false" customHeight="true" outlineLevel="0" collapsed="false">
      <c r="A10" s="1" t="n">
        <v>4.615792</v>
      </c>
      <c r="B10" s="1" t="s">
        <v>123</v>
      </c>
      <c r="C10" s="1" t="s">
        <v>109</v>
      </c>
      <c r="D10" s="1" t="n">
        <v>44999119237</v>
      </c>
      <c r="E10" s="1" t="s">
        <v>1242</v>
      </c>
      <c r="F10" s="1" t="s">
        <v>104</v>
      </c>
      <c r="G10" s="1" t="s">
        <v>1275</v>
      </c>
      <c r="H10" s="1" t="s">
        <v>108</v>
      </c>
    </row>
    <row r="11" customFormat="false" ht="15" hidden="false" customHeight="true" outlineLevel="0" collapsed="false">
      <c r="A11" s="1" t="n">
        <v>4.121087</v>
      </c>
      <c r="B11" s="1" t="s">
        <v>123</v>
      </c>
      <c r="C11" s="1" t="s">
        <v>139</v>
      </c>
      <c r="D11" s="1" t="n">
        <v>4799124468</v>
      </c>
      <c r="E11" s="1" t="s">
        <v>1242</v>
      </c>
      <c r="F11" s="1" t="s">
        <v>104</v>
      </c>
      <c r="G11" s="1" t="s">
        <v>1275</v>
      </c>
      <c r="H11" s="1" t="s">
        <v>108</v>
      </c>
    </row>
    <row r="12" customFormat="false" ht="15" hidden="false" customHeight="true" outlineLevel="0" collapsed="false">
      <c r="A12" s="1" t="n">
        <v>4.005055</v>
      </c>
      <c r="B12" s="1" t="s">
        <v>123</v>
      </c>
      <c r="C12" s="1" t="s">
        <v>139</v>
      </c>
      <c r="D12" s="1" t="n">
        <v>4733947104</v>
      </c>
      <c r="E12" s="1" t="s">
        <v>1242</v>
      </c>
      <c r="F12" s="1" t="s">
        <v>104</v>
      </c>
      <c r="G12" s="1" t="s">
        <v>1275</v>
      </c>
      <c r="H12" s="1" t="s">
        <v>108</v>
      </c>
    </row>
    <row r="13" customFormat="false" ht="15" hidden="false" customHeight="true" outlineLevel="0" collapsed="false">
      <c r="A13" s="1" t="n">
        <v>3.884095</v>
      </c>
      <c r="B13" s="1" t="s">
        <v>123</v>
      </c>
      <c r="C13" s="1" t="s">
        <v>146</v>
      </c>
      <c r="D13" s="1" t="n">
        <v>1</v>
      </c>
      <c r="E13" s="1" t="s">
        <v>1242</v>
      </c>
      <c r="F13" s="1" t="s">
        <v>104</v>
      </c>
      <c r="G13" s="1" t="s">
        <v>1275</v>
      </c>
      <c r="H13" s="1" t="s">
        <v>100</v>
      </c>
    </row>
    <row r="14" customFormat="false" ht="15" hidden="false" customHeight="true" outlineLevel="0" collapsed="false">
      <c r="A14" s="1" t="n">
        <v>3.844052</v>
      </c>
      <c r="B14" s="1" t="s">
        <v>123</v>
      </c>
      <c r="C14" s="1" t="s">
        <v>139</v>
      </c>
      <c r="D14" s="1" t="n">
        <v>4788616805</v>
      </c>
      <c r="E14" s="1" t="s">
        <v>1242</v>
      </c>
      <c r="F14" s="1" t="s">
        <v>104</v>
      </c>
      <c r="G14" s="1" t="s">
        <v>1275</v>
      </c>
      <c r="H14" s="1" t="s">
        <v>108</v>
      </c>
    </row>
    <row r="15" customFormat="false" ht="15" hidden="false" customHeight="true" outlineLevel="0" collapsed="false">
      <c r="A15" s="1" t="n">
        <v>3.223497</v>
      </c>
      <c r="B15" s="1" t="s">
        <v>123</v>
      </c>
      <c r="C15" s="1" t="s">
        <v>109</v>
      </c>
      <c r="D15" s="1" t="n">
        <v>41992423665</v>
      </c>
      <c r="E15" s="1" t="s">
        <v>1242</v>
      </c>
      <c r="F15" s="1" t="s">
        <v>104</v>
      </c>
      <c r="G15" s="1" t="s">
        <v>1275</v>
      </c>
      <c r="H15" s="1" t="s">
        <v>108</v>
      </c>
    </row>
    <row r="16" customFormat="false" ht="15" hidden="false" customHeight="true" outlineLevel="0" collapsed="false">
      <c r="A16" s="1" t="n">
        <v>3.109603</v>
      </c>
      <c r="B16" s="1" t="s">
        <v>123</v>
      </c>
      <c r="C16" s="1" t="s">
        <v>119</v>
      </c>
      <c r="D16" s="1" t="n">
        <v>17992484748</v>
      </c>
      <c r="E16" s="1" t="s">
        <v>1242</v>
      </c>
      <c r="F16" s="1" t="s">
        <v>104</v>
      </c>
      <c r="G16" s="1" t="s">
        <v>1275</v>
      </c>
      <c r="H16" s="1" t="s">
        <v>100</v>
      </c>
    </row>
    <row r="17" customFormat="false" ht="15" hidden="false" customHeight="true" outlineLevel="0" collapsed="false">
      <c r="A17" s="1" t="n">
        <v>1.83606</v>
      </c>
      <c r="B17" s="1" t="s">
        <v>1182</v>
      </c>
      <c r="C17" s="1" t="s">
        <v>139</v>
      </c>
      <c r="D17" s="1" t="n">
        <v>48988457748</v>
      </c>
      <c r="E17" s="1" t="s">
        <v>1242</v>
      </c>
      <c r="F17" s="1" t="s">
        <v>1182</v>
      </c>
      <c r="G17" s="1" t="s">
        <v>1275</v>
      </c>
      <c r="H17" s="1" t="s">
        <v>108</v>
      </c>
    </row>
    <row r="18" customFormat="false" ht="15" hidden="false" customHeight="true" outlineLevel="0" collapsed="false">
      <c r="A18" s="1" t="n">
        <v>2.877612</v>
      </c>
      <c r="B18" s="1" t="s">
        <v>123</v>
      </c>
      <c r="C18" s="1" t="s">
        <v>119</v>
      </c>
      <c r="D18" s="1" t="n">
        <v>1148157242</v>
      </c>
      <c r="E18" s="1" t="s">
        <v>1242</v>
      </c>
      <c r="F18" s="1" t="s">
        <v>104</v>
      </c>
      <c r="G18" s="1" t="s">
        <v>1275</v>
      </c>
      <c r="H18" s="1" t="s">
        <v>100</v>
      </c>
    </row>
    <row r="19" customFormat="false" ht="15" hidden="false" customHeight="true" outlineLevel="0" collapsed="false">
      <c r="A19" s="1" t="n">
        <v>2.773233</v>
      </c>
      <c r="B19" s="1" t="s">
        <v>123</v>
      </c>
      <c r="C19" s="1" t="s">
        <v>114</v>
      </c>
      <c r="D19" s="1" t="n">
        <v>3195822907</v>
      </c>
      <c r="E19" s="1" t="s">
        <v>1242</v>
      </c>
      <c r="F19" s="1" t="s">
        <v>104</v>
      </c>
      <c r="G19" s="1" t="s">
        <v>1275</v>
      </c>
      <c r="H19" s="1" t="s">
        <v>108</v>
      </c>
    </row>
    <row r="20" customFormat="false" ht="15" hidden="false" customHeight="true" outlineLevel="0" collapsed="false">
      <c r="A20" s="1" t="n">
        <v>2.720764</v>
      </c>
      <c r="B20" s="1" t="s">
        <v>123</v>
      </c>
      <c r="C20" s="1" t="s">
        <v>119</v>
      </c>
      <c r="D20" s="1" t="n">
        <v>11931442643</v>
      </c>
      <c r="E20" s="1" t="s">
        <v>1242</v>
      </c>
      <c r="F20" s="1" t="s">
        <v>104</v>
      </c>
      <c r="G20" s="1" t="s">
        <v>1275</v>
      </c>
      <c r="H20" s="1" t="s">
        <v>100</v>
      </c>
    </row>
    <row r="21" customFormat="false" ht="15" hidden="false" customHeight="true" outlineLevel="0" collapsed="false">
      <c r="A21" s="1" t="n">
        <v>2.663665</v>
      </c>
      <c r="B21" s="1" t="s">
        <v>123</v>
      </c>
      <c r="C21" s="1" t="s">
        <v>139</v>
      </c>
      <c r="D21" s="1" t="n">
        <v>4797392571</v>
      </c>
      <c r="E21" s="1" t="s">
        <v>1242</v>
      </c>
      <c r="F21" s="1" t="s">
        <v>104</v>
      </c>
      <c r="G21" s="1" t="s">
        <v>1275</v>
      </c>
      <c r="H21" s="1" t="s">
        <v>108</v>
      </c>
    </row>
    <row r="22" customFormat="false" ht="15" hidden="false" customHeight="true" outlineLevel="0" collapsed="false">
      <c r="A22" s="1" t="n">
        <v>2.496041</v>
      </c>
      <c r="B22" s="1" t="s">
        <v>123</v>
      </c>
      <c r="C22" s="1" t="s">
        <v>114</v>
      </c>
      <c r="D22" s="1" t="n">
        <v>3136166485</v>
      </c>
      <c r="E22" s="1" t="s">
        <v>1242</v>
      </c>
      <c r="F22" s="1" t="s">
        <v>104</v>
      </c>
      <c r="G22" s="1" t="s">
        <v>1275</v>
      </c>
      <c r="H22" s="1" t="s">
        <v>100</v>
      </c>
    </row>
    <row r="23" customFormat="false" ht="15" hidden="false" customHeight="true" outlineLevel="0" collapsed="false">
      <c r="A23" s="1" t="n">
        <v>2.426737</v>
      </c>
      <c r="B23" s="1" t="s">
        <v>123</v>
      </c>
      <c r="C23" s="1" t="s">
        <v>119</v>
      </c>
      <c r="D23" s="1" t="n">
        <v>11993142494</v>
      </c>
      <c r="E23" s="1" t="s">
        <v>1242</v>
      </c>
      <c r="F23" s="1" t="s">
        <v>104</v>
      </c>
      <c r="G23" s="1" t="s">
        <v>1275</v>
      </c>
      <c r="H23" s="1" t="s">
        <v>100</v>
      </c>
    </row>
    <row r="24" customFormat="false" ht="15" hidden="false" customHeight="true" outlineLevel="0" collapsed="false">
      <c r="A24" s="1" t="n">
        <v>2.38106</v>
      </c>
      <c r="B24" s="1" t="s">
        <v>123</v>
      </c>
      <c r="C24" s="1" t="s">
        <v>119</v>
      </c>
      <c r="D24" s="1" t="n">
        <v>16988037695</v>
      </c>
      <c r="E24" s="1" t="s">
        <v>1242</v>
      </c>
      <c r="F24" s="1" t="s">
        <v>104</v>
      </c>
      <c r="G24" s="1" t="s">
        <v>1275</v>
      </c>
      <c r="H24" s="1" t="s">
        <v>100</v>
      </c>
    </row>
    <row r="25" customFormat="false" ht="15" hidden="false" customHeight="true" outlineLevel="0" collapsed="false">
      <c r="A25" s="1" t="n">
        <v>1.22149</v>
      </c>
      <c r="B25" s="1" t="s">
        <v>102</v>
      </c>
      <c r="C25" s="1" t="s">
        <v>139</v>
      </c>
      <c r="D25" s="1" t="n">
        <v>4733047708</v>
      </c>
      <c r="E25" s="1" t="s">
        <v>1242</v>
      </c>
      <c r="F25" s="1" t="s">
        <v>102</v>
      </c>
      <c r="G25" s="1" t="s">
        <v>1275</v>
      </c>
      <c r="H25" s="1" t="s">
        <v>175</v>
      </c>
    </row>
    <row r="26" customFormat="false" ht="15" hidden="false" customHeight="true" outlineLevel="0" collapsed="false">
      <c r="A26" s="1" t="n">
        <v>2.295619</v>
      </c>
      <c r="B26" s="1" t="s">
        <v>123</v>
      </c>
      <c r="C26" s="1" t="s">
        <v>146</v>
      </c>
      <c r="D26" s="1" t="n">
        <v>1</v>
      </c>
      <c r="E26" s="1" t="s">
        <v>1242</v>
      </c>
      <c r="F26" s="1" t="s">
        <v>104</v>
      </c>
      <c r="G26" s="1" t="s">
        <v>1275</v>
      </c>
      <c r="H26" s="1" t="s">
        <v>100</v>
      </c>
    </row>
    <row r="27" customFormat="false" ht="15" hidden="false" customHeight="true" outlineLevel="0" collapsed="false">
      <c r="A27" s="1" t="n">
        <v>2.246637</v>
      </c>
      <c r="B27" s="1" t="s">
        <v>123</v>
      </c>
      <c r="C27" s="1" t="s">
        <v>119</v>
      </c>
      <c r="D27" s="1" t="n">
        <v>1150807000</v>
      </c>
      <c r="E27" s="1" t="s">
        <v>1242</v>
      </c>
      <c r="F27" s="1" t="s">
        <v>104</v>
      </c>
      <c r="G27" s="1" t="s">
        <v>1275</v>
      </c>
      <c r="H27" s="1" t="s">
        <v>100</v>
      </c>
    </row>
    <row r="28" customFormat="false" ht="15" hidden="false" customHeight="true" outlineLevel="0" collapsed="false">
      <c r="A28" s="1" t="n">
        <v>1.031064</v>
      </c>
      <c r="B28" s="1" t="s">
        <v>183</v>
      </c>
      <c r="C28" s="1" t="s">
        <v>196</v>
      </c>
      <c r="D28" s="1" t="n">
        <v>5139027349</v>
      </c>
      <c r="E28" s="1" t="s">
        <v>1242</v>
      </c>
      <c r="F28" s="1" t="s">
        <v>183</v>
      </c>
      <c r="G28" s="1" t="s">
        <v>1275</v>
      </c>
      <c r="H28" s="1" t="s">
        <v>108</v>
      </c>
    </row>
    <row r="29" customFormat="false" ht="15" hidden="false" customHeight="true" outlineLevel="0" collapsed="false">
      <c r="A29" s="1" t="n">
        <v>2.198577</v>
      </c>
      <c r="B29" s="1" t="s">
        <v>123</v>
      </c>
      <c r="C29" s="1" t="s">
        <v>187</v>
      </c>
      <c r="D29" s="1" t="n">
        <v>81997040498</v>
      </c>
      <c r="E29" s="1" t="s">
        <v>1242</v>
      </c>
      <c r="F29" s="1" t="s">
        <v>104</v>
      </c>
      <c r="G29" s="1" t="s">
        <v>1275</v>
      </c>
      <c r="H29" s="1" t="s">
        <v>100</v>
      </c>
    </row>
    <row r="30" customFormat="false" ht="15" hidden="false" customHeight="true" outlineLevel="0" collapsed="false">
      <c r="A30" s="1" t="n">
        <v>2.191064</v>
      </c>
      <c r="B30" s="1" t="s">
        <v>123</v>
      </c>
      <c r="C30" s="1" t="s">
        <v>109</v>
      </c>
      <c r="D30" s="1" t="n">
        <v>43999144144</v>
      </c>
      <c r="E30" s="1" t="s">
        <v>1242</v>
      </c>
      <c r="F30" s="1" t="s">
        <v>104</v>
      </c>
      <c r="G30" s="1" t="s">
        <v>1275</v>
      </c>
      <c r="H30" s="1" t="s">
        <v>108</v>
      </c>
    </row>
    <row r="31" customFormat="false" ht="15" hidden="false" customHeight="true" outlineLevel="0" collapsed="false">
      <c r="A31" s="1" t="n">
        <v>2.12091</v>
      </c>
      <c r="B31" s="1" t="s">
        <v>123</v>
      </c>
      <c r="C31" s="1" t="s">
        <v>139</v>
      </c>
      <c r="D31" s="1" t="n">
        <v>4733636986</v>
      </c>
      <c r="E31" s="1" t="s">
        <v>1242</v>
      </c>
      <c r="F31" s="1" t="s">
        <v>104</v>
      </c>
      <c r="G31" s="1" t="s">
        <v>1275</v>
      </c>
      <c r="H31" s="1" t="s">
        <v>108</v>
      </c>
    </row>
    <row r="32" customFormat="false" ht="15" hidden="false" customHeight="true" outlineLevel="0" collapsed="false">
      <c r="A32" s="1" t="n">
        <v>1.79635</v>
      </c>
      <c r="B32" s="1" t="s">
        <v>110</v>
      </c>
      <c r="C32" s="1" t="s">
        <v>196</v>
      </c>
      <c r="D32" s="1" t="n">
        <v>51985429000</v>
      </c>
      <c r="E32" s="1" t="s">
        <v>1242</v>
      </c>
      <c r="F32" s="1" t="s">
        <v>110</v>
      </c>
      <c r="G32" s="1" t="s">
        <v>1275</v>
      </c>
      <c r="H32" s="1" t="s">
        <v>184</v>
      </c>
    </row>
    <row r="33" customFormat="false" ht="15" hidden="false" customHeight="true" outlineLevel="0" collapsed="false">
      <c r="A33" s="1" t="n">
        <v>2.005843</v>
      </c>
      <c r="B33" s="1" t="s">
        <v>123</v>
      </c>
      <c r="C33" s="1" t="s">
        <v>119</v>
      </c>
      <c r="D33" s="1" t="n">
        <v>1435542046</v>
      </c>
      <c r="E33" s="1" t="s">
        <v>1242</v>
      </c>
      <c r="F33" s="1" t="s">
        <v>104</v>
      </c>
      <c r="G33" s="1" t="s">
        <v>1275</v>
      </c>
      <c r="H33" s="1" t="s">
        <v>100</v>
      </c>
    </row>
    <row r="34" customFormat="false" ht="15" hidden="false" customHeight="true" outlineLevel="0" collapsed="false">
      <c r="A34" s="1" t="n">
        <v>1.00462</v>
      </c>
      <c r="B34" s="1" t="s">
        <v>66</v>
      </c>
      <c r="C34" s="1" t="s">
        <v>139</v>
      </c>
      <c r="D34" s="1" t="n">
        <v>4799956980</v>
      </c>
      <c r="E34" s="1" t="s">
        <v>1242</v>
      </c>
      <c r="F34" s="1" t="s">
        <v>66</v>
      </c>
      <c r="G34" s="1" t="s">
        <v>1275</v>
      </c>
      <c r="H34" s="1" t="s">
        <v>175</v>
      </c>
    </row>
    <row r="35" customFormat="false" ht="15" hidden="false" customHeight="true" outlineLevel="0" collapsed="false">
      <c r="A35" s="1" t="n">
        <v>0.97781</v>
      </c>
      <c r="B35" s="1" t="s">
        <v>66</v>
      </c>
      <c r="C35" s="1" t="s">
        <v>139</v>
      </c>
      <c r="D35" s="1" t="n">
        <v>47992780085</v>
      </c>
      <c r="E35" s="1" t="s">
        <v>1242</v>
      </c>
      <c r="F35" s="1" t="s">
        <v>66</v>
      </c>
      <c r="G35" s="1" t="s">
        <v>1275</v>
      </c>
      <c r="H35" s="1" t="s">
        <v>175</v>
      </c>
    </row>
    <row r="36" customFormat="false" ht="15" hidden="false" customHeight="true" outlineLevel="0" collapsed="false">
      <c r="A36" s="1" t="n">
        <v>0.971903</v>
      </c>
      <c r="B36" s="1" t="s">
        <v>66</v>
      </c>
      <c r="C36" s="1" t="s">
        <v>139</v>
      </c>
      <c r="D36" s="1" t="n">
        <v>47999956980</v>
      </c>
      <c r="E36" s="1" t="s">
        <v>1242</v>
      </c>
      <c r="F36" s="1" t="s">
        <v>66</v>
      </c>
      <c r="G36" s="1" t="s">
        <v>1275</v>
      </c>
      <c r="H36" s="1" t="s">
        <v>175</v>
      </c>
    </row>
    <row r="37" customFormat="false" ht="15" hidden="false" customHeight="true" outlineLevel="0" collapsed="false">
      <c r="A37" s="1" t="n">
        <v>0.960942</v>
      </c>
      <c r="B37" s="1" t="s">
        <v>66</v>
      </c>
      <c r="C37" s="1" t="s">
        <v>139</v>
      </c>
      <c r="D37" s="1" t="n">
        <v>4799956980</v>
      </c>
      <c r="E37" s="1" t="s">
        <v>1242</v>
      </c>
      <c r="F37" s="1" t="s">
        <v>66</v>
      </c>
      <c r="G37" s="1" t="s">
        <v>1275</v>
      </c>
      <c r="H37" s="1" t="s">
        <v>175</v>
      </c>
    </row>
    <row r="38" customFormat="false" ht="15" hidden="false" customHeight="true" outlineLevel="0" collapsed="false">
      <c r="A38" s="1" t="n">
        <v>1.821657</v>
      </c>
      <c r="B38" s="1" t="s">
        <v>123</v>
      </c>
      <c r="C38" s="1" t="s">
        <v>109</v>
      </c>
      <c r="D38" s="1" t="n">
        <v>4132177700</v>
      </c>
      <c r="E38" s="1" t="s">
        <v>1242</v>
      </c>
      <c r="F38" s="1" t="s">
        <v>104</v>
      </c>
      <c r="G38" s="1" t="s">
        <v>1275</v>
      </c>
      <c r="H38" s="1" t="s">
        <v>108</v>
      </c>
    </row>
    <row r="39" customFormat="false" ht="15" hidden="false" customHeight="true" outlineLevel="0" collapsed="false">
      <c r="A39" s="1" t="n">
        <v>1.778423</v>
      </c>
      <c r="B39" s="1" t="s">
        <v>123</v>
      </c>
      <c r="C39" s="1" t="s">
        <v>114</v>
      </c>
      <c r="D39" s="1" t="n">
        <v>3196193930</v>
      </c>
      <c r="E39" s="1" t="s">
        <v>1242</v>
      </c>
      <c r="F39" s="1" t="s">
        <v>104</v>
      </c>
      <c r="G39" s="1" t="s">
        <v>1275</v>
      </c>
      <c r="H39" s="1" t="s">
        <v>100</v>
      </c>
    </row>
    <row r="40" customFormat="false" ht="15" hidden="false" customHeight="true" outlineLevel="0" collapsed="false">
      <c r="A40" s="1" t="n">
        <v>1.762428</v>
      </c>
      <c r="B40" s="1" t="s">
        <v>123</v>
      </c>
      <c r="C40" s="1" t="s">
        <v>114</v>
      </c>
      <c r="D40" s="1" t="n">
        <v>31377187303</v>
      </c>
      <c r="E40" s="1" t="s">
        <v>1242</v>
      </c>
      <c r="F40" s="1" t="s">
        <v>104</v>
      </c>
      <c r="G40" s="1" t="s">
        <v>1275</v>
      </c>
      <c r="H40" s="1" t="s">
        <v>100</v>
      </c>
    </row>
    <row r="41" customFormat="false" ht="15" hidden="false" customHeight="true" outlineLevel="0" collapsed="false">
      <c r="A41" s="1" t="n">
        <v>1.751966</v>
      </c>
      <c r="B41" s="1" t="s">
        <v>123</v>
      </c>
      <c r="C41" s="1" t="s">
        <v>127</v>
      </c>
      <c r="D41" s="1" t="n">
        <v>1</v>
      </c>
      <c r="E41" s="1" t="s">
        <v>1242</v>
      </c>
      <c r="F41" s="1" t="s">
        <v>104</v>
      </c>
      <c r="G41" s="1" t="s">
        <v>1275</v>
      </c>
      <c r="H41" s="1" t="s">
        <v>100</v>
      </c>
    </row>
    <row r="42" customFormat="false" ht="15" hidden="false" customHeight="true" outlineLevel="0" collapsed="false">
      <c r="A42" s="1" t="n">
        <v>1.751009</v>
      </c>
      <c r="B42" s="1" t="s">
        <v>123</v>
      </c>
      <c r="C42" s="1" t="s">
        <v>109</v>
      </c>
      <c r="D42" s="1" t="n">
        <v>4388368610</v>
      </c>
      <c r="E42" s="1" t="s">
        <v>1242</v>
      </c>
      <c r="F42" s="1" t="s">
        <v>104</v>
      </c>
      <c r="G42" s="1" t="s">
        <v>1275</v>
      </c>
      <c r="H42" s="1" t="s">
        <v>108</v>
      </c>
    </row>
    <row r="43" customFormat="false" ht="15" hidden="false" customHeight="true" outlineLevel="0" collapsed="false">
      <c r="A43" s="1" t="n">
        <v>1.720269</v>
      </c>
      <c r="B43" s="1" t="s">
        <v>123</v>
      </c>
      <c r="C43" s="1" t="s">
        <v>109</v>
      </c>
      <c r="D43" s="1" t="n">
        <v>4188205031</v>
      </c>
      <c r="E43" s="1" t="s">
        <v>1242</v>
      </c>
      <c r="F43" s="1" t="s">
        <v>104</v>
      </c>
      <c r="G43" s="1" t="s">
        <v>1275</v>
      </c>
      <c r="H43" s="1" t="s">
        <v>108</v>
      </c>
    </row>
    <row r="44" customFormat="false" ht="15" hidden="false" customHeight="true" outlineLevel="0" collapsed="false">
      <c r="A44" s="1" t="n">
        <v>1.698547</v>
      </c>
      <c r="B44" s="1" t="s">
        <v>123</v>
      </c>
      <c r="C44" s="1" t="s">
        <v>119</v>
      </c>
      <c r="D44" s="1" t="n">
        <v>11996144707</v>
      </c>
      <c r="E44" s="1" t="s">
        <v>1242</v>
      </c>
      <c r="F44" s="1" t="s">
        <v>104</v>
      </c>
      <c r="G44" s="1" t="s">
        <v>1275</v>
      </c>
      <c r="H44" s="1" t="s">
        <v>100</v>
      </c>
    </row>
    <row r="45" customFormat="false" ht="15" hidden="false" customHeight="true" outlineLevel="0" collapsed="false">
      <c r="A45" s="1" t="n">
        <v>1.656129</v>
      </c>
      <c r="B45" s="1" t="s">
        <v>123</v>
      </c>
      <c r="C45" s="1" t="s">
        <v>196</v>
      </c>
      <c r="D45" s="1" t="n">
        <v>5199944079</v>
      </c>
      <c r="E45" s="1" t="s">
        <v>1242</v>
      </c>
      <c r="F45" s="1" t="s">
        <v>104</v>
      </c>
      <c r="G45" s="1" t="s">
        <v>1275</v>
      </c>
      <c r="H45" s="1" t="s">
        <v>108</v>
      </c>
    </row>
    <row r="46" customFormat="false" ht="15" hidden="false" customHeight="true" outlineLevel="0" collapsed="false">
      <c r="A46" s="1" t="n">
        <v>1.580278</v>
      </c>
      <c r="B46" s="1" t="s">
        <v>123</v>
      </c>
      <c r="C46" s="1" t="s">
        <v>101</v>
      </c>
      <c r="D46" s="1" t="n">
        <v>66353200506</v>
      </c>
      <c r="E46" s="1" t="s">
        <v>1242</v>
      </c>
      <c r="F46" s="1" t="s">
        <v>104</v>
      </c>
      <c r="G46" s="1" t="s">
        <v>1275</v>
      </c>
      <c r="H46" s="1" t="s">
        <v>100</v>
      </c>
    </row>
    <row r="47" customFormat="false" ht="15" hidden="false" customHeight="true" outlineLevel="0" collapsed="false">
      <c r="A47" s="1" t="n">
        <v>1.507793</v>
      </c>
      <c r="B47" s="1" t="s">
        <v>123</v>
      </c>
      <c r="C47" s="1" t="s">
        <v>109</v>
      </c>
      <c r="D47" s="1" t="n">
        <v>4191966888</v>
      </c>
      <c r="E47" s="1" t="s">
        <v>1242</v>
      </c>
      <c r="F47" s="1" t="s">
        <v>104</v>
      </c>
      <c r="G47" s="1" t="s">
        <v>1275</v>
      </c>
      <c r="H47" s="1" t="s">
        <v>108</v>
      </c>
    </row>
    <row r="48" customFormat="false" ht="15" hidden="false" customHeight="true" outlineLevel="0" collapsed="false">
      <c r="A48" s="1" t="n">
        <v>0.704813</v>
      </c>
      <c r="B48" s="1" t="s">
        <v>183</v>
      </c>
      <c r="C48" s="1" t="s">
        <v>196</v>
      </c>
      <c r="D48" s="1" t="n">
        <v>5137193512</v>
      </c>
      <c r="E48" s="1" t="s">
        <v>1242</v>
      </c>
      <c r="F48" s="1" t="s">
        <v>183</v>
      </c>
      <c r="G48" s="1" t="s">
        <v>1275</v>
      </c>
      <c r="H48" s="1" t="s">
        <v>108</v>
      </c>
    </row>
    <row r="49" customFormat="false" ht="15" hidden="false" customHeight="true" outlineLevel="0" collapsed="false">
      <c r="A49" s="1" t="n">
        <v>0.772213</v>
      </c>
      <c r="B49" s="1" t="s">
        <v>66</v>
      </c>
      <c r="C49" s="1" t="s">
        <v>139</v>
      </c>
      <c r="D49" s="1" t="n">
        <v>4799956980</v>
      </c>
      <c r="E49" s="1" t="s">
        <v>1242</v>
      </c>
      <c r="F49" s="1" t="s">
        <v>66</v>
      </c>
      <c r="G49" s="1" t="s">
        <v>1275</v>
      </c>
      <c r="H49" s="1" t="s">
        <v>175</v>
      </c>
    </row>
    <row r="50" customFormat="false" ht="15" hidden="false" customHeight="true" outlineLevel="0" collapsed="false">
      <c r="A50" s="1" t="n">
        <v>1.467188</v>
      </c>
      <c r="B50" s="1" t="s">
        <v>123</v>
      </c>
      <c r="C50" s="1" t="s">
        <v>119</v>
      </c>
      <c r="D50" s="1" t="n">
        <v>11980250123</v>
      </c>
      <c r="E50" s="1" t="s">
        <v>1242</v>
      </c>
      <c r="F50" s="1" t="s">
        <v>104</v>
      </c>
      <c r="G50" s="1" t="s">
        <v>1275</v>
      </c>
      <c r="H50" s="1" t="s">
        <v>100</v>
      </c>
    </row>
    <row r="51" customFormat="false" ht="15" hidden="false" customHeight="true" outlineLevel="0" collapsed="false">
      <c r="A51" s="1" t="n">
        <v>1.466333</v>
      </c>
      <c r="B51" s="1" t="s">
        <v>123</v>
      </c>
      <c r="C51" s="1" t="s">
        <v>119</v>
      </c>
      <c r="D51" s="1" t="n">
        <v>1140811061</v>
      </c>
      <c r="E51" s="1" t="s">
        <v>1242</v>
      </c>
      <c r="F51" s="1" t="s">
        <v>104</v>
      </c>
      <c r="G51" s="1" t="s">
        <v>1275</v>
      </c>
      <c r="H51" s="1" t="s">
        <v>100</v>
      </c>
    </row>
    <row r="52" customFormat="false" ht="15" hidden="false" customHeight="true" outlineLevel="0" collapsed="false">
      <c r="A52" s="1" t="n">
        <v>1.445315</v>
      </c>
      <c r="B52" s="1" t="s">
        <v>123</v>
      </c>
      <c r="C52" s="1" t="s">
        <v>114</v>
      </c>
      <c r="D52" s="1" t="n">
        <v>3584162455</v>
      </c>
      <c r="E52" s="1" t="s">
        <v>1242</v>
      </c>
      <c r="F52" s="1" t="s">
        <v>104</v>
      </c>
      <c r="G52" s="1" t="s">
        <v>1288</v>
      </c>
      <c r="H52" s="1" t="s">
        <v>100</v>
      </c>
    </row>
    <row r="53" customFormat="false" ht="15" hidden="false" customHeight="true" outlineLevel="0" collapsed="false">
      <c r="A53" s="1" t="n">
        <v>1.430799</v>
      </c>
      <c r="B53" s="1" t="s">
        <v>123</v>
      </c>
      <c r="C53" s="1" t="s">
        <v>243</v>
      </c>
      <c r="D53" s="1" t="n">
        <v>75999105787</v>
      </c>
      <c r="E53" s="1" t="s">
        <v>1242</v>
      </c>
      <c r="F53" s="1" t="s">
        <v>104</v>
      </c>
      <c r="G53" s="1" t="s">
        <v>1288</v>
      </c>
      <c r="H53" s="1" t="s">
        <v>108</v>
      </c>
    </row>
    <row r="54" customFormat="false" ht="15" hidden="false" customHeight="true" outlineLevel="0" collapsed="false">
      <c r="A54" s="1" t="n">
        <v>1.414922</v>
      </c>
      <c r="B54" s="1" t="s">
        <v>123</v>
      </c>
      <c r="C54" s="1" t="s">
        <v>109</v>
      </c>
      <c r="D54" s="1" t="n">
        <v>4184420498</v>
      </c>
      <c r="E54" s="1" t="s">
        <v>1242</v>
      </c>
      <c r="F54" s="1" t="s">
        <v>104</v>
      </c>
      <c r="G54" s="1" t="s">
        <v>1288</v>
      </c>
      <c r="H54" s="1" t="s">
        <v>108</v>
      </c>
    </row>
    <row r="55" customFormat="false" ht="15" hidden="false" customHeight="true" outlineLevel="0" collapsed="false">
      <c r="A55" s="1" t="n">
        <v>1.404136</v>
      </c>
      <c r="B55" s="1" t="s">
        <v>123</v>
      </c>
      <c r="C55" s="1" t="s">
        <v>146</v>
      </c>
      <c r="D55" s="1" t="n">
        <v>9491722241</v>
      </c>
      <c r="E55" s="1" t="s">
        <v>1242</v>
      </c>
      <c r="F55" s="1" t="s">
        <v>104</v>
      </c>
      <c r="G55" s="1" t="s">
        <v>1288</v>
      </c>
      <c r="H55" s="1" t="s">
        <v>100</v>
      </c>
    </row>
    <row r="56" customFormat="false" ht="15" hidden="false" customHeight="true" outlineLevel="0" collapsed="false">
      <c r="A56" s="1" t="n">
        <v>1.397575</v>
      </c>
      <c r="B56" s="1" t="s">
        <v>123</v>
      </c>
      <c r="C56" s="1" t="s">
        <v>250</v>
      </c>
      <c r="D56" s="1" t="n">
        <v>27999386912</v>
      </c>
      <c r="E56" s="1" t="s">
        <v>1242</v>
      </c>
      <c r="F56" s="1" t="s">
        <v>104</v>
      </c>
      <c r="G56" s="1" t="s">
        <v>1288</v>
      </c>
      <c r="H56" s="1" t="s">
        <v>100</v>
      </c>
    </row>
    <row r="57" customFormat="false" ht="15" hidden="false" customHeight="true" outlineLevel="0" collapsed="false">
      <c r="A57" s="1" t="n">
        <v>1.388812</v>
      </c>
      <c r="B57" s="1" t="s">
        <v>123</v>
      </c>
      <c r="C57" s="1" t="s">
        <v>114</v>
      </c>
      <c r="D57" s="1" t="n">
        <v>33988822904</v>
      </c>
      <c r="E57" s="1" t="s">
        <v>1242</v>
      </c>
      <c r="F57" s="1" t="s">
        <v>104</v>
      </c>
      <c r="G57" s="1" t="s">
        <v>1288</v>
      </c>
      <c r="H57" s="1" t="s">
        <v>100</v>
      </c>
    </row>
    <row r="58" customFormat="false" ht="15" hidden="false" customHeight="true" outlineLevel="0" collapsed="false">
      <c r="A58" s="1" t="n">
        <v>0.262383</v>
      </c>
      <c r="B58" s="1" t="s">
        <v>255</v>
      </c>
      <c r="C58" s="1" t="s">
        <v>196</v>
      </c>
      <c r="D58" s="1" t="n">
        <v>5535351201</v>
      </c>
      <c r="E58" s="1" t="s">
        <v>1244</v>
      </c>
      <c r="F58" s="1" t="s">
        <v>255</v>
      </c>
      <c r="G58" s="1" t="s">
        <v>1288</v>
      </c>
      <c r="H58" s="1" t="s">
        <v>184</v>
      </c>
    </row>
    <row r="59" customFormat="false" ht="15" hidden="false" customHeight="true" outlineLevel="0" collapsed="false">
      <c r="A59" s="1" t="n">
        <v>0.8441</v>
      </c>
      <c r="B59" s="1" t="s">
        <v>1289</v>
      </c>
      <c r="C59" s="1" t="s">
        <v>196</v>
      </c>
      <c r="D59" s="1" t="n">
        <v>5196592848</v>
      </c>
      <c r="E59" s="1" t="s">
        <v>1242</v>
      </c>
      <c r="F59" s="1" t="s">
        <v>128</v>
      </c>
      <c r="G59" s="1" t="s">
        <v>1288</v>
      </c>
      <c r="H59" s="1" t="s">
        <v>184</v>
      </c>
    </row>
    <row r="60" customFormat="false" ht="15" hidden="false" customHeight="true" outlineLevel="0" collapsed="false">
      <c r="A60" s="1" t="n">
        <v>1.320152</v>
      </c>
      <c r="B60" s="1" t="s">
        <v>123</v>
      </c>
      <c r="C60" s="1" t="s">
        <v>260</v>
      </c>
      <c r="D60" s="1" t="n">
        <v>22981040677</v>
      </c>
      <c r="E60" s="1" t="s">
        <v>1242</v>
      </c>
      <c r="F60" s="1" t="s">
        <v>104</v>
      </c>
      <c r="G60" s="1" t="s">
        <v>1288</v>
      </c>
      <c r="H60" s="1" t="s">
        <v>100</v>
      </c>
    </row>
    <row r="61" customFormat="false" ht="15" hidden="false" customHeight="true" outlineLevel="0" collapsed="false">
      <c r="A61" s="1" t="n">
        <v>1.293106</v>
      </c>
      <c r="B61" s="1" t="s">
        <v>123</v>
      </c>
      <c r="C61" s="1" t="s">
        <v>263</v>
      </c>
      <c r="D61" s="1" t="n">
        <v>6796842698</v>
      </c>
      <c r="E61" s="1" t="s">
        <v>1242</v>
      </c>
      <c r="F61" s="1" t="s">
        <v>104</v>
      </c>
      <c r="G61" s="1" t="s">
        <v>1288</v>
      </c>
      <c r="H61" s="1" t="s">
        <v>100</v>
      </c>
    </row>
    <row r="62" customFormat="false" ht="15" hidden="false" customHeight="true" outlineLevel="0" collapsed="false">
      <c r="A62" s="1" t="n">
        <v>1.284932</v>
      </c>
      <c r="B62" s="1" t="s">
        <v>123</v>
      </c>
      <c r="C62" s="1" t="s">
        <v>187</v>
      </c>
      <c r="D62" s="1" t="n">
        <v>81995212316</v>
      </c>
      <c r="E62" s="1" t="s">
        <v>1242</v>
      </c>
      <c r="F62" s="1" t="s">
        <v>104</v>
      </c>
      <c r="G62" s="1" t="s">
        <v>1288</v>
      </c>
      <c r="H62" s="1" t="s">
        <v>175</v>
      </c>
    </row>
    <row r="63" customFormat="false" ht="15" hidden="false" customHeight="true" outlineLevel="0" collapsed="false">
      <c r="A63" s="1" t="n">
        <v>1.267605</v>
      </c>
      <c r="B63" s="1" t="s">
        <v>123</v>
      </c>
      <c r="C63" s="1" t="s">
        <v>420</v>
      </c>
      <c r="D63" s="1" t="n">
        <v>98984017711</v>
      </c>
      <c r="E63" s="1" t="s">
        <v>1242</v>
      </c>
      <c r="F63" s="1" t="s">
        <v>104</v>
      </c>
      <c r="G63" s="1" t="s">
        <v>1288</v>
      </c>
      <c r="H63" s="1" t="s">
        <v>100</v>
      </c>
    </row>
    <row r="64" customFormat="false" ht="15" hidden="false" customHeight="true" outlineLevel="0" collapsed="false">
      <c r="A64" s="1" t="n">
        <v>1.260261</v>
      </c>
      <c r="B64" s="1" t="s">
        <v>123</v>
      </c>
      <c r="C64" s="1" t="s">
        <v>139</v>
      </c>
      <c r="D64" s="1" t="n">
        <v>4792695047</v>
      </c>
      <c r="E64" s="1" t="s">
        <v>1242</v>
      </c>
      <c r="F64" s="1" t="s">
        <v>104</v>
      </c>
      <c r="G64" s="1" t="s">
        <v>1288</v>
      </c>
      <c r="H64" s="1" t="s">
        <v>108</v>
      </c>
    </row>
    <row r="65" customFormat="false" ht="15" hidden="false" customHeight="true" outlineLevel="0" collapsed="false">
      <c r="A65" s="1" t="n">
        <v>1.235864</v>
      </c>
      <c r="B65" s="1" t="s">
        <v>123</v>
      </c>
      <c r="C65" s="1" t="s">
        <v>109</v>
      </c>
      <c r="D65" s="1" t="n">
        <v>4430289322</v>
      </c>
      <c r="E65" s="1" t="s">
        <v>1242</v>
      </c>
      <c r="F65" s="1" t="s">
        <v>104</v>
      </c>
      <c r="G65" s="1" t="s">
        <v>1288</v>
      </c>
      <c r="H65" s="1" t="s">
        <v>108</v>
      </c>
    </row>
    <row r="66" customFormat="false" ht="15" hidden="false" customHeight="true" outlineLevel="0" collapsed="false">
      <c r="A66" s="1" t="n">
        <v>1.204879</v>
      </c>
      <c r="B66" s="1" t="s">
        <v>123</v>
      </c>
      <c r="C66" s="1" t="s">
        <v>139</v>
      </c>
      <c r="D66" s="1" t="n">
        <v>4731219552</v>
      </c>
      <c r="E66" s="1" t="s">
        <v>1242</v>
      </c>
      <c r="F66" s="1" t="s">
        <v>104</v>
      </c>
      <c r="G66" s="1" t="s">
        <v>1288</v>
      </c>
      <c r="H66" s="1" t="s">
        <v>108</v>
      </c>
    </row>
    <row r="67" customFormat="false" ht="15" hidden="false" customHeight="true" outlineLevel="0" collapsed="false">
      <c r="A67" s="1" t="n">
        <v>0.738911</v>
      </c>
      <c r="B67" s="1" t="s">
        <v>276</v>
      </c>
      <c r="C67" s="1" t="s">
        <v>109</v>
      </c>
      <c r="D67" s="1" t="n">
        <v>4188063826</v>
      </c>
      <c r="E67" s="1" t="s">
        <v>1242</v>
      </c>
      <c r="F67" s="1" t="s">
        <v>276</v>
      </c>
      <c r="G67" s="1" t="s">
        <v>1288</v>
      </c>
      <c r="H67" s="1" t="s">
        <v>184</v>
      </c>
    </row>
    <row r="68" customFormat="false" ht="15" hidden="false" customHeight="true" outlineLevel="0" collapsed="false">
      <c r="A68" s="1" t="n">
        <v>1.175935</v>
      </c>
      <c r="B68" s="1" t="s">
        <v>123</v>
      </c>
      <c r="C68" s="1" t="s">
        <v>187</v>
      </c>
      <c r="D68" s="1" t="n">
        <v>81996894202</v>
      </c>
      <c r="E68" s="1" t="s">
        <v>1242</v>
      </c>
      <c r="F68" s="1" t="s">
        <v>104</v>
      </c>
      <c r="G68" s="1" t="s">
        <v>1288</v>
      </c>
      <c r="H68" s="1" t="s">
        <v>100</v>
      </c>
    </row>
    <row r="69" customFormat="false" ht="15" hidden="false" customHeight="true" outlineLevel="0" collapsed="false">
      <c r="A69" s="1" t="n">
        <v>1.153756</v>
      </c>
      <c r="B69" s="1" t="s">
        <v>123</v>
      </c>
      <c r="C69" s="1" t="s">
        <v>281</v>
      </c>
      <c r="D69" s="1" t="n">
        <v>6381482975</v>
      </c>
      <c r="E69" s="1" t="s">
        <v>1242</v>
      </c>
      <c r="F69" s="1" t="s">
        <v>104</v>
      </c>
      <c r="G69" s="1" t="s">
        <v>1288</v>
      </c>
      <c r="H69" s="1" t="s">
        <v>100</v>
      </c>
    </row>
    <row r="70" customFormat="false" ht="15" hidden="false" customHeight="true" outlineLevel="0" collapsed="false">
      <c r="A70" s="1" t="n">
        <v>1.143157</v>
      </c>
      <c r="B70" s="1" t="s">
        <v>123</v>
      </c>
      <c r="C70" s="1" t="s">
        <v>250</v>
      </c>
      <c r="D70" s="1" t="n">
        <v>27995190618</v>
      </c>
      <c r="E70" s="1" t="s">
        <v>1242</v>
      </c>
      <c r="F70" s="1" t="s">
        <v>104</v>
      </c>
      <c r="G70" s="1" t="s">
        <v>1288</v>
      </c>
      <c r="H70" s="1" t="s">
        <v>100</v>
      </c>
    </row>
    <row r="71" customFormat="false" ht="15" hidden="false" customHeight="true" outlineLevel="0" collapsed="false">
      <c r="A71" s="1" t="n">
        <v>1.123655</v>
      </c>
      <c r="B71" s="1" t="s">
        <v>123</v>
      </c>
      <c r="C71" s="1" t="s">
        <v>243</v>
      </c>
      <c r="D71" s="1" t="n">
        <v>75999105787</v>
      </c>
      <c r="E71" s="1" t="s">
        <v>1242</v>
      </c>
      <c r="F71" s="1" t="s">
        <v>104</v>
      </c>
      <c r="G71" s="1" t="s">
        <v>1288</v>
      </c>
      <c r="H71" s="1" t="s">
        <v>108</v>
      </c>
    </row>
    <row r="72" customFormat="false" ht="15" hidden="false" customHeight="true" outlineLevel="0" collapsed="false">
      <c r="A72" s="1" t="n">
        <v>1.107126</v>
      </c>
      <c r="B72" s="1" t="s">
        <v>123</v>
      </c>
      <c r="C72" s="1" t="s">
        <v>187</v>
      </c>
      <c r="D72" s="1" t="n">
        <v>8198699280</v>
      </c>
      <c r="E72" s="1" t="s">
        <v>1242</v>
      </c>
      <c r="F72" s="1" t="s">
        <v>104</v>
      </c>
      <c r="G72" s="1" t="s">
        <v>1288</v>
      </c>
      <c r="H72" s="1" t="s">
        <v>100</v>
      </c>
    </row>
    <row r="73" customFormat="false" ht="15" hidden="false" customHeight="true" outlineLevel="0" collapsed="false">
      <c r="A73" s="1" t="n">
        <v>1.03359</v>
      </c>
      <c r="B73" s="1" t="s">
        <v>289</v>
      </c>
      <c r="C73" s="1" t="s">
        <v>260</v>
      </c>
      <c r="D73" s="1" t="n">
        <v>2137880348</v>
      </c>
      <c r="E73" s="1" t="s">
        <v>1242</v>
      </c>
      <c r="F73" s="1" t="s">
        <v>289</v>
      </c>
      <c r="G73" s="1" t="s">
        <v>1288</v>
      </c>
      <c r="H73" s="1" t="s">
        <v>100</v>
      </c>
    </row>
    <row r="74" customFormat="false" ht="15" hidden="false" customHeight="true" outlineLevel="0" collapsed="false">
      <c r="A74" s="1" t="n">
        <v>1.094824</v>
      </c>
      <c r="B74" s="1" t="s">
        <v>123</v>
      </c>
      <c r="C74" s="1" t="s">
        <v>263</v>
      </c>
      <c r="D74" s="1" t="n">
        <v>6734230280</v>
      </c>
      <c r="E74" s="1" t="s">
        <v>1242</v>
      </c>
      <c r="F74" s="1" t="s">
        <v>104</v>
      </c>
      <c r="G74" s="1" t="s">
        <v>1288</v>
      </c>
      <c r="H74" s="1" t="s">
        <v>100</v>
      </c>
    </row>
    <row r="75" customFormat="false" ht="15" hidden="false" customHeight="true" outlineLevel="0" collapsed="false">
      <c r="A75" s="1" t="n">
        <v>0.509662</v>
      </c>
      <c r="B75" s="1" t="s">
        <v>183</v>
      </c>
      <c r="C75" s="1" t="s">
        <v>196</v>
      </c>
      <c r="D75" s="1" t="n">
        <v>5137193512</v>
      </c>
      <c r="E75" s="1" t="s">
        <v>1243</v>
      </c>
      <c r="F75" s="1" t="s">
        <v>183</v>
      </c>
      <c r="G75" s="1" t="s">
        <v>1288</v>
      </c>
      <c r="H75" s="1" t="s">
        <v>108</v>
      </c>
    </row>
    <row r="76" customFormat="false" ht="15" hidden="false" customHeight="true" outlineLevel="0" collapsed="false">
      <c r="A76" s="1" t="n">
        <v>0.599075</v>
      </c>
      <c r="B76" s="1" t="s">
        <v>115</v>
      </c>
      <c r="C76" s="1" t="s">
        <v>127</v>
      </c>
      <c r="D76" s="1" t="n">
        <v>64992783399</v>
      </c>
      <c r="E76" s="1" t="s">
        <v>1243</v>
      </c>
      <c r="F76" s="1" t="s">
        <v>115</v>
      </c>
      <c r="G76" s="1" t="s">
        <v>1288</v>
      </c>
      <c r="H76" s="1" t="s">
        <v>108</v>
      </c>
    </row>
    <row r="77" customFormat="false" ht="15" hidden="false" customHeight="true" outlineLevel="0" collapsed="false">
      <c r="A77" s="1" t="n">
        <v>1.086141</v>
      </c>
      <c r="B77" s="1" t="s">
        <v>123</v>
      </c>
      <c r="C77" s="1" t="s">
        <v>119</v>
      </c>
      <c r="D77" s="1" t="n">
        <v>12988122166</v>
      </c>
      <c r="E77" s="1" t="s">
        <v>1242</v>
      </c>
      <c r="F77" s="1" t="s">
        <v>104</v>
      </c>
      <c r="G77" s="1" t="s">
        <v>1288</v>
      </c>
      <c r="H77" s="1" t="s">
        <v>100</v>
      </c>
    </row>
    <row r="78" customFormat="false" ht="15" hidden="false" customHeight="true" outlineLevel="0" collapsed="false">
      <c r="A78" s="1" t="n">
        <v>0.94475</v>
      </c>
      <c r="B78" s="1" t="s">
        <v>124</v>
      </c>
      <c r="C78" s="1" t="s">
        <v>139</v>
      </c>
      <c r="D78" s="1" t="n">
        <v>4833804868</v>
      </c>
      <c r="E78" s="1" t="s">
        <v>1242</v>
      </c>
      <c r="F78" s="1" t="s">
        <v>124</v>
      </c>
      <c r="G78" s="1" t="s">
        <v>1288</v>
      </c>
      <c r="H78" s="1" t="s">
        <v>184</v>
      </c>
    </row>
    <row r="79" customFormat="false" ht="15" hidden="false" customHeight="true" outlineLevel="0" collapsed="false">
      <c r="A79" s="1" t="n">
        <v>0.529843</v>
      </c>
      <c r="B79" s="1" t="s">
        <v>66</v>
      </c>
      <c r="C79" s="1" t="s">
        <v>139</v>
      </c>
      <c r="D79" s="1" t="n">
        <v>4792254513</v>
      </c>
      <c r="E79" s="1" t="s">
        <v>1243</v>
      </c>
      <c r="F79" s="1" t="s">
        <v>66</v>
      </c>
      <c r="G79" s="1" t="s">
        <v>1288</v>
      </c>
      <c r="H79" s="1" t="s">
        <v>175</v>
      </c>
    </row>
    <row r="80" customFormat="false" ht="15" hidden="false" customHeight="true" outlineLevel="0" collapsed="false">
      <c r="A80" s="1" t="n">
        <v>1.009064</v>
      </c>
      <c r="B80" s="1" t="s">
        <v>123</v>
      </c>
      <c r="C80" s="1" t="s">
        <v>109</v>
      </c>
      <c r="D80" s="1" t="n">
        <v>4133512200</v>
      </c>
      <c r="E80" s="1" t="s">
        <v>1242</v>
      </c>
      <c r="F80" s="1" t="s">
        <v>104</v>
      </c>
      <c r="G80" s="1" t="s">
        <v>1288</v>
      </c>
      <c r="H80" s="1" t="s">
        <v>108</v>
      </c>
    </row>
    <row r="81" customFormat="false" ht="15" hidden="false" customHeight="true" outlineLevel="0" collapsed="false">
      <c r="A81" s="1" t="n">
        <v>0.992573</v>
      </c>
      <c r="B81" s="1" t="s">
        <v>123</v>
      </c>
      <c r="C81" s="1" t="s">
        <v>196</v>
      </c>
      <c r="D81" s="1" t="n">
        <v>5135828602</v>
      </c>
      <c r="E81" s="1" t="s">
        <v>1242</v>
      </c>
      <c r="F81" s="1" t="s">
        <v>104</v>
      </c>
      <c r="G81" s="1" t="s">
        <v>1288</v>
      </c>
      <c r="H81" s="1" t="s">
        <v>108</v>
      </c>
    </row>
    <row r="82" customFormat="false" ht="15" hidden="false" customHeight="true" outlineLevel="0" collapsed="false">
      <c r="A82" s="1" t="n">
        <v>0.989411</v>
      </c>
      <c r="B82" s="1" t="s">
        <v>123</v>
      </c>
      <c r="C82" s="1" t="s">
        <v>139</v>
      </c>
      <c r="D82" s="1" t="n">
        <v>4530553644</v>
      </c>
      <c r="E82" s="1" t="s">
        <v>1242</v>
      </c>
      <c r="F82" s="1" t="s">
        <v>104</v>
      </c>
      <c r="G82" s="1" t="s">
        <v>1288</v>
      </c>
      <c r="H82" s="1" t="s">
        <v>108</v>
      </c>
    </row>
    <row r="83" customFormat="false" ht="15" hidden="false" customHeight="true" outlineLevel="0" collapsed="false">
      <c r="A83" s="1" t="n">
        <v>0.982565</v>
      </c>
      <c r="B83" s="1" t="s">
        <v>123</v>
      </c>
      <c r="C83" s="1" t="s">
        <v>109</v>
      </c>
      <c r="D83" s="1" t="n">
        <v>41998819180</v>
      </c>
      <c r="E83" s="1" t="s">
        <v>1242</v>
      </c>
      <c r="F83" s="1" t="s">
        <v>104</v>
      </c>
      <c r="G83" s="1" t="s">
        <v>1288</v>
      </c>
      <c r="H83" s="1" t="s">
        <v>108</v>
      </c>
    </row>
    <row r="84" customFormat="false" ht="15" hidden="false" customHeight="true" outlineLevel="0" collapsed="false">
      <c r="A84" s="1" t="n">
        <v>0.96667</v>
      </c>
      <c r="B84" s="1" t="s">
        <v>123</v>
      </c>
      <c r="C84" s="1" t="s">
        <v>311</v>
      </c>
      <c r="D84" s="1" t="n">
        <v>6136867677</v>
      </c>
      <c r="E84" s="1" t="s">
        <v>1242</v>
      </c>
      <c r="F84" s="1" t="s">
        <v>104</v>
      </c>
      <c r="G84" s="1" t="s">
        <v>1288</v>
      </c>
      <c r="H84" s="1" t="s">
        <v>100</v>
      </c>
    </row>
    <row r="85" customFormat="false" ht="15" hidden="false" customHeight="true" outlineLevel="0" collapsed="false">
      <c r="A85" s="1" t="n">
        <v>0.495924</v>
      </c>
      <c r="B85" s="1" t="s">
        <v>66</v>
      </c>
      <c r="C85" s="1" t="s">
        <v>139</v>
      </c>
      <c r="D85" s="1" t="n">
        <v>4796102611</v>
      </c>
      <c r="E85" s="1" t="s">
        <v>1243</v>
      </c>
      <c r="F85" s="1" t="s">
        <v>66</v>
      </c>
      <c r="G85" s="1" t="s">
        <v>1288</v>
      </c>
      <c r="H85" s="1" t="s">
        <v>175</v>
      </c>
    </row>
    <row r="86" customFormat="false" ht="15" hidden="false" customHeight="true" outlineLevel="0" collapsed="false">
      <c r="A86" s="1" t="n">
        <v>0.94493</v>
      </c>
      <c r="B86" s="1" t="s">
        <v>123</v>
      </c>
      <c r="C86" s="1" t="s">
        <v>139</v>
      </c>
      <c r="D86" s="1" t="n">
        <v>47997065444</v>
      </c>
      <c r="E86" s="1" t="s">
        <v>1242</v>
      </c>
      <c r="F86" s="1" t="s">
        <v>104</v>
      </c>
      <c r="G86" s="1" t="s">
        <v>1288</v>
      </c>
      <c r="H86" s="1" t="s">
        <v>108</v>
      </c>
    </row>
    <row r="87" customFormat="false" ht="15" hidden="false" customHeight="true" outlineLevel="0" collapsed="false">
      <c r="A87" s="1" t="n">
        <v>0.940779</v>
      </c>
      <c r="B87" s="1" t="s">
        <v>123</v>
      </c>
      <c r="C87" s="1" t="s">
        <v>139</v>
      </c>
      <c r="D87" s="1" t="n">
        <v>4733874642</v>
      </c>
      <c r="E87" s="1" t="s">
        <v>1242</v>
      </c>
      <c r="F87" s="1" t="s">
        <v>104</v>
      </c>
      <c r="G87" s="1" t="s">
        <v>1288</v>
      </c>
      <c r="H87" s="1" t="s">
        <v>108</v>
      </c>
    </row>
    <row r="88" customFormat="false" ht="15" hidden="false" customHeight="true" outlineLevel="0" collapsed="false">
      <c r="A88" s="1" t="n">
        <v>0.487815</v>
      </c>
      <c r="B88" s="1" t="s">
        <v>66</v>
      </c>
      <c r="C88" s="1" t="s">
        <v>139</v>
      </c>
      <c r="D88" s="1" t="n">
        <v>4899570928</v>
      </c>
      <c r="E88" s="1" t="s">
        <v>1243</v>
      </c>
      <c r="F88" s="1" t="s">
        <v>66</v>
      </c>
      <c r="G88" s="1" t="s">
        <v>1288</v>
      </c>
      <c r="H88" s="1" t="s">
        <v>175</v>
      </c>
    </row>
    <row r="89" customFormat="false" ht="15" hidden="false" customHeight="true" outlineLevel="0" collapsed="false">
      <c r="A89" s="1" t="n">
        <v>0.927279</v>
      </c>
      <c r="B89" s="1" t="s">
        <v>123</v>
      </c>
      <c r="C89" s="1" t="s">
        <v>243</v>
      </c>
      <c r="D89" s="1" t="n">
        <v>7599893413</v>
      </c>
      <c r="E89" s="1" t="s">
        <v>1242</v>
      </c>
      <c r="F89" s="1" t="s">
        <v>104</v>
      </c>
      <c r="G89" s="1" t="s">
        <v>1288</v>
      </c>
      <c r="H89" s="1" t="s">
        <v>100</v>
      </c>
    </row>
    <row r="90" customFormat="false" ht="15" hidden="false" customHeight="true" outlineLevel="0" collapsed="false">
      <c r="A90" s="1" t="n">
        <v>0.474218</v>
      </c>
      <c r="B90" s="1" t="s">
        <v>66</v>
      </c>
      <c r="C90" s="1" t="s">
        <v>139</v>
      </c>
      <c r="D90" s="1" t="n">
        <v>4899277117</v>
      </c>
      <c r="E90" s="1" t="s">
        <v>1243</v>
      </c>
      <c r="F90" s="1" t="s">
        <v>66</v>
      </c>
      <c r="G90" s="1" t="s">
        <v>1288</v>
      </c>
      <c r="H90" s="1" t="s">
        <v>175</v>
      </c>
    </row>
    <row r="91" customFormat="false" ht="15" hidden="false" customHeight="true" outlineLevel="0" collapsed="false">
      <c r="A91" s="1" t="n">
        <v>0.895546</v>
      </c>
      <c r="B91" s="1" t="s">
        <v>123</v>
      </c>
      <c r="C91" s="1" t="s">
        <v>114</v>
      </c>
      <c r="D91" s="1" t="n">
        <v>17991844024</v>
      </c>
      <c r="E91" s="1" t="s">
        <v>1242</v>
      </c>
      <c r="F91" s="1" t="s">
        <v>104</v>
      </c>
      <c r="G91" s="1" t="s">
        <v>1288</v>
      </c>
      <c r="H91" s="1" t="s">
        <v>100</v>
      </c>
    </row>
    <row r="92" customFormat="false" ht="15" hidden="false" customHeight="true" outlineLevel="0" collapsed="false">
      <c r="A92" s="1" t="n">
        <v>0.895312</v>
      </c>
      <c r="B92" s="1" t="s">
        <v>123</v>
      </c>
      <c r="C92" s="1" t="s">
        <v>260</v>
      </c>
      <c r="D92" s="1" t="n">
        <v>21968769347</v>
      </c>
      <c r="E92" s="1" t="s">
        <v>1242</v>
      </c>
      <c r="F92" s="1" t="s">
        <v>104</v>
      </c>
      <c r="G92" s="1" t="s">
        <v>1288</v>
      </c>
      <c r="H92" s="1" t="s">
        <v>108</v>
      </c>
    </row>
    <row r="93" customFormat="false" ht="15" hidden="false" customHeight="true" outlineLevel="0" collapsed="false">
      <c r="A93" s="1" t="n">
        <v>0.894978</v>
      </c>
      <c r="B93" s="1" t="s">
        <v>123</v>
      </c>
      <c r="C93" s="1" t="s">
        <v>260</v>
      </c>
      <c r="D93" s="1" t="n">
        <v>22999447675</v>
      </c>
      <c r="E93" s="1" t="s">
        <v>1242</v>
      </c>
      <c r="F93" s="1" t="s">
        <v>104</v>
      </c>
      <c r="G93" s="1" t="s">
        <v>1288</v>
      </c>
      <c r="H93" s="1" t="s">
        <v>100</v>
      </c>
    </row>
    <row r="94" customFormat="false" ht="15" hidden="false" customHeight="true" outlineLevel="0" collapsed="false">
      <c r="A94" s="1" t="n">
        <v>0.876167</v>
      </c>
      <c r="B94" s="1" t="s">
        <v>123</v>
      </c>
      <c r="C94" s="1" t="s">
        <v>127</v>
      </c>
      <c r="D94" s="1" t="n">
        <v>6299448165</v>
      </c>
      <c r="E94" s="1" t="s">
        <v>1242</v>
      </c>
      <c r="F94" s="1" t="s">
        <v>104</v>
      </c>
      <c r="G94" s="1" t="s">
        <v>1288</v>
      </c>
      <c r="H94" s="1" t="s">
        <v>100</v>
      </c>
    </row>
    <row r="95" customFormat="false" ht="15" hidden="false" customHeight="true" outlineLevel="0" collapsed="false">
      <c r="A95" s="1" t="n">
        <v>0.871161</v>
      </c>
      <c r="B95" s="1" t="s">
        <v>123</v>
      </c>
      <c r="C95" s="1" t="s">
        <v>119</v>
      </c>
      <c r="D95" s="1" t="n">
        <v>1166425526</v>
      </c>
      <c r="E95" s="1" t="s">
        <v>1242</v>
      </c>
      <c r="F95" s="1" t="s">
        <v>104</v>
      </c>
      <c r="G95" s="1" t="s">
        <v>1288</v>
      </c>
      <c r="H95" s="1" t="s">
        <v>100</v>
      </c>
    </row>
    <row r="96" customFormat="false" ht="15" hidden="false" customHeight="true" outlineLevel="0" collapsed="false">
      <c r="A96" s="1" t="n">
        <v>0.411259</v>
      </c>
      <c r="B96" s="1" t="s">
        <v>120</v>
      </c>
      <c r="C96" s="1" t="s">
        <v>260</v>
      </c>
      <c r="D96" s="1" t="n">
        <v>22981512892</v>
      </c>
      <c r="E96" s="1" t="s">
        <v>1243</v>
      </c>
      <c r="F96" s="1" t="s">
        <v>120</v>
      </c>
      <c r="G96" s="1" t="s">
        <v>1288</v>
      </c>
      <c r="H96" s="1" t="s">
        <v>108</v>
      </c>
    </row>
    <row r="97" customFormat="false" ht="15" hidden="false" customHeight="true" outlineLevel="0" collapsed="false">
      <c r="A97" s="1" t="n">
        <v>0.847057</v>
      </c>
      <c r="B97" s="1" t="s">
        <v>123</v>
      </c>
      <c r="C97" s="1" t="s">
        <v>109</v>
      </c>
      <c r="D97" s="1" t="n">
        <v>43305638984</v>
      </c>
      <c r="E97" s="1" t="s">
        <v>1242</v>
      </c>
      <c r="F97" s="1" t="s">
        <v>104</v>
      </c>
      <c r="G97" s="1" t="s">
        <v>1288</v>
      </c>
      <c r="H97" s="1" t="s">
        <v>108</v>
      </c>
    </row>
    <row r="98" customFormat="false" ht="15" hidden="false" customHeight="true" outlineLevel="0" collapsed="false">
      <c r="A98" s="1" t="n">
        <v>0.832032</v>
      </c>
      <c r="B98" s="1" t="s">
        <v>123</v>
      </c>
      <c r="C98" s="1" t="s">
        <v>260</v>
      </c>
      <c r="D98" s="1" t="n">
        <v>24248461152</v>
      </c>
      <c r="E98" s="1" t="s">
        <v>1242</v>
      </c>
      <c r="F98" s="1" t="s">
        <v>104</v>
      </c>
      <c r="G98" s="1" t="s">
        <v>1288</v>
      </c>
      <c r="H98" s="1" t="s">
        <v>100</v>
      </c>
    </row>
    <row r="99" customFormat="false" ht="15" hidden="false" customHeight="true" outlineLevel="0" collapsed="false">
      <c r="A99" s="1" t="n">
        <v>0.826341</v>
      </c>
      <c r="B99" s="1" t="s">
        <v>123</v>
      </c>
      <c r="C99" s="1" t="s">
        <v>139</v>
      </c>
      <c r="D99" s="1" t="n">
        <v>4899466830</v>
      </c>
      <c r="E99" s="1" t="s">
        <v>1242</v>
      </c>
      <c r="F99" s="1" t="s">
        <v>104</v>
      </c>
      <c r="G99" s="1" t="s">
        <v>1288</v>
      </c>
      <c r="H99" s="1" t="s">
        <v>108</v>
      </c>
    </row>
    <row r="100" customFormat="false" ht="15" hidden="false" customHeight="true" outlineLevel="0" collapsed="false">
      <c r="A100" s="1" t="n">
        <v>0.512482</v>
      </c>
      <c r="B100" s="1" t="s">
        <v>276</v>
      </c>
      <c r="C100" s="1" t="s">
        <v>109</v>
      </c>
      <c r="D100" s="1" t="n">
        <v>41992150461</v>
      </c>
      <c r="E100" s="1" t="s">
        <v>1243</v>
      </c>
      <c r="F100" s="1" t="s">
        <v>276</v>
      </c>
      <c r="G100" s="1" t="s">
        <v>1288</v>
      </c>
      <c r="H100" s="1" t="s">
        <v>184</v>
      </c>
    </row>
    <row r="101" customFormat="false" ht="15" hidden="false" customHeight="true" outlineLevel="0" collapsed="false">
      <c r="A101" s="1" t="n">
        <v>0.820475</v>
      </c>
      <c r="B101" s="1" t="s">
        <v>123</v>
      </c>
      <c r="C101" s="1" t="s">
        <v>187</v>
      </c>
      <c r="D101" s="1" t="n">
        <v>81999226106</v>
      </c>
      <c r="E101" s="1" t="s">
        <v>1242</v>
      </c>
      <c r="F101" s="1" t="s">
        <v>104</v>
      </c>
      <c r="G101" s="1" t="s">
        <v>1288</v>
      </c>
      <c r="H101" s="1" t="s">
        <v>100</v>
      </c>
    </row>
    <row r="102" customFormat="false" ht="15" hidden="false" customHeight="true" outlineLevel="0" collapsed="false">
      <c r="A102" s="1" t="n">
        <v>0.808398</v>
      </c>
      <c r="B102" s="1" t="s">
        <v>123</v>
      </c>
      <c r="C102" s="1" t="s">
        <v>347</v>
      </c>
      <c r="D102" s="1" t="n">
        <v>86999385815</v>
      </c>
      <c r="E102" s="1" t="s">
        <v>1242</v>
      </c>
      <c r="F102" s="1" t="s">
        <v>104</v>
      </c>
      <c r="G102" s="1" t="s">
        <v>1290</v>
      </c>
      <c r="H102" s="1" t="s">
        <v>100</v>
      </c>
    </row>
    <row r="103" customFormat="false" ht="15" hidden="false" customHeight="true" outlineLevel="0" collapsed="false">
      <c r="A103" s="1" t="n">
        <v>0.796847</v>
      </c>
      <c r="B103" s="1" t="s">
        <v>123</v>
      </c>
      <c r="C103" s="1" t="s">
        <v>281</v>
      </c>
      <c r="D103" s="1" t="n">
        <v>6334120602</v>
      </c>
      <c r="E103" s="1" t="s">
        <v>1242</v>
      </c>
      <c r="F103" s="1" t="s">
        <v>104</v>
      </c>
      <c r="G103" s="1" t="s">
        <v>1290</v>
      </c>
      <c r="H103" s="1" t="s">
        <v>100</v>
      </c>
    </row>
    <row r="104" customFormat="false" ht="15" hidden="false" customHeight="true" outlineLevel="0" collapsed="false">
      <c r="A104" s="1" t="n">
        <v>0.377109</v>
      </c>
      <c r="B104" s="1" t="s">
        <v>120</v>
      </c>
      <c r="C104" s="1" t="s">
        <v>119</v>
      </c>
      <c r="D104" s="1" t="n">
        <v>1433016896</v>
      </c>
      <c r="E104" s="1" t="s">
        <v>1244</v>
      </c>
      <c r="F104" s="1" t="s">
        <v>120</v>
      </c>
      <c r="G104" s="1" t="s">
        <v>1290</v>
      </c>
      <c r="H104" s="1" t="s">
        <v>100</v>
      </c>
    </row>
    <row r="105" customFormat="false" ht="15" hidden="false" customHeight="true" outlineLevel="0" collapsed="false">
      <c r="A105" s="1" t="n">
        <v>0.784841</v>
      </c>
      <c r="B105" s="1" t="s">
        <v>123</v>
      </c>
      <c r="C105" s="1" t="s">
        <v>260</v>
      </c>
      <c r="D105" s="1" t="n">
        <v>21996572344</v>
      </c>
      <c r="E105" s="1" t="s">
        <v>1242</v>
      </c>
      <c r="F105" s="1" t="s">
        <v>104</v>
      </c>
      <c r="G105" s="1" t="s">
        <v>1290</v>
      </c>
      <c r="H105" s="1" t="s">
        <v>100</v>
      </c>
    </row>
    <row r="106" customFormat="false" ht="15" hidden="false" customHeight="true" outlineLevel="0" collapsed="false">
      <c r="A106" s="1" t="n">
        <v>0.781586</v>
      </c>
      <c r="B106" s="1" t="s">
        <v>123</v>
      </c>
      <c r="C106" s="1" t="s">
        <v>119</v>
      </c>
      <c r="D106" s="1" t="n">
        <v>1141872356</v>
      </c>
      <c r="E106" s="1" t="s">
        <v>1242</v>
      </c>
      <c r="F106" s="1" t="s">
        <v>104</v>
      </c>
      <c r="G106" s="1" t="s">
        <v>1290</v>
      </c>
      <c r="H106" s="1" t="s">
        <v>100</v>
      </c>
    </row>
    <row r="107" customFormat="false" ht="15" hidden="false" customHeight="true" outlineLevel="0" collapsed="false">
      <c r="A107" s="1" t="n">
        <v>0.372439</v>
      </c>
      <c r="B107" s="1" t="s">
        <v>120</v>
      </c>
      <c r="C107" s="1" t="s">
        <v>260</v>
      </c>
      <c r="D107" s="1" t="n">
        <v>2225231684</v>
      </c>
      <c r="E107" s="1" t="s">
        <v>1244</v>
      </c>
      <c r="F107" s="1" t="s">
        <v>120</v>
      </c>
      <c r="G107" s="1" t="s">
        <v>1290</v>
      </c>
      <c r="H107" s="1" t="s">
        <v>108</v>
      </c>
    </row>
    <row r="108" customFormat="false" ht="15" hidden="false" customHeight="true" outlineLevel="0" collapsed="false">
      <c r="A108" s="1" t="n">
        <v>0.768444</v>
      </c>
      <c r="B108" s="1" t="s">
        <v>123</v>
      </c>
      <c r="C108" s="1" t="s">
        <v>260</v>
      </c>
      <c r="D108" s="1" t="n">
        <v>2125687899</v>
      </c>
      <c r="E108" s="1" t="s">
        <v>1242</v>
      </c>
      <c r="F108" s="1" t="s">
        <v>104</v>
      </c>
      <c r="G108" s="1" t="s">
        <v>1290</v>
      </c>
      <c r="H108" s="1" t="s">
        <v>100</v>
      </c>
    </row>
    <row r="109" customFormat="false" ht="15" hidden="false" customHeight="true" outlineLevel="0" collapsed="false">
      <c r="A109" s="1" t="n">
        <v>0.765853</v>
      </c>
      <c r="B109" s="1" t="s">
        <v>123</v>
      </c>
      <c r="C109" s="1" t="s">
        <v>109</v>
      </c>
      <c r="D109" s="1" t="n">
        <v>4191786674</v>
      </c>
      <c r="E109" s="1" t="s">
        <v>1242</v>
      </c>
      <c r="F109" s="1" t="s">
        <v>104</v>
      </c>
      <c r="G109" s="1" t="s">
        <v>1290</v>
      </c>
      <c r="H109" s="1" t="s">
        <v>108</v>
      </c>
    </row>
    <row r="110" customFormat="false" ht="15" hidden="false" customHeight="true" outlineLevel="0" collapsed="false">
      <c r="A110" s="1" t="n">
        <v>0.747153</v>
      </c>
      <c r="B110" s="1" t="s">
        <v>123</v>
      </c>
      <c r="C110" s="1" t="s">
        <v>109</v>
      </c>
      <c r="D110" s="1" t="n">
        <v>4599791742</v>
      </c>
      <c r="E110" s="1" t="s">
        <v>1242</v>
      </c>
      <c r="F110" s="1" t="s">
        <v>104</v>
      </c>
      <c r="G110" s="1" t="s">
        <v>1290</v>
      </c>
      <c r="H110" s="1" t="s">
        <v>108</v>
      </c>
    </row>
    <row r="111" customFormat="false" ht="15" hidden="false" customHeight="true" outlineLevel="0" collapsed="false">
      <c r="A111" s="1" t="n">
        <v>0.386618</v>
      </c>
      <c r="B111" s="1" t="s">
        <v>66</v>
      </c>
      <c r="C111" s="1" t="s">
        <v>196</v>
      </c>
      <c r="D111" s="1" t="n">
        <v>53991811072</v>
      </c>
      <c r="E111" s="1" t="s">
        <v>1244</v>
      </c>
      <c r="F111" s="1" t="s">
        <v>66</v>
      </c>
      <c r="G111" s="1" t="s">
        <v>1290</v>
      </c>
      <c r="H111" s="1" t="s">
        <v>175</v>
      </c>
    </row>
    <row r="112" customFormat="false" ht="15" hidden="false" customHeight="true" outlineLevel="0" collapsed="false">
      <c r="A112" s="1" t="n">
        <v>0.729694</v>
      </c>
      <c r="B112" s="1" t="s">
        <v>123</v>
      </c>
      <c r="C112" s="1" t="s">
        <v>263</v>
      </c>
      <c r="D112" s="1" t="n">
        <v>17991844024</v>
      </c>
      <c r="E112" s="1" t="s">
        <v>1242</v>
      </c>
      <c r="F112" s="1" t="s">
        <v>104</v>
      </c>
      <c r="G112" s="1" t="s">
        <v>1290</v>
      </c>
      <c r="H112" s="1" t="s">
        <v>100</v>
      </c>
    </row>
    <row r="113" customFormat="false" ht="15" hidden="false" customHeight="true" outlineLevel="0" collapsed="false">
      <c r="A113" s="1" t="n">
        <v>0.726542</v>
      </c>
      <c r="B113" s="1" t="s">
        <v>123</v>
      </c>
      <c r="C113" s="1" t="s">
        <v>196</v>
      </c>
      <c r="D113" s="1" t="n">
        <v>5391064552</v>
      </c>
      <c r="E113" s="1" t="s">
        <v>1242</v>
      </c>
      <c r="F113" s="1" t="s">
        <v>104</v>
      </c>
      <c r="G113" s="1" t="s">
        <v>1290</v>
      </c>
      <c r="H113" s="1" t="s">
        <v>108</v>
      </c>
    </row>
    <row r="114" customFormat="false" ht="15" hidden="false" customHeight="true" outlineLevel="0" collapsed="false">
      <c r="A114" s="1" t="n">
        <v>0.713738</v>
      </c>
      <c r="B114" s="1" t="s">
        <v>123</v>
      </c>
      <c r="C114" s="1" t="s">
        <v>119</v>
      </c>
      <c r="D114" s="1" t="n">
        <v>1143288977</v>
      </c>
      <c r="E114" s="1" t="s">
        <v>1242</v>
      </c>
      <c r="F114" s="1" t="s">
        <v>104</v>
      </c>
      <c r="G114" s="1" t="s">
        <v>1290</v>
      </c>
      <c r="H114" s="1" t="s">
        <v>108</v>
      </c>
    </row>
    <row r="115" customFormat="false" ht="15" hidden="false" customHeight="true" outlineLevel="0" collapsed="false">
      <c r="A115" s="1" t="n">
        <v>0.36388</v>
      </c>
      <c r="B115" s="1" t="s">
        <v>102</v>
      </c>
      <c r="C115" s="1" t="s">
        <v>139</v>
      </c>
      <c r="D115" s="1" t="n">
        <v>11952819565</v>
      </c>
      <c r="E115" s="1" t="s">
        <v>1244</v>
      </c>
      <c r="F115" s="1" t="s">
        <v>102</v>
      </c>
      <c r="G115" s="1" t="s">
        <v>1290</v>
      </c>
      <c r="H115" s="1" t="s">
        <v>175</v>
      </c>
    </row>
    <row r="116" customFormat="false" ht="15" hidden="false" customHeight="true" outlineLevel="0" collapsed="false">
      <c r="A116" s="1" t="n">
        <v>0.701141</v>
      </c>
      <c r="B116" s="1" t="s">
        <v>123</v>
      </c>
      <c r="C116" s="1" t="s">
        <v>139</v>
      </c>
      <c r="D116" s="1" t="n">
        <v>48999658556</v>
      </c>
      <c r="E116" s="1" t="s">
        <v>1242</v>
      </c>
      <c r="F116" s="1" t="s">
        <v>104</v>
      </c>
      <c r="G116" s="1" t="s">
        <v>1290</v>
      </c>
      <c r="H116" s="1" t="s">
        <v>108</v>
      </c>
    </row>
    <row r="117" customFormat="false" ht="15" hidden="false" customHeight="true" outlineLevel="0" collapsed="false">
      <c r="A117" s="1" t="n">
        <v>0.701063</v>
      </c>
      <c r="B117" s="1" t="s">
        <v>123</v>
      </c>
      <c r="C117" s="1" t="s">
        <v>243</v>
      </c>
      <c r="D117" s="1" t="n">
        <v>77991192548</v>
      </c>
      <c r="E117" s="1" t="s">
        <v>1242</v>
      </c>
      <c r="F117" s="1" t="s">
        <v>104</v>
      </c>
      <c r="G117" s="1" t="s">
        <v>1290</v>
      </c>
      <c r="H117" s="1" t="s">
        <v>108</v>
      </c>
    </row>
    <row r="118" customFormat="false" ht="15" hidden="false" customHeight="true" outlineLevel="0" collapsed="false">
      <c r="A118" s="1" t="n">
        <v>0.688547</v>
      </c>
      <c r="B118" s="1" t="s">
        <v>123</v>
      </c>
      <c r="C118" s="1" t="s">
        <v>127</v>
      </c>
      <c r="D118" s="1" t="n">
        <v>6291825564</v>
      </c>
      <c r="E118" s="1" t="s">
        <v>1242</v>
      </c>
      <c r="F118" s="1" t="s">
        <v>104</v>
      </c>
      <c r="G118" s="1" t="s">
        <v>1290</v>
      </c>
      <c r="H118" s="1" t="s">
        <v>100</v>
      </c>
    </row>
    <row r="119" customFormat="false" ht="15" hidden="false" customHeight="true" outlineLevel="0" collapsed="false">
      <c r="A119" s="1" t="n">
        <v>0.357494</v>
      </c>
      <c r="B119" s="1" t="s">
        <v>66</v>
      </c>
      <c r="C119" s="1" t="s">
        <v>139</v>
      </c>
      <c r="D119" s="1" t="n">
        <v>4984192453</v>
      </c>
      <c r="E119" s="1" t="s">
        <v>1244</v>
      </c>
      <c r="F119" s="1" t="s">
        <v>66</v>
      </c>
      <c r="G119" s="1" t="s">
        <v>1290</v>
      </c>
      <c r="H119" s="1" t="s">
        <v>175</v>
      </c>
    </row>
    <row r="120" customFormat="false" ht="15" hidden="false" customHeight="true" outlineLevel="0" collapsed="false">
      <c r="A120" s="1" t="n">
        <v>0.679334</v>
      </c>
      <c r="B120" s="1" t="s">
        <v>123</v>
      </c>
      <c r="C120" s="1" t="s">
        <v>311</v>
      </c>
      <c r="D120" s="1" t="n">
        <v>61991077250</v>
      </c>
      <c r="E120" s="1" t="s">
        <v>1242</v>
      </c>
      <c r="F120" s="1" t="s">
        <v>104</v>
      </c>
      <c r="G120" s="1" t="s">
        <v>1290</v>
      </c>
      <c r="H120" s="1" t="s">
        <v>100</v>
      </c>
    </row>
    <row r="121" customFormat="false" ht="15" hidden="false" customHeight="true" outlineLevel="0" collapsed="false">
      <c r="A121" s="1" t="n">
        <v>0.678197</v>
      </c>
      <c r="B121" s="1" t="s">
        <v>123</v>
      </c>
      <c r="C121" s="1" t="s">
        <v>114</v>
      </c>
      <c r="D121" s="1" t="n">
        <v>34998721908</v>
      </c>
      <c r="E121" s="1" t="s">
        <v>1242</v>
      </c>
      <c r="F121" s="1" t="s">
        <v>104</v>
      </c>
      <c r="G121" s="1" t="s">
        <v>1290</v>
      </c>
      <c r="H121" s="1" t="s">
        <v>100</v>
      </c>
    </row>
    <row r="122" customFormat="false" ht="15" hidden="false" customHeight="true" outlineLevel="0" collapsed="false">
      <c r="A122" s="1" t="n">
        <v>0.673218</v>
      </c>
      <c r="B122" s="1" t="s">
        <v>123</v>
      </c>
      <c r="C122" s="1" t="s">
        <v>263</v>
      </c>
      <c r="D122" s="1" t="n">
        <v>6730291316</v>
      </c>
      <c r="E122" s="1" t="s">
        <v>1242</v>
      </c>
      <c r="F122" s="1" t="s">
        <v>104</v>
      </c>
      <c r="G122" s="1" t="s">
        <v>1290</v>
      </c>
      <c r="H122" s="1" t="s">
        <v>100</v>
      </c>
    </row>
    <row r="123" customFormat="false" ht="15" hidden="false" customHeight="true" outlineLevel="0" collapsed="false">
      <c r="A123" s="1" t="n">
        <v>0.668846</v>
      </c>
      <c r="B123" s="1" t="s">
        <v>123</v>
      </c>
      <c r="C123" s="1" t="s">
        <v>196</v>
      </c>
      <c r="D123" s="1" t="n">
        <v>54996910111</v>
      </c>
      <c r="E123" s="1" t="s">
        <v>1242</v>
      </c>
      <c r="F123" s="1" t="s">
        <v>104</v>
      </c>
      <c r="G123" s="1" t="s">
        <v>1290</v>
      </c>
      <c r="H123" s="1" t="s">
        <v>108</v>
      </c>
    </row>
    <row r="124" customFormat="false" ht="15" hidden="false" customHeight="true" outlineLevel="0" collapsed="false">
      <c r="A124" s="1" t="n">
        <v>0.667256</v>
      </c>
      <c r="B124" s="1" t="s">
        <v>123</v>
      </c>
      <c r="C124" s="1" t="s">
        <v>127</v>
      </c>
      <c r="D124" s="1" t="n">
        <v>62982750512</v>
      </c>
      <c r="E124" s="1" t="s">
        <v>1242</v>
      </c>
      <c r="F124" s="1" t="s">
        <v>104</v>
      </c>
      <c r="G124" s="1" t="s">
        <v>1290</v>
      </c>
      <c r="H124" s="1" t="s">
        <v>100</v>
      </c>
    </row>
    <row r="125" customFormat="false" ht="15" hidden="false" customHeight="true" outlineLevel="0" collapsed="false">
      <c r="A125" s="1" t="n">
        <v>0.653434</v>
      </c>
      <c r="B125" s="1" t="s">
        <v>123</v>
      </c>
      <c r="C125" s="1" t="s">
        <v>119</v>
      </c>
      <c r="D125" s="1" t="n">
        <v>15997063738</v>
      </c>
      <c r="E125" s="1" t="s">
        <v>1242</v>
      </c>
      <c r="F125" s="1" t="s">
        <v>104</v>
      </c>
      <c r="G125" s="1" t="s">
        <v>1290</v>
      </c>
      <c r="H125" s="1" t="s">
        <v>100</v>
      </c>
    </row>
    <row r="126" customFormat="false" ht="15" hidden="false" customHeight="true" outlineLevel="0" collapsed="false">
      <c r="A126" s="1" t="n">
        <v>0.653042</v>
      </c>
      <c r="B126" s="1" t="s">
        <v>123</v>
      </c>
      <c r="C126" s="1" t="s">
        <v>109</v>
      </c>
      <c r="D126" s="1" t="n">
        <v>4137611180</v>
      </c>
      <c r="E126" s="1" t="s">
        <v>1242</v>
      </c>
      <c r="F126" s="1" t="s">
        <v>104</v>
      </c>
      <c r="G126" s="1" t="s">
        <v>1290</v>
      </c>
      <c r="H126" s="1" t="s">
        <v>108</v>
      </c>
    </row>
    <row r="127" customFormat="false" ht="15" hidden="false" customHeight="true" outlineLevel="0" collapsed="false">
      <c r="A127" s="1" t="n">
        <v>0.648424</v>
      </c>
      <c r="B127" s="1" t="s">
        <v>123</v>
      </c>
      <c r="C127" s="1" t="s">
        <v>250</v>
      </c>
      <c r="D127" s="1" t="n">
        <v>28988055897</v>
      </c>
      <c r="E127" s="1" t="s">
        <v>1242</v>
      </c>
      <c r="F127" s="1" t="s">
        <v>104</v>
      </c>
      <c r="G127" s="1" t="s">
        <v>1290</v>
      </c>
      <c r="H127" s="1" t="s">
        <v>100</v>
      </c>
    </row>
    <row r="128" customFormat="false" ht="15" hidden="false" customHeight="true" outlineLevel="0" collapsed="false">
      <c r="A128" s="1" t="n">
        <v>0.694991</v>
      </c>
      <c r="B128" s="1" t="s">
        <v>1181</v>
      </c>
      <c r="C128" s="1" t="s">
        <v>109</v>
      </c>
      <c r="D128" s="1" t="n">
        <v>41992329799</v>
      </c>
      <c r="E128" s="1" t="s">
        <v>1242</v>
      </c>
      <c r="F128" s="1" t="s">
        <v>1181</v>
      </c>
      <c r="G128" s="1" t="s">
        <v>1290</v>
      </c>
      <c r="H128" s="1" t="s">
        <v>184</v>
      </c>
    </row>
    <row r="129" customFormat="false" ht="15" hidden="false" customHeight="true" outlineLevel="0" collapsed="false">
      <c r="A129" s="1" t="n">
        <v>0.633411</v>
      </c>
      <c r="B129" s="1" t="s">
        <v>123</v>
      </c>
      <c r="C129" s="1" t="s">
        <v>119</v>
      </c>
      <c r="D129" s="1" t="n">
        <v>16993154374</v>
      </c>
      <c r="E129" s="1" t="s">
        <v>1242</v>
      </c>
      <c r="F129" s="1" t="s">
        <v>104</v>
      </c>
      <c r="G129" s="1" t="s">
        <v>1290</v>
      </c>
      <c r="H129" s="1" t="s">
        <v>100</v>
      </c>
    </row>
    <row r="130" customFormat="false" ht="15" hidden="false" customHeight="true" outlineLevel="0" collapsed="false">
      <c r="A130" s="1" t="n">
        <v>0.633229</v>
      </c>
      <c r="B130" s="1" t="s">
        <v>123</v>
      </c>
      <c r="C130" s="1" t="s">
        <v>187</v>
      </c>
      <c r="D130" s="1" t="n">
        <v>81999226106</v>
      </c>
      <c r="E130" s="1" t="s">
        <v>1242</v>
      </c>
      <c r="F130" s="1" t="s">
        <v>104</v>
      </c>
      <c r="G130" s="1" t="s">
        <v>1290</v>
      </c>
      <c r="H130" s="1" t="s">
        <v>100</v>
      </c>
    </row>
    <row r="131" customFormat="false" ht="15" hidden="false" customHeight="true" outlineLevel="0" collapsed="false">
      <c r="A131" s="1" t="n">
        <v>0.690216</v>
      </c>
      <c r="B131" s="1" t="s">
        <v>1181</v>
      </c>
      <c r="C131" s="1" t="s">
        <v>196</v>
      </c>
      <c r="D131" s="1" t="n">
        <v>41992329799</v>
      </c>
      <c r="E131" s="1" t="s">
        <v>1242</v>
      </c>
      <c r="F131" s="1" t="s">
        <v>1181</v>
      </c>
      <c r="G131" s="1" t="s">
        <v>1290</v>
      </c>
      <c r="H131" s="1" t="s">
        <v>184</v>
      </c>
    </row>
    <row r="132" customFormat="false" ht="15" hidden="false" customHeight="true" outlineLevel="0" collapsed="false">
      <c r="A132" s="1" t="n">
        <v>0.630588</v>
      </c>
      <c r="B132" s="1" t="s">
        <v>123</v>
      </c>
      <c r="C132" s="1" t="s">
        <v>119</v>
      </c>
      <c r="D132" s="1" t="n">
        <v>11983697240</v>
      </c>
      <c r="E132" s="1" t="s">
        <v>1242</v>
      </c>
      <c r="F132" s="1" t="s">
        <v>104</v>
      </c>
      <c r="G132" s="1" t="s">
        <v>1290</v>
      </c>
      <c r="H132" s="1" t="s">
        <v>100</v>
      </c>
    </row>
    <row r="133" customFormat="false" ht="15" hidden="false" customHeight="true" outlineLevel="0" collapsed="false">
      <c r="A133" s="1" t="n">
        <v>0.629124</v>
      </c>
      <c r="B133" s="1" t="s">
        <v>123</v>
      </c>
      <c r="C133" s="1" t="s">
        <v>109</v>
      </c>
      <c r="D133" s="1" t="n">
        <v>4130199221</v>
      </c>
      <c r="E133" s="1" t="s">
        <v>1242</v>
      </c>
      <c r="F133" s="1" t="s">
        <v>104</v>
      </c>
      <c r="G133" s="1" t="s">
        <v>1290</v>
      </c>
      <c r="H133" s="1" t="s">
        <v>108</v>
      </c>
    </row>
    <row r="134" customFormat="false" ht="15" hidden="false" customHeight="true" outlineLevel="0" collapsed="false">
      <c r="A134" s="1" t="n">
        <v>0.626305</v>
      </c>
      <c r="B134" s="1" t="s">
        <v>123</v>
      </c>
      <c r="C134" s="1" t="s">
        <v>109</v>
      </c>
      <c r="D134" s="1" t="n">
        <v>41991664635</v>
      </c>
      <c r="E134" s="1" t="s">
        <v>1242</v>
      </c>
      <c r="F134" s="1" t="s">
        <v>104</v>
      </c>
      <c r="G134" s="1" t="s">
        <v>1290</v>
      </c>
      <c r="H134" s="1" t="s">
        <v>108</v>
      </c>
    </row>
    <row r="135" customFormat="false" ht="15" hidden="false" customHeight="true" outlineLevel="0" collapsed="false">
      <c r="A135" s="1" t="n">
        <v>0.618513</v>
      </c>
      <c r="B135" s="1" t="s">
        <v>123</v>
      </c>
      <c r="C135" s="1" t="s">
        <v>281</v>
      </c>
      <c r="D135" s="1" t="n">
        <v>6381443572</v>
      </c>
      <c r="E135" s="1" t="s">
        <v>1242</v>
      </c>
      <c r="F135" s="1" t="s">
        <v>104</v>
      </c>
      <c r="G135" s="1" t="s">
        <v>1290</v>
      </c>
      <c r="H135" s="1" t="s">
        <v>100</v>
      </c>
    </row>
    <row r="136" customFormat="false" ht="15" hidden="false" customHeight="true" outlineLevel="0" collapsed="false">
      <c r="A136" s="1" t="n">
        <v>0.615259</v>
      </c>
      <c r="B136" s="1" t="s">
        <v>123</v>
      </c>
      <c r="C136" s="1" t="s">
        <v>187</v>
      </c>
      <c r="D136" s="1" t="n">
        <v>81998985588</v>
      </c>
      <c r="E136" s="1" t="s">
        <v>1242</v>
      </c>
      <c r="F136" s="1" t="s">
        <v>104</v>
      </c>
      <c r="G136" s="1" t="s">
        <v>1290</v>
      </c>
      <c r="H136" s="1" t="s">
        <v>100</v>
      </c>
    </row>
    <row r="137" customFormat="false" ht="15" hidden="false" customHeight="true" outlineLevel="0" collapsed="false">
      <c r="A137" s="1" t="n">
        <v>0.606767</v>
      </c>
      <c r="B137" s="1" t="s">
        <v>123</v>
      </c>
      <c r="C137" s="1" t="s">
        <v>119</v>
      </c>
      <c r="D137" s="1" t="n">
        <v>17988307140</v>
      </c>
      <c r="E137" s="1" t="s">
        <v>1242</v>
      </c>
      <c r="F137" s="1" t="s">
        <v>104</v>
      </c>
      <c r="G137" s="1" t="s">
        <v>1290</v>
      </c>
      <c r="H137" s="1" t="s">
        <v>100</v>
      </c>
    </row>
    <row r="138" customFormat="false" ht="15" hidden="false" customHeight="true" outlineLevel="0" collapsed="false">
      <c r="A138" s="1" t="n">
        <v>0.606193</v>
      </c>
      <c r="B138" s="1" t="s">
        <v>123</v>
      </c>
      <c r="C138" s="1" t="s">
        <v>119</v>
      </c>
      <c r="D138" s="1" t="n">
        <v>11979855778</v>
      </c>
      <c r="E138" s="1" t="s">
        <v>1242</v>
      </c>
      <c r="F138" s="1" t="s">
        <v>104</v>
      </c>
      <c r="G138" s="1" t="s">
        <v>1290</v>
      </c>
      <c r="H138" s="1" t="s">
        <v>100</v>
      </c>
    </row>
    <row r="139" customFormat="false" ht="15" hidden="false" customHeight="true" outlineLevel="0" collapsed="false">
      <c r="A139" s="1" t="n">
        <v>0.605997</v>
      </c>
      <c r="B139" s="1" t="s">
        <v>123</v>
      </c>
      <c r="C139" s="1" t="s">
        <v>420</v>
      </c>
      <c r="D139" s="1" t="n">
        <v>9981223533</v>
      </c>
      <c r="E139" s="1" t="s">
        <v>1242</v>
      </c>
      <c r="F139" s="1" t="s">
        <v>104</v>
      </c>
      <c r="G139" s="1" t="s">
        <v>1290</v>
      </c>
      <c r="H139" s="1" t="s">
        <v>100</v>
      </c>
    </row>
    <row r="140" customFormat="false" ht="15" hidden="false" customHeight="true" outlineLevel="0" collapsed="false">
      <c r="A140" s="1" t="n">
        <v>0.660079</v>
      </c>
      <c r="B140" s="1" t="s">
        <v>1181</v>
      </c>
      <c r="C140" s="1" t="s">
        <v>109</v>
      </c>
      <c r="D140" s="1" t="n">
        <v>41002320799</v>
      </c>
      <c r="E140" s="1" t="s">
        <v>1242</v>
      </c>
      <c r="F140" s="1" t="s">
        <v>1181</v>
      </c>
      <c r="G140" s="1" t="s">
        <v>1290</v>
      </c>
      <c r="H140" s="1" t="s">
        <v>184</v>
      </c>
    </row>
    <row r="141" customFormat="false" ht="15" hidden="false" customHeight="true" outlineLevel="0" collapsed="false">
      <c r="A141" s="1" t="n">
        <v>0.660079</v>
      </c>
      <c r="B141" s="1" t="s">
        <v>1181</v>
      </c>
      <c r="C141" s="1" t="s">
        <v>109</v>
      </c>
      <c r="D141" s="1" t="n">
        <v>41992329799</v>
      </c>
      <c r="E141" s="1" t="s">
        <v>1242</v>
      </c>
      <c r="F141" s="1" t="s">
        <v>1181</v>
      </c>
      <c r="G141" s="1" t="s">
        <v>1290</v>
      </c>
      <c r="H141" s="1" t="s">
        <v>184</v>
      </c>
    </row>
    <row r="142" customFormat="false" ht="15" hidden="false" customHeight="true" outlineLevel="0" collapsed="false">
      <c r="A142" s="1" t="n">
        <v>0.659618</v>
      </c>
      <c r="B142" s="1" t="s">
        <v>1181</v>
      </c>
      <c r="C142" s="1" t="s">
        <v>109</v>
      </c>
      <c r="D142" s="1" t="n">
        <v>41992329799</v>
      </c>
      <c r="E142" s="1" t="s">
        <v>1242</v>
      </c>
      <c r="F142" s="1" t="s">
        <v>1181</v>
      </c>
      <c r="G142" s="1" t="s">
        <v>1290</v>
      </c>
      <c r="H142" s="1" t="s">
        <v>184</v>
      </c>
    </row>
    <row r="143" customFormat="false" ht="15" hidden="false" customHeight="true" outlineLevel="0" collapsed="false">
      <c r="A143" s="1" t="n">
        <v>0.593582</v>
      </c>
      <c r="B143" s="1" t="s">
        <v>123</v>
      </c>
      <c r="C143" s="1" t="s">
        <v>109</v>
      </c>
      <c r="D143" s="1" t="n">
        <v>11971942324</v>
      </c>
      <c r="E143" s="1" t="s">
        <v>1243</v>
      </c>
      <c r="F143" s="1" t="s">
        <v>104</v>
      </c>
      <c r="G143" s="1" t="s">
        <v>1290</v>
      </c>
      <c r="H143" s="1" t="s">
        <v>108</v>
      </c>
    </row>
    <row r="144" customFormat="false" ht="15" hidden="false" customHeight="true" outlineLevel="0" collapsed="false">
      <c r="A144" s="1" t="n">
        <v>0.592289</v>
      </c>
      <c r="B144" s="1" t="s">
        <v>123</v>
      </c>
      <c r="C144" s="1" t="s">
        <v>243</v>
      </c>
      <c r="D144" s="1" t="n">
        <v>57398336448</v>
      </c>
      <c r="E144" s="1" t="s">
        <v>1243</v>
      </c>
      <c r="F144" s="1" t="s">
        <v>104</v>
      </c>
      <c r="G144" s="1" t="s">
        <v>1290</v>
      </c>
      <c r="H144" s="1" t="s">
        <v>100</v>
      </c>
    </row>
    <row r="145" customFormat="false" ht="15" hidden="false" customHeight="true" outlineLevel="0" collapsed="false">
      <c r="A145" s="1" t="n">
        <v>0.591625</v>
      </c>
      <c r="B145" s="1" t="s">
        <v>123</v>
      </c>
      <c r="C145" s="1" t="s">
        <v>311</v>
      </c>
      <c r="D145" s="1" t="n">
        <v>61370352966</v>
      </c>
      <c r="E145" s="1" t="s">
        <v>1243</v>
      </c>
      <c r="F145" s="1" t="s">
        <v>104</v>
      </c>
      <c r="G145" s="1" t="s">
        <v>1290</v>
      </c>
      <c r="H145" s="1" t="s">
        <v>100</v>
      </c>
    </row>
    <row r="146" customFormat="false" ht="15" hidden="false" customHeight="true" outlineLevel="0" collapsed="false">
      <c r="A146" s="1" t="n">
        <v>0.587698</v>
      </c>
      <c r="B146" s="1" t="s">
        <v>123</v>
      </c>
      <c r="C146" s="1" t="s">
        <v>119</v>
      </c>
      <c r="D146" s="1" t="n">
        <v>11964347277</v>
      </c>
      <c r="E146" s="1" t="s">
        <v>1243</v>
      </c>
      <c r="F146" s="1" t="s">
        <v>104</v>
      </c>
      <c r="G146" s="1" t="s">
        <v>1290</v>
      </c>
      <c r="H146" s="1" t="s">
        <v>100</v>
      </c>
    </row>
    <row r="147" customFormat="false" ht="15" hidden="false" customHeight="true" outlineLevel="0" collapsed="false">
      <c r="A147" s="1" t="n">
        <v>0.587659</v>
      </c>
      <c r="B147" s="1" t="s">
        <v>123</v>
      </c>
      <c r="C147" s="1" t="s">
        <v>260</v>
      </c>
      <c r="D147" s="1" t="n">
        <v>2220204401</v>
      </c>
      <c r="E147" s="1" t="s">
        <v>1243</v>
      </c>
      <c r="F147" s="1" t="s">
        <v>104</v>
      </c>
      <c r="G147" s="1" t="s">
        <v>1290</v>
      </c>
      <c r="H147" s="1" t="s">
        <v>100</v>
      </c>
    </row>
    <row r="148" customFormat="false" ht="15" hidden="false" customHeight="true" outlineLevel="0" collapsed="false">
      <c r="A148" s="1" t="n">
        <v>0.58576</v>
      </c>
      <c r="B148" s="1" t="s">
        <v>123</v>
      </c>
      <c r="C148" s="1" t="s">
        <v>139</v>
      </c>
      <c r="D148" s="1" t="n">
        <v>4530553644</v>
      </c>
      <c r="E148" s="1" t="s">
        <v>1243</v>
      </c>
      <c r="F148" s="1" t="s">
        <v>104</v>
      </c>
      <c r="G148" s="1" t="s">
        <v>1290</v>
      </c>
      <c r="H148" s="1" t="s">
        <v>108</v>
      </c>
    </row>
    <row r="149" customFormat="false" ht="15" hidden="false" customHeight="true" outlineLevel="0" collapsed="false">
      <c r="A149" s="1" t="n">
        <v>0.583273</v>
      </c>
      <c r="B149" s="1" t="s">
        <v>123</v>
      </c>
      <c r="C149" s="1" t="s">
        <v>139</v>
      </c>
      <c r="D149" s="1" t="n">
        <v>47991692194</v>
      </c>
      <c r="E149" s="1" t="s">
        <v>1243</v>
      </c>
      <c r="F149" s="1" t="s">
        <v>104</v>
      </c>
      <c r="G149" s="1" t="s">
        <v>1290</v>
      </c>
      <c r="H149" s="1" t="s">
        <v>108</v>
      </c>
    </row>
    <row r="150" customFormat="false" ht="15" hidden="false" customHeight="true" outlineLevel="0" collapsed="false">
      <c r="A150" s="1" t="n">
        <v>0.578664</v>
      </c>
      <c r="B150" s="1" t="s">
        <v>123</v>
      </c>
      <c r="C150" s="1" t="s">
        <v>420</v>
      </c>
      <c r="D150" s="1" t="n">
        <v>989921635</v>
      </c>
      <c r="E150" s="1" t="s">
        <v>1243</v>
      </c>
      <c r="F150" s="1" t="s">
        <v>104</v>
      </c>
      <c r="G150" s="1" t="s">
        <v>1290</v>
      </c>
      <c r="H150" s="1" t="s">
        <v>100</v>
      </c>
    </row>
    <row r="151" customFormat="false" ht="15" hidden="false" customHeight="true" outlineLevel="0" collapsed="false">
      <c r="A151" s="1" t="n">
        <v>0.57816</v>
      </c>
      <c r="B151" s="1" t="s">
        <v>123</v>
      </c>
      <c r="C151" s="1" t="s">
        <v>250</v>
      </c>
      <c r="D151" s="1" t="n">
        <v>27996079076</v>
      </c>
      <c r="E151" s="1" t="s">
        <v>1243</v>
      </c>
      <c r="F151" s="1" t="s">
        <v>104</v>
      </c>
      <c r="G151" s="1" t="s">
        <v>1290</v>
      </c>
      <c r="H151" s="1" t="s">
        <v>100</v>
      </c>
    </row>
    <row r="152" customFormat="false" ht="15" hidden="false" customHeight="true" outlineLevel="0" collapsed="false">
      <c r="A152" s="1" t="n">
        <v>0.573966</v>
      </c>
      <c r="B152" s="1" t="s">
        <v>123</v>
      </c>
      <c r="C152" s="1" t="s">
        <v>114</v>
      </c>
      <c r="D152" s="1" t="n">
        <v>31992886861</v>
      </c>
      <c r="E152" s="1" t="s">
        <v>1243</v>
      </c>
      <c r="F152" s="1" t="s">
        <v>104</v>
      </c>
      <c r="G152" s="1" t="s">
        <v>1290</v>
      </c>
      <c r="H152" s="1" t="s">
        <v>100</v>
      </c>
    </row>
    <row r="153" customFormat="false" ht="15" hidden="false" customHeight="true" outlineLevel="0" collapsed="false">
      <c r="A153" s="1" t="n">
        <v>0.57257</v>
      </c>
      <c r="B153" s="1" t="s">
        <v>123</v>
      </c>
      <c r="C153" s="1" t="s">
        <v>139</v>
      </c>
      <c r="D153" s="1" t="n">
        <v>4888362409</v>
      </c>
      <c r="E153" s="1" t="s">
        <v>1243</v>
      </c>
      <c r="F153" s="1" t="s">
        <v>104</v>
      </c>
      <c r="G153" s="1" t="s">
        <v>1290</v>
      </c>
      <c r="H153" s="1" t="s">
        <v>175</v>
      </c>
    </row>
    <row r="154" customFormat="false" ht="15" hidden="false" customHeight="true" outlineLevel="0" collapsed="false">
      <c r="A154" s="1" t="n">
        <v>0.571632</v>
      </c>
      <c r="B154" s="1" t="s">
        <v>123</v>
      </c>
      <c r="C154" s="1" t="s">
        <v>139</v>
      </c>
      <c r="D154" s="1" t="n">
        <v>48984867502</v>
      </c>
      <c r="E154" s="1" t="s">
        <v>1243</v>
      </c>
      <c r="F154" s="1" t="s">
        <v>104</v>
      </c>
      <c r="G154" s="1" t="s">
        <v>1290</v>
      </c>
      <c r="H154" s="1" t="s">
        <v>175</v>
      </c>
    </row>
    <row r="155" customFormat="false" ht="15" hidden="false" customHeight="true" outlineLevel="0" collapsed="false">
      <c r="A155" s="1" t="n">
        <v>0.571632</v>
      </c>
      <c r="B155" s="1" t="s">
        <v>123</v>
      </c>
      <c r="C155" s="1" t="s">
        <v>139</v>
      </c>
      <c r="D155" s="1" t="n">
        <v>4891791849</v>
      </c>
      <c r="E155" s="1" t="s">
        <v>1243</v>
      </c>
      <c r="F155" s="1" t="s">
        <v>104</v>
      </c>
      <c r="G155" s="1" t="s">
        <v>1290</v>
      </c>
      <c r="H155" s="1" t="s">
        <v>175</v>
      </c>
    </row>
    <row r="156" customFormat="false" ht="15" hidden="false" customHeight="true" outlineLevel="0" collapsed="false">
      <c r="A156" s="1" t="n">
        <v>0.571365</v>
      </c>
      <c r="B156" s="1" t="s">
        <v>123</v>
      </c>
      <c r="C156" s="1" t="s">
        <v>196</v>
      </c>
      <c r="D156" s="1" t="n">
        <v>5199044648</v>
      </c>
      <c r="E156" s="1" t="s">
        <v>1243</v>
      </c>
      <c r="F156" s="1" t="s">
        <v>104</v>
      </c>
      <c r="G156" s="1" t="s">
        <v>1290</v>
      </c>
      <c r="H156" s="1" t="s">
        <v>108</v>
      </c>
    </row>
    <row r="157" customFormat="false" ht="15" hidden="false" customHeight="true" outlineLevel="0" collapsed="false">
      <c r="A157" s="1" t="n">
        <v>0.566895</v>
      </c>
      <c r="B157" s="1" t="s">
        <v>123</v>
      </c>
      <c r="C157" s="1" t="s">
        <v>119</v>
      </c>
      <c r="D157" s="1" t="n">
        <v>139967332</v>
      </c>
      <c r="E157" s="1" t="s">
        <v>1243</v>
      </c>
      <c r="F157" s="1" t="s">
        <v>104</v>
      </c>
      <c r="G157" s="1" t="s">
        <v>1290</v>
      </c>
      <c r="H157" s="1" t="s">
        <v>100</v>
      </c>
    </row>
    <row r="158" customFormat="false" ht="15" hidden="false" customHeight="true" outlineLevel="0" collapsed="false">
      <c r="A158" s="1" t="n">
        <v>0.563253</v>
      </c>
      <c r="B158" s="1" t="s">
        <v>123</v>
      </c>
      <c r="C158" s="1" t="s">
        <v>127</v>
      </c>
      <c r="D158" s="1" t="n">
        <v>62984432869</v>
      </c>
      <c r="E158" s="1" t="s">
        <v>1243</v>
      </c>
      <c r="F158" s="1" t="s">
        <v>104</v>
      </c>
      <c r="G158" s="1" t="s">
        <v>1290</v>
      </c>
      <c r="H158" s="1" t="s">
        <v>100</v>
      </c>
    </row>
    <row r="159" customFormat="false" ht="15" hidden="false" customHeight="true" outlineLevel="0" collapsed="false">
      <c r="A159" s="1" t="n">
        <v>0.614573</v>
      </c>
      <c r="B159" s="1" t="s">
        <v>1181</v>
      </c>
      <c r="C159" s="1" t="s">
        <v>196</v>
      </c>
      <c r="D159" s="1" t="n">
        <v>41992329799</v>
      </c>
      <c r="E159" s="1" t="s">
        <v>1242</v>
      </c>
      <c r="F159" s="1" t="s">
        <v>1181</v>
      </c>
      <c r="G159" s="1" t="s">
        <v>1290</v>
      </c>
      <c r="H159" s="1" t="s">
        <v>184</v>
      </c>
    </row>
    <row r="160" customFormat="false" ht="15" hidden="false" customHeight="true" outlineLevel="0" collapsed="false">
      <c r="A160" s="1" t="n">
        <v>0.607713</v>
      </c>
      <c r="B160" s="1" t="s">
        <v>1181</v>
      </c>
      <c r="C160" s="1" t="s">
        <v>109</v>
      </c>
      <c r="D160" s="1" t="n">
        <v>41992329799</v>
      </c>
      <c r="E160" s="1" t="s">
        <v>1242</v>
      </c>
      <c r="F160" s="1" t="s">
        <v>1181</v>
      </c>
      <c r="G160" s="1" t="s">
        <v>1290</v>
      </c>
      <c r="H160" s="1" t="s">
        <v>184</v>
      </c>
    </row>
    <row r="161" customFormat="false" ht="15" hidden="false" customHeight="true" outlineLevel="0" collapsed="false">
      <c r="A161" s="1" t="n">
        <v>0.496075</v>
      </c>
      <c r="B161" s="1" t="s">
        <v>124</v>
      </c>
      <c r="C161" s="1" t="s">
        <v>187</v>
      </c>
      <c r="D161" s="1" t="n">
        <v>8132659901</v>
      </c>
      <c r="E161" s="1" t="s">
        <v>1243</v>
      </c>
      <c r="F161" s="1" t="s">
        <v>124</v>
      </c>
      <c r="G161" s="1" t="s">
        <v>1290</v>
      </c>
      <c r="H161" s="1" t="s">
        <v>184</v>
      </c>
    </row>
    <row r="162" customFormat="false" ht="15" hidden="false" customHeight="true" outlineLevel="0" collapsed="false">
      <c r="A162" s="1" t="n">
        <v>0.551281</v>
      </c>
      <c r="B162" s="1" t="s">
        <v>123</v>
      </c>
      <c r="C162" s="1" t="s">
        <v>139</v>
      </c>
      <c r="D162" s="1" t="n">
        <v>47337165984</v>
      </c>
      <c r="E162" s="1" t="s">
        <v>1243</v>
      </c>
      <c r="F162" s="1" t="s">
        <v>104</v>
      </c>
      <c r="G162" s="1" t="s">
        <v>1290</v>
      </c>
      <c r="H162" s="1" t="s">
        <v>108</v>
      </c>
    </row>
    <row r="163" customFormat="false" ht="15" hidden="false" customHeight="true" outlineLevel="0" collapsed="false">
      <c r="A163" s="1" t="n">
        <v>0.542858</v>
      </c>
      <c r="B163" s="1" t="s">
        <v>123</v>
      </c>
      <c r="C163" s="1" t="s">
        <v>119</v>
      </c>
      <c r="D163" s="1" t="n">
        <v>19997925463</v>
      </c>
      <c r="E163" s="1" t="s">
        <v>1243</v>
      </c>
      <c r="F163" s="1" t="s">
        <v>104</v>
      </c>
      <c r="G163" s="1" t="s">
        <v>1290</v>
      </c>
      <c r="H163" s="1" t="s">
        <v>100</v>
      </c>
    </row>
    <row r="164" customFormat="false" ht="15" hidden="false" customHeight="true" outlineLevel="0" collapsed="false">
      <c r="A164" s="1" t="n">
        <v>0.528252</v>
      </c>
      <c r="B164" s="1" t="s">
        <v>123</v>
      </c>
      <c r="C164" s="1" t="s">
        <v>119</v>
      </c>
      <c r="D164" s="1" t="n">
        <v>11958901366</v>
      </c>
      <c r="E164" s="1" t="s">
        <v>1243</v>
      </c>
      <c r="F164" s="1" t="s">
        <v>104</v>
      </c>
      <c r="G164" s="1" t="s">
        <v>1290</v>
      </c>
      <c r="H164" s="1" t="s">
        <v>100</v>
      </c>
    </row>
    <row r="165" customFormat="false" ht="15" hidden="false" customHeight="true" outlineLevel="0" collapsed="false">
      <c r="A165" s="1" t="n">
        <v>0.526403</v>
      </c>
      <c r="B165" s="1" t="s">
        <v>123</v>
      </c>
      <c r="C165" s="1" t="s">
        <v>467</v>
      </c>
      <c r="D165" s="1" t="n">
        <v>82993177548</v>
      </c>
      <c r="E165" s="1" t="s">
        <v>1243</v>
      </c>
      <c r="F165" s="1" t="s">
        <v>104</v>
      </c>
      <c r="G165" s="1" t="s">
        <v>1290</v>
      </c>
      <c r="H165" s="1" t="s">
        <v>100</v>
      </c>
    </row>
    <row r="166" customFormat="false" ht="15" hidden="false" customHeight="true" outlineLevel="0" collapsed="false">
      <c r="A166" s="1" t="n">
        <v>0.523802</v>
      </c>
      <c r="B166" s="1" t="s">
        <v>123</v>
      </c>
      <c r="C166" s="1" t="s">
        <v>196</v>
      </c>
      <c r="D166" s="1" t="n">
        <v>53991480884</v>
      </c>
      <c r="E166" s="1" t="s">
        <v>1243</v>
      </c>
      <c r="F166" s="1" t="s">
        <v>104</v>
      </c>
      <c r="G166" s="1" t="s">
        <v>1290</v>
      </c>
      <c r="H166" s="1" t="s">
        <v>108</v>
      </c>
    </row>
    <row r="167" customFormat="false" ht="15" hidden="false" customHeight="true" outlineLevel="0" collapsed="false">
      <c r="A167" s="1" t="n">
        <v>0.51221</v>
      </c>
      <c r="B167" s="1" t="s">
        <v>123</v>
      </c>
      <c r="C167" s="1" t="s">
        <v>119</v>
      </c>
      <c r="D167" s="1" t="n">
        <v>16997395135</v>
      </c>
      <c r="E167" s="1" t="s">
        <v>1243</v>
      </c>
      <c r="F167" s="1" t="s">
        <v>104</v>
      </c>
      <c r="G167" s="1" t="s">
        <v>1290</v>
      </c>
      <c r="H167" s="1" t="s">
        <v>100</v>
      </c>
    </row>
    <row r="168" customFormat="false" ht="15" hidden="false" customHeight="true" outlineLevel="0" collapsed="false">
      <c r="A168" s="1" t="n">
        <v>0.265808</v>
      </c>
      <c r="B168" s="1" t="s">
        <v>66</v>
      </c>
      <c r="C168" s="1" t="s">
        <v>139</v>
      </c>
      <c r="D168" s="1" t="n">
        <v>4791232956</v>
      </c>
      <c r="E168" s="1" t="s">
        <v>1244</v>
      </c>
      <c r="F168" s="1" t="s">
        <v>66</v>
      </c>
      <c r="G168" s="1" t="s">
        <v>1290</v>
      </c>
      <c r="H168" s="1" t="s">
        <v>175</v>
      </c>
    </row>
    <row r="169" customFormat="false" ht="15" hidden="false" customHeight="true" outlineLevel="0" collapsed="false">
      <c r="A169" s="1" t="n">
        <v>0.50596</v>
      </c>
      <c r="B169" s="1" t="s">
        <v>123</v>
      </c>
      <c r="C169" s="1" t="s">
        <v>260</v>
      </c>
      <c r="D169" s="1" t="n">
        <v>21965142281</v>
      </c>
      <c r="E169" s="1" t="s">
        <v>1243</v>
      </c>
      <c r="F169" s="1" t="s">
        <v>104</v>
      </c>
      <c r="G169" s="1" t="s">
        <v>1290</v>
      </c>
      <c r="H169" s="1" t="s">
        <v>100</v>
      </c>
    </row>
    <row r="170" customFormat="false" ht="15" hidden="false" customHeight="true" outlineLevel="0" collapsed="false">
      <c r="A170" s="1" t="n">
        <v>0.50593</v>
      </c>
      <c r="B170" s="1" t="s">
        <v>123</v>
      </c>
      <c r="C170" s="1" t="s">
        <v>119</v>
      </c>
      <c r="D170" s="1" t="n">
        <v>17992275775</v>
      </c>
      <c r="E170" s="1" t="s">
        <v>1243</v>
      </c>
      <c r="F170" s="1" t="s">
        <v>104</v>
      </c>
      <c r="G170" s="1" t="s">
        <v>1290</v>
      </c>
      <c r="H170" s="1" t="s">
        <v>100</v>
      </c>
    </row>
    <row r="171" customFormat="false" ht="15" hidden="false" customHeight="true" outlineLevel="0" collapsed="false">
      <c r="A171" s="1" t="n">
        <v>0.503944</v>
      </c>
      <c r="B171" s="1" t="s">
        <v>123</v>
      </c>
      <c r="C171" s="1" t="s">
        <v>109</v>
      </c>
      <c r="D171" s="1" t="n">
        <v>41988205031</v>
      </c>
      <c r="E171" s="1" t="s">
        <v>1243</v>
      </c>
      <c r="F171" s="1" t="s">
        <v>104</v>
      </c>
      <c r="G171" s="1" t="s">
        <v>1290</v>
      </c>
      <c r="H171" s="1" t="s">
        <v>108</v>
      </c>
    </row>
    <row r="172" customFormat="false" ht="15" hidden="false" customHeight="true" outlineLevel="0" collapsed="false">
      <c r="A172" s="1" t="n">
        <v>0.276289</v>
      </c>
      <c r="B172" s="1" t="s">
        <v>115</v>
      </c>
      <c r="C172" s="1" t="s">
        <v>196</v>
      </c>
      <c r="D172" s="1" t="n">
        <v>51981272028</v>
      </c>
      <c r="E172" s="1" t="s">
        <v>1244</v>
      </c>
      <c r="F172" s="1" t="s">
        <v>115</v>
      </c>
      <c r="G172" s="1" t="s">
        <v>1290</v>
      </c>
      <c r="H172" s="1" t="s">
        <v>108</v>
      </c>
    </row>
    <row r="173" customFormat="false" ht="15" hidden="false" customHeight="true" outlineLevel="0" collapsed="false">
      <c r="A173" s="1" t="n">
        <v>0.26225</v>
      </c>
      <c r="B173" s="1" t="s">
        <v>66</v>
      </c>
      <c r="C173" s="1" t="s">
        <v>139</v>
      </c>
      <c r="D173" s="1" t="n">
        <v>48992101077</v>
      </c>
      <c r="E173" s="1" t="s">
        <v>1244</v>
      </c>
      <c r="F173" s="1" t="s">
        <v>66</v>
      </c>
      <c r="G173" s="1" t="s">
        <v>1290</v>
      </c>
      <c r="H173" s="1" t="s">
        <v>175</v>
      </c>
    </row>
    <row r="174" customFormat="false" ht="15" hidden="false" customHeight="true" outlineLevel="0" collapsed="false">
      <c r="A174" s="1" t="n">
        <v>0.49951</v>
      </c>
      <c r="B174" s="1" t="s">
        <v>123</v>
      </c>
      <c r="C174" s="1" t="s">
        <v>243</v>
      </c>
      <c r="D174" s="1" t="n">
        <v>75981451013</v>
      </c>
      <c r="E174" s="1" t="s">
        <v>1243</v>
      </c>
      <c r="F174" s="1" t="s">
        <v>104</v>
      </c>
      <c r="G174" s="1" t="s">
        <v>1290</v>
      </c>
      <c r="H174" s="1" t="s">
        <v>100</v>
      </c>
    </row>
    <row r="175" customFormat="false" ht="15" hidden="false" customHeight="true" outlineLevel="0" collapsed="false">
      <c r="A175" s="1" t="n">
        <v>0.490472</v>
      </c>
      <c r="B175" s="1" t="s">
        <v>123</v>
      </c>
      <c r="C175" s="1" t="s">
        <v>260</v>
      </c>
      <c r="D175" s="1" t="n">
        <v>2433672385</v>
      </c>
      <c r="E175" s="1" t="s">
        <v>1243</v>
      </c>
      <c r="F175" s="1" t="s">
        <v>104</v>
      </c>
      <c r="G175" s="1" t="s">
        <v>1290</v>
      </c>
      <c r="H175" s="1" t="s">
        <v>100</v>
      </c>
    </row>
    <row r="176" customFormat="false" ht="15" hidden="false" customHeight="true" outlineLevel="0" collapsed="false">
      <c r="A176" s="1" t="n">
        <v>0.489254</v>
      </c>
      <c r="B176" s="1" t="s">
        <v>123</v>
      </c>
      <c r="C176" s="1" t="s">
        <v>490</v>
      </c>
      <c r="D176" s="1" t="n">
        <v>84988880400</v>
      </c>
      <c r="E176" s="1" t="s">
        <v>1243</v>
      </c>
      <c r="F176" s="1" t="s">
        <v>104</v>
      </c>
      <c r="G176" s="1" t="s">
        <v>1290</v>
      </c>
      <c r="H176" s="1" t="s">
        <v>100</v>
      </c>
    </row>
    <row r="177" customFormat="false" ht="15" hidden="false" customHeight="true" outlineLevel="0" collapsed="false">
      <c r="A177" s="1" t="n">
        <v>0.48469</v>
      </c>
      <c r="B177" s="1" t="s">
        <v>123</v>
      </c>
      <c r="C177" s="1" t="s">
        <v>119</v>
      </c>
      <c r="D177" s="1" t="n">
        <v>18998127959</v>
      </c>
      <c r="E177" s="1" t="s">
        <v>1243</v>
      </c>
      <c r="F177" s="1" t="s">
        <v>104</v>
      </c>
      <c r="G177" s="1" t="s">
        <v>1290</v>
      </c>
      <c r="H177" s="1" t="s">
        <v>100</v>
      </c>
    </row>
    <row r="178" customFormat="false" ht="15" hidden="false" customHeight="true" outlineLevel="0" collapsed="false">
      <c r="A178" s="1" t="n">
        <v>0.483727</v>
      </c>
      <c r="B178" s="1" t="s">
        <v>123</v>
      </c>
      <c r="C178" s="1" t="s">
        <v>127</v>
      </c>
      <c r="D178" s="1" t="n">
        <v>6233573862</v>
      </c>
      <c r="E178" s="1" t="s">
        <v>1243</v>
      </c>
      <c r="F178" s="1" t="s">
        <v>104</v>
      </c>
      <c r="G178" s="1" t="s">
        <v>1290</v>
      </c>
      <c r="H178" s="1" t="s">
        <v>100</v>
      </c>
    </row>
    <row r="179" customFormat="false" ht="15" hidden="false" customHeight="true" outlineLevel="0" collapsed="false">
      <c r="A179" s="1" t="n">
        <v>0.483483</v>
      </c>
      <c r="B179" s="1" t="s">
        <v>123</v>
      </c>
      <c r="C179" s="1" t="s">
        <v>187</v>
      </c>
      <c r="D179" s="1" t="n">
        <v>8737625659</v>
      </c>
      <c r="E179" s="1" t="s">
        <v>1243</v>
      </c>
      <c r="F179" s="1" t="s">
        <v>104</v>
      </c>
      <c r="G179" s="1" t="s">
        <v>1290</v>
      </c>
      <c r="H179" s="1" t="s">
        <v>100</v>
      </c>
    </row>
    <row r="180" customFormat="false" ht="15" hidden="false" customHeight="true" outlineLevel="0" collapsed="false">
      <c r="A180" s="1" t="n">
        <v>0.250148</v>
      </c>
      <c r="B180" s="1" t="s">
        <v>66</v>
      </c>
      <c r="C180" s="1" t="s">
        <v>139</v>
      </c>
      <c r="D180" s="1" t="n">
        <v>4796102611</v>
      </c>
      <c r="E180" s="1" t="s">
        <v>1244</v>
      </c>
      <c r="F180" s="1" t="s">
        <v>66</v>
      </c>
      <c r="G180" s="1" t="s">
        <v>1290</v>
      </c>
      <c r="H180" s="1" t="s">
        <v>175</v>
      </c>
    </row>
    <row r="181" customFormat="false" ht="15" hidden="false" customHeight="true" outlineLevel="0" collapsed="false">
      <c r="A181" s="1" t="n">
        <v>0.473653</v>
      </c>
      <c r="B181" s="1" t="s">
        <v>123</v>
      </c>
      <c r="C181" s="1" t="s">
        <v>109</v>
      </c>
      <c r="D181" s="1" t="n">
        <v>41991714752</v>
      </c>
      <c r="E181" s="1" t="s">
        <v>1243</v>
      </c>
      <c r="F181" s="1" t="s">
        <v>104</v>
      </c>
      <c r="G181" s="1" t="s">
        <v>1290</v>
      </c>
      <c r="H181" s="1" t="s">
        <v>108</v>
      </c>
    </row>
    <row r="182" customFormat="false" ht="15" hidden="false" customHeight="true" outlineLevel="0" collapsed="false">
      <c r="A182" s="1" t="n">
        <v>0.471398</v>
      </c>
      <c r="B182" s="1" t="s">
        <v>123</v>
      </c>
      <c r="C182" s="1" t="s">
        <v>119</v>
      </c>
      <c r="D182" s="1" t="n">
        <v>17996183126</v>
      </c>
      <c r="E182" s="1" t="s">
        <v>1243</v>
      </c>
      <c r="F182" s="1" t="s">
        <v>104</v>
      </c>
      <c r="G182" s="1" t="s">
        <v>1290</v>
      </c>
      <c r="H182" s="1" t="s">
        <v>100</v>
      </c>
    </row>
    <row r="183" customFormat="false" ht="15" hidden="false" customHeight="true" outlineLevel="0" collapsed="false">
      <c r="A183" s="1" t="n">
        <v>0.471222</v>
      </c>
      <c r="B183" s="1" t="s">
        <v>123</v>
      </c>
      <c r="C183" s="1" t="s">
        <v>119</v>
      </c>
      <c r="D183" s="1" t="n">
        <v>1532571511</v>
      </c>
      <c r="E183" s="1" t="s">
        <v>1243</v>
      </c>
      <c r="F183" s="1" t="s">
        <v>104</v>
      </c>
      <c r="G183" s="1" t="s">
        <v>1290</v>
      </c>
      <c r="H183" s="1" t="s">
        <v>100</v>
      </c>
    </row>
    <row r="184" customFormat="false" ht="15" hidden="false" customHeight="true" outlineLevel="0" collapsed="false">
      <c r="A184" s="1" t="n">
        <v>0.25625</v>
      </c>
      <c r="B184" s="1" t="s">
        <v>115</v>
      </c>
      <c r="C184" s="1" t="s">
        <v>243</v>
      </c>
      <c r="D184" s="1" t="n">
        <v>71992847946</v>
      </c>
      <c r="E184" s="1" t="s">
        <v>1244</v>
      </c>
      <c r="F184" s="1" t="s">
        <v>115</v>
      </c>
      <c r="G184" s="1" t="s">
        <v>1290</v>
      </c>
      <c r="H184" s="1" t="s">
        <v>184</v>
      </c>
    </row>
    <row r="185" customFormat="false" ht="15" hidden="false" customHeight="true" outlineLevel="0" collapsed="false">
      <c r="A185" s="1" t="n">
        <v>0.239936</v>
      </c>
      <c r="B185" s="1" t="s">
        <v>66</v>
      </c>
      <c r="C185" s="1" t="s">
        <v>139</v>
      </c>
      <c r="D185" s="1" t="n">
        <v>4791640830</v>
      </c>
      <c r="E185" s="1" t="s">
        <v>1244</v>
      </c>
      <c r="F185" s="1" t="s">
        <v>66</v>
      </c>
      <c r="G185" s="1" t="s">
        <v>1290</v>
      </c>
      <c r="H185" s="1" t="s">
        <v>175</v>
      </c>
    </row>
    <row r="186" customFormat="false" ht="15" hidden="false" customHeight="true" outlineLevel="0" collapsed="false">
      <c r="A186" s="1" t="n">
        <v>0.457385</v>
      </c>
      <c r="B186" s="1" t="s">
        <v>123</v>
      </c>
      <c r="C186" s="1" t="s">
        <v>260</v>
      </c>
      <c r="D186" s="1" t="n">
        <v>22999447675</v>
      </c>
      <c r="E186" s="1" t="s">
        <v>1243</v>
      </c>
      <c r="F186" s="1" t="s">
        <v>104</v>
      </c>
      <c r="G186" s="1" t="s">
        <v>1290</v>
      </c>
      <c r="H186" s="1" t="s">
        <v>100</v>
      </c>
    </row>
    <row r="187" customFormat="false" ht="15" hidden="false" customHeight="true" outlineLevel="0" collapsed="false">
      <c r="A187" s="1" t="n">
        <v>0.457035</v>
      </c>
      <c r="B187" s="1" t="s">
        <v>123</v>
      </c>
      <c r="C187" s="1" t="s">
        <v>513</v>
      </c>
      <c r="D187" s="1" t="n">
        <v>69984747043</v>
      </c>
      <c r="E187" s="1" t="s">
        <v>1243</v>
      </c>
      <c r="F187" s="1" t="s">
        <v>104</v>
      </c>
      <c r="G187" s="1" t="s">
        <v>1290</v>
      </c>
      <c r="H187" s="1" t="s">
        <v>100</v>
      </c>
    </row>
    <row r="188" customFormat="false" ht="15" hidden="false" customHeight="true" outlineLevel="0" collapsed="false">
      <c r="A188" s="1" t="n">
        <v>0.456477</v>
      </c>
      <c r="B188" s="1" t="s">
        <v>123</v>
      </c>
      <c r="C188" s="1" t="s">
        <v>114</v>
      </c>
      <c r="D188" s="1" t="n">
        <v>33999951133</v>
      </c>
      <c r="E188" s="1" t="s">
        <v>1243</v>
      </c>
      <c r="F188" s="1" t="s">
        <v>104</v>
      </c>
      <c r="G188" s="1" t="s">
        <v>1290</v>
      </c>
      <c r="H188" s="1" t="s">
        <v>100</v>
      </c>
    </row>
    <row r="189" customFormat="false" ht="15" hidden="false" customHeight="true" outlineLevel="0" collapsed="false">
      <c r="A189" s="1" t="n">
        <v>0.455453</v>
      </c>
      <c r="B189" s="1" t="s">
        <v>123</v>
      </c>
      <c r="C189" s="1" t="s">
        <v>260</v>
      </c>
      <c r="D189" s="1" t="n">
        <v>22999447675</v>
      </c>
      <c r="E189" s="1" t="s">
        <v>1243</v>
      </c>
      <c r="F189" s="1" t="s">
        <v>104</v>
      </c>
      <c r="G189" s="1" t="s">
        <v>1290</v>
      </c>
      <c r="H189" s="1" t="s">
        <v>100</v>
      </c>
    </row>
    <row r="190" customFormat="false" ht="15" hidden="false" customHeight="true" outlineLevel="0" collapsed="false">
      <c r="A190" s="1" t="n">
        <v>0.236756</v>
      </c>
      <c r="B190" s="1" t="s">
        <v>66</v>
      </c>
      <c r="C190" s="1" t="s">
        <v>139</v>
      </c>
      <c r="D190" s="1" t="n">
        <v>4896130715</v>
      </c>
      <c r="E190" s="1" t="s">
        <v>1244</v>
      </c>
      <c r="F190" s="1" t="s">
        <v>66</v>
      </c>
      <c r="G190" s="1" t="s">
        <v>1290</v>
      </c>
      <c r="H190" s="1" t="s">
        <v>175</v>
      </c>
    </row>
    <row r="191" customFormat="false" ht="15" hidden="false" customHeight="true" outlineLevel="0" collapsed="false">
      <c r="A191" s="1" t="n">
        <v>0.450125</v>
      </c>
      <c r="B191" s="1" t="s">
        <v>123</v>
      </c>
      <c r="C191" s="1" t="s">
        <v>260</v>
      </c>
      <c r="D191" s="1" t="n">
        <v>22999447675</v>
      </c>
      <c r="E191" s="1" t="s">
        <v>1243</v>
      </c>
      <c r="F191" s="1" t="s">
        <v>104</v>
      </c>
      <c r="G191" s="1" t="s">
        <v>1290</v>
      </c>
      <c r="H191" s="1" t="s">
        <v>100</v>
      </c>
    </row>
    <row r="192" customFormat="false" ht="15" hidden="false" customHeight="true" outlineLevel="0" collapsed="false">
      <c r="A192" s="1" t="n">
        <v>0.235144</v>
      </c>
      <c r="B192" s="1" t="s">
        <v>66</v>
      </c>
      <c r="C192" s="1" t="s">
        <v>139</v>
      </c>
      <c r="D192" s="1" t="n">
        <v>4791306999</v>
      </c>
      <c r="E192" s="1" t="s">
        <v>1244</v>
      </c>
      <c r="F192" s="1" t="s">
        <v>66</v>
      </c>
      <c r="G192" s="1" t="s">
        <v>1290</v>
      </c>
      <c r="H192" s="1" t="s">
        <v>175</v>
      </c>
    </row>
    <row r="193" customFormat="false" ht="15" hidden="false" customHeight="true" outlineLevel="0" collapsed="false">
      <c r="A193" s="1" t="n">
        <v>0.447155</v>
      </c>
      <c r="B193" s="1" t="s">
        <v>123</v>
      </c>
      <c r="C193" s="1" t="s">
        <v>127</v>
      </c>
      <c r="D193" s="1" t="n">
        <v>62985832486</v>
      </c>
      <c r="E193" s="1" t="s">
        <v>1243</v>
      </c>
      <c r="F193" s="1" t="s">
        <v>104</v>
      </c>
      <c r="G193" s="1" t="s">
        <v>1290</v>
      </c>
      <c r="H193" s="1" t="s">
        <v>100</v>
      </c>
    </row>
    <row r="194" customFormat="false" ht="15" hidden="false" customHeight="true" outlineLevel="0" collapsed="false">
      <c r="A194" s="1" t="n">
        <v>0.245256</v>
      </c>
      <c r="B194" s="1" t="s">
        <v>115</v>
      </c>
      <c r="C194" s="1" t="s">
        <v>420</v>
      </c>
      <c r="D194" s="1" t="n">
        <v>99984811871</v>
      </c>
      <c r="E194" s="1" t="s">
        <v>1244</v>
      </c>
      <c r="F194" s="1" t="s">
        <v>115</v>
      </c>
      <c r="G194" s="1" t="s">
        <v>1290</v>
      </c>
      <c r="H194" s="1" t="s">
        <v>184</v>
      </c>
    </row>
    <row r="195" customFormat="false" ht="15" hidden="false" customHeight="true" outlineLevel="0" collapsed="false">
      <c r="A195" s="1" t="n">
        <v>0.445055</v>
      </c>
      <c r="B195" s="1" t="s">
        <v>123</v>
      </c>
      <c r="C195" s="1" t="s">
        <v>243</v>
      </c>
      <c r="D195" s="1" t="n">
        <v>7191418952</v>
      </c>
      <c r="E195" s="1" t="s">
        <v>1243</v>
      </c>
      <c r="F195" s="1" t="s">
        <v>104</v>
      </c>
      <c r="G195" s="1" t="s">
        <v>1290</v>
      </c>
      <c r="H195" s="1" t="s">
        <v>100</v>
      </c>
    </row>
    <row r="196" customFormat="false" ht="15" hidden="false" customHeight="true" outlineLevel="0" collapsed="false">
      <c r="A196" s="1" t="n">
        <v>0.444485</v>
      </c>
      <c r="B196" s="1" t="s">
        <v>123</v>
      </c>
      <c r="C196" s="1" t="s">
        <v>139</v>
      </c>
      <c r="D196" s="1" t="n">
        <v>48996248761</v>
      </c>
      <c r="E196" s="1" t="s">
        <v>1243</v>
      </c>
      <c r="F196" s="1" t="s">
        <v>104</v>
      </c>
      <c r="G196" s="1" t="s">
        <v>1290</v>
      </c>
      <c r="H196" s="1" t="s">
        <v>175</v>
      </c>
    </row>
    <row r="197" customFormat="false" ht="15" hidden="false" customHeight="true" outlineLevel="0" collapsed="false">
      <c r="A197" s="1" t="n">
        <v>0.244559</v>
      </c>
      <c r="B197" s="1" t="s">
        <v>115</v>
      </c>
      <c r="C197" s="1" t="s">
        <v>420</v>
      </c>
      <c r="D197" s="1" t="n">
        <v>9899756315</v>
      </c>
      <c r="E197" s="1" t="s">
        <v>1244</v>
      </c>
      <c r="F197" s="1" t="s">
        <v>115</v>
      </c>
      <c r="G197" s="1" t="s">
        <v>1290</v>
      </c>
      <c r="H197" s="1" t="s">
        <v>184</v>
      </c>
    </row>
    <row r="198" customFormat="false" ht="15" hidden="false" customHeight="true" outlineLevel="0" collapsed="false">
      <c r="A198" s="1" t="n">
        <v>0.43759</v>
      </c>
      <c r="B198" s="1" t="s">
        <v>123</v>
      </c>
      <c r="C198" s="1" t="s">
        <v>196</v>
      </c>
      <c r="D198" s="1" t="n">
        <v>5130858673</v>
      </c>
      <c r="E198" s="1" t="s">
        <v>1243</v>
      </c>
      <c r="F198" s="1" t="s">
        <v>104</v>
      </c>
      <c r="G198" s="1" t="s">
        <v>1290</v>
      </c>
      <c r="H198" s="1" t="s">
        <v>108</v>
      </c>
    </row>
    <row r="199" customFormat="false" ht="15" hidden="false" customHeight="true" outlineLevel="0" collapsed="false">
      <c r="A199" s="1" t="n">
        <v>0.435883</v>
      </c>
      <c r="B199" s="1" t="s">
        <v>123</v>
      </c>
      <c r="C199" s="1" t="s">
        <v>139</v>
      </c>
      <c r="D199" s="1" t="n">
        <v>4733742937</v>
      </c>
      <c r="E199" s="1" t="s">
        <v>1243</v>
      </c>
      <c r="F199" s="1" t="s">
        <v>104</v>
      </c>
      <c r="G199" s="1" t="s">
        <v>1290</v>
      </c>
      <c r="H199" s="1" t="s">
        <v>108</v>
      </c>
    </row>
    <row r="200" customFormat="false" ht="15" hidden="false" customHeight="true" outlineLevel="0" collapsed="false">
      <c r="A200" s="1" t="n">
        <v>0.234245</v>
      </c>
      <c r="B200" s="1" t="s">
        <v>115</v>
      </c>
      <c r="C200" s="1" t="s">
        <v>114</v>
      </c>
      <c r="D200" s="1" t="n">
        <v>31983121817</v>
      </c>
      <c r="E200" s="1" t="s">
        <v>1244</v>
      </c>
      <c r="F200" s="1" t="s">
        <v>115</v>
      </c>
      <c r="G200" s="1" t="s">
        <v>1290</v>
      </c>
      <c r="H200" s="1" t="s">
        <v>184</v>
      </c>
    </row>
    <row r="201" customFormat="false" ht="15" hidden="false" customHeight="true" outlineLevel="0" collapsed="false">
      <c r="A201" s="1" t="n">
        <v>0.222889</v>
      </c>
      <c r="B201" s="1" t="s">
        <v>66</v>
      </c>
      <c r="C201" s="1" t="s">
        <v>109</v>
      </c>
      <c r="D201" s="1" t="n">
        <v>4432325260</v>
      </c>
      <c r="E201" s="1" t="s">
        <v>1244</v>
      </c>
      <c r="F201" s="1" t="s">
        <v>66</v>
      </c>
      <c r="G201" s="1" t="s">
        <v>1290</v>
      </c>
      <c r="H201" s="1" t="s">
        <v>175</v>
      </c>
    </row>
    <row r="202" customFormat="false" ht="15" hidden="false" customHeight="true" outlineLevel="0" collapsed="false">
      <c r="A202" s="1" t="n">
        <v>0.421529</v>
      </c>
      <c r="B202" s="1" t="s">
        <v>123</v>
      </c>
      <c r="C202" s="1" t="s">
        <v>243</v>
      </c>
      <c r="D202" s="1" t="n">
        <v>7591750757</v>
      </c>
      <c r="E202" s="1" t="s">
        <v>1243</v>
      </c>
      <c r="F202" s="1" t="s">
        <v>104</v>
      </c>
      <c r="G202" s="1" t="s">
        <v>1291</v>
      </c>
      <c r="H202" s="1" t="s">
        <v>100</v>
      </c>
    </row>
    <row r="203" customFormat="false" ht="15" hidden="false" customHeight="true" outlineLevel="0" collapsed="false">
      <c r="A203" s="1" t="n">
        <v>0.420773</v>
      </c>
      <c r="B203" s="1" t="s">
        <v>123</v>
      </c>
      <c r="C203" s="1" t="s">
        <v>139</v>
      </c>
      <c r="D203" s="1" t="n">
        <v>4896543563</v>
      </c>
      <c r="E203" s="1" t="s">
        <v>1243</v>
      </c>
      <c r="F203" s="1" t="s">
        <v>104</v>
      </c>
      <c r="G203" s="1" t="s">
        <v>1291</v>
      </c>
      <c r="H203" s="1" t="s">
        <v>108</v>
      </c>
    </row>
    <row r="204" customFormat="false" ht="15" hidden="false" customHeight="true" outlineLevel="0" collapsed="false">
      <c r="A204" s="1" t="n">
        <v>0.219965</v>
      </c>
      <c r="B204" s="1" t="s">
        <v>66</v>
      </c>
      <c r="C204" s="1" t="s">
        <v>139</v>
      </c>
      <c r="D204" s="1" t="n">
        <v>4891860681</v>
      </c>
      <c r="E204" s="1" t="s">
        <v>1244</v>
      </c>
      <c r="F204" s="1" t="s">
        <v>66</v>
      </c>
      <c r="G204" s="1" t="s">
        <v>1291</v>
      </c>
      <c r="H204" s="1" t="s">
        <v>175</v>
      </c>
    </row>
    <row r="205" customFormat="false" ht="15" hidden="false" customHeight="true" outlineLevel="0" collapsed="false">
      <c r="A205" s="1" t="n">
        <v>0.417907</v>
      </c>
      <c r="B205" s="1" t="s">
        <v>123</v>
      </c>
      <c r="C205" s="1" t="s">
        <v>139</v>
      </c>
      <c r="D205" s="1" t="n">
        <v>48996248761</v>
      </c>
      <c r="E205" s="1" t="s">
        <v>1243</v>
      </c>
      <c r="F205" s="1" t="s">
        <v>104</v>
      </c>
      <c r="G205" s="1" t="s">
        <v>1291</v>
      </c>
      <c r="H205" s="1" t="s">
        <v>175</v>
      </c>
    </row>
    <row r="206" customFormat="false" ht="15" hidden="false" customHeight="true" outlineLevel="0" collapsed="false">
      <c r="A206" s="1" t="n">
        <v>0.416037</v>
      </c>
      <c r="B206" s="1" t="s">
        <v>123</v>
      </c>
      <c r="C206" s="1" t="s">
        <v>119</v>
      </c>
      <c r="D206" s="1" t="n">
        <v>1150528475</v>
      </c>
      <c r="E206" s="1" t="s">
        <v>1243</v>
      </c>
      <c r="F206" s="1" t="s">
        <v>104</v>
      </c>
      <c r="G206" s="1" t="s">
        <v>1291</v>
      </c>
      <c r="H206" s="1" t="s">
        <v>100</v>
      </c>
    </row>
    <row r="207" customFormat="false" ht="15" hidden="false" customHeight="true" outlineLevel="0" collapsed="false">
      <c r="A207" s="1" t="n">
        <v>0.218045</v>
      </c>
      <c r="B207" s="1" t="s">
        <v>66</v>
      </c>
      <c r="C207" s="1" t="s">
        <v>139</v>
      </c>
      <c r="D207" s="1" t="n">
        <v>48999312352</v>
      </c>
      <c r="E207" s="1" t="s">
        <v>1244</v>
      </c>
      <c r="F207" s="1" t="s">
        <v>66</v>
      </c>
      <c r="G207" s="1" t="s">
        <v>1291</v>
      </c>
      <c r="H207" s="1" t="s">
        <v>175</v>
      </c>
    </row>
    <row r="208" customFormat="false" ht="15" hidden="false" customHeight="true" outlineLevel="0" collapsed="false">
      <c r="A208" s="1" t="n">
        <v>0.411105</v>
      </c>
      <c r="B208" s="1" t="s">
        <v>123</v>
      </c>
      <c r="C208" s="1" t="s">
        <v>420</v>
      </c>
      <c r="D208" s="1" t="n">
        <v>9884597339</v>
      </c>
      <c r="E208" s="1" t="s">
        <v>1243</v>
      </c>
      <c r="F208" s="1" t="s">
        <v>104</v>
      </c>
      <c r="G208" s="1" t="s">
        <v>1291</v>
      </c>
      <c r="H208" s="1" t="s">
        <v>100</v>
      </c>
    </row>
    <row r="209" customFormat="false" ht="15" hidden="false" customHeight="true" outlineLevel="0" collapsed="false">
      <c r="A209" s="1" t="n">
        <v>0.410343</v>
      </c>
      <c r="B209" s="1" t="s">
        <v>123</v>
      </c>
      <c r="C209" s="1" t="s">
        <v>139</v>
      </c>
      <c r="D209" s="1" t="n">
        <v>47984326298</v>
      </c>
      <c r="E209" s="1" t="s">
        <v>1243</v>
      </c>
      <c r="F209" s="1" t="s">
        <v>104</v>
      </c>
      <c r="G209" s="1" t="s">
        <v>1291</v>
      </c>
      <c r="H209" s="1" t="s">
        <v>175</v>
      </c>
    </row>
    <row r="210" customFormat="false" ht="15" hidden="false" customHeight="true" outlineLevel="0" collapsed="false">
      <c r="A210" s="1" t="n">
        <v>0.410314</v>
      </c>
      <c r="B210" s="1" t="s">
        <v>123</v>
      </c>
      <c r="C210" s="1" t="s">
        <v>114</v>
      </c>
      <c r="D210" s="1" t="n">
        <v>3196946667</v>
      </c>
      <c r="E210" s="1" t="s">
        <v>1243</v>
      </c>
      <c r="F210" s="1" t="s">
        <v>104</v>
      </c>
      <c r="G210" s="1" t="s">
        <v>1291</v>
      </c>
      <c r="H210" s="1" t="s">
        <v>100</v>
      </c>
    </row>
    <row r="211" customFormat="false" ht="15" hidden="false" customHeight="true" outlineLevel="0" collapsed="false">
      <c r="A211" s="1" t="n">
        <v>0.409936</v>
      </c>
      <c r="B211" s="1" t="s">
        <v>123</v>
      </c>
      <c r="C211" s="1" t="s">
        <v>139</v>
      </c>
      <c r="D211" s="1" t="n">
        <v>4797583831</v>
      </c>
      <c r="E211" s="1" t="s">
        <v>1243</v>
      </c>
      <c r="F211" s="1" t="s">
        <v>104</v>
      </c>
      <c r="G211" s="1" t="s">
        <v>1291</v>
      </c>
      <c r="H211" s="1" t="s">
        <v>108</v>
      </c>
    </row>
    <row r="212" customFormat="false" ht="15" hidden="false" customHeight="true" outlineLevel="0" collapsed="false">
      <c r="A212" s="1" t="n">
        <v>0.406329</v>
      </c>
      <c r="B212" s="1" t="s">
        <v>123</v>
      </c>
      <c r="C212" s="1" t="s">
        <v>139</v>
      </c>
      <c r="D212" s="1" t="n">
        <v>4832693010</v>
      </c>
      <c r="E212" s="1" t="s">
        <v>1243</v>
      </c>
      <c r="F212" s="1" t="s">
        <v>104</v>
      </c>
      <c r="G212" s="1" t="s">
        <v>1291</v>
      </c>
      <c r="H212" s="1" t="s">
        <v>175</v>
      </c>
    </row>
    <row r="213" customFormat="false" ht="15" hidden="false" customHeight="true" outlineLevel="0" collapsed="false">
      <c r="A213" s="1" t="n">
        <v>0.405445</v>
      </c>
      <c r="B213" s="1" t="s">
        <v>123</v>
      </c>
      <c r="C213" s="1" t="s">
        <v>139</v>
      </c>
      <c r="D213" s="1" t="n">
        <v>4999195902</v>
      </c>
      <c r="E213" s="1" t="s">
        <v>1243</v>
      </c>
      <c r="F213" s="1" t="s">
        <v>104</v>
      </c>
      <c r="G213" s="1" t="s">
        <v>1291</v>
      </c>
      <c r="H213" s="1" t="s">
        <v>108</v>
      </c>
    </row>
    <row r="214" customFormat="false" ht="15" hidden="false" customHeight="true" outlineLevel="0" collapsed="false">
      <c r="A214" s="1" t="n">
        <v>0.404213</v>
      </c>
      <c r="B214" s="1" t="s">
        <v>123</v>
      </c>
      <c r="C214" s="1" t="s">
        <v>109</v>
      </c>
      <c r="D214" s="1" t="n">
        <v>41991736973</v>
      </c>
      <c r="E214" s="1" t="s">
        <v>1243</v>
      </c>
      <c r="F214" s="1" t="s">
        <v>104</v>
      </c>
      <c r="G214" s="1" t="s">
        <v>1291</v>
      </c>
      <c r="H214" s="1" t="s">
        <v>108</v>
      </c>
    </row>
    <row r="215" customFormat="false" ht="15" hidden="false" customHeight="true" outlineLevel="0" collapsed="false">
      <c r="A215" s="1" t="n">
        <v>0.402632</v>
      </c>
      <c r="B215" s="1" t="s">
        <v>123</v>
      </c>
      <c r="C215" s="1" t="s">
        <v>139</v>
      </c>
      <c r="D215" s="1" t="n">
        <v>4896543563</v>
      </c>
      <c r="E215" s="1" t="s">
        <v>1243</v>
      </c>
      <c r="F215" s="1" t="s">
        <v>104</v>
      </c>
      <c r="G215" s="1" t="s">
        <v>1291</v>
      </c>
      <c r="H215" s="1" t="s">
        <v>108</v>
      </c>
    </row>
    <row r="216" customFormat="false" ht="15" hidden="false" customHeight="true" outlineLevel="0" collapsed="false">
      <c r="A216" s="1" t="n">
        <v>0.210672</v>
      </c>
      <c r="B216" s="1" t="s">
        <v>66</v>
      </c>
      <c r="C216" s="1" t="s">
        <v>139</v>
      </c>
      <c r="D216" s="1" t="n">
        <v>47988910411</v>
      </c>
      <c r="E216" s="1" t="s">
        <v>1244</v>
      </c>
      <c r="F216" s="1" t="s">
        <v>66</v>
      </c>
      <c r="G216" s="1" t="s">
        <v>1291</v>
      </c>
      <c r="H216" s="1" t="s">
        <v>175</v>
      </c>
    </row>
    <row r="217" customFormat="false" ht="15" hidden="false" customHeight="true" outlineLevel="0" collapsed="false">
      <c r="A217" s="1" t="n">
        <v>0.391402</v>
      </c>
      <c r="B217" s="1" t="s">
        <v>123</v>
      </c>
      <c r="C217" s="1" t="s">
        <v>260</v>
      </c>
      <c r="D217" s="1" t="n">
        <v>21999960666</v>
      </c>
      <c r="E217" s="1" t="s">
        <v>1244</v>
      </c>
      <c r="F217" s="1" t="s">
        <v>104</v>
      </c>
      <c r="G217" s="1" t="s">
        <v>1291</v>
      </c>
      <c r="H217" s="1" t="s">
        <v>100</v>
      </c>
    </row>
    <row r="218" customFormat="false" ht="15" hidden="false" customHeight="true" outlineLevel="0" collapsed="false">
      <c r="A218" s="1" t="n">
        <v>0.388754</v>
      </c>
      <c r="B218" s="1" t="s">
        <v>123</v>
      </c>
      <c r="C218" s="1" t="s">
        <v>119</v>
      </c>
      <c r="D218" s="1" t="n">
        <v>12981991010</v>
      </c>
      <c r="E218" s="1" t="s">
        <v>1244</v>
      </c>
      <c r="F218" s="1" t="s">
        <v>104</v>
      </c>
      <c r="G218" s="1" t="s">
        <v>1291</v>
      </c>
      <c r="H218" s="1" t="s">
        <v>100</v>
      </c>
    </row>
    <row r="219" customFormat="false" ht="15" hidden="false" customHeight="true" outlineLevel="0" collapsed="false">
      <c r="A219" s="1" t="n">
        <v>0.384272</v>
      </c>
      <c r="B219" s="1" t="s">
        <v>123</v>
      </c>
      <c r="C219" s="1" t="s">
        <v>109</v>
      </c>
      <c r="D219" s="1" t="n">
        <v>4199156234</v>
      </c>
      <c r="E219" s="1" t="s">
        <v>1244</v>
      </c>
      <c r="F219" s="1" t="s">
        <v>104</v>
      </c>
      <c r="G219" s="1" t="s">
        <v>1291</v>
      </c>
      <c r="H219" s="1" t="s">
        <v>108</v>
      </c>
    </row>
    <row r="220" customFormat="false" ht="15" hidden="false" customHeight="true" outlineLevel="0" collapsed="false">
      <c r="A220" s="1" t="n">
        <v>0.384151</v>
      </c>
      <c r="B220" s="1" t="s">
        <v>123</v>
      </c>
      <c r="C220" s="1" t="s">
        <v>196</v>
      </c>
      <c r="D220" s="1" t="n">
        <v>51992788413</v>
      </c>
      <c r="E220" s="1" t="s">
        <v>1244</v>
      </c>
      <c r="F220" s="1" t="s">
        <v>104</v>
      </c>
      <c r="G220" s="1" t="s">
        <v>1291</v>
      </c>
      <c r="H220" s="1" t="s">
        <v>108</v>
      </c>
    </row>
    <row r="221" customFormat="false" ht="15" hidden="false" customHeight="true" outlineLevel="0" collapsed="false">
      <c r="A221" s="1" t="n">
        <v>0.381604</v>
      </c>
      <c r="B221" s="1" t="s">
        <v>123</v>
      </c>
      <c r="C221" s="1" t="s">
        <v>109</v>
      </c>
      <c r="D221" s="1" t="n">
        <v>4626011782</v>
      </c>
      <c r="E221" s="1" t="s">
        <v>1244</v>
      </c>
      <c r="F221" s="1" t="s">
        <v>104</v>
      </c>
      <c r="G221" s="1" t="s">
        <v>1291</v>
      </c>
      <c r="H221" s="1" t="s">
        <v>108</v>
      </c>
    </row>
    <row r="222" customFormat="false" ht="15" hidden="false" customHeight="true" outlineLevel="0" collapsed="false">
      <c r="A222" s="1" t="n">
        <v>0.381554</v>
      </c>
      <c r="B222" s="1" t="s">
        <v>123</v>
      </c>
      <c r="C222" s="1" t="s">
        <v>119</v>
      </c>
      <c r="D222" s="1" t="n">
        <v>1991597034</v>
      </c>
      <c r="E222" s="1" t="s">
        <v>1244</v>
      </c>
      <c r="F222" s="1" t="s">
        <v>104</v>
      </c>
      <c r="G222" s="1" t="s">
        <v>1291</v>
      </c>
      <c r="H222" s="1" t="s">
        <v>100</v>
      </c>
    </row>
    <row r="223" customFormat="false" ht="15" hidden="false" customHeight="true" outlineLevel="0" collapsed="false">
      <c r="A223" s="1" t="n">
        <v>0.207823</v>
      </c>
      <c r="B223" s="1" t="s">
        <v>115</v>
      </c>
      <c r="C223" s="1" t="s">
        <v>119</v>
      </c>
      <c r="D223" s="1" t="n">
        <v>17996133737</v>
      </c>
      <c r="E223" s="1" t="s">
        <v>1244</v>
      </c>
      <c r="F223" s="1" t="s">
        <v>115</v>
      </c>
      <c r="G223" s="1" t="s">
        <v>1291</v>
      </c>
      <c r="H223" s="1" t="s">
        <v>108</v>
      </c>
    </row>
    <row r="224" customFormat="false" ht="15" hidden="false" customHeight="true" outlineLevel="0" collapsed="false">
      <c r="A224" s="1" t="n">
        <v>0.376102</v>
      </c>
      <c r="B224" s="1" t="s">
        <v>123</v>
      </c>
      <c r="C224" s="1" t="s">
        <v>139</v>
      </c>
      <c r="D224" s="1" t="n">
        <v>4799780533</v>
      </c>
      <c r="E224" s="1" t="s">
        <v>1244</v>
      </c>
      <c r="F224" s="1" t="s">
        <v>104</v>
      </c>
      <c r="G224" s="1" t="s">
        <v>1291</v>
      </c>
      <c r="H224" s="1" t="s">
        <v>108</v>
      </c>
    </row>
    <row r="225" customFormat="false" ht="15" hidden="false" customHeight="true" outlineLevel="0" collapsed="false">
      <c r="A225" s="1" t="n">
        <v>0.375184</v>
      </c>
      <c r="B225" s="1" t="s">
        <v>123</v>
      </c>
      <c r="C225" s="1" t="s">
        <v>119</v>
      </c>
      <c r="D225" s="1" t="n">
        <v>11933580088</v>
      </c>
      <c r="E225" s="1" t="s">
        <v>1244</v>
      </c>
      <c r="F225" s="1" t="s">
        <v>104</v>
      </c>
      <c r="G225" s="1" t="s">
        <v>1291</v>
      </c>
      <c r="H225" s="1" t="s">
        <v>100</v>
      </c>
    </row>
    <row r="226" customFormat="false" ht="15" hidden="false" customHeight="true" outlineLevel="0" collapsed="false">
      <c r="A226" s="1" t="n">
        <v>0.368936</v>
      </c>
      <c r="B226" s="1" t="s">
        <v>123</v>
      </c>
      <c r="C226" s="1" t="s">
        <v>139</v>
      </c>
      <c r="D226" s="1" t="n">
        <v>4999044309</v>
      </c>
      <c r="E226" s="1" t="s">
        <v>1244</v>
      </c>
      <c r="F226" s="1" t="s">
        <v>104</v>
      </c>
      <c r="G226" s="1" t="s">
        <v>1291</v>
      </c>
      <c r="H226" s="1" t="s">
        <v>108</v>
      </c>
    </row>
    <row r="227" customFormat="false" ht="15" hidden="false" customHeight="true" outlineLevel="0" collapsed="false">
      <c r="A227" s="1" t="n">
        <v>0.368857</v>
      </c>
      <c r="B227" s="1" t="s">
        <v>123</v>
      </c>
      <c r="C227" s="1" t="s">
        <v>139</v>
      </c>
      <c r="D227" s="1" t="n">
        <v>47996379456</v>
      </c>
      <c r="E227" s="1" t="s">
        <v>1244</v>
      </c>
      <c r="F227" s="1" t="s">
        <v>104</v>
      </c>
      <c r="G227" s="1" t="s">
        <v>1291</v>
      </c>
      <c r="H227" s="1" t="s">
        <v>108</v>
      </c>
    </row>
    <row r="228" customFormat="false" ht="15" hidden="false" customHeight="true" outlineLevel="0" collapsed="false">
      <c r="A228" s="1" t="n">
        <v>0.193318</v>
      </c>
      <c r="B228" s="1" t="s">
        <v>66</v>
      </c>
      <c r="C228" s="1" t="s">
        <v>139</v>
      </c>
      <c r="D228" s="1" t="n">
        <v>48999320410</v>
      </c>
      <c r="E228" s="1" t="s">
        <v>1244</v>
      </c>
      <c r="F228" s="1" t="s">
        <v>66</v>
      </c>
      <c r="G228" s="1" t="s">
        <v>1291</v>
      </c>
      <c r="H228" s="1" t="s">
        <v>175</v>
      </c>
    </row>
    <row r="229" customFormat="false" ht="15" hidden="false" customHeight="true" outlineLevel="0" collapsed="false">
      <c r="A229" s="1" t="n">
        <v>0.367267</v>
      </c>
      <c r="B229" s="1" t="s">
        <v>123</v>
      </c>
      <c r="C229" s="1" t="s">
        <v>139</v>
      </c>
      <c r="D229" s="1" t="n">
        <v>4899481178</v>
      </c>
      <c r="E229" s="1" t="s">
        <v>1244</v>
      </c>
      <c r="F229" s="1" t="s">
        <v>104</v>
      </c>
      <c r="G229" s="1" t="s">
        <v>1291</v>
      </c>
      <c r="H229" s="1" t="s">
        <v>108</v>
      </c>
    </row>
    <row r="230" customFormat="false" ht="15" hidden="false" customHeight="true" outlineLevel="0" collapsed="false">
      <c r="A230" s="1" t="n">
        <v>0.367119</v>
      </c>
      <c r="B230" s="1" t="s">
        <v>123</v>
      </c>
      <c r="C230" s="1" t="s">
        <v>119</v>
      </c>
      <c r="D230" s="1" t="n">
        <v>14999082203</v>
      </c>
      <c r="E230" s="1" t="s">
        <v>1244</v>
      </c>
      <c r="F230" s="1" t="s">
        <v>104</v>
      </c>
      <c r="G230" s="1" t="s">
        <v>1291</v>
      </c>
      <c r="H230" s="1" t="s">
        <v>100</v>
      </c>
    </row>
    <row r="231" customFormat="false" ht="15" hidden="false" customHeight="true" outlineLevel="0" collapsed="false">
      <c r="A231" s="1" t="n">
        <v>0.364455</v>
      </c>
      <c r="B231" s="1" t="s">
        <v>123</v>
      </c>
      <c r="C231" s="1" t="s">
        <v>420</v>
      </c>
      <c r="D231" s="1" t="n">
        <v>98992181903</v>
      </c>
      <c r="E231" s="1" t="s">
        <v>1244</v>
      </c>
      <c r="F231" s="1" t="s">
        <v>104</v>
      </c>
      <c r="G231" s="1" t="s">
        <v>1291</v>
      </c>
      <c r="H231" s="1" t="s">
        <v>100</v>
      </c>
    </row>
    <row r="232" customFormat="false" ht="15" hidden="false" customHeight="true" outlineLevel="0" collapsed="false">
      <c r="A232" s="1" t="n">
        <v>0.362228</v>
      </c>
      <c r="B232" s="1" t="s">
        <v>123</v>
      </c>
      <c r="C232" s="1" t="s">
        <v>109</v>
      </c>
      <c r="D232" s="1" t="n">
        <v>4133693610</v>
      </c>
      <c r="E232" s="1" t="s">
        <v>1244</v>
      </c>
      <c r="F232" s="1" t="s">
        <v>104</v>
      </c>
      <c r="G232" s="1" t="s">
        <v>1291</v>
      </c>
      <c r="H232" s="1" t="s">
        <v>108</v>
      </c>
    </row>
    <row r="233" customFormat="false" ht="15" hidden="false" customHeight="true" outlineLevel="0" collapsed="false">
      <c r="A233" s="1" t="n">
        <v>0.361921</v>
      </c>
      <c r="B233" s="1" t="s">
        <v>123</v>
      </c>
      <c r="C233" s="1" t="s">
        <v>114</v>
      </c>
      <c r="D233" s="1" t="n">
        <v>31985937048</v>
      </c>
      <c r="E233" s="1" t="s">
        <v>1244</v>
      </c>
      <c r="F233" s="1" t="s">
        <v>104</v>
      </c>
      <c r="G233" s="1" t="s">
        <v>1291</v>
      </c>
      <c r="H233" s="1" t="s">
        <v>100</v>
      </c>
    </row>
    <row r="234" customFormat="false" ht="15" hidden="false" customHeight="true" outlineLevel="0" collapsed="false">
      <c r="A234" s="1" t="n">
        <v>0.361602</v>
      </c>
      <c r="B234" s="1" t="s">
        <v>123</v>
      </c>
      <c r="C234" s="1" t="s">
        <v>109</v>
      </c>
      <c r="D234" s="1" t="n">
        <v>4391970746</v>
      </c>
      <c r="E234" s="1" t="s">
        <v>1244</v>
      </c>
      <c r="F234" s="1" t="s">
        <v>104</v>
      </c>
      <c r="G234" s="1" t="s">
        <v>1291</v>
      </c>
      <c r="H234" s="1" t="s">
        <v>108</v>
      </c>
    </row>
    <row r="235" customFormat="false" ht="15" hidden="false" customHeight="true" outlineLevel="0" collapsed="false">
      <c r="A235" s="1" t="n">
        <v>0.186165</v>
      </c>
      <c r="B235" s="1" t="s">
        <v>102</v>
      </c>
      <c r="C235" s="1" t="s">
        <v>139</v>
      </c>
      <c r="D235" s="1" t="n">
        <v>47988041731</v>
      </c>
      <c r="E235" s="1" t="s">
        <v>1244</v>
      </c>
      <c r="F235" s="1" t="s">
        <v>102</v>
      </c>
      <c r="G235" s="1" t="s">
        <v>1291</v>
      </c>
      <c r="H235" s="1" t="s">
        <v>175</v>
      </c>
    </row>
    <row r="236" customFormat="false" ht="15" hidden="false" customHeight="true" outlineLevel="0" collapsed="false">
      <c r="A236" s="1" t="n">
        <v>0.358921</v>
      </c>
      <c r="B236" s="1" t="s">
        <v>123</v>
      </c>
      <c r="C236" s="1" t="s">
        <v>119</v>
      </c>
      <c r="D236" s="1" t="n">
        <v>11996548328</v>
      </c>
      <c r="E236" s="1" t="s">
        <v>1244</v>
      </c>
      <c r="F236" s="1" t="s">
        <v>104</v>
      </c>
      <c r="G236" s="1" t="s">
        <v>1291</v>
      </c>
      <c r="H236" s="1" t="s">
        <v>100</v>
      </c>
    </row>
    <row r="237" customFormat="false" ht="15" hidden="false" customHeight="true" outlineLevel="0" collapsed="false">
      <c r="A237" s="1" t="n">
        <v>0.358908</v>
      </c>
      <c r="B237" s="1" t="s">
        <v>123</v>
      </c>
      <c r="C237" s="1" t="s">
        <v>119</v>
      </c>
      <c r="D237" s="1" t="n">
        <v>16996100364</v>
      </c>
      <c r="E237" s="1" t="s">
        <v>1244</v>
      </c>
      <c r="F237" s="1" t="s">
        <v>104</v>
      </c>
      <c r="G237" s="1" t="s">
        <v>1291</v>
      </c>
      <c r="H237" s="1" t="s">
        <v>108</v>
      </c>
    </row>
    <row r="238" customFormat="false" ht="15" hidden="false" customHeight="true" outlineLevel="0" collapsed="false">
      <c r="A238" s="1" t="n">
        <v>0.352002</v>
      </c>
      <c r="B238" s="1" t="s">
        <v>123</v>
      </c>
      <c r="C238" s="1" t="s">
        <v>260</v>
      </c>
      <c r="D238" s="1" t="n">
        <v>21997156179</v>
      </c>
      <c r="E238" s="1" t="s">
        <v>1244</v>
      </c>
      <c r="F238" s="1" t="s">
        <v>104</v>
      </c>
      <c r="G238" s="1" t="s">
        <v>1291</v>
      </c>
      <c r="H238" s="1" t="s">
        <v>100</v>
      </c>
    </row>
    <row r="239" customFormat="false" ht="15" hidden="false" customHeight="true" outlineLevel="0" collapsed="false">
      <c r="A239" s="1" t="n">
        <v>0.193531</v>
      </c>
      <c r="B239" s="1" t="s">
        <v>115</v>
      </c>
      <c r="C239" s="1" t="s">
        <v>109</v>
      </c>
      <c r="D239" s="1" t="n">
        <v>17992091540</v>
      </c>
      <c r="E239" s="1" t="s">
        <v>1244</v>
      </c>
      <c r="F239" s="1" t="s">
        <v>115</v>
      </c>
      <c r="G239" s="1" t="s">
        <v>1291</v>
      </c>
      <c r="H239" s="1" t="s">
        <v>184</v>
      </c>
    </row>
    <row r="240" customFormat="false" ht="15" hidden="false" customHeight="true" outlineLevel="0" collapsed="false">
      <c r="A240" s="1" t="n">
        <v>0.351034</v>
      </c>
      <c r="B240" s="1" t="s">
        <v>123</v>
      </c>
      <c r="C240" s="1" t="s">
        <v>119</v>
      </c>
      <c r="D240" s="1" t="n">
        <v>12996532808</v>
      </c>
      <c r="E240" s="1" t="s">
        <v>1244</v>
      </c>
      <c r="F240" s="1" t="s">
        <v>104</v>
      </c>
      <c r="G240" s="1" t="s">
        <v>1291</v>
      </c>
      <c r="H240" s="1" t="s">
        <v>100</v>
      </c>
    </row>
    <row r="241" customFormat="false" ht="15" hidden="false" customHeight="true" outlineLevel="0" collapsed="false">
      <c r="A241" s="1" t="n">
        <v>0.344112</v>
      </c>
      <c r="B241" s="1" t="s">
        <v>123</v>
      </c>
      <c r="C241" s="1" t="s">
        <v>139</v>
      </c>
      <c r="D241" s="1" t="n">
        <v>49998205538</v>
      </c>
      <c r="E241" s="1" t="s">
        <v>1244</v>
      </c>
      <c r="F241" s="1" t="s">
        <v>104</v>
      </c>
      <c r="G241" s="1" t="s">
        <v>1291</v>
      </c>
      <c r="H241" s="1" t="s">
        <v>108</v>
      </c>
    </row>
    <row r="242" customFormat="false" ht="15" hidden="false" customHeight="true" outlineLevel="0" collapsed="false">
      <c r="A242" s="1" t="n">
        <v>0.2678</v>
      </c>
      <c r="B242" s="1" t="s">
        <v>1292</v>
      </c>
      <c r="C242" s="1" t="s">
        <v>119</v>
      </c>
      <c r="D242" s="1" t="n">
        <v>16982035010</v>
      </c>
      <c r="E242" s="1" t="s">
        <v>1244</v>
      </c>
      <c r="F242" s="1" t="s">
        <v>104</v>
      </c>
      <c r="G242" s="1" t="s">
        <v>1291</v>
      </c>
      <c r="H242" s="1" t="s">
        <v>100</v>
      </c>
    </row>
    <row r="243" customFormat="false" ht="15" hidden="false" customHeight="true" outlineLevel="0" collapsed="false">
      <c r="A243" s="1" t="n">
        <v>0.343264</v>
      </c>
      <c r="B243" s="1" t="s">
        <v>123</v>
      </c>
      <c r="C243" s="1" t="s">
        <v>260</v>
      </c>
      <c r="D243" s="1" t="n">
        <v>22999419668</v>
      </c>
      <c r="E243" s="1" t="s">
        <v>1244</v>
      </c>
      <c r="F243" s="1" t="s">
        <v>104</v>
      </c>
      <c r="G243" s="1" t="s">
        <v>1291</v>
      </c>
      <c r="H243" s="1" t="s">
        <v>100</v>
      </c>
    </row>
    <row r="244" customFormat="false" ht="15" hidden="false" customHeight="true" outlineLevel="0" collapsed="false">
      <c r="A244" s="1" t="n">
        <v>0.186969</v>
      </c>
      <c r="B244" s="1" t="s">
        <v>115</v>
      </c>
      <c r="C244" s="1" t="s">
        <v>109</v>
      </c>
      <c r="D244" s="1" t="n">
        <v>41988589412</v>
      </c>
      <c r="E244" s="1" t="s">
        <v>1244</v>
      </c>
      <c r="F244" s="1" t="s">
        <v>115</v>
      </c>
      <c r="G244" s="1" t="s">
        <v>1291</v>
      </c>
      <c r="H244" s="1" t="s">
        <v>184</v>
      </c>
    </row>
    <row r="245" customFormat="false" ht="15" hidden="false" customHeight="true" outlineLevel="0" collapsed="false">
      <c r="A245" s="1" t="n">
        <v>0.338741</v>
      </c>
      <c r="B245" s="1" t="s">
        <v>123</v>
      </c>
      <c r="C245" s="1" t="s">
        <v>101</v>
      </c>
      <c r="D245" s="1" t="n">
        <v>65999367619</v>
      </c>
      <c r="E245" s="1" t="s">
        <v>1244</v>
      </c>
      <c r="F245" s="1" t="s">
        <v>104</v>
      </c>
      <c r="G245" s="1" t="s">
        <v>1291</v>
      </c>
      <c r="H245" s="1" t="s">
        <v>100</v>
      </c>
    </row>
    <row r="246" customFormat="false" ht="15" hidden="false" customHeight="true" outlineLevel="0" collapsed="false">
      <c r="A246" s="1" t="n">
        <v>0.337957</v>
      </c>
      <c r="B246" s="1" t="s">
        <v>123</v>
      </c>
      <c r="C246" s="1" t="s">
        <v>250</v>
      </c>
      <c r="D246" s="1" t="n">
        <v>27992310947</v>
      </c>
      <c r="E246" s="1" t="s">
        <v>1244</v>
      </c>
      <c r="F246" s="1" t="s">
        <v>104</v>
      </c>
      <c r="G246" s="1" t="s">
        <v>1291</v>
      </c>
      <c r="H246" s="1" t="s">
        <v>100</v>
      </c>
    </row>
    <row r="247" customFormat="false" ht="15" hidden="false" customHeight="true" outlineLevel="0" collapsed="false">
      <c r="A247" s="1" t="n">
        <v>0.337083</v>
      </c>
      <c r="B247" s="1" t="s">
        <v>123</v>
      </c>
      <c r="C247" s="1" t="s">
        <v>139</v>
      </c>
      <c r="D247" s="1" t="n">
        <v>48991730745</v>
      </c>
      <c r="E247" s="1" t="s">
        <v>1244</v>
      </c>
      <c r="F247" s="1" t="s">
        <v>104</v>
      </c>
      <c r="G247" s="1" t="s">
        <v>1291</v>
      </c>
      <c r="H247" s="1" t="s">
        <v>108</v>
      </c>
    </row>
    <row r="248" customFormat="false" ht="15" hidden="false" customHeight="true" outlineLevel="0" collapsed="false">
      <c r="A248" s="1" t="n">
        <v>0.170212</v>
      </c>
      <c r="B248" s="1" t="s">
        <v>102</v>
      </c>
      <c r="C248" s="1" t="s">
        <v>139</v>
      </c>
      <c r="D248" s="1" t="n">
        <v>4834472489</v>
      </c>
      <c r="E248" s="1" t="s">
        <v>1244</v>
      </c>
      <c r="F248" s="1" t="s">
        <v>102</v>
      </c>
      <c r="G248" s="1" t="s">
        <v>1291</v>
      </c>
      <c r="H248" s="1" t="s">
        <v>175</v>
      </c>
    </row>
    <row r="249" customFormat="false" ht="15" hidden="false" customHeight="true" outlineLevel="0" collapsed="false">
      <c r="A249" s="1" t="n">
        <v>0.326989</v>
      </c>
      <c r="B249" s="1" t="s">
        <v>123</v>
      </c>
      <c r="C249" s="1" t="s">
        <v>109</v>
      </c>
      <c r="D249" s="1" t="n">
        <v>4191464469</v>
      </c>
      <c r="E249" s="1" t="s">
        <v>1244</v>
      </c>
      <c r="F249" s="1" t="s">
        <v>104</v>
      </c>
      <c r="G249" s="1" t="s">
        <v>1291</v>
      </c>
      <c r="H249" s="1" t="s">
        <v>108</v>
      </c>
    </row>
    <row r="250" customFormat="false" ht="15" hidden="false" customHeight="true" outlineLevel="0" collapsed="false">
      <c r="A250" s="1" t="n">
        <v>0.32614</v>
      </c>
      <c r="B250" s="1" t="s">
        <v>123</v>
      </c>
      <c r="C250" s="1" t="s">
        <v>139</v>
      </c>
      <c r="D250" s="1" t="n">
        <v>4733238507</v>
      </c>
      <c r="E250" s="1" t="s">
        <v>1244</v>
      </c>
      <c r="F250" s="1" t="s">
        <v>104</v>
      </c>
      <c r="G250" s="1" t="s">
        <v>1291</v>
      </c>
      <c r="H250" s="1" t="s">
        <v>108</v>
      </c>
    </row>
    <row r="251" customFormat="false" ht="15" hidden="false" customHeight="true" outlineLevel="0" collapsed="false">
      <c r="A251" s="1" t="n">
        <v>0.32495</v>
      </c>
      <c r="B251" s="1" t="s">
        <v>123</v>
      </c>
      <c r="C251" s="1" t="s">
        <v>146</v>
      </c>
      <c r="D251" s="1" t="n">
        <v>91985331298</v>
      </c>
      <c r="E251" s="1" t="s">
        <v>1244</v>
      </c>
      <c r="F251" s="1" t="s">
        <v>104</v>
      </c>
      <c r="G251" s="1" t="s">
        <v>1291</v>
      </c>
      <c r="H251" s="1" t="s">
        <v>100</v>
      </c>
    </row>
    <row r="252" customFormat="false" ht="15" hidden="false" customHeight="true" outlineLevel="0" collapsed="false">
      <c r="A252" s="1" t="n">
        <v>0.324001</v>
      </c>
      <c r="B252" s="1" t="s">
        <v>123</v>
      </c>
      <c r="C252" s="1" t="s">
        <v>109</v>
      </c>
      <c r="D252" s="1" t="n">
        <v>4391176642</v>
      </c>
      <c r="E252" s="1" t="s">
        <v>1244</v>
      </c>
      <c r="F252" s="1" t="s">
        <v>104</v>
      </c>
      <c r="G252" s="1" t="s">
        <v>1291</v>
      </c>
      <c r="H252" s="1" t="s">
        <v>108</v>
      </c>
    </row>
    <row r="253" customFormat="false" ht="15" hidden="false" customHeight="true" outlineLevel="0" collapsed="false">
      <c r="A253" s="1" t="n">
        <v>0.323711</v>
      </c>
      <c r="B253" s="1" t="s">
        <v>123</v>
      </c>
      <c r="C253" s="1" t="s">
        <v>119</v>
      </c>
      <c r="D253" s="1" t="n">
        <v>11982636370</v>
      </c>
      <c r="E253" s="1" t="s">
        <v>1244</v>
      </c>
      <c r="F253" s="1" t="s">
        <v>104</v>
      </c>
      <c r="G253" s="1" t="s">
        <v>1291</v>
      </c>
      <c r="H253" s="1" t="s">
        <v>100</v>
      </c>
    </row>
    <row r="254" customFormat="false" ht="15" hidden="false" customHeight="true" outlineLevel="0" collapsed="false">
      <c r="A254" s="1" t="n">
        <v>0.168765</v>
      </c>
      <c r="B254" s="1" t="s">
        <v>66</v>
      </c>
      <c r="C254" s="1" t="s">
        <v>139</v>
      </c>
      <c r="D254" s="1" t="n">
        <v>47992141901</v>
      </c>
      <c r="E254" s="1" t="s">
        <v>1244</v>
      </c>
      <c r="F254" s="1" t="s">
        <v>66</v>
      </c>
      <c r="G254" s="1" t="s">
        <v>1291</v>
      </c>
      <c r="H254" s="1" t="s">
        <v>175</v>
      </c>
    </row>
    <row r="255" customFormat="false" ht="15" hidden="false" customHeight="true" outlineLevel="0" collapsed="false">
      <c r="A255" s="1" t="n">
        <v>0.315975</v>
      </c>
      <c r="B255" s="1" t="s">
        <v>123</v>
      </c>
      <c r="C255" s="1" t="s">
        <v>109</v>
      </c>
      <c r="D255" s="1" t="n">
        <v>41998795596</v>
      </c>
      <c r="E255" s="1" t="s">
        <v>1244</v>
      </c>
      <c r="F255" s="1" t="s">
        <v>104</v>
      </c>
      <c r="G255" s="1" t="s">
        <v>1291</v>
      </c>
      <c r="H255" s="1" t="s">
        <v>108</v>
      </c>
    </row>
    <row r="256" customFormat="false" ht="15" hidden="false" customHeight="true" outlineLevel="0" collapsed="false">
      <c r="A256" s="1" t="n">
        <v>0.315576</v>
      </c>
      <c r="B256" s="1" t="s">
        <v>123</v>
      </c>
      <c r="C256" s="1" t="s">
        <v>139</v>
      </c>
      <c r="D256" s="1" t="n">
        <v>47925240074</v>
      </c>
      <c r="E256" s="1" t="s">
        <v>1244</v>
      </c>
      <c r="F256" s="1" t="s">
        <v>104</v>
      </c>
      <c r="G256" s="1" t="s">
        <v>1291</v>
      </c>
      <c r="H256" s="1" t="s">
        <v>108</v>
      </c>
    </row>
    <row r="257" customFormat="false" ht="15" hidden="false" customHeight="true" outlineLevel="0" collapsed="false">
      <c r="A257" s="1" t="n">
        <v>0.165379</v>
      </c>
      <c r="B257" s="1" t="s">
        <v>66</v>
      </c>
      <c r="C257" s="1" t="s">
        <v>139</v>
      </c>
      <c r="D257" s="1" t="n">
        <v>4733680373</v>
      </c>
      <c r="E257" s="1" t="s">
        <v>1244</v>
      </c>
      <c r="F257" s="1" t="s">
        <v>66</v>
      </c>
      <c r="G257" s="1" t="s">
        <v>1291</v>
      </c>
      <c r="H257" s="1" t="s">
        <v>175</v>
      </c>
    </row>
    <row r="258" customFormat="false" ht="15" hidden="false" customHeight="true" outlineLevel="0" collapsed="false">
      <c r="A258" s="1" t="n">
        <v>0.313874</v>
      </c>
      <c r="B258" s="1" t="s">
        <v>123</v>
      </c>
      <c r="C258" s="1" t="s">
        <v>119</v>
      </c>
      <c r="D258" s="1" t="n">
        <v>15998401484</v>
      </c>
      <c r="E258" s="1" t="s">
        <v>1244</v>
      </c>
      <c r="F258" s="1" t="s">
        <v>104</v>
      </c>
      <c r="G258" s="1" t="s">
        <v>1291</v>
      </c>
      <c r="H258" s="1" t="s">
        <v>100</v>
      </c>
    </row>
    <row r="259" customFormat="false" ht="15" hidden="false" customHeight="true" outlineLevel="0" collapsed="false">
      <c r="A259" s="1" t="n">
        <v>0.3136</v>
      </c>
      <c r="B259" s="1" t="s">
        <v>123</v>
      </c>
      <c r="C259" s="1" t="s">
        <v>101</v>
      </c>
      <c r="D259" s="1" t="n">
        <v>66999911659</v>
      </c>
      <c r="E259" s="1" t="s">
        <v>1244</v>
      </c>
      <c r="F259" s="1" t="s">
        <v>104</v>
      </c>
      <c r="G259" s="1" t="s">
        <v>1291</v>
      </c>
      <c r="H259" s="1" t="s">
        <v>100</v>
      </c>
    </row>
    <row r="260" customFormat="false" ht="15" hidden="false" customHeight="true" outlineLevel="0" collapsed="false">
      <c r="A260" s="1" t="n">
        <v>0.313391</v>
      </c>
      <c r="B260" s="1" t="s">
        <v>123</v>
      </c>
      <c r="C260" s="1" t="s">
        <v>139</v>
      </c>
      <c r="D260" s="1" t="n">
        <v>4792532971</v>
      </c>
      <c r="E260" s="1" t="s">
        <v>1244</v>
      </c>
      <c r="F260" s="1" t="s">
        <v>104</v>
      </c>
      <c r="G260" s="1" t="s">
        <v>1291</v>
      </c>
      <c r="H260" s="1" t="s">
        <v>108</v>
      </c>
    </row>
    <row r="261" customFormat="false" ht="15" hidden="false" customHeight="true" outlineLevel="0" collapsed="false">
      <c r="A261" s="1" t="n">
        <v>0.311256</v>
      </c>
      <c r="B261" s="1" t="s">
        <v>123</v>
      </c>
      <c r="C261" s="1" t="s">
        <v>119</v>
      </c>
      <c r="D261" s="1" t="n">
        <v>1391441021</v>
      </c>
      <c r="E261" s="1" t="s">
        <v>1244</v>
      </c>
      <c r="F261" s="1" t="s">
        <v>104</v>
      </c>
      <c r="G261" s="1" t="s">
        <v>1291</v>
      </c>
      <c r="H261" s="1" t="s">
        <v>100</v>
      </c>
    </row>
    <row r="262" customFormat="false" ht="15" hidden="false" customHeight="true" outlineLevel="0" collapsed="false">
      <c r="A262" s="1" t="n">
        <v>0.310711</v>
      </c>
      <c r="B262" s="1" t="s">
        <v>123</v>
      </c>
      <c r="C262" s="1" t="s">
        <v>109</v>
      </c>
      <c r="D262" s="1" t="n">
        <v>44997406173</v>
      </c>
      <c r="E262" s="1" t="s">
        <v>1244</v>
      </c>
      <c r="F262" s="1" t="s">
        <v>104</v>
      </c>
      <c r="G262" s="1" t="s">
        <v>1291</v>
      </c>
      <c r="H262" s="1" t="s">
        <v>108</v>
      </c>
    </row>
    <row r="263" customFormat="false" ht="15" hidden="false" customHeight="true" outlineLevel="0" collapsed="false">
      <c r="A263" s="1" t="n">
        <v>0.310658</v>
      </c>
      <c r="B263" s="1" t="s">
        <v>123</v>
      </c>
      <c r="C263" s="1" t="s">
        <v>119</v>
      </c>
      <c r="D263" s="1" t="n">
        <v>16997813352</v>
      </c>
      <c r="E263" s="1" t="s">
        <v>1244</v>
      </c>
      <c r="F263" s="1" t="s">
        <v>104</v>
      </c>
      <c r="G263" s="1" t="s">
        <v>1291</v>
      </c>
      <c r="H263" s="1" t="s">
        <v>100</v>
      </c>
    </row>
    <row r="264" customFormat="false" ht="15" hidden="false" customHeight="true" outlineLevel="0" collapsed="false">
      <c r="A264" s="1" t="n">
        <v>0.309856</v>
      </c>
      <c r="B264" s="1" t="s">
        <v>123</v>
      </c>
      <c r="C264" s="1" t="s">
        <v>119</v>
      </c>
      <c r="D264" s="1" t="n">
        <v>11953936791</v>
      </c>
      <c r="E264" s="1" t="s">
        <v>1244</v>
      </c>
      <c r="F264" s="1" t="s">
        <v>104</v>
      </c>
      <c r="G264" s="1" t="s">
        <v>1291</v>
      </c>
      <c r="H264" s="1" t="s">
        <v>100</v>
      </c>
    </row>
    <row r="265" customFormat="false" ht="15" hidden="false" customHeight="true" outlineLevel="0" collapsed="false">
      <c r="A265" s="1" t="n">
        <v>0.308784</v>
      </c>
      <c r="B265" s="1" t="s">
        <v>123</v>
      </c>
      <c r="C265" s="1" t="s">
        <v>101</v>
      </c>
      <c r="D265" s="1" t="n">
        <v>66996310634</v>
      </c>
      <c r="E265" s="1" t="s">
        <v>1244</v>
      </c>
      <c r="F265" s="1" t="s">
        <v>104</v>
      </c>
      <c r="G265" s="1" t="s">
        <v>1291</v>
      </c>
      <c r="H265" s="1" t="s">
        <v>100</v>
      </c>
    </row>
    <row r="266" customFormat="false" ht="15" hidden="false" customHeight="true" outlineLevel="0" collapsed="false">
      <c r="A266" s="1" t="n">
        <v>0.306177</v>
      </c>
      <c r="B266" s="1" t="s">
        <v>123</v>
      </c>
      <c r="C266" s="1" t="s">
        <v>139</v>
      </c>
      <c r="D266" s="1" t="n">
        <v>4899835143</v>
      </c>
      <c r="E266" s="1" t="s">
        <v>1244</v>
      </c>
      <c r="F266" s="1" t="s">
        <v>104</v>
      </c>
      <c r="G266" s="1" t="s">
        <v>1291</v>
      </c>
      <c r="H266" s="1" t="s">
        <v>108</v>
      </c>
    </row>
    <row r="267" customFormat="false" ht="15" hidden="false" customHeight="true" outlineLevel="0" collapsed="false">
      <c r="A267" s="1" t="n">
        <v>0.304624</v>
      </c>
      <c r="B267" s="1" t="s">
        <v>123</v>
      </c>
      <c r="C267" s="1" t="s">
        <v>196</v>
      </c>
      <c r="D267" s="1" t="n">
        <v>5184104577</v>
      </c>
      <c r="E267" s="1" t="s">
        <v>1244</v>
      </c>
      <c r="F267" s="1" t="s">
        <v>104</v>
      </c>
      <c r="G267" s="1" t="s">
        <v>1291</v>
      </c>
      <c r="H267" s="1" t="s">
        <v>108</v>
      </c>
    </row>
    <row r="268" customFormat="false" ht="15" hidden="false" customHeight="true" outlineLevel="0" collapsed="false">
      <c r="A268" s="1" t="n">
        <v>0.30352</v>
      </c>
      <c r="B268" s="1" t="s">
        <v>123</v>
      </c>
      <c r="C268" s="1" t="s">
        <v>109</v>
      </c>
      <c r="D268" s="1" t="n">
        <v>4199812308</v>
      </c>
      <c r="E268" s="1" t="s">
        <v>1244</v>
      </c>
      <c r="F268" s="1" t="s">
        <v>104</v>
      </c>
      <c r="G268" s="1" t="s">
        <v>1291</v>
      </c>
      <c r="H268" s="1" t="s">
        <v>108</v>
      </c>
    </row>
    <row r="269" customFormat="false" ht="15" hidden="false" customHeight="true" outlineLevel="0" collapsed="false">
      <c r="A269" s="1" t="n">
        <v>0.301184</v>
      </c>
      <c r="B269" s="1" t="s">
        <v>123</v>
      </c>
      <c r="C269" s="1" t="s">
        <v>109</v>
      </c>
      <c r="D269" s="1" t="n">
        <v>4399660161</v>
      </c>
      <c r="E269" s="1" t="s">
        <v>1244</v>
      </c>
      <c r="F269" s="1" t="s">
        <v>104</v>
      </c>
      <c r="G269" s="1" t="s">
        <v>1291</v>
      </c>
      <c r="H269" s="1" t="s">
        <v>108</v>
      </c>
    </row>
    <row r="270" customFormat="false" ht="15" hidden="false" customHeight="true" outlineLevel="0" collapsed="false">
      <c r="A270" s="1" t="n">
        <v>0.299181</v>
      </c>
      <c r="B270" s="1" t="s">
        <v>123</v>
      </c>
      <c r="C270" s="1" t="s">
        <v>139</v>
      </c>
      <c r="D270" s="1" t="n">
        <v>4733870191</v>
      </c>
      <c r="E270" s="1" t="s">
        <v>1244</v>
      </c>
      <c r="F270" s="1" t="s">
        <v>104</v>
      </c>
      <c r="G270" s="1" t="s">
        <v>1291</v>
      </c>
      <c r="H270" s="1" t="s">
        <v>108</v>
      </c>
    </row>
    <row r="271" customFormat="false" ht="15" hidden="false" customHeight="true" outlineLevel="0" collapsed="false">
      <c r="A271" s="1" t="n">
        <v>0.285837</v>
      </c>
      <c r="B271" s="1" t="s">
        <v>123</v>
      </c>
      <c r="C271" s="1" t="s">
        <v>119</v>
      </c>
      <c r="D271" s="1" t="n">
        <v>1697204740</v>
      </c>
      <c r="E271" s="1" t="s">
        <v>1244</v>
      </c>
      <c r="F271" s="1" t="s">
        <v>104</v>
      </c>
      <c r="G271" s="1" t="s">
        <v>1291</v>
      </c>
      <c r="H271" s="1" t="s">
        <v>100</v>
      </c>
    </row>
    <row r="272" customFormat="false" ht="15" hidden="false" customHeight="true" outlineLevel="0" collapsed="false">
      <c r="A272" s="1" t="n">
        <v>0.28343</v>
      </c>
      <c r="B272" s="1" t="s">
        <v>123</v>
      </c>
      <c r="C272" s="1" t="s">
        <v>109</v>
      </c>
      <c r="D272" s="1" t="n">
        <v>45984061896</v>
      </c>
      <c r="E272" s="1" t="s">
        <v>1244</v>
      </c>
      <c r="F272" s="1" t="s">
        <v>104</v>
      </c>
      <c r="G272" s="1" t="s">
        <v>1291</v>
      </c>
      <c r="H272" s="1" t="s">
        <v>108</v>
      </c>
    </row>
    <row r="273" customFormat="false" ht="15" hidden="false" customHeight="true" outlineLevel="0" collapsed="false">
      <c r="A273" s="1" t="n">
        <v>0.282441</v>
      </c>
      <c r="B273" s="1" t="s">
        <v>123</v>
      </c>
      <c r="C273" s="1" t="s">
        <v>119</v>
      </c>
      <c r="D273" s="1" t="n">
        <v>11921909046</v>
      </c>
      <c r="E273" s="1" t="s">
        <v>1244</v>
      </c>
      <c r="F273" s="1" t="s">
        <v>104</v>
      </c>
      <c r="G273" s="1" t="s">
        <v>1291</v>
      </c>
      <c r="H273" s="1" t="s">
        <v>100</v>
      </c>
    </row>
    <row r="274" customFormat="false" ht="15" hidden="false" customHeight="true" outlineLevel="0" collapsed="false">
      <c r="A274" s="1" t="n">
        <v>0.282295</v>
      </c>
      <c r="B274" s="1" t="s">
        <v>123</v>
      </c>
      <c r="C274" s="1" t="s">
        <v>119</v>
      </c>
      <c r="D274" s="1" t="n">
        <v>1699929667</v>
      </c>
      <c r="E274" s="1" t="s">
        <v>1244</v>
      </c>
      <c r="F274" s="1" t="s">
        <v>104</v>
      </c>
      <c r="G274" s="1" t="s">
        <v>1291</v>
      </c>
      <c r="H274" s="1" t="s">
        <v>100</v>
      </c>
    </row>
    <row r="275" customFormat="false" ht="15" hidden="false" customHeight="true" outlineLevel="0" collapsed="false">
      <c r="A275" s="1" t="n">
        <v>0.279583</v>
      </c>
      <c r="B275" s="1" t="s">
        <v>123</v>
      </c>
      <c r="C275" s="1" t="s">
        <v>127</v>
      </c>
      <c r="D275" s="1" t="n">
        <v>62981558479</v>
      </c>
      <c r="E275" s="1" t="s">
        <v>1244</v>
      </c>
      <c r="F275" s="1" t="s">
        <v>104</v>
      </c>
      <c r="G275" s="1" t="s">
        <v>1291</v>
      </c>
      <c r="H275" s="1" t="s">
        <v>108</v>
      </c>
    </row>
    <row r="276" customFormat="false" ht="15" hidden="false" customHeight="true" outlineLevel="0" collapsed="false">
      <c r="A276" s="1" t="n">
        <v>0.151765</v>
      </c>
      <c r="B276" s="1" t="s">
        <v>115</v>
      </c>
      <c r="C276" s="1" t="s">
        <v>243</v>
      </c>
      <c r="D276" s="1" t="n">
        <v>77997018683</v>
      </c>
      <c r="E276" s="1" t="s">
        <v>1244</v>
      </c>
      <c r="F276" s="1" t="s">
        <v>115</v>
      </c>
      <c r="G276" s="1" t="s">
        <v>1291</v>
      </c>
      <c r="H276" s="1" t="s">
        <v>184</v>
      </c>
    </row>
    <row r="277" customFormat="false" ht="15" hidden="false" customHeight="true" outlineLevel="0" collapsed="false">
      <c r="A277" s="1" t="n">
        <v>0.271757</v>
      </c>
      <c r="B277" s="1" t="s">
        <v>123</v>
      </c>
      <c r="C277" s="1" t="s">
        <v>692</v>
      </c>
      <c r="D277" s="1" t="n">
        <v>8835124018</v>
      </c>
      <c r="E277" s="1" t="s">
        <v>1244</v>
      </c>
      <c r="F277" s="1" t="s">
        <v>104</v>
      </c>
      <c r="G277" s="1" t="s">
        <v>1291</v>
      </c>
      <c r="H277" s="1" t="s">
        <v>100</v>
      </c>
    </row>
    <row r="278" customFormat="false" ht="15" hidden="false" customHeight="true" outlineLevel="0" collapsed="false">
      <c r="A278" s="1" t="n">
        <v>0.269468</v>
      </c>
      <c r="B278" s="1" t="s">
        <v>123</v>
      </c>
      <c r="C278" s="1" t="s">
        <v>109</v>
      </c>
      <c r="D278" s="1" t="n">
        <v>4136413003</v>
      </c>
      <c r="E278" s="1" t="s">
        <v>1244</v>
      </c>
      <c r="F278" s="1" t="s">
        <v>104</v>
      </c>
      <c r="G278" s="1" t="s">
        <v>1291</v>
      </c>
      <c r="H278" s="1" t="s">
        <v>108</v>
      </c>
    </row>
    <row r="279" customFormat="false" ht="15" hidden="false" customHeight="true" outlineLevel="0" collapsed="false">
      <c r="A279" s="1" t="n">
        <v>0.141247</v>
      </c>
      <c r="B279" s="1" t="s">
        <v>66</v>
      </c>
      <c r="C279" s="1" t="s">
        <v>114</v>
      </c>
      <c r="D279" s="1" t="n">
        <v>3193909540</v>
      </c>
      <c r="E279" s="1" t="s">
        <v>1244</v>
      </c>
      <c r="F279" s="1" t="s">
        <v>66</v>
      </c>
      <c r="G279" s="1" t="s">
        <v>1291</v>
      </c>
      <c r="H279" s="1" t="s">
        <v>175</v>
      </c>
    </row>
    <row r="280" customFormat="false" ht="15" hidden="false" customHeight="true" outlineLevel="0" collapsed="false">
      <c r="A280" s="1" t="n">
        <v>0.239592</v>
      </c>
      <c r="B280" s="1" t="s">
        <v>124</v>
      </c>
      <c r="C280" s="1" t="s">
        <v>127</v>
      </c>
      <c r="D280" s="1" t="n">
        <v>6292088174</v>
      </c>
      <c r="E280" s="1" t="s">
        <v>1244</v>
      </c>
      <c r="F280" s="1" t="s">
        <v>124</v>
      </c>
      <c r="G280" s="1" t="s">
        <v>1291</v>
      </c>
      <c r="H280" s="1" t="s">
        <v>100</v>
      </c>
    </row>
    <row r="281" customFormat="false" ht="15" hidden="false" customHeight="true" outlineLevel="0" collapsed="false">
      <c r="A281" s="1" t="n">
        <v>0.147059</v>
      </c>
      <c r="B281" s="1" t="s">
        <v>115</v>
      </c>
      <c r="C281" s="1" t="s">
        <v>109</v>
      </c>
      <c r="D281" s="1" t="n">
        <v>44999048827</v>
      </c>
      <c r="E281" s="1" t="s">
        <v>1244</v>
      </c>
      <c r="F281" s="1" t="s">
        <v>115</v>
      </c>
      <c r="G281" s="1" t="s">
        <v>1291</v>
      </c>
      <c r="H281" s="1" t="s">
        <v>184</v>
      </c>
    </row>
    <row r="282" customFormat="false" ht="15" hidden="false" customHeight="true" outlineLevel="0" collapsed="false">
      <c r="A282" s="1" t="n">
        <v>0.147059</v>
      </c>
      <c r="B282" s="1" t="s">
        <v>115</v>
      </c>
      <c r="C282" s="1" t="s">
        <v>146</v>
      </c>
      <c r="D282" s="1" t="n">
        <v>91991420078</v>
      </c>
      <c r="E282" s="1" t="s">
        <v>1244</v>
      </c>
      <c r="F282" s="1" t="s">
        <v>115</v>
      </c>
      <c r="G282" s="1" t="s">
        <v>1291</v>
      </c>
      <c r="H282" s="1" t="s">
        <v>184</v>
      </c>
    </row>
    <row r="283" customFormat="false" ht="15" hidden="false" customHeight="true" outlineLevel="0" collapsed="false">
      <c r="A283" s="1" t="n">
        <v>0.147059</v>
      </c>
      <c r="B283" s="1" t="s">
        <v>115</v>
      </c>
      <c r="C283" s="1" t="s">
        <v>119</v>
      </c>
      <c r="D283" s="1" t="n">
        <v>11972626546</v>
      </c>
      <c r="E283" s="1" t="s">
        <v>1244</v>
      </c>
      <c r="F283" s="1" t="s">
        <v>115</v>
      </c>
      <c r="G283" s="1" t="s">
        <v>1291</v>
      </c>
      <c r="H283" s="1" t="s">
        <v>184</v>
      </c>
    </row>
    <row r="284" customFormat="false" ht="15" hidden="false" customHeight="true" outlineLevel="0" collapsed="false">
      <c r="A284" s="1" t="n">
        <v>0.147059</v>
      </c>
      <c r="B284" s="1" t="s">
        <v>115</v>
      </c>
      <c r="C284" s="1" t="s">
        <v>513</v>
      </c>
      <c r="D284" s="1" t="n">
        <v>6999714711</v>
      </c>
      <c r="E284" s="1" t="s">
        <v>1244</v>
      </c>
      <c r="F284" s="1" t="s">
        <v>115</v>
      </c>
      <c r="G284" s="1" t="s">
        <v>1291</v>
      </c>
      <c r="H284" s="1" t="s">
        <v>184</v>
      </c>
    </row>
    <row r="285" customFormat="false" ht="15" hidden="false" customHeight="true" outlineLevel="0" collapsed="false">
      <c r="A285" s="1" t="n">
        <v>0.266879</v>
      </c>
      <c r="B285" s="1" t="s">
        <v>123</v>
      </c>
      <c r="C285" s="1" t="s">
        <v>109</v>
      </c>
      <c r="D285" s="1" t="n">
        <v>4133635316</v>
      </c>
      <c r="E285" s="1" t="s">
        <v>1244</v>
      </c>
      <c r="F285" s="1" t="s">
        <v>104</v>
      </c>
      <c r="G285" s="1" t="s">
        <v>1291</v>
      </c>
      <c r="H285" s="1" t="s">
        <v>108</v>
      </c>
    </row>
    <row r="286" customFormat="false" ht="15" hidden="false" customHeight="true" outlineLevel="0" collapsed="false">
      <c r="A286" s="1" t="n">
        <v>0.264653</v>
      </c>
      <c r="B286" s="1" t="s">
        <v>123</v>
      </c>
      <c r="C286" s="1" t="s">
        <v>114</v>
      </c>
      <c r="D286" s="1" t="n">
        <v>832222385</v>
      </c>
      <c r="E286" s="1" t="s">
        <v>1244</v>
      </c>
      <c r="F286" s="1" t="s">
        <v>104</v>
      </c>
      <c r="G286" s="1" t="s">
        <v>1291</v>
      </c>
      <c r="H286" s="1" t="s">
        <v>100</v>
      </c>
    </row>
    <row r="287" customFormat="false" ht="15" hidden="false" customHeight="true" outlineLevel="0" collapsed="false">
      <c r="A287" s="1" t="n">
        <v>0.263335</v>
      </c>
      <c r="B287" s="1" t="s">
        <v>123</v>
      </c>
      <c r="C287" s="1" t="s">
        <v>127</v>
      </c>
      <c r="D287" s="1" t="n">
        <v>62992088805</v>
      </c>
      <c r="E287" s="1" t="s">
        <v>1244</v>
      </c>
      <c r="F287" s="1" t="s">
        <v>104</v>
      </c>
      <c r="G287" s="1" t="s">
        <v>1291</v>
      </c>
      <c r="H287" s="1" t="s">
        <v>100</v>
      </c>
    </row>
    <row r="288" customFormat="false" ht="15" hidden="false" customHeight="true" outlineLevel="0" collapsed="false">
      <c r="A288" s="1" t="n">
        <v>0.261494</v>
      </c>
      <c r="B288" s="1" t="s">
        <v>123</v>
      </c>
      <c r="C288" s="1" t="s">
        <v>109</v>
      </c>
      <c r="D288" s="1" t="n">
        <v>4198143375</v>
      </c>
      <c r="E288" s="1" t="s">
        <v>1244</v>
      </c>
      <c r="F288" s="1" t="s">
        <v>104</v>
      </c>
      <c r="G288" s="1" t="s">
        <v>1291</v>
      </c>
      <c r="H288" s="1" t="s">
        <v>108</v>
      </c>
    </row>
    <row r="289" customFormat="false" ht="15" hidden="false" customHeight="true" outlineLevel="0" collapsed="false">
      <c r="A289" s="1" t="n">
        <v>0.221199</v>
      </c>
      <c r="B289" s="1" t="s">
        <v>110</v>
      </c>
      <c r="C289" s="1" t="s">
        <v>717</v>
      </c>
      <c r="D289" s="1" t="n">
        <v>95991125445</v>
      </c>
      <c r="E289" s="1" t="s">
        <v>1244</v>
      </c>
      <c r="F289" s="1" t="s">
        <v>110</v>
      </c>
      <c r="G289" s="1" t="s">
        <v>1291</v>
      </c>
      <c r="H289" s="1" t="s">
        <v>184</v>
      </c>
    </row>
    <row r="290" customFormat="false" ht="15" hidden="false" customHeight="true" outlineLevel="0" collapsed="false">
      <c r="A290" s="1" t="n">
        <v>0.258036</v>
      </c>
      <c r="B290" s="1" t="s">
        <v>123</v>
      </c>
      <c r="C290" s="1" t="s">
        <v>109</v>
      </c>
      <c r="D290" s="1" t="n">
        <v>4191900066</v>
      </c>
      <c r="E290" s="1" t="s">
        <v>1244</v>
      </c>
      <c r="F290" s="1" t="s">
        <v>104</v>
      </c>
      <c r="G290" s="1" t="s">
        <v>1291</v>
      </c>
      <c r="H290" s="1" t="s">
        <v>108</v>
      </c>
    </row>
    <row r="291" customFormat="false" ht="15" hidden="false" customHeight="true" outlineLevel="0" collapsed="false">
      <c r="A291" s="1" t="n">
        <v>0.254305</v>
      </c>
      <c r="B291" s="1" t="s">
        <v>123</v>
      </c>
      <c r="C291" s="1" t="s">
        <v>101</v>
      </c>
      <c r="D291" s="1" t="n">
        <v>65993472122</v>
      </c>
      <c r="E291" s="1" t="s">
        <v>1244</v>
      </c>
      <c r="F291" s="1" t="s">
        <v>104</v>
      </c>
      <c r="G291" s="1" t="s">
        <v>1291</v>
      </c>
      <c r="H291" s="1" t="s">
        <v>100</v>
      </c>
    </row>
    <row r="292" customFormat="false" ht="15" hidden="false" customHeight="true" outlineLevel="0" collapsed="false">
      <c r="A292" s="1" t="n">
        <v>0.253981</v>
      </c>
      <c r="B292" s="1" t="s">
        <v>123</v>
      </c>
      <c r="C292" s="1" t="s">
        <v>127</v>
      </c>
      <c r="D292" s="1" t="n">
        <v>64992938706</v>
      </c>
      <c r="E292" s="1" t="s">
        <v>1244</v>
      </c>
      <c r="F292" s="1" t="s">
        <v>104</v>
      </c>
      <c r="G292" s="1" t="s">
        <v>1291</v>
      </c>
      <c r="H292" s="1" t="s">
        <v>175</v>
      </c>
    </row>
    <row r="293" customFormat="false" ht="15" hidden="false" customHeight="true" outlineLevel="0" collapsed="false">
      <c r="A293" s="1" t="n">
        <v>0.252414</v>
      </c>
      <c r="B293" s="1" t="s">
        <v>123</v>
      </c>
      <c r="C293" s="1" t="s">
        <v>109</v>
      </c>
      <c r="D293" s="1" t="n">
        <v>4187560606</v>
      </c>
      <c r="E293" s="1" t="s">
        <v>1244</v>
      </c>
      <c r="F293" s="1" t="s">
        <v>104</v>
      </c>
      <c r="G293" s="1" t="s">
        <v>1291</v>
      </c>
      <c r="H293" s="1" t="s">
        <v>108</v>
      </c>
    </row>
    <row r="294" customFormat="false" ht="15" hidden="false" customHeight="true" outlineLevel="0" collapsed="false">
      <c r="A294" s="1" t="n">
        <v>0.25155</v>
      </c>
      <c r="B294" s="1" t="s">
        <v>123</v>
      </c>
      <c r="C294" s="1" t="s">
        <v>101</v>
      </c>
      <c r="D294" s="1" t="n">
        <v>66352912586</v>
      </c>
      <c r="E294" s="1" t="s">
        <v>1244</v>
      </c>
      <c r="F294" s="1" t="s">
        <v>104</v>
      </c>
      <c r="G294" s="1" t="s">
        <v>1291</v>
      </c>
      <c r="H294" s="1" t="s">
        <v>100</v>
      </c>
    </row>
    <row r="295" customFormat="false" ht="15" hidden="false" customHeight="true" outlineLevel="0" collapsed="false">
      <c r="A295" s="1" t="n">
        <v>0.249101</v>
      </c>
      <c r="B295" s="1" t="s">
        <v>123</v>
      </c>
      <c r="C295" s="1" t="s">
        <v>187</v>
      </c>
      <c r="D295" s="1" t="n">
        <v>87981797182</v>
      </c>
      <c r="E295" s="1" t="s">
        <v>1244</v>
      </c>
      <c r="F295" s="1" t="s">
        <v>104</v>
      </c>
      <c r="G295" s="1" t="s">
        <v>1291</v>
      </c>
      <c r="H295" s="1" t="s">
        <v>100</v>
      </c>
    </row>
    <row r="296" customFormat="false" ht="15" hidden="false" customHeight="true" outlineLevel="0" collapsed="false">
      <c r="A296" s="1" t="n">
        <v>0.24898</v>
      </c>
      <c r="B296" s="1" t="s">
        <v>123</v>
      </c>
      <c r="C296" s="1" t="s">
        <v>114</v>
      </c>
      <c r="D296" s="1" t="n">
        <v>31983740512</v>
      </c>
      <c r="E296" s="1" t="s">
        <v>1244</v>
      </c>
      <c r="F296" s="1" t="s">
        <v>104</v>
      </c>
      <c r="G296" s="1" t="s">
        <v>1291</v>
      </c>
      <c r="H296" s="1" t="s">
        <v>100</v>
      </c>
    </row>
    <row r="297" customFormat="false" ht="15" hidden="false" customHeight="true" outlineLevel="0" collapsed="false">
      <c r="A297" s="1" t="n">
        <v>0.248619</v>
      </c>
      <c r="B297" s="1" t="s">
        <v>123</v>
      </c>
      <c r="C297" s="1" t="s">
        <v>139</v>
      </c>
      <c r="D297" s="1" t="n">
        <v>1</v>
      </c>
      <c r="E297" s="1" t="s">
        <v>1244</v>
      </c>
      <c r="F297" s="1" t="s">
        <v>104</v>
      </c>
      <c r="G297" s="1" t="s">
        <v>1291</v>
      </c>
      <c r="H297" s="1" t="s">
        <v>108</v>
      </c>
    </row>
    <row r="298" customFormat="false" ht="15" hidden="false" customHeight="true" outlineLevel="0" collapsed="false">
      <c r="A298" s="1" t="n">
        <v>0.136765</v>
      </c>
      <c r="B298" s="1" t="s">
        <v>115</v>
      </c>
      <c r="C298" s="1" t="s">
        <v>260</v>
      </c>
      <c r="D298" s="1" t="n">
        <v>21997618088</v>
      </c>
      <c r="E298" s="1" t="s">
        <v>1244</v>
      </c>
      <c r="F298" s="1" t="s">
        <v>115</v>
      </c>
      <c r="G298" s="1" t="s">
        <v>1291</v>
      </c>
      <c r="H298" s="1" t="s">
        <v>184</v>
      </c>
    </row>
    <row r="299" customFormat="false" ht="15" hidden="false" customHeight="true" outlineLevel="0" collapsed="false">
      <c r="A299" s="1" t="n">
        <v>0.246756</v>
      </c>
      <c r="B299" s="1" t="s">
        <v>123</v>
      </c>
      <c r="C299" s="1" t="s">
        <v>139</v>
      </c>
      <c r="D299" s="1" t="n">
        <v>4891551897</v>
      </c>
      <c r="E299" s="1" t="s">
        <v>1244</v>
      </c>
      <c r="F299" s="1" t="s">
        <v>104</v>
      </c>
      <c r="G299" s="1" t="s">
        <v>1291</v>
      </c>
      <c r="H299" s="1" t="s">
        <v>108</v>
      </c>
    </row>
    <row r="300" customFormat="false" ht="15" hidden="false" customHeight="true" outlineLevel="0" collapsed="false">
      <c r="A300" s="1" t="n">
        <v>0.126546</v>
      </c>
      <c r="B300" s="1" t="s">
        <v>102</v>
      </c>
      <c r="C300" s="1" t="s">
        <v>109</v>
      </c>
      <c r="D300" s="1" t="n">
        <v>4187357088</v>
      </c>
      <c r="E300" s="1" t="s">
        <v>1244</v>
      </c>
      <c r="F300" s="1" t="s">
        <v>102</v>
      </c>
      <c r="G300" s="1" t="s">
        <v>1291</v>
      </c>
      <c r="H300" s="1" t="s">
        <v>175</v>
      </c>
    </row>
    <row r="301" customFormat="false" ht="15" hidden="false" customHeight="true" outlineLevel="0" collapsed="false">
      <c r="A301" s="1" t="n">
        <v>0.126529</v>
      </c>
      <c r="B301" s="1" t="s">
        <v>102</v>
      </c>
      <c r="C301" s="1" t="s">
        <v>139</v>
      </c>
      <c r="D301" s="1" t="n">
        <v>4899981463</v>
      </c>
      <c r="E301" s="1" t="s">
        <v>1244</v>
      </c>
      <c r="F301" s="1" t="s">
        <v>102</v>
      </c>
      <c r="G301" s="1" t="s">
        <v>1291</v>
      </c>
      <c r="H301" s="1" t="s">
        <v>175</v>
      </c>
    </row>
    <row r="302" customFormat="false" ht="15" hidden="false" customHeight="true" outlineLevel="0" collapsed="false">
      <c r="A302" s="1" t="n">
        <v>0.244153</v>
      </c>
      <c r="B302" s="1" t="s">
        <v>123</v>
      </c>
      <c r="C302" s="1" t="s">
        <v>119</v>
      </c>
      <c r="D302" s="1" t="n">
        <v>19981443676</v>
      </c>
      <c r="E302" s="1" t="s">
        <v>1244</v>
      </c>
      <c r="F302" s="1" t="s">
        <v>104</v>
      </c>
      <c r="G302" s="1" t="s">
        <v>1293</v>
      </c>
      <c r="H302" s="1" t="s">
        <v>100</v>
      </c>
    </row>
    <row r="303" customFormat="false" ht="15" hidden="false" customHeight="true" outlineLevel="0" collapsed="false">
      <c r="A303" s="1" t="n">
        <v>0.244145</v>
      </c>
      <c r="B303" s="1" t="s">
        <v>123</v>
      </c>
      <c r="C303" s="1" t="s">
        <v>109</v>
      </c>
      <c r="D303" s="1" t="n">
        <v>42988084636</v>
      </c>
      <c r="E303" s="1" t="s">
        <v>1244</v>
      </c>
      <c r="F303" s="1" t="s">
        <v>104</v>
      </c>
      <c r="G303" s="1" t="s">
        <v>1293</v>
      </c>
      <c r="H303" s="1" t="s">
        <v>108</v>
      </c>
    </row>
    <row r="304" customFormat="false" ht="15" hidden="false" customHeight="true" outlineLevel="0" collapsed="false">
      <c r="A304" s="1" t="n">
        <v>0.126987</v>
      </c>
      <c r="B304" s="1" t="s">
        <v>66</v>
      </c>
      <c r="C304" s="1" t="s">
        <v>139</v>
      </c>
      <c r="D304" s="1" t="n">
        <v>4832550664</v>
      </c>
      <c r="E304" s="1" t="s">
        <v>1244</v>
      </c>
      <c r="F304" s="1" t="s">
        <v>66</v>
      </c>
      <c r="G304" s="1" t="s">
        <v>1293</v>
      </c>
      <c r="H304" s="1" t="s">
        <v>175</v>
      </c>
    </row>
    <row r="305" customFormat="false" ht="15" hidden="false" customHeight="true" outlineLevel="0" collapsed="false">
      <c r="A305" s="1" t="n">
        <v>0.216046</v>
      </c>
      <c r="B305" s="1" t="s">
        <v>124</v>
      </c>
      <c r="C305" s="1" t="s">
        <v>127</v>
      </c>
      <c r="D305" s="1" t="n">
        <v>62992088174</v>
      </c>
      <c r="E305" s="1" t="s">
        <v>1244</v>
      </c>
      <c r="F305" s="1" t="s">
        <v>124</v>
      </c>
      <c r="G305" s="1" t="s">
        <v>1293</v>
      </c>
      <c r="H305" s="1" t="s">
        <v>184</v>
      </c>
    </row>
    <row r="306" customFormat="false" ht="15" hidden="false" customHeight="true" outlineLevel="0" collapsed="false">
      <c r="A306" s="1" t="n">
        <v>0.124759</v>
      </c>
      <c r="B306" s="1" t="s">
        <v>102</v>
      </c>
      <c r="C306" s="1" t="s">
        <v>139</v>
      </c>
      <c r="D306" s="1" t="n">
        <v>4899981463</v>
      </c>
      <c r="E306" s="1" t="s">
        <v>1244</v>
      </c>
      <c r="F306" s="1" t="s">
        <v>102</v>
      </c>
      <c r="G306" s="1" t="s">
        <v>1293</v>
      </c>
      <c r="H306" s="1" t="s">
        <v>175</v>
      </c>
    </row>
    <row r="307" customFormat="false" ht="15" hidden="false" customHeight="true" outlineLevel="0" collapsed="false">
      <c r="A307" s="1" t="n">
        <v>0.240997</v>
      </c>
      <c r="B307" s="1" t="s">
        <v>123</v>
      </c>
      <c r="C307" s="1" t="s">
        <v>196</v>
      </c>
      <c r="D307" s="1" t="n">
        <v>51984314995</v>
      </c>
      <c r="E307" s="1" t="s">
        <v>1244</v>
      </c>
      <c r="F307" s="1" t="s">
        <v>104</v>
      </c>
      <c r="G307" s="1" t="s">
        <v>1293</v>
      </c>
      <c r="H307" s="1" t="s">
        <v>108</v>
      </c>
    </row>
    <row r="308" customFormat="false" ht="15" hidden="false" customHeight="true" outlineLevel="0" collapsed="false">
      <c r="A308" s="1" t="n">
        <v>0.132352</v>
      </c>
      <c r="B308" s="1" t="s">
        <v>115</v>
      </c>
      <c r="C308" s="1" t="s">
        <v>347</v>
      </c>
      <c r="D308" s="1" t="n">
        <v>8632319828</v>
      </c>
      <c r="E308" s="1" t="s">
        <v>1244</v>
      </c>
      <c r="F308" s="1" t="s">
        <v>115</v>
      </c>
      <c r="G308" s="1" t="s">
        <v>1293</v>
      </c>
      <c r="H308" s="1" t="s">
        <v>184</v>
      </c>
    </row>
    <row r="309" customFormat="false" ht="15" hidden="false" customHeight="true" outlineLevel="0" collapsed="false">
      <c r="A309" s="1" t="n">
        <v>0.239984</v>
      </c>
      <c r="B309" s="1" t="s">
        <v>123</v>
      </c>
      <c r="C309" s="1" t="s">
        <v>196</v>
      </c>
      <c r="D309" s="1" t="n">
        <v>5199929880</v>
      </c>
      <c r="E309" s="1" t="s">
        <v>1244</v>
      </c>
      <c r="F309" s="1" t="s">
        <v>104</v>
      </c>
      <c r="G309" s="1" t="s">
        <v>1293</v>
      </c>
      <c r="H309" s="1" t="s">
        <v>108</v>
      </c>
    </row>
    <row r="310" customFormat="false" ht="15" hidden="false" customHeight="true" outlineLevel="0" collapsed="false">
      <c r="A310" s="1" t="n">
        <v>0.239346</v>
      </c>
      <c r="B310" s="1" t="s">
        <v>123</v>
      </c>
      <c r="C310" s="1" t="s">
        <v>196</v>
      </c>
      <c r="D310" s="1" t="n">
        <v>5121601195</v>
      </c>
      <c r="E310" s="1" t="s">
        <v>1244</v>
      </c>
      <c r="F310" s="1" t="s">
        <v>104</v>
      </c>
      <c r="G310" s="1" t="s">
        <v>1293</v>
      </c>
      <c r="H310" s="1" t="s">
        <v>108</v>
      </c>
    </row>
    <row r="311" customFormat="false" ht="15" hidden="false" customHeight="true" outlineLevel="0" collapsed="false">
      <c r="A311" s="1" t="n">
        <v>0.125193</v>
      </c>
      <c r="B311" s="1" t="s">
        <v>66</v>
      </c>
      <c r="C311" s="1" t="s">
        <v>196</v>
      </c>
      <c r="D311" s="1" t="n">
        <v>5381462009</v>
      </c>
      <c r="E311" s="1" t="s">
        <v>1244</v>
      </c>
      <c r="F311" s="1" t="s">
        <v>66</v>
      </c>
      <c r="G311" s="1" t="s">
        <v>1293</v>
      </c>
      <c r="H311" s="1" t="s">
        <v>175</v>
      </c>
    </row>
    <row r="312" customFormat="false" ht="15" hidden="false" customHeight="true" outlineLevel="0" collapsed="false">
      <c r="A312" s="1" t="n">
        <v>0.237934</v>
      </c>
      <c r="B312" s="1" t="s">
        <v>123</v>
      </c>
      <c r="C312" s="1" t="s">
        <v>119</v>
      </c>
      <c r="D312" s="1" t="n">
        <v>1897663455</v>
      </c>
      <c r="E312" s="1" t="s">
        <v>1244</v>
      </c>
      <c r="F312" s="1" t="s">
        <v>104</v>
      </c>
      <c r="G312" s="1" t="s">
        <v>1293</v>
      </c>
      <c r="H312" s="1" t="s">
        <v>100</v>
      </c>
    </row>
    <row r="313" customFormat="false" ht="15" hidden="false" customHeight="true" outlineLevel="0" collapsed="false">
      <c r="A313" s="1" t="n">
        <v>0.237836</v>
      </c>
      <c r="B313" s="1" t="s">
        <v>123</v>
      </c>
      <c r="C313" s="1" t="s">
        <v>196</v>
      </c>
      <c r="D313" s="1" t="n">
        <v>51982920694</v>
      </c>
      <c r="E313" s="1" t="s">
        <v>1244</v>
      </c>
      <c r="F313" s="1" t="s">
        <v>104</v>
      </c>
      <c r="G313" s="1" t="s">
        <v>1293</v>
      </c>
      <c r="H313" s="1" t="s">
        <v>108</v>
      </c>
    </row>
    <row r="314" customFormat="false" ht="15" hidden="false" customHeight="true" outlineLevel="0" collapsed="false">
      <c r="A314" s="1" t="n">
        <v>0.236593</v>
      </c>
      <c r="B314" s="1" t="s">
        <v>123</v>
      </c>
      <c r="C314" s="1" t="s">
        <v>114</v>
      </c>
      <c r="D314" s="1" t="n">
        <v>31994766841</v>
      </c>
      <c r="E314" s="1" t="s">
        <v>1244</v>
      </c>
      <c r="F314" s="1" t="s">
        <v>104</v>
      </c>
      <c r="G314" s="1" t="s">
        <v>1293</v>
      </c>
      <c r="H314" s="1" t="s">
        <v>100</v>
      </c>
    </row>
    <row r="315" customFormat="false" ht="15" hidden="false" customHeight="true" outlineLevel="0" collapsed="false">
      <c r="A315" s="1" t="n">
        <v>0.195552</v>
      </c>
      <c r="B315" s="1" t="s">
        <v>110</v>
      </c>
      <c r="C315" s="1" t="s">
        <v>101</v>
      </c>
      <c r="D315" s="1" t="n">
        <v>66999655258</v>
      </c>
      <c r="E315" s="1" t="s">
        <v>1244</v>
      </c>
      <c r="F315" s="1" t="s">
        <v>110</v>
      </c>
      <c r="G315" s="1" t="s">
        <v>1293</v>
      </c>
      <c r="H315" s="1" t="s">
        <v>108</v>
      </c>
    </row>
    <row r="316" customFormat="false" ht="15" hidden="false" customHeight="true" outlineLevel="0" collapsed="false">
      <c r="A316" s="1" t="n">
        <v>0.226672</v>
      </c>
      <c r="B316" s="1" t="s">
        <v>123</v>
      </c>
      <c r="C316" s="1" t="s">
        <v>139</v>
      </c>
      <c r="D316" s="1" t="n">
        <v>47988187995</v>
      </c>
      <c r="E316" s="1" t="s">
        <v>1244</v>
      </c>
      <c r="F316" s="1" t="s">
        <v>104</v>
      </c>
      <c r="G316" s="1" t="s">
        <v>1293</v>
      </c>
      <c r="H316" s="1" t="s">
        <v>175</v>
      </c>
    </row>
    <row r="317" customFormat="false" ht="15" hidden="false" customHeight="true" outlineLevel="0" collapsed="false">
      <c r="A317" s="1" t="n">
        <v>0.118719</v>
      </c>
      <c r="B317" s="1" t="s">
        <v>66</v>
      </c>
      <c r="C317" s="1" t="s">
        <v>139</v>
      </c>
      <c r="D317" s="1" t="n">
        <v>4896885390</v>
      </c>
      <c r="E317" s="1" t="s">
        <v>1244</v>
      </c>
      <c r="F317" s="1" t="s">
        <v>66</v>
      </c>
      <c r="G317" s="1" t="s">
        <v>1293</v>
      </c>
      <c r="H317" s="1" t="s">
        <v>175</v>
      </c>
    </row>
    <row r="318" customFormat="false" ht="15" hidden="false" customHeight="true" outlineLevel="0" collapsed="false">
      <c r="A318" s="1" t="n">
        <v>0.225848</v>
      </c>
      <c r="B318" s="1" t="s">
        <v>123</v>
      </c>
      <c r="C318" s="1" t="s">
        <v>114</v>
      </c>
      <c r="D318" s="1" t="n">
        <v>37988512269</v>
      </c>
      <c r="E318" s="1" t="s">
        <v>1244</v>
      </c>
      <c r="F318" s="1" t="s">
        <v>104</v>
      </c>
      <c r="G318" s="1" t="s">
        <v>1293</v>
      </c>
      <c r="H318" s="1" t="s">
        <v>100</v>
      </c>
    </row>
    <row r="319" customFormat="false" ht="15" hidden="false" customHeight="true" outlineLevel="0" collapsed="false">
      <c r="A319" s="1" t="n">
        <v>0.225234</v>
      </c>
      <c r="B319" s="1" t="s">
        <v>123</v>
      </c>
      <c r="C319" s="1" t="s">
        <v>109</v>
      </c>
      <c r="D319" s="1" t="n">
        <v>4136413030</v>
      </c>
      <c r="E319" s="1" t="s">
        <v>1244</v>
      </c>
      <c r="F319" s="1" t="s">
        <v>104</v>
      </c>
      <c r="G319" s="1" t="s">
        <v>1293</v>
      </c>
      <c r="H319" s="1" t="s">
        <v>108</v>
      </c>
    </row>
    <row r="320" customFormat="false" ht="15" hidden="false" customHeight="true" outlineLevel="0" collapsed="false">
      <c r="A320" s="1" t="n">
        <v>0.121994</v>
      </c>
      <c r="B320" s="1" t="s">
        <v>115</v>
      </c>
      <c r="C320" s="1" t="s">
        <v>139</v>
      </c>
      <c r="D320" s="1" t="n">
        <v>49999128183</v>
      </c>
      <c r="E320" s="1" t="s">
        <v>1244</v>
      </c>
      <c r="F320" s="1" t="s">
        <v>115</v>
      </c>
      <c r="G320" s="1" t="s">
        <v>1293</v>
      </c>
      <c r="H320" s="1" t="s">
        <v>108</v>
      </c>
    </row>
    <row r="321" customFormat="false" ht="15" hidden="false" customHeight="true" outlineLevel="0" collapsed="false">
      <c r="A321" s="1" t="n">
        <v>0.218472</v>
      </c>
      <c r="B321" s="1" t="s">
        <v>123</v>
      </c>
      <c r="C321" s="1" t="s">
        <v>114</v>
      </c>
      <c r="D321" s="1" t="n">
        <v>3332461105</v>
      </c>
      <c r="E321" s="1" t="s">
        <v>1244</v>
      </c>
      <c r="F321" s="1" t="s">
        <v>104</v>
      </c>
      <c r="G321" s="1" t="s">
        <v>1293</v>
      </c>
      <c r="H321" s="1" t="s">
        <v>100</v>
      </c>
    </row>
    <row r="322" customFormat="false" ht="15" hidden="false" customHeight="true" outlineLevel="0" collapsed="false">
      <c r="A322" s="1" t="n">
        <v>0.216663</v>
      </c>
      <c r="B322" s="1" t="s">
        <v>123</v>
      </c>
      <c r="C322" s="1" t="s">
        <v>139</v>
      </c>
      <c r="D322" s="1" t="n">
        <v>47984391430</v>
      </c>
      <c r="E322" s="1" t="s">
        <v>1244</v>
      </c>
      <c r="F322" s="1" t="s">
        <v>104</v>
      </c>
      <c r="G322" s="1" t="s">
        <v>1293</v>
      </c>
      <c r="H322" s="1" t="s">
        <v>108</v>
      </c>
    </row>
    <row r="323" customFormat="false" ht="15" hidden="false" customHeight="true" outlineLevel="0" collapsed="false">
      <c r="A323" s="1" t="n">
        <v>0.216346</v>
      </c>
      <c r="B323" s="1" t="s">
        <v>123</v>
      </c>
      <c r="C323" s="1" t="s">
        <v>260</v>
      </c>
      <c r="D323" s="1" t="n">
        <v>24988662213</v>
      </c>
      <c r="E323" s="1" t="s">
        <v>1244</v>
      </c>
      <c r="F323" s="1" t="s">
        <v>104</v>
      </c>
      <c r="G323" s="1" t="s">
        <v>1293</v>
      </c>
      <c r="H323" s="1" t="s">
        <v>100</v>
      </c>
    </row>
    <row r="324" customFormat="false" ht="15" hidden="false" customHeight="true" outlineLevel="0" collapsed="false">
      <c r="A324" s="1" t="n">
        <v>0.112694</v>
      </c>
      <c r="B324" s="1" t="s">
        <v>66</v>
      </c>
      <c r="C324" s="1" t="s">
        <v>139</v>
      </c>
      <c r="D324" s="1" t="n">
        <v>4899454161</v>
      </c>
      <c r="E324" s="1" t="s">
        <v>1244</v>
      </c>
      <c r="F324" s="1" t="s">
        <v>66</v>
      </c>
      <c r="G324" s="1" t="s">
        <v>1293</v>
      </c>
      <c r="H324" s="1" t="s">
        <v>175</v>
      </c>
    </row>
    <row r="325" customFormat="false" ht="15" hidden="false" customHeight="true" outlineLevel="0" collapsed="false">
      <c r="A325" s="1" t="n">
        <v>0.117941</v>
      </c>
      <c r="B325" s="1" t="s">
        <v>115</v>
      </c>
      <c r="C325" s="1" t="s">
        <v>139</v>
      </c>
      <c r="D325" s="1" t="n">
        <v>48996572969</v>
      </c>
      <c r="E325" s="1" t="s">
        <v>1244</v>
      </c>
      <c r="F325" s="1" t="s">
        <v>115</v>
      </c>
      <c r="G325" s="1" t="s">
        <v>1293</v>
      </c>
      <c r="H325" s="1" t="s">
        <v>184</v>
      </c>
    </row>
    <row r="326" customFormat="false" ht="15" hidden="false" customHeight="true" outlineLevel="0" collapsed="false">
      <c r="A326" s="1" t="n">
        <v>0.117647</v>
      </c>
      <c r="B326" s="1" t="s">
        <v>115</v>
      </c>
      <c r="C326" s="1" t="s">
        <v>119</v>
      </c>
      <c r="D326" s="1" t="n">
        <v>15997814718</v>
      </c>
      <c r="E326" s="1" t="s">
        <v>1244</v>
      </c>
      <c r="F326" s="1" t="s">
        <v>115</v>
      </c>
      <c r="G326" s="1" t="s">
        <v>1293</v>
      </c>
      <c r="H326" s="1" t="s">
        <v>184</v>
      </c>
    </row>
    <row r="327" customFormat="false" ht="15" hidden="false" customHeight="true" outlineLevel="0" collapsed="false">
      <c r="A327" s="1" t="n">
        <v>0.110345</v>
      </c>
      <c r="B327" s="1" t="s">
        <v>102</v>
      </c>
      <c r="C327" s="1" t="s">
        <v>196</v>
      </c>
      <c r="D327" s="1" t="n">
        <v>48996729514</v>
      </c>
      <c r="E327" s="1" t="s">
        <v>1244</v>
      </c>
      <c r="F327" s="1" t="s">
        <v>102</v>
      </c>
      <c r="G327" s="1" t="s">
        <v>1293</v>
      </c>
      <c r="H327" s="1" t="s">
        <v>175</v>
      </c>
    </row>
    <row r="328" customFormat="false" ht="15" hidden="false" customHeight="true" outlineLevel="0" collapsed="false">
      <c r="A328" s="1" t="n">
        <v>0.213694</v>
      </c>
      <c r="B328" s="1" t="s">
        <v>123</v>
      </c>
      <c r="C328" s="1" t="s">
        <v>139</v>
      </c>
      <c r="D328" s="1" t="n">
        <v>4884867502</v>
      </c>
      <c r="E328" s="1" t="s">
        <v>1244</v>
      </c>
      <c r="F328" s="1" t="s">
        <v>104</v>
      </c>
      <c r="G328" s="1" t="s">
        <v>1293</v>
      </c>
      <c r="H328" s="1" t="s">
        <v>175</v>
      </c>
    </row>
    <row r="329" customFormat="false" ht="15" hidden="false" customHeight="true" outlineLevel="0" collapsed="false">
      <c r="A329" s="1" t="n">
        <v>0.102531</v>
      </c>
      <c r="B329" s="1" t="s">
        <v>120</v>
      </c>
      <c r="C329" s="1" t="s">
        <v>260</v>
      </c>
      <c r="D329" s="1" t="n">
        <v>21999780717</v>
      </c>
      <c r="E329" s="1" t="s">
        <v>1244</v>
      </c>
      <c r="F329" s="1" t="s">
        <v>120</v>
      </c>
      <c r="G329" s="1" t="s">
        <v>1293</v>
      </c>
      <c r="H329" s="1" t="s">
        <v>100</v>
      </c>
    </row>
    <row r="330" customFormat="false" ht="15" hidden="false" customHeight="true" outlineLevel="0" collapsed="false">
      <c r="A330" s="1" t="n">
        <v>0.213309</v>
      </c>
      <c r="B330" s="1" t="s">
        <v>123</v>
      </c>
      <c r="C330" s="1" t="s">
        <v>114</v>
      </c>
      <c r="D330" s="1" t="n">
        <v>3433176069</v>
      </c>
      <c r="E330" s="1" t="s">
        <v>1244</v>
      </c>
      <c r="F330" s="1" t="s">
        <v>104</v>
      </c>
      <c r="G330" s="1" t="s">
        <v>1293</v>
      </c>
      <c r="H330" s="1" t="s">
        <v>100</v>
      </c>
    </row>
    <row r="331" customFormat="false" ht="15" hidden="false" customHeight="true" outlineLevel="0" collapsed="false">
      <c r="A331" s="1" t="n">
        <v>0.111745</v>
      </c>
      <c r="B331" s="1" t="s">
        <v>66</v>
      </c>
      <c r="C331" s="1" t="s">
        <v>139</v>
      </c>
      <c r="D331" s="1" t="n">
        <v>47984339656</v>
      </c>
      <c r="E331" s="1" t="s">
        <v>1244</v>
      </c>
      <c r="F331" s="1" t="s">
        <v>66</v>
      </c>
      <c r="G331" s="1" t="s">
        <v>1293</v>
      </c>
      <c r="H331" s="1" t="s">
        <v>175</v>
      </c>
    </row>
    <row r="332" customFormat="false" ht="15" hidden="false" customHeight="true" outlineLevel="0" collapsed="false">
      <c r="A332" s="1" t="n">
        <v>0.111745</v>
      </c>
      <c r="B332" s="1" t="s">
        <v>66</v>
      </c>
      <c r="C332" s="1" t="s">
        <v>139</v>
      </c>
      <c r="D332" s="1" t="n">
        <v>4899634376</v>
      </c>
      <c r="E332" s="1" t="s">
        <v>1244</v>
      </c>
      <c r="F332" s="1" t="s">
        <v>66</v>
      </c>
      <c r="G332" s="1" t="s">
        <v>1293</v>
      </c>
      <c r="H332" s="1" t="s">
        <v>175</v>
      </c>
    </row>
    <row r="333" customFormat="false" ht="15" hidden="false" customHeight="true" outlineLevel="0" collapsed="false">
      <c r="A333" s="1" t="n">
        <v>0.21306</v>
      </c>
      <c r="B333" s="1" t="s">
        <v>123</v>
      </c>
      <c r="C333" s="1" t="s">
        <v>139</v>
      </c>
      <c r="D333" s="1" t="n">
        <v>48991061749</v>
      </c>
      <c r="E333" s="1" t="s">
        <v>1244</v>
      </c>
      <c r="F333" s="1" t="s">
        <v>104</v>
      </c>
      <c r="G333" s="1" t="s">
        <v>1293</v>
      </c>
      <c r="H333" s="1" t="s">
        <v>108</v>
      </c>
    </row>
    <row r="334" customFormat="false" ht="15" hidden="false" customHeight="true" outlineLevel="0" collapsed="false">
      <c r="A334" s="1" t="n">
        <v>0.21306</v>
      </c>
      <c r="B334" s="1" t="s">
        <v>123</v>
      </c>
      <c r="C334" s="1" t="s">
        <v>139</v>
      </c>
      <c r="D334" s="1" t="n">
        <v>47988853938</v>
      </c>
      <c r="E334" s="1" t="s">
        <v>1244</v>
      </c>
      <c r="F334" s="1" t="s">
        <v>104</v>
      </c>
      <c r="G334" s="1" t="s">
        <v>1293</v>
      </c>
      <c r="H334" s="1" t="s">
        <v>108</v>
      </c>
    </row>
    <row r="335" customFormat="false" ht="15" hidden="false" customHeight="true" outlineLevel="0" collapsed="false">
      <c r="A335" s="1" t="n">
        <v>0.111745</v>
      </c>
      <c r="B335" s="1" t="s">
        <v>66</v>
      </c>
      <c r="C335" s="1" t="s">
        <v>139</v>
      </c>
      <c r="D335" s="1" t="n">
        <v>47988202632</v>
      </c>
      <c r="E335" s="1" t="s">
        <v>1244</v>
      </c>
      <c r="F335" s="1" t="s">
        <v>66</v>
      </c>
      <c r="G335" s="1" t="s">
        <v>1293</v>
      </c>
      <c r="H335" s="1" t="s">
        <v>175</v>
      </c>
    </row>
    <row r="336" customFormat="false" ht="15" hidden="false" customHeight="true" outlineLevel="0" collapsed="false">
      <c r="A336" s="1" t="n">
        <v>0.111745</v>
      </c>
      <c r="B336" s="1" t="s">
        <v>66</v>
      </c>
      <c r="C336" s="1" t="s">
        <v>139</v>
      </c>
      <c r="D336" s="1" t="n">
        <v>47991693934</v>
      </c>
      <c r="E336" s="1" t="s">
        <v>1244</v>
      </c>
      <c r="F336" s="1" t="s">
        <v>66</v>
      </c>
      <c r="G336" s="1" t="s">
        <v>1293</v>
      </c>
      <c r="H336" s="1" t="s">
        <v>175</v>
      </c>
    </row>
    <row r="337" customFormat="false" ht="15" hidden="false" customHeight="true" outlineLevel="0" collapsed="false">
      <c r="A337" s="1" t="n">
        <v>0.212038</v>
      </c>
      <c r="B337" s="1" t="s">
        <v>123</v>
      </c>
      <c r="C337" s="1" t="s">
        <v>196</v>
      </c>
      <c r="D337" s="1" t="n">
        <v>55374460775</v>
      </c>
      <c r="E337" s="1" t="s">
        <v>1244</v>
      </c>
      <c r="F337" s="1" t="s">
        <v>104</v>
      </c>
      <c r="G337" s="1" t="s">
        <v>1293</v>
      </c>
      <c r="H337" s="1" t="s">
        <v>108</v>
      </c>
    </row>
    <row r="338" customFormat="false" ht="15" hidden="false" customHeight="true" outlineLevel="0" collapsed="false">
      <c r="A338" s="1" t="n">
        <v>0.211782</v>
      </c>
      <c r="B338" s="1" t="s">
        <v>123</v>
      </c>
      <c r="C338" s="1" t="s">
        <v>114</v>
      </c>
      <c r="D338" s="1" t="n">
        <v>31985556502</v>
      </c>
      <c r="E338" s="1" t="s">
        <v>1244</v>
      </c>
      <c r="F338" s="1" t="s">
        <v>104</v>
      </c>
      <c r="G338" s="1" t="s">
        <v>1293</v>
      </c>
      <c r="H338" s="1" t="s">
        <v>100</v>
      </c>
    </row>
    <row r="339" customFormat="false" ht="15" hidden="false" customHeight="true" outlineLevel="0" collapsed="false">
      <c r="A339" s="1" t="n">
        <v>0.211217</v>
      </c>
      <c r="B339" s="1" t="s">
        <v>123</v>
      </c>
      <c r="C339" s="1" t="s">
        <v>260</v>
      </c>
      <c r="D339" s="1" t="n">
        <v>21982570331</v>
      </c>
      <c r="E339" s="1" t="s">
        <v>1244</v>
      </c>
      <c r="F339" s="1" t="s">
        <v>104</v>
      </c>
      <c r="G339" s="1" t="s">
        <v>1293</v>
      </c>
      <c r="H339" s="1" t="s">
        <v>100</v>
      </c>
    </row>
    <row r="340" customFormat="false" ht="15" hidden="false" customHeight="true" outlineLevel="0" collapsed="false">
      <c r="A340" s="1" t="n">
        <v>0.180343</v>
      </c>
      <c r="B340" s="1" t="s">
        <v>110</v>
      </c>
      <c r="C340" s="1" t="s">
        <v>139</v>
      </c>
      <c r="D340" s="1" t="n">
        <v>51985386315</v>
      </c>
      <c r="E340" s="1" t="s">
        <v>1244</v>
      </c>
      <c r="F340" s="1" t="s">
        <v>110</v>
      </c>
      <c r="G340" s="1" t="s">
        <v>1293</v>
      </c>
      <c r="H340" s="1" t="s">
        <v>184</v>
      </c>
    </row>
    <row r="341" customFormat="false" ht="15" hidden="false" customHeight="true" outlineLevel="0" collapsed="false">
      <c r="A341" s="1" t="n">
        <v>0.210825</v>
      </c>
      <c r="B341" s="1" t="s">
        <v>123</v>
      </c>
      <c r="C341" s="1" t="s">
        <v>196</v>
      </c>
      <c r="D341" s="1" t="n">
        <v>54984141222</v>
      </c>
      <c r="E341" s="1" t="s">
        <v>1244</v>
      </c>
      <c r="F341" s="1" t="s">
        <v>104</v>
      </c>
      <c r="G341" s="1" t="s">
        <v>1293</v>
      </c>
      <c r="H341" s="1" t="s">
        <v>108</v>
      </c>
    </row>
    <row r="342" customFormat="false" ht="15" hidden="false" customHeight="true" outlineLevel="0" collapsed="false">
      <c r="A342" s="1" t="n">
        <v>0.210624</v>
      </c>
      <c r="B342" s="1" t="s">
        <v>123</v>
      </c>
      <c r="C342" s="1" t="s">
        <v>119</v>
      </c>
      <c r="D342" s="1" t="n">
        <v>1199513202</v>
      </c>
      <c r="E342" s="1" t="s">
        <v>1244</v>
      </c>
      <c r="F342" s="1" t="s">
        <v>104</v>
      </c>
      <c r="G342" s="1" t="s">
        <v>1293</v>
      </c>
      <c r="H342" s="1" t="s">
        <v>100</v>
      </c>
    </row>
    <row r="343" customFormat="false" ht="15" hidden="false" customHeight="true" outlineLevel="0" collapsed="false">
      <c r="A343" s="1" t="n">
        <v>0.209848</v>
      </c>
      <c r="B343" s="1" t="s">
        <v>123</v>
      </c>
      <c r="C343" s="1" t="s">
        <v>119</v>
      </c>
      <c r="D343" s="1" t="n">
        <v>15981727787</v>
      </c>
      <c r="E343" s="1" t="s">
        <v>1244</v>
      </c>
      <c r="F343" s="1" t="s">
        <v>104</v>
      </c>
      <c r="G343" s="1" t="s">
        <v>1293</v>
      </c>
      <c r="H343" s="1" t="s">
        <v>100</v>
      </c>
    </row>
    <row r="344" customFormat="false" ht="15" hidden="false" customHeight="true" outlineLevel="0" collapsed="false">
      <c r="A344" s="1" t="n">
        <v>0.179231</v>
      </c>
      <c r="B344" s="1" t="s">
        <v>110</v>
      </c>
      <c r="C344" s="1" t="s">
        <v>109</v>
      </c>
      <c r="D344" s="1" t="n">
        <v>4399325611</v>
      </c>
      <c r="E344" s="1" t="s">
        <v>1244</v>
      </c>
      <c r="F344" s="1" t="s">
        <v>110</v>
      </c>
      <c r="G344" s="1" t="s">
        <v>1293</v>
      </c>
      <c r="H344" s="1" t="s">
        <v>184</v>
      </c>
    </row>
    <row r="345" customFormat="false" ht="15" hidden="false" customHeight="true" outlineLevel="0" collapsed="false">
      <c r="A345" s="1" t="n">
        <v>0.209369</v>
      </c>
      <c r="B345" s="1" t="s">
        <v>123</v>
      </c>
      <c r="C345" s="1" t="s">
        <v>187</v>
      </c>
      <c r="D345" s="1" t="n">
        <v>8192761730</v>
      </c>
      <c r="E345" s="1" t="s">
        <v>1244</v>
      </c>
      <c r="F345" s="1" t="s">
        <v>104</v>
      </c>
      <c r="G345" s="1" t="s">
        <v>1293</v>
      </c>
      <c r="H345" s="1" t="s">
        <v>100</v>
      </c>
    </row>
    <row r="346" customFormat="false" ht="15" hidden="false" customHeight="true" outlineLevel="0" collapsed="false">
      <c r="A346" s="1" t="n">
        <v>0.209171</v>
      </c>
      <c r="B346" s="1" t="s">
        <v>123</v>
      </c>
      <c r="C346" s="1" t="s">
        <v>347</v>
      </c>
      <c r="D346" s="1" t="n">
        <v>8688936533</v>
      </c>
      <c r="E346" s="1" t="s">
        <v>1244</v>
      </c>
      <c r="F346" s="1" t="s">
        <v>104</v>
      </c>
      <c r="G346" s="1" t="s">
        <v>1293</v>
      </c>
      <c r="H346" s="1" t="s">
        <v>108</v>
      </c>
    </row>
    <row r="347" customFormat="false" ht="15" hidden="false" customHeight="true" outlineLevel="0" collapsed="false">
      <c r="A347" s="1" t="n">
        <v>0.114622</v>
      </c>
      <c r="B347" s="1" t="s">
        <v>115</v>
      </c>
      <c r="C347" s="1" t="s">
        <v>101</v>
      </c>
      <c r="D347" s="1" t="n">
        <v>6696180366</v>
      </c>
      <c r="E347" s="1" t="s">
        <v>1244</v>
      </c>
      <c r="F347" s="1" t="s">
        <v>115</v>
      </c>
      <c r="G347" s="1" t="s">
        <v>1293</v>
      </c>
      <c r="H347" s="1" t="s">
        <v>184</v>
      </c>
    </row>
    <row r="348" customFormat="false" ht="15" hidden="false" customHeight="true" outlineLevel="0" collapsed="false">
      <c r="A348" s="1" t="n">
        <v>0.207871</v>
      </c>
      <c r="B348" s="1" t="s">
        <v>123</v>
      </c>
      <c r="C348" s="1" t="s">
        <v>311</v>
      </c>
      <c r="D348" s="1" t="n">
        <v>6182406973</v>
      </c>
      <c r="E348" s="1" t="s">
        <v>1244</v>
      </c>
      <c r="F348" s="1" t="s">
        <v>104</v>
      </c>
      <c r="G348" s="1" t="s">
        <v>1293</v>
      </c>
      <c r="H348" s="1" t="s">
        <v>100</v>
      </c>
    </row>
    <row r="349" customFormat="false" ht="15" hidden="false" customHeight="true" outlineLevel="0" collapsed="false">
      <c r="A349" s="1" t="n">
        <v>0.206904</v>
      </c>
      <c r="B349" s="1" t="s">
        <v>123</v>
      </c>
      <c r="C349" s="1" t="s">
        <v>187</v>
      </c>
      <c r="D349" s="1" t="n">
        <v>81987341303</v>
      </c>
      <c r="E349" s="1" t="s">
        <v>1244</v>
      </c>
      <c r="F349" s="1" t="s">
        <v>104</v>
      </c>
      <c r="G349" s="1" t="s">
        <v>1293</v>
      </c>
      <c r="H349" s="1" t="s">
        <v>100</v>
      </c>
    </row>
    <row r="350" customFormat="false" ht="15" hidden="false" customHeight="true" outlineLevel="0" collapsed="false">
      <c r="A350" s="1" t="n">
        <v>0.205946</v>
      </c>
      <c r="B350" s="1" t="s">
        <v>123</v>
      </c>
      <c r="C350" s="1" t="s">
        <v>196</v>
      </c>
      <c r="D350" s="1" t="n">
        <v>54999740606</v>
      </c>
      <c r="E350" s="1" t="s">
        <v>1244</v>
      </c>
      <c r="F350" s="1" t="s">
        <v>104</v>
      </c>
      <c r="G350" s="1" t="s">
        <v>1293</v>
      </c>
      <c r="H350" s="1" t="s">
        <v>108</v>
      </c>
    </row>
    <row r="351" customFormat="false" ht="15" hidden="false" customHeight="true" outlineLevel="0" collapsed="false">
      <c r="A351" s="1" t="n">
        <v>0.203097</v>
      </c>
      <c r="B351" s="1" t="s">
        <v>123</v>
      </c>
      <c r="C351" s="1" t="s">
        <v>109</v>
      </c>
      <c r="D351" s="1" t="n">
        <v>4191464469</v>
      </c>
      <c r="E351" s="1" t="s">
        <v>1244</v>
      </c>
      <c r="F351" s="1" t="s">
        <v>104</v>
      </c>
      <c r="G351" s="1" t="s">
        <v>1293</v>
      </c>
      <c r="H351" s="1" t="s">
        <v>108</v>
      </c>
    </row>
    <row r="352" customFormat="false" ht="15" hidden="false" customHeight="true" outlineLevel="0" collapsed="false">
      <c r="A352" s="1" t="n">
        <v>0.104114</v>
      </c>
      <c r="B352" s="1" t="s">
        <v>102</v>
      </c>
      <c r="C352" s="1" t="s">
        <v>139</v>
      </c>
      <c r="D352" s="1" t="n">
        <v>4899981463</v>
      </c>
      <c r="E352" s="1" t="s">
        <v>1244</v>
      </c>
      <c r="F352" s="1" t="s">
        <v>102</v>
      </c>
      <c r="G352" s="1" t="s">
        <v>1293</v>
      </c>
      <c r="H352" s="1" t="s">
        <v>175</v>
      </c>
    </row>
    <row r="353" customFormat="false" ht="15" hidden="false" customHeight="true" outlineLevel="0" collapsed="false">
      <c r="A353" s="1" t="n">
        <v>0.200292</v>
      </c>
      <c r="B353" s="1" t="s">
        <v>123</v>
      </c>
      <c r="C353" s="1" t="s">
        <v>114</v>
      </c>
      <c r="D353" s="1" t="n">
        <v>32999917795</v>
      </c>
      <c r="E353" s="1" t="s">
        <v>1244</v>
      </c>
      <c r="F353" s="1" t="s">
        <v>104</v>
      </c>
      <c r="G353" s="1" t="s">
        <v>1293</v>
      </c>
      <c r="H353" s="1" t="s">
        <v>100</v>
      </c>
    </row>
    <row r="354" customFormat="false" ht="15" hidden="false" customHeight="true" outlineLevel="0" collapsed="false">
      <c r="A354" s="1" t="n">
        <v>0.197168</v>
      </c>
      <c r="B354" s="1" t="s">
        <v>123</v>
      </c>
      <c r="C354" s="1" t="s">
        <v>139</v>
      </c>
      <c r="D354" s="1" t="n">
        <v>48998189444</v>
      </c>
      <c r="E354" s="1" t="s">
        <v>1244</v>
      </c>
      <c r="F354" s="1" t="s">
        <v>104</v>
      </c>
      <c r="G354" s="1" t="s">
        <v>1293</v>
      </c>
      <c r="H354" s="1" t="s">
        <v>108</v>
      </c>
    </row>
    <row r="355" customFormat="false" ht="15" hidden="false" customHeight="true" outlineLevel="0" collapsed="false">
      <c r="A355" s="1" t="n">
        <v>0.196064</v>
      </c>
      <c r="B355" s="1" t="s">
        <v>123</v>
      </c>
      <c r="C355" s="1" t="s">
        <v>119</v>
      </c>
      <c r="D355" s="1" t="n">
        <v>31975430905</v>
      </c>
      <c r="E355" s="1" t="s">
        <v>1244</v>
      </c>
      <c r="F355" s="1" t="s">
        <v>104</v>
      </c>
      <c r="G355" s="1" t="s">
        <v>1293</v>
      </c>
      <c r="H355" s="1" t="s">
        <v>100</v>
      </c>
    </row>
    <row r="356" customFormat="false" ht="15" hidden="false" customHeight="true" outlineLevel="0" collapsed="false">
      <c r="A356" s="1" t="n">
        <v>0.194802</v>
      </c>
      <c r="B356" s="1" t="s">
        <v>123</v>
      </c>
      <c r="C356" s="1" t="s">
        <v>109</v>
      </c>
      <c r="D356" s="1" t="n">
        <v>4134020880</v>
      </c>
      <c r="E356" s="1" t="s">
        <v>1244</v>
      </c>
      <c r="F356" s="1" t="s">
        <v>104</v>
      </c>
      <c r="G356" s="1" t="s">
        <v>1293</v>
      </c>
      <c r="H356" s="1" t="s">
        <v>108</v>
      </c>
    </row>
    <row r="357" customFormat="false" ht="15" hidden="false" customHeight="true" outlineLevel="0" collapsed="false">
      <c r="A357" s="1" t="n">
        <v>0.194725</v>
      </c>
      <c r="B357" s="1" t="s">
        <v>123</v>
      </c>
      <c r="C357" s="1" t="s">
        <v>139</v>
      </c>
      <c r="D357" s="1" t="n">
        <v>4891468756</v>
      </c>
      <c r="E357" s="1" t="s">
        <v>1244</v>
      </c>
      <c r="F357" s="1" t="s">
        <v>104</v>
      </c>
      <c r="G357" s="1" t="s">
        <v>1293</v>
      </c>
      <c r="H357" s="1" t="s">
        <v>175</v>
      </c>
    </row>
    <row r="358" customFormat="false" ht="15" hidden="false" customHeight="true" outlineLevel="0" collapsed="false">
      <c r="A358" s="1" t="n">
        <v>0.192859</v>
      </c>
      <c r="B358" s="1" t="s">
        <v>123</v>
      </c>
      <c r="C358" s="1" t="s">
        <v>146</v>
      </c>
      <c r="D358" s="1" t="n">
        <v>9191637070</v>
      </c>
      <c r="E358" s="1" t="s">
        <v>1244</v>
      </c>
      <c r="F358" s="1" t="s">
        <v>104</v>
      </c>
      <c r="G358" s="1" t="s">
        <v>1293</v>
      </c>
      <c r="H358" s="1" t="s">
        <v>108</v>
      </c>
    </row>
    <row r="359" customFormat="false" ht="15" hidden="false" customHeight="true" outlineLevel="0" collapsed="false">
      <c r="A359" s="1" t="n">
        <v>0.100945</v>
      </c>
      <c r="B359" s="1" t="s">
        <v>66</v>
      </c>
      <c r="C359" s="1" t="s">
        <v>119</v>
      </c>
      <c r="D359" s="1" t="n">
        <v>18996607425</v>
      </c>
      <c r="E359" s="1" t="s">
        <v>1244</v>
      </c>
      <c r="F359" s="1" t="s">
        <v>66</v>
      </c>
      <c r="G359" s="1" t="s">
        <v>1293</v>
      </c>
      <c r="H359" s="1" t="s">
        <v>175</v>
      </c>
    </row>
    <row r="360" customFormat="false" ht="15" hidden="false" customHeight="true" outlineLevel="0" collapsed="false">
      <c r="A360" s="1" t="n">
        <v>0.100824</v>
      </c>
      <c r="B360" s="1" t="s">
        <v>66</v>
      </c>
      <c r="C360" s="1" t="s">
        <v>139</v>
      </c>
      <c r="D360" s="1" t="n">
        <v>4830147151</v>
      </c>
      <c r="E360" s="1" t="s">
        <v>1244</v>
      </c>
      <c r="F360" s="1" t="s">
        <v>66</v>
      </c>
      <c r="G360" s="1" t="s">
        <v>1293</v>
      </c>
      <c r="H360" s="1" t="s">
        <v>175</v>
      </c>
    </row>
    <row r="361" customFormat="false" ht="15" hidden="false" customHeight="true" outlineLevel="0" collapsed="false">
      <c r="A361" s="1" t="n">
        <v>0.192182</v>
      </c>
      <c r="B361" s="1" t="s">
        <v>123</v>
      </c>
      <c r="C361" s="1" t="s">
        <v>109</v>
      </c>
      <c r="D361" s="1" t="n">
        <v>41999389977</v>
      </c>
      <c r="E361" s="1" t="s">
        <v>1244</v>
      </c>
      <c r="F361" s="1" t="s">
        <v>104</v>
      </c>
      <c r="G361" s="1" t="s">
        <v>1293</v>
      </c>
      <c r="H361" s="1" t="s">
        <v>108</v>
      </c>
    </row>
    <row r="362" customFormat="false" ht="15" hidden="false" customHeight="true" outlineLevel="0" collapsed="false">
      <c r="A362" s="1" t="n">
        <v>0.190188</v>
      </c>
      <c r="B362" s="1" t="s">
        <v>123</v>
      </c>
      <c r="C362" s="1" t="s">
        <v>139</v>
      </c>
      <c r="D362" s="1" t="n">
        <v>4896330100</v>
      </c>
      <c r="E362" s="1" t="s">
        <v>1244</v>
      </c>
      <c r="F362" s="1" t="s">
        <v>104</v>
      </c>
      <c r="G362" s="1" t="s">
        <v>1293</v>
      </c>
      <c r="H362" s="1" t="s">
        <v>108</v>
      </c>
    </row>
    <row r="363" customFormat="false" ht="15" hidden="false" customHeight="true" outlineLevel="0" collapsed="false">
      <c r="A363" s="1" t="n">
        <v>0.189516</v>
      </c>
      <c r="B363" s="1" t="s">
        <v>123</v>
      </c>
      <c r="C363" s="1" t="s">
        <v>109</v>
      </c>
      <c r="D363" s="1" t="n">
        <v>4498062010</v>
      </c>
      <c r="E363" s="1" t="s">
        <v>1244</v>
      </c>
      <c r="F363" s="1" t="s">
        <v>104</v>
      </c>
      <c r="G363" s="1" t="s">
        <v>1293</v>
      </c>
      <c r="H363" s="1" t="s">
        <v>108</v>
      </c>
    </row>
    <row r="364" customFormat="false" ht="15" hidden="false" customHeight="true" outlineLevel="0" collapsed="false">
      <c r="A364" s="1" t="n">
        <v>0.188181</v>
      </c>
      <c r="B364" s="1" t="s">
        <v>123</v>
      </c>
      <c r="C364" s="1" t="s">
        <v>109</v>
      </c>
      <c r="D364" s="1" t="n">
        <v>4497324973</v>
      </c>
      <c r="E364" s="1" t="s">
        <v>1244</v>
      </c>
      <c r="F364" s="1" t="s">
        <v>104</v>
      </c>
      <c r="G364" s="1" t="s">
        <v>1293</v>
      </c>
      <c r="H364" s="1" t="s">
        <v>108</v>
      </c>
    </row>
    <row r="365" customFormat="false" ht="15" hidden="false" customHeight="true" outlineLevel="0" collapsed="false">
      <c r="A365" s="1" t="n">
        <v>0.096679</v>
      </c>
      <c r="B365" s="1" t="s">
        <v>102</v>
      </c>
      <c r="C365" s="1" t="s">
        <v>139</v>
      </c>
      <c r="D365" s="1" t="n">
        <v>48840020754</v>
      </c>
      <c r="E365" s="1" t="s">
        <v>1246</v>
      </c>
      <c r="F365" s="1" t="s">
        <v>102</v>
      </c>
      <c r="G365" s="1" t="s">
        <v>1293</v>
      </c>
      <c r="H365" s="1" t="s">
        <v>175</v>
      </c>
    </row>
    <row r="366" customFormat="false" ht="15" hidden="false" customHeight="true" outlineLevel="0" collapsed="false">
      <c r="A366" s="1" t="n">
        <v>0.187178</v>
      </c>
      <c r="B366" s="1" t="s">
        <v>123</v>
      </c>
      <c r="C366" s="1" t="s">
        <v>119</v>
      </c>
      <c r="D366" s="1" t="n">
        <v>19998124261</v>
      </c>
      <c r="E366" s="1" t="s">
        <v>1244</v>
      </c>
      <c r="F366" s="1" t="s">
        <v>104</v>
      </c>
      <c r="G366" s="1" t="s">
        <v>1293</v>
      </c>
      <c r="H366" s="1" t="s">
        <v>100</v>
      </c>
    </row>
    <row r="367" customFormat="false" ht="15" hidden="false" customHeight="true" outlineLevel="0" collapsed="false">
      <c r="A367" s="1" t="n">
        <v>0.186316</v>
      </c>
      <c r="B367" s="1" t="s">
        <v>123</v>
      </c>
      <c r="C367" s="1" t="s">
        <v>119</v>
      </c>
      <c r="D367" s="1" t="n">
        <v>11980565198</v>
      </c>
      <c r="E367" s="1" t="s">
        <v>1244</v>
      </c>
      <c r="F367" s="1" t="s">
        <v>104</v>
      </c>
      <c r="G367" s="1" t="s">
        <v>1293</v>
      </c>
      <c r="H367" s="1" t="s">
        <v>100</v>
      </c>
    </row>
    <row r="368" customFormat="false" ht="15" hidden="false" customHeight="true" outlineLevel="0" collapsed="false">
      <c r="A368" s="1" t="n">
        <v>0.18538</v>
      </c>
      <c r="B368" s="1" t="s">
        <v>123</v>
      </c>
      <c r="C368" s="1" t="s">
        <v>119</v>
      </c>
      <c r="D368" s="1" t="n">
        <v>17988136187</v>
      </c>
      <c r="E368" s="1" t="s">
        <v>1244</v>
      </c>
      <c r="F368" s="1" t="s">
        <v>104</v>
      </c>
      <c r="G368" s="1" t="s">
        <v>1293</v>
      </c>
      <c r="H368" s="1" t="s">
        <v>100</v>
      </c>
    </row>
    <row r="369" customFormat="false" ht="15" hidden="false" customHeight="true" outlineLevel="0" collapsed="false">
      <c r="A369" s="1" t="n">
        <v>0.095057</v>
      </c>
      <c r="B369" s="1" t="s">
        <v>102</v>
      </c>
      <c r="C369" s="1" t="s">
        <v>139</v>
      </c>
      <c r="D369" s="1" t="n">
        <v>48999981463</v>
      </c>
      <c r="E369" s="1" t="s">
        <v>1246</v>
      </c>
      <c r="F369" s="1" t="s">
        <v>102</v>
      </c>
      <c r="G369" s="1" t="s">
        <v>1293</v>
      </c>
      <c r="H369" s="1" t="s">
        <v>175</v>
      </c>
    </row>
    <row r="370" customFormat="false" ht="15" hidden="false" customHeight="true" outlineLevel="0" collapsed="false">
      <c r="A370" s="1" t="n">
        <v>0.182375</v>
      </c>
      <c r="B370" s="1" t="s">
        <v>123</v>
      </c>
      <c r="C370" s="1" t="s">
        <v>139</v>
      </c>
      <c r="D370" s="1" t="n">
        <v>48991659616</v>
      </c>
      <c r="E370" s="1" t="s">
        <v>1244</v>
      </c>
      <c r="F370" s="1" t="s">
        <v>104</v>
      </c>
      <c r="G370" s="1" t="s">
        <v>1293</v>
      </c>
      <c r="H370" s="1" t="s">
        <v>108</v>
      </c>
    </row>
    <row r="371" customFormat="false" ht="15" hidden="false" customHeight="true" outlineLevel="0" collapsed="false">
      <c r="A371" s="1" t="n">
        <v>0.099575</v>
      </c>
      <c r="B371" s="1" t="s">
        <v>115</v>
      </c>
      <c r="C371" s="1" t="s">
        <v>101</v>
      </c>
      <c r="D371" s="1" t="n">
        <v>66999867183</v>
      </c>
      <c r="E371" s="1" t="s">
        <v>1246</v>
      </c>
      <c r="F371" s="1" t="s">
        <v>115</v>
      </c>
      <c r="G371" s="1" t="s">
        <v>1293</v>
      </c>
      <c r="H371" s="1" t="s">
        <v>184</v>
      </c>
    </row>
    <row r="372" customFormat="false" ht="15" hidden="false" customHeight="true" outlineLevel="0" collapsed="false">
      <c r="A372" s="1" t="n">
        <v>0.094856</v>
      </c>
      <c r="B372" s="1" t="s">
        <v>66</v>
      </c>
      <c r="C372" s="1" t="s">
        <v>243</v>
      </c>
      <c r="D372" s="1" t="n">
        <v>73999071310</v>
      </c>
      <c r="E372" s="1" t="s">
        <v>1246</v>
      </c>
      <c r="F372" s="1" t="s">
        <v>66</v>
      </c>
      <c r="G372" s="1" t="s">
        <v>1293</v>
      </c>
      <c r="H372" s="1" t="s">
        <v>175</v>
      </c>
    </row>
    <row r="373" customFormat="false" ht="15" hidden="false" customHeight="true" outlineLevel="0" collapsed="false">
      <c r="A373" s="1" t="n">
        <v>0.093315</v>
      </c>
      <c r="B373" s="1" t="s">
        <v>102</v>
      </c>
      <c r="C373" s="1" t="s">
        <v>139</v>
      </c>
      <c r="D373" s="1" t="n">
        <v>4896982817</v>
      </c>
      <c r="E373" s="1" t="s">
        <v>1246</v>
      </c>
      <c r="F373" s="1" t="s">
        <v>102</v>
      </c>
      <c r="G373" s="1" t="s">
        <v>1293</v>
      </c>
      <c r="H373" s="1" t="s">
        <v>175</v>
      </c>
    </row>
    <row r="374" customFormat="false" ht="15" hidden="false" customHeight="true" outlineLevel="0" collapsed="false">
      <c r="A374" s="1" t="n">
        <v>0.153395</v>
      </c>
      <c r="B374" s="1" t="s">
        <v>110</v>
      </c>
      <c r="C374" s="1" t="s">
        <v>109</v>
      </c>
      <c r="D374" s="1" t="n">
        <v>45991034143</v>
      </c>
      <c r="E374" s="1" t="s">
        <v>1244</v>
      </c>
      <c r="F374" s="1" t="s">
        <v>110</v>
      </c>
      <c r="G374" s="1" t="s">
        <v>1293</v>
      </c>
      <c r="H374" s="1" t="s">
        <v>184</v>
      </c>
    </row>
    <row r="375" customFormat="false" ht="15" hidden="false" customHeight="true" outlineLevel="0" collapsed="false">
      <c r="A375" s="1" t="n">
        <v>0.179182</v>
      </c>
      <c r="B375" s="1" t="s">
        <v>123</v>
      </c>
      <c r="C375" s="1" t="s">
        <v>127</v>
      </c>
      <c r="D375" s="1" t="n">
        <v>6496418800</v>
      </c>
      <c r="E375" s="1" t="s">
        <v>1244</v>
      </c>
      <c r="F375" s="1" t="s">
        <v>104</v>
      </c>
      <c r="G375" s="1" t="s">
        <v>1293</v>
      </c>
      <c r="H375" s="1" t="s">
        <v>100</v>
      </c>
    </row>
    <row r="376" customFormat="false" ht="15" hidden="false" customHeight="true" outlineLevel="0" collapsed="false">
      <c r="A376" s="1" t="n">
        <v>0.178963</v>
      </c>
      <c r="B376" s="1" t="s">
        <v>123</v>
      </c>
      <c r="C376" s="1" t="s">
        <v>139</v>
      </c>
      <c r="D376" s="1" t="n">
        <v>48991287322</v>
      </c>
      <c r="E376" s="1" t="s">
        <v>1244</v>
      </c>
      <c r="F376" s="1" t="s">
        <v>104</v>
      </c>
      <c r="G376" s="1" t="s">
        <v>1293</v>
      </c>
      <c r="H376" s="1" t="s">
        <v>175</v>
      </c>
    </row>
    <row r="377" customFormat="false" ht="15" hidden="false" customHeight="true" outlineLevel="0" collapsed="false">
      <c r="A377" s="1" t="n">
        <v>0.091488</v>
      </c>
      <c r="B377" s="1" t="s">
        <v>102</v>
      </c>
      <c r="C377" s="1" t="s">
        <v>139</v>
      </c>
      <c r="D377" s="1" t="n">
        <v>4899981463</v>
      </c>
      <c r="E377" s="1" t="s">
        <v>1246</v>
      </c>
      <c r="F377" s="1" t="s">
        <v>102</v>
      </c>
      <c r="G377" s="1" t="s">
        <v>1293</v>
      </c>
      <c r="H377" s="1" t="s">
        <v>175</v>
      </c>
    </row>
    <row r="378" customFormat="false" ht="15" hidden="false" customHeight="true" outlineLevel="0" collapsed="false">
      <c r="A378" s="1" t="n">
        <v>0.091427</v>
      </c>
      <c r="B378" s="1" t="s">
        <v>102</v>
      </c>
      <c r="C378" s="1" t="s">
        <v>139</v>
      </c>
      <c r="D378" s="1" t="n">
        <v>4899981463</v>
      </c>
      <c r="E378" s="1" t="s">
        <v>1246</v>
      </c>
      <c r="F378" s="1" t="s">
        <v>102</v>
      </c>
      <c r="G378" s="1" t="s">
        <v>1293</v>
      </c>
      <c r="H378" s="1" t="s">
        <v>175</v>
      </c>
    </row>
    <row r="379" customFormat="false" ht="15" hidden="false" customHeight="true" outlineLevel="0" collapsed="false">
      <c r="A379" s="1" t="n">
        <v>0.176873</v>
      </c>
      <c r="B379" s="1" t="s">
        <v>123</v>
      </c>
      <c r="C379" s="1" t="s">
        <v>127</v>
      </c>
      <c r="D379" s="1" t="n">
        <v>6291320767</v>
      </c>
      <c r="E379" s="1" t="s">
        <v>1244</v>
      </c>
      <c r="F379" s="1" t="s">
        <v>104</v>
      </c>
      <c r="G379" s="1" t="s">
        <v>1293</v>
      </c>
      <c r="H379" s="1" t="s">
        <v>100</v>
      </c>
    </row>
    <row r="380" customFormat="false" ht="15" hidden="false" customHeight="true" outlineLevel="0" collapsed="false">
      <c r="A380" s="1" t="n">
        <v>0.176392</v>
      </c>
      <c r="B380" s="1" t="s">
        <v>123</v>
      </c>
      <c r="C380" s="1" t="s">
        <v>119</v>
      </c>
      <c r="D380" s="1" t="n">
        <v>11947777309</v>
      </c>
      <c r="E380" s="1" t="s">
        <v>1244</v>
      </c>
      <c r="F380" s="1" t="s">
        <v>104</v>
      </c>
      <c r="G380" s="1" t="s">
        <v>1293</v>
      </c>
      <c r="H380" s="1" t="s">
        <v>100</v>
      </c>
    </row>
    <row r="381" customFormat="false" ht="15" hidden="false" customHeight="true" outlineLevel="0" collapsed="false">
      <c r="A381" s="1" t="n">
        <v>0.090711</v>
      </c>
      <c r="B381" s="1" t="s">
        <v>102</v>
      </c>
      <c r="C381" s="1" t="s">
        <v>139</v>
      </c>
      <c r="D381" s="1" t="n">
        <v>4830454219</v>
      </c>
      <c r="E381" s="1" t="s">
        <v>1246</v>
      </c>
      <c r="F381" s="1" t="s">
        <v>102</v>
      </c>
      <c r="G381" s="1" t="s">
        <v>1293</v>
      </c>
      <c r="H381" s="1" t="s">
        <v>175</v>
      </c>
    </row>
    <row r="382" customFormat="false" ht="15" hidden="false" customHeight="true" outlineLevel="0" collapsed="false">
      <c r="A382" s="1" t="n">
        <v>0.173128</v>
      </c>
      <c r="B382" s="1" t="s">
        <v>123</v>
      </c>
      <c r="C382" s="1" t="s">
        <v>119</v>
      </c>
      <c r="D382" s="1" t="n">
        <v>11992136343</v>
      </c>
      <c r="E382" s="1" t="s">
        <v>1244</v>
      </c>
      <c r="F382" s="1" t="s">
        <v>104</v>
      </c>
      <c r="G382" s="1" t="s">
        <v>1293</v>
      </c>
      <c r="H382" s="1" t="s">
        <v>100</v>
      </c>
    </row>
    <row r="383" customFormat="false" ht="15" hidden="false" customHeight="true" outlineLevel="0" collapsed="false">
      <c r="A383" s="1" t="n">
        <v>0.171475</v>
      </c>
      <c r="B383" s="1" t="s">
        <v>123</v>
      </c>
      <c r="C383" s="1" t="s">
        <v>119</v>
      </c>
      <c r="D383" s="1" t="n">
        <v>11962387340</v>
      </c>
      <c r="E383" s="1" t="s">
        <v>1244</v>
      </c>
      <c r="F383" s="1" t="s">
        <v>104</v>
      </c>
      <c r="G383" s="1" t="s">
        <v>1293</v>
      </c>
      <c r="H383" s="1" t="s">
        <v>100</v>
      </c>
    </row>
    <row r="384" customFormat="false" ht="15" hidden="false" customHeight="true" outlineLevel="0" collapsed="false">
      <c r="A384" s="1" t="n">
        <v>0.146303</v>
      </c>
      <c r="B384" s="1" t="s">
        <v>110</v>
      </c>
      <c r="C384" s="1" t="s">
        <v>196</v>
      </c>
      <c r="D384" s="1" t="n">
        <v>5198059537</v>
      </c>
      <c r="E384" s="1" t="s">
        <v>1244</v>
      </c>
      <c r="F384" s="1" t="s">
        <v>110</v>
      </c>
      <c r="G384" s="1" t="s">
        <v>1293</v>
      </c>
      <c r="H384" s="1" t="s">
        <v>184</v>
      </c>
    </row>
    <row r="385" customFormat="false" ht="15" hidden="false" customHeight="true" outlineLevel="0" collapsed="false">
      <c r="A385" s="1" t="n">
        <v>0.170834</v>
      </c>
      <c r="B385" s="1" t="s">
        <v>123</v>
      </c>
      <c r="C385" s="1" t="s">
        <v>109</v>
      </c>
      <c r="D385" s="1" t="n">
        <v>44303935354</v>
      </c>
      <c r="E385" s="1" t="s">
        <v>1244</v>
      </c>
      <c r="F385" s="1" t="s">
        <v>104</v>
      </c>
      <c r="G385" s="1" t="s">
        <v>1293</v>
      </c>
      <c r="H385" s="1" t="s">
        <v>108</v>
      </c>
    </row>
    <row r="386" customFormat="false" ht="15" hidden="false" customHeight="true" outlineLevel="0" collapsed="false">
      <c r="A386" s="1" t="n">
        <v>0.132479</v>
      </c>
      <c r="B386" s="1" t="s">
        <v>906</v>
      </c>
      <c r="C386" s="1" t="s">
        <v>146</v>
      </c>
      <c r="D386" s="1" t="n">
        <v>9381170535</v>
      </c>
      <c r="E386" s="1" t="s">
        <v>1244</v>
      </c>
      <c r="F386" s="1" t="s">
        <v>104</v>
      </c>
      <c r="G386" s="1" t="s">
        <v>1293</v>
      </c>
      <c r="H386" s="1" t="s">
        <v>100</v>
      </c>
    </row>
    <row r="387" customFormat="false" ht="15" hidden="false" customHeight="true" outlineLevel="0" collapsed="false">
      <c r="A387" s="1" t="n">
        <v>0.092392</v>
      </c>
      <c r="B387" s="1" t="s">
        <v>115</v>
      </c>
      <c r="C387" s="1" t="s">
        <v>109</v>
      </c>
      <c r="D387" s="1" t="n">
        <v>14996616661</v>
      </c>
      <c r="E387" s="1" t="s">
        <v>1246</v>
      </c>
      <c r="F387" s="1" t="s">
        <v>115</v>
      </c>
      <c r="G387" s="1" t="s">
        <v>1293</v>
      </c>
      <c r="H387" s="1" t="s">
        <v>184</v>
      </c>
    </row>
    <row r="388" customFormat="false" ht="15" hidden="false" customHeight="true" outlineLevel="0" collapsed="false">
      <c r="A388" s="1" t="n">
        <v>0.087911</v>
      </c>
      <c r="B388" s="1" t="s">
        <v>66</v>
      </c>
      <c r="C388" s="1" t="s">
        <v>139</v>
      </c>
      <c r="D388" s="1" t="n">
        <v>4888553393</v>
      </c>
      <c r="E388" s="1" t="s">
        <v>1246</v>
      </c>
      <c r="F388" s="1" t="s">
        <v>66</v>
      </c>
      <c r="G388" s="1" t="s">
        <v>1293</v>
      </c>
      <c r="H388" s="1" t="s">
        <v>175</v>
      </c>
    </row>
    <row r="389" customFormat="false" ht="15" hidden="false" customHeight="true" outlineLevel="0" collapsed="false">
      <c r="A389" s="1" t="n">
        <v>0.167452</v>
      </c>
      <c r="B389" s="1" t="s">
        <v>123</v>
      </c>
      <c r="C389" s="1" t="s">
        <v>119</v>
      </c>
      <c r="D389" s="1" t="n">
        <v>17992119555</v>
      </c>
      <c r="E389" s="1" t="s">
        <v>1244</v>
      </c>
      <c r="F389" s="1" t="s">
        <v>104</v>
      </c>
      <c r="G389" s="1" t="s">
        <v>1293</v>
      </c>
      <c r="H389" s="1" t="s">
        <v>100</v>
      </c>
    </row>
    <row r="390" customFormat="false" ht="15" hidden="false" customHeight="true" outlineLevel="0" collapsed="false">
      <c r="A390" s="1" t="n">
        <v>0.166835</v>
      </c>
      <c r="B390" s="1" t="s">
        <v>123</v>
      </c>
      <c r="C390" s="1" t="s">
        <v>139</v>
      </c>
      <c r="D390" s="1" t="n">
        <v>4791193771</v>
      </c>
      <c r="E390" s="1" t="s">
        <v>1244</v>
      </c>
      <c r="F390" s="1" t="s">
        <v>104</v>
      </c>
      <c r="G390" s="1" t="s">
        <v>1293</v>
      </c>
      <c r="H390" s="1" t="s">
        <v>108</v>
      </c>
    </row>
    <row r="391" customFormat="false" ht="15" hidden="false" customHeight="true" outlineLevel="0" collapsed="false">
      <c r="A391" s="1" t="n">
        <v>0.091079</v>
      </c>
      <c r="B391" s="1" t="s">
        <v>115</v>
      </c>
      <c r="C391" s="1" t="s">
        <v>243</v>
      </c>
      <c r="D391" s="1" t="n">
        <v>7399407732</v>
      </c>
      <c r="E391" s="1" t="s">
        <v>1246</v>
      </c>
      <c r="F391" s="1" t="s">
        <v>115</v>
      </c>
      <c r="G391" s="1" t="s">
        <v>1293</v>
      </c>
      <c r="H391" s="1" t="s">
        <v>184</v>
      </c>
    </row>
    <row r="392" customFormat="false" ht="15" hidden="false" customHeight="true" outlineLevel="0" collapsed="false">
      <c r="A392" s="1" t="n">
        <v>0.164512</v>
      </c>
      <c r="B392" s="1" t="s">
        <v>123</v>
      </c>
      <c r="C392" s="1" t="s">
        <v>119</v>
      </c>
      <c r="D392" s="1" t="n">
        <v>16993154374</v>
      </c>
      <c r="E392" s="1" t="s">
        <v>1244</v>
      </c>
      <c r="F392" s="1" t="s">
        <v>104</v>
      </c>
      <c r="G392" s="1" t="s">
        <v>1293</v>
      </c>
      <c r="H392" s="1" t="s">
        <v>100</v>
      </c>
    </row>
    <row r="393" customFormat="false" ht="15" hidden="false" customHeight="true" outlineLevel="0" collapsed="false">
      <c r="A393" s="1" t="n">
        <v>0.155142</v>
      </c>
      <c r="B393" s="1" t="s">
        <v>123</v>
      </c>
      <c r="C393" s="1" t="s">
        <v>127</v>
      </c>
      <c r="D393" s="1" t="n">
        <v>62995679045</v>
      </c>
      <c r="E393" s="1" t="s">
        <v>1244</v>
      </c>
      <c r="F393" s="1" t="s">
        <v>104</v>
      </c>
      <c r="G393" s="1" t="s">
        <v>1293</v>
      </c>
      <c r="H393" s="1" t="s">
        <v>100</v>
      </c>
    </row>
    <row r="394" customFormat="false" ht="15" hidden="false" customHeight="true" outlineLevel="0" collapsed="false">
      <c r="A394" s="1" t="n">
        <v>0.154918</v>
      </c>
      <c r="B394" s="1" t="s">
        <v>123</v>
      </c>
      <c r="C394" s="1" t="s">
        <v>139</v>
      </c>
      <c r="D394" s="1" t="n">
        <v>49991094461</v>
      </c>
      <c r="E394" s="1" t="s">
        <v>1244</v>
      </c>
      <c r="F394" s="1" t="s">
        <v>104</v>
      </c>
      <c r="G394" s="1" t="s">
        <v>1293</v>
      </c>
      <c r="H394" s="1" t="s">
        <v>108</v>
      </c>
    </row>
    <row r="395" customFormat="false" ht="15" hidden="false" customHeight="true" outlineLevel="0" collapsed="false">
      <c r="A395" s="1" t="n">
        <v>0.097291</v>
      </c>
      <c r="B395" s="1" t="s">
        <v>1289</v>
      </c>
      <c r="C395" s="1" t="s">
        <v>196</v>
      </c>
      <c r="D395" s="1" t="n">
        <v>5430289041</v>
      </c>
      <c r="E395" s="1" t="s">
        <v>1246</v>
      </c>
      <c r="F395" s="1" t="s">
        <v>128</v>
      </c>
      <c r="G395" s="1" t="s">
        <v>1293</v>
      </c>
      <c r="H395" s="1" t="s">
        <v>184</v>
      </c>
    </row>
    <row r="396" customFormat="false" ht="15" hidden="false" customHeight="true" outlineLevel="0" collapsed="false">
      <c r="A396" s="1" t="n">
        <v>0.152859</v>
      </c>
      <c r="B396" s="1" t="s">
        <v>123</v>
      </c>
      <c r="C396" s="1" t="s">
        <v>109</v>
      </c>
      <c r="D396" s="1" t="n">
        <v>43991478823</v>
      </c>
      <c r="E396" s="1" t="s">
        <v>1244</v>
      </c>
      <c r="F396" s="1" t="s">
        <v>104</v>
      </c>
      <c r="G396" s="1" t="s">
        <v>1293</v>
      </c>
      <c r="H396" s="1" t="s">
        <v>108</v>
      </c>
    </row>
    <row r="397" customFormat="false" ht="15" hidden="false" customHeight="true" outlineLevel="0" collapsed="false">
      <c r="A397" s="1" t="n">
        <v>0.128894</v>
      </c>
      <c r="B397" s="1" t="s">
        <v>110</v>
      </c>
      <c r="C397" s="1" t="s">
        <v>196</v>
      </c>
      <c r="D397" s="1" t="n">
        <v>5198059537</v>
      </c>
      <c r="E397" s="1" t="s">
        <v>1244</v>
      </c>
      <c r="F397" s="1" t="s">
        <v>110</v>
      </c>
      <c r="G397" s="1" t="s">
        <v>1293</v>
      </c>
      <c r="H397" s="1" t="s">
        <v>184</v>
      </c>
    </row>
    <row r="398" customFormat="false" ht="15" hidden="false" customHeight="true" outlineLevel="0" collapsed="false">
      <c r="A398" s="1" t="n">
        <v>0.150654</v>
      </c>
      <c r="B398" s="1" t="s">
        <v>123</v>
      </c>
      <c r="C398" s="1" t="s">
        <v>119</v>
      </c>
      <c r="D398" s="1" t="n">
        <v>1138191933</v>
      </c>
      <c r="E398" s="1" t="s">
        <v>1244</v>
      </c>
      <c r="F398" s="1" t="s">
        <v>104</v>
      </c>
      <c r="G398" s="1" t="s">
        <v>1293</v>
      </c>
      <c r="H398" s="1" t="s">
        <v>100</v>
      </c>
    </row>
    <row r="399" customFormat="false" ht="15" hidden="false" customHeight="true" outlineLevel="0" collapsed="false">
      <c r="A399" s="1" t="n">
        <v>0.148818</v>
      </c>
      <c r="B399" s="1" t="s">
        <v>123</v>
      </c>
      <c r="C399" s="1" t="s">
        <v>119</v>
      </c>
      <c r="D399" s="1" t="n">
        <v>11964067326</v>
      </c>
      <c r="E399" s="1" t="s">
        <v>1244</v>
      </c>
      <c r="F399" s="1" t="s">
        <v>104</v>
      </c>
      <c r="G399" s="1" t="s">
        <v>1293</v>
      </c>
      <c r="H399" s="1" t="s">
        <v>108</v>
      </c>
    </row>
    <row r="400" customFormat="false" ht="15" hidden="false" customHeight="true" outlineLevel="0" collapsed="false">
      <c r="A400" s="1" t="n">
        <v>0.147944</v>
      </c>
      <c r="B400" s="1" t="s">
        <v>123</v>
      </c>
      <c r="C400" s="1" t="s">
        <v>935</v>
      </c>
      <c r="D400" s="1" t="n">
        <v>8399404210</v>
      </c>
      <c r="E400" s="1" t="s">
        <v>1244</v>
      </c>
      <c r="F400" s="1" t="s">
        <v>104</v>
      </c>
      <c r="G400" s="1" t="s">
        <v>1293</v>
      </c>
      <c r="H400" s="1" t="s">
        <v>100</v>
      </c>
    </row>
    <row r="401" customFormat="false" ht="15" hidden="false" customHeight="true" outlineLevel="0" collapsed="false">
      <c r="A401" s="1" t="n">
        <v>0.147531</v>
      </c>
      <c r="B401" s="1" t="s">
        <v>123</v>
      </c>
      <c r="C401" s="1" t="s">
        <v>187</v>
      </c>
      <c r="D401" s="1" t="n">
        <v>81984682343</v>
      </c>
      <c r="E401" s="1" t="s">
        <v>1244</v>
      </c>
      <c r="F401" s="1" t="s">
        <v>104</v>
      </c>
      <c r="G401" s="1" t="s">
        <v>1293</v>
      </c>
      <c r="H401" s="1" t="s">
        <v>100</v>
      </c>
    </row>
    <row r="402" customFormat="false" ht="15" hidden="false" customHeight="true" outlineLevel="0" collapsed="false">
      <c r="A402" s="1" t="n">
        <v>0.146968</v>
      </c>
      <c r="B402" s="1" t="s">
        <v>123</v>
      </c>
      <c r="C402" s="1" t="s">
        <v>139</v>
      </c>
      <c r="D402" s="1" t="n">
        <v>48326680374</v>
      </c>
      <c r="E402" s="1" t="s">
        <v>1244</v>
      </c>
      <c r="F402" s="1" t="s">
        <v>104</v>
      </c>
      <c r="G402" s="1" t="s">
        <v>1293</v>
      </c>
      <c r="H402" s="1" t="s">
        <v>108</v>
      </c>
    </row>
    <row r="403" customFormat="false" ht="15" hidden="false" customHeight="true" outlineLevel="0" collapsed="false">
      <c r="A403" s="1" t="n">
        <v>0.146859</v>
      </c>
      <c r="B403" s="1" t="s">
        <v>123</v>
      </c>
      <c r="C403" s="1" t="s">
        <v>139</v>
      </c>
      <c r="D403" s="1" t="n">
        <v>47984977786</v>
      </c>
      <c r="E403" s="1" t="s">
        <v>1244</v>
      </c>
      <c r="F403" s="1" t="s">
        <v>104</v>
      </c>
      <c r="G403" s="1" t="s">
        <v>1293</v>
      </c>
      <c r="H403" s="1" t="s">
        <v>108</v>
      </c>
    </row>
    <row r="404" customFormat="false" ht="15" hidden="false" customHeight="true" outlineLevel="0" collapsed="false">
      <c r="A404" s="1" t="n">
        <v>0.14175</v>
      </c>
      <c r="B404" s="1" t="s">
        <v>123</v>
      </c>
      <c r="C404" s="1" t="s">
        <v>260</v>
      </c>
      <c r="D404" s="1" t="n">
        <v>21982480681</v>
      </c>
      <c r="E404" s="1" t="s">
        <v>1244</v>
      </c>
      <c r="F404" s="1" t="s">
        <v>104</v>
      </c>
      <c r="G404" s="1" t="s">
        <v>1293</v>
      </c>
      <c r="H404" s="1" t="s">
        <v>100</v>
      </c>
    </row>
    <row r="405" customFormat="false" ht="15" hidden="false" customHeight="true" outlineLevel="0" collapsed="false">
      <c r="A405" s="1" t="n">
        <v>0.073891</v>
      </c>
      <c r="B405" s="1" t="s">
        <v>66</v>
      </c>
      <c r="C405" s="1" t="s">
        <v>119</v>
      </c>
      <c r="D405" s="1" t="n">
        <v>1183977705</v>
      </c>
      <c r="E405" s="1" t="s">
        <v>1246</v>
      </c>
      <c r="F405" s="1" t="s">
        <v>66</v>
      </c>
      <c r="G405" s="1" t="s">
        <v>1293</v>
      </c>
      <c r="H405" s="1" t="s">
        <v>175</v>
      </c>
    </row>
    <row r="406" customFormat="false" ht="15" hidden="false" customHeight="true" outlineLevel="0" collapsed="false">
      <c r="A406" s="1" t="n">
        <v>0.137833</v>
      </c>
      <c r="B406" s="1" t="s">
        <v>123</v>
      </c>
      <c r="C406" s="1" t="s">
        <v>119</v>
      </c>
      <c r="D406" s="1" t="n">
        <v>1933655030</v>
      </c>
      <c r="E406" s="1" t="s">
        <v>1244</v>
      </c>
      <c r="F406" s="1" t="s">
        <v>104</v>
      </c>
      <c r="G406" s="1" t="s">
        <v>1293</v>
      </c>
      <c r="H406" s="1" t="s">
        <v>100</v>
      </c>
    </row>
    <row r="407" customFormat="false" ht="15" hidden="false" customHeight="true" outlineLevel="0" collapsed="false">
      <c r="A407" s="1" t="n">
        <v>0.137498</v>
      </c>
      <c r="B407" s="1" t="s">
        <v>123</v>
      </c>
      <c r="C407" s="1" t="s">
        <v>139</v>
      </c>
      <c r="D407" s="1" t="n">
        <v>4792401103</v>
      </c>
      <c r="E407" s="1" t="s">
        <v>1244</v>
      </c>
      <c r="F407" s="1" t="s">
        <v>104</v>
      </c>
      <c r="G407" s="1" t="s">
        <v>1293</v>
      </c>
      <c r="H407" s="1" t="s">
        <v>108</v>
      </c>
    </row>
    <row r="408" customFormat="false" ht="15" hidden="false" customHeight="true" outlineLevel="0" collapsed="false">
      <c r="A408" s="1" t="n">
        <v>0.136764</v>
      </c>
      <c r="B408" s="1" t="s">
        <v>123</v>
      </c>
      <c r="C408" s="1" t="s">
        <v>109</v>
      </c>
      <c r="D408" s="1" t="n">
        <v>41992825084</v>
      </c>
      <c r="E408" s="1" t="s">
        <v>1244</v>
      </c>
      <c r="F408" s="1" t="s">
        <v>104</v>
      </c>
      <c r="G408" s="1" t="s">
        <v>1293</v>
      </c>
      <c r="H408" s="1" t="s">
        <v>108</v>
      </c>
    </row>
    <row r="409" customFormat="false" ht="15" hidden="false" customHeight="true" outlineLevel="0" collapsed="false">
      <c r="A409" s="1" t="n">
        <v>0.070315</v>
      </c>
      <c r="B409" s="1" t="s">
        <v>102</v>
      </c>
      <c r="C409" s="1" t="s">
        <v>139</v>
      </c>
      <c r="D409" s="1" t="n">
        <v>4888041731</v>
      </c>
      <c r="E409" s="1" t="s">
        <v>1246</v>
      </c>
      <c r="F409" s="1" t="s">
        <v>102</v>
      </c>
      <c r="G409" s="1" t="s">
        <v>1293</v>
      </c>
      <c r="H409" s="1" t="s">
        <v>175</v>
      </c>
    </row>
    <row r="410" customFormat="false" ht="15" hidden="false" customHeight="true" outlineLevel="0" collapsed="false">
      <c r="A410" s="1" t="n">
        <v>0.136145</v>
      </c>
      <c r="B410" s="1" t="s">
        <v>123</v>
      </c>
      <c r="C410" s="1" t="s">
        <v>196</v>
      </c>
      <c r="D410" s="1" t="n">
        <v>51980517392</v>
      </c>
      <c r="E410" s="1" t="s">
        <v>1244</v>
      </c>
      <c r="F410" s="1" t="s">
        <v>104</v>
      </c>
      <c r="G410" s="1" t="s">
        <v>1293</v>
      </c>
      <c r="H410" s="1" t="s">
        <v>108</v>
      </c>
    </row>
    <row r="411" customFormat="false" ht="15" hidden="false" customHeight="true" outlineLevel="0" collapsed="false">
      <c r="A411" s="1" t="n">
        <v>0.069598</v>
      </c>
      <c r="B411" s="1" t="s">
        <v>102</v>
      </c>
      <c r="C411" s="1" t="s">
        <v>139</v>
      </c>
      <c r="D411" s="1" t="n">
        <v>48996173674</v>
      </c>
      <c r="E411" s="1" t="s">
        <v>1246</v>
      </c>
      <c r="F411" s="1" t="s">
        <v>102</v>
      </c>
      <c r="G411" s="1" t="s">
        <v>1293</v>
      </c>
      <c r="H411" s="1" t="s">
        <v>175</v>
      </c>
    </row>
    <row r="412" customFormat="false" ht="15" hidden="false" customHeight="true" outlineLevel="0" collapsed="false">
      <c r="A412" s="1" t="n">
        <v>0.134652</v>
      </c>
      <c r="B412" s="1" t="s">
        <v>123</v>
      </c>
      <c r="C412" s="1" t="s">
        <v>196</v>
      </c>
      <c r="D412" s="1" t="n">
        <v>51983137358</v>
      </c>
      <c r="E412" s="1" t="s">
        <v>1244</v>
      </c>
      <c r="F412" s="1" t="s">
        <v>104</v>
      </c>
      <c r="G412" s="1" t="s">
        <v>1293</v>
      </c>
      <c r="H412" s="1" t="s">
        <v>108</v>
      </c>
    </row>
    <row r="413" customFormat="false" ht="15" hidden="false" customHeight="true" outlineLevel="0" collapsed="false">
      <c r="A413" s="1" t="n">
        <v>0.134098</v>
      </c>
      <c r="B413" s="1" t="s">
        <v>123</v>
      </c>
      <c r="C413" s="1" t="s">
        <v>109</v>
      </c>
      <c r="D413" s="1" t="n">
        <v>4399879730</v>
      </c>
      <c r="E413" s="1" t="s">
        <v>1244</v>
      </c>
      <c r="F413" s="1" t="s">
        <v>104</v>
      </c>
      <c r="G413" s="1" t="s">
        <v>1293</v>
      </c>
      <c r="H413" s="1" t="s">
        <v>108</v>
      </c>
    </row>
    <row r="414" customFormat="false" ht="15" hidden="false" customHeight="true" outlineLevel="0" collapsed="false">
      <c r="A414" s="1" t="n">
        <v>0.132134</v>
      </c>
      <c r="B414" s="1" t="s">
        <v>123</v>
      </c>
      <c r="C414" s="1" t="s">
        <v>109</v>
      </c>
      <c r="D414" s="1" t="n">
        <v>4130581510</v>
      </c>
      <c r="E414" s="1" t="s">
        <v>1244</v>
      </c>
      <c r="F414" s="1" t="s">
        <v>104</v>
      </c>
      <c r="G414" s="1" t="s">
        <v>1293</v>
      </c>
      <c r="H414" s="1" t="s">
        <v>108</v>
      </c>
    </row>
    <row r="415" customFormat="false" ht="15" hidden="false" customHeight="true" outlineLevel="0" collapsed="false">
      <c r="A415" s="1" t="n">
        <v>0.128713</v>
      </c>
      <c r="B415" s="1" t="s">
        <v>123</v>
      </c>
      <c r="C415" s="1" t="s">
        <v>196</v>
      </c>
      <c r="D415" s="1" t="n">
        <v>5499587823</v>
      </c>
      <c r="E415" s="1" t="s">
        <v>1244</v>
      </c>
      <c r="F415" s="1" t="s">
        <v>104</v>
      </c>
      <c r="G415" s="1" t="s">
        <v>1293</v>
      </c>
      <c r="H415" s="1" t="s">
        <v>108</v>
      </c>
    </row>
    <row r="416" customFormat="false" ht="15" hidden="false" customHeight="true" outlineLevel="0" collapsed="false">
      <c r="A416" s="1" t="n">
        <v>0.128288</v>
      </c>
      <c r="B416" s="1" t="s">
        <v>123</v>
      </c>
      <c r="C416" s="1" t="s">
        <v>139</v>
      </c>
      <c r="D416" s="1" t="n">
        <v>47984186657</v>
      </c>
      <c r="E416" s="1" t="s">
        <v>1244</v>
      </c>
      <c r="F416" s="1" t="s">
        <v>104</v>
      </c>
      <c r="G416" s="1" t="s">
        <v>1293</v>
      </c>
      <c r="H416" s="1" t="s">
        <v>108</v>
      </c>
    </row>
    <row r="417" customFormat="false" ht="15" hidden="false" customHeight="true" outlineLevel="0" collapsed="false">
      <c r="A417" s="1" t="n">
        <v>0.124812</v>
      </c>
      <c r="B417" s="1" t="s">
        <v>123</v>
      </c>
      <c r="C417" s="1" t="s">
        <v>109</v>
      </c>
      <c r="D417" s="1" t="n">
        <v>4188273848</v>
      </c>
      <c r="E417" s="1" t="s">
        <v>1244</v>
      </c>
      <c r="F417" s="1" t="s">
        <v>104</v>
      </c>
      <c r="G417" s="1" t="s">
        <v>1293</v>
      </c>
      <c r="H417" s="1" t="s">
        <v>108</v>
      </c>
    </row>
    <row r="418" customFormat="false" ht="15" hidden="false" customHeight="true" outlineLevel="0" collapsed="false">
      <c r="A418" s="1" t="n">
        <v>0.0654</v>
      </c>
      <c r="B418" s="1" t="s">
        <v>66</v>
      </c>
      <c r="C418" s="1" t="s">
        <v>196</v>
      </c>
      <c r="D418" s="1" t="n">
        <v>5591498448</v>
      </c>
      <c r="E418" s="1" t="s">
        <v>1246</v>
      </c>
      <c r="F418" s="1" t="s">
        <v>66</v>
      </c>
      <c r="G418" s="1" t="s">
        <v>1293</v>
      </c>
      <c r="H418" s="1" t="s">
        <v>175</v>
      </c>
    </row>
    <row r="419" customFormat="false" ht="15" hidden="false" customHeight="true" outlineLevel="0" collapsed="false">
      <c r="A419" s="1" t="n">
        <v>0.124543</v>
      </c>
      <c r="B419" s="1" t="s">
        <v>123</v>
      </c>
      <c r="C419" s="1" t="s">
        <v>119</v>
      </c>
      <c r="D419" s="1" t="n">
        <v>16982311881</v>
      </c>
      <c r="E419" s="1" t="s">
        <v>1244</v>
      </c>
      <c r="F419" s="1" t="s">
        <v>104</v>
      </c>
      <c r="G419" s="1" t="s">
        <v>1293</v>
      </c>
      <c r="H419" s="1" t="s">
        <v>100</v>
      </c>
    </row>
    <row r="420" customFormat="false" ht="15" hidden="false" customHeight="true" outlineLevel="0" collapsed="false">
      <c r="A420" s="1" t="n">
        <v>0.123391</v>
      </c>
      <c r="B420" s="1" t="s">
        <v>123</v>
      </c>
      <c r="C420" s="1" t="s">
        <v>196</v>
      </c>
      <c r="D420" s="1" t="n">
        <v>51997055488</v>
      </c>
      <c r="E420" s="1" t="s">
        <v>1244</v>
      </c>
      <c r="F420" s="1" t="s">
        <v>104</v>
      </c>
      <c r="G420" s="1" t="s">
        <v>1293</v>
      </c>
      <c r="H420" s="1" t="s">
        <v>108</v>
      </c>
    </row>
    <row r="421" customFormat="false" ht="15" hidden="false" customHeight="true" outlineLevel="0" collapsed="false">
      <c r="A421" s="1" t="n">
        <v>0.122447</v>
      </c>
      <c r="B421" s="1" t="s">
        <v>123</v>
      </c>
      <c r="C421" s="1" t="s">
        <v>119</v>
      </c>
      <c r="D421" s="1" t="n">
        <v>11986378153</v>
      </c>
      <c r="E421" s="1" t="s">
        <v>1244</v>
      </c>
      <c r="F421" s="1" t="s">
        <v>104</v>
      </c>
      <c r="G421" s="1" t="s">
        <v>1293</v>
      </c>
      <c r="H421" s="1" t="s">
        <v>108</v>
      </c>
    </row>
    <row r="422" customFormat="false" ht="15" hidden="false" customHeight="true" outlineLevel="0" collapsed="false">
      <c r="A422" s="1" t="n">
        <v>0.122335</v>
      </c>
      <c r="B422" s="1" t="s">
        <v>123</v>
      </c>
      <c r="C422" s="1" t="s">
        <v>109</v>
      </c>
      <c r="D422" s="1" t="n">
        <v>4135389003</v>
      </c>
      <c r="E422" s="1" t="s">
        <v>1244</v>
      </c>
      <c r="F422" s="1" t="s">
        <v>104</v>
      </c>
      <c r="G422" s="1" t="s">
        <v>1293</v>
      </c>
      <c r="H422" s="1" t="s">
        <v>108</v>
      </c>
    </row>
    <row r="423" customFormat="false" ht="15" hidden="false" customHeight="true" outlineLevel="0" collapsed="false">
      <c r="A423" s="1" t="n">
        <v>0.122073</v>
      </c>
      <c r="B423" s="1" t="s">
        <v>123</v>
      </c>
      <c r="C423" s="1" t="s">
        <v>114</v>
      </c>
      <c r="D423" s="1" t="n">
        <v>38999765269</v>
      </c>
      <c r="E423" s="1" t="s">
        <v>1244</v>
      </c>
      <c r="F423" s="1" t="s">
        <v>104</v>
      </c>
      <c r="G423" s="1" t="s">
        <v>1293</v>
      </c>
      <c r="H423" s="1" t="s">
        <v>100</v>
      </c>
    </row>
    <row r="424" customFormat="false" ht="15" hidden="false" customHeight="true" outlineLevel="0" collapsed="false">
      <c r="A424" s="1" t="n">
        <v>0.12151</v>
      </c>
      <c r="B424" s="1" t="s">
        <v>123</v>
      </c>
      <c r="C424" s="1" t="s">
        <v>139</v>
      </c>
      <c r="D424" s="1" t="n">
        <v>4896183888</v>
      </c>
      <c r="E424" s="1" t="s">
        <v>1244</v>
      </c>
      <c r="F424" s="1" t="s">
        <v>104</v>
      </c>
      <c r="G424" s="1" t="s">
        <v>1293</v>
      </c>
      <c r="H424" s="1" t="s">
        <v>108</v>
      </c>
    </row>
    <row r="425" customFormat="false" ht="15" hidden="false" customHeight="true" outlineLevel="0" collapsed="false">
      <c r="A425" s="1" t="n">
        <v>0.12146</v>
      </c>
      <c r="B425" s="1" t="s">
        <v>123</v>
      </c>
      <c r="C425" s="1" t="s">
        <v>139</v>
      </c>
      <c r="D425" s="1" t="n">
        <v>47984645353</v>
      </c>
      <c r="E425" s="1" t="s">
        <v>1244</v>
      </c>
      <c r="F425" s="1" t="s">
        <v>104</v>
      </c>
      <c r="G425" s="1" t="s">
        <v>1293</v>
      </c>
      <c r="H425" s="1" t="s">
        <v>108</v>
      </c>
    </row>
    <row r="426" customFormat="false" ht="15" hidden="false" customHeight="true" outlineLevel="0" collapsed="false">
      <c r="A426" s="1" t="n">
        <v>0.062356</v>
      </c>
      <c r="B426" s="1" t="s">
        <v>102</v>
      </c>
      <c r="C426" s="1" t="s">
        <v>139</v>
      </c>
      <c r="D426" s="1" t="n">
        <v>4834387130</v>
      </c>
      <c r="E426" s="1" t="s">
        <v>1246</v>
      </c>
      <c r="F426" s="1" t="s">
        <v>102</v>
      </c>
      <c r="G426" s="1" t="s">
        <v>1293</v>
      </c>
      <c r="H426" s="1" t="s">
        <v>175</v>
      </c>
    </row>
    <row r="427" customFormat="false" ht="15" hidden="false" customHeight="true" outlineLevel="0" collapsed="false">
      <c r="A427" s="1" t="n">
        <v>0.12031</v>
      </c>
      <c r="B427" s="1" t="s">
        <v>123</v>
      </c>
      <c r="C427" s="1" t="s">
        <v>490</v>
      </c>
      <c r="D427" s="1" t="n">
        <v>8491898095</v>
      </c>
      <c r="E427" s="1" t="s">
        <v>1244</v>
      </c>
      <c r="F427" s="1" t="s">
        <v>104</v>
      </c>
      <c r="G427" s="1" t="s">
        <v>1293</v>
      </c>
      <c r="H427" s="1" t="s">
        <v>100</v>
      </c>
    </row>
    <row r="428" customFormat="false" ht="15" hidden="false" customHeight="true" outlineLevel="0" collapsed="false">
      <c r="A428" s="1" t="n">
        <v>0.120267</v>
      </c>
      <c r="B428" s="1" t="s">
        <v>123</v>
      </c>
      <c r="C428" s="1" t="s">
        <v>109</v>
      </c>
      <c r="D428" s="1" t="n">
        <v>43984327552</v>
      </c>
      <c r="E428" s="1" t="s">
        <v>1244</v>
      </c>
      <c r="F428" s="1" t="s">
        <v>104</v>
      </c>
      <c r="G428" s="1" t="s">
        <v>1293</v>
      </c>
      <c r="H428" s="1" t="s">
        <v>108</v>
      </c>
    </row>
    <row r="429" customFormat="false" ht="15" hidden="false" customHeight="true" outlineLevel="0" collapsed="false">
      <c r="A429" s="1" t="n">
        <v>0.120255</v>
      </c>
      <c r="B429" s="1" t="s">
        <v>123</v>
      </c>
      <c r="C429" s="1" t="s">
        <v>114</v>
      </c>
      <c r="D429" s="1" t="n">
        <v>32987051662</v>
      </c>
      <c r="E429" s="1" t="s">
        <v>1244</v>
      </c>
      <c r="F429" s="1" t="s">
        <v>104</v>
      </c>
      <c r="G429" s="1" t="s">
        <v>1293</v>
      </c>
      <c r="H429" s="1" t="s">
        <v>100</v>
      </c>
    </row>
    <row r="430" customFormat="false" ht="15" hidden="false" customHeight="true" outlineLevel="0" collapsed="false">
      <c r="A430" s="1" t="n">
        <v>0.102208</v>
      </c>
      <c r="B430" s="1" t="s">
        <v>110</v>
      </c>
      <c r="C430" s="1" t="s">
        <v>196</v>
      </c>
      <c r="D430" s="1" t="n">
        <v>5199570807</v>
      </c>
      <c r="E430" s="1" t="s">
        <v>1244</v>
      </c>
      <c r="F430" s="1" t="s">
        <v>110</v>
      </c>
      <c r="G430" s="1" t="s">
        <v>1293</v>
      </c>
      <c r="H430" s="1" t="s">
        <v>108</v>
      </c>
    </row>
    <row r="431" customFormat="false" ht="15" hidden="false" customHeight="true" outlineLevel="0" collapsed="false">
      <c r="A431" s="1" t="n">
        <v>0.11946</v>
      </c>
      <c r="B431" s="1" t="s">
        <v>123</v>
      </c>
      <c r="C431" s="1" t="s">
        <v>243</v>
      </c>
      <c r="D431" s="1" t="n">
        <v>11981418684</v>
      </c>
      <c r="E431" s="1" t="s">
        <v>1244</v>
      </c>
      <c r="F431" s="1" t="s">
        <v>104</v>
      </c>
      <c r="G431" s="1" t="s">
        <v>1293</v>
      </c>
      <c r="H431" s="1" t="s">
        <v>100</v>
      </c>
    </row>
    <row r="432" customFormat="false" ht="15" hidden="false" customHeight="true" outlineLevel="0" collapsed="false">
      <c r="A432" s="1" t="n">
        <v>0.119161</v>
      </c>
      <c r="B432" s="1" t="s">
        <v>123</v>
      </c>
      <c r="C432" s="1" t="s">
        <v>119</v>
      </c>
      <c r="D432" s="1" t="n">
        <v>11972750236</v>
      </c>
      <c r="E432" s="1" t="s">
        <v>1244</v>
      </c>
      <c r="F432" s="1" t="s">
        <v>104</v>
      </c>
      <c r="G432" s="1" t="s">
        <v>1293</v>
      </c>
      <c r="H432" s="1" t="s">
        <v>100</v>
      </c>
    </row>
    <row r="433" customFormat="false" ht="15" hidden="false" customHeight="true" outlineLevel="0" collapsed="false">
      <c r="A433" s="1" t="n">
        <v>0.118789</v>
      </c>
      <c r="B433" s="1" t="s">
        <v>123</v>
      </c>
      <c r="C433" s="1" t="s">
        <v>243</v>
      </c>
      <c r="D433" s="1" t="n">
        <v>75991448812</v>
      </c>
      <c r="E433" s="1" t="s">
        <v>1244</v>
      </c>
      <c r="F433" s="1" t="s">
        <v>104</v>
      </c>
      <c r="G433" s="1" t="s">
        <v>1293</v>
      </c>
      <c r="H433" s="1" t="s">
        <v>100</v>
      </c>
    </row>
    <row r="434" customFormat="false" ht="15" hidden="false" customHeight="true" outlineLevel="0" collapsed="false">
      <c r="A434" s="1" t="n">
        <v>0.101171</v>
      </c>
      <c r="B434" s="1" t="s">
        <v>110</v>
      </c>
      <c r="C434" s="1" t="s">
        <v>139</v>
      </c>
      <c r="D434" s="1" t="n">
        <v>49991030124</v>
      </c>
      <c r="E434" s="1" t="s">
        <v>1244</v>
      </c>
      <c r="F434" s="1" t="s">
        <v>110</v>
      </c>
      <c r="G434" s="1" t="s">
        <v>1293</v>
      </c>
      <c r="H434" s="1" t="s">
        <v>184</v>
      </c>
    </row>
    <row r="435" customFormat="false" ht="15" hidden="false" customHeight="true" outlineLevel="0" collapsed="false">
      <c r="A435" s="1" t="n">
        <v>0.1181</v>
      </c>
      <c r="B435" s="1" t="s">
        <v>123</v>
      </c>
      <c r="C435" s="1" t="s">
        <v>139</v>
      </c>
      <c r="D435" s="1" t="n">
        <v>47984065800</v>
      </c>
      <c r="E435" s="1" t="s">
        <v>1244</v>
      </c>
      <c r="F435" s="1" t="s">
        <v>104</v>
      </c>
      <c r="G435" s="1" t="s">
        <v>1293</v>
      </c>
      <c r="H435" s="1" t="s">
        <v>108</v>
      </c>
    </row>
    <row r="436" customFormat="false" ht="15" hidden="false" customHeight="true" outlineLevel="0" collapsed="false">
      <c r="A436" s="1" t="n">
        <v>0.117708</v>
      </c>
      <c r="B436" s="1" t="s">
        <v>123</v>
      </c>
      <c r="C436" s="1" t="s">
        <v>109</v>
      </c>
      <c r="D436" s="1" t="n">
        <v>4131562009</v>
      </c>
      <c r="E436" s="1" t="s">
        <v>1244</v>
      </c>
      <c r="F436" s="1" t="s">
        <v>104</v>
      </c>
      <c r="G436" s="1" t="s">
        <v>1293</v>
      </c>
      <c r="H436" s="1" t="s">
        <v>108</v>
      </c>
    </row>
    <row r="437" customFormat="false" ht="15" hidden="false" customHeight="true" outlineLevel="0" collapsed="false">
      <c r="A437" s="1" t="n">
        <v>0.117612</v>
      </c>
      <c r="B437" s="1" t="s">
        <v>123</v>
      </c>
      <c r="C437" s="1" t="s">
        <v>119</v>
      </c>
      <c r="D437" s="1" t="n">
        <v>11966453643</v>
      </c>
      <c r="E437" s="1" t="s">
        <v>1244</v>
      </c>
      <c r="F437" s="1" t="s">
        <v>104</v>
      </c>
      <c r="G437" s="1" t="s">
        <v>1293</v>
      </c>
      <c r="H437" s="1" t="s">
        <v>100</v>
      </c>
    </row>
    <row r="438" customFormat="false" ht="15" hidden="false" customHeight="true" outlineLevel="0" collapsed="false">
      <c r="A438" s="1" t="n">
        <v>0.117001</v>
      </c>
      <c r="B438" s="1" t="s">
        <v>123</v>
      </c>
      <c r="C438" s="1" t="s">
        <v>935</v>
      </c>
      <c r="D438" s="1" t="n">
        <v>83981815719</v>
      </c>
      <c r="E438" s="1" t="s">
        <v>1244</v>
      </c>
      <c r="F438" s="1" t="s">
        <v>104</v>
      </c>
      <c r="G438" s="1" t="s">
        <v>1293</v>
      </c>
      <c r="H438" s="1" t="s">
        <v>100</v>
      </c>
    </row>
    <row r="439" customFormat="false" ht="15" hidden="false" customHeight="true" outlineLevel="0" collapsed="false">
      <c r="A439" s="1" t="n">
        <v>0.116333</v>
      </c>
      <c r="B439" s="1" t="s">
        <v>123</v>
      </c>
      <c r="C439" s="1" t="s">
        <v>196</v>
      </c>
      <c r="D439" s="1" t="n">
        <v>51996615844</v>
      </c>
      <c r="E439" s="1" t="s">
        <v>1244</v>
      </c>
      <c r="F439" s="1" t="s">
        <v>104</v>
      </c>
      <c r="G439" s="1" t="s">
        <v>1293</v>
      </c>
      <c r="H439" s="1" t="s">
        <v>108</v>
      </c>
    </row>
    <row r="440" customFormat="false" ht="15" hidden="false" customHeight="true" outlineLevel="0" collapsed="false">
      <c r="A440" s="1" t="n">
        <v>0.116164</v>
      </c>
      <c r="B440" s="1" t="s">
        <v>123</v>
      </c>
      <c r="C440" s="1" t="s">
        <v>119</v>
      </c>
      <c r="D440" s="1" t="n">
        <v>16991341864</v>
      </c>
      <c r="E440" s="1" t="s">
        <v>1244</v>
      </c>
      <c r="F440" s="1" t="s">
        <v>104</v>
      </c>
      <c r="G440" s="1" t="s">
        <v>1293</v>
      </c>
      <c r="H440" s="1" t="s">
        <v>100</v>
      </c>
    </row>
    <row r="441" customFormat="false" ht="15" hidden="false" customHeight="true" outlineLevel="0" collapsed="false">
      <c r="A441" s="1" t="n">
        <v>0.116136</v>
      </c>
      <c r="B441" s="1" t="s">
        <v>123</v>
      </c>
      <c r="C441" s="1" t="s">
        <v>109</v>
      </c>
      <c r="D441" s="1" t="n">
        <v>4195403795</v>
      </c>
      <c r="E441" s="1" t="s">
        <v>1244</v>
      </c>
      <c r="F441" s="1" t="s">
        <v>104</v>
      </c>
      <c r="G441" s="1" t="s">
        <v>1293</v>
      </c>
      <c r="H441" s="1" t="s">
        <v>108</v>
      </c>
    </row>
    <row r="442" customFormat="false" ht="15" hidden="false" customHeight="true" outlineLevel="0" collapsed="false">
      <c r="A442" s="1" t="n">
        <v>0.115838</v>
      </c>
      <c r="B442" s="1" t="s">
        <v>123</v>
      </c>
      <c r="C442" s="1" t="s">
        <v>263</v>
      </c>
      <c r="D442" s="1" t="n">
        <v>44970646226</v>
      </c>
      <c r="E442" s="1" t="s">
        <v>1244</v>
      </c>
      <c r="F442" s="1" t="s">
        <v>104</v>
      </c>
      <c r="G442" s="1" t="s">
        <v>1293</v>
      </c>
      <c r="H442" s="1" t="s">
        <v>100</v>
      </c>
    </row>
    <row r="443" customFormat="false" ht="15" hidden="false" customHeight="true" outlineLevel="0" collapsed="false">
      <c r="A443" s="1" t="n">
        <v>0.115712</v>
      </c>
      <c r="B443" s="1" t="s">
        <v>123</v>
      </c>
      <c r="C443" s="1" t="s">
        <v>139</v>
      </c>
      <c r="D443" s="1" t="n">
        <v>49984379123</v>
      </c>
      <c r="E443" s="1" t="s">
        <v>1244</v>
      </c>
      <c r="F443" s="1" t="s">
        <v>104</v>
      </c>
      <c r="G443" s="1" t="s">
        <v>1293</v>
      </c>
      <c r="H443" s="1" t="s">
        <v>108</v>
      </c>
    </row>
    <row r="444" customFormat="false" ht="15" hidden="false" customHeight="true" outlineLevel="0" collapsed="false">
      <c r="A444" s="1" t="n">
        <v>0.115699</v>
      </c>
      <c r="B444" s="1" t="s">
        <v>123</v>
      </c>
      <c r="C444" s="1" t="s">
        <v>196</v>
      </c>
      <c r="D444" s="1" t="n">
        <v>54999199019</v>
      </c>
      <c r="E444" s="1" t="s">
        <v>1244</v>
      </c>
      <c r="F444" s="1" t="s">
        <v>104</v>
      </c>
      <c r="G444" s="1" t="s">
        <v>1293</v>
      </c>
      <c r="H444" s="1" t="s">
        <v>108</v>
      </c>
    </row>
    <row r="445" customFormat="false" ht="15" hidden="false" customHeight="true" outlineLevel="0" collapsed="false">
      <c r="A445" s="1" t="n">
        <v>0.114636</v>
      </c>
      <c r="B445" s="1" t="s">
        <v>123</v>
      </c>
      <c r="C445" s="1" t="s">
        <v>139</v>
      </c>
      <c r="D445" s="1" t="n">
        <v>4834436589</v>
      </c>
      <c r="E445" s="1" t="s">
        <v>1244</v>
      </c>
      <c r="F445" s="1" t="s">
        <v>104</v>
      </c>
      <c r="G445" s="1" t="s">
        <v>1293</v>
      </c>
      <c r="H445" s="1" t="s">
        <v>108</v>
      </c>
    </row>
    <row r="446" customFormat="false" ht="15" hidden="false" customHeight="true" outlineLevel="0" collapsed="false">
      <c r="A446" s="1" t="n">
        <v>0.114136</v>
      </c>
      <c r="B446" s="1" t="s">
        <v>123</v>
      </c>
      <c r="C446" s="1" t="s">
        <v>139</v>
      </c>
      <c r="D446" s="1" t="n">
        <v>1</v>
      </c>
      <c r="E446" s="1" t="s">
        <v>1244</v>
      </c>
      <c r="F446" s="1" t="s">
        <v>104</v>
      </c>
      <c r="G446" s="1" t="s">
        <v>1293</v>
      </c>
      <c r="H446" s="1" t="s">
        <v>108</v>
      </c>
    </row>
    <row r="447" customFormat="false" ht="15" hidden="false" customHeight="true" outlineLevel="0" collapsed="false">
      <c r="A447" s="1" t="n">
        <v>0.114107</v>
      </c>
      <c r="B447" s="1" t="s">
        <v>123</v>
      </c>
      <c r="C447" s="1" t="s">
        <v>109</v>
      </c>
      <c r="D447" s="1" t="n">
        <v>4134084191</v>
      </c>
      <c r="E447" s="1" t="s">
        <v>1244</v>
      </c>
      <c r="F447" s="1" t="s">
        <v>104</v>
      </c>
      <c r="G447" s="1" t="s">
        <v>1293</v>
      </c>
      <c r="H447" s="1" t="s">
        <v>108</v>
      </c>
    </row>
    <row r="448" customFormat="false" ht="15" hidden="false" customHeight="true" outlineLevel="0" collapsed="false">
      <c r="A448" s="1" t="n">
        <v>0.113801</v>
      </c>
      <c r="B448" s="1" t="s">
        <v>123</v>
      </c>
      <c r="C448" s="1" t="s">
        <v>114</v>
      </c>
      <c r="D448" s="1" t="n">
        <v>3598024566</v>
      </c>
      <c r="E448" s="1" t="s">
        <v>1244</v>
      </c>
      <c r="F448" s="1" t="s">
        <v>104</v>
      </c>
      <c r="G448" s="1" t="s">
        <v>1293</v>
      </c>
      <c r="H448" s="1" t="s">
        <v>100</v>
      </c>
    </row>
    <row r="449" customFormat="false" ht="15" hidden="false" customHeight="true" outlineLevel="0" collapsed="false">
      <c r="A449" s="1" t="n">
        <v>0.113792</v>
      </c>
      <c r="B449" s="1" t="s">
        <v>123</v>
      </c>
      <c r="C449" s="1" t="s">
        <v>139</v>
      </c>
      <c r="D449" s="1" t="n">
        <v>4898322004</v>
      </c>
      <c r="E449" s="1" t="s">
        <v>1244</v>
      </c>
      <c r="F449" s="1" t="s">
        <v>104</v>
      </c>
      <c r="G449" s="1" t="s">
        <v>1293</v>
      </c>
      <c r="H449" s="1" t="s">
        <v>108</v>
      </c>
    </row>
    <row r="450" customFormat="false" ht="15" hidden="false" customHeight="true" outlineLevel="0" collapsed="false">
      <c r="A450" s="1" t="n">
        <v>0.058176</v>
      </c>
      <c r="B450" s="1" t="s">
        <v>102</v>
      </c>
      <c r="C450" s="1" t="s">
        <v>196</v>
      </c>
      <c r="D450" s="1" t="n">
        <v>51997038430</v>
      </c>
      <c r="E450" s="1" t="s">
        <v>1246</v>
      </c>
      <c r="F450" s="1" t="s">
        <v>102</v>
      </c>
      <c r="G450" s="1" t="s">
        <v>1293</v>
      </c>
      <c r="H450" s="1" t="s">
        <v>108</v>
      </c>
    </row>
    <row r="451" customFormat="false" ht="15" hidden="false" customHeight="true" outlineLevel="0" collapsed="false">
      <c r="A451" s="1" t="n">
        <v>0.112284</v>
      </c>
      <c r="B451" s="1" t="s">
        <v>123</v>
      </c>
      <c r="C451" s="1" t="s">
        <v>114</v>
      </c>
      <c r="D451" s="1" t="n">
        <v>19981135234</v>
      </c>
      <c r="E451" s="1" t="s">
        <v>1244</v>
      </c>
      <c r="F451" s="1" t="s">
        <v>104</v>
      </c>
      <c r="G451" s="1" t="s">
        <v>1293</v>
      </c>
      <c r="H451" s="1" t="s">
        <v>100</v>
      </c>
    </row>
    <row r="452" customFormat="false" ht="15" hidden="false" customHeight="true" outlineLevel="0" collapsed="false">
      <c r="A452" s="1" t="n">
        <v>0.11214</v>
      </c>
      <c r="B452" s="1" t="s">
        <v>123</v>
      </c>
      <c r="C452" s="1" t="s">
        <v>119</v>
      </c>
      <c r="D452" s="1" t="n">
        <v>4499253701</v>
      </c>
      <c r="E452" s="1" t="s">
        <v>1244</v>
      </c>
      <c r="F452" s="1" t="s">
        <v>104</v>
      </c>
      <c r="G452" s="1" t="s">
        <v>1293</v>
      </c>
      <c r="H452" s="1" t="s">
        <v>108</v>
      </c>
    </row>
    <row r="453" customFormat="false" ht="15" hidden="false" customHeight="true" outlineLevel="0" collapsed="false">
      <c r="A453" s="1" t="n">
        <v>0.109807</v>
      </c>
      <c r="B453" s="1" t="s">
        <v>123</v>
      </c>
      <c r="C453" s="1" t="s">
        <v>139</v>
      </c>
      <c r="D453" s="1" t="n">
        <v>4797870432</v>
      </c>
      <c r="E453" s="1" t="s">
        <v>1244</v>
      </c>
      <c r="F453" s="1" t="s">
        <v>104</v>
      </c>
      <c r="G453" s="1" t="s">
        <v>1293</v>
      </c>
      <c r="H453" s="1" t="s">
        <v>108</v>
      </c>
    </row>
    <row r="454" customFormat="false" ht="15" hidden="false" customHeight="true" outlineLevel="0" collapsed="false">
      <c r="A454" s="1" t="n">
        <v>0.109271</v>
      </c>
      <c r="B454" s="1" t="s">
        <v>123</v>
      </c>
      <c r="C454" s="1" t="s">
        <v>119</v>
      </c>
      <c r="D454" s="1" t="n">
        <v>11974594225</v>
      </c>
      <c r="E454" s="1" t="s">
        <v>1244</v>
      </c>
      <c r="F454" s="1" t="s">
        <v>104</v>
      </c>
      <c r="G454" s="1" t="s">
        <v>1293</v>
      </c>
      <c r="H454" s="1" t="s">
        <v>100</v>
      </c>
    </row>
    <row r="455" customFormat="false" ht="15" hidden="false" customHeight="true" outlineLevel="0" collapsed="false">
      <c r="A455" s="1" t="n">
        <v>0.107203</v>
      </c>
      <c r="B455" s="1" t="s">
        <v>123</v>
      </c>
      <c r="C455" s="1" t="s">
        <v>139</v>
      </c>
      <c r="D455" s="1" t="n">
        <v>4991100101</v>
      </c>
      <c r="E455" s="1" t="s">
        <v>1244</v>
      </c>
      <c r="F455" s="1" t="s">
        <v>104</v>
      </c>
      <c r="G455" s="1" t="s">
        <v>1293</v>
      </c>
      <c r="H455" s="1" t="s">
        <v>108</v>
      </c>
    </row>
    <row r="456" customFormat="false" ht="15" hidden="false" customHeight="true" outlineLevel="0" collapsed="false">
      <c r="A456" s="1" t="n">
        <v>0.105779</v>
      </c>
      <c r="B456" s="1" t="s">
        <v>123</v>
      </c>
      <c r="C456" s="1" t="s">
        <v>119</v>
      </c>
      <c r="D456" s="1" t="n">
        <v>1138191933</v>
      </c>
      <c r="E456" s="1" t="s">
        <v>1244</v>
      </c>
      <c r="F456" s="1" t="s">
        <v>104</v>
      </c>
      <c r="G456" s="1" t="s">
        <v>1293</v>
      </c>
      <c r="H456" s="1" t="s">
        <v>100</v>
      </c>
    </row>
    <row r="457" customFormat="false" ht="15" hidden="false" customHeight="true" outlineLevel="0" collapsed="false">
      <c r="A457" s="1" t="n">
        <v>0.105451</v>
      </c>
      <c r="B457" s="1" t="s">
        <v>123</v>
      </c>
      <c r="C457" s="1" t="s">
        <v>119</v>
      </c>
      <c r="D457" s="1" t="n">
        <v>18997820497</v>
      </c>
      <c r="E457" s="1" t="s">
        <v>1244</v>
      </c>
      <c r="F457" s="1" t="s">
        <v>104</v>
      </c>
      <c r="G457" s="1" t="s">
        <v>1293</v>
      </c>
      <c r="H457" s="1" t="s">
        <v>108</v>
      </c>
    </row>
    <row r="458" customFormat="false" ht="15" hidden="false" customHeight="true" outlineLevel="0" collapsed="false">
      <c r="A458" s="1" t="n">
        <v>0.105365</v>
      </c>
      <c r="B458" s="1" t="s">
        <v>123</v>
      </c>
      <c r="C458" s="1" t="s">
        <v>119</v>
      </c>
      <c r="D458" s="1" t="n">
        <v>13997006070</v>
      </c>
      <c r="E458" s="1" t="s">
        <v>1244</v>
      </c>
      <c r="F458" s="1" t="s">
        <v>104</v>
      </c>
      <c r="G458" s="1" t="s">
        <v>1293</v>
      </c>
      <c r="H458" s="1" t="s">
        <v>100</v>
      </c>
    </row>
    <row r="459" customFormat="false" ht="15" hidden="false" customHeight="true" outlineLevel="0" collapsed="false">
      <c r="A459" s="1" t="n">
        <v>0.104201</v>
      </c>
      <c r="B459" s="1" t="s">
        <v>123</v>
      </c>
      <c r="C459" s="1" t="s">
        <v>119</v>
      </c>
      <c r="D459" s="1" t="n">
        <v>11443607601</v>
      </c>
      <c r="E459" s="1" t="s">
        <v>1244</v>
      </c>
      <c r="F459" s="1" t="s">
        <v>104</v>
      </c>
      <c r="G459" s="1" t="s">
        <v>1293</v>
      </c>
      <c r="H459" s="1" t="s">
        <v>100</v>
      </c>
    </row>
    <row r="460" customFormat="false" ht="15" hidden="false" customHeight="true" outlineLevel="0" collapsed="false">
      <c r="A460" s="1" t="n">
        <v>0.104112</v>
      </c>
      <c r="B460" s="1" t="s">
        <v>123</v>
      </c>
      <c r="C460" s="1" t="s">
        <v>109</v>
      </c>
      <c r="D460" s="1" t="n">
        <v>1</v>
      </c>
      <c r="E460" s="1" t="s">
        <v>1244</v>
      </c>
      <c r="F460" s="1" t="s">
        <v>104</v>
      </c>
      <c r="G460" s="1" t="s">
        <v>1293</v>
      </c>
      <c r="H460" s="1" t="s">
        <v>108</v>
      </c>
    </row>
    <row r="461" customFormat="false" ht="15" hidden="false" customHeight="true" outlineLevel="0" collapsed="false">
      <c r="A461" s="1" t="n">
        <v>0.104094</v>
      </c>
      <c r="B461" s="1" t="s">
        <v>123</v>
      </c>
      <c r="C461" s="1" t="s">
        <v>196</v>
      </c>
      <c r="D461" s="1" t="n">
        <v>51981774433</v>
      </c>
      <c r="E461" s="1" t="s">
        <v>1244</v>
      </c>
      <c r="F461" s="1" t="s">
        <v>104</v>
      </c>
      <c r="G461" s="1" t="s">
        <v>1293</v>
      </c>
      <c r="H461" s="1" t="s">
        <v>108</v>
      </c>
    </row>
    <row r="462" customFormat="false" ht="15" hidden="false" customHeight="true" outlineLevel="0" collapsed="false">
      <c r="A462" s="1" t="n">
        <v>0.054542</v>
      </c>
      <c r="B462" s="1" t="s">
        <v>66</v>
      </c>
      <c r="C462" s="1" t="s">
        <v>109</v>
      </c>
      <c r="D462" s="1" t="n">
        <v>41991464469</v>
      </c>
      <c r="E462" s="1" t="s">
        <v>1246</v>
      </c>
      <c r="F462" s="1" t="s">
        <v>66</v>
      </c>
      <c r="G462" s="1" t="s">
        <v>1293</v>
      </c>
      <c r="H462" s="1" t="s">
        <v>175</v>
      </c>
    </row>
    <row r="463" customFormat="false" ht="15" hidden="false" customHeight="true" outlineLevel="0" collapsed="false">
      <c r="A463" s="1" t="n">
        <v>0.10257</v>
      </c>
      <c r="B463" s="1" t="s">
        <v>123</v>
      </c>
      <c r="C463" s="1" t="s">
        <v>119</v>
      </c>
      <c r="D463" s="1" t="n">
        <v>18981504646</v>
      </c>
      <c r="E463" s="1" t="s">
        <v>1244</v>
      </c>
      <c r="F463" s="1" t="s">
        <v>104</v>
      </c>
      <c r="G463" s="1" t="s">
        <v>1293</v>
      </c>
      <c r="H463" s="1" t="s">
        <v>100</v>
      </c>
    </row>
    <row r="464" customFormat="false" ht="15" hidden="false" customHeight="true" outlineLevel="0" collapsed="false">
      <c r="A464" s="1" t="n">
        <v>0.100789</v>
      </c>
      <c r="B464" s="1" t="s">
        <v>123</v>
      </c>
      <c r="C464" s="1" t="s">
        <v>260</v>
      </c>
      <c r="D464" s="1" t="n">
        <v>22981093913</v>
      </c>
      <c r="E464" s="1" t="s">
        <v>1244</v>
      </c>
      <c r="F464" s="1" t="s">
        <v>104</v>
      </c>
      <c r="G464" s="1" t="s">
        <v>1293</v>
      </c>
      <c r="H464" s="1" t="s">
        <v>108</v>
      </c>
    </row>
    <row r="465" customFormat="false" ht="15" hidden="false" customHeight="true" outlineLevel="0" collapsed="false">
      <c r="A465" s="1" t="n">
        <v>0.099939</v>
      </c>
      <c r="B465" s="1" t="s">
        <v>123</v>
      </c>
      <c r="C465" s="1" t="s">
        <v>196</v>
      </c>
      <c r="D465" s="1" t="n">
        <v>51984097998</v>
      </c>
      <c r="E465" s="1" t="s">
        <v>1246</v>
      </c>
      <c r="F465" s="1" t="s">
        <v>104</v>
      </c>
      <c r="G465" s="1" t="s">
        <v>1293</v>
      </c>
      <c r="H465" s="1" t="s">
        <v>108</v>
      </c>
    </row>
    <row r="466" customFormat="false" ht="15" hidden="false" customHeight="true" outlineLevel="0" collapsed="false">
      <c r="A466" s="1" t="n">
        <v>0.09732</v>
      </c>
      <c r="B466" s="1" t="s">
        <v>123</v>
      </c>
      <c r="C466" s="1" t="s">
        <v>119</v>
      </c>
      <c r="D466" s="1" t="n">
        <v>19981389325</v>
      </c>
      <c r="E466" s="1" t="s">
        <v>1246</v>
      </c>
      <c r="F466" s="1" t="s">
        <v>104</v>
      </c>
      <c r="G466" s="1" t="s">
        <v>1293</v>
      </c>
      <c r="H466" s="1" t="s">
        <v>100</v>
      </c>
    </row>
    <row r="467" customFormat="false" ht="15" hidden="false" customHeight="true" outlineLevel="0" collapsed="false">
      <c r="A467" s="1" t="n">
        <v>0.097124</v>
      </c>
      <c r="B467" s="1" t="s">
        <v>123</v>
      </c>
      <c r="C467" s="1" t="s">
        <v>114</v>
      </c>
      <c r="D467" s="1" t="n">
        <v>19998488255</v>
      </c>
      <c r="E467" s="1" t="s">
        <v>1246</v>
      </c>
      <c r="F467" s="1" t="s">
        <v>104</v>
      </c>
      <c r="G467" s="1" t="s">
        <v>1293</v>
      </c>
      <c r="H467" s="1" t="s">
        <v>100</v>
      </c>
    </row>
    <row r="468" customFormat="false" ht="15" hidden="false" customHeight="true" outlineLevel="0" collapsed="false">
      <c r="A468" s="1" t="n">
        <v>0.052984</v>
      </c>
      <c r="B468" s="1" t="s">
        <v>115</v>
      </c>
      <c r="C468" s="1" t="s">
        <v>139</v>
      </c>
      <c r="D468" s="1" t="n">
        <v>51997049422</v>
      </c>
      <c r="E468" s="1" t="s">
        <v>1246</v>
      </c>
      <c r="F468" s="1" t="s">
        <v>115</v>
      </c>
      <c r="G468" s="1" t="s">
        <v>1293</v>
      </c>
      <c r="H468" s="1" t="s">
        <v>184</v>
      </c>
    </row>
    <row r="469" customFormat="false" ht="15" hidden="false" customHeight="true" outlineLevel="0" collapsed="false">
      <c r="A469" s="1" t="n">
        <v>0.095183</v>
      </c>
      <c r="B469" s="1" t="s">
        <v>123</v>
      </c>
      <c r="C469" s="1" t="s">
        <v>109</v>
      </c>
      <c r="D469" s="1" t="n">
        <v>41991856234</v>
      </c>
      <c r="E469" s="1" t="s">
        <v>1246</v>
      </c>
      <c r="F469" s="1" t="s">
        <v>104</v>
      </c>
      <c r="G469" s="1" t="s">
        <v>1293</v>
      </c>
      <c r="H469" s="1" t="s">
        <v>108</v>
      </c>
    </row>
    <row r="470" customFormat="false" ht="15" hidden="false" customHeight="true" outlineLevel="0" collapsed="false">
      <c r="A470" s="1" t="n">
        <v>0.095001</v>
      </c>
      <c r="B470" s="1" t="s">
        <v>123</v>
      </c>
      <c r="C470" s="1" t="s">
        <v>250</v>
      </c>
      <c r="D470" s="1" t="n">
        <v>28999268380</v>
      </c>
      <c r="E470" s="1" t="s">
        <v>1246</v>
      </c>
      <c r="F470" s="1" t="s">
        <v>104</v>
      </c>
      <c r="G470" s="1" t="s">
        <v>1293</v>
      </c>
      <c r="H470" s="1" t="s">
        <v>100</v>
      </c>
    </row>
    <row r="471" customFormat="false" ht="15" hidden="false" customHeight="true" outlineLevel="0" collapsed="false">
      <c r="A471" s="1" t="n">
        <v>0.09353</v>
      </c>
      <c r="B471" s="1" t="s">
        <v>123</v>
      </c>
      <c r="C471" s="1" t="s">
        <v>139</v>
      </c>
      <c r="D471" s="1" t="n">
        <v>47999923625</v>
      </c>
      <c r="E471" s="1" t="s">
        <v>1246</v>
      </c>
      <c r="F471" s="1" t="s">
        <v>104</v>
      </c>
      <c r="G471" s="1" t="s">
        <v>1293</v>
      </c>
      <c r="H471" s="1" t="s">
        <v>108</v>
      </c>
    </row>
    <row r="472" customFormat="false" ht="15" hidden="false" customHeight="true" outlineLevel="0" collapsed="false">
      <c r="A472" s="1" t="n">
        <v>0.090966</v>
      </c>
      <c r="B472" s="1" t="s">
        <v>123</v>
      </c>
      <c r="C472" s="1" t="s">
        <v>109</v>
      </c>
      <c r="D472" s="1" t="n">
        <v>0</v>
      </c>
      <c r="E472" s="1" t="s">
        <v>1246</v>
      </c>
      <c r="F472" s="1" t="s">
        <v>104</v>
      </c>
      <c r="G472" s="1" t="s">
        <v>1293</v>
      </c>
      <c r="H472" s="1" t="s">
        <v>108</v>
      </c>
    </row>
    <row r="473" customFormat="false" ht="15" hidden="false" customHeight="true" outlineLevel="0" collapsed="false">
      <c r="A473" s="1" t="n">
        <v>0.090268</v>
      </c>
      <c r="B473" s="1" t="s">
        <v>123</v>
      </c>
      <c r="C473" s="1" t="s">
        <v>196</v>
      </c>
      <c r="D473" s="1" t="n">
        <v>51991587245</v>
      </c>
      <c r="E473" s="1" t="s">
        <v>1246</v>
      </c>
      <c r="F473" s="1" t="s">
        <v>104</v>
      </c>
      <c r="G473" s="1" t="s">
        <v>1293</v>
      </c>
      <c r="H473" s="1" t="s">
        <v>108</v>
      </c>
    </row>
    <row r="474" customFormat="false" ht="15" hidden="false" customHeight="true" outlineLevel="0" collapsed="false">
      <c r="A474" s="1" t="n">
        <v>0.072479</v>
      </c>
      <c r="B474" s="1" t="s">
        <v>110</v>
      </c>
      <c r="C474" s="1" t="s">
        <v>196</v>
      </c>
      <c r="D474" s="1" t="n">
        <v>51981926407</v>
      </c>
      <c r="E474" s="1" t="s">
        <v>1246</v>
      </c>
      <c r="F474" s="1" t="s">
        <v>110</v>
      </c>
      <c r="G474" s="1" t="s">
        <v>1293</v>
      </c>
      <c r="H474" s="1" t="s">
        <v>108</v>
      </c>
    </row>
    <row r="475" customFormat="false" ht="15" hidden="false" customHeight="true" outlineLevel="0" collapsed="false">
      <c r="A475" s="1" t="n">
        <v>0.080135</v>
      </c>
      <c r="B475" s="1" t="s">
        <v>123</v>
      </c>
      <c r="C475" s="1" t="s">
        <v>196</v>
      </c>
      <c r="D475" s="1" t="n">
        <v>51974015448</v>
      </c>
      <c r="E475" s="1" t="s">
        <v>1246</v>
      </c>
      <c r="F475" s="1" t="s">
        <v>104</v>
      </c>
      <c r="G475" s="1" t="s">
        <v>1293</v>
      </c>
      <c r="H475" s="1" t="s">
        <v>108</v>
      </c>
    </row>
    <row r="476" customFormat="false" ht="15" hidden="false" customHeight="true" outlineLevel="0" collapsed="false">
      <c r="A476" s="1" t="n">
        <v>0.04188</v>
      </c>
      <c r="B476" s="1" t="s">
        <v>66</v>
      </c>
      <c r="C476" s="1" t="s">
        <v>139</v>
      </c>
      <c r="D476" s="1" t="n">
        <v>4896909572</v>
      </c>
      <c r="E476" s="1" t="s">
        <v>1246</v>
      </c>
      <c r="F476" s="1" t="s">
        <v>66</v>
      </c>
      <c r="G476" s="1" t="s">
        <v>1293</v>
      </c>
      <c r="H476" s="1" t="s">
        <v>175</v>
      </c>
    </row>
    <row r="477" customFormat="false" ht="15" hidden="false" customHeight="true" outlineLevel="0" collapsed="false">
      <c r="A477" s="1" t="n">
        <v>0.0792</v>
      </c>
      <c r="B477" s="1" t="s">
        <v>123</v>
      </c>
      <c r="C477" s="1" t="s">
        <v>250</v>
      </c>
      <c r="D477" s="1" t="n">
        <v>1</v>
      </c>
      <c r="E477" s="1" t="s">
        <v>1246</v>
      </c>
      <c r="F477" s="1" t="s">
        <v>104</v>
      </c>
      <c r="G477" s="1" t="s">
        <v>1293</v>
      </c>
      <c r="H477" s="1" t="s">
        <v>100</v>
      </c>
    </row>
    <row r="478" customFormat="false" ht="15" hidden="false" customHeight="true" outlineLevel="0" collapsed="false">
      <c r="A478" s="1" t="n">
        <v>0.078597</v>
      </c>
      <c r="B478" s="1" t="s">
        <v>123</v>
      </c>
      <c r="C478" s="1" t="s">
        <v>114</v>
      </c>
      <c r="D478" s="1" t="n">
        <v>31975631545</v>
      </c>
      <c r="E478" s="1" t="s">
        <v>1246</v>
      </c>
      <c r="F478" s="1" t="s">
        <v>104</v>
      </c>
      <c r="G478" s="1" t="s">
        <v>1293</v>
      </c>
      <c r="H478" s="1" t="s">
        <v>100</v>
      </c>
    </row>
    <row r="479" customFormat="false" ht="15" hidden="false" customHeight="true" outlineLevel="0" collapsed="false">
      <c r="A479" s="1" t="n">
        <v>0.077407</v>
      </c>
      <c r="B479" s="1" t="s">
        <v>123</v>
      </c>
      <c r="C479" s="1" t="s">
        <v>139</v>
      </c>
      <c r="D479" s="1" t="n">
        <v>4734540773</v>
      </c>
      <c r="E479" s="1" t="s">
        <v>1246</v>
      </c>
      <c r="F479" s="1" t="s">
        <v>104</v>
      </c>
      <c r="G479" s="1" t="s">
        <v>1293</v>
      </c>
      <c r="H479" s="1" t="s">
        <v>108</v>
      </c>
    </row>
    <row r="480" customFormat="false" ht="15" hidden="false" customHeight="true" outlineLevel="0" collapsed="false">
      <c r="A480" s="1" t="n">
        <v>0.077286</v>
      </c>
      <c r="B480" s="1" t="s">
        <v>123</v>
      </c>
      <c r="C480" s="1" t="s">
        <v>139</v>
      </c>
      <c r="D480" s="1" t="n">
        <v>4791377929</v>
      </c>
      <c r="E480" s="1" t="s">
        <v>1246</v>
      </c>
      <c r="F480" s="1" t="s">
        <v>104</v>
      </c>
      <c r="G480" s="1" t="s">
        <v>1293</v>
      </c>
      <c r="H480" s="1" t="s">
        <v>108</v>
      </c>
    </row>
    <row r="481" customFormat="false" ht="15" hidden="false" customHeight="true" outlineLevel="0" collapsed="false">
      <c r="A481" s="1" t="n">
        <v>0.038919</v>
      </c>
      <c r="B481" s="1" t="s">
        <v>66</v>
      </c>
      <c r="C481" s="1" t="s">
        <v>139</v>
      </c>
      <c r="D481" s="1" t="n">
        <v>1</v>
      </c>
      <c r="E481" s="1" t="s">
        <v>1246</v>
      </c>
      <c r="F481" s="1" t="s">
        <v>66</v>
      </c>
      <c r="G481" s="1" t="s">
        <v>1293</v>
      </c>
      <c r="H481" s="1" t="s">
        <v>175</v>
      </c>
    </row>
    <row r="482" customFormat="false" ht="15" hidden="false" customHeight="true" outlineLevel="0" collapsed="false">
      <c r="A482" s="1" t="n">
        <v>0.072157</v>
      </c>
      <c r="B482" s="1" t="s">
        <v>123</v>
      </c>
      <c r="C482" s="1" t="s">
        <v>196</v>
      </c>
      <c r="D482" s="1" t="n">
        <v>54334411755</v>
      </c>
      <c r="E482" s="1" t="s">
        <v>1246</v>
      </c>
      <c r="F482" s="1" t="s">
        <v>104</v>
      </c>
      <c r="G482" s="1" t="s">
        <v>1293</v>
      </c>
      <c r="H482" s="1" t="s">
        <v>108</v>
      </c>
    </row>
    <row r="483" customFormat="false" ht="15" hidden="false" customHeight="true" outlineLevel="0" collapsed="false">
      <c r="A483" s="1" t="n">
        <v>0.070804</v>
      </c>
      <c r="B483" s="1" t="s">
        <v>123</v>
      </c>
      <c r="C483" s="1" t="s">
        <v>114</v>
      </c>
      <c r="D483" s="1" t="n">
        <v>31998340443</v>
      </c>
      <c r="E483" s="1" t="s">
        <v>1246</v>
      </c>
      <c r="F483" s="1" t="s">
        <v>104</v>
      </c>
      <c r="G483" s="1" t="s">
        <v>1293</v>
      </c>
      <c r="H483" s="1" t="s">
        <v>100</v>
      </c>
    </row>
    <row r="484" customFormat="false" ht="15" hidden="false" customHeight="true" outlineLevel="0" collapsed="false">
      <c r="A484" s="1" t="n">
        <v>0.070264</v>
      </c>
      <c r="B484" s="1" t="s">
        <v>123</v>
      </c>
      <c r="C484" s="1" t="s">
        <v>109</v>
      </c>
      <c r="D484" s="1" t="n">
        <v>41996380291</v>
      </c>
      <c r="E484" s="1" t="s">
        <v>1246</v>
      </c>
      <c r="F484" s="1" t="s">
        <v>104</v>
      </c>
      <c r="G484" s="1" t="s">
        <v>1293</v>
      </c>
      <c r="H484" s="1" t="s">
        <v>108</v>
      </c>
    </row>
    <row r="485" customFormat="false" ht="15" hidden="false" customHeight="true" outlineLevel="0" collapsed="false">
      <c r="A485" s="1" t="n">
        <v>0.058796</v>
      </c>
      <c r="B485" s="1" t="s">
        <v>110</v>
      </c>
      <c r="C485" s="1" t="s">
        <v>139</v>
      </c>
      <c r="D485" s="1" t="n">
        <v>49991801104</v>
      </c>
      <c r="E485" s="1" t="s">
        <v>1246</v>
      </c>
      <c r="F485" s="1" t="s">
        <v>110</v>
      </c>
      <c r="G485" s="1" t="s">
        <v>1293</v>
      </c>
      <c r="H485" s="1" t="s">
        <v>184</v>
      </c>
    </row>
    <row r="486" customFormat="false" ht="15" hidden="false" customHeight="true" outlineLevel="0" collapsed="false">
      <c r="A486" s="1" t="n">
        <v>0.068088</v>
      </c>
      <c r="B486" s="1" t="s">
        <v>123</v>
      </c>
      <c r="C486" s="1" t="s">
        <v>347</v>
      </c>
      <c r="D486" s="1" t="n">
        <v>8695516151</v>
      </c>
      <c r="E486" s="1" t="s">
        <v>1246</v>
      </c>
      <c r="F486" s="1" t="s">
        <v>104</v>
      </c>
      <c r="G486" s="1" t="s">
        <v>1293</v>
      </c>
      <c r="H486" s="1" t="s">
        <v>100</v>
      </c>
    </row>
    <row r="487" customFormat="false" ht="15" hidden="false" customHeight="true" outlineLevel="0" collapsed="false">
      <c r="A487" s="1" t="n">
        <v>0.067659</v>
      </c>
      <c r="B487" s="1" t="s">
        <v>123</v>
      </c>
      <c r="C487" s="1" t="s">
        <v>101</v>
      </c>
      <c r="D487" s="1" t="n">
        <v>66999684606</v>
      </c>
      <c r="E487" s="1" t="s">
        <v>1246</v>
      </c>
      <c r="F487" s="1" t="s">
        <v>104</v>
      </c>
      <c r="G487" s="1" t="s">
        <v>1293</v>
      </c>
      <c r="H487" s="1" t="s">
        <v>100</v>
      </c>
    </row>
    <row r="488" customFormat="false" ht="15" hidden="false" customHeight="true" outlineLevel="0" collapsed="false">
      <c r="A488" s="1" t="n">
        <v>0.067198</v>
      </c>
      <c r="B488" s="1" t="s">
        <v>123</v>
      </c>
      <c r="C488" s="1" t="s">
        <v>109</v>
      </c>
      <c r="D488" s="1" t="n">
        <v>43984033992</v>
      </c>
      <c r="E488" s="1" t="s">
        <v>1246</v>
      </c>
      <c r="F488" s="1" t="s">
        <v>104</v>
      </c>
      <c r="G488" s="1" t="s">
        <v>1293</v>
      </c>
      <c r="H488" s="1" t="s">
        <v>108</v>
      </c>
    </row>
    <row r="489" customFormat="false" ht="15" hidden="false" customHeight="true" outlineLevel="0" collapsed="false">
      <c r="A489" s="1" t="n">
        <v>0.052489</v>
      </c>
      <c r="B489" s="1" t="s">
        <v>123</v>
      </c>
      <c r="C489" s="1" t="s">
        <v>119</v>
      </c>
      <c r="D489" s="1" t="n">
        <v>1934957166</v>
      </c>
      <c r="E489" s="1" t="s">
        <v>1246</v>
      </c>
      <c r="F489" s="1" t="s">
        <v>104</v>
      </c>
      <c r="G489" s="1" t="s">
        <v>1293</v>
      </c>
      <c r="H489" s="1" t="s">
        <v>100</v>
      </c>
    </row>
    <row r="490" customFormat="false" ht="15" hidden="false" customHeight="true" outlineLevel="0" collapsed="false">
      <c r="A490" s="1" t="n">
        <v>0.051244</v>
      </c>
      <c r="B490" s="1" t="s">
        <v>123</v>
      </c>
      <c r="C490" s="1" t="s">
        <v>260</v>
      </c>
      <c r="D490" s="1" t="n">
        <v>22988709405</v>
      </c>
      <c r="E490" s="1" t="s">
        <v>1246</v>
      </c>
      <c r="F490" s="1" t="s">
        <v>104</v>
      </c>
      <c r="G490" s="1" t="s">
        <v>1293</v>
      </c>
      <c r="H490" s="1" t="s">
        <v>100</v>
      </c>
    </row>
    <row r="491" customFormat="false" ht="15" hidden="false" customHeight="true" outlineLevel="0" collapsed="false">
      <c r="A491" s="1" t="n">
        <v>0.047825</v>
      </c>
      <c r="B491" s="1" t="s">
        <v>123</v>
      </c>
      <c r="C491" s="1" t="s">
        <v>119</v>
      </c>
      <c r="D491" s="1" t="n">
        <v>19991003669</v>
      </c>
      <c r="E491" s="1" t="s">
        <v>1246</v>
      </c>
      <c r="F491" s="1" t="s">
        <v>104</v>
      </c>
      <c r="G491" s="1" t="s">
        <v>1293</v>
      </c>
      <c r="H491" s="1" t="s">
        <v>100</v>
      </c>
    </row>
    <row r="492" customFormat="false" ht="15" hidden="false" customHeight="true" outlineLevel="0" collapsed="false">
      <c r="A492" s="1" t="n">
        <v>0.017988</v>
      </c>
      <c r="B492" s="1" t="s">
        <v>66</v>
      </c>
      <c r="C492" s="1" t="s">
        <v>139</v>
      </c>
      <c r="D492" s="1" t="n">
        <v>4885009192</v>
      </c>
      <c r="E492" s="1" t="s">
        <v>1246</v>
      </c>
      <c r="F492" s="1" t="s">
        <v>66</v>
      </c>
      <c r="G492" s="1" t="s">
        <v>1293</v>
      </c>
      <c r="H492" s="1" t="s">
        <v>175</v>
      </c>
    </row>
    <row r="493" customFormat="false" ht="15" hidden="false" customHeight="true" outlineLevel="0" collapsed="false">
      <c r="A493" s="1" t="n">
        <v>0.01198</v>
      </c>
      <c r="B493" s="1" t="s">
        <v>66</v>
      </c>
      <c r="C493" s="1" t="s">
        <v>139</v>
      </c>
      <c r="D493" s="1" t="n">
        <v>4885009192</v>
      </c>
      <c r="E493" s="1" t="s">
        <v>1246</v>
      </c>
      <c r="F493" s="1" t="s">
        <v>66</v>
      </c>
      <c r="G493" s="1" t="s">
        <v>1293</v>
      </c>
      <c r="H493" s="1" t="s">
        <v>175</v>
      </c>
    </row>
    <row r="494" customFormat="false" ht="15" hidden="false" customHeight="true" outlineLevel="0" collapsed="false">
      <c r="A494" s="1" t="n">
        <v>0</v>
      </c>
      <c r="B494" s="1" t="s">
        <v>124</v>
      </c>
      <c r="C494" s="1" t="s">
        <v>146</v>
      </c>
      <c r="D494" s="1" t="n">
        <v>9191661360</v>
      </c>
      <c r="E494" s="1" t="s">
        <v>1248</v>
      </c>
      <c r="F494" s="1" t="s">
        <v>124</v>
      </c>
      <c r="G494" s="1" t="s">
        <v>1293</v>
      </c>
      <c r="H494" s="1" t="s">
        <v>184</v>
      </c>
    </row>
    <row r="495" customFormat="false" ht="15" hidden="false" customHeight="true" outlineLevel="0" collapsed="false">
      <c r="A495" s="1" t="n">
        <v>0</v>
      </c>
      <c r="B495" s="1" t="s">
        <v>110</v>
      </c>
      <c r="C495" s="1" t="s">
        <v>146</v>
      </c>
      <c r="D495" s="1" t="n">
        <v>9130385403</v>
      </c>
      <c r="E495" s="1" t="s">
        <v>1248</v>
      </c>
      <c r="F495" s="1" t="s">
        <v>110</v>
      </c>
      <c r="G495" s="1" t="s">
        <v>1293</v>
      </c>
      <c r="H495" s="1" t="s">
        <v>184</v>
      </c>
    </row>
    <row r="496" customFormat="false" ht="15" hidden="false" customHeight="true" outlineLevel="0" collapsed="false">
      <c r="A496" s="1" t="n">
        <v>0</v>
      </c>
      <c r="B496" s="1" t="s">
        <v>124</v>
      </c>
      <c r="C496" s="1" t="s">
        <v>1114</v>
      </c>
      <c r="D496" s="1" t="n">
        <v>9191526077</v>
      </c>
      <c r="E496" s="1" t="s">
        <v>1248</v>
      </c>
      <c r="F496" s="1" t="s">
        <v>124</v>
      </c>
      <c r="G496" s="1" t="s">
        <v>1293</v>
      </c>
      <c r="H496" s="1" t="s">
        <v>184</v>
      </c>
    </row>
    <row r="497" customFormat="false" ht="15" hidden="false" customHeight="true" outlineLevel="0" collapsed="false">
      <c r="A497" s="1" t="n">
        <v>0</v>
      </c>
      <c r="B497" s="1" t="s">
        <v>124</v>
      </c>
      <c r="C497" s="1" t="s">
        <v>127</v>
      </c>
      <c r="D497" s="1" t="n">
        <v>6292088174</v>
      </c>
      <c r="E497" s="1" t="s">
        <v>1248</v>
      </c>
      <c r="F497" s="1" t="s">
        <v>124</v>
      </c>
      <c r="G497" s="1" t="s">
        <v>1293</v>
      </c>
      <c r="H497" s="1" t="s">
        <v>184</v>
      </c>
    </row>
    <row r="498" customFormat="false" ht="15" hidden="false" customHeight="true" outlineLevel="0" collapsed="false">
      <c r="A498" s="1" t="n">
        <v>0</v>
      </c>
      <c r="B498" s="1" t="s">
        <v>110</v>
      </c>
      <c r="C498" s="1" t="s">
        <v>935</v>
      </c>
      <c r="D498" s="1" t="n">
        <v>83996111876</v>
      </c>
      <c r="E498" s="1" t="s">
        <v>1248</v>
      </c>
      <c r="F498" s="1" t="s">
        <v>110</v>
      </c>
      <c r="G498" s="1" t="s">
        <v>1293</v>
      </c>
      <c r="H498" s="1" t="s">
        <v>184</v>
      </c>
    </row>
    <row r="499" customFormat="false" ht="15" hidden="false" customHeight="true" outlineLevel="0" collapsed="false">
      <c r="A499" s="1" t="n">
        <v>0</v>
      </c>
      <c r="B499" s="1" t="s">
        <v>115</v>
      </c>
      <c r="C499" s="1" t="s">
        <v>101</v>
      </c>
      <c r="D499" s="1" t="n">
        <v>66992239861</v>
      </c>
      <c r="E499" s="1" t="s">
        <v>1248</v>
      </c>
      <c r="F499" s="1" t="s">
        <v>115</v>
      </c>
      <c r="G499" s="1" t="s">
        <v>1293</v>
      </c>
      <c r="H499" s="1" t="s">
        <v>184</v>
      </c>
    </row>
    <row r="500" customFormat="false" ht="15" hidden="false" customHeight="true" outlineLevel="0" collapsed="false">
      <c r="A500" s="1" t="n">
        <v>0</v>
      </c>
      <c r="B500" s="1" t="s">
        <v>102</v>
      </c>
      <c r="C500" s="1" t="s">
        <v>114</v>
      </c>
      <c r="D500" s="1" t="n">
        <v>31355115213</v>
      </c>
      <c r="E500" s="1" t="s">
        <v>1248</v>
      </c>
      <c r="F500" s="1" t="s">
        <v>102</v>
      </c>
      <c r="G500" s="1" t="s">
        <v>1293</v>
      </c>
      <c r="H500" s="1" t="s">
        <v>175</v>
      </c>
    </row>
    <row r="501" customFormat="false" ht="15" hidden="false" customHeight="true" outlineLevel="0" collapsed="false">
      <c r="A501" s="1" t="n">
        <v>0</v>
      </c>
      <c r="B501" s="1" t="s">
        <v>102</v>
      </c>
      <c r="C501" s="1" t="s">
        <v>114</v>
      </c>
      <c r="D501" s="1" t="n">
        <v>31986333559</v>
      </c>
      <c r="E501" s="1" t="s">
        <v>1248</v>
      </c>
      <c r="F501" s="1" t="s">
        <v>102</v>
      </c>
      <c r="G501" s="1" t="s">
        <v>1293</v>
      </c>
      <c r="H501" s="1" t="s">
        <v>175</v>
      </c>
    </row>
    <row r="502" customFormat="false" ht="15" hidden="false" customHeight="true" outlineLevel="0" collapsed="false">
      <c r="A502" s="1" t="n">
        <v>0</v>
      </c>
      <c r="B502" s="1" t="s">
        <v>110</v>
      </c>
      <c r="C502" s="1" t="s">
        <v>119</v>
      </c>
      <c r="D502" s="1" t="n">
        <v>1195589320</v>
      </c>
      <c r="E502" s="1" t="s">
        <v>1248</v>
      </c>
      <c r="F502" s="1" t="s">
        <v>110</v>
      </c>
      <c r="G502" s="1" t="s">
        <v>1293</v>
      </c>
      <c r="H502" s="1" t="s">
        <v>184</v>
      </c>
    </row>
    <row r="503" customFormat="false" ht="15" hidden="false" customHeight="true" outlineLevel="0" collapsed="false">
      <c r="A503" s="1" t="n">
        <v>0</v>
      </c>
      <c r="B503" s="1" t="s">
        <v>1289</v>
      </c>
      <c r="C503" s="1" t="s">
        <v>119</v>
      </c>
      <c r="D503" s="1" t="n">
        <v>11952517604</v>
      </c>
      <c r="E503" s="1" t="s">
        <v>1248</v>
      </c>
      <c r="F503" s="1" t="s">
        <v>128</v>
      </c>
      <c r="G503" s="1" t="s">
        <v>1293</v>
      </c>
      <c r="H503" s="1" t="s">
        <v>184</v>
      </c>
    </row>
    <row r="504" customFormat="false" ht="15" hidden="false" customHeight="true" outlineLevel="0" collapsed="false">
      <c r="A504" s="1" t="n">
        <v>0</v>
      </c>
      <c r="B504" s="1" t="s">
        <v>110</v>
      </c>
      <c r="C504" s="1" t="s">
        <v>119</v>
      </c>
      <c r="D504" s="1" t="n">
        <v>11941321414</v>
      </c>
      <c r="E504" s="1" t="s">
        <v>1248</v>
      </c>
      <c r="F504" s="1" t="s">
        <v>110</v>
      </c>
      <c r="G504" s="1" t="s">
        <v>1293</v>
      </c>
      <c r="H504" s="1" t="s">
        <v>184</v>
      </c>
    </row>
    <row r="505" customFormat="false" ht="15" hidden="false" customHeight="true" outlineLevel="0" collapsed="false">
      <c r="A505" s="1" t="n">
        <v>0</v>
      </c>
      <c r="B505" s="1" t="s">
        <v>102</v>
      </c>
      <c r="C505" s="1" t="s">
        <v>119</v>
      </c>
      <c r="D505" s="1" t="n">
        <v>11357121111</v>
      </c>
      <c r="E505" s="1" t="s">
        <v>1248</v>
      </c>
      <c r="F505" s="1" t="s">
        <v>102</v>
      </c>
      <c r="G505" s="1" t="s">
        <v>1293</v>
      </c>
      <c r="H505" s="1" t="s">
        <v>175</v>
      </c>
    </row>
    <row r="506" customFormat="false" ht="15" hidden="false" customHeight="true" outlineLevel="0" collapsed="false">
      <c r="A506" s="1" t="n">
        <v>0</v>
      </c>
      <c r="B506" s="1" t="s">
        <v>120</v>
      </c>
      <c r="C506" s="1" t="s">
        <v>260</v>
      </c>
      <c r="D506" s="1" t="n">
        <v>21968863000</v>
      </c>
      <c r="E506" s="1" t="s">
        <v>1248</v>
      </c>
      <c r="F506" s="1" t="s">
        <v>120</v>
      </c>
      <c r="G506" s="1" t="s">
        <v>1293</v>
      </c>
      <c r="H506" s="1" t="s">
        <v>184</v>
      </c>
    </row>
    <row r="507" customFormat="false" ht="15" hidden="false" customHeight="true" outlineLevel="0" collapsed="false">
      <c r="A507" s="1" t="n">
        <v>0</v>
      </c>
      <c r="B507" s="1" t="s">
        <v>110</v>
      </c>
      <c r="C507" s="1" t="s">
        <v>119</v>
      </c>
      <c r="D507" s="1" t="n">
        <v>11953598017</v>
      </c>
      <c r="E507" s="1" t="s">
        <v>1248</v>
      </c>
      <c r="F507" s="1" t="s">
        <v>110</v>
      </c>
      <c r="G507" s="1" t="s">
        <v>1293</v>
      </c>
      <c r="H507" s="1" t="s">
        <v>184</v>
      </c>
    </row>
    <row r="508" customFormat="false" ht="15" hidden="false" customHeight="true" outlineLevel="0" collapsed="false">
      <c r="A508" s="1" t="n">
        <v>0</v>
      </c>
      <c r="B508" s="1" t="s">
        <v>102</v>
      </c>
      <c r="C508" s="1" t="s">
        <v>139</v>
      </c>
      <c r="D508" s="1" t="n">
        <v>4896982817</v>
      </c>
      <c r="E508" s="1" t="s">
        <v>1248</v>
      </c>
      <c r="F508" s="1" t="s">
        <v>102</v>
      </c>
      <c r="G508" s="1" t="s">
        <v>1293</v>
      </c>
      <c r="H508" s="1" t="s">
        <v>175</v>
      </c>
    </row>
    <row r="509" customFormat="false" ht="15" hidden="false" customHeight="true" outlineLevel="0" collapsed="false">
      <c r="A509" s="1" t="n">
        <v>0</v>
      </c>
      <c r="B509" s="1" t="s">
        <v>102</v>
      </c>
      <c r="C509" s="1" t="s">
        <v>139</v>
      </c>
      <c r="D509" s="1" t="n">
        <v>48364434974</v>
      </c>
      <c r="E509" s="1" t="s">
        <v>1248</v>
      </c>
      <c r="F509" s="1" t="s">
        <v>102</v>
      </c>
      <c r="G509" s="1" t="s">
        <v>1293</v>
      </c>
      <c r="H509" s="1" t="s">
        <v>175</v>
      </c>
    </row>
    <row r="510" customFormat="false" ht="15" hidden="false" customHeight="true" outlineLevel="0" collapsed="false">
      <c r="A510" s="1" t="n">
        <v>0</v>
      </c>
      <c r="B510" s="1" t="s">
        <v>102</v>
      </c>
      <c r="C510" s="1" t="s">
        <v>139</v>
      </c>
      <c r="D510" s="1" t="n">
        <v>4896065937</v>
      </c>
      <c r="E510" s="1" t="s">
        <v>1248</v>
      </c>
      <c r="F510" s="1" t="s">
        <v>102</v>
      </c>
      <c r="G510" s="1" t="s">
        <v>1293</v>
      </c>
      <c r="H510" s="1" t="s">
        <v>175</v>
      </c>
    </row>
    <row r="511" customFormat="false" ht="15" hidden="false" customHeight="true" outlineLevel="0" collapsed="false">
      <c r="A511" s="1" t="n">
        <v>0</v>
      </c>
      <c r="B511" s="1" t="s">
        <v>102</v>
      </c>
      <c r="C511" s="1" t="s">
        <v>139</v>
      </c>
      <c r="D511" s="1" t="n">
        <v>4896065937</v>
      </c>
      <c r="E511" s="1" t="s">
        <v>1248</v>
      </c>
      <c r="F511" s="1" t="s">
        <v>102</v>
      </c>
      <c r="G511" s="1" t="s">
        <v>1293</v>
      </c>
      <c r="H511" s="1" t="s">
        <v>175</v>
      </c>
    </row>
    <row r="512" customFormat="false" ht="15" hidden="false" customHeight="true" outlineLevel="0" collapsed="false">
      <c r="A512" s="1" t="n">
        <v>0</v>
      </c>
      <c r="B512" s="1" t="s">
        <v>66</v>
      </c>
      <c r="C512" s="1" t="s">
        <v>139</v>
      </c>
      <c r="D512" s="1" t="n">
        <v>55479932148</v>
      </c>
      <c r="E512" s="1" t="s">
        <v>1248</v>
      </c>
      <c r="F512" s="1" t="s">
        <v>66</v>
      </c>
      <c r="G512" s="1" t="s">
        <v>1293</v>
      </c>
      <c r="H512" s="1" t="s">
        <v>175</v>
      </c>
    </row>
    <row r="513" customFormat="false" ht="15" hidden="false" customHeight="true" outlineLevel="0" collapsed="false">
      <c r="A513" s="1" t="n">
        <v>0</v>
      </c>
      <c r="B513" s="1" t="s">
        <v>102</v>
      </c>
      <c r="C513" s="1" t="s">
        <v>139</v>
      </c>
      <c r="D513" s="1" t="n">
        <v>48996462635</v>
      </c>
      <c r="E513" s="1" t="s">
        <v>1248</v>
      </c>
      <c r="F513" s="1" t="s">
        <v>102</v>
      </c>
      <c r="G513" s="1" t="s">
        <v>1293</v>
      </c>
      <c r="H513" s="1" t="s">
        <v>175</v>
      </c>
    </row>
    <row r="514" customFormat="false" ht="15" hidden="false" customHeight="true" outlineLevel="0" collapsed="false">
      <c r="A514" s="1" t="n">
        <v>0</v>
      </c>
      <c r="B514" s="1" t="s">
        <v>102</v>
      </c>
      <c r="C514" s="1" t="s">
        <v>139</v>
      </c>
      <c r="D514" s="1" t="n">
        <v>4891607118</v>
      </c>
      <c r="E514" s="1" t="s">
        <v>1248</v>
      </c>
      <c r="F514" s="1" t="s">
        <v>102</v>
      </c>
      <c r="G514" s="1" t="s">
        <v>1293</v>
      </c>
      <c r="H514" s="1" t="s">
        <v>175</v>
      </c>
    </row>
    <row r="515" customFormat="false" ht="15" hidden="false" customHeight="true" outlineLevel="0" collapsed="false">
      <c r="A515" s="1" t="n">
        <v>0</v>
      </c>
      <c r="B515" s="1" t="s">
        <v>66</v>
      </c>
      <c r="C515" s="1" t="s">
        <v>139</v>
      </c>
      <c r="D515" s="1" t="n">
        <v>4899570928</v>
      </c>
      <c r="E515" s="1" t="s">
        <v>1248</v>
      </c>
      <c r="F515" s="1" t="s">
        <v>66</v>
      </c>
      <c r="G515" s="1" t="s">
        <v>1293</v>
      </c>
      <c r="H515" s="1" t="s">
        <v>175</v>
      </c>
    </row>
    <row r="516" customFormat="false" ht="15" hidden="false" customHeight="true" outlineLevel="0" collapsed="false">
      <c r="A516" s="1" t="n">
        <v>0</v>
      </c>
      <c r="B516" s="1" t="s">
        <v>102</v>
      </c>
      <c r="C516" s="1" t="s">
        <v>139</v>
      </c>
      <c r="D516" s="1" t="n">
        <v>49352109454</v>
      </c>
      <c r="E516" s="1" t="s">
        <v>1248</v>
      </c>
      <c r="F516" s="1" t="s">
        <v>102</v>
      </c>
      <c r="G516" s="1" t="s">
        <v>1293</v>
      </c>
      <c r="H516" s="1" t="s">
        <v>175</v>
      </c>
    </row>
    <row r="517" customFormat="false" ht="15" hidden="false" customHeight="true" outlineLevel="0" collapsed="false">
      <c r="A517" s="1" t="n">
        <v>0</v>
      </c>
      <c r="B517" s="1" t="s">
        <v>102</v>
      </c>
      <c r="C517" s="1" t="s">
        <v>139</v>
      </c>
      <c r="D517" s="1" t="n">
        <v>49355518064</v>
      </c>
      <c r="E517" s="1" t="s">
        <v>1248</v>
      </c>
      <c r="F517" s="1" t="s">
        <v>102</v>
      </c>
      <c r="G517" s="1" t="s">
        <v>1293</v>
      </c>
      <c r="H517" s="1" t="s">
        <v>175</v>
      </c>
    </row>
    <row r="518" customFormat="false" ht="15" hidden="false" customHeight="true" outlineLevel="0" collapsed="false">
      <c r="A518" s="1" t="n">
        <v>0</v>
      </c>
      <c r="B518" s="1" t="s">
        <v>110</v>
      </c>
      <c r="C518" s="1" t="s">
        <v>139</v>
      </c>
      <c r="D518" s="1" t="n">
        <v>49991380807</v>
      </c>
      <c r="E518" s="1" t="s">
        <v>1248</v>
      </c>
      <c r="F518" s="1" t="s">
        <v>110</v>
      </c>
      <c r="G518" s="1" t="s">
        <v>1293</v>
      </c>
      <c r="H518" s="1" t="s">
        <v>184</v>
      </c>
    </row>
    <row r="519" customFormat="false" ht="15" hidden="false" customHeight="true" outlineLevel="0" collapsed="false">
      <c r="A519" s="1" t="n">
        <v>0</v>
      </c>
      <c r="B519" s="1" t="s">
        <v>102</v>
      </c>
      <c r="C519" s="1" t="s">
        <v>139</v>
      </c>
      <c r="D519" s="1" t="n">
        <v>48353315324</v>
      </c>
      <c r="E519" s="1" t="s">
        <v>1248</v>
      </c>
      <c r="F519" s="1" t="s">
        <v>102</v>
      </c>
      <c r="G519" s="1" t="s">
        <v>1293</v>
      </c>
      <c r="H519" s="1" t="s">
        <v>175</v>
      </c>
    </row>
    <row r="520" customFormat="false" ht="15" hidden="false" customHeight="true" outlineLevel="0" collapsed="false">
      <c r="A520" s="1" t="n">
        <v>0</v>
      </c>
      <c r="B520" s="1" t="s">
        <v>102</v>
      </c>
      <c r="C520" s="1" t="s">
        <v>139</v>
      </c>
      <c r="D520" s="1" t="n">
        <v>48999933386</v>
      </c>
      <c r="E520" s="1" t="s">
        <v>1248</v>
      </c>
      <c r="F520" s="1" t="s">
        <v>102</v>
      </c>
      <c r="G520" s="1" t="s">
        <v>1293</v>
      </c>
      <c r="H520" s="1" t="s">
        <v>175</v>
      </c>
    </row>
    <row r="521" customFormat="false" ht="15" hidden="false" customHeight="true" outlineLevel="0" collapsed="false">
      <c r="A521" s="1" t="n">
        <v>0</v>
      </c>
      <c r="B521" s="1" t="s">
        <v>102</v>
      </c>
      <c r="C521" s="1" t="s">
        <v>139</v>
      </c>
      <c r="D521" s="1" t="n">
        <v>4834365126</v>
      </c>
      <c r="E521" s="1" t="s">
        <v>1248</v>
      </c>
      <c r="F521" s="1" t="s">
        <v>102</v>
      </c>
      <c r="G521" s="1" t="s">
        <v>1293</v>
      </c>
      <c r="H521" s="1" t="s">
        <v>108</v>
      </c>
    </row>
    <row r="522" customFormat="false" ht="15" hidden="false" customHeight="true" outlineLevel="0" collapsed="false">
      <c r="A522" s="1" t="n">
        <v>0</v>
      </c>
      <c r="B522" s="1" t="s">
        <v>102</v>
      </c>
      <c r="C522" s="1" t="s">
        <v>139</v>
      </c>
      <c r="D522" s="1" t="n">
        <v>32458714489</v>
      </c>
      <c r="E522" s="1" t="s">
        <v>1248</v>
      </c>
      <c r="F522" s="1" t="s">
        <v>102</v>
      </c>
      <c r="G522" s="1" t="s">
        <v>1293</v>
      </c>
      <c r="H522" s="1" t="s">
        <v>175</v>
      </c>
    </row>
    <row r="523" customFormat="false" ht="15" hidden="false" customHeight="true" outlineLevel="0" collapsed="false">
      <c r="A523" s="1" t="n">
        <v>0</v>
      </c>
      <c r="B523" s="1" t="s">
        <v>102</v>
      </c>
      <c r="C523" s="1" t="s">
        <v>139</v>
      </c>
      <c r="D523" s="1" t="n">
        <v>48328541974</v>
      </c>
      <c r="E523" s="1" t="s">
        <v>1248</v>
      </c>
      <c r="F523" s="1" t="s">
        <v>102</v>
      </c>
      <c r="G523" s="1" t="s">
        <v>1293</v>
      </c>
      <c r="H523" s="1" t="s">
        <v>175</v>
      </c>
    </row>
    <row r="524" customFormat="false" ht="15" hidden="false" customHeight="true" outlineLevel="0" collapsed="false">
      <c r="A524" s="1" t="n">
        <v>0</v>
      </c>
      <c r="B524" s="1" t="s">
        <v>102</v>
      </c>
      <c r="C524" s="1" t="s">
        <v>139</v>
      </c>
      <c r="D524" s="1" t="n">
        <v>49301843424</v>
      </c>
      <c r="E524" s="1" t="s">
        <v>1248</v>
      </c>
      <c r="F524" s="1" t="s">
        <v>102</v>
      </c>
      <c r="G524" s="1" t="s">
        <v>1293</v>
      </c>
      <c r="H524" s="1" t="s">
        <v>175</v>
      </c>
    </row>
    <row r="525" customFormat="false" ht="15" hidden="false" customHeight="true" outlineLevel="0" collapsed="false">
      <c r="A525" s="1" t="n">
        <v>0</v>
      </c>
      <c r="B525" s="1" t="s">
        <v>66</v>
      </c>
      <c r="C525" s="1" t="s">
        <v>139</v>
      </c>
      <c r="D525" s="1" t="n">
        <v>4899208020</v>
      </c>
      <c r="E525" s="1" t="s">
        <v>1248</v>
      </c>
      <c r="F525" s="1" t="s">
        <v>66</v>
      </c>
      <c r="G525" s="1" t="s">
        <v>1293</v>
      </c>
      <c r="H525" s="1" t="s">
        <v>175</v>
      </c>
    </row>
    <row r="526" customFormat="false" ht="15" hidden="false" customHeight="true" outlineLevel="0" collapsed="false">
      <c r="A526" s="1" t="n">
        <v>0</v>
      </c>
      <c r="B526" s="1" t="s">
        <v>102</v>
      </c>
      <c r="C526" s="1" t="s">
        <v>139</v>
      </c>
      <c r="D526" s="1" t="n">
        <v>48999471457</v>
      </c>
      <c r="E526" s="1" t="s">
        <v>1248</v>
      </c>
      <c r="F526" s="1" t="s">
        <v>102</v>
      </c>
      <c r="G526" s="1" t="s">
        <v>1293</v>
      </c>
      <c r="H526" s="1" t="s">
        <v>175</v>
      </c>
    </row>
    <row r="527" customFormat="false" ht="15" hidden="false" customHeight="true" outlineLevel="0" collapsed="false">
      <c r="A527" s="1" t="n">
        <v>0</v>
      </c>
      <c r="B527" s="1" t="s">
        <v>102</v>
      </c>
      <c r="C527" s="1" t="s">
        <v>139</v>
      </c>
      <c r="D527" s="1" t="n">
        <v>4834330546</v>
      </c>
      <c r="E527" s="1" t="s">
        <v>1248</v>
      </c>
      <c r="F527" s="1" t="s">
        <v>102</v>
      </c>
      <c r="G527" s="1" t="s">
        <v>1293</v>
      </c>
      <c r="H527" s="1" t="s">
        <v>175</v>
      </c>
    </row>
    <row r="528" customFormat="false" ht="15" hidden="false" customHeight="true" outlineLevel="0" collapsed="false">
      <c r="A528" s="1" t="n">
        <v>0</v>
      </c>
      <c r="B528" s="1" t="s">
        <v>102</v>
      </c>
      <c r="C528" s="1" t="s">
        <v>692</v>
      </c>
      <c r="D528" s="1" t="n">
        <v>5588993612</v>
      </c>
      <c r="E528" s="1" t="s">
        <v>1248</v>
      </c>
      <c r="F528" s="1" t="s">
        <v>102</v>
      </c>
      <c r="G528" s="1" t="s">
        <v>1293</v>
      </c>
      <c r="H528" s="1" t="s">
        <v>175</v>
      </c>
    </row>
    <row r="529" customFormat="false" ht="15" hidden="false" customHeight="true" outlineLevel="0" collapsed="false">
      <c r="A529" s="1" t="n">
        <v>0</v>
      </c>
      <c r="B529" s="1" t="s">
        <v>115</v>
      </c>
      <c r="C529" s="1" t="s">
        <v>243</v>
      </c>
      <c r="D529" s="1" t="n">
        <v>71999623033</v>
      </c>
      <c r="E529" s="1" t="s">
        <v>1248</v>
      </c>
      <c r="F529" s="1" t="s">
        <v>115</v>
      </c>
      <c r="G529" s="1" t="s">
        <v>1293</v>
      </c>
      <c r="H529" s="1" t="s">
        <v>184</v>
      </c>
    </row>
    <row r="530" customFormat="false" ht="15" hidden="false" customHeight="true" outlineLevel="0" collapsed="false">
      <c r="A530" s="1" t="n">
        <v>0</v>
      </c>
      <c r="B530" s="1" t="s">
        <v>115</v>
      </c>
      <c r="C530" s="1" t="s">
        <v>243</v>
      </c>
      <c r="D530" s="1" t="n">
        <v>45998168921</v>
      </c>
      <c r="E530" s="1" t="s">
        <v>1248</v>
      </c>
      <c r="F530" s="1" t="s">
        <v>115</v>
      </c>
      <c r="G530" s="1" t="s">
        <v>1293</v>
      </c>
      <c r="H530" s="1" t="s">
        <v>184</v>
      </c>
    </row>
    <row r="531" customFormat="false" ht="15" hidden="false" customHeight="true" outlineLevel="0" collapsed="false">
      <c r="A531" s="1" t="n">
        <v>0</v>
      </c>
      <c r="B531" s="1" t="s">
        <v>110</v>
      </c>
      <c r="C531" s="1" t="s">
        <v>250</v>
      </c>
      <c r="D531" s="1" t="n">
        <v>27999646131</v>
      </c>
      <c r="E531" s="1" t="s">
        <v>1248</v>
      </c>
      <c r="F531" s="1" t="s">
        <v>110</v>
      </c>
      <c r="G531" s="1" t="s">
        <v>1293</v>
      </c>
      <c r="H531" s="1" t="s">
        <v>184</v>
      </c>
    </row>
    <row r="532" customFormat="false" ht="15" hidden="false" customHeight="true" outlineLevel="0" collapsed="false">
      <c r="A532" s="1" t="n">
        <v>0</v>
      </c>
      <c r="B532" s="1" t="s">
        <v>110</v>
      </c>
      <c r="C532" s="1" t="s">
        <v>250</v>
      </c>
      <c r="D532" s="1" t="n">
        <v>2799241766</v>
      </c>
      <c r="E532" s="1" t="s">
        <v>1248</v>
      </c>
      <c r="F532" s="1" t="s">
        <v>110</v>
      </c>
      <c r="G532" s="1" t="s">
        <v>1293</v>
      </c>
      <c r="H532" s="1" t="s">
        <v>100</v>
      </c>
    </row>
    <row r="533" customFormat="false" ht="15" hidden="false" customHeight="true" outlineLevel="0" collapsed="false">
      <c r="A533" s="1" t="n">
        <v>0</v>
      </c>
      <c r="B533" s="1" t="s">
        <v>1289</v>
      </c>
      <c r="C533" s="1" t="s">
        <v>311</v>
      </c>
      <c r="D533" s="1" t="n">
        <v>61921777496</v>
      </c>
      <c r="E533" s="1" t="s">
        <v>1248</v>
      </c>
      <c r="F533" s="1" t="s">
        <v>128</v>
      </c>
      <c r="G533" s="1" t="s">
        <v>1293</v>
      </c>
      <c r="H533" s="1" t="s">
        <v>184</v>
      </c>
    </row>
    <row r="534" customFormat="false" ht="15" hidden="false" customHeight="true" outlineLevel="0" collapsed="false">
      <c r="A534" s="1" t="n">
        <v>0</v>
      </c>
      <c r="B534" s="1" t="s">
        <v>124</v>
      </c>
      <c r="C534" s="1" t="s">
        <v>311</v>
      </c>
      <c r="D534" s="1" t="n">
        <v>61986344434</v>
      </c>
      <c r="E534" s="1" t="s">
        <v>1248</v>
      </c>
      <c r="F534" s="1" t="s">
        <v>124</v>
      </c>
      <c r="G534" s="1" t="s">
        <v>1293</v>
      </c>
      <c r="H534" s="1" t="s">
        <v>100</v>
      </c>
    </row>
    <row r="535" customFormat="false" ht="15" hidden="false" customHeight="true" outlineLevel="0" collapsed="false">
      <c r="A535" s="1" t="n">
        <v>0</v>
      </c>
      <c r="B535" s="1" t="s">
        <v>1183</v>
      </c>
      <c r="C535" s="1" t="s">
        <v>420</v>
      </c>
      <c r="D535" s="1" t="n">
        <v>9981318177</v>
      </c>
      <c r="E535" s="1" t="s">
        <v>1248</v>
      </c>
      <c r="F535" s="1" t="s">
        <v>1183</v>
      </c>
      <c r="G535" s="1" t="s">
        <v>1293</v>
      </c>
      <c r="H535" s="1" t="s">
        <v>100</v>
      </c>
    </row>
    <row r="536" customFormat="false" ht="15" hidden="false" customHeight="true" outlineLevel="0" collapsed="false">
      <c r="A536" s="1" t="n">
        <v>0</v>
      </c>
      <c r="B536" s="1" t="s">
        <v>110</v>
      </c>
      <c r="C536" s="1" t="s">
        <v>281</v>
      </c>
      <c r="D536" s="1" t="n">
        <v>6384306000</v>
      </c>
      <c r="E536" s="1" t="s">
        <v>1248</v>
      </c>
      <c r="F536" s="1" t="s">
        <v>110</v>
      </c>
      <c r="G536" s="1" t="s">
        <v>1293</v>
      </c>
      <c r="H536" s="1" t="s">
        <v>184</v>
      </c>
    </row>
    <row r="537" customFormat="false" ht="15" hidden="false" customHeight="true" outlineLevel="0" collapsed="false">
      <c r="A537" s="1" t="n">
        <v>0</v>
      </c>
      <c r="B537" s="1" t="s">
        <v>66</v>
      </c>
      <c r="C537" s="1" t="s">
        <v>347</v>
      </c>
      <c r="D537" s="1" t="n">
        <v>86998504191</v>
      </c>
      <c r="E537" s="1" t="s">
        <v>1248</v>
      </c>
      <c r="F537" s="1" t="s">
        <v>66</v>
      </c>
      <c r="G537" s="1" t="s">
        <v>1293</v>
      </c>
      <c r="H537" s="1" t="s">
        <v>175</v>
      </c>
    </row>
    <row r="538" customFormat="false" ht="15" hidden="false" customHeight="true" outlineLevel="0" collapsed="false">
      <c r="A538" s="1" t="n">
        <v>0</v>
      </c>
      <c r="B538" s="1" t="s">
        <v>124</v>
      </c>
      <c r="C538" s="1" t="s">
        <v>347</v>
      </c>
      <c r="D538" s="1" t="n">
        <v>9996311517</v>
      </c>
      <c r="E538" s="1" t="s">
        <v>1248</v>
      </c>
      <c r="F538" s="1" t="s">
        <v>124</v>
      </c>
      <c r="G538" s="1" t="s">
        <v>1293</v>
      </c>
      <c r="H538" s="1" t="s">
        <v>184</v>
      </c>
    </row>
    <row r="539" customFormat="false" ht="15" hidden="false" customHeight="true" outlineLevel="0" collapsed="false">
      <c r="A539" s="1" t="n">
        <v>0</v>
      </c>
      <c r="B539" s="1" t="s">
        <v>1289</v>
      </c>
      <c r="C539" s="1" t="s">
        <v>109</v>
      </c>
      <c r="D539" s="1" t="n">
        <v>47666666666</v>
      </c>
      <c r="E539" s="1" t="s">
        <v>1248</v>
      </c>
      <c r="F539" s="1" t="s">
        <v>128</v>
      </c>
      <c r="G539" s="1" t="s">
        <v>1293</v>
      </c>
      <c r="H539" s="1" t="s">
        <v>184</v>
      </c>
    </row>
    <row r="540" customFormat="false" ht="15" hidden="false" customHeight="true" outlineLevel="0" collapsed="false">
      <c r="A540" s="1" t="n">
        <v>0</v>
      </c>
      <c r="B540" s="1" t="s">
        <v>110</v>
      </c>
      <c r="C540" s="1" t="s">
        <v>109</v>
      </c>
      <c r="D540" s="1" t="n">
        <v>46999156565</v>
      </c>
      <c r="E540" s="1" t="s">
        <v>1248</v>
      </c>
      <c r="F540" s="1" t="s">
        <v>110</v>
      </c>
      <c r="G540" s="1" t="s">
        <v>1293</v>
      </c>
      <c r="H540" s="1" t="s">
        <v>184</v>
      </c>
    </row>
    <row r="541" customFormat="false" ht="15" hidden="false" customHeight="true" outlineLevel="0" collapsed="false">
      <c r="A541" s="1" t="n">
        <v>0</v>
      </c>
      <c r="B541" s="1" t="s">
        <v>124</v>
      </c>
      <c r="C541" s="1" t="s">
        <v>146</v>
      </c>
      <c r="D541" s="1" t="n">
        <v>6192861144</v>
      </c>
      <c r="E541" s="1" t="s">
        <v>1248</v>
      </c>
      <c r="F541" s="1" t="s">
        <v>124</v>
      </c>
      <c r="G541" s="1" t="s">
        <v>1293</v>
      </c>
      <c r="H541" s="1" t="s">
        <v>184</v>
      </c>
    </row>
    <row r="542" customFormat="false" ht="15" hidden="false" customHeight="true" outlineLevel="0" collapsed="false">
      <c r="A542" s="1" t="n">
        <v>0</v>
      </c>
      <c r="B542" s="1" t="s">
        <v>115</v>
      </c>
      <c r="C542" s="1" t="s">
        <v>146</v>
      </c>
      <c r="D542" s="1" t="n">
        <v>91920064409</v>
      </c>
      <c r="E542" s="1" t="s">
        <v>1248</v>
      </c>
      <c r="F542" s="1" t="s">
        <v>115</v>
      </c>
      <c r="G542" s="1" t="s">
        <v>1293</v>
      </c>
      <c r="H542" s="1" t="s">
        <v>100</v>
      </c>
    </row>
    <row r="543" customFormat="false" ht="15" hidden="false" customHeight="true" outlineLevel="0" collapsed="false">
      <c r="A543" s="1" t="n">
        <v>0</v>
      </c>
      <c r="B543" s="1" t="s">
        <v>115</v>
      </c>
      <c r="C543" s="1" t="s">
        <v>146</v>
      </c>
      <c r="D543" s="1" t="n">
        <v>91982018463</v>
      </c>
      <c r="E543" s="1" t="s">
        <v>1248</v>
      </c>
      <c r="F543" s="1" t="s">
        <v>115</v>
      </c>
      <c r="G543" s="1" t="s">
        <v>1293</v>
      </c>
      <c r="H543" s="1" t="s">
        <v>100</v>
      </c>
    </row>
    <row r="544" customFormat="false" ht="15" hidden="false" customHeight="true" outlineLevel="0" collapsed="false">
      <c r="A544" s="1" t="n">
        <v>0</v>
      </c>
      <c r="B544" s="1" t="s">
        <v>110</v>
      </c>
      <c r="C544" s="1" t="s">
        <v>146</v>
      </c>
      <c r="D544" s="1" t="n">
        <v>9199937313</v>
      </c>
      <c r="E544" s="1" t="s">
        <v>1248</v>
      </c>
      <c r="F544" s="1" t="s">
        <v>110</v>
      </c>
      <c r="G544" s="1" t="s">
        <v>1293</v>
      </c>
      <c r="H544" s="1" t="s">
        <v>184</v>
      </c>
    </row>
    <row r="545" customFormat="false" ht="15" hidden="false" customHeight="true" outlineLevel="0" collapsed="false">
      <c r="A545" s="1" t="n">
        <v>0</v>
      </c>
      <c r="B545" s="1" t="s">
        <v>102</v>
      </c>
      <c r="C545" s="1" t="s">
        <v>139</v>
      </c>
      <c r="D545" s="1" t="n">
        <v>4899181526</v>
      </c>
      <c r="E545" s="1" t="s">
        <v>1248</v>
      </c>
      <c r="F545" s="1" t="s">
        <v>102</v>
      </c>
      <c r="G545" s="1" t="s">
        <v>1293</v>
      </c>
      <c r="H545" s="1" t="s">
        <v>108</v>
      </c>
    </row>
    <row r="546" customFormat="false" ht="15" hidden="false" customHeight="true" outlineLevel="0" collapsed="false">
      <c r="A546" s="1" t="n">
        <v>0</v>
      </c>
      <c r="B546" s="1" t="s">
        <v>110</v>
      </c>
      <c r="C546" s="1" t="s">
        <v>119</v>
      </c>
      <c r="D546" s="1" t="n">
        <v>19991984564</v>
      </c>
      <c r="E546" s="1" t="s">
        <v>1248</v>
      </c>
      <c r="F546" s="1" t="s">
        <v>110</v>
      </c>
      <c r="G546" s="1" t="s">
        <v>1293</v>
      </c>
      <c r="H546" s="1" t="s">
        <v>100</v>
      </c>
    </row>
    <row r="547" customFormat="false" ht="15" hidden="false" customHeight="true" outlineLevel="0" collapsed="false">
      <c r="A547" s="1" t="n">
        <v>0</v>
      </c>
      <c r="B547" s="1" t="s">
        <v>110</v>
      </c>
      <c r="C547" s="1" t="s">
        <v>119</v>
      </c>
      <c r="D547" s="1" t="n">
        <v>11994431674</v>
      </c>
      <c r="E547" s="1" t="s">
        <v>1248</v>
      </c>
      <c r="F547" s="1" t="s">
        <v>110</v>
      </c>
      <c r="G547" s="1" t="s">
        <v>1293</v>
      </c>
      <c r="H547" s="1" t="s">
        <v>100</v>
      </c>
    </row>
    <row r="548" customFormat="false" ht="15" hidden="false" customHeight="true" outlineLevel="0" collapsed="false">
      <c r="A548" s="1" t="n">
        <v>0</v>
      </c>
      <c r="B548" s="1" t="s">
        <v>110</v>
      </c>
      <c r="C548" s="1" t="s">
        <v>119</v>
      </c>
      <c r="D548" s="1" t="n">
        <v>12992291837</v>
      </c>
      <c r="E548" s="1" t="s">
        <v>1248</v>
      </c>
      <c r="F548" s="1" t="s">
        <v>110</v>
      </c>
      <c r="G548" s="1" t="s">
        <v>1293</v>
      </c>
      <c r="H548" s="1" t="s">
        <v>100</v>
      </c>
    </row>
    <row r="549" customFormat="false" ht="15" hidden="false" customHeight="true" outlineLevel="0" collapsed="false">
      <c r="A549" s="1" t="n">
        <v>0</v>
      </c>
      <c r="B549" s="1" t="s">
        <v>110</v>
      </c>
      <c r="C549" s="1" t="s">
        <v>196</v>
      </c>
      <c r="D549" s="1" t="n">
        <v>51991322184</v>
      </c>
      <c r="E549" s="1" t="s">
        <v>1248</v>
      </c>
      <c r="F549" s="1" t="s">
        <v>110</v>
      </c>
      <c r="G549" s="1" t="s">
        <v>1293</v>
      </c>
      <c r="H549" s="1" t="s">
        <v>108</v>
      </c>
    </row>
    <row r="550" customFormat="false" ht="15" hidden="false" customHeight="true" outlineLevel="0" collapsed="false">
      <c r="A550" s="1" t="n">
        <v>0</v>
      </c>
      <c r="B550" s="1" t="s">
        <v>110</v>
      </c>
      <c r="C550" s="1" t="s">
        <v>196</v>
      </c>
      <c r="D550" s="1" t="n">
        <v>5198650320</v>
      </c>
      <c r="E550" s="1" t="s">
        <v>1248</v>
      </c>
      <c r="F550" s="1" t="s">
        <v>110</v>
      </c>
      <c r="G550" s="1" t="s">
        <v>1293</v>
      </c>
      <c r="H550" s="1" t="s">
        <v>184</v>
      </c>
    </row>
    <row r="551" customFormat="false" ht="15" hidden="false" customHeight="true" outlineLevel="0" collapsed="false">
      <c r="A551" s="1" t="n">
        <v>0</v>
      </c>
      <c r="B551" s="1" t="s">
        <v>110</v>
      </c>
      <c r="C551" s="1" t="s">
        <v>196</v>
      </c>
      <c r="D551" s="1" t="n">
        <v>51997348809</v>
      </c>
      <c r="E551" s="1" t="s">
        <v>1248</v>
      </c>
      <c r="F551" s="1" t="s">
        <v>110</v>
      </c>
      <c r="G551" s="1" t="s">
        <v>1293</v>
      </c>
      <c r="H551" s="1" t="s">
        <v>108</v>
      </c>
    </row>
    <row r="552" customFormat="false" ht="15" hidden="false" customHeight="true" outlineLevel="0" collapsed="false">
      <c r="A552" s="1" t="n">
        <v>0</v>
      </c>
      <c r="B552" s="1" t="s">
        <v>1183</v>
      </c>
      <c r="C552" s="1" t="s">
        <v>196</v>
      </c>
      <c r="D552" s="1" t="n">
        <v>5436986665</v>
      </c>
      <c r="E552" s="1" t="s">
        <v>1248</v>
      </c>
      <c r="F552" s="1" t="s">
        <v>1183</v>
      </c>
      <c r="G552" s="1" t="s">
        <v>1293</v>
      </c>
      <c r="H552" s="1" t="s">
        <v>108</v>
      </c>
    </row>
    <row r="553" customFormat="false" ht="15" hidden="false" customHeight="true" outlineLevel="0" collapsed="false">
      <c r="A553" s="1" t="n">
        <v>0</v>
      </c>
      <c r="B553" s="1" t="s">
        <v>1289</v>
      </c>
      <c r="C553" s="1" t="s">
        <v>196</v>
      </c>
      <c r="D553" s="1" t="n">
        <v>5181315857</v>
      </c>
      <c r="E553" s="1" t="s">
        <v>1248</v>
      </c>
      <c r="F553" s="1" t="s">
        <v>128</v>
      </c>
      <c r="G553" s="1" t="s">
        <v>1293</v>
      </c>
      <c r="H553" s="1" t="s">
        <v>184</v>
      </c>
    </row>
    <row r="554" customFormat="false" ht="15" hidden="false" customHeight="true" outlineLevel="0" collapsed="false">
      <c r="A554" s="1" t="n">
        <v>0</v>
      </c>
      <c r="B554" s="1" t="s">
        <v>1289</v>
      </c>
      <c r="C554" s="1" t="s">
        <v>196</v>
      </c>
      <c r="D554" s="1" t="n">
        <v>5399432620</v>
      </c>
      <c r="E554" s="1" t="s">
        <v>1248</v>
      </c>
      <c r="F554" s="1" t="s">
        <v>128</v>
      </c>
      <c r="G554" s="1" t="s">
        <v>1293</v>
      </c>
      <c r="H554" s="1" t="s">
        <v>184</v>
      </c>
    </row>
    <row r="555" customFormat="false" ht="15" hidden="false" customHeight="true" outlineLevel="0" collapsed="false">
      <c r="A555" s="1" t="n">
        <v>0</v>
      </c>
      <c r="B555" s="1" t="s">
        <v>110</v>
      </c>
      <c r="C555" s="1" t="s">
        <v>196</v>
      </c>
      <c r="D555" s="1" t="n">
        <v>5182698275</v>
      </c>
      <c r="E555" s="1" t="s">
        <v>1248</v>
      </c>
      <c r="F555" s="1" t="s">
        <v>110</v>
      </c>
      <c r="G555" s="1" t="s">
        <v>1293</v>
      </c>
      <c r="H555" s="1" t="s">
        <v>108</v>
      </c>
    </row>
    <row r="556" customFormat="false" ht="15" hidden="false" customHeight="true" outlineLevel="0" collapsed="false">
      <c r="A556" s="1" t="n">
        <v>0</v>
      </c>
      <c r="B556" s="1" t="s">
        <v>110</v>
      </c>
      <c r="C556" s="1" t="s">
        <v>196</v>
      </c>
      <c r="D556" s="1" t="n">
        <v>5198650320</v>
      </c>
      <c r="E556" s="1" t="s">
        <v>1248</v>
      </c>
      <c r="F556" s="1" t="s">
        <v>110</v>
      </c>
      <c r="G556" s="1" t="s">
        <v>1293</v>
      </c>
      <c r="H556" s="1" t="s">
        <v>108</v>
      </c>
    </row>
    <row r="557" customFormat="false" ht="15" hidden="false" customHeight="true" outlineLevel="0" collapsed="false">
      <c r="A557" s="1" t="n">
        <v>0</v>
      </c>
      <c r="B557" s="1" t="s">
        <v>110</v>
      </c>
      <c r="C557" s="1" t="s">
        <v>196</v>
      </c>
      <c r="D557" s="1" t="n">
        <v>51981162558</v>
      </c>
      <c r="E557" s="1" t="s">
        <v>1248</v>
      </c>
      <c r="F557" s="1" t="s">
        <v>110</v>
      </c>
      <c r="G557" s="1" t="s">
        <v>1293</v>
      </c>
      <c r="H557" s="1" t="s">
        <v>108</v>
      </c>
    </row>
    <row r="558" customFormat="false" ht="15" hidden="false" customHeight="true" outlineLevel="0" collapsed="false">
      <c r="A558" s="1" t="n">
        <v>0</v>
      </c>
      <c r="B558" s="1" t="s">
        <v>110</v>
      </c>
      <c r="C558" s="1" t="s">
        <v>196</v>
      </c>
      <c r="D558" s="1" t="n">
        <v>5499389135</v>
      </c>
      <c r="E558" s="1" t="s">
        <v>1248</v>
      </c>
      <c r="F558" s="1" t="s">
        <v>110</v>
      </c>
      <c r="G558" s="1" t="s">
        <v>1293</v>
      </c>
      <c r="H558" s="1" t="s">
        <v>184</v>
      </c>
    </row>
    <row r="559" customFormat="false" ht="15" hidden="false" customHeight="true" outlineLevel="0" collapsed="false">
      <c r="A559" s="1" t="n">
        <v>0</v>
      </c>
      <c r="B559" s="1" t="s">
        <v>115</v>
      </c>
      <c r="C559" s="1" t="s">
        <v>196</v>
      </c>
      <c r="D559" s="1" t="n">
        <v>51978432995</v>
      </c>
      <c r="E559" s="1" t="s">
        <v>1248</v>
      </c>
      <c r="F559" s="1" t="s">
        <v>115</v>
      </c>
      <c r="G559" s="1" t="s">
        <v>1293</v>
      </c>
      <c r="H559" s="1" t="s">
        <v>108</v>
      </c>
    </row>
    <row r="560" customFormat="false" ht="15" hidden="false" customHeight="true" outlineLevel="0" collapsed="false">
      <c r="A560" s="1" t="n">
        <v>0</v>
      </c>
      <c r="B560" s="1" t="s">
        <v>110</v>
      </c>
      <c r="C560" s="1" t="s">
        <v>196</v>
      </c>
      <c r="D560" s="1" t="n">
        <v>5130881170</v>
      </c>
      <c r="E560" s="1" t="s">
        <v>1248</v>
      </c>
      <c r="F560" s="1" t="s">
        <v>110</v>
      </c>
      <c r="G560" s="1" t="s">
        <v>1293</v>
      </c>
      <c r="H560" s="1" t="s">
        <v>108</v>
      </c>
    </row>
    <row r="561" customFormat="false" ht="15" hidden="false" customHeight="true" outlineLevel="0" collapsed="false">
      <c r="A561" s="1" t="n">
        <v>0</v>
      </c>
      <c r="B561" s="1" t="s">
        <v>102</v>
      </c>
      <c r="C561" s="1" t="s">
        <v>196</v>
      </c>
      <c r="D561" s="1" t="n">
        <v>5198326810</v>
      </c>
      <c r="E561" s="1" t="s">
        <v>1248</v>
      </c>
      <c r="F561" s="1" t="s">
        <v>102</v>
      </c>
      <c r="G561" s="1" t="s">
        <v>1293</v>
      </c>
      <c r="H561" s="1" t="s">
        <v>108</v>
      </c>
    </row>
    <row r="562" customFormat="false" ht="15" hidden="false" customHeight="true" outlineLevel="0" collapsed="false">
      <c r="A562" s="1" t="n">
        <v>0</v>
      </c>
      <c r="B562" s="1" t="s">
        <v>110</v>
      </c>
      <c r="C562" s="1" t="s">
        <v>196</v>
      </c>
      <c r="D562" s="1" t="n">
        <v>5198059537</v>
      </c>
      <c r="E562" s="1" t="s">
        <v>1248</v>
      </c>
      <c r="F562" s="1" t="s">
        <v>110</v>
      </c>
      <c r="G562" s="1" t="s">
        <v>1293</v>
      </c>
      <c r="H562" s="1" t="s">
        <v>108</v>
      </c>
    </row>
    <row r="563" customFormat="false" ht="15" hidden="false" customHeight="true" outlineLevel="0" collapsed="false">
      <c r="A563" s="1" t="n">
        <v>0</v>
      </c>
      <c r="B563" s="1" t="s">
        <v>110</v>
      </c>
      <c r="C563" s="1" t="s">
        <v>196</v>
      </c>
      <c r="D563" s="1" t="n">
        <v>5121605809</v>
      </c>
      <c r="E563" s="1" t="s">
        <v>1248</v>
      </c>
      <c r="F563" s="1" t="s">
        <v>110</v>
      </c>
      <c r="G563" s="1" t="s">
        <v>1293</v>
      </c>
      <c r="H563" s="1" t="s">
        <v>108</v>
      </c>
    </row>
    <row r="564" customFormat="false" ht="15" hidden="false" customHeight="true" outlineLevel="0" collapsed="false">
      <c r="A564" s="1" t="n">
        <v>0</v>
      </c>
      <c r="B564" s="1" t="s">
        <v>110</v>
      </c>
      <c r="C564" s="1" t="s">
        <v>196</v>
      </c>
      <c r="D564" s="1" t="n">
        <v>54911206035</v>
      </c>
      <c r="E564" s="1" t="s">
        <v>1248</v>
      </c>
      <c r="F564" s="1" t="s">
        <v>110</v>
      </c>
      <c r="G564" s="1" t="s">
        <v>1293</v>
      </c>
      <c r="H564" s="1" t="s">
        <v>108</v>
      </c>
    </row>
    <row r="565" customFormat="false" ht="15" hidden="false" customHeight="true" outlineLevel="0" collapsed="false">
      <c r="A565" s="1" t="n">
        <v>0</v>
      </c>
      <c r="B565" s="1" t="s">
        <v>110</v>
      </c>
      <c r="C565" s="1" t="s">
        <v>196</v>
      </c>
      <c r="D565" s="1" t="n">
        <v>51999060096</v>
      </c>
      <c r="E565" s="1" t="s">
        <v>1248</v>
      </c>
      <c r="F565" s="1" t="s">
        <v>110</v>
      </c>
      <c r="G565" s="1" t="s">
        <v>1293</v>
      </c>
      <c r="H565" s="1" t="s">
        <v>184</v>
      </c>
    </row>
    <row r="566" customFormat="false" ht="15" hidden="false" customHeight="true" outlineLevel="0" collapsed="false">
      <c r="A566" s="1" t="n">
        <v>0</v>
      </c>
      <c r="B566" s="1" t="s">
        <v>110</v>
      </c>
      <c r="C566" s="1" t="s">
        <v>196</v>
      </c>
      <c r="D566" s="1" t="n">
        <v>51999868288</v>
      </c>
      <c r="E566" s="1" t="s">
        <v>1248</v>
      </c>
      <c r="F566" s="1" t="s">
        <v>110</v>
      </c>
      <c r="G566" s="1" t="s">
        <v>1293</v>
      </c>
      <c r="H566" s="1" t="s">
        <v>184</v>
      </c>
    </row>
    <row r="567" customFormat="false" ht="15" hidden="false" customHeight="true" outlineLevel="0" collapsed="false">
      <c r="A567" s="1" t="n">
        <v>0</v>
      </c>
      <c r="B567" s="1" t="s">
        <v>110</v>
      </c>
      <c r="C567" s="1" t="s">
        <v>196</v>
      </c>
      <c r="D567" s="1" t="n">
        <v>54341205505</v>
      </c>
      <c r="E567" s="1" t="s">
        <v>1248</v>
      </c>
      <c r="F567" s="1" t="s">
        <v>110</v>
      </c>
      <c r="G567" s="1" t="s">
        <v>1293</v>
      </c>
      <c r="H567" s="1" t="s">
        <v>184</v>
      </c>
    </row>
    <row r="568" customFormat="false" ht="15" hidden="false" customHeight="true" outlineLevel="0" collapsed="false">
      <c r="A568" s="1" t="n">
        <v>0</v>
      </c>
      <c r="B568" s="1" t="s">
        <v>110</v>
      </c>
      <c r="C568" s="1" t="s">
        <v>196</v>
      </c>
      <c r="D568" s="1" t="n">
        <v>5481337313</v>
      </c>
      <c r="E568" s="1" t="s">
        <v>1248</v>
      </c>
      <c r="F568" s="1" t="s">
        <v>110</v>
      </c>
      <c r="G568" s="1" t="s">
        <v>1293</v>
      </c>
      <c r="H568" s="1" t="s">
        <v>108</v>
      </c>
    </row>
    <row r="569" customFormat="false" ht="15" hidden="false" customHeight="true" outlineLevel="0" collapsed="false">
      <c r="A569" s="1" t="n">
        <v>0</v>
      </c>
      <c r="B569" s="1" t="s">
        <v>110</v>
      </c>
      <c r="C569" s="1" t="s">
        <v>196</v>
      </c>
      <c r="D569" s="1" t="n">
        <v>4791983912</v>
      </c>
      <c r="E569" s="1" t="s">
        <v>1248</v>
      </c>
      <c r="F569" s="1" t="s">
        <v>110</v>
      </c>
      <c r="G569" s="1" t="s">
        <v>1293</v>
      </c>
      <c r="H569" s="1" t="s">
        <v>184</v>
      </c>
    </row>
    <row r="570" customFormat="false" ht="15" hidden="false" customHeight="true" outlineLevel="0" collapsed="false">
      <c r="A570" s="1" t="n">
        <v>0</v>
      </c>
      <c r="B570" s="1" t="s">
        <v>1183</v>
      </c>
      <c r="C570" s="1" t="s">
        <v>196</v>
      </c>
      <c r="D570" s="1" t="n">
        <v>54996971028</v>
      </c>
      <c r="E570" s="1" t="s">
        <v>1248</v>
      </c>
      <c r="F570" s="1" t="s">
        <v>1183</v>
      </c>
      <c r="G570" s="1" t="s">
        <v>1293</v>
      </c>
      <c r="H570" s="1" t="s">
        <v>108</v>
      </c>
    </row>
    <row r="571" customFormat="false" ht="15" hidden="false" customHeight="true" outlineLevel="0" collapsed="false">
      <c r="A571" s="1" t="n">
        <v>0</v>
      </c>
      <c r="B571" s="1" t="s">
        <v>1289</v>
      </c>
      <c r="C571" s="1" t="s">
        <v>139</v>
      </c>
      <c r="D571" s="1" t="n">
        <v>48991032636</v>
      </c>
      <c r="E571" s="1" t="s">
        <v>1248</v>
      </c>
      <c r="F571" s="1" t="s">
        <v>128</v>
      </c>
      <c r="G571" s="1" t="s">
        <v>1293</v>
      </c>
      <c r="H571" s="1" t="s">
        <v>184</v>
      </c>
    </row>
    <row r="572" customFormat="false" ht="15" hidden="false" customHeight="true" outlineLevel="0" collapsed="false">
      <c r="A572" s="1" t="n">
        <v>0</v>
      </c>
      <c r="B572" s="1" t="s">
        <v>102</v>
      </c>
      <c r="C572" s="1" t="s">
        <v>139</v>
      </c>
      <c r="D572" s="1" t="n">
        <v>48306564114</v>
      </c>
      <c r="E572" s="1" t="s">
        <v>1248</v>
      </c>
      <c r="F572" s="1" t="s">
        <v>102</v>
      </c>
      <c r="G572" s="1" t="s">
        <v>1293</v>
      </c>
      <c r="H572" s="1" t="s">
        <v>175</v>
      </c>
    </row>
    <row r="573" customFormat="false" ht="15" hidden="false" customHeight="true" outlineLevel="0" collapsed="false">
      <c r="A573" s="1" t="n">
        <v>0</v>
      </c>
      <c r="B573" s="1" t="s">
        <v>66</v>
      </c>
      <c r="C573" s="1" t="s">
        <v>139</v>
      </c>
      <c r="D573" s="1" t="n">
        <v>4899454161</v>
      </c>
      <c r="E573" s="1" t="s">
        <v>1248</v>
      </c>
      <c r="F573" s="1" t="s">
        <v>66</v>
      </c>
      <c r="G573" s="1" t="s">
        <v>1293</v>
      </c>
      <c r="H573" s="1" t="s">
        <v>175</v>
      </c>
    </row>
    <row r="574" customFormat="false" ht="15" hidden="false" customHeight="true" outlineLevel="0" collapsed="false">
      <c r="A574" s="1" t="n">
        <v>0</v>
      </c>
      <c r="B574" s="1" t="s">
        <v>102</v>
      </c>
      <c r="C574" s="1" t="s">
        <v>139</v>
      </c>
      <c r="D574" s="1" t="n">
        <v>48991945703</v>
      </c>
      <c r="E574" s="1" t="s">
        <v>1248</v>
      </c>
      <c r="F574" s="1" t="s">
        <v>102</v>
      </c>
      <c r="G574" s="1" t="s">
        <v>1293</v>
      </c>
      <c r="H574" s="1" t="s">
        <v>175</v>
      </c>
    </row>
    <row r="575" customFormat="false" ht="15" hidden="false" customHeight="true" outlineLevel="0" collapsed="false">
      <c r="A575" s="1" t="n">
        <v>0</v>
      </c>
      <c r="B575" s="1" t="s">
        <v>110</v>
      </c>
      <c r="C575" s="1" t="s">
        <v>139</v>
      </c>
      <c r="D575" s="1" t="n">
        <v>48991619107</v>
      </c>
      <c r="E575" s="1" t="s">
        <v>1248</v>
      </c>
      <c r="F575" s="1" t="s">
        <v>110</v>
      </c>
      <c r="G575" s="1" t="s">
        <v>1293</v>
      </c>
      <c r="H575" s="1" t="s">
        <v>175</v>
      </c>
    </row>
    <row r="576" customFormat="false" ht="15" hidden="false" customHeight="true" outlineLevel="0" collapsed="false">
      <c r="A576" s="1" t="n">
        <v>0</v>
      </c>
      <c r="B576" s="1" t="s">
        <v>110</v>
      </c>
      <c r="C576" s="1" t="s">
        <v>109</v>
      </c>
      <c r="D576" s="1" t="n">
        <v>0</v>
      </c>
      <c r="E576" s="1" t="s">
        <v>1248</v>
      </c>
      <c r="F576" s="1" t="s">
        <v>110</v>
      </c>
      <c r="G576" s="1" t="s">
        <v>1293</v>
      </c>
      <c r="H576" s="1" t="s">
        <v>108</v>
      </c>
    </row>
    <row r="577" customFormat="false" ht="15" hidden="false" customHeight="true" outlineLevel="0" collapsed="false">
      <c r="A577" s="1" t="n">
        <v>0</v>
      </c>
      <c r="B577" s="1" t="s">
        <v>102</v>
      </c>
      <c r="C577" s="1" t="s">
        <v>109</v>
      </c>
      <c r="D577" s="1" t="n">
        <v>4195595101</v>
      </c>
      <c r="E577" s="1" t="s">
        <v>1248</v>
      </c>
      <c r="F577" s="1" t="s">
        <v>102</v>
      </c>
      <c r="G577" s="1" t="s">
        <v>1293</v>
      </c>
      <c r="H577" s="1" t="s">
        <v>175</v>
      </c>
    </row>
    <row r="578" customFormat="false" ht="15" hidden="false" customHeight="true" outlineLevel="0" collapsed="false">
      <c r="A578" s="1" t="n">
        <v>0</v>
      </c>
      <c r="B578" s="1" t="s">
        <v>110</v>
      </c>
      <c r="C578" s="1" t="s">
        <v>139</v>
      </c>
      <c r="D578" s="1" t="n">
        <v>51997011934</v>
      </c>
      <c r="E578" s="1" t="s">
        <v>1248</v>
      </c>
      <c r="F578" s="1" t="s">
        <v>110</v>
      </c>
      <c r="G578" s="1" t="s">
        <v>1293</v>
      </c>
      <c r="H578" s="1" t="s">
        <v>108</v>
      </c>
    </row>
    <row r="579" customFormat="false" ht="15" hidden="false" customHeight="true" outlineLevel="0" collapsed="false">
      <c r="A579" s="1" t="n">
        <v>0</v>
      </c>
      <c r="B579" s="1" t="s">
        <v>102</v>
      </c>
      <c r="C579" s="1" t="s">
        <v>139</v>
      </c>
      <c r="D579" s="1" t="n">
        <v>47984460123</v>
      </c>
      <c r="E579" s="1" t="s">
        <v>1248</v>
      </c>
      <c r="F579" s="1" t="s">
        <v>102</v>
      </c>
      <c r="G579" s="1" t="s">
        <v>1293</v>
      </c>
      <c r="H579" s="1" t="s">
        <v>175</v>
      </c>
    </row>
    <row r="580" customFormat="false" ht="15" hidden="false" customHeight="true" outlineLevel="0" collapsed="false">
      <c r="A580" s="1" t="n">
        <v>0</v>
      </c>
      <c r="B580" s="1" t="s">
        <v>102</v>
      </c>
      <c r="C580" s="1" t="s">
        <v>139</v>
      </c>
      <c r="D580" s="1" t="n">
        <v>4799670863</v>
      </c>
      <c r="E580" s="1" t="s">
        <v>1248</v>
      </c>
      <c r="F580" s="1" t="s">
        <v>102</v>
      </c>
      <c r="G580" s="1" t="s">
        <v>1293</v>
      </c>
      <c r="H580" s="1" t="s">
        <v>175</v>
      </c>
    </row>
    <row r="581" customFormat="false" ht="15" hidden="false" customHeight="true" outlineLevel="0" collapsed="false">
      <c r="A581" s="1" t="n">
        <v>0</v>
      </c>
      <c r="B581" s="1" t="s">
        <v>110</v>
      </c>
      <c r="C581" s="1" t="s">
        <v>139</v>
      </c>
      <c r="D581" s="1" t="n">
        <v>48912662695</v>
      </c>
      <c r="E581" s="1" t="s">
        <v>1248</v>
      </c>
      <c r="F581" s="1" t="s">
        <v>110</v>
      </c>
      <c r="G581" s="1" t="s">
        <v>1293</v>
      </c>
      <c r="H581" s="1" t="s">
        <v>184</v>
      </c>
    </row>
    <row r="582" customFormat="false" ht="15" hidden="false" customHeight="true" outlineLevel="0" collapsed="false">
      <c r="A582" s="1" t="n">
        <v>0</v>
      </c>
      <c r="B582" s="1" t="s">
        <v>66</v>
      </c>
      <c r="C582" s="1" t="s">
        <v>139</v>
      </c>
      <c r="D582" s="1" t="n">
        <v>4733680373</v>
      </c>
      <c r="E582" s="1" t="s">
        <v>1248</v>
      </c>
      <c r="F582" s="1" t="s">
        <v>66</v>
      </c>
      <c r="G582" s="1" t="s">
        <v>1293</v>
      </c>
      <c r="H582" s="1" t="s">
        <v>175</v>
      </c>
    </row>
    <row r="583" customFormat="false" ht="15" hidden="false" customHeight="true" outlineLevel="0" collapsed="false">
      <c r="A583" s="1" t="n">
        <v>0</v>
      </c>
      <c r="B583" s="1" t="s">
        <v>102</v>
      </c>
      <c r="C583" s="1" t="s">
        <v>139</v>
      </c>
      <c r="D583" s="1" t="n">
        <v>48337193684</v>
      </c>
      <c r="E583" s="1" t="s">
        <v>1248</v>
      </c>
      <c r="F583" s="1" t="s">
        <v>102</v>
      </c>
      <c r="G583" s="1" t="s">
        <v>1293</v>
      </c>
      <c r="H583" s="1" t="s">
        <v>175</v>
      </c>
    </row>
    <row r="584" customFormat="false" ht="15" hidden="false" customHeight="true" outlineLevel="0" collapsed="false">
      <c r="A584" s="1" t="n">
        <v>0</v>
      </c>
      <c r="B584" s="1" t="s">
        <v>102</v>
      </c>
      <c r="C584" s="1" t="s">
        <v>139</v>
      </c>
      <c r="D584" s="1" t="n">
        <v>48999974522</v>
      </c>
      <c r="E584" s="1" t="s">
        <v>1248</v>
      </c>
      <c r="F584" s="1" t="s">
        <v>102</v>
      </c>
      <c r="G584" s="1" t="s">
        <v>1293</v>
      </c>
      <c r="H584" s="1" t="s">
        <v>175</v>
      </c>
    </row>
    <row r="585" customFormat="false" ht="15" hidden="false" customHeight="true" outlineLevel="0" collapsed="false">
      <c r="A585" s="1" t="n">
        <v>0</v>
      </c>
      <c r="B585" s="1" t="s">
        <v>110</v>
      </c>
      <c r="C585" s="1" t="s">
        <v>139</v>
      </c>
      <c r="D585" s="1" t="n">
        <v>48309193006</v>
      </c>
      <c r="E585" s="1" t="s">
        <v>1248</v>
      </c>
      <c r="F585" s="1" t="s">
        <v>110</v>
      </c>
      <c r="G585" s="1" t="s">
        <v>1293</v>
      </c>
      <c r="H585" s="1" t="s">
        <v>184</v>
      </c>
    </row>
    <row r="586" customFormat="false" ht="15" hidden="false" customHeight="true" outlineLevel="0" collapsed="false">
      <c r="A586" s="1" t="n">
        <v>0</v>
      </c>
      <c r="B586" s="1" t="s">
        <v>102</v>
      </c>
      <c r="C586" s="1" t="s">
        <v>139</v>
      </c>
      <c r="D586" s="1" t="n">
        <v>48323876674</v>
      </c>
      <c r="E586" s="1" t="s">
        <v>1248</v>
      </c>
      <c r="F586" s="1" t="s">
        <v>102</v>
      </c>
      <c r="G586" s="1" t="s">
        <v>1293</v>
      </c>
      <c r="H586" s="1" t="s">
        <v>175</v>
      </c>
    </row>
    <row r="587" customFormat="false" ht="15" hidden="false" customHeight="true" outlineLevel="0" collapsed="false">
      <c r="A587" s="1" t="n">
        <v>0</v>
      </c>
      <c r="B587" s="1" t="s">
        <v>1183</v>
      </c>
      <c r="C587" s="1" t="s">
        <v>139</v>
      </c>
      <c r="D587" s="1" t="n">
        <v>4832097774</v>
      </c>
      <c r="E587" s="1" t="s">
        <v>1248</v>
      </c>
      <c r="F587" s="1" t="s">
        <v>1183</v>
      </c>
      <c r="G587" s="1" t="s">
        <v>1293</v>
      </c>
      <c r="H587" s="1" t="s">
        <v>184</v>
      </c>
    </row>
    <row r="588" customFormat="false" ht="15" hidden="false" customHeight="true" outlineLevel="0" collapsed="false">
      <c r="A588" s="1" t="n">
        <v>0</v>
      </c>
      <c r="B588" s="1" t="s">
        <v>102</v>
      </c>
      <c r="C588" s="1" t="s">
        <v>139</v>
      </c>
      <c r="D588" s="1" t="n">
        <v>48336457054</v>
      </c>
      <c r="E588" s="1" t="s">
        <v>1248</v>
      </c>
      <c r="F588" s="1" t="s">
        <v>102</v>
      </c>
      <c r="G588" s="1" t="s">
        <v>1293</v>
      </c>
      <c r="H588" s="1" t="s">
        <v>175</v>
      </c>
    </row>
    <row r="589" customFormat="false" ht="15" hidden="false" customHeight="true" outlineLevel="0" collapsed="false">
      <c r="A589" s="1" t="n">
        <v>0</v>
      </c>
      <c r="B589" s="1" t="s">
        <v>66</v>
      </c>
      <c r="C589" s="1" t="s">
        <v>139</v>
      </c>
      <c r="D589" s="1" t="n">
        <v>4799208020</v>
      </c>
      <c r="E589" s="1" t="s">
        <v>1248</v>
      </c>
      <c r="F589" s="1" t="s">
        <v>66</v>
      </c>
      <c r="G589" s="1" t="s">
        <v>1293</v>
      </c>
      <c r="H589" s="1" t="s">
        <v>175</v>
      </c>
    </row>
    <row r="590" customFormat="false" ht="15" hidden="false" customHeight="true" outlineLevel="0" collapsed="false">
      <c r="A590" s="1" t="n">
        <v>0</v>
      </c>
      <c r="B590" s="1" t="s">
        <v>102</v>
      </c>
      <c r="C590" s="1" t="s">
        <v>139</v>
      </c>
      <c r="D590" s="1" t="n">
        <v>4735151264</v>
      </c>
      <c r="E590" s="1" t="s">
        <v>1248</v>
      </c>
      <c r="F590" s="1" t="s">
        <v>102</v>
      </c>
      <c r="G590" s="1" t="s">
        <v>1293</v>
      </c>
      <c r="H590" s="1" t="s">
        <v>175</v>
      </c>
    </row>
    <row r="591" customFormat="false" ht="15" hidden="false" customHeight="true" outlineLevel="0" collapsed="false">
      <c r="A591" s="1" t="n">
        <v>0</v>
      </c>
      <c r="B591" s="1" t="s">
        <v>110</v>
      </c>
      <c r="C591" s="1" t="s">
        <v>139</v>
      </c>
      <c r="D591" s="1" t="n">
        <v>47992313977</v>
      </c>
      <c r="E591" s="1" t="s">
        <v>1248</v>
      </c>
      <c r="F591" s="1" t="s">
        <v>110</v>
      </c>
      <c r="G591" s="1" t="s">
        <v>1293</v>
      </c>
      <c r="H591" s="1" t="s">
        <v>184</v>
      </c>
    </row>
    <row r="592" customFormat="false" ht="15" hidden="false" customHeight="true" outlineLevel="0" collapsed="false">
      <c r="A592" s="1" t="n">
        <v>0</v>
      </c>
      <c r="B592" s="1" t="s">
        <v>102</v>
      </c>
      <c r="C592" s="1" t="s">
        <v>139</v>
      </c>
      <c r="D592" s="1" t="n">
        <v>51980271949</v>
      </c>
      <c r="E592" s="1" t="s">
        <v>1248</v>
      </c>
      <c r="F592" s="1" t="s">
        <v>102</v>
      </c>
      <c r="G592" s="1" t="s">
        <v>1293</v>
      </c>
      <c r="H592" s="1" t="s">
        <v>175</v>
      </c>
    </row>
    <row r="593" customFormat="false" ht="15" hidden="false" customHeight="true" outlineLevel="0" collapsed="false">
      <c r="A593" s="1" t="n">
        <v>0</v>
      </c>
      <c r="B593" s="1" t="s">
        <v>110</v>
      </c>
      <c r="C593" s="1" t="s">
        <v>139</v>
      </c>
      <c r="D593" s="1" t="n">
        <v>47989024341</v>
      </c>
      <c r="E593" s="1" t="s">
        <v>1248</v>
      </c>
      <c r="F593" s="1" t="s">
        <v>110</v>
      </c>
      <c r="G593" s="1" t="s">
        <v>1293</v>
      </c>
      <c r="H593" s="1" t="s">
        <v>184</v>
      </c>
    </row>
    <row r="594" customFormat="false" ht="15" hidden="false" customHeight="true" outlineLevel="0" collapsed="false">
      <c r="A594" s="1" t="n">
        <v>0</v>
      </c>
      <c r="B594" s="1" t="s">
        <v>66</v>
      </c>
      <c r="C594" s="1" t="s">
        <v>139</v>
      </c>
      <c r="D594" s="1" t="n">
        <v>47988666600</v>
      </c>
      <c r="E594" s="1" t="s">
        <v>1248</v>
      </c>
      <c r="F594" s="1" t="s">
        <v>66</v>
      </c>
      <c r="G594" s="1" t="s">
        <v>1293</v>
      </c>
      <c r="H594" s="1" t="s">
        <v>175</v>
      </c>
    </row>
    <row r="595" customFormat="false" ht="15" hidden="false" customHeight="true" outlineLevel="0" collapsed="false">
      <c r="A595" s="1" t="n">
        <v>0</v>
      </c>
      <c r="B595" s="1" t="s">
        <v>102</v>
      </c>
      <c r="C595" s="1" t="s">
        <v>139</v>
      </c>
      <c r="D595" s="1" t="n">
        <v>11952819565</v>
      </c>
      <c r="E595" s="1" t="s">
        <v>1248</v>
      </c>
      <c r="F595" s="1" t="s">
        <v>102</v>
      </c>
      <c r="G595" s="1" t="s">
        <v>1293</v>
      </c>
      <c r="H595" s="1" t="s">
        <v>175</v>
      </c>
    </row>
    <row r="596" customFormat="false" ht="15" hidden="false" customHeight="true" outlineLevel="0" collapsed="false">
      <c r="A596" s="1" t="n">
        <v>0</v>
      </c>
      <c r="B596" s="1" t="s">
        <v>102</v>
      </c>
      <c r="C596" s="1" t="s">
        <v>139</v>
      </c>
      <c r="D596" s="1" t="n">
        <v>4898165198</v>
      </c>
      <c r="E596" s="1" t="s">
        <v>1248</v>
      </c>
      <c r="F596" s="1" t="s">
        <v>102</v>
      </c>
      <c r="G596" s="1" t="s">
        <v>1293</v>
      </c>
      <c r="H596" s="1" t="s">
        <v>175</v>
      </c>
    </row>
    <row r="597" customFormat="false" ht="15" hidden="false" customHeight="true" outlineLevel="0" collapsed="false">
      <c r="A597" s="1" t="n">
        <v>0</v>
      </c>
      <c r="B597" s="1" t="s">
        <v>110</v>
      </c>
      <c r="C597" s="1" t="s">
        <v>139</v>
      </c>
      <c r="D597" s="1" t="n">
        <v>49991912112</v>
      </c>
      <c r="E597" s="1" t="s">
        <v>1248</v>
      </c>
      <c r="F597" s="1" t="s">
        <v>110</v>
      </c>
      <c r="G597" s="1" t="s">
        <v>1293</v>
      </c>
      <c r="H597" s="1" t="s">
        <v>184</v>
      </c>
    </row>
    <row r="598" customFormat="false" ht="15" hidden="false" customHeight="true" outlineLevel="0" collapsed="false">
      <c r="A598" s="1" t="n">
        <v>0</v>
      </c>
      <c r="B598" s="1" t="s">
        <v>124</v>
      </c>
      <c r="C598" s="1" t="s">
        <v>139</v>
      </c>
      <c r="D598" s="1" t="n">
        <v>4733046797</v>
      </c>
      <c r="E598" s="1" t="s">
        <v>1248</v>
      </c>
      <c r="F598" s="1" t="s">
        <v>124</v>
      </c>
      <c r="G598" s="1" t="s">
        <v>1293</v>
      </c>
      <c r="H598" s="1" t="s">
        <v>108</v>
      </c>
    </row>
    <row r="599" customFormat="false" ht="15" hidden="false" customHeight="true" outlineLevel="0" collapsed="false">
      <c r="A599" s="1" t="n">
        <v>0</v>
      </c>
      <c r="B599" s="1" t="s">
        <v>102</v>
      </c>
      <c r="C599" s="1" t="s">
        <v>139</v>
      </c>
      <c r="D599" s="1" t="n">
        <v>4732789010</v>
      </c>
      <c r="E599" s="1" t="s">
        <v>1248</v>
      </c>
      <c r="F599" s="1" t="s">
        <v>102</v>
      </c>
      <c r="G599" s="1" t="s">
        <v>1293</v>
      </c>
      <c r="H599" s="1" t="s">
        <v>175</v>
      </c>
    </row>
    <row r="600" customFormat="false" ht="15" hidden="false" customHeight="true" outlineLevel="0" collapsed="false">
      <c r="A600" s="1" t="n">
        <v>0</v>
      </c>
      <c r="B600" s="1" t="s">
        <v>66</v>
      </c>
      <c r="C600" s="1" t="s">
        <v>139</v>
      </c>
      <c r="D600" s="1" t="n">
        <v>4799208020</v>
      </c>
      <c r="E600" s="1" t="s">
        <v>1248</v>
      </c>
      <c r="F600" s="1" t="s">
        <v>66</v>
      </c>
      <c r="G600" s="1" t="s">
        <v>1293</v>
      </c>
      <c r="H600" s="1" t="s">
        <v>175</v>
      </c>
    </row>
    <row r="601" customFormat="false" ht="15" hidden="false" customHeight="true" outlineLevel="0" collapsed="false">
      <c r="A601" s="1" t="n">
        <v>0</v>
      </c>
      <c r="B601" s="1" t="s">
        <v>102</v>
      </c>
      <c r="C601" s="1" t="s">
        <v>139</v>
      </c>
      <c r="D601" s="1" t="n">
        <v>48999144680</v>
      </c>
      <c r="E601" s="1" t="s">
        <v>1248</v>
      </c>
      <c r="F601" s="1" t="s">
        <v>102</v>
      </c>
      <c r="G601" s="1" t="s">
        <v>1293</v>
      </c>
      <c r="H601" s="1" t="s">
        <v>175</v>
      </c>
    </row>
    <row r="602" customFormat="false" ht="15" hidden="false" customHeight="true" outlineLevel="0" collapsed="false">
      <c r="A602" s="1" t="n">
        <v>0</v>
      </c>
      <c r="B602" s="1" t="s">
        <v>102</v>
      </c>
      <c r="C602" s="1" t="s">
        <v>139</v>
      </c>
      <c r="D602" s="1" t="n">
        <v>48960659374</v>
      </c>
      <c r="E602" s="1" t="s">
        <v>1248</v>
      </c>
      <c r="F602" s="1" t="s">
        <v>102</v>
      </c>
      <c r="G602" s="1" t="s">
        <v>1293</v>
      </c>
      <c r="H602" s="1" t="s">
        <v>175</v>
      </c>
    </row>
    <row r="603" customFormat="false" ht="15" hidden="false" customHeight="true" outlineLevel="0" collapsed="false">
      <c r="A603" s="1" t="n">
        <v>0</v>
      </c>
      <c r="B603" s="1" t="s">
        <v>102</v>
      </c>
      <c r="C603" s="1" t="s">
        <v>139</v>
      </c>
      <c r="D603" s="1" t="n">
        <v>4799612048</v>
      </c>
      <c r="E603" s="1" t="s">
        <v>1248</v>
      </c>
      <c r="F603" s="1" t="s">
        <v>102</v>
      </c>
      <c r="G603" s="1" t="s">
        <v>1293</v>
      </c>
      <c r="H603" s="1" t="s">
        <v>175</v>
      </c>
    </row>
    <row r="604" customFormat="false" ht="15" hidden="false" customHeight="true" outlineLevel="0" collapsed="false">
      <c r="A604" s="1" t="n">
        <v>0</v>
      </c>
      <c r="B604" s="1" t="s">
        <v>102</v>
      </c>
      <c r="C604" s="1" t="s">
        <v>139</v>
      </c>
      <c r="D604" s="1" t="n">
        <v>47339687024</v>
      </c>
      <c r="E604" s="1" t="s">
        <v>1248</v>
      </c>
      <c r="F604" s="1" t="s">
        <v>102</v>
      </c>
      <c r="G604" s="1" t="s">
        <v>1293</v>
      </c>
      <c r="H604" s="1" t="s">
        <v>175</v>
      </c>
    </row>
    <row r="605" customFormat="false" ht="15" hidden="false" customHeight="true" outlineLevel="0" collapsed="false">
      <c r="A605" s="1" t="n">
        <v>0</v>
      </c>
      <c r="B605" s="1" t="s">
        <v>110</v>
      </c>
      <c r="C605" s="1" t="s">
        <v>139</v>
      </c>
      <c r="D605" s="1" t="n">
        <v>5181182130</v>
      </c>
      <c r="E605" s="1" t="s">
        <v>1248</v>
      </c>
      <c r="F605" s="1" t="s">
        <v>110</v>
      </c>
      <c r="G605" s="1" t="s">
        <v>1293</v>
      </c>
      <c r="H605" s="1" t="s">
        <v>108</v>
      </c>
    </row>
    <row r="606" customFormat="false" ht="15" hidden="false" customHeight="true" outlineLevel="0" collapsed="false">
      <c r="A606" s="1" t="n">
        <v>0</v>
      </c>
      <c r="B606" s="1" t="s">
        <v>66</v>
      </c>
      <c r="C606" s="1" t="s">
        <v>139</v>
      </c>
      <c r="D606" s="1" t="n">
        <v>4899277117</v>
      </c>
      <c r="E606" s="1" t="s">
        <v>1248</v>
      </c>
      <c r="F606" s="1" t="s">
        <v>66</v>
      </c>
      <c r="G606" s="1" t="s">
        <v>1293</v>
      </c>
      <c r="H606" s="1" t="s">
        <v>175</v>
      </c>
    </row>
    <row r="607" customFormat="false" ht="15" hidden="false" customHeight="true" outlineLevel="0" collapsed="false">
      <c r="A607" s="1" t="n">
        <v>0</v>
      </c>
      <c r="B607" s="1" t="s">
        <v>1183</v>
      </c>
      <c r="C607" s="1" t="s">
        <v>139</v>
      </c>
      <c r="D607" s="1" t="n">
        <v>48991098332</v>
      </c>
      <c r="E607" s="1" t="s">
        <v>1248</v>
      </c>
      <c r="F607" s="1" t="s">
        <v>1183</v>
      </c>
      <c r="G607" s="1" t="s">
        <v>1293</v>
      </c>
      <c r="H607" s="1" t="s">
        <v>175</v>
      </c>
    </row>
    <row r="608" customFormat="false" ht="15" hidden="false" customHeight="true" outlineLevel="0" collapsed="false">
      <c r="A608" s="1" t="n">
        <v>0</v>
      </c>
      <c r="B608" s="1" t="s">
        <v>102</v>
      </c>
      <c r="C608" s="1" t="s">
        <v>139</v>
      </c>
      <c r="D608" s="1" t="n">
        <v>48991756386</v>
      </c>
      <c r="E608" s="1" t="s">
        <v>1248</v>
      </c>
      <c r="F608" s="1" t="s">
        <v>102</v>
      </c>
      <c r="G608" s="1" t="s">
        <v>1293</v>
      </c>
      <c r="H608" s="1" t="s">
        <v>175</v>
      </c>
    </row>
    <row r="609" customFormat="false" ht="15" hidden="false" customHeight="true" outlineLevel="0" collapsed="false">
      <c r="A609" s="1" t="n">
        <v>0</v>
      </c>
      <c r="B609" s="1" t="s">
        <v>102</v>
      </c>
      <c r="C609" s="1" t="s">
        <v>139</v>
      </c>
      <c r="D609" s="1" t="n">
        <v>4899944030</v>
      </c>
      <c r="E609" s="1" t="s">
        <v>1248</v>
      </c>
      <c r="F609" s="1" t="s">
        <v>102</v>
      </c>
      <c r="G609" s="1" t="s">
        <v>1293</v>
      </c>
      <c r="H609" s="1" t="s">
        <v>175</v>
      </c>
    </row>
    <row r="610" customFormat="false" ht="15" hidden="false" customHeight="true" outlineLevel="0" collapsed="false">
      <c r="A610" s="1" t="n">
        <v>0</v>
      </c>
      <c r="B610" s="1" t="s">
        <v>102</v>
      </c>
      <c r="C610" s="1" t="s">
        <v>139</v>
      </c>
      <c r="D610" s="1" t="n">
        <v>4891891718</v>
      </c>
      <c r="E610" s="1" t="s">
        <v>1248</v>
      </c>
      <c r="F610" s="1" t="s">
        <v>102</v>
      </c>
      <c r="G610" s="1" t="s">
        <v>1293</v>
      </c>
      <c r="H610" s="1" t="s">
        <v>175</v>
      </c>
    </row>
    <row r="611" customFormat="false" ht="15" hidden="false" customHeight="true" outlineLevel="0" collapsed="false">
      <c r="A611" s="1" t="n">
        <v>0</v>
      </c>
      <c r="B611" s="1" t="s">
        <v>102</v>
      </c>
      <c r="C611" s="1" t="s">
        <v>139</v>
      </c>
      <c r="D611" s="1" t="n">
        <v>4899494412</v>
      </c>
      <c r="E611" s="1" t="s">
        <v>1248</v>
      </c>
      <c r="F611" s="1" t="s">
        <v>102</v>
      </c>
      <c r="G611" s="1" t="s">
        <v>1293</v>
      </c>
      <c r="H611" s="1" t="s">
        <v>175</v>
      </c>
    </row>
    <row r="612" customFormat="false" ht="15" hidden="false" customHeight="true" outlineLevel="0" collapsed="false">
      <c r="A612" s="1" t="n">
        <v>0</v>
      </c>
      <c r="B612" s="1" t="s">
        <v>102</v>
      </c>
      <c r="C612" s="1" t="s">
        <v>139</v>
      </c>
      <c r="D612" s="1" t="n">
        <v>48343305464</v>
      </c>
      <c r="E612" s="1" t="s">
        <v>1248</v>
      </c>
      <c r="F612" s="1" t="s">
        <v>102</v>
      </c>
      <c r="G612" s="1" t="s">
        <v>1293</v>
      </c>
      <c r="H612" s="1" t="s">
        <v>175</v>
      </c>
    </row>
    <row r="613" customFormat="false" ht="15" hidden="false" customHeight="true" outlineLevel="0" collapsed="false">
      <c r="A613" s="1" t="n">
        <v>0</v>
      </c>
      <c r="B613" s="1" t="s">
        <v>1184</v>
      </c>
      <c r="C613" s="1" t="s">
        <v>109</v>
      </c>
      <c r="D613" s="1" t="n">
        <v>41988205031</v>
      </c>
      <c r="E613" s="1" t="s">
        <v>1248</v>
      </c>
      <c r="F613" s="1" t="s">
        <v>1184</v>
      </c>
      <c r="G613" s="1" t="s">
        <v>1293</v>
      </c>
      <c r="H613" s="1" t="s">
        <v>184</v>
      </c>
    </row>
    <row r="614" customFormat="false" ht="15" hidden="false" customHeight="true" outlineLevel="0" collapsed="false">
      <c r="A614" s="1" t="n">
        <v>0</v>
      </c>
      <c r="B614" s="1" t="s">
        <v>102</v>
      </c>
      <c r="C614" s="1" t="s">
        <v>109</v>
      </c>
      <c r="D614" s="1" t="n">
        <v>41885835074</v>
      </c>
      <c r="E614" s="1" t="s">
        <v>1248</v>
      </c>
      <c r="F614" s="1" t="s">
        <v>102</v>
      </c>
      <c r="G614" s="1" t="s">
        <v>1293</v>
      </c>
      <c r="H614" s="1" t="s">
        <v>175</v>
      </c>
    </row>
    <row r="615" customFormat="false" ht="15" hidden="false" customHeight="true" outlineLevel="0" collapsed="false">
      <c r="A615" s="1" t="n">
        <v>0</v>
      </c>
      <c r="B615" s="1" t="s">
        <v>102</v>
      </c>
      <c r="C615" s="1" t="s">
        <v>139</v>
      </c>
      <c r="D615" s="1" t="n">
        <v>4735151264</v>
      </c>
      <c r="E615" s="1" t="s">
        <v>1248</v>
      </c>
      <c r="F615" s="1" t="s">
        <v>102</v>
      </c>
      <c r="G615" s="1" t="s">
        <v>1293</v>
      </c>
      <c r="H615" s="1" t="s">
        <v>175</v>
      </c>
    </row>
    <row r="616" customFormat="false" ht="15" hidden="false" customHeight="true" outlineLevel="0" collapsed="false">
      <c r="A616" s="1" t="n">
        <v>0</v>
      </c>
      <c r="B616" s="1" t="s">
        <v>66</v>
      </c>
      <c r="C616" s="1" t="s">
        <v>139</v>
      </c>
      <c r="D616" s="1" t="n">
        <v>4899350025</v>
      </c>
      <c r="E616" s="1" t="s">
        <v>1248</v>
      </c>
      <c r="F616" s="1" t="s">
        <v>66</v>
      </c>
      <c r="G616" s="1" t="s">
        <v>1293</v>
      </c>
      <c r="H616" s="1" t="s">
        <v>175</v>
      </c>
    </row>
    <row r="617" customFormat="false" ht="15" hidden="false" customHeight="true" outlineLevel="0" collapsed="false">
      <c r="A617" s="1" t="n">
        <v>0</v>
      </c>
      <c r="B617" s="1" t="s">
        <v>110</v>
      </c>
      <c r="C617" s="1" t="s">
        <v>101</v>
      </c>
      <c r="D617" s="1" t="n">
        <v>6630153509</v>
      </c>
      <c r="E617" s="1" t="s">
        <v>1248</v>
      </c>
      <c r="F617" s="1" t="s">
        <v>110</v>
      </c>
      <c r="G617" s="1" t="s">
        <v>1293</v>
      </c>
      <c r="H617" s="1" t="s">
        <v>184</v>
      </c>
    </row>
    <row r="618" customFormat="false" ht="15" hidden="false" customHeight="true" outlineLevel="0" collapsed="false">
      <c r="A618" s="1" t="n">
        <v>0</v>
      </c>
      <c r="B618" s="1" t="s">
        <v>66</v>
      </c>
      <c r="C618" s="1" t="s">
        <v>139</v>
      </c>
      <c r="D618" s="1" t="n">
        <v>4899208020</v>
      </c>
      <c r="E618" s="1" t="s">
        <v>1248</v>
      </c>
      <c r="F618" s="1" t="s">
        <v>66</v>
      </c>
      <c r="G618" s="1" t="s">
        <v>1293</v>
      </c>
      <c r="H618" s="1" t="s">
        <v>175</v>
      </c>
    </row>
    <row r="619" customFormat="false" ht="15" hidden="false" customHeight="true" outlineLevel="0" collapsed="false">
      <c r="A619" s="1" t="n">
        <v>0</v>
      </c>
      <c r="B619" s="1" t="s">
        <v>66</v>
      </c>
      <c r="C619" s="1" t="s">
        <v>139</v>
      </c>
      <c r="D619" s="1" t="n">
        <v>5199217941</v>
      </c>
      <c r="E619" s="1" t="s">
        <v>1248</v>
      </c>
      <c r="F619" s="1" t="s">
        <v>66</v>
      </c>
      <c r="G619" s="1" t="s">
        <v>1293</v>
      </c>
      <c r="H619" s="1" t="s">
        <v>175</v>
      </c>
    </row>
    <row r="620" customFormat="false" ht="15" hidden="false" customHeight="true" outlineLevel="0" collapsed="false">
      <c r="A620" s="1" t="n">
        <v>0</v>
      </c>
      <c r="B620" s="1" t="s">
        <v>289</v>
      </c>
      <c r="C620" s="1" t="s">
        <v>260</v>
      </c>
      <c r="D620" s="1" t="n">
        <v>2196652683</v>
      </c>
      <c r="E620" s="1" t="s">
        <v>1248</v>
      </c>
      <c r="F620" s="1" t="s">
        <v>289</v>
      </c>
      <c r="G620" s="1" t="s">
        <v>1293</v>
      </c>
      <c r="H620" s="1" t="s">
        <v>100</v>
      </c>
    </row>
    <row r="621" customFormat="false" ht="15" hidden="false" customHeight="true" outlineLevel="0" collapsed="false">
      <c r="A621" s="1" t="n">
        <v>0</v>
      </c>
      <c r="B621" s="1" t="s">
        <v>102</v>
      </c>
      <c r="C621" s="1" t="s">
        <v>139</v>
      </c>
      <c r="D621" s="1" t="n">
        <v>4784679894</v>
      </c>
      <c r="E621" s="1" t="s">
        <v>1248</v>
      </c>
      <c r="F621" s="1" t="s">
        <v>102</v>
      </c>
      <c r="G621" s="1" t="s">
        <v>1293</v>
      </c>
      <c r="H621" s="1" t="s">
        <v>175</v>
      </c>
    </row>
    <row r="622" customFormat="false" ht="15" hidden="false" customHeight="true" outlineLevel="0" collapsed="false">
      <c r="A622" s="1" t="n">
        <v>0</v>
      </c>
      <c r="B622" s="1" t="s">
        <v>66</v>
      </c>
      <c r="C622" s="1" t="s">
        <v>139</v>
      </c>
      <c r="D622" s="1" t="n">
        <v>4888199013</v>
      </c>
      <c r="E622" s="1" t="s">
        <v>1248</v>
      </c>
      <c r="F622" s="1" t="s">
        <v>66</v>
      </c>
      <c r="G622" s="1" t="s">
        <v>1293</v>
      </c>
      <c r="H622" s="1" t="s">
        <v>175</v>
      </c>
    </row>
    <row r="623" customFormat="false" ht="15" hidden="false" customHeight="true" outlineLevel="0" collapsed="false">
      <c r="A623" s="1" t="n">
        <v>0</v>
      </c>
      <c r="B623" s="1" t="s">
        <v>102</v>
      </c>
      <c r="C623" s="1" t="s">
        <v>139</v>
      </c>
      <c r="D623" s="1" t="n">
        <v>4830585741</v>
      </c>
      <c r="E623" s="1" t="s">
        <v>1248</v>
      </c>
      <c r="F623" s="1" t="s">
        <v>102</v>
      </c>
      <c r="G623" s="1" t="s">
        <v>1293</v>
      </c>
      <c r="H623" s="1" t="s">
        <v>175</v>
      </c>
    </row>
    <row r="624" customFormat="false" ht="15" hidden="false" customHeight="true" outlineLevel="0" collapsed="false">
      <c r="A624" s="1" t="n">
        <v>0</v>
      </c>
      <c r="B624" s="1" t="s">
        <v>115</v>
      </c>
      <c r="C624" s="1" t="s">
        <v>243</v>
      </c>
      <c r="D624" s="1" t="n">
        <v>71993025896</v>
      </c>
      <c r="E624" s="1" t="s">
        <v>1248</v>
      </c>
      <c r="F624" s="1" t="s">
        <v>115</v>
      </c>
      <c r="G624" s="1" t="s">
        <v>1293</v>
      </c>
      <c r="H624" s="1" t="s">
        <v>100</v>
      </c>
    </row>
    <row r="625" customFormat="false" ht="15" hidden="false" customHeight="true" outlineLevel="0" collapsed="false">
      <c r="A625" s="1" t="n">
        <v>0</v>
      </c>
      <c r="B625" s="1" t="s">
        <v>289</v>
      </c>
      <c r="C625" s="1" t="s">
        <v>260</v>
      </c>
      <c r="D625" s="1" t="n">
        <v>2137880348</v>
      </c>
      <c r="E625" s="1" t="s">
        <v>1248</v>
      </c>
      <c r="F625" s="1" t="s">
        <v>289</v>
      </c>
      <c r="G625" s="1" t="s">
        <v>1293</v>
      </c>
      <c r="H625" s="1" t="s">
        <v>100</v>
      </c>
    </row>
    <row r="626" customFormat="false" ht="15" hidden="false" customHeight="true" outlineLevel="0" collapsed="false">
      <c r="A626" s="1" t="n">
        <v>0</v>
      </c>
      <c r="B626" s="1" t="s">
        <v>123</v>
      </c>
      <c r="C626" s="1" t="s">
        <v>109</v>
      </c>
      <c r="D626" s="1" t="n">
        <v>11932574943</v>
      </c>
      <c r="E626" s="1" t="s">
        <v>1248</v>
      </c>
      <c r="F626" s="1" t="s">
        <v>104</v>
      </c>
      <c r="G626" s="1" t="s">
        <v>1293</v>
      </c>
      <c r="H626" s="1" t="s">
        <v>108</v>
      </c>
    </row>
    <row r="627" customFormat="false" ht="15" hidden="false" customHeight="true" outlineLevel="0" collapsed="false">
      <c r="A627" s="1" t="n">
        <v>0</v>
      </c>
      <c r="B627" s="1" t="s">
        <v>124</v>
      </c>
      <c r="C627" s="1" t="s">
        <v>311</v>
      </c>
      <c r="D627" s="1" t="n">
        <v>6133633809</v>
      </c>
      <c r="E627" s="1" t="s">
        <v>1248</v>
      </c>
      <c r="F627" s="1" t="s">
        <v>124</v>
      </c>
      <c r="G627" s="1" t="s">
        <v>1293</v>
      </c>
      <c r="H627" s="1" t="s">
        <v>184</v>
      </c>
    </row>
    <row r="628" customFormat="false" ht="15" hidden="false" customHeight="true" outlineLevel="0" collapsed="false">
      <c r="A628" s="1" t="n">
        <v>0</v>
      </c>
      <c r="B628" s="1" t="s">
        <v>123</v>
      </c>
      <c r="C628" s="1" t="s">
        <v>196</v>
      </c>
      <c r="D628" s="1" t="n">
        <v>5196887423</v>
      </c>
      <c r="E628" s="1" t="s">
        <v>1248</v>
      </c>
      <c r="F628" s="1" t="s">
        <v>104</v>
      </c>
      <c r="G628" s="1" t="s">
        <v>1293</v>
      </c>
      <c r="H628" s="1" t="s">
        <v>108</v>
      </c>
    </row>
    <row r="629" customFormat="false" ht="15" hidden="false" customHeight="true" outlineLevel="0" collapsed="false">
      <c r="A629" s="1" t="n">
        <v>0</v>
      </c>
      <c r="B629" s="1" t="s">
        <v>124</v>
      </c>
      <c r="C629" s="1" t="s">
        <v>281</v>
      </c>
      <c r="D629" s="1" t="n">
        <v>6181292671</v>
      </c>
      <c r="E629" s="1" t="s">
        <v>1248</v>
      </c>
      <c r="F629" s="1" t="s">
        <v>124</v>
      </c>
      <c r="G629" s="1" t="s">
        <v>1293</v>
      </c>
      <c r="H629" s="1" t="s">
        <v>108</v>
      </c>
    </row>
    <row r="630" customFormat="false" ht="15" hidden="false" customHeight="true" outlineLevel="0" collapsed="false">
      <c r="A630" s="1" t="n">
        <v>0</v>
      </c>
      <c r="B630" s="1" t="s">
        <v>123</v>
      </c>
      <c r="C630" s="1" t="s">
        <v>109</v>
      </c>
      <c r="D630" s="1" t="n">
        <v>4132763516</v>
      </c>
      <c r="E630" s="1" t="s">
        <v>1248</v>
      </c>
      <c r="F630" s="1" t="s">
        <v>104</v>
      </c>
      <c r="G630" s="1" t="s">
        <v>1293</v>
      </c>
      <c r="H630" s="1" t="s">
        <v>108</v>
      </c>
    </row>
    <row r="631" customFormat="false" ht="15" hidden="false" customHeight="true" outlineLevel="0" collapsed="false">
      <c r="A631" s="1" t="n">
        <v>0</v>
      </c>
      <c r="B631" s="1" t="s">
        <v>110</v>
      </c>
      <c r="C631" s="1" t="s">
        <v>1114</v>
      </c>
      <c r="D631" s="1" t="n">
        <v>9281536452</v>
      </c>
      <c r="E631" s="1" t="s">
        <v>1248</v>
      </c>
      <c r="F631" s="1" t="s">
        <v>110</v>
      </c>
      <c r="G631" s="1" t="s">
        <v>1293</v>
      </c>
      <c r="H631" s="1" t="s">
        <v>100</v>
      </c>
    </row>
    <row r="632" customFormat="false" ht="15" hidden="false" customHeight="true" outlineLevel="0" collapsed="false">
      <c r="A632" s="1" t="n">
        <v>0</v>
      </c>
      <c r="B632" s="1" t="s">
        <v>124</v>
      </c>
      <c r="C632" s="1" t="s">
        <v>420</v>
      </c>
      <c r="D632" s="1" t="n">
        <v>9996311517</v>
      </c>
      <c r="E632" s="1" t="s">
        <v>1248</v>
      </c>
      <c r="F632" s="1" t="s">
        <v>124</v>
      </c>
      <c r="G632" s="1" t="s">
        <v>1293</v>
      </c>
      <c r="H632" s="1" t="s">
        <v>184</v>
      </c>
    </row>
    <row r="633" customFormat="false" ht="15" hidden="false" customHeight="true" outlineLevel="0" collapsed="false">
      <c r="A633" s="1" t="n">
        <v>0</v>
      </c>
      <c r="B633" s="1" t="s">
        <v>1289</v>
      </c>
      <c r="C633" s="1" t="s">
        <v>196</v>
      </c>
      <c r="D633" s="1" t="n">
        <v>54999710194</v>
      </c>
      <c r="E633" s="1" t="s">
        <v>1248</v>
      </c>
      <c r="F633" s="1" t="s">
        <v>128</v>
      </c>
      <c r="G633" s="1" t="s">
        <v>1293</v>
      </c>
      <c r="H633" s="1" t="s">
        <v>184</v>
      </c>
    </row>
    <row r="634" customFormat="false" ht="15" hidden="false" customHeight="true" outlineLevel="0" collapsed="false">
      <c r="A634" s="1" t="n">
        <v>0</v>
      </c>
      <c r="B634" s="1" t="s">
        <v>102</v>
      </c>
      <c r="C634" s="1" t="s">
        <v>139</v>
      </c>
      <c r="D634" s="1" t="n">
        <v>4896466193</v>
      </c>
      <c r="E634" s="1" t="s">
        <v>1248</v>
      </c>
      <c r="F634" s="1" t="s">
        <v>102</v>
      </c>
      <c r="G634" s="1" t="s">
        <v>1293</v>
      </c>
      <c r="H634" s="1" t="s">
        <v>175</v>
      </c>
    </row>
    <row r="635" customFormat="false" ht="15" hidden="false" customHeight="true" outlineLevel="0" collapsed="false">
      <c r="A635" s="1" t="n">
        <v>0</v>
      </c>
      <c r="B635" s="1" t="s">
        <v>115</v>
      </c>
      <c r="C635" s="1" t="s">
        <v>119</v>
      </c>
      <c r="D635" s="1" t="n">
        <v>11977926459</v>
      </c>
      <c r="E635" s="1" t="s">
        <v>1248</v>
      </c>
      <c r="F635" s="1" t="s">
        <v>115</v>
      </c>
      <c r="G635" s="1" t="s">
        <v>1293</v>
      </c>
      <c r="H635" s="1" t="s">
        <v>184</v>
      </c>
    </row>
    <row r="636" customFormat="false" ht="15" hidden="false" customHeight="true" outlineLevel="0" collapsed="false">
      <c r="A636" s="1" t="n">
        <v>0</v>
      </c>
      <c r="B636" s="1" t="s">
        <v>124</v>
      </c>
      <c r="C636" s="1" t="s">
        <v>260</v>
      </c>
      <c r="D636" s="1" t="n">
        <v>24993043660</v>
      </c>
      <c r="E636" s="1" t="s">
        <v>1248</v>
      </c>
      <c r="F636" s="1" t="s">
        <v>124</v>
      </c>
      <c r="G636" s="1" t="s">
        <v>1293</v>
      </c>
      <c r="H636" s="1" t="s">
        <v>100</v>
      </c>
    </row>
    <row r="637" customFormat="false" ht="15" hidden="false" customHeight="true" outlineLevel="0" collapsed="false">
      <c r="A637" s="1" t="n">
        <v>0</v>
      </c>
      <c r="B637" s="1" t="s">
        <v>1182</v>
      </c>
      <c r="C637" s="1" t="s">
        <v>139</v>
      </c>
      <c r="D637" s="1" t="n">
        <v>48988457748</v>
      </c>
      <c r="E637" s="1" t="s">
        <v>1248</v>
      </c>
      <c r="F637" s="1" t="s">
        <v>1182</v>
      </c>
      <c r="G637" s="1" t="s">
        <v>1293</v>
      </c>
      <c r="H637" s="1" t="s">
        <v>108</v>
      </c>
    </row>
    <row r="638" customFormat="false" ht="15" hidden="false" customHeight="true" outlineLevel="0" collapsed="false">
      <c r="A638" s="1" t="n">
        <v>0</v>
      </c>
      <c r="B638" s="1" t="s">
        <v>102</v>
      </c>
      <c r="C638" s="1" t="s">
        <v>139</v>
      </c>
      <c r="D638" s="1" t="n">
        <v>4833645705</v>
      </c>
      <c r="E638" s="1" t="s">
        <v>1248</v>
      </c>
      <c r="F638" s="1" t="s">
        <v>102</v>
      </c>
      <c r="G638" s="1" t="s">
        <v>1293</v>
      </c>
      <c r="H638" s="1" t="s">
        <v>175</v>
      </c>
    </row>
    <row r="639" customFormat="false" ht="15" hidden="false" customHeight="true" outlineLevel="0" collapsed="false">
      <c r="A639" s="1" t="n">
        <v>0</v>
      </c>
      <c r="B639" s="1" t="s">
        <v>102</v>
      </c>
      <c r="C639" s="1" t="s">
        <v>139</v>
      </c>
      <c r="D639" s="1" t="n">
        <v>4730254770</v>
      </c>
      <c r="E639" s="1" t="s">
        <v>1248</v>
      </c>
      <c r="F639" s="1" t="s">
        <v>102</v>
      </c>
      <c r="G639" s="1" t="s">
        <v>1293</v>
      </c>
      <c r="H639" s="1" t="s">
        <v>175</v>
      </c>
    </row>
    <row r="640" customFormat="false" ht="15" hidden="false" customHeight="true" outlineLevel="0" collapsed="false">
      <c r="A640" s="1" t="n">
        <v>0</v>
      </c>
      <c r="B640" s="1" t="s">
        <v>102</v>
      </c>
      <c r="C640" s="1" t="s">
        <v>139</v>
      </c>
      <c r="D640" s="1" t="n">
        <v>48999153553</v>
      </c>
      <c r="E640" s="1" t="s">
        <v>1248</v>
      </c>
      <c r="F640" s="1" t="s">
        <v>102</v>
      </c>
      <c r="G640" s="1" t="s">
        <v>1293</v>
      </c>
      <c r="H640" s="1" t="s">
        <v>175</v>
      </c>
    </row>
    <row r="641" customFormat="false" ht="15" hidden="false" customHeight="true" outlineLevel="0" collapsed="false">
      <c r="A641" s="1" t="n">
        <v>0</v>
      </c>
      <c r="B641" s="1" t="s">
        <v>123</v>
      </c>
      <c r="C641" s="1" t="s">
        <v>139</v>
      </c>
      <c r="D641" s="1" t="n">
        <v>4732278525</v>
      </c>
      <c r="E641" s="1" t="s">
        <v>1248</v>
      </c>
      <c r="F641" s="1" t="s">
        <v>104</v>
      </c>
      <c r="G641" s="1" t="s">
        <v>1293</v>
      </c>
      <c r="H641" s="1" t="s">
        <v>108</v>
      </c>
    </row>
    <row r="642" customFormat="false" ht="15" hidden="false" customHeight="true" outlineLevel="0" collapsed="false">
      <c r="A642" s="1" t="n">
        <v>0</v>
      </c>
      <c r="B642" s="1" t="s">
        <v>123</v>
      </c>
      <c r="C642" s="1" t="s">
        <v>260</v>
      </c>
      <c r="D642" s="1" t="n">
        <v>21995704191</v>
      </c>
      <c r="E642" s="1" t="s">
        <v>1248</v>
      </c>
      <c r="F642" s="1" t="s">
        <v>104</v>
      </c>
      <c r="G642" s="1" t="s">
        <v>1293</v>
      </c>
      <c r="H642" s="1" t="s">
        <v>100</v>
      </c>
    </row>
    <row r="643" customFormat="false" ht="15" hidden="false" customHeight="true" outlineLevel="0" collapsed="false">
      <c r="A643" s="1" t="n">
        <v>0</v>
      </c>
      <c r="B643" s="1" t="s">
        <v>123</v>
      </c>
      <c r="C643" s="1" t="s">
        <v>101</v>
      </c>
      <c r="D643" s="1" t="n">
        <v>6684376194</v>
      </c>
      <c r="E643" s="1" t="s">
        <v>1248</v>
      </c>
      <c r="F643" s="1" t="s">
        <v>104</v>
      </c>
      <c r="G643" s="1" t="s">
        <v>1293</v>
      </c>
      <c r="H643" s="1" t="s">
        <v>100</v>
      </c>
    </row>
    <row r="644" customFormat="false" ht="15" hidden="false" customHeight="true" outlineLevel="0" collapsed="false">
      <c r="A644" s="1" t="n">
        <v>0</v>
      </c>
      <c r="B644" s="1" t="s">
        <v>123</v>
      </c>
      <c r="C644" s="1" t="s">
        <v>139</v>
      </c>
      <c r="D644" s="1" t="n">
        <v>47989081234</v>
      </c>
      <c r="E644" s="1" t="s">
        <v>1248</v>
      </c>
      <c r="F644" s="1" t="s">
        <v>104</v>
      </c>
      <c r="G644" s="1" t="s">
        <v>1293</v>
      </c>
      <c r="H644" s="1" t="s">
        <v>108</v>
      </c>
    </row>
    <row r="645" customFormat="false" ht="15" hidden="false" customHeight="true" outlineLevel="0" collapsed="false">
      <c r="A645" s="1" t="n">
        <v>0</v>
      </c>
      <c r="B645" s="1" t="s">
        <v>115</v>
      </c>
      <c r="C645" s="1" t="s">
        <v>119</v>
      </c>
      <c r="D645" s="1" t="n">
        <v>17981330043</v>
      </c>
      <c r="E645" s="1" t="s">
        <v>1248</v>
      </c>
      <c r="F645" s="1" t="s">
        <v>115</v>
      </c>
      <c r="G645" s="1" t="s">
        <v>1293</v>
      </c>
      <c r="H645" s="1" t="s">
        <v>184</v>
      </c>
    </row>
    <row r="646" customFormat="false" ht="15" hidden="false" customHeight="true" outlineLevel="0" collapsed="false">
      <c r="A646" s="1" t="n">
        <v>0</v>
      </c>
      <c r="B646" s="1" t="s">
        <v>123</v>
      </c>
      <c r="C646" s="1" t="s">
        <v>119</v>
      </c>
      <c r="D646" s="1" t="n">
        <v>11964002134</v>
      </c>
      <c r="E646" s="1" t="s">
        <v>1248</v>
      </c>
      <c r="F646" s="1" t="s">
        <v>104</v>
      </c>
      <c r="G646" s="1" t="s">
        <v>1293</v>
      </c>
      <c r="H646" s="1" t="s">
        <v>100</v>
      </c>
    </row>
    <row r="647" customFormat="false" ht="15" hidden="false" customHeight="true" outlineLevel="0" collapsed="false">
      <c r="A647" s="1" t="n">
        <v>0</v>
      </c>
      <c r="B647" s="1" t="s">
        <v>115</v>
      </c>
      <c r="C647" s="1" t="s">
        <v>281</v>
      </c>
      <c r="D647" s="1" t="n">
        <v>63992080630</v>
      </c>
      <c r="E647" s="1" t="s">
        <v>1248</v>
      </c>
      <c r="F647" s="1" t="s">
        <v>115</v>
      </c>
      <c r="G647" s="1" t="s">
        <v>1293</v>
      </c>
      <c r="H647" s="1" t="s">
        <v>184</v>
      </c>
    </row>
    <row r="648" customFormat="false" ht="15" hidden="false" customHeight="true" outlineLevel="0" collapsed="false">
      <c r="A648" s="1" t="n">
        <v>0</v>
      </c>
      <c r="B648" s="1" t="s">
        <v>123</v>
      </c>
      <c r="C648" s="1" t="s">
        <v>114</v>
      </c>
      <c r="D648" s="1" t="n">
        <v>3333238852</v>
      </c>
      <c r="E648" s="1" t="s">
        <v>1248</v>
      </c>
      <c r="F648" s="1" t="s">
        <v>104</v>
      </c>
      <c r="G648" s="1" t="s">
        <v>1293</v>
      </c>
      <c r="H648" s="1" t="s">
        <v>100</v>
      </c>
    </row>
    <row r="649" customFormat="false" ht="15" hidden="false" customHeight="true" outlineLevel="0" collapsed="false">
      <c r="A649" s="1" t="n">
        <v>0</v>
      </c>
      <c r="B649" s="1" t="s">
        <v>123</v>
      </c>
      <c r="C649" s="1" t="s">
        <v>119</v>
      </c>
      <c r="D649" s="1" t="n">
        <v>11945142686</v>
      </c>
      <c r="E649" s="1" t="s">
        <v>1248</v>
      </c>
      <c r="F649" s="1" t="s">
        <v>104</v>
      </c>
      <c r="G649" s="1" t="s">
        <v>1293</v>
      </c>
      <c r="H649" s="1" t="s">
        <v>100</v>
      </c>
    </row>
    <row r="650" customFormat="false" ht="15" hidden="false" customHeight="true" outlineLevel="0" collapsed="false">
      <c r="A650" s="1" t="n">
        <v>0</v>
      </c>
      <c r="B650" s="1" t="s">
        <v>123</v>
      </c>
      <c r="C650" s="1" t="s">
        <v>196</v>
      </c>
      <c r="D650" s="1" t="n">
        <v>5192141635</v>
      </c>
      <c r="E650" s="1" t="s">
        <v>1248</v>
      </c>
      <c r="F650" s="1" t="s">
        <v>104</v>
      </c>
      <c r="G650" s="1" t="s">
        <v>1293</v>
      </c>
      <c r="H650" s="1" t="s">
        <v>108</v>
      </c>
    </row>
    <row r="651" customFormat="false" ht="15" hidden="false" customHeight="true" outlineLevel="0" collapsed="false">
      <c r="A651" s="1" t="n">
        <v>0</v>
      </c>
      <c r="B651" s="1" t="s">
        <v>123</v>
      </c>
      <c r="C651" s="1" t="s">
        <v>114</v>
      </c>
      <c r="D651" s="1" t="n">
        <v>3832189304</v>
      </c>
      <c r="E651" s="1" t="s">
        <v>1248</v>
      </c>
      <c r="F651" s="1" t="s">
        <v>104</v>
      </c>
      <c r="G651" s="1" t="s">
        <v>1293</v>
      </c>
      <c r="H651" s="1" t="s">
        <v>100</v>
      </c>
    </row>
    <row r="652" customFormat="false" ht="15" hidden="false" customHeight="true" outlineLevel="0" collapsed="false">
      <c r="A652" s="1" t="n">
        <v>0</v>
      </c>
      <c r="B652" s="1" t="s">
        <v>123</v>
      </c>
      <c r="C652" s="1" t="s">
        <v>187</v>
      </c>
      <c r="D652" s="1" t="n">
        <v>8192595179</v>
      </c>
      <c r="E652" s="1" t="s">
        <v>1248</v>
      </c>
      <c r="F652" s="1" t="s">
        <v>104</v>
      </c>
      <c r="G652" s="1" t="s">
        <v>1293</v>
      </c>
      <c r="H652" s="1" t="s">
        <v>100</v>
      </c>
    </row>
    <row r="653" customFormat="false" ht="15" hidden="false" customHeight="true" outlineLevel="0" collapsed="false">
      <c r="A653" s="1" t="n">
        <v>0</v>
      </c>
      <c r="B653" s="1" t="s">
        <v>123</v>
      </c>
      <c r="C653" s="1" t="s">
        <v>119</v>
      </c>
      <c r="D653" s="1" t="n">
        <v>1438142348</v>
      </c>
      <c r="E653" s="1" t="s">
        <v>1248</v>
      </c>
      <c r="F653" s="1" t="s">
        <v>104</v>
      </c>
      <c r="G653" s="1" t="s">
        <v>1293</v>
      </c>
      <c r="H653" s="1" t="s">
        <v>100</v>
      </c>
    </row>
    <row r="654" customFormat="false" ht="15" hidden="false" customHeight="true" outlineLevel="0" collapsed="false">
      <c r="A654" s="1" t="n">
        <v>0</v>
      </c>
      <c r="B654" s="1" t="s">
        <v>123</v>
      </c>
      <c r="C654" s="1" t="s">
        <v>420</v>
      </c>
      <c r="D654" s="1" t="n">
        <v>9892319022</v>
      </c>
      <c r="E654" s="1" t="s">
        <v>1248</v>
      </c>
      <c r="F654" s="1" t="s">
        <v>104</v>
      </c>
      <c r="G654" s="1" t="s">
        <v>1293</v>
      </c>
      <c r="H654" s="1" t="s">
        <v>100</v>
      </c>
    </row>
    <row r="655" customFormat="false" ht="15" hidden="false" customHeight="true" outlineLevel="0" collapsed="false">
      <c r="A655" s="1" t="n">
        <v>0</v>
      </c>
      <c r="B655" s="1" t="s">
        <v>123</v>
      </c>
      <c r="C655" s="1" t="s">
        <v>196</v>
      </c>
      <c r="D655" s="1" t="n">
        <v>5196787833</v>
      </c>
      <c r="E655" s="1" t="s">
        <v>1248</v>
      </c>
      <c r="F655" s="1" t="s">
        <v>104</v>
      </c>
      <c r="G655" s="1" t="s">
        <v>1293</v>
      </c>
      <c r="H655" s="1" t="s">
        <v>108</v>
      </c>
    </row>
    <row r="656" customFormat="false" ht="15" hidden="false" customHeight="true" outlineLevel="0" collapsed="false">
      <c r="A656" s="1" t="n">
        <v>0</v>
      </c>
      <c r="B656" s="1" t="s">
        <v>123</v>
      </c>
      <c r="C656" s="1" t="s">
        <v>139</v>
      </c>
      <c r="D656" s="1" t="n">
        <v>48999316068</v>
      </c>
      <c r="E656" s="1" t="s">
        <v>1248</v>
      </c>
      <c r="F656" s="1" t="s">
        <v>104</v>
      </c>
      <c r="G656" s="1" t="s">
        <v>1293</v>
      </c>
      <c r="H656" s="1" t="s">
        <v>175</v>
      </c>
    </row>
    <row r="657" customFormat="false" ht="15" hidden="false" customHeight="true" outlineLevel="0" collapsed="false">
      <c r="A657" s="1" t="n">
        <v>0</v>
      </c>
      <c r="B657" s="1" t="s">
        <v>124</v>
      </c>
      <c r="C657" s="1" t="s">
        <v>311</v>
      </c>
      <c r="D657" s="1" t="n">
        <v>61986098577</v>
      </c>
      <c r="E657" s="1" t="s">
        <v>1248</v>
      </c>
      <c r="F657" s="1" t="s">
        <v>124</v>
      </c>
      <c r="G657" s="1" t="s">
        <v>1293</v>
      </c>
      <c r="H657" s="1" t="s">
        <v>184</v>
      </c>
    </row>
    <row r="658" customFormat="false" ht="15" hidden="false" customHeight="true" outlineLevel="0" collapsed="false">
      <c r="A658" s="1" t="n">
        <v>0</v>
      </c>
      <c r="B658" s="1" t="s">
        <v>123</v>
      </c>
      <c r="C658" s="1" t="s">
        <v>127</v>
      </c>
      <c r="D658" s="1" t="n">
        <v>64996610968</v>
      </c>
      <c r="E658" s="1" t="s">
        <v>1248</v>
      </c>
      <c r="F658" s="1" t="s">
        <v>104</v>
      </c>
      <c r="G658" s="1" t="s">
        <v>1293</v>
      </c>
      <c r="H658" s="1" t="s">
        <v>100</v>
      </c>
    </row>
    <row r="659" customFormat="false" ht="15" hidden="false" customHeight="true" outlineLevel="0" collapsed="false">
      <c r="A659" s="1" t="n">
        <v>-0.003619</v>
      </c>
      <c r="B659" s="1" t="s">
        <v>123</v>
      </c>
      <c r="C659" s="1" t="s">
        <v>196</v>
      </c>
      <c r="D659" s="1" t="n">
        <v>5491613776</v>
      </c>
      <c r="E659" s="1" t="s">
        <v>1248</v>
      </c>
      <c r="F659" s="1" t="s">
        <v>104</v>
      </c>
      <c r="G659" s="1" t="s">
        <v>1293</v>
      </c>
      <c r="H659" s="1" t="s">
        <v>108</v>
      </c>
    </row>
    <row r="660" customFormat="false" ht="15" hidden="false" customHeight="true" outlineLevel="0" collapsed="false">
      <c r="A660" s="1" t="n">
        <v>-0.055406</v>
      </c>
      <c r="B660" s="1" t="s">
        <v>123</v>
      </c>
      <c r="C660" s="1" t="s">
        <v>127</v>
      </c>
      <c r="D660" s="1" t="n">
        <v>6232677053</v>
      </c>
      <c r="E660" s="1" t="s">
        <v>1248</v>
      </c>
      <c r="F660" s="1" t="s">
        <v>104</v>
      </c>
      <c r="G660" s="1" t="s">
        <v>1293</v>
      </c>
      <c r="H660" s="1" t="s">
        <v>100</v>
      </c>
    </row>
    <row r="661" customFormat="false" ht="15" hidden="false" customHeight="true" outlineLevel="0" collapsed="false">
      <c r="A661" s="1" t="n">
        <v>-0.13249</v>
      </c>
      <c r="B661" s="1" t="s">
        <v>123</v>
      </c>
      <c r="C661" s="1" t="s">
        <v>119</v>
      </c>
      <c r="D661" s="1" t="n">
        <v>11970518503</v>
      </c>
      <c r="E661" s="1" t="s">
        <v>1248</v>
      </c>
      <c r="F661" s="1" t="s">
        <v>104</v>
      </c>
      <c r="G661" s="1" t="s">
        <v>1293</v>
      </c>
      <c r="H661" s="1" t="s">
        <v>100</v>
      </c>
    </row>
    <row r="662" customFormat="false" ht="15" hidden="false" customHeight="true" outlineLevel="0" collapsed="false">
      <c r="A662" s="1" t="n">
        <v>-0.390577</v>
      </c>
      <c r="B662" s="1" t="s">
        <v>115</v>
      </c>
      <c r="C662" s="1" t="s">
        <v>119</v>
      </c>
      <c r="D662" s="1" t="n">
        <v>1791342344</v>
      </c>
      <c r="E662" s="1" t="s">
        <v>1248</v>
      </c>
      <c r="F662" s="1" t="s">
        <v>115</v>
      </c>
      <c r="G662" s="1" t="s">
        <v>1293</v>
      </c>
      <c r="H662" s="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8.33"/>
    <col collapsed="false" customWidth="true" hidden="false" outlineLevel="0" max="3" min="3" style="1" width="53.66"/>
    <col collapsed="false" customWidth="true" hidden="false" outlineLevel="0" max="4" min="4" style="1" width="15.44"/>
  </cols>
  <sheetData>
    <row r="1" customFormat="false" ht="15" hidden="false" customHeight="true" outlineLevel="0" collapsed="false">
      <c r="A1" s="1" t="s">
        <v>1300</v>
      </c>
      <c r="C1" s="1" t="s">
        <v>1301</v>
      </c>
    </row>
    <row r="2" customFormat="false" ht="15" hidden="false" customHeight="true" outlineLevel="0" collapsed="false">
      <c r="A2" s="1" t="s">
        <v>1302</v>
      </c>
      <c r="B2" s="1" t="s">
        <v>1303</v>
      </c>
      <c r="C2" s="1" t="s">
        <v>1304</v>
      </c>
    </row>
    <row r="3" customFormat="false" ht="15" hidden="false" customHeight="true" outlineLevel="0" collapsed="false">
      <c r="A3" s="1" t="s">
        <v>1305</v>
      </c>
      <c r="B3" s="1" t="s">
        <v>1306</v>
      </c>
      <c r="C3" s="1" t="s">
        <v>1307</v>
      </c>
      <c r="D3" s="1" t="s">
        <v>1250</v>
      </c>
    </row>
    <row r="4" customFormat="false" ht="15" hidden="false" customHeight="true" outlineLevel="0" collapsed="false">
      <c r="A4" s="1" t="s">
        <v>1243</v>
      </c>
      <c r="B4" s="1" t="s">
        <v>1308</v>
      </c>
      <c r="C4" s="1" t="s">
        <v>1309</v>
      </c>
      <c r="D4" s="1" t="s">
        <v>1249</v>
      </c>
    </row>
    <row r="5" customFormat="false" ht="15" hidden="false" customHeight="true" outlineLevel="0" collapsed="false">
      <c r="A5" s="1" t="s">
        <v>1310</v>
      </c>
      <c r="B5" s="1" t="s">
        <v>1311</v>
      </c>
      <c r="C5" s="1" t="s">
        <v>1312</v>
      </c>
      <c r="D5" s="1" t="s">
        <v>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4" style="1" width="1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13"/>
    <col collapsed="false" customWidth="true" hidden="false" outlineLevel="0" max="12" min="12" style="1" width="16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7" min="17" style="1" width="13"/>
    <col collapsed="false" customWidth="true" hidden="false" outlineLevel="0" max="18" min="18" style="1" width="38"/>
    <col collapsed="false" customWidth="true" hidden="false" outlineLevel="0" max="19" min="19" style="1" width="12"/>
  </cols>
  <sheetData>
    <row r="1" customFormat="false" ht="19.5" hidden="false" customHeight="true" outlineLevel="0" collapsed="false">
      <c r="A1" s="180" t="s">
        <v>1313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</row>
    <row r="2" customFormat="false" ht="15" hidden="false" customHeight="true" outlineLevel="0" collapsed="false">
      <c r="A2" s="181" t="s">
        <v>1314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</row>
    <row r="4" customFormat="false" ht="23.25" hidden="false" customHeight="true" outlineLevel="0" collapsed="false">
      <c r="A4" s="182" t="s">
        <v>96</v>
      </c>
      <c r="B4" s="182" t="s">
        <v>26</v>
      </c>
      <c r="C4" s="182" t="s">
        <v>28</v>
      </c>
      <c r="D4" s="182" t="s">
        <v>1315</v>
      </c>
      <c r="E4" s="182" t="s">
        <v>1316</v>
      </c>
      <c r="F4" s="182" t="s">
        <v>1317</v>
      </c>
      <c r="G4" s="182" t="s">
        <v>1318</v>
      </c>
      <c r="H4" s="182" t="s">
        <v>1319</v>
      </c>
      <c r="I4" s="182" t="s">
        <v>1320</v>
      </c>
      <c r="J4" s="182" t="s">
        <v>1321</v>
      </c>
      <c r="K4" s="182" t="s">
        <v>1322</v>
      </c>
      <c r="L4" s="182" t="s">
        <v>1323</v>
      </c>
      <c r="M4" s="182" t="s">
        <v>16</v>
      </c>
      <c r="N4" s="182" t="s">
        <v>17</v>
      </c>
      <c r="O4" s="182" t="s">
        <v>1324</v>
      </c>
      <c r="P4" s="182" t="s">
        <v>1325</v>
      </c>
      <c r="Q4" s="182" t="s">
        <v>1326</v>
      </c>
      <c r="R4" s="182" t="s">
        <v>18</v>
      </c>
      <c r="S4" s="182" t="s">
        <v>1327</v>
      </c>
      <c r="T4" s="182" t="s">
        <v>1328</v>
      </c>
    </row>
    <row r="5" customFormat="false" ht="15" hidden="false" customHeight="true" outlineLevel="0" collapsed="false">
      <c r="A5" s="183" t="s">
        <v>1329</v>
      </c>
      <c r="B5" s="183" t="s">
        <v>1330</v>
      </c>
      <c r="C5" s="184" t="n">
        <v>89</v>
      </c>
      <c r="D5" s="184" t="n">
        <v>9</v>
      </c>
      <c r="E5" s="184" t="n">
        <v>5</v>
      </c>
      <c r="F5" s="184" t="n">
        <v>32</v>
      </c>
      <c r="G5" s="184" t="n">
        <v>43</v>
      </c>
      <c r="H5" s="184" t="n">
        <v>43</v>
      </c>
      <c r="I5" s="184" t="n">
        <v>127</v>
      </c>
      <c r="J5" s="185" t="n">
        <v>167322.34</v>
      </c>
      <c r="K5" s="186" t="n">
        <f aca="false">IF(I5=0,0,J5/I5)</f>
        <v>1317.49874015748</v>
      </c>
      <c r="L5" s="187" t="n">
        <f aca="false">C5*PARAMETROS!B6*PARAMETROS!B7</f>
        <v>513975</v>
      </c>
      <c r="M5" s="188" t="n">
        <f aca="false">IF(L5=0,0,J5/L5)</f>
        <v>0.325545678291746</v>
      </c>
      <c r="N5" s="189" t="str">
        <f aca="false">IF(M5&gt;=PARAMETROS!B17,"🟢 VERDE",IF(M5&gt;=PARAMETROS!B16,"🟡 AMARELO",IF(M5&gt;=PARAMETROS!B15,"🔴 VERMELHO","🟣 ROXO")))</f>
        <v>🔴 VERMELHO</v>
      </c>
      <c r="O5" s="190" t="str">
        <f aca="false">IF(M5&gt;=PARAMETROS!B17,"JBP",IF(M5&gt;=PARAMETROS!B16,"SELL OUT",IF(M5&gt;=0.1,"POSITIVAÇÃO",IF(J5&gt;0,"ATIVAÇÃO","PROSPECÇÃO"))))</f>
        <v>POSITIVAÇÃO</v>
      </c>
      <c r="P5" s="187" t="n">
        <f aca="false">L5-J5</f>
        <v>346652.66</v>
      </c>
      <c r="Q5" s="191" t="n">
        <f aca="false">IF(C5=0,0,H5/C5)</f>
        <v>0.48314606741573</v>
      </c>
      <c r="R5" s="192" t="str">
        <f aca="false">IF(O5="JBP","JBP + BI completo + Plano Negócio",IF(O5="SELL OUT","Ajuste mix + Giro + Promoções",IF(O5="POSITIVAÇÃO","Aumentar frequência + Expandir base",IF(O5="ATIVAÇÃO","Reativar inativos + Prospectar","Mapear decisores + Apresentação institucional"))))</f>
        <v>Aumentar frequência + Expandir base</v>
      </c>
      <c r="S5" s="184" t="n">
        <v>47</v>
      </c>
      <c r="T5" s="193" t="n">
        <f aca="false">RANK(P5,P$5:P$12,0)</f>
        <v>7</v>
      </c>
    </row>
    <row r="6" customFormat="false" ht="15" hidden="false" customHeight="true" outlineLevel="0" collapsed="false">
      <c r="A6" s="183" t="s">
        <v>110</v>
      </c>
      <c r="B6" s="183" t="s">
        <v>1331</v>
      </c>
      <c r="C6" s="184" t="n">
        <v>85</v>
      </c>
      <c r="D6" s="184" t="n">
        <v>5</v>
      </c>
      <c r="E6" s="184" t="n">
        <v>0</v>
      </c>
      <c r="F6" s="184" t="n">
        <v>9</v>
      </c>
      <c r="G6" s="184" t="n">
        <v>71</v>
      </c>
      <c r="H6" s="184" t="n">
        <v>14</v>
      </c>
      <c r="I6" s="184" t="n">
        <v>25</v>
      </c>
      <c r="J6" s="185" t="n">
        <v>53776.25</v>
      </c>
      <c r="K6" s="186" t="n">
        <f aca="false">IF(I6=0,0,J6/I6)</f>
        <v>2151.05</v>
      </c>
      <c r="L6" s="187" t="n">
        <f aca="false">C6*PARAMETROS!B6*PARAMETROS!B7</f>
        <v>490875</v>
      </c>
      <c r="M6" s="188" t="n">
        <f aca="false">IF(L6=0,0,J6/L6)</f>
        <v>0.109551820728291</v>
      </c>
      <c r="N6" s="189" t="str">
        <f aca="false">IF(M6&gt;=PARAMETROS!B17,"🟢 VERDE",IF(M6&gt;=PARAMETROS!B16,"🟡 AMARELO",IF(M6&gt;=PARAMETROS!B15,"🔴 VERMELHO","🟣 ROXO")))</f>
        <v>🔴 VERMELHO</v>
      </c>
      <c r="O6" s="190" t="str">
        <f aca="false">IF(M6&gt;=PARAMETROS!B17,"JBP",IF(M6&gt;=PARAMETROS!B16,"SELL OUT",IF(M6&gt;=0.1,"POSITIVAÇÃO",IF(J6&gt;0,"ATIVAÇÃO","PROSPECÇÃO"))))</f>
        <v>POSITIVAÇÃO</v>
      </c>
      <c r="P6" s="187" t="n">
        <f aca="false">L6-J6</f>
        <v>437098.75</v>
      </c>
      <c r="Q6" s="191" t="n">
        <f aca="false">IF(C6=0,0,H6/C6)</f>
        <v>0.164705882352941</v>
      </c>
      <c r="R6" s="192" t="str">
        <f aca="false">IF(O6="JBP","JBP + BI completo + Plano Negócio",IF(O6="SELL OUT","Ajuste mix + Giro + Promoções",IF(O6="POSITIVAÇÃO","Aumentar frequência + Expandir base",IF(O6="ATIVAÇÃO","Reativar inativos + Prospectar","Mapear decisores + Apresentação institucional"))))</f>
        <v>Aumentar frequência + Expandir base</v>
      </c>
      <c r="S6" s="184" t="n">
        <v>27</v>
      </c>
      <c r="T6" s="193" t="n">
        <f aca="false">RANK(P6,P$5:P$12,0)</f>
        <v>5</v>
      </c>
    </row>
    <row r="7" customFormat="false" ht="15" hidden="false" customHeight="true" outlineLevel="0" collapsed="false">
      <c r="A7" s="183" t="s">
        <v>115</v>
      </c>
      <c r="B7" s="183" t="s">
        <v>1331</v>
      </c>
      <c r="C7" s="184" t="n">
        <v>81</v>
      </c>
      <c r="D7" s="184" t="n">
        <v>8</v>
      </c>
      <c r="E7" s="184" t="n">
        <v>0</v>
      </c>
      <c r="F7" s="184" t="n">
        <v>10</v>
      </c>
      <c r="G7" s="184" t="n">
        <v>63</v>
      </c>
      <c r="H7" s="184" t="n">
        <v>17</v>
      </c>
      <c r="I7" s="184" t="n">
        <v>31</v>
      </c>
      <c r="J7" s="185" t="n">
        <v>41056.24</v>
      </c>
      <c r="K7" s="186" t="n">
        <f aca="false">IF(I7=0,0,J7/I7)</f>
        <v>1324.39483870968</v>
      </c>
      <c r="L7" s="187" t="n">
        <f aca="false">C7*PARAMETROS!B6*PARAMETROS!B7</f>
        <v>467775</v>
      </c>
      <c r="M7" s="188" t="n">
        <f aca="false">IF(L7=0,0,J7/L7)</f>
        <v>0.0877692052803164</v>
      </c>
      <c r="N7" s="189" t="str">
        <f aca="false">IF(M7&gt;=PARAMETROS!B17,"🟢 VERDE",IF(M7&gt;=PARAMETROS!B16,"🟡 AMARELO",IF(M7&gt;=PARAMETROS!B15,"🔴 VERMELHO","🟣 ROXO")))</f>
        <v>🔴 VERMELHO</v>
      </c>
      <c r="O7" s="190" t="str">
        <f aca="false">IF(M7&gt;=PARAMETROS!B17,"JBP",IF(M7&gt;=PARAMETROS!B16,"SELL OUT",IF(M7&gt;=0.1,"POSITIVAÇÃO",IF(J7&gt;0,"ATIVAÇÃO","PROSPECÇÃO"))))</f>
        <v>ATIVAÇÃO</v>
      </c>
      <c r="P7" s="187" t="n">
        <f aca="false">L7-J7</f>
        <v>426718.76</v>
      </c>
      <c r="Q7" s="191" t="n">
        <f aca="false">IF(C7=0,0,H7/C7)</f>
        <v>0.209876543209877</v>
      </c>
      <c r="R7" s="192" t="str">
        <f aca="false">IF(O7="JBP","JBP + BI completo + Plano Negócio",IF(O7="SELL OUT","Ajuste mix + Giro + Promoções",IF(O7="POSITIVAÇÃO","Aumentar frequência + Expandir base",IF(O7="ATIVAÇÃO","Reativar inativos + Prospectar","Mapear decisores + Apresentação institucional"))))</f>
        <v>Reativar inativos + Prospectar</v>
      </c>
      <c r="S7" s="184" t="n">
        <v>13</v>
      </c>
      <c r="T7" s="193" t="n">
        <f aca="false">RANK(P7,P$5:P$12,0)</f>
        <v>6</v>
      </c>
    </row>
    <row r="8" customFormat="false" ht="15" hidden="false" customHeight="true" outlineLevel="0" collapsed="false">
      <c r="A8" s="183" t="s">
        <v>102</v>
      </c>
      <c r="B8" s="183" t="s">
        <v>1330</v>
      </c>
      <c r="C8" s="184" t="n">
        <v>163</v>
      </c>
      <c r="D8" s="184" t="n">
        <v>0</v>
      </c>
      <c r="E8" s="184" t="n">
        <v>4</v>
      </c>
      <c r="F8" s="184" t="n">
        <v>93</v>
      </c>
      <c r="G8" s="184" t="n">
        <v>66</v>
      </c>
      <c r="H8" s="184" t="n">
        <v>18</v>
      </c>
      <c r="I8" s="184" t="n">
        <v>24</v>
      </c>
      <c r="J8" s="185" t="n">
        <v>26360.53</v>
      </c>
      <c r="K8" s="186" t="n">
        <f aca="false">IF(I8=0,0,J8/I8)</f>
        <v>1098.35541666667</v>
      </c>
      <c r="L8" s="187" t="n">
        <f aca="false">C8*PARAMETROS!B6*PARAMETROS!B7</f>
        <v>941325</v>
      </c>
      <c r="M8" s="188" t="n">
        <f aca="false">IF(L8=0,0,J8/L8)</f>
        <v>0.0280036437999628</v>
      </c>
      <c r="N8" s="189" t="str">
        <f aca="false">IF(M8&gt;=PARAMETROS!B17,"🟢 VERDE",IF(M8&gt;=PARAMETROS!B16,"🟡 AMARELO",IF(M8&gt;=PARAMETROS!B15,"🔴 VERMELHO","🟣 ROXO")))</f>
        <v>🔴 VERMELHO</v>
      </c>
      <c r="O8" s="190" t="str">
        <f aca="false">IF(M8&gt;=PARAMETROS!B17,"JBP",IF(M8&gt;=PARAMETROS!B16,"SELL OUT",IF(M8&gt;=0.1,"POSITIVAÇÃO",IF(J8&gt;0,"ATIVAÇÃO","PROSPECÇÃO"))))</f>
        <v>ATIVAÇÃO</v>
      </c>
      <c r="P8" s="187" t="n">
        <f aca="false">L8-J8</f>
        <v>914964.47</v>
      </c>
      <c r="Q8" s="191" t="n">
        <f aca="false">IF(C8=0,0,H8/C8)</f>
        <v>0.110429447852761</v>
      </c>
      <c r="R8" s="192" t="str">
        <f aca="false">IF(O8="JBP","JBP + BI completo + Plano Negócio",IF(O8="SELL OUT","Ajuste mix + Giro + Promoções",IF(O8="POSITIVAÇÃO","Aumentar frequência + Expandir base",IF(O8="ATIVAÇÃO","Reativar inativos + Prospectar","Mapear decisores + Apresentação institucional"))))</f>
        <v>Reativar inativos + Prospectar</v>
      </c>
      <c r="S8" s="184" t="n">
        <v>70</v>
      </c>
      <c r="T8" s="193" t="n">
        <f aca="false">RANK(P8,P$5:P$12,0)</f>
        <v>3</v>
      </c>
    </row>
    <row r="9" customFormat="false" ht="15" hidden="false" customHeight="true" outlineLevel="0" collapsed="false">
      <c r="A9" s="183" t="s">
        <v>120</v>
      </c>
      <c r="B9" s="183" t="s">
        <v>1331</v>
      </c>
      <c r="C9" s="184" t="n">
        <v>199</v>
      </c>
      <c r="D9" s="184" t="n">
        <v>1</v>
      </c>
      <c r="E9" s="184" t="n">
        <v>0</v>
      </c>
      <c r="F9" s="184" t="n">
        <v>3</v>
      </c>
      <c r="G9" s="184" t="n">
        <v>195</v>
      </c>
      <c r="H9" s="184" t="n">
        <v>4</v>
      </c>
      <c r="I9" s="184" t="n">
        <v>10</v>
      </c>
      <c r="J9" s="185" t="n">
        <v>17415.19</v>
      </c>
      <c r="K9" s="186" t="n">
        <f aca="false">IF(I9=0,0,J9/I9)</f>
        <v>1741.519</v>
      </c>
      <c r="L9" s="187" t="n">
        <f aca="false">C9*PARAMETROS!B6*PARAMETROS!B7</f>
        <v>1149225</v>
      </c>
      <c r="M9" s="188" t="n">
        <f aca="false">IF(L9=0,0,J9/L9)</f>
        <v>0.0151538558593835</v>
      </c>
      <c r="N9" s="189" t="str">
        <f aca="false">IF(M9&gt;=PARAMETROS!B17,"🟢 VERDE",IF(M9&gt;=PARAMETROS!B16,"🟡 AMARELO",IF(M9&gt;=PARAMETROS!B15,"🔴 VERMELHO","🟣 ROXO")))</f>
        <v>🔴 VERMELHO</v>
      </c>
      <c r="O9" s="190" t="str">
        <f aca="false">IF(M9&gt;=PARAMETROS!B17,"JBP",IF(M9&gt;=PARAMETROS!B16,"SELL OUT",IF(M9&gt;=0.1,"POSITIVAÇÃO",IF(J9&gt;0,"ATIVAÇÃO","PROSPECÇÃO"))))</f>
        <v>ATIVAÇÃO</v>
      </c>
      <c r="P9" s="187" t="n">
        <f aca="false">L9-J9</f>
        <v>1131809.81</v>
      </c>
      <c r="Q9" s="191" t="n">
        <f aca="false">IF(C9=0,0,H9/C9)</f>
        <v>0.0201005025125628</v>
      </c>
      <c r="R9" s="192" t="str">
        <f aca="false">IF(O9="JBP","JBP + BI completo + Plano Negócio",IF(O9="SELL OUT","Ajuste mix + Giro + Promoções",IF(O9="POSITIVAÇÃO","Aumentar frequência + Expandir base",IF(O9="ATIVAÇÃO","Reativar inativos + Prospectar","Mapear decisores + Apresentação institucional"))))</f>
        <v>Reativar inativos + Prospectar</v>
      </c>
      <c r="S9" s="184" t="n">
        <v>16</v>
      </c>
      <c r="T9" s="193" t="n">
        <f aca="false">RANK(P9,P$5:P$12,0)</f>
        <v>1</v>
      </c>
    </row>
    <row r="10" customFormat="false" ht="15" hidden="false" customHeight="true" outlineLevel="0" collapsed="false">
      <c r="A10" s="183" t="s">
        <v>1332</v>
      </c>
      <c r="B10" s="183" t="s">
        <v>1331</v>
      </c>
      <c r="C10" s="184" t="n">
        <v>167</v>
      </c>
      <c r="D10" s="184" t="n">
        <v>0</v>
      </c>
      <c r="E10" s="184" t="n">
        <v>0</v>
      </c>
      <c r="F10" s="184" t="n">
        <v>4</v>
      </c>
      <c r="G10" s="184" t="n">
        <v>163</v>
      </c>
      <c r="H10" s="184" t="n">
        <v>5</v>
      </c>
      <c r="I10" s="184" t="n">
        <v>13</v>
      </c>
      <c r="J10" s="185" t="n">
        <v>15059.76</v>
      </c>
      <c r="K10" s="186" t="n">
        <f aca="false">IF(I10=0,0,J10/I10)</f>
        <v>1158.44307692308</v>
      </c>
      <c r="L10" s="187" t="n">
        <f aca="false">C10*PARAMETROS!B6*PARAMETROS!B7</f>
        <v>964425</v>
      </c>
      <c r="M10" s="188" t="n">
        <f aca="false">IF(L10=0,0,J10/L10)</f>
        <v>0.0156152733494051</v>
      </c>
      <c r="N10" s="189" t="str">
        <f aca="false">IF(M10&gt;=PARAMETROS!B17,"🟢 VERDE",IF(M10&gt;=PARAMETROS!B16,"🟡 AMARELO",IF(M10&gt;=PARAMETROS!B15,"🔴 VERMELHO","🟣 ROXO")))</f>
        <v>🔴 VERMELHO</v>
      </c>
      <c r="O10" s="190" t="str">
        <f aca="false">IF(M10&gt;=PARAMETROS!B17,"JBP",IF(M10&gt;=PARAMETROS!B16,"SELL OUT",IF(M10&gt;=0.1,"POSITIVAÇÃO",IF(J10&gt;0,"ATIVAÇÃO","PROSPECÇÃO"))))</f>
        <v>ATIVAÇÃO</v>
      </c>
      <c r="P10" s="187" t="n">
        <f aca="false">L10-J10</f>
        <v>949365.24</v>
      </c>
      <c r="Q10" s="191" t="n">
        <f aca="false">IF(C10=0,0,H10/C10)</f>
        <v>0.029940119760479</v>
      </c>
      <c r="R10" s="192" t="str">
        <f aca="false">IF(O10="JBP","JBP + BI completo + Plano Negócio",IF(O10="SELL OUT","Ajuste mix + Giro + Promoções",IF(O10="POSITIVAÇÃO","Aumentar frequência + Expandir base",IF(O10="ATIVAÇÃO","Reativar inativos + Prospectar","Mapear decisores + Apresentação institucional"))))</f>
        <v>Reativar inativos + Prospectar</v>
      </c>
      <c r="S10" s="184" t="n">
        <v>30</v>
      </c>
      <c r="T10" s="193" t="n">
        <f aca="false">RANK(P10,P$5:P$12,0)</f>
        <v>2</v>
      </c>
    </row>
    <row r="11" customFormat="false" ht="15" hidden="false" customHeight="true" outlineLevel="0" collapsed="false">
      <c r="A11" s="183" t="s">
        <v>128</v>
      </c>
      <c r="B11" s="183" t="s">
        <v>1333</v>
      </c>
      <c r="C11" s="184" t="n">
        <v>25</v>
      </c>
      <c r="D11" s="184" t="n">
        <v>1</v>
      </c>
      <c r="E11" s="184" t="n">
        <v>0</v>
      </c>
      <c r="F11" s="184" t="n">
        <v>0</v>
      </c>
      <c r="G11" s="184" t="n">
        <v>24</v>
      </c>
      <c r="H11" s="184" t="n">
        <v>1</v>
      </c>
      <c r="I11" s="184" t="n">
        <v>6</v>
      </c>
      <c r="J11" s="185" t="n">
        <v>9808.5</v>
      </c>
      <c r="K11" s="186" t="n">
        <f aca="false">IF(I11=0,0,J11/I11)</f>
        <v>1634.75</v>
      </c>
      <c r="L11" s="187" t="n">
        <f aca="false">C11*PARAMETROS!B6*PARAMETROS!B7</f>
        <v>144375</v>
      </c>
      <c r="M11" s="188" t="n">
        <f aca="false">IF(L11=0,0,J11/L11)</f>
        <v>0.0679376623376623</v>
      </c>
      <c r="N11" s="189" t="str">
        <f aca="false">IF(M11&gt;=PARAMETROS!B17,"🟢 VERDE",IF(M11&gt;=PARAMETROS!B16,"🟡 AMARELO",IF(M11&gt;=PARAMETROS!B15,"🔴 VERMELHO","🟣 ROXO")))</f>
        <v>🔴 VERMELHO</v>
      </c>
      <c r="O11" s="190" t="str">
        <f aca="false">IF(M11&gt;=PARAMETROS!B17,"JBP",IF(M11&gt;=PARAMETROS!B16,"SELL OUT",IF(M11&gt;=0.1,"POSITIVAÇÃO",IF(J11&gt;0,"ATIVAÇÃO","PROSPECÇÃO"))))</f>
        <v>ATIVAÇÃO</v>
      </c>
      <c r="P11" s="187" t="n">
        <f aca="false">L11-J11</f>
        <v>134566.5</v>
      </c>
      <c r="Q11" s="191" t="n">
        <f aca="false">IF(C11=0,0,H11/C11)</f>
        <v>0.04</v>
      </c>
      <c r="R11" s="192" t="str">
        <f aca="false">IF(O11="JBP","JBP + BI completo + Plano Negócio",IF(O11="SELL OUT","Ajuste mix + Giro + Promoções",IF(O11="POSITIVAÇÃO","Aumentar frequência + Expandir base",IF(O11="ATIVAÇÃO","Reativar inativos + Prospectar","Mapear decisores + Apresentação institucional"))))</f>
        <v>Reativar inativos + Prospectar</v>
      </c>
      <c r="S11" s="184" t="n">
        <v>1</v>
      </c>
      <c r="T11" s="193" t="n">
        <f aca="false">RANK(P11,P$5:P$12,0)</f>
        <v>8</v>
      </c>
    </row>
    <row r="12" customFormat="false" ht="15" hidden="false" customHeight="true" outlineLevel="0" collapsed="false">
      <c r="A12" s="183" t="s">
        <v>131</v>
      </c>
      <c r="B12" s="183" t="s">
        <v>1331</v>
      </c>
      <c r="C12" s="184" t="n">
        <v>114</v>
      </c>
      <c r="D12" s="184" t="n">
        <v>0</v>
      </c>
      <c r="E12" s="184" t="n">
        <v>0</v>
      </c>
      <c r="F12" s="184" t="n">
        <v>0</v>
      </c>
      <c r="G12" s="184" t="n">
        <v>114</v>
      </c>
      <c r="H12" s="184" t="n">
        <v>0</v>
      </c>
      <c r="I12" s="184" t="n">
        <v>0</v>
      </c>
      <c r="J12" s="185" t="n">
        <v>0</v>
      </c>
      <c r="K12" s="186" t="n">
        <f aca="false">IF(I12=0,0,J12/I12)</f>
        <v>0</v>
      </c>
      <c r="L12" s="187" t="n">
        <f aca="false">C12*PARAMETROS!B6*PARAMETROS!B7</f>
        <v>658350</v>
      </c>
      <c r="M12" s="188" t="n">
        <f aca="false">IF(L12=0,0,J12/L12)</f>
        <v>0</v>
      </c>
      <c r="N12" s="189" t="str">
        <f aca="false">IF(M12&gt;=PARAMETROS!B17,"🟢 VERDE",IF(M12&gt;=PARAMETROS!B16,"🟡 AMARELO",IF(M12&gt;=PARAMETROS!B15,"🔴 VERMELHO","🟣 ROXO")))</f>
        <v>🟣 ROXO</v>
      </c>
      <c r="O12" s="190" t="str">
        <f aca="false">IF(M12&gt;=PARAMETROS!B17,"JBP",IF(M12&gt;=PARAMETROS!B16,"SELL OUT",IF(M12&gt;=0.1,"POSITIVAÇÃO",IF(J12&gt;0,"ATIVAÇÃO","PROSPECÇÃO"))))</f>
        <v>PROSPECÇÃO</v>
      </c>
      <c r="P12" s="187" t="n">
        <f aca="false">L12-J12</f>
        <v>658350</v>
      </c>
      <c r="Q12" s="191" t="n">
        <f aca="false">IF(C12=0,0,H12/C12)</f>
        <v>0</v>
      </c>
      <c r="R12" s="192" t="str">
        <f aca="false">IF(O12="JBP","JBP + BI completo + Plano Negócio",IF(O12="SELL OUT","Ajuste mix + Giro + Promoções",IF(O12="POSITIVAÇÃO","Aumentar frequência + Expandir base",IF(O12="ATIVAÇÃO","Reativar inativos + Prospectar","Mapear decisores + Apresentação institucional"))))</f>
        <v>Mapear decisores + Apresentação institucional</v>
      </c>
      <c r="S12" s="184" t="n">
        <v>0</v>
      </c>
      <c r="T12" s="193" t="n">
        <f aca="false">RANK(P12,P$5:P$12,0)</f>
        <v>4</v>
      </c>
    </row>
    <row r="14" customFormat="false" ht="17.25" hidden="false" customHeight="true" outlineLevel="0" collapsed="false">
      <c r="A14" s="194" t="s">
        <v>1334</v>
      </c>
      <c r="B14" s="195"/>
      <c r="C14" s="196" t="n">
        <f aca="false">SUM(C5:C12)</f>
        <v>923</v>
      </c>
      <c r="D14" s="196" t="n">
        <f aca="false">SUM(D5:D12)</f>
        <v>24</v>
      </c>
      <c r="E14" s="196" t="n">
        <f aca="false">SUM(E5:E12)</f>
        <v>9</v>
      </c>
      <c r="F14" s="196" t="n">
        <f aca="false">SUM(F5:F12)</f>
        <v>151</v>
      </c>
      <c r="G14" s="196" t="n">
        <f aca="false">SUM(G5:G12)</f>
        <v>739</v>
      </c>
      <c r="H14" s="196" t="n">
        <f aca="false">SUM(H5:H12)</f>
        <v>102</v>
      </c>
      <c r="I14" s="196" t="n">
        <f aca="false">SUM(I5:I12)</f>
        <v>236</v>
      </c>
      <c r="J14" s="197" t="n">
        <f aca="false">SUM(J5:J12)</f>
        <v>330798.81</v>
      </c>
      <c r="K14" s="197" t="n">
        <f aca="false">IF(I14=0,0,J14/I14)</f>
        <v>1401.68987288136</v>
      </c>
      <c r="L14" s="196" t="n">
        <f aca="false">SUM(L5:L12)</f>
        <v>5330325</v>
      </c>
      <c r="M14" s="198" t="n">
        <f aca="false">IF(L14=0,0,J14/L14)</f>
        <v>0.0620597824710501</v>
      </c>
      <c r="N14" s="195" t="str">
        <f aca="false">IF(M14&gt;=PARAMETROS!B17,"🟢 VERDE",IF(M14&gt;=PARAMETROS!B16,"🟡 AMARELO",IF(M14&gt;=PARAMETROS!B15,"🔴 VERMELHO","🟣 ROXO")))</f>
        <v>🔴 VERMELHO</v>
      </c>
      <c r="O14" s="195"/>
      <c r="P14" s="196" t="n">
        <f aca="false">SUM(P5:P12)</f>
        <v>4999526.19</v>
      </c>
      <c r="Q14" s="199" t="n">
        <f aca="false">IF(C14=0,0,H14/C14)</f>
        <v>0.110509209100758</v>
      </c>
      <c r="R14" s="195"/>
      <c r="S14" s="196" t="n">
        <f aca="false">SUM(S5:S12)</f>
        <v>204</v>
      </c>
      <c r="T14" s="195"/>
    </row>
    <row r="16" customFormat="false" ht="15" hidden="false" customHeight="true" outlineLevel="0" collapsed="false">
      <c r="A16" s="200" t="s">
        <v>1335</v>
      </c>
      <c r="B16" s="200"/>
      <c r="C16" s="200"/>
      <c r="D16" s="200"/>
      <c r="F16" s="200" t="s">
        <v>1336</v>
      </c>
      <c r="G16" s="200"/>
      <c r="H16" s="200"/>
      <c r="I16" s="200"/>
      <c r="J16" s="200"/>
    </row>
    <row r="17" customFormat="false" ht="17.25" hidden="false" customHeight="true" outlineLevel="0" collapsed="false">
      <c r="A17" s="201" t="s">
        <v>1337</v>
      </c>
      <c r="B17" s="202" t="n">
        <f aca="false">COUNTIF(N5:N12,"*ROXO*")</f>
        <v>1</v>
      </c>
      <c r="C17" s="203" t="s">
        <v>1338</v>
      </c>
      <c r="F17" s="204" t="s">
        <v>1339</v>
      </c>
      <c r="G17" s="205" t="n">
        <v>700</v>
      </c>
    </row>
    <row r="18" customFormat="false" ht="17.25" hidden="false" customHeight="true" outlineLevel="0" collapsed="false">
      <c r="A18" s="206" t="s">
        <v>1340</v>
      </c>
      <c r="B18" s="207" t="n">
        <f aca="false">COUNTIF(N5:N12,"*VERMELHO*")</f>
        <v>7</v>
      </c>
      <c r="C18" s="203" t="s">
        <v>1338</v>
      </c>
      <c r="F18" s="204" t="s">
        <v>1341</v>
      </c>
      <c r="G18" s="208" t="n">
        <f aca="false">C14*G17*PARAMETROS!B7</f>
        <v>7107100</v>
      </c>
    </row>
    <row r="19" customFormat="false" ht="17.25" hidden="false" customHeight="true" outlineLevel="0" collapsed="false">
      <c r="A19" s="209" t="s">
        <v>1342</v>
      </c>
      <c r="B19" s="210" t="n">
        <f aca="false">COUNTIF(N5:N12,"*AMARELO*")</f>
        <v>0</v>
      </c>
      <c r="C19" s="203" t="s">
        <v>1338</v>
      </c>
      <c r="F19" s="204" t="s">
        <v>1343</v>
      </c>
      <c r="G19" s="211" t="n">
        <f aca="false">IF(G18=0,0,J14/G18)</f>
        <v>0.0465448368532876</v>
      </c>
    </row>
    <row r="20" customFormat="false" ht="17.25" hidden="false" customHeight="true" outlineLevel="0" collapsed="false">
      <c r="A20" s="212" t="s">
        <v>1344</v>
      </c>
      <c r="B20" s="213" t="n">
        <f aca="false">COUNTIF(N5:N12,"*VERDE*")</f>
        <v>0</v>
      </c>
      <c r="C20" s="203" t="s">
        <v>1338</v>
      </c>
      <c r="F20" s="204" t="s">
        <v>1345</v>
      </c>
      <c r="G20" s="208" t="n">
        <f aca="false">G18-J14</f>
        <v>6776301.19</v>
      </c>
    </row>
  </sheetData>
  <mergeCells count="4">
    <mergeCell ref="A1:T1"/>
    <mergeCell ref="A2:T2"/>
    <mergeCell ref="A16:D16"/>
    <mergeCell ref="F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214" t="s">
        <v>1346</v>
      </c>
      <c r="B1" s="214"/>
      <c r="C1" s="214"/>
      <c r="D1" s="214"/>
      <c r="E1" s="214"/>
      <c r="F1" s="214"/>
      <c r="G1" s="214"/>
    </row>
    <row r="2" customFormat="false" ht="15" hidden="false" customHeight="true" outlineLevel="0" collapsed="false">
      <c r="A2" s="215" t="s">
        <v>1347</v>
      </c>
      <c r="B2" s="215"/>
      <c r="C2" s="215"/>
      <c r="D2" s="215"/>
      <c r="E2" s="215"/>
      <c r="F2" s="215"/>
      <c r="G2" s="215"/>
    </row>
    <row r="4" customFormat="false" ht="21.75" hidden="false" customHeight="true" outlineLevel="0" collapsed="false">
      <c r="A4" s="216" t="s">
        <v>28</v>
      </c>
      <c r="B4" s="216" t="s">
        <v>1348</v>
      </c>
      <c r="C4" s="216" t="s">
        <v>1349</v>
      </c>
      <c r="D4" s="216" t="s">
        <v>1323</v>
      </c>
      <c r="E4" s="216" t="s">
        <v>1350</v>
      </c>
      <c r="F4" s="216" t="s">
        <v>1351</v>
      </c>
      <c r="G4" s="216" t="s">
        <v>1128</v>
      </c>
    </row>
    <row r="5" customFormat="false" ht="19.5" hidden="false" customHeight="true" outlineLevel="0" collapsed="false">
      <c r="A5" s="217" t="n">
        <f aca="false">SINALEIRO_REDES!C14</f>
        <v>923</v>
      </c>
      <c r="B5" s="217" t="n">
        <f aca="false">SINALEIRO_REDES!H14</f>
        <v>102</v>
      </c>
      <c r="C5" s="217" t="n">
        <f aca="false">SINALEIRO_REDES!J14</f>
        <v>330798.81</v>
      </c>
      <c r="D5" s="217" t="n">
        <f aca="false">SINALEIRO_REDES!L14</f>
        <v>5330325</v>
      </c>
      <c r="E5" s="217" t="n">
        <f aca="false">SINALEIRO_REDES!P14</f>
        <v>4999526.19</v>
      </c>
      <c r="F5" s="218" t="n">
        <f aca="false">SINALEIRO_REDES!M14</f>
        <v>0.0620597824710501</v>
      </c>
      <c r="G5" s="218" t="n">
        <f aca="false">SINALEIRO_REDES!Q14</f>
        <v>0.110509209100758</v>
      </c>
    </row>
    <row r="6" customFormat="false" ht="26.25" hidden="false" customHeight="true" outlineLevel="0" collapsed="false">
      <c r="F6" s="219" t="str">
        <f aca="false">SINALEIRO_REDES!N14</f>
        <v>🔴 VERMELHO</v>
      </c>
    </row>
    <row r="8" customFormat="false" ht="15" hidden="false" customHeight="true" outlineLevel="0" collapsed="false">
      <c r="A8" s="200" t="s">
        <v>1352</v>
      </c>
      <c r="B8" s="200"/>
      <c r="C8" s="200"/>
      <c r="D8" s="200"/>
    </row>
    <row r="9" customFormat="false" ht="15" hidden="false" customHeight="true" outlineLevel="0" collapsed="false">
      <c r="A9" s="220" t="s">
        <v>1337</v>
      </c>
      <c r="B9" s="220"/>
      <c r="C9" s="221" t="s">
        <v>1340</v>
      </c>
      <c r="D9" s="221"/>
      <c r="E9" s="222" t="s">
        <v>1342</v>
      </c>
      <c r="F9" s="222"/>
      <c r="G9" s="223" t="s">
        <v>1344</v>
      </c>
      <c r="H9" s="223"/>
    </row>
    <row r="10" customFormat="false" ht="33.75" hidden="false" customHeight="true" outlineLevel="0" collapsed="false">
      <c r="A10" s="224" t="n">
        <f aca="false">COUNTIF(SINALEIRO_REDES!N5:N12,"*ROXO*")</f>
        <v>1</v>
      </c>
      <c r="B10" s="224"/>
      <c r="C10" s="224" t="n">
        <f aca="false">COUNTIF(SINALEIRO_REDES!N5:N12,"*VERMELHO*")</f>
        <v>7</v>
      </c>
      <c r="D10" s="224"/>
      <c r="E10" s="224" t="n">
        <f aca="false">COUNTIF(SINALEIRO_REDES!N5:N12,"*AMARELO*")</f>
        <v>0</v>
      </c>
      <c r="F10" s="224"/>
      <c r="G10" s="224" t="n">
        <f aca="false">COUNTIF(SINALEIRO_REDES!N5:N12,"*VERDE*")</f>
        <v>0</v>
      </c>
      <c r="H10" s="224"/>
    </row>
    <row r="11" customFormat="false" ht="15" hidden="false" customHeight="true" outlineLevel="0" collapsed="false">
      <c r="A11" s="225" t="s">
        <v>1353</v>
      </c>
      <c r="B11" s="225"/>
      <c r="C11" s="225" t="s">
        <v>1354</v>
      </c>
      <c r="D11" s="225"/>
      <c r="E11" s="225" t="s">
        <v>1355</v>
      </c>
      <c r="F11" s="225"/>
      <c r="G11" s="225" t="s">
        <v>1356</v>
      </c>
      <c r="H11" s="225"/>
    </row>
    <row r="13" customFormat="false" ht="15" hidden="false" customHeight="true" outlineLevel="0" collapsed="false">
      <c r="A13" s="200" t="s">
        <v>1357</v>
      </c>
      <c r="B13" s="200"/>
      <c r="C13" s="200"/>
      <c r="D13" s="200"/>
      <c r="E13" s="200"/>
      <c r="F13" s="200"/>
      <c r="G13" s="200"/>
    </row>
    <row r="14" customFormat="false" ht="15" hidden="false" customHeight="true" outlineLevel="0" collapsed="false">
      <c r="A14" s="182" t="s">
        <v>96</v>
      </c>
      <c r="B14" s="182" t="s">
        <v>1237</v>
      </c>
      <c r="C14" s="182" t="s">
        <v>17</v>
      </c>
      <c r="D14" s="182" t="s">
        <v>1324</v>
      </c>
      <c r="E14" s="182" t="s">
        <v>63</v>
      </c>
      <c r="F14" s="182" t="s">
        <v>1128</v>
      </c>
      <c r="G14" s="182" t="s">
        <v>1328</v>
      </c>
    </row>
    <row r="15" customFormat="false" ht="15" hidden="false" customHeight="true" outlineLevel="0" collapsed="false">
      <c r="A15" s="226" t="str">
        <f aca="false">SINALEIRO_REDES!A5</f>
        <v>FIT LAND</v>
      </c>
      <c r="B15" s="227" t="n">
        <f aca="false">SINALEIRO_REDES!M5</f>
        <v>0.325545678291746</v>
      </c>
      <c r="C15" s="226" t="str">
        <f aca="false">SINALEIRO_REDES!N5</f>
        <v>🔴 VERMELHO</v>
      </c>
      <c r="D15" s="226" t="str">
        <f aca="false">SINALEIRO_REDES!O5</f>
        <v>POSITIVAÇÃO</v>
      </c>
      <c r="E15" s="228" t="n">
        <f aca="false">SINALEIRO_REDES!P5</f>
        <v>346652.66</v>
      </c>
      <c r="F15" s="227" t="n">
        <f aca="false">SINALEIRO_REDES!Q5</f>
        <v>0.48314606741573</v>
      </c>
      <c r="G15" s="229" t="n">
        <f aca="false">SINALEIRO_REDES!T5</f>
        <v>7</v>
      </c>
    </row>
    <row r="16" customFormat="false" ht="15" hidden="false" customHeight="true" outlineLevel="0" collapsed="false">
      <c r="A16" s="190" t="str">
        <f aca="false">SINALEIRO_REDES!A6</f>
        <v>DIVINA TERRA</v>
      </c>
      <c r="B16" s="191" t="n">
        <f aca="false">SINALEIRO_REDES!M6</f>
        <v>0.109551820728291</v>
      </c>
      <c r="C16" s="190" t="str">
        <f aca="false">SINALEIRO_REDES!N6</f>
        <v>🔴 VERMELHO</v>
      </c>
      <c r="D16" s="190" t="str">
        <f aca="false">SINALEIRO_REDES!O6</f>
        <v>POSITIVAÇÃO</v>
      </c>
      <c r="E16" s="187" t="n">
        <f aca="false">SINALEIRO_REDES!P6</f>
        <v>437098.75</v>
      </c>
      <c r="F16" s="191" t="n">
        <f aca="false">SINALEIRO_REDES!Q6</f>
        <v>0.164705882352941</v>
      </c>
      <c r="G16" s="193" t="n">
        <f aca="false">SINALEIRO_REDES!T6</f>
        <v>5</v>
      </c>
    </row>
    <row r="17" customFormat="false" ht="15" hidden="false" customHeight="true" outlineLevel="0" collapsed="false">
      <c r="A17" s="226" t="str">
        <f aca="false">SINALEIRO_REDES!A7</f>
        <v>VIDA LEVE</v>
      </c>
      <c r="B17" s="227" t="n">
        <f aca="false">SINALEIRO_REDES!M7</f>
        <v>0.0877692052803164</v>
      </c>
      <c r="C17" s="226" t="str">
        <f aca="false">SINALEIRO_REDES!N7</f>
        <v>🔴 VERMELHO</v>
      </c>
      <c r="D17" s="226" t="str">
        <f aca="false">SINALEIRO_REDES!O7</f>
        <v>ATIVAÇÃO</v>
      </c>
      <c r="E17" s="228" t="n">
        <f aca="false">SINALEIRO_REDES!P7</f>
        <v>426718.76</v>
      </c>
      <c r="F17" s="227" t="n">
        <f aca="false">SINALEIRO_REDES!Q7</f>
        <v>0.209876543209877</v>
      </c>
      <c r="G17" s="229" t="n">
        <f aca="false">SINALEIRO_REDES!T7</f>
        <v>6</v>
      </c>
    </row>
    <row r="18" customFormat="false" ht="15" hidden="false" customHeight="true" outlineLevel="0" collapsed="false">
      <c r="A18" s="190" t="str">
        <f aca="false">SINALEIRO_REDES!A8</f>
        <v>CIA DA SAUDE</v>
      </c>
      <c r="B18" s="191" t="n">
        <f aca="false">SINALEIRO_REDES!M8</f>
        <v>0.0280036437999628</v>
      </c>
      <c r="C18" s="190" t="str">
        <f aca="false">SINALEIRO_REDES!N8</f>
        <v>🔴 VERMELHO</v>
      </c>
      <c r="D18" s="190" t="str">
        <f aca="false">SINALEIRO_REDES!O8</f>
        <v>ATIVAÇÃO</v>
      </c>
      <c r="E18" s="187" t="n">
        <f aca="false">SINALEIRO_REDES!P8</f>
        <v>914964.47</v>
      </c>
      <c r="F18" s="191" t="n">
        <f aca="false">SINALEIRO_REDES!Q8</f>
        <v>0.110429447852761</v>
      </c>
      <c r="G18" s="193" t="n">
        <f aca="false">SINALEIRO_REDES!T8</f>
        <v>3</v>
      </c>
    </row>
    <row r="19" customFormat="false" ht="15" hidden="false" customHeight="true" outlineLevel="0" collapsed="false">
      <c r="A19" s="226" t="str">
        <f aca="false">SINALEIRO_REDES!A9</f>
        <v>MUNDO VERDE</v>
      </c>
      <c r="B19" s="227" t="n">
        <f aca="false">SINALEIRO_REDES!M9</f>
        <v>0.0151538558593835</v>
      </c>
      <c r="C19" s="226" t="str">
        <f aca="false">SINALEIRO_REDES!N9</f>
        <v>🔴 VERMELHO</v>
      </c>
      <c r="D19" s="226" t="str">
        <f aca="false">SINALEIRO_REDES!O9</f>
        <v>ATIVAÇÃO</v>
      </c>
      <c r="E19" s="228" t="n">
        <f aca="false">SINALEIRO_REDES!P9</f>
        <v>1131809.81</v>
      </c>
      <c r="F19" s="227" t="n">
        <f aca="false">SINALEIRO_REDES!Q9</f>
        <v>0.0201005025125628</v>
      </c>
      <c r="G19" s="229" t="n">
        <f aca="false">SINALEIRO_REDES!T9</f>
        <v>1</v>
      </c>
    </row>
    <row r="20" customFormat="false" ht="15" hidden="false" customHeight="true" outlineLevel="0" collapsed="false">
      <c r="A20" s="190" t="str">
        <f aca="false">SINALEIRO_REDES!A10</f>
        <v>BIOMUNDO</v>
      </c>
      <c r="B20" s="191" t="n">
        <f aca="false">SINALEIRO_REDES!M10</f>
        <v>0.0156152733494051</v>
      </c>
      <c r="C20" s="190" t="str">
        <f aca="false">SINALEIRO_REDES!N10</f>
        <v>🔴 VERMELHO</v>
      </c>
      <c r="D20" s="190" t="str">
        <f aca="false">SINALEIRO_REDES!O10</f>
        <v>ATIVAÇÃO</v>
      </c>
      <c r="E20" s="187" t="n">
        <f aca="false">SINALEIRO_REDES!P10</f>
        <v>949365.24</v>
      </c>
      <c r="F20" s="191" t="n">
        <f aca="false">SINALEIRO_REDES!Q10</f>
        <v>0.029940119760479</v>
      </c>
      <c r="G20" s="193" t="n">
        <f aca="false">SINALEIRO_REDES!T10</f>
        <v>2</v>
      </c>
    </row>
    <row r="21" customFormat="false" ht="15" hidden="false" customHeight="true" outlineLevel="0" collapsed="false">
      <c r="A21" s="226" t="str">
        <f aca="false">SINALEIRO_REDES!A11</f>
        <v>TUDO EM GRAOS</v>
      </c>
      <c r="B21" s="227" t="n">
        <f aca="false">SINALEIRO_REDES!M11</f>
        <v>0.0679376623376623</v>
      </c>
      <c r="C21" s="226" t="str">
        <f aca="false">SINALEIRO_REDES!N11</f>
        <v>🔴 VERMELHO</v>
      </c>
      <c r="D21" s="226" t="str">
        <f aca="false">SINALEIRO_REDES!O11</f>
        <v>ATIVAÇÃO</v>
      </c>
      <c r="E21" s="228" t="n">
        <f aca="false">SINALEIRO_REDES!P11</f>
        <v>134566.5</v>
      </c>
      <c r="F21" s="227" t="n">
        <f aca="false">SINALEIRO_REDES!Q11</f>
        <v>0.04</v>
      </c>
      <c r="G21" s="229" t="n">
        <f aca="false">SINALEIRO_REDES!T11</f>
        <v>8</v>
      </c>
    </row>
    <row r="22" customFormat="false" ht="15" hidden="false" customHeight="true" outlineLevel="0" collapsed="false">
      <c r="A22" s="190" t="str">
        <f aca="false">SINALEIRO_REDES!A12</f>
        <v>ARMAZEM FITSTORE</v>
      </c>
      <c r="B22" s="191" t="n">
        <f aca="false">SINALEIRO_REDES!M12</f>
        <v>0</v>
      </c>
      <c r="C22" s="190" t="str">
        <f aca="false">SINALEIRO_REDES!N12</f>
        <v>🟣 ROXO</v>
      </c>
      <c r="D22" s="190" t="str">
        <f aca="false">SINALEIRO_REDES!O12</f>
        <v>PROSPECÇÃO</v>
      </c>
      <c r="E22" s="187" t="n">
        <f aca="false">SINALEIRO_REDES!P12</f>
        <v>658350</v>
      </c>
      <c r="F22" s="191" t="n">
        <f aca="false">SINALEIRO_REDES!Q12</f>
        <v>0</v>
      </c>
      <c r="G22" s="193" t="n">
        <f aca="false">SINALEIRO_REDES!T12</f>
        <v>4</v>
      </c>
    </row>
  </sheetData>
  <mergeCells count="16">
    <mergeCell ref="A1:G1"/>
    <mergeCell ref="A2:G2"/>
    <mergeCell ref="A8:D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4" min="4" style="1" width="40"/>
    <col collapsed="false" customWidth="true" hidden="false" outlineLevel="0" max="5" min="5" style="1" width="25"/>
    <col collapsed="false" customWidth="true" hidden="false" outlineLevel="0" max="6" min="6" style="1" width="20"/>
  </cols>
  <sheetData>
    <row r="1" customFormat="false" ht="19.5" hidden="false" customHeight="true" outlineLevel="0" collapsed="false">
      <c r="A1" s="180" t="s">
        <v>1358</v>
      </c>
      <c r="B1" s="180"/>
      <c r="C1" s="180"/>
      <c r="D1" s="180"/>
      <c r="E1" s="180"/>
      <c r="F1" s="180"/>
    </row>
    <row r="2" customFormat="false" ht="15" hidden="false" customHeight="true" outlineLevel="0" collapsed="false">
      <c r="A2" s="215" t="s">
        <v>1359</v>
      </c>
      <c r="B2" s="215"/>
      <c r="C2" s="215"/>
      <c r="D2" s="215"/>
      <c r="E2" s="215"/>
      <c r="F2" s="215"/>
    </row>
    <row r="4" customFormat="false" ht="15" hidden="false" customHeight="true" outlineLevel="0" collapsed="false">
      <c r="A4" s="200" t="s">
        <v>1360</v>
      </c>
      <c r="B4" s="200"/>
      <c r="C4" s="200"/>
    </row>
    <row r="5" customFormat="false" ht="15" hidden="false" customHeight="true" outlineLevel="0" collapsed="false">
      <c r="A5" s="230" t="s">
        <v>1361</v>
      </c>
      <c r="B5" s="182" t="s">
        <v>1362</v>
      </c>
      <c r="C5" s="182" t="s">
        <v>1363</v>
      </c>
      <c r="D5" s="230" t="s">
        <v>1364</v>
      </c>
    </row>
    <row r="6" customFormat="false" ht="15" hidden="false" customHeight="true" outlineLevel="0" collapsed="false">
      <c r="A6" s="231" t="s">
        <v>1365</v>
      </c>
      <c r="B6" s="184" t="n">
        <v>525</v>
      </c>
      <c r="C6" s="232" t="s">
        <v>1366</v>
      </c>
      <c r="D6" s="231" t="s">
        <v>1367</v>
      </c>
    </row>
    <row r="7" customFormat="false" ht="15" hidden="false" customHeight="true" outlineLevel="0" collapsed="false">
      <c r="A7" s="231" t="s">
        <v>1368</v>
      </c>
      <c r="B7" s="184" t="n">
        <v>11</v>
      </c>
      <c r="C7" s="232" t="s">
        <v>1369</v>
      </c>
      <c r="D7" s="231" t="s">
        <v>1370</v>
      </c>
    </row>
    <row r="8" customFormat="false" ht="23.25" hidden="false" customHeight="true" outlineLevel="0" collapsed="false">
      <c r="A8" s="231" t="s">
        <v>1371</v>
      </c>
      <c r="B8" s="233" t="n">
        <v>0.3</v>
      </c>
      <c r="C8" s="232" t="s">
        <v>1240</v>
      </c>
      <c r="D8" s="231" t="s">
        <v>1372</v>
      </c>
    </row>
    <row r="9" customFormat="false" ht="15" hidden="false" customHeight="true" outlineLevel="0" collapsed="false">
      <c r="A9" s="231" t="s">
        <v>1373</v>
      </c>
      <c r="B9" s="233" t="n">
        <v>0.15</v>
      </c>
      <c r="C9" s="232" t="s">
        <v>1240</v>
      </c>
      <c r="D9" s="231" t="s">
        <v>1374</v>
      </c>
    </row>
    <row r="12" customFormat="false" ht="15" hidden="false" customHeight="true" outlineLevel="0" collapsed="false">
      <c r="A12" s="200" t="s">
        <v>1375</v>
      </c>
      <c r="B12" s="200"/>
      <c r="C12" s="200"/>
      <c r="D12" s="200"/>
      <c r="E12" s="200"/>
    </row>
    <row r="13" customFormat="false" ht="15" hidden="false" customHeight="true" outlineLevel="0" collapsed="false">
      <c r="A13" s="182" t="s">
        <v>17</v>
      </c>
      <c r="B13" s="182" t="s">
        <v>1376</v>
      </c>
      <c r="C13" s="182" t="s">
        <v>1377</v>
      </c>
      <c r="D13" s="182" t="s">
        <v>1378</v>
      </c>
      <c r="E13" s="182" t="s">
        <v>1324</v>
      </c>
    </row>
    <row r="14" customFormat="false" ht="15" hidden="false" customHeight="true" outlineLevel="0" collapsed="false">
      <c r="A14" s="234" t="s">
        <v>1337</v>
      </c>
      <c r="B14" s="233" t="n">
        <v>0</v>
      </c>
      <c r="C14" s="233" t="n">
        <v>0.01</v>
      </c>
      <c r="D14" s="235" t="s">
        <v>1379</v>
      </c>
      <c r="E14" s="235" t="s">
        <v>1380</v>
      </c>
    </row>
    <row r="15" customFormat="false" ht="15" hidden="false" customHeight="true" outlineLevel="0" collapsed="false">
      <c r="A15" s="236" t="s">
        <v>1340</v>
      </c>
      <c r="B15" s="233" t="n">
        <v>0.01</v>
      </c>
      <c r="C15" s="233" t="n">
        <v>0.4</v>
      </c>
      <c r="D15" s="235" t="s">
        <v>1381</v>
      </c>
      <c r="E15" s="235" t="s">
        <v>1382</v>
      </c>
    </row>
    <row r="16" customFormat="false" ht="15" hidden="false" customHeight="true" outlineLevel="0" collapsed="false">
      <c r="A16" s="237" t="s">
        <v>1342</v>
      </c>
      <c r="B16" s="233" t="n">
        <v>0.4</v>
      </c>
      <c r="C16" s="233" t="n">
        <v>0.6</v>
      </c>
      <c r="D16" s="235" t="s">
        <v>1383</v>
      </c>
      <c r="E16" s="235" t="s">
        <v>1384</v>
      </c>
    </row>
    <row r="17" customFormat="false" ht="15" hidden="false" customHeight="true" outlineLevel="0" collapsed="false">
      <c r="A17" s="238" t="s">
        <v>1344</v>
      </c>
      <c r="B17" s="233" t="n">
        <v>0.6</v>
      </c>
      <c r="C17" s="233" t="n">
        <v>1</v>
      </c>
      <c r="D17" s="235" t="s">
        <v>1385</v>
      </c>
      <c r="E17" s="235" t="s">
        <v>1242</v>
      </c>
    </row>
    <row r="20" customFormat="false" ht="15" hidden="false" customHeight="true" outlineLevel="0" collapsed="false">
      <c r="A20" s="200" t="s">
        <v>1386</v>
      </c>
      <c r="B20" s="200"/>
      <c r="C20" s="200"/>
      <c r="D20" s="200"/>
    </row>
    <row r="21" customFormat="false" ht="15" hidden="false" customHeight="true" outlineLevel="0" collapsed="false">
      <c r="A21" s="239" t="s">
        <v>1387</v>
      </c>
      <c r="B21" s="239" t="s">
        <v>1388</v>
      </c>
      <c r="C21" s="239" t="s">
        <v>1364</v>
      </c>
    </row>
    <row r="22" customFormat="false" ht="15" hidden="false" customHeight="true" outlineLevel="0" collapsed="false">
      <c r="A22" s="203" t="s">
        <v>1389</v>
      </c>
      <c r="B22" s="203" t="n">
        <f aca="false">PARAMETROS!B6</f>
        <v>525</v>
      </c>
      <c r="C22" s="203" t="s">
        <v>1390</v>
      </c>
    </row>
    <row r="23" customFormat="false" ht="15" hidden="false" customHeight="true" outlineLevel="0" collapsed="false">
      <c r="A23" s="203" t="s">
        <v>1391</v>
      </c>
      <c r="B23" s="203" t="n">
        <f aca="false">PARAMETROS!B7</f>
        <v>11</v>
      </c>
      <c r="C23" s="203" t="s">
        <v>1392</v>
      </c>
    </row>
    <row r="24" customFormat="false" ht="15" hidden="false" customHeight="true" outlineLevel="0" collapsed="false">
      <c r="A24" s="203" t="s">
        <v>1393</v>
      </c>
      <c r="B24" s="240" t="n">
        <f aca="false">PARAMETROS!C14</f>
        <v>0.01</v>
      </c>
      <c r="C24" s="203" t="s">
        <v>1394</v>
      </c>
    </row>
    <row r="25" customFormat="false" ht="15" hidden="false" customHeight="true" outlineLevel="0" collapsed="false">
      <c r="A25" s="203" t="s">
        <v>1395</v>
      </c>
      <c r="B25" s="240" t="n">
        <f aca="false">PARAMETROS!C15</f>
        <v>0.4</v>
      </c>
      <c r="C25" s="203" t="s">
        <v>1396</v>
      </c>
    </row>
    <row r="26" customFormat="false" ht="15" hidden="false" customHeight="true" outlineLevel="0" collapsed="false">
      <c r="A26" s="203" t="s">
        <v>1397</v>
      </c>
      <c r="B26" s="240" t="n">
        <f aca="false">PARAMETROS!C16</f>
        <v>0.6</v>
      </c>
      <c r="C26" s="203" t="s">
        <v>1398</v>
      </c>
    </row>
  </sheetData>
  <mergeCells count="5">
    <mergeCell ref="A1:F1"/>
    <mergeCell ref="A2:F2"/>
    <mergeCell ref="A4:C4"/>
    <mergeCell ref="A12:E1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5" min="5" style="1" width="16"/>
    <col collapsed="false" customWidth="true" hidden="false" outlineLevel="0" max="7" min="7" style="1" width="12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180" t="s">
        <v>1399</v>
      </c>
      <c r="B1" s="180"/>
      <c r="C1" s="180"/>
      <c r="D1" s="180"/>
      <c r="E1" s="180"/>
      <c r="F1" s="180"/>
      <c r="G1" s="180"/>
      <c r="H1" s="180"/>
    </row>
    <row r="2" customFormat="false" ht="15" hidden="false" customHeight="true" outlineLevel="0" collapsed="false">
      <c r="A2" s="241" t="s">
        <v>1400</v>
      </c>
    </row>
    <row r="4" customFormat="false" ht="15" hidden="false" customHeight="true" outlineLevel="0" collapsed="false">
      <c r="A4" s="182" t="s">
        <v>1401</v>
      </c>
      <c r="B4" s="182" t="s">
        <v>96</v>
      </c>
      <c r="C4" s="182" t="s">
        <v>26</v>
      </c>
      <c r="D4" s="182" t="s">
        <v>1237</v>
      </c>
      <c r="E4" s="182" t="s">
        <v>17</v>
      </c>
      <c r="F4" s="182" t="s">
        <v>63</v>
      </c>
      <c r="G4" s="182" t="s">
        <v>1402</v>
      </c>
      <c r="H4" s="182" t="s">
        <v>1403</v>
      </c>
    </row>
    <row r="5" customFormat="false" ht="23.25" hidden="false" customHeight="true" outlineLevel="0" collapsed="false">
      <c r="A5" s="193" t="n">
        <f aca="false">SINALEIRO_REDES!T5</f>
        <v>7</v>
      </c>
      <c r="B5" s="242" t="str">
        <f aca="false">SINALEIRO_REDES!A5</f>
        <v>FIT LAND</v>
      </c>
      <c r="C5" s="232" t="str">
        <f aca="false">SINALEIRO_REDES!B5</f>
        <v>JULIO</v>
      </c>
      <c r="D5" s="243" t="n">
        <f aca="false">SINALEIRO_REDES!M5</f>
        <v>0.325545678291746</v>
      </c>
      <c r="E5" s="189" t="str">
        <f aca="false">SINALEIRO_REDES!N5</f>
        <v>🔴 VERMELHO</v>
      </c>
      <c r="F5" s="187" t="n">
        <f aca="false">SINALEIRO_REDES!P5</f>
        <v>346652.66</v>
      </c>
      <c r="G5" s="233" t="n">
        <v>0.1</v>
      </c>
      <c r="H5" s="244" t="s">
        <v>1404</v>
      </c>
    </row>
    <row r="6" customFormat="false" ht="15" hidden="false" customHeight="true" outlineLevel="0" collapsed="false">
      <c r="A6" s="193" t="n">
        <f aca="false">SINALEIRO_REDES!T6</f>
        <v>5</v>
      </c>
      <c r="B6" s="242" t="str">
        <f aca="false">SINALEIRO_REDES!A6</f>
        <v>DIVINA TERRA</v>
      </c>
      <c r="C6" s="232" t="str">
        <f aca="false">SINALEIRO_REDES!B6</f>
        <v>DAIANE</v>
      </c>
      <c r="D6" s="243" t="n">
        <f aca="false">SINALEIRO_REDES!M6</f>
        <v>0.109551820728291</v>
      </c>
      <c r="E6" s="189" t="str">
        <f aca="false">SINALEIRO_REDES!N6</f>
        <v>🔴 VERMELHO</v>
      </c>
      <c r="F6" s="187" t="n">
        <f aca="false">SINALEIRO_REDES!P6</f>
        <v>437098.75</v>
      </c>
      <c r="G6" s="233" t="n">
        <v>0.05</v>
      </c>
      <c r="H6" s="244" t="s">
        <v>1405</v>
      </c>
    </row>
    <row r="7" customFormat="false" ht="15" hidden="false" customHeight="true" outlineLevel="0" collapsed="false">
      <c r="A7" s="193" t="n">
        <f aca="false">SINALEIRO_REDES!T7</f>
        <v>6</v>
      </c>
      <c r="B7" s="242" t="str">
        <f aca="false">SINALEIRO_REDES!A7</f>
        <v>VIDA LEVE</v>
      </c>
      <c r="C7" s="232" t="str">
        <f aca="false">SINALEIRO_REDES!B7</f>
        <v>DAIANE</v>
      </c>
      <c r="D7" s="243" t="n">
        <f aca="false">SINALEIRO_REDES!M7</f>
        <v>0.0877692052803164</v>
      </c>
      <c r="E7" s="189" t="str">
        <f aca="false">SINALEIRO_REDES!N7</f>
        <v>🔴 VERMELHO</v>
      </c>
      <c r="F7" s="187" t="n">
        <f aca="false">SINALEIRO_REDES!P7</f>
        <v>426718.76</v>
      </c>
      <c r="G7" s="233" t="n">
        <v>0.03</v>
      </c>
      <c r="H7" s="244" t="s">
        <v>1406</v>
      </c>
    </row>
    <row r="8" customFormat="false" ht="15" hidden="false" customHeight="true" outlineLevel="0" collapsed="false">
      <c r="A8" s="193" t="n">
        <f aca="false">SINALEIRO_REDES!T8</f>
        <v>3</v>
      </c>
      <c r="B8" s="242" t="str">
        <f aca="false">SINALEIRO_REDES!A8</f>
        <v>CIA DA SAUDE</v>
      </c>
      <c r="C8" s="232" t="str">
        <f aca="false">SINALEIRO_REDES!B8</f>
        <v>JULIO</v>
      </c>
      <c r="D8" s="243" t="n">
        <f aca="false">SINALEIRO_REDES!M8</f>
        <v>0.0280036437999628</v>
      </c>
      <c r="E8" s="189" t="str">
        <f aca="false">SINALEIRO_REDES!N8</f>
        <v>🔴 VERMELHO</v>
      </c>
      <c r="F8" s="187" t="n">
        <f aca="false">SINALEIRO_REDES!P8</f>
        <v>914964.47</v>
      </c>
      <c r="G8" s="233" t="n">
        <v>0.03</v>
      </c>
      <c r="H8" s="244" t="s">
        <v>1407</v>
      </c>
    </row>
    <row r="9" customFormat="false" ht="15" hidden="false" customHeight="true" outlineLevel="0" collapsed="false">
      <c r="A9" s="193" t="n">
        <f aca="false">SINALEIRO_REDES!T9</f>
        <v>1</v>
      </c>
      <c r="B9" s="242" t="str">
        <f aca="false">SINALEIRO_REDES!A9</f>
        <v>MUNDO VERDE</v>
      </c>
      <c r="C9" s="232" t="str">
        <f aca="false">SINALEIRO_REDES!B9</f>
        <v>DAIANE</v>
      </c>
      <c r="D9" s="243" t="n">
        <f aca="false">SINALEIRO_REDES!M9</f>
        <v>0.0151538558593835</v>
      </c>
      <c r="E9" s="189" t="str">
        <f aca="false">SINALEIRO_REDES!N9</f>
        <v>🔴 VERMELHO</v>
      </c>
      <c r="F9" s="187" t="n">
        <f aca="false">SINALEIRO_REDES!P9</f>
        <v>1131809.81</v>
      </c>
      <c r="G9" s="233" t="n">
        <v>0.02</v>
      </c>
      <c r="H9" s="244" t="s">
        <v>1408</v>
      </c>
    </row>
    <row r="10" customFormat="false" ht="15" hidden="false" customHeight="true" outlineLevel="0" collapsed="false">
      <c r="A10" s="193" t="n">
        <f aca="false">SINALEIRO_REDES!T10</f>
        <v>2</v>
      </c>
      <c r="B10" s="242" t="str">
        <f aca="false">SINALEIRO_REDES!A10</f>
        <v>BIOMUNDO</v>
      </c>
      <c r="C10" s="232" t="str">
        <f aca="false">SINALEIRO_REDES!B10</f>
        <v>DAIANE</v>
      </c>
      <c r="D10" s="243" t="n">
        <f aca="false">SINALEIRO_REDES!M10</f>
        <v>0.0156152733494051</v>
      </c>
      <c r="E10" s="189" t="str">
        <f aca="false">SINALEIRO_REDES!N10</f>
        <v>🔴 VERMELHO</v>
      </c>
      <c r="F10" s="187" t="n">
        <f aca="false">SINALEIRO_REDES!P10</f>
        <v>949365.24</v>
      </c>
      <c r="G10" s="233" t="n">
        <v>0.02</v>
      </c>
      <c r="H10" s="244" t="s">
        <v>1409</v>
      </c>
    </row>
    <row r="11" customFormat="false" ht="15" hidden="false" customHeight="true" outlineLevel="0" collapsed="false">
      <c r="A11" s="193" t="n">
        <f aca="false">SINALEIRO_REDES!T11</f>
        <v>8</v>
      </c>
      <c r="B11" s="242" t="str">
        <f aca="false">SINALEIRO_REDES!A11</f>
        <v>TUDO EM GRAOS</v>
      </c>
      <c r="C11" s="232" t="str">
        <f aca="false">SINALEIRO_REDES!B11</f>
        <v>MANU</v>
      </c>
      <c r="D11" s="243" t="n">
        <f aca="false">SINALEIRO_REDES!M11</f>
        <v>0.0679376623376623</v>
      </c>
      <c r="E11" s="189" t="str">
        <f aca="false">SINALEIRO_REDES!N11</f>
        <v>🔴 VERMELHO</v>
      </c>
      <c r="F11" s="187" t="n">
        <f aca="false">SINALEIRO_REDES!P11</f>
        <v>134566.5</v>
      </c>
      <c r="G11" s="233" t="n">
        <v>0.1</v>
      </c>
      <c r="H11" s="244" t="s">
        <v>1410</v>
      </c>
    </row>
    <row r="12" customFormat="false" ht="15" hidden="false" customHeight="true" outlineLevel="0" collapsed="false">
      <c r="A12" s="193" t="n">
        <f aca="false">SINALEIRO_REDES!T12</f>
        <v>4</v>
      </c>
      <c r="B12" s="242" t="str">
        <f aca="false">SINALEIRO_REDES!A12</f>
        <v>ARMAZEM FITSTORE</v>
      </c>
      <c r="C12" s="232" t="str">
        <f aca="false">SINALEIRO_REDES!B12</f>
        <v>DAIANE</v>
      </c>
      <c r="D12" s="243" t="n">
        <f aca="false">SINALEIRO_REDES!M12</f>
        <v>0</v>
      </c>
      <c r="E12" s="189" t="str">
        <f aca="false">SINALEIRO_REDES!N12</f>
        <v>🟣 ROXO</v>
      </c>
      <c r="F12" s="187" t="n">
        <f aca="false">SINALEIRO_REDES!P12</f>
        <v>658350</v>
      </c>
      <c r="G12" s="233" t="n">
        <v>0.01</v>
      </c>
      <c r="H12" s="244" t="s">
        <v>1411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25"/>
    <col collapsed="false" customWidth="true" hidden="false" outlineLevel="0" max="4" min="4" style="1" width="22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180" t="s">
        <v>1412</v>
      </c>
      <c r="B1" s="180"/>
      <c r="C1" s="180"/>
      <c r="D1" s="180"/>
      <c r="E1" s="180"/>
      <c r="F1" s="180"/>
    </row>
    <row r="3" customFormat="false" ht="15" hidden="false" customHeight="true" outlineLevel="0" collapsed="false">
      <c r="A3" s="182" t="s">
        <v>1324</v>
      </c>
      <c r="B3" s="182" t="s">
        <v>1413</v>
      </c>
      <c r="C3" s="182" t="s">
        <v>1414</v>
      </c>
      <c r="D3" s="182" t="s">
        <v>1415</v>
      </c>
      <c r="E3" s="182" t="s">
        <v>1416</v>
      </c>
      <c r="F3" s="182" t="s">
        <v>1417</v>
      </c>
    </row>
    <row r="4" customFormat="false" ht="17.25" hidden="false" customHeight="true" outlineLevel="0" collapsed="false">
      <c r="A4" s="201" t="s">
        <v>1380</v>
      </c>
      <c r="B4" s="245" t="s">
        <v>1418</v>
      </c>
      <c r="C4" s="245" t="s">
        <v>1419</v>
      </c>
      <c r="D4" s="245" t="s">
        <v>1170</v>
      </c>
      <c r="E4" s="245" t="s">
        <v>1420</v>
      </c>
      <c r="F4" s="246" t="n">
        <f aca="false">COUNTIF(SINALEIRO_REDES!O5:O12,"PROSPECÇÃO")</f>
        <v>1</v>
      </c>
    </row>
    <row r="5" customFormat="false" ht="17.25" hidden="false" customHeight="true" outlineLevel="0" collapsed="false">
      <c r="A5" s="247" t="s">
        <v>1421</v>
      </c>
      <c r="B5" s="245" t="s">
        <v>1422</v>
      </c>
      <c r="C5" s="245" t="s">
        <v>1423</v>
      </c>
      <c r="D5" s="245" t="s">
        <v>1424</v>
      </c>
      <c r="E5" s="245" t="s">
        <v>1425</v>
      </c>
      <c r="F5" s="246" t="n">
        <f aca="false">COUNTIF(SINALEIRO_REDES!O5:O12,"ATIVAÇÃO")</f>
        <v>5</v>
      </c>
    </row>
    <row r="6" customFormat="false" ht="17.25" hidden="false" customHeight="true" outlineLevel="0" collapsed="false">
      <c r="A6" s="206" t="s">
        <v>1426</v>
      </c>
      <c r="B6" s="245" t="s">
        <v>1418</v>
      </c>
      <c r="C6" s="245" t="s">
        <v>1427</v>
      </c>
      <c r="D6" s="245" t="s">
        <v>1170</v>
      </c>
      <c r="E6" s="245" t="s">
        <v>1428</v>
      </c>
      <c r="F6" s="246" t="n">
        <f aca="false">COUNTIF(SINALEIRO_REDES!O5:O12,"POSITIVAÇÃO")</f>
        <v>2</v>
      </c>
    </row>
    <row r="7" customFormat="false" ht="17.25" hidden="false" customHeight="true" outlineLevel="0" collapsed="false">
      <c r="A7" s="209" t="s">
        <v>1384</v>
      </c>
      <c r="B7" s="245" t="s">
        <v>1429</v>
      </c>
      <c r="C7" s="245" t="s">
        <v>1430</v>
      </c>
      <c r="D7" s="245" t="s">
        <v>1424</v>
      </c>
      <c r="E7" s="245" t="s">
        <v>1431</v>
      </c>
      <c r="F7" s="246" t="n">
        <f aca="false">COUNTIF(SINALEIRO_REDES!O5:O12,"SELL OUT")</f>
        <v>0</v>
      </c>
    </row>
    <row r="8" customFormat="false" ht="17.25" hidden="false" customHeight="true" outlineLevel="0" collapsed="false">
      <c r="A8" s="248" t="s">
        <v>1242</v>
      </c>
      <c r="B8" s="245" t="s">
        <v>1432</v>
      </c>
      <c r="C8" s="245" t="s">
        <v>1433</v>
      </c>
      <c r="D8" s="245" t="s">
        <v>1434</v>
      </c>
      <c r="E8" s="245" t="s">
        <v>1435</v>
      </c>
      <c r="F8" s="246" t="n">
        <f aca="false">COUNTIF(SINALEIRO_REDES!O5:O12,"JBP")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5"/>
    <col collapsed="false" customWidth="true" hidden="false" outlineLevel="0" max="3" min="3" style="1" width="16"/>
    <col collapsed="false" customWidth="true" hidden="false" outlineLevel="0" max="5" min="5" style="1" width="65"/>
    <col collapsed="false" customWidth="true" hidden="false" outlineLevel="0" max="6" min="6" style="1" width="20"/>
    <col collapsed="false" customWidth="true" hidden="false" outlineLevel="0" max="7" min="7" style="1" width="35"/>
    <col collapsed="false" customWidth="true" hidden="false" outlineLevel="0" max="8" min="8" style="1" width="12"/>
  </cols>
  <sheetData>
    <row r="1" customFormat="false" ht="27.75" hidden="false" customHeight="true" outlineLevel="0" collapsed="false">
      <c r="A1" s="170" t="s">
        <v>1436</v>
      </c>
      <c r="B1" s="170"/>
      <c r="C1" s="170"/>
      <c r="D1" s="170"/>
      <c r="E1" s="170"/>
      <c r="F1" s="170"/>
      <c r="G1" s="170"/>
      <c r="H1" s="170"/>
    </row>
    <row r="2" customFormat="false" ht="19.5" hidden="false" customHeight="true" outlineLevel="0" collapsed="false">
      <c r="A2" s="171" t="s">
        <v>1437</v>
      </c>
      <c r="B2" s="171"/>
      <c r="C2" s="171"/>
      <c r="D2" s="171"/>
      <c r="E2" s="171"/>
      <c r="F2" s="171"/>
      <c r="G2" s="171"/>
      <c r="H2" s="171"/>
    </row>
    <row r="3" customFormat="false" ht="18" hidden="false" customHeight="true" outlineLevel="0" collapsed="false">
      <c r="A3" s="1" t="s">
        <v>1438</v>
      </c>
    </row>
    <row r="5" customFormat="false" ht="18" hidden="false" customHeight="true" outlineLevel="0" collapsed="false">
      <c r="A5" s="170" t="s">
        <v>1375</v>
      </c>
      <c r="B5" s="170" t="s">
        <v>1439</v>
      </c>
      <c r="C5" s="170" t="s">
        <v>1324</v>
      </c>
      <c r="D5" s="170" t="s">
        <v>1440</v>
      </c>
      <c r="E5" s="170" t="s">
        <v>1441</v>
      </c>
      <c r="F5" s="170" t="s">
        <v>1442</v>
      </c>
      <c r="G5" s="170" t="s">
        <v>1443</v>
      </c>
    </row>
    <row r="6" customFormat="false" ht="19.5" hidden="false" customHeight="true" outlineLevel="0" collapsed="false">
      <c r="A6" s="249" t="s">
        <v>1132</v>
      </c>
      <c r="B6" s="249" t="s">
        <v>1394</v>
      </c>
      <c r="C6" s="249" t="s">
        <v>1380</v>
      </c>
      <c r="D6" s="250" t="s">
        <v>1444</v>
      </c>
      <c r="E6" s="250" t="s">
        <v>1445</v>
      </c>
      <c r="F6" s="250" t="s">
        <v>1446</v>
      </c>
      <c r="G6" s="250" t="s">
        <v>1447</v>
      </c>
    </row>
    <row r="7" customFormat="false" ht="19.5" hidden="false" customHeight="true" outlineLevel="0" collapsed="false">
      <c r="A7" s="251" t="s">
        <v>1131</v>
      </c>
      <c r="B7" s="251" t="s">
        <v>1448</v>
      </c>
      <c r="C7" s="251" t="s">
        <v>1421</v>
      </c>
      <c r="D7" s="252" t="s">
        <v>1449</v>
      </c>
      <c r="E7" s="252" t="s">
        <v>1450</v>
      </c>
      <c r="F7" s="252" t="s">
        <v>1451</v>
      </c>
      <c r="G7" s="252" t="s">
        <v>1452</v>
      </c>
    </row>
    <row r="8" customFormat="false" ht="19.5" hidden="false" customHeight="true" outlineLevel="0" collapsed="false">
      <c r="A8" s="252" t="s">
        <v>1130</v>
      </c>
      <c r="B8" s="252" t="s">
        <v>1453</v>
      </c>
      <c r="C8" s="252" t="s">
        <v>1384</v>
      </c>
      <c r="D8" s="250" t="s">
        <v>1454</v>
      </c>
      <c r="E8" s="250" t="s">
        <v>1455</v>
      </c>
      <c r="F8" s="250" t="s">
        <v>1456</v>
      </c>
      <c r="G8" s="250" t="s">
        <v>1457</v>
      </c>
    </row>
    <row r="9" customFormat="false" ht="19.5" hidden="false" customHeight="true" outlineLevel="0" collapsed="false">
      <c r="A9" s="253" t="s">
        <v>1129</v>
      </c>
      <c r="B9" s="253" t="s">
        <v>1458</v>
      </c>
      <c r="C9" s="253" t="s">
        <v>1242</v>
      </c>
      <c r="D9" s="253" t="s">
        <v>1459</v>
      </c>
      <c r="E9" s="253" t="s">
        <v>1460</v>
      </c>
      <c r="F9" s="253" t="s">
        <v>1461</v>
      </c>
      <c r="G9" s="253" t="s">
        <v>1462</v>
      </c>
    </row>
    <row r="12" customFormat="false" ht="24" hidden="false" customHeight="true" outlineLevel="0" collapsed="false">
      <c r="A12" s="249" t="s">
        <v>1463</v>
      </c>
      <c r="B12" s="249"/>
      <c r="C12" s="249"/>
      <c r="D12" s="249"/>
      <c r="E12" s="249"/>
      <c r="F12" s="249"/>
      <c r="G12" s="249"/>
      <c r="H12" s="249"/>
    </row>
    <row r="13" customFormat="false" ht="19.5" hidden="false" customHeight="true" outlineLevel="0" collapsed="false">
      <c r="A13" s="253" t="s">
        <v>1464</v>
      </c>
      <c r="B13" s="253"/>
      <c r="C13" s="253"/>
      <c r="D13" s="253"/>
      <c r="E13" s="253"/>
      <c r="F13" s="253"/>
      <c r="G13" s="253"/>
      <c r="H13" s="253"/>
    </row>
    <row r="14" customFormat="false" ht="18" hidden="false" customHeight="true" outlineLevel="0" collapsed="false">
      <c r="A14" s="250" t="s">
        <v>1465</v>
      </c>
      <c r="B14" s="250"/>
      <c r="C14" s="250"/>
      <c r="D14" s="250"/>
      <c r="E14" s="250"/>
      <c r="F14" s="250"/>
      <c r="G14" s="250"/>
      <c r="H14" s="250"/>
    </row>
    <row r="15" customFormat="false" ht="18" hidden="false" customHeight="true" outlineLevel="0" collapsed="false">
      <c r="A15" s="253" t="s">
        <v>1466</v>
      </c>
      <c r="B15" s="253"/>
      <c r="C15" s="253"/>
      <c r="D15" s="253"/>
      <c r="E15" s="253"/>
      <c r="F15" s="253"/>
      <c r="G15" s="253"/>
      <c r="H15" s="253"/>
    </row>
    <row r="16" customFormat="false" ht="18" hidden="false" customHeight="true" outlineLevel="0" collapsed="false">
      <c r="A16" s="171" t="s">
        <v>1467</v>
      </c>
      <c r="B16" s="171" t="s">
        <v>1468</v>
      </c>
      <c r="C16" s="171" t="s">
        <v>1469</v>
      </c>
      <c r="D16" s="171" t="s">
        <v>1470</v>
      </c>
      <c r="E16" s="171" t="s">
        <v>1471</v>
      </c>
      <c r="F16" s="171"/>
      <c r="G16" s="171"/>
      <c r="H16" s="171"/>
    </row>
    <row r="17" customFormat="false" ht="30" hidden="false" customHeight="true" outlineLevel="0" collapsed="false">
      <c r="A17" s="1" t="s">
        <v>1472</v>
      </c>
      <c r="B17" s="1" t="s">
        <v>1473</v>
      </c>
      <c r="C17" s="1" t="s">
        <v>1474</v>
      </c>
      <c r="D17" s="1" t="s">
        <v>1170</v>
      </c>
      <c r="E17" s="1" t="s">
        <v>1475</v>
      </c>
    </row>
    <row r="18" customFormat="false" ht="30" hidden="false" customHeight="true" outlineLevel="0" collapsed="false">
      <c r="A18" s="1" t="s">
        <v>1476</v>
      </c>
      <c r="B18" s="1" t="s">
        <v>1477</v>
      </c>
      <c r="C18" s="1" t="s">
        <v>1478</v>
      </c>
      <c r="D18" s="1" t="s">
        <v>1170</v>
      </c>
      <c r="E18" s="1" t="s">
        <v>1479</v>
      </c>
    </row>
    <row r="19" customFormat="false" ht="30" hidden="false" customHeight="true" outlineLevel="0" collapsed="false">
      <c r="A19" s="1" t="s">
        <v>1480</v>
      </c>
      <c r="B19" s="1" t="s">
        <v>1481</v>
      </c>
      <c r="C19" s="1" t="s">
        <v>1482</v>
      </c>
      <c r="D19" s="1" t="s">
        <v>1170</v>
      </c>
      <c r="E19" s="1" t="s">
        <v>1483</v>
      </c>
    </row>
    <row r="20" customFormat="false" ht="30" hidden="false" customHeight="true" outlineLevel="0" collapsed="false">
      <c r="A20" s="1" t="s">
        <v>1484</v>
      </c>
      <c r="B20" s="1" t="s">
        <v>1485</v>
      </c>
      <c r="C20" s="1" t="s">
        <v>1486</v>
      </c>
      <c r="D20" s="1" t="s">
        <v>1487</v>
      </c>
      <c r="E20" s="1" t="s">
        <v>1488</v>
      </c>
    </row>
    <row r="21" customFormat="false" ht="30" hidden="false" customHeight="true" outlineLevel="0" collapsed="false">
      <c r="A21" s="1" t="s">
        <v>1489</v>
      </c>
      <c r="B21" s="1" t="s">
        <v>1490</v>
      </c>
      <c r="C21" s="1" t="s">
        <v>1491</v>
      </c>
      <c r="D21" s="1" t="s">
        <v>1170</v>
      </c>
      <c r="E21" s="1" t="s">
        <v>1492</v>
      </c>
    </row>
    <row r="22" customFormat="false" ht="30" hidden="false" customHeight="true" outlineLevel="0" collapsed="false">
      <c r="A22" s="1" t="s">
        <v>1493</v>
      </c>
      <c r="B22" s="1" t="s">
        <v>1494</v>
      </c>
      <c r="C22" s="1" t="s">
        <v>1495</v>
      </c>
      <c r="D22" s="1" t="s">
        <v>1170</v>
      </c>
      <c r="E22" s="1" t="s">
        <v>1496</v>
      </c>
    </row>
    <row r="23" customFormat="false" ht="30" hidden="false" customHeight="true" outlineLevel="0" collapsed="false">
      <c r="A23" s="1" t="s">
        <v>1497</v>
      </c>
      <c r="B23" s="1" t="s">
        <v>1498</v>
      </c>
      <c r="C23" s="1" t="s">
        <v>1499</v>
      </c>
      <c r="D23" s="1" t="s">
        <v>1434</v>
      </c>
      <c r="E23" s="1" t="s">
        <v>1500</v>
      </c>
    </row>
    <row r="24" customFormat="false" ht="18" hidden="false" customHeight="true" outlineLevel="0" collapsed="false">
      <c r="A24" s="171" t="s">
        <v>1501</v>
      </c>
      <c r="B24" s="171" t="s">
        <v>1416</v>
      </c>
      <c r="C24" s="171"/>
      <c r="D24" s="171"/>
      <c r="E24" s="171"/>
      <c r="F24" s="171"/>
      <c r="G24" s="171"/>
      <c r="H24" s="171"/>
    </row>
    <row r="25" customFormat="false" ht="15.75" hidden="false" customHeight="true" outlineLevel="0" collapsed="false">
      <c r="A25" s="1" t="s">
        <v>1502</v>
      </c>
      <c r="B25" s="1" t="s">
        <v>1503</v>
      </c>
    </row>
    <row r="26" customFormat="false" ht="15.75" hidden="false" customHeight="true" outlineLevel="0" collapsed="false">
      <c r="A26" s="1" t="s">
        <v>1504</v>
      </c>
      <c r="B26" s="1" t="s">
        <v>1505</v>
      </c>
    </row>
    <row r="27" customFormat="false" ht="15.75" hidden="false" customHeight="true" outlineLevel="0" collapsed="false">
      <c r="A27" s="1" t="s">
        <v>1506</v>
      </c>
      <c r="B27" s="1" t="s">
        <v>1507</v>
      </c>
    </row>
    <row r="28" customFormat="false" ht="15.75" hidden="false" customHeight="true" outlineLevel="0" collapsed="false">
      <c r="A28" s="1" t="s">
        <v>1508</v>
      </c>
      <c r="B28" s="1" t="s">
        <v>1509</v>
      </c>
    </row>
    <row r="30" customFormat="false" ht="24" hidden="false" customHeight="true" outlineLevel="0" collapsed="false">
      <c r="A30" s="251" t="s">
        <v>1510</v>
      </c>
      <c r="B30" s="251"/>
      <c r="C30" s="251"/>
      <c r="D30" s="251"/>
      <c r="E30" s="251"/>
      <c r="F30" s="251"/>
      <c r="G30" s="251"/>
      <c r="H30" s="251"/>
    </row>
    <row r="31" customFormat="false" ht="19.5" hidden="false" customHeight="true" outlineLevel="0" collapsed="false">
      <c r="A31" s="253" t="s">
        <v>1511</v>
      </c>
      <c r="B31" s="253"/>
      <c r="C31" s="253"/>
      <c r="D31" s="253"/>
      <c r="E31" s="253"/>
      <c r="F31" s="253"/>
      <c r="G31" s="253"/>
      <c r="H31" s="253"/>
    </row>
    <row r="32" customFormat="false" ht="18" hidden="false" customHeight="true" outlineLevel="0" collapsed="false">
      <c r="A32" s="250" t="s">
        <v>1512</v>
      </c>
      <c r="B32" s="250"/>
      <c r="C32" s="250"/>
      <c r="D32" s="250"/>
      <c r="E32" s="250"/>
      <c r="F32" s="250"/>
      <c r="G32" s="250"/>
      <c r="H32" s="250"/>
    </row>
    <row r="33" customFormat="false" ht="18" hidden="false" customHeight="true" outlineLevel="0" collapsed="false">
      <c r="A33" s="253" t="s">
        <v>1513</v>
      </c>
      <c r="B33" s="253"/>
      <c r="C33" s="253"/>
      <c r="D33" s="253"/>
      <c r="E33" s="253"/>
      <c r="F33" s="253"/>
      <c r="G33" s="253"/>
      <c r="H33" s="253"/>
    </row>
    <row r="34" customFormat="false" ht="18" hidden="false" customHeight="true" outlineLevel="0" collapsed="false">
      <c r="A34" s="171" t="s">
        <v>1467</v>
      </c>
      <c r="B34" s="171" t="s">
        <v>1468</v>
      </c>
      <c r="C34" s="171" t="s">
        <v>1469</v>
      </c>
      <c r="D34" s="171" t="s">
        <v>1470</v>
      </c>
      <c r="E34" s="171" t="s">
        <v>1471</v>
      </c>
      <c r="F34" s="171"/>
      <c r="G34" s="171"/>
      <c r="H34" s="171"/>
    </row>
    <row r="35" customFormat="false" ht="30" hidden="false" customHeight="true" outlineLevel="0" collapsed="false">
      <c r="A35" s="1" t="s">
        <v>1472</v>
      </c>
      <c r="B35" s="1" t="s">
        <v>1514</v>
      </c>
      <c r="C35" s="1" t="s">
        <v>1515</v>
      </c>
      <c r="D35" s="1" t="s">
        <v>1170</v>
      </c>
      <c r="E35" s="1" t="s">
        <v>1516</v>
      </c>
    </row>
    <row r="36" customFormat="false" ht="30" hidden="false" customHeight="true" outlineLevel="0" collapsed="false">
      <c r="A36" s="1" t="s">
        <v>1476</v>
      </c>
      <c r="B36" s="1" t="s">
        <v>1517</v>
      </c>
      <c r="C36" s="1" t="s">
        <v>1518</v>
      </c>
      <c r="D36" s="1" t="s">
        <v>1170</v>
      </c>
      <c r="E36" s="1" t="s">
        <v>1519</v>
      </c>
    </row>
    <row r="37" customFormat="false" ht="30" hidden="false" customHeight="true" outlineLevel="0" collapsed="false">
      <c r="A37" s="1" t="s">
        <v>1480</v>
      </c>
      <c r="B37" s="1" t="s">
        <v>1520</v>
      </c>
      <c r="C37" s="1" t="s">
        <v>1521</v>
      </c>
      <c r="D37" s="1" t="s">
        <v>1170</v>
      </c>
      <c r="E37" s="1" t="s">
        <v>1522</v>
      </c>
    </row>
    <row r="38" customFormat="false" ht="30" hidden="false" customHeight="true" outlineLevel="0" collapsed="false">
      <c r="A38" s="1" t="s">
        <v>1484</v>
      </c>
      <c r="B38" s="1" t="s">
        <v>1523</v>
      </c>
      <c r="C38" s="1" t="s">
        <v>1429</v>
      </c>
      <c r="D38" s="1" t="s">
        <v>1170</v>
      </c>
      <c r="E38" s="1" t="s">
        <v>1524</v>
      </c>
    </row>
    <row r="39" customFormat="false" ht="30" hidden="false" customHeight="true" outlineLevel="0" collapsed="false">
      <c r="A39" s="1" t="s">
        <v>1489</v>
      </c>
      <c r="B39" s="1" t="s">
        <v>1525</v>
      </c>
      <c r="C39" s="1" t="s">
        <v>1432</v>
      </c>
      <c r="D39" s="1" t="s">
        <v>1526</v>
      </c>
      <c r="E39" s="1" t="s">
        <v>1527</v>
      </c>
    </row>
    <row r="40" customFormat="false" ht="30" hidden="false" customHeight="true" outlineLevel="0" collapsed="false">
      <c r="A40" s="1" t="s">
        <v>1493</v>
      </c>
      <c r="B40" s="1" t="s">
        <v>1528</v>
      </c>
      <c r="C40" s="1" t="s">
        <v>1529</v>
      </c>
      <c r="D40" s="1" t="s">
        <v>1170</v>
      </c>
      <c r="E40" s="1" t="s">
        <v>1530</v>
      </c>
    </row>
    <row r="41" customFormat="false" ht="30" hidden="false" customHeight="true" outlineLevel="0" collapsed="false">
      <c r="A41" s="1" t="s">
        <v>1497</v>
      </c>
      <c r="B41" s="1" t="s">
        <v>1531</v>
      </c>
      <c r="C41" s="1" t="s">
        <v>1432</v>
      </c>
      <c r="D41" s="1" t="s">
        <v>1170</v>
      </c>
      <c r="E41" s="1" t="s">
        <v>1532</v>
      </c>
    </row>
    <row r="42" customFormat="false" ht="18" hidden="false" customHeight="true" outlineLevel="0" collapsed="false">
      <c r="A42" s="171" t="s">
        <v>1501</v>
      </c>
      <c r="B42" s="171" t="s">
        <v>1416</v>
      </c>
      <c r="C42" s="171"/>
      <c r="D42" s="171"/>
      <c r="E42" s="171"/>
      <c r="F42" s="171"/>
      <c r="G42" s="171"/>
      <c r="H42" s="171"/>
    </row>
    <row r="43" customFormat="false" ht="15.75" hidden="false" customHeight="true" outlineLevel="0" collapsed="false">
      <c r="A43" s="1" t="s">
        <v>1533</v>
      </c>
      <c r="B43" s="1" t="s">
        <v>1534</v>
      </c>
    </row>
    <row r="44" customFormat="false" ht="15.75" hidden="false" customHeight="true" outlineLevel="0" collapsed="false">
      <c r="A44" s="1" t="s">
        <v>1535</v>
      </c>
      <c r="B44" s="1" t="s">
        <v>1536</v>
      </c>
    </row>
    <row r="45" customFormat="false" ht="15.75" hidden="false" customHeight="true" outlineLevel="0" collapsed="false">
      <c r="A45" s="1" t="s">
        <v>1537</v>
      </c>
      <c r="B45" s="1" t="s">
        <v>1538</v>
      </c>
    </row>
    <row r="46" customFormat="false" ht="15.75" hidden="false" customHeight="true" outlineLevel="0" collapsed="false">
      <c r="A46" s="1" t="s">
        <v>1539</v>
      </c>
      <c r="B46" s="1" t="s">
        <v>1540</v>
      </c>
    </row>
    <row r="48" customFormat="false" ht="24" hidden="false" customHeight="true" outlineLevel="0" collapsed="false">
      <c r="A48" s="252" t="s">
        <v>1541</v>
      </c>
      <c r="B48" s="252"/>
      <c r="C48" s="252"/>
      <c r="D48" s="252"/>
      <c r="E48" s="252"/>
      <c r="F48" s="252"/>
      <c r="G48" s="252"/>
      <c r="H48" s="252"/>
    </row>
    <row r="49" customFormat="false" ht="19.5" hidden="false" customHeight="true" outlineLevel="0" collapsed="false">
      <c r="A49" s="253" t="s">
        <v>1542</v>
      </c>
      <c r="B49" s="253"/>
      <c r="C49" s="253"/>
      <c r="D49" s="253"/>
      <c r="E49" s="253"/>
      <c r="F49" s="253"/>
      <c r="G49" s="253"/>
      <c r="H49" s="253"/>
    </row>
    <row r="50" customFormat="false" ht="18" hidden="false" customHeight="true" outlineLevel="0" collapsed="false">
      <c r="A50" s="250" t="s">
        <v>1543</v>
      </c>
      <c r="B50" s="250"/>
      <c r="C50" s="250"/>
      <c r="D50" s="250"/>
      <c r="E50" s="250"/>
      <c r="F50" s="250"/>
      <c r="G50" s="250"/>
      <c r="H50" s="250"/>
    </row>
    <row r="51" customFormat="false" ht="18" hidden="false" customHeight="true" outlineLevel="0" collapsed="false">
      <c r="A51" s="253" t="s">
        <v>1544</v>
      </c>
      <c r="B51" s="253"/>
      <c r="C51" s="253"/>
      <c r="D51" s="253"/>
      <c r="E51" s="253"/>
      <c r="F51" s="253"/>
      <c r="G51" s="253"/>
      <c r="H51" s="253"/>
    </row>
    <row r="52" customFormat="false" ht="18" hidden="false" customHeight="true" outlineLevel="0" collapsed="false">
      <c r="A52" s="171" t="s">
        <v>1467</v>
      </c>
      <c r="B52" s="171" t="s">
        <v>1468</v>
      </c>
      <c r="C52" s="171" t="s">
        <v>1469</v>
      </c>
      <c r="D52" s="171" t="s">
        <v>1470</v>
      </c>
      <c r="E52" s="171" t="s">
        <v>1471</v>
      </c>
      <c r="F52" s="171"/>
      <c r="G52" s="171"/>
      <c r="H52" s="171"/>
    </row>
    <row r="53" customFormat="false" ht="30" hidden="false" customHeight="true" outlineLevel="0" collapsed="false">
      <c r="A53" s="1" t="s">
        <v>1472</v>
      </c>
      <c r="B53" s="1" t="s">
        <v>1545</v>
      </c>
      <c r="C53" s="1" t="s">
        <v>1429</v>
      </c>
      <c r="D53" s="1" t="s">
        <v>1170</v>
      </c>
      <c r="E53" s="1" t="s">
        <v>1546</v>
      </c>
    </row>
    <row r="54" customFormat="false" ht="30" hidden="false" customHeight="true" outlineLevel="0" collapsed="false">
      <c r="A54" s="1" t="s">
        <v>1476</v>
      </c>
      <c r="B54" s="1" t="s">
        <v>1547</v>
      </c>
      <c r="C54" s="1" t="s">
        <v>1432</v>
      </c>
      <c r="D54" s="1" t="s">
        <v>1170</v>
      </c>
      <c r="E54" s="1" t="s">
        <v>1548</v>
      </c>
    </row>
    <row r="55" customFormat="false" ht="30" hidden="false" customHeight="true" outlineLevel="0" collapsed="false">
      <c r="A55" s="1" t="s">
        <v>1480</v>
      </c>
      <c r="B55" s="1" t="s">
        <v>1549</v>
      </c>
      <c r="C55" s="1" t="s">
        <v>1550</v>
      </c>
      <c r="D55" s="1" t="s">
        <v>1551</v>
      </c>
      <c r="E55" s="1" t="s">
        <v>1552</v>
      </c>
    </row>
    <row r="56" customFormat="false" ht="30" hidden="false" customHeight="true" outlineLevel="0" collapsed="false">
      <c r="A56" s="1" t="s">
        <v>1484</v>
      </c>
      <c r="B56" s="1" t="s">
        <v>1553</v>
      </c>
      <c r="C56" s="1" t="s">
        <v>1550</v>
      </c>
      <c r="D56" s="1" t="s">
        <v>1170</v>
      </c>
      <c r="E56" s="1" t="s">
        <v>1554</v>
      </c>
    </row>
    <row r="57" customFormat="false" ht="30" hidden="false" customHeight="true" outlineLevel="0" collapsed="false">
      <c r="A57" s="1" t="s">
        <v>1489</v>
      </c>
      <c r="B57" s="1" t="s">
        <v>1555</v>
      </c>
      <c r="C57" s="1" t="s">
        <v>1432</v>
      </c>
      <c r="D57" s="1" t="s">
        <v>1556</v>
      </c>
      <c r="E57" s="1" t="s">
        <v>1557</v>
      </c>
    </row>
    <row r="58" customFormat="false" ht="30" hidden="false" customHeight="true" outlineLevel="0" collapsed="false">
      <c r="A58" s="1" t="s">
        <v>1493</v>
      </c>
      <c r="B58" s="1" t="s">
        <v>1558</v>
      </c>
      <c r="C58" s="1" t="s">
        <v>1559</v>
      </c>
      <c r="D58" s="1" t="s">
        <v>1170</v>
      </c>
      <c r="E58" s="1" t="s">
        <v>1560</v>
      </c>
    </row>
    <row r="59" customFormat="false" ht="30" hidden="false" customHeight="true" outlineLevel="0" collapsed="false">
      <c r="A59" s="1" t="s">
        <v>1497</v>
      </c>
      <c r="B59" s="1" t="s">
        <v>1561</v>
      </c>
      <c r="C59" s="1" t="s">
        <v>1562</v>
      </c>
      <c r="D59" s="1" t="s">
        <v>1487</v>
      </c>
      <c r="E59" s="1" t="s">
        <v>1563</v>
      </c>
    </row>
    <row r="60" customFormat="false" ht="18" hidden="false" customHeight="true" outlineLevel="0" collapsed="false">
      <c r="A60" s="171" t="s">
        <v>1501</v>
      </c>
      <c r="B60" s="171" t="s">
        <v>1416</v>
      </c>
      <c r="C60" s="171"/>
      <c r="D60" s="171"/>
      <c r="E60" s="171"/>
      <c r="F60" s="171"/>
      <c r="G60" s="171"/>
      <c r="H60" s="171"/>
    </row>
    <row r="61" customFormat="false" ht="15.75" hidden="false" customHeight="true" outlineLevel="0" collapsed="false">
      <c r="A61" s="1" t="s">
        <v>1564</v>
      </c>
      <c r="B61" s="1" t="s">
        <v>1565</v>
      </c>
    </row>
    <row r="62" customFormat="false" ht="15.75" hidden="false" customHeight="true" outlineLevel="0" collapsed="false">
      <c r="A62" s="1" t="s">
        <v>1566</v>
      </c>
      <c r="B62" s="1" t="s">
        <v>1567</v>
      </c>
    </row>
    <row r="63" customFormat="false" ht="15.75" hidden="false" customHeight="true" outlineLevel="0" collapsed="false">
      <c r="A63" s="1" t="s">
        <v>1568</v>
      </c>
      <c r="B63" s="1" t="s">
        <v>1569</v>
      </c>
    </row>
    <row r="64" customFormat="false" ht="15.75" hidden="false" customHeight="true" outlineLevel="0" collapsed="false">
      <c r="A64" s="1" t="s">
        <v>1570</v>
      </c>
      <c r="B64" s="1" t="s">
        <v>1571</v>
      </c>
    </row>
    <row r="66" customFormat="false" ht="24" hidden="false" customHeight="true" outlineLevel="0" collapsed="false">
      <c r="A66" s="253" t="s">
        <v>1572</v>
      </c>
      <c r="B66" s="253"/>
      <c r="C66" s="253"/>
      <c r="D66" s="253"/>
      <c r="E66" s="253"/>
      <c r="F66" s="253"/>
      <c r="G66" s="253"/>
      <c r="H66" s="253"/>
    </row>
    <row r="67" customFormat="false" ht="19.5" hidden="false" customHeight="true" outlineLevel="0" collapsed="false">
      <c r="A67" s="253" t="s">
        <v>1573</v>
      </c>
      <c r="B67" s="253"/>
      <c r="C67" s="253"/>
      <c r="D67" s="253"/>
      <c r="E67" s="253"/>
      <c r="F67" s="253"/>
      <c r="G67" s="253"/>
      <c r="H67" s="253"/>
    </row>
    <row r="68" customFormat="false" ht="18" hidden="false" customHeight="true" outlineLevel="0" collapsed="false">
      <c r="A68" s="250" t="s">
        <v>1574</v>
      </c>
      <c r="B68" s="250"/>
      <c r="C68" s="250"/>
      <c r="D68" s="250"/>
      <c r="E68" s="250"/>
      <c r="F68" s="250"/>
      <c r="G68" s="250"/>
      <c r="H68" s="250"/>
    </row>
    <row r="69" customFormat="false" ht="18" hidden="false" customHeight="true" outlineLevel="0" collapsed="false">
      <c r="A69" s="253" t="s">
        <v>1575</v>
      </c>
      <c r="B69" s="253"/>
      <c r="C69" s="253"/>
      <c r="D69" s="253"/>
      <c r="E69" s="253"/>
      <c r="F69" s="253"/>
      <c r="G69" s="253"/>
      <c r="H69" s="253"/>
    </row>
    <row r="70" customFormat="false" ht="18" hidden="false" customHeight="true" outlineLevel="0" collapsed="false">
      <c r="A70" s="171" t="s">
        <v>1467</v>
      </c>
      <c r="B70" s="171" t="s">
        <v>1468</v>
      </c>
      <c r="C70" s="171" t="s">
        <v>1469</v>
      </c>
      <c r="D70" s="171" t="s">
        <v>1470</v>
      </c>
      <c r="E70" s="171" t="s">
        <v>1471</v>
      </c>
      <c r="F70" s="171"/>
      <c r="G70" s="171"/>
      <c r="H70" s="171"/>
    </row>
    <row r="71" customFormat="false" ht="30" hidden="false" customHeight="true" outlineLevel="0" collapsed="false">
      <c r="A71" s="1" t="s">
        <v>1472</v>
      </c>
      <c r="B71" s="1" t="s">
        <v>1576</v>
      </c>
      <c r="C71" s="1" t="s">
        <v>1432</v>
      </c>
      <c r="D71" s="1" t="s">
        <v>1577</v>
      </c>
      <c r="E71" s="1" t="s">
        <v>1578</v>
      </c>
    </row>
    <row r="72" customFormat="false" ht="30" hidden="false" customHeight="true" outlineLevel="0" collapsed="false">
      <c r="A72" s="1" t="s">
        <v>1476</v>
      </c>
      <c r="B72" s="1" t="s">
        <v>1579</v>
      </c>
      <c r="C72" s="1" t="s">
        <v>1580</v>
      </c>
      <c r="D72" s="1" t="s">
        <v>1577</v>
      </c>
      <c r="E72" s="1" t="s">
        <v>1581</v>
      </c>
    </row>
    <row r="73" customFormat="false" ht="30" hidden="false" customHeight="true" outlineLevel="0" collapsed="false">
      <c r="A73" s="1" t="s">
        <v>1480</v>
      </c>
      <c r="B73" s="1" t="s">
        <v>1582</v>
      </c>
      <c r="C73" s="1" t="s">
        <v>1583</v>
      </c>
      <c r="D73" s="1" t="s">
        <v>1556</v>
      </c>
      <c r="E73" s="1" t="s">
        <v>1584</v>
      </c>
    </row>
    <row r="74" customFormat="false" ht="30" hidden="false" customHeight="true" outlineLevel="0" collapsed="false">
      <c r="A74" s="1" t="s">
        <v>1484</v>
      </c>
      <c r="B74" s="1" t="s">
        <v>1585</v>
      </c>
      <c r="C74" s="1" t="s">
        <v>1550</v>
      </c>
      <c r="D74" s="1" t="s">
        <v>1586</v>
      </c>
      <c r="E74" s="1" t="s">
        <v>1587</v>
      </c>
    </row>
    <row r="75" customFormat="false" ht="30" hidden="false" customHeight="true" outlineLevel="0" collapsed="false">
      <c r="A75" s="1" t="s">
        <v>1489</v>
      </c>
      <c r="B75" s="1" t="s">
        <v>1588</v>
      </c>
      <c r="C75" s="1" t="s">
        <v>1559</v>
      </c>
      <c r="D75" s="1" t="s">
        <v>1589</v>
      </c>
      <c r="E75" s="1" t="s">
        <v>1590</v>
      </c>
    </row>
    <row r="76" customFormat="false" ht="30" hidden="false" customHeight="true" outlineLevel="0" collapsed="false">
      <c r="A76" s="1" t="s">
        <v>1493</v>
      </c>
      <c r="B76" s="1" t="s">
        <v>1591</v>
      </c>
      <c r="C76" s="1" t="s">
        <v>1592</v>
      </c>
      <c r="D76" s="1" t="s">
        <v>1593</v>
      </c>
      <c r="E76" s="1" t="s">
        <v>1594</v>
      </c>
    </row>
    <row r="77" customFormat="false" ht="30" hidden="false" customHeight="true" outlineLevel="0" collapsed="false">
      <c r="A77" s="1" t="s">
        <v>1497</v>
      </c>
      <c r="B77" s="1" t="s">
        <v>1595</v>
      </c>
      <c r="C77" s="1" t="s">
        <v>1559</v>
      </c>
      <c r="D77" s="1" t="s">
        <v>1487</v>
      </c>
      <c r="E77" s="1" t="s">
        <v>1596</v>
      </c>
    </row>
    <row r="78" customFormat="false" ht="18" hidden="false" customHeight="true" outlineLevel="0" collapsed="false">
      <c r="A78" s="171" t="s">
        <v>1501</v>
      </c>
      <c r="B78" s="171" t="s">
        <v>1416</v>
      </c>
      <c r="C78" s="171"/>
      <c r="D78" s="171"/>
      <c r="E78" s="171"/>
      <c r="F78" s="171"/>
      <c r="G78" s="171"/>
      <c r="H78" s="171"/>
    </row>
    <row r="79" customFormat="false" ht="15.75" hidden="false" customHeight="true" outlineLevel="0" collapsed="false">
      <c r="A79" s="1" t="s">
        <v>1597</v>
      </c>
      <c r="B79" s="1" t="s">
        <v>1598</v>
      </c>
    </row>
    <row r="80" customFormat="false" ht="15.75" hidden="false" customHeight="true" outlineLevel="0" collapsed="false">
      <c r="A80" s="1" t="s">
        <v>1599</v>
      </c>
      <c r="B80" s="1" t="s">
        <v>1600</v>
      </c>
    </row>
    <row r="81" customFormat="false" ht="15.75" hidden="false" customHeight="true" outlineLevel="0" collapsed="false">
      <c r="A81" s="1" t="s">
        <v>1601</v>
      </c>
      <c r="B81" s="1" t="s">
        <v>1602</v>
      </c>
    </row>
    <row r="82" customFormat="false" ht="15.75" hidden="false" customHeight="true" outlineLevel="0" collapsed="false">
      <c r="A82" s="1" t="s">
        <v>1603</v>
      </c>
      <c r="B82" s="1" t="s">
        <v>1534</v>
      </c>
    </row>
    <row r="84" customFormat="false" ht="24" hidden="false" customHeight="true" outlineLevel="0" collapsed="false">
      <c r="A84" s="170" t="s">
        <v>1604</v>
      </c>
      <c r="B84" s="170"/>
      <c r="C84" s="170"/>
      <c r="D84" s="170"/>
      <c r="E84" s="170"/>
      <c r="F84" s="170"/>
      <c r="G84" s="170"/>
      <c r="H84" s="170"/>
    </row>
    <row r="85" customFormat="false" ht="19.5" hidden="false" customHeight="true" outlineLevel="0" collapsed="false">
      <c r="A85" s="249" t="s">
        <v>1605</v>
      </c>
      <c r="B85" s="253" t="s">
        <v>1606</v>
      </c>
      <c r="C85" s="253"/>
      <c r="D85" s="253"/>
      <c r="E85" s="253"/>
      <c r="F85" s="253"/>
      <c r="G85" s="253"/>
      <c r="H85" s="253"/>
    </row>
    <row r="86" customFormat="false" ht="15.75" hidden="false" customHeight="true" outlineLevel="0" collapsed="false">
      <c r="A86" s="1" t="s">
        <v>1607</v>
      </c>
      <c r="B86" s="1" t="s">
        <v>1608</v>
      </c>
    </row>
    <row r="87" customFormat="false" ht="15.75" hidden="false" customHeight="true" outlineLevel="0" collapsed="false">
      <c r="A87" s="1" t="s">
        <v>1607</v>
      </c>
      <c r="B87" s="1" t="s">
        <v>1609</v>
      </c>
    </row>
    <row r="88" customFormat="false" ht="15.75" hidden="false" customHeight="true" outlineLevel="0" collapsed="false">
      <c r="A88" s="1" t="s">
        <v>1607</v>
      </c>
      <c r="B88" s="1" t="s">
        <v>1610</v>
      </c>
    </row>
    <row r="89" customFormat="false" ht="18" hidden="false" customHeight="true" outlineLevel="0" collapsed="false">
      <c r="A89" s="1" t="s">
        <v>1611</v>
      </c>
      <c r="B89" s="250" t="s">
        <v>1612</v>
      </c>
      <c r="C89" s="250"/>
      <c r="D89" s="250"/>
      <c r="E89" s="250"/>
      <c r="F89" s="250"/>
      <c r="G89" s="250"/>
      <c r="H89" s="250"/>
    </row>
    <row r="90" customFormat="false" ht="19.5" hidden="false" customHeight="true" outlineLevel="0" collapsed="false">
      <c r="A90" s="251" t="s">
        <v>1613</v>
      </c>
      <c r="B90" s="253" t="s">
        <v>1614</v>
      </c>
      <c r="C90" s="253"/>
      <c r="D90" s="253"/>
      <c r="E90" s="253"/>
      <c r="F90" s="253"/>
      <c r="G90" s="253"/>
      <c r="H90" s="253"/>
    </row>
    <row r="91" customFormat="false" ht="15.75" hidden="false" customHeight="true" outlineLevel="0" collapsed="false">
      <c r="A91" s="1" t="s">
        <v>1607</v>
      </c>
      <c r="B91" s="1" t="s">
        <v>1615</v>
      </c>
    </row>
    <row r="92" customFormat="false" ht="15.75" hidden="false" customHeight="true" outlineLevel="0" collapsed="false">
      <c r="A92" s="1" t="s">
        <v>1607</v>
      </c>
      <c r="B92" s="1" t="s">
        <v>1616</v>
      </c>
    </row>
    <row r="93" customFormat="false" ht="15.75" hidden="false" customHeight="true" outlineLevel="0" collapsed="false">
      <c r="A93" s="1" t="s">
        <v>1607</v>
      </c>
      <c r="B93" s="1" t="s">
        <v>1617</v>
      </c>
    </row>
    <row r="94" customFormat="false" ht="15.75" hidden="false" customHeight="true" outlineLevel="0" collapsed="false">
      <c r="A94" s="1" t="s">
        <v>1607</v>
      </c>
      <c r="B94" s="1" t="s">
        <v>1618</v>
      </c>
    </row>
    <row r="95" customFormat="false" ht="18" hidden="false" customHeight="true" outlineLevel="0" collapsed="false">
      <c r="A95" s="1" t="s">
        <v>1611</v>
      </c>
      <c r="B95" s="250" t="s">
        <v>1619</v>
      </c>
      <c r="C95" s="250"/>
      <c r="D95" s="250"/>
      <c r="E95" s="250"/>
      <c r="F95" s="250"/>
      <c r="G95" s="250"/>
      <c r="H95" s="250"/>
    </row>
    <row r="96" customFormat="false" ht="19.5" hidden="false" customHeight="true" outlineLevel="0" collapsed="false">
      <c r="A96" s="252" t="s">
        <v>1620</v>
      </c>
      <c r="B96" s="253" t="s">
        <v>1621</v>
      </c>
      <c r="C96" s="253"/>
      <c r="D96" s="253"/>
      <c r="E96" s="253"/>
      <c r="F96" s="253"/>
      <c r="G96" s="253"/>
      <c r="H96" s="253"/>
    </row>
    <row r="97" customFormat="false" ht="15.75" hidden="false" customHeight="true" outlineLevel="0" collapsed="false">
      <c r="A97" s="1" t="s">
        <v>1607</v>
      </c>
      <c r="B97" s="1" t="s">
        <v>1622</v>
      </c>
    </row>
    <row r="98" customFormat="false" ht="15.75" hidden="false" customHeight="true" outlineLevel="0" collapsed="false">
      <c r="A98" s="1" t="s">
        <v>1607</v>
      </c>
      <c r="B98" s="1" t="s">
        <v>1623</v>
      </c>
    </row>
    <row r="99" customFormat="false" ht="15.75" hidden="false" customHeight="true" outlineLevel="0" collapsed="false">
      <c r="A99" s="1" t="s">
        <v>1607</v>
      </c>
      <c r="B99" s="1" t="s">
        <v>1624</v>
      </c>
    </row>
    <row r="100" customFormat="false" ht="15.75" hidden="false" customHeight="true" outlineLevel="0" collapsed="false">
      <c r="A100" s="1" t="s">
        <v>1607</v>
      </c>
      <c r="B100" s="1" t="s">
        <v>1625</v>
      </c>
    </row>
    <row r="101" customFormat="false" ht="15.75" hidden="false" customHeight="true" outlineLevel="0" collapsed="false">
      <c r="A101" s="1" t="s">
        <v>1607</v>
      </c>
      <c r="B101" s="1" t="s">
        <v>1626</v>
      </c>
    </row>
    <row r="102" customFormat="false" ht="18" hidden="false" customHeight="true" outlineLevel="0" collapsed="false">
      <c r="A102" s="1" t="s">
        <v>1611</v>
      </c>
      <c r="B102" s="250" t="s">
        <v>1627</v>
      </c>
      <c r="C102" s="250"/>
      <c r="D102" s="250"/>
      <c r="E102" s="250"/>
      <c r="F102" s="250"/>
      <c r="G102" s="250"/>
      <c r="H102" s="250"/>
    </row>
    <row r="104" customFormat="false" ht="24" hidden="false" customHeight="true" outlineLevel="0" collapsed="false">
      <c r="A104" s="251" t="s">
        <v>1628</v>
      </c>
      <c r="B104" s="251"/>
      <c r="C104" s="251"/>
      <c r="D104" s="251"/>
      <c r="E104" s="251"/>
      <c r="F104" s="251"/>
      <c r="G104" s="251"/>
      <c r="H104" s="251"/>
    </row>
    <row r="105" customFormat="false" ht="19.5" hidden="false" customHeight="true" outlineLevel="0" collapsed="false">
      <c r="A105" s="252" t="s">
        <v>1629</v>
      </c>
      <c r="B105" s="252"/>
      <c r="C105" s="252"/>
      <c r="D105" s="252"/>
      <c r="E105" s="252"/>
      <c r="F105" s="252"/>
      <c r="G105" s="252"/>
      <c r="H105" s="252"/>
    </row>
    <row r="106" customFormat="false" ht="19.5" hidden="false" customHeight="true" outlineLevel="0" collapsed="false">
      <c r="A106" s="253" t="s">
        <v>1630</v>
      </c>
      <c r="B106" s="252" t="s">
        <v>1631</v>
      </c>
      <c r="C106" s="252" t="s">
        <v>1632</v>
      </c>
      <c r="D106" s="252" t="s">
        <v>1633</v>
      </c>
      <c r="E106" s="252"/>
      <c r="F106" s="252"/>
      <c r="G106" s="252"/>
      <c r="H106" s="252"/>
    </row>
    <row r="107" customFormat="false" ht="15.75" hidden="false" customHeight="true" outlineLevel="0" collapsed="false">
      <c r="A107" s="1" t="s">
        <v>1634</v>
      </c>
      <c r="B107" s="1" t="s">
        <v>1635</v>
      </c>
    </row>
    <row r="108" customFormat="false" ht="15.75" hidden="false" customHeight="true" outlineLevel="0" collapsed="false">
      <c r="A108" s="1" t="s">
        <v>1634</v>
      </c>
      <c r="B108" s="1" t="s">
        <v>1636</v>
      </c>
    </row>
    <row r="109" customFormat="false" ht="15.75" hidden="false" customHeight="true" outlineLevel="0" collapsed="false">
      <c r="A109" s="1" t="s">
        <v>1634</v>
      </c>
      <c r="B109" s="1" t="s">
        <v>1637</v>
      </c>
    </row>
    <row r="110" customFormat="false" ht="15.75" hidden="false" customHeight="true" outlineLevel="0" collapsed="false">
      <c r="A110" s="1" t="s">
        <v>1634</v>
      </c>
      <c r="B110" s="1" t="s">
        <v>1638</v>
      </c>
    </row>
    <row r="111" customFormat="false" ht="15.75" hidden="false" customHeight="true" outlineLevel="0" collapsed="false">
      <c r="A111" s="1" t="s">
        <v>1634</v>
      </c>
      <c r="B111" s="1" t="s">
        <v>1639</v>
      </c>
    </row>
    <row r="112" customFormat="false" ht="15.75" hidden="false" customHeight="true" outlineLevel="0" collapsed="false">
      <c r="A112" s="1" t="s">
        <v>1634</v>
      </c>
      <c r="B112" s="1" t="s">
        <v>1640</v>
      </c>
    </row>
    <row r="113" customFormat="false" ht="19.5" hidden="false" customHeight="true" outlineLevel="0" collapsed="false">
      <c r="A113" s="252" t="s">
        <v>1641</v>
      </c>
      <c r="B113" s="252" t="s">
        <v>1642</v>
      </c>
      <c r="C113" s="252" t="s">
        <v>1643</v>
      </c>
      <c r="D113" s="252" t="s">
        <v>1644</v>
      </c>
      <c r="E113" s="252"/>
      <c r="F113" s="252"/>
      <c r="G113" s="252"/>
      <c r="H113" s="252"/>
    </row>
    <row r="114" customFormat="false" ht="15.75" hidden="false" customHeight="true" outlineLevel="0" collapsed="false">
      <c r="A114" s="1" t="s">
        <v>1634</v>
      </c>
      <c r="B114" s="1" t="s">
        <v>1645</v>
      </c>
    </row>
    <row r="115" customFormat="false" ht="15.75" hidden="false" customHeight="true" outlineLevel="0" collapsed="false">
      <c r="A115" s="1" t="s">
        <v>1634</v>
      </c>
      <c r="B115" s="1" t="s">
        <v>1646</v>
      </c>
    </row>
    <row r="116" customFormat="false" ht="15.75" hidden="false" customHeight="true" outlineLevel="0" collapsed="false">
      <c r="A116" s="1" t="s">
        <v>1634</v>
      </c>
      <c r="B116" s="1" t="s">
        <v>1647</v>
      </c>
    </row>
    <row r="117" customFormat="false" ht="15.75" hidden="false" customHeight="true" outlineLevel="0" collapsed="false">
      <c r="A117" s="1" t="s">
        <v>1634</v>
      </c>
      <c r="B117" s="1" t="s">
        <v>1648</v>
      </c>
    </row>
    <row r="118" customFormat="false" ht="15.75" hidden="false" customHeight="true" outlineLevel="0" collapsed="false">
      <c r="A118" s="1" t="s">
        <v>1634</v>
      </c>
      <c r="B118" s="1" t="s">
        <v>1649</v>
      </c>
    </row>
    <row r="119" customFormat="false" ht="19.5" hidden="false" customHeight="true" outlineLevel="0" collapsed="false">
      <c r="A119" s="251" t="s">
        <v>1650</v>
      </c>
      <c r="B119" s="252" t="s">
        <v>1651</v>
      </c>
      <c r="C119" s="252" t="s">
        <v>1652</v>
      </c>
      <c r="D119" s="252" t="s">
        <v>1653</v>
      </c>
      <c r="E119" s="252"/>
      <c r="F119" s="252"/>
      <c r="G119" s="252"/>
      <c r="H119" s="252"/>
    </row>
    <row r="120" customFormat="false" ht="15.75" hidden="false" customHeight="true" outlineLevel="0" collapsed="false">
      <c r="A120" s="1" t="s">
        <v>1634</v>
      </c>
      <c r="B120" s="1" t="s">
        <v>1654</v>
      </c>
    </row>
    <row r="121" customFormat="false" ht="15.75" hidden="false" customHeight="true" outlineLevel="0" collapsed="false">
      <c r="A121" s="1" t="s">
        <v>1634</v>
      </c>
      <c r="B121" s="1" t="s">
        <v>1655</v>
      </c>
    </row>
    <row r="122" customFormat="false" ht="15.75" hidden="false" customHeight="true" outlineLevel="0" collapsed="false">
      <c r="A122" s="1" t="s">
        <v>1634</v>
      </c>
      <c r="B122" s="1" t="s">
        <v>1656</v>
      </c>
    </row>
    <row r="123" customFormat="false" ht="15.75" hidden="false" customHeight="true" outlineLevel="0" collapsed="false">
      <c r="A123" s="1" t="s">
        <v>1634</v>
      </c>
      <c r="B123" s="1" t="s">
        <v>1657</v>
      </c>
    </row>
    <row r="124" customFormat="false" ht="15.75" hidden="false" customHeight="true" outlineLevel="0" collapsed="false">
      <c r="A124" s="1" t="s">
        <v>1634</v>
      </c>
      <c r="B124" s="1" t="s">
        <v>1658</v>
      </c>
    </row>
    <row r="126" customFormat="false" ht="24" hidden="false" customHeight="true" outlineLevel="0" collapsed="false">
      <c r="A126" s="170" t="s">
        <v>1659</v>
      </c>
      <c r="B126" s="170"/>
      <c r="C126" s="170"/>
      <c r="D126" s="170"/>
      <c r="E126" s="170"/>
      <c r="F126" s="170"/>
      <c r="G126" s="170"/>
      <c r="H126" s="170"/>
    </row>
    <row r="128" customFormat="false" ht="18" hidden="false" customHeight="true" outlineLevel="0" collapsed="false">
      <c r="A128" s="171" t="s">
        <v>1660</v>
      </c>
      <c r="B128" s="1" t="s">
        <v>1661</v>
      </c>
    </row>
    <row r="129" customFormat="false" ht="18" hidden="false" customHeight="true" outlineLevel="0" collapsed="false">
      <c r="A129" s="171" t="s">
        <v>1662</v>
      </c>
      <c r="B129" s="1" t="s">
        <v>1663</v>
      </c>
    </row>
    <row r="130" customFormat="false" ht="18" hidden="false" customHeight="true" outlineLevel="0" collapsed="false">
      <c r="A130" s="171" t="s">
        <v>1664</v>
      </c>
      <c r="B130" s="1" t="s">
        <v>1665</v>
      </c>
    </row>
    <row r="131" customFormat="false" ht="18" hidden="false" customHeight="true" outlineLevel="0" collapsed="false">
      <c r="A131" s="171" t="s">
        <v>1666</v>
      </c>
      <c r="B131" s="1" t="s">
        <v>1667</v>
      </c>
    </row>
    <row r="132" customFormat="false" ht="18" hidden="false" customHeight="true" outlineLevel="0" collapsed="false">
      <c r="A132" s="171" t="s">
        <v>1668</v>
      </c>
      <c r="B132" s="1" t="s">
        <v>1669</v>
      </c>
    </row>
    <row r="133" customFormat="false" ht="19.5" hidden="false" customHeight="true" outlineLevel="0" collapsed="false">
      <c r="A133" s="252" t="s">
        <v>1670</v>
      </c>
      <c r="B133" s="252"/>
      <c r="C133" s="252"/>
      <c r="D133" s="252"/>
      <c r="E133" s="252"/>
      <c r="F133" s="252"/>
      <c r="G133" s="252"/>
      <c r="H133" s="252"/>
    </row>
    <row r="135" customFormat="false" ht="24" hidden="false" customHeight="true" outlineLevel="0" collapsed="false">
      <c r="A135" s="170" t="s">
        <v>1671</v>
      </c>
      <c r="B135" s="170"/>
      <c r="C135" s="170"/>
      <c r="D135" s="170"/>
      <c r="E135" s="170"/>
      <c r="F135" s="170"/>
      <c r="G135" s="170"/>
      <c r="H135" s="170"/>
    </row>
    <row r="136" customFormat="false" ht="18" hidden="false" customHeight="true" outlineLevel="0" collapsed="false">
      <c r="A136" s="253" t="s">
        <v>1672</v>
      </c>
      <c r="B136" s="253" t="s">
        <v>1673</v>
      </c>
      <c r="C136" s="253"/>
      <c r="D136" s="253"/>
      <c r="E136" s="253"/>
      <c r="F136" s="253"/>
      <c r="G136" s="253"/>
      <c r="H136" s="253"/>
    </row>
    <row r="137" customFormat="false" ht="18" hidden="false" customHeight="true" outlineLevel="0" collapsed="false">
      <c r="B137" s="1" t="s">
        <v>1674</v>
      </c>
    </row>
    <row r="138" customFormat="false" ht="18" hidden="false" customHeight="true" outlineLevel="0" collapsed="false">
      <c r="B138" s="1" t="s">
        <v>1675</v>
      </c>
    </row>
    <row r="139" customFormat="false" ht="18" hidden="false" customHeight="true" outlineLevel="0" collapsed="false">
      <c r="A139" s="253" t="s">
        <v>1676</v>
      </c>
      <c r="B139" s="253" t="s">
        <v>1677</v>
      </c>
      <c r="C139" s="253"/>
      <c r="D139" s="253"/>
      <c r="E139" s="253"/>
      <c r="F139" s="253"/>
      <c r="G139" s="253"/>
      <c r="H139" s="253"/>
    </row>
    <row r="140" customFormat="false" ht="18" hidden="false" customHeight="true" outlineLevel="0" collapsed="false">
      <c r="B140" s="1" t="s">
        <v>1678</v>
      </c>
    </row>
    <row r="141" customFormat="false" ht="18" hidden="false" customHeight="true" outlineLevel="0" collapsed="false">
      <c r="B141" s="1" t="s">
        <v>1679</v>
      </c>
    </row>
    <row r="142" customFormat="false" ht="18" hidden="false" customHeight="true" outlineLevel="0" collapsed="false">
      <c r="A142" s="252" t="s">
        <v>1680</v>
      </c>
      <c r="B142" s="252" t="s">
        <v>1681</v>
      </c>
      <c r="C142" s="252"/>
      <c r="D142" s="252"/>
      <c r="E142" s="252"/>
      <c r="F142" s="252"/>
      <c r="G142" s="252"/>
      <c r="H142" s="252"/>
    </row>
    <row r="144" customFormat="false" ht="15.75" hidden="false" customHeight="true" outlineLevel="0" collapsed="false">
      <c r="A144" s="1" t="s">
        <v>1682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60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170" t="s">
        <v>1683</v>
      </c>
    </row>
    <row r="2" customFormat="false" ht="15" hidden="false" customHeight="true" outlineLevel="0" collapsed="false">
      <c r="A2" s="1" t="s">
        <v>1684</v>
      </c>
    </row>
    <row r="4" customFormat="false" ht="21.75" hidden="false" customHeight="true" outlineLevel="0" collapsed="false">
      <c r="A4" s="253" t="s">
        <v>1685</v>
      </c>
      <c r="B4" s="253" t="s">
        <v>1686</v>
      </c>
      <c r="C4" s="253" t="s">
        <v>1687</v>
      </c>
      <c r="D4" s="253" t="s">
        <v>1688</v>
      </c>
      <c r="E4" s="253" t="s">
        <v>1689</v>
      </c>
      <c r="F4" s="253" t="s">
        <v>1690</v>
      </c>
    </row>
    <row r="6" customFormat="false" ht="15" hidden="false" customHeight="true" outlineLevel="0" collapsed="false">
      <c r="A6" s="171" t="s">
        <v>1691</v>
      </c>
    </row>
    <row r="7" customFormat="false" ht="30" hidden="false" customHeight="true" outlineLevel="0" collapsed="false">
      <c r="A7" s="1" t="s">
        <v>1692</v>
      </c>
      <c r="B7" s="1" t="s">
        <v>1693</v>
      </c>
      <c r="C7" s="1" t="s">
        <v>1694</v>
      </c>
      <c r="D7" s="1" t="s">
        <v>1695</v>
      </c>
      <c r="E7" s="1" t="s">
        <v>1696</v>
      </c>
      <c r="F7" s="1" t="s">
        <v>1697</v>
      </c>
    </row>
    <row r="8" customFormat="false" ht="30" hidden="false" customHeight="true" outlineLevel="0" collapsed="false">
      <c r="A8" s="1" t="s">
        <v>1698</v>
      </c>
      <c r="B8" s="1" t="s">
        <v>1699</v>
      </c>
      <c r="C8" s="1" t="s">
        <v>1448</v>
      </c>
      <c r="D8" s="1" t="s">
        <v>1700</v>
      </c>
      <c r="E8" s="1" t="s">
        <v>1701</v>
      </c>
      <c r="F8" s="1" t="s">
        <v>1697</v>
      </c>
    </row>
    <row r="9" customFormat="false" ht="30" hidden="false" customHeight="true" outlineLevel="0" collapsed="false">
      <c r="A9" s="1" t="s">
        <v>1702</v>
      </c>
      <c r="B9" s="1" t="s">
        <v>1703</v>
      </c>
      <c r="C9" s="1" t="s">
        <v>1453</v>
      </c>
      <c r="D9" s="1" t="s">
        <v>1704</v>
      </c>
      <c r="E9" s="1" t="s">
        <v>1705</v>
      </c>
      <c r="F9" s="1" t="s">
        <v>1424</v>
      </c>
    </row>
    <row r="10" customFormat="false" ht="30" hidden="false" customHeight="true" outlineLevel="0" collapsed="false">
      <c r="A10" s="1" t="s">
        <v>1706</v>
      </c>
      <c r="B10" s="1" t="s">
        <v>1707</v>
      </c>
      <c r="C10" s="1" t="s">
        <v>1458</v>
      </c>
      <c r="D10" s="1" t="s">
        <v>1708</v>
      </c>
      <c r="E10" s="1" t="s">
        <v>1709</v>
      </c>
      <c r="F10" s="1" t="s">
        <v>1710</v>
      </c>
    </row>
    <row r="12" customFormat="false" ht="15" hidden="false" customHeight="true" outlineLevel="0" collapsed="false">
      <c r="A12" s="171" t="s">
        <v>1711</v>
      </c>
    </row>
    <row r="13" customFormat="false" ht="30" hidden="false" customHeight="true" outlineLevel="0" collapsed="false">
      <c r="A13" s="1" t="s">
        <v>1712</v>
      </c>
      <c r="B13" s="1" t="s">
        <v>1713</v>
      </c>
      <c r="C13" s="1" t="s">
        <v>1714</v>
      </c>
      <c r="D13" s="1" t="s">
        <v>1715</v>
      </c>
      <c r="E13" s="1" t="s">
        <v>1716</v>
      </c>
      <c r="F13" s="1" t="s">
        <v>1717</v>
      </c>
    </row>
    <row r="14" customFormat="false" ht="30" hidden="false" customHeight="true" outlineLevel="0" collapsed="false">
      <c r="A14" s="1" t="s">
        <v>1718</v>
      </c>
      <c r="B14" s="1" t="s">
        <v>1719</v>
      </c>
      <c r="C14" s="1" t="s">
        <v>1720</v>
      </c>
      <c r="D14" s="1" t="s">
        <v>1721</v>
      </c>
      <c r="E14" s="1" t="s">
        <v>1722</v>
      </c>
      <c r="F14" s="1" t="s">
        <v>1723</v>
      </c>
    </row>
    <row r="16" customFormat="false" ht="15" hidden="false" customHeight="true" outlineLevel="0" collapsed="false">
      <c r="A16" s="171" t="s">
        <v>1724</v>
      </c>
    </row>
    <row r="17" customFormat="false" ht="30" hidden="false" customHeight="true" outlineLevel="0" collapsed="false">
      <c r="A17" s="1" t="s">
        <v>1725</v>
      </c>
      <c r="B17" s="1" t="s">
        <v>1726</v>
      </c>
      <c r="C17" s="1" t="s">
        <v>1727</v>
      </c>
      <c r="D17" s="1" t="s">
        <v>1728</v>
      </c>
      <c r="E17" s="1" t="s">
        <v>1729</v>
      </c>
      <c r="F17" s="1" t="s">
        <v>1730</v>
      </c>
    </row>
    <row r="18" customFormat="false" ht="30" hidden="false" customHeight="true" outlineLevel="0" collapsed="false">
      <c r="A18" s="1" t="s">
        <v>1731</v>
      </c>
      <c r="B18" s="1" t="s">
        <v>1732</v>
      </c>
      <c r="C18" s="1" t="s">
        <v>1733</v>
      </c>
      <c r="D18" s="1" t="s">
        <v>1728</v>
      </c>
      <c r="E18" s="1" t="s">
        <v>1734</v>
      </c>
      <c r="F18" s="1" t="s">
        <v>1735</v>
      </c>
    </row>
    <row r="19" customFormat="false" ht="30" hidden="false" customHeight="true" outlineLevel="0" collapsed="false">
      <c r="A19" s="1" t="s">
        <v>1736</v>
      </c>
      <c r="B19" s="1" t="s">
        <v>1737</v>
      </c>
      <c r="C19" s="1" t="s">
        <v>1738</v>
      </c>
      <c r="D19" s="1" t="s">
        <v>1739</v>
      </c>
      <c r="E19" s="1" t="s">
        <v>1740</v>
      </c>
      <c r="F19" s="1" t="s">
        <v>1741</v>
      </c>
    </row>
    <row r="20" customFormat="false" ht="30" hidden="false" customHeight="true" outlineLevel="0" collapsed="false">
      <c r="A20" s="1" t="s">
        <v>1742</v>
      </c>
      <c r="B20" s="1" t="s">
        <v>1743</v>
      </c>
      <c r="C20" s="1" t="s">
        <v>1744</v>
      </c>
      <c r="D20" s="1" t="s">
        <v>1739</v>
      </c>
      <c r="E20" s="1" t="s">
        <v>1745</v>
      </c>
      <c r="F20" s="1" t="s">
        <v>1746</v>
      </c>
    </row>
    <row r="22" customFormat="false" ht="15" hidden="false" customHeight="true" outlineLevel="0" collapsed="false">
      <c r="A22" s="171" t="s">
        <v>1747</v>
      </c>
    </row>
    <row r="23" customFormat="false" ht="30" hidden="false" customHeight="true" outlineLevel="0" collapsed="false">
      <c r="A23" s="1" t="s">
        <v>1728</v>
      </c>
      <c r="B23" s="1" t="s">
        <v>1748</v>
      </c>
      <c r="C23" s="1" t="s">
        <v>1749</v>
      </c>
      <c r="D23" s="1" t="s">
        <v>1750</v>
      </c>
      <c r="E23" s="1" t="s">
        <v>1751</v>
      </c>
      <c r="F23" s="1" t="s">
        <v>1752</v>
      </c>
    </row>
    <row r="24" customFormat="false" ht="30" hidden="false" customHeight="true" outlineLevel="0" collapsed="false">
      <c r="A24" s="1" t="s">
        <v>1739</v>
      </c>
      <c r="B24" s="1" t="s">
        <v>1753</v>
      </c>
      <c r="C24" s="1" t="s">
        <v>1284</v>
      </c>
      <c r="D24" s="1" t="s">
        <v>1750</v>
      </c>
      <c r="E24" s="1" t="s">
        <v>1754</v>
      </c>
      <c r="F24" s="1" t="s">
        <v>1755</v>
      </c>
    </row>
    <row r="26" customFormat="false" ht="15" hidden="false" customHeight="true" outlineLevel="0" collapsed="false">
      <c r="A26" s="171" t="s">
        <v>1756</v>
      </c>
    </row>
    <row r="27" customFormat="false" ht="25.5" hidden="false" customHeight="true" outlineLevel="0" collapsed="false">
      <c r="A27" s="1" t="s">
        <v>1605</v>
      </c>
      <c r="B27" s="1" t="s">
        <v>1757</v>
      </c>
      <c r="C27" s="1" t="s">
        <v>1758</v>
      </c>
      <c r="D27" s="1" t="s">
        <v>1759</v>
      </c>
      <c r="E27" s="1" t="s">
        <v>1760</v>
      </c>
      <c r="F27" s="1" t="s">
        <v>1761</v>
      </c>
    </row>
    <row r="28" customFormat="false" ht="25.5" hidden="false" customHeight="true" outlineLevel="0" collapsed="false">
      <c r="A28" s="1" t="s">
        <v>1613</v>
      </c>
      <c r="B28" s="1" t="s">
        <v>1762</v>
      </c>
      <c r="C28" s="1" t="s">
        <v>1763</v>
      </c>
      <c r="D28" s="1" t="s">
        <v>1764</v>
      </c>
      <c r="E28" s="1" t="s">
        <v>1765</v>
      </c>
      <c r="F28" s="1" t="s">
        <v>1766</v>
      </c>
    </row>
    <row r="29" customFormat="false" ht="25.5" hidden="false" customHeight="true" outlineLevel="0" collapsed="false">
      <c r="A29" s="1" t="s">
        <v>1620</v>
      </c>
      <c r="B29" s="1" t="s">
        <v>1767</v>
      </c>
      <c r="C29" s="1" t="s">
        <v>1768</v>
      </c>
      <c r="D29" s="1" t="s">
        <v>1769</v>
      </c>
      <c r="E29" s="1" t="s">
        <v>1770</v>
      </c>
      <c r="F29" s="1" t="s">
        <v>1771</v>
      </c>
    </row>
    <row r="31" customFormat="false" ht="15" hidden="false" customHeight="true" outlineLevel="0" collapsed="false">
      <c r="A31" s="171" t="s">
        <v>1772</v>
      </c>
    </row>
    <row r="32" customFormat="false" ht="25.5" hidden="false" customHeight="true" outlineLevel="0" collapsed="false">
      <c r="A32" s="1" t="s">
        <v>1630</v>
      </c>
      <c r="B32" s="1" t="s">
        <v>1773</v>
      </c>
      <c r="C32" s="1" t="s">
        <v>1774</v>
      </c>
      <c r="D32" s="1" t="s">
        <v>1775</v>
      </c>
      <c r="E32" s="1" t="s">
        <v>1776</v>
      </c>
      <c r="F32" s="1" t="s">
        <v>1777</v>
      </c>
    </row>
    <row r="33" customFormat="false" ht="25.5" hidden="false" customHeight="true" outlineLevel="0" collapsed="false">
      <c r="A33" s="1" t="s">
        <v>1641</v>
      </c>
      <c r="B33" s="1" t="s">
        <v>1778</v>
      </c>
      <c r="C33" s="1" t="s">
        <v>1779</v>
      </c>
      <c r="D33" s="1" t="s">
        <v>1780</v>
      </c>
      <c r="E33" s="1" t="s">
        <v>1781</v>
      </c>
      <c r="F33" s="1" t="s">
        <v>1424</v>
      </c>
    </row>
    <row r="34" customFormat="false" ht="25.5" hidden="false" customHeight="true" outlineLevel="0" collapsed="false">
      <c r="A34" s="1" t="s">
        <v>1650</v>
      </c>
      <c r="B34" s="1" t="s">
        <v>1782</v>
      </c>
      <c r="C34" s="1" t="s">
        <v>1783</v>
      </c>
      <c r="D34" s="1" t="s">
        <v>1784</v>
      </c>
      <c r="E34" s="1" t="s">
        <v>1785</v>
      </c>
      <c r="F34" s="1" t="s">
        <v>1593</v>
      </c>
    </row>
    <row r="36" customFormat="false" ht="15" hidden="false" customHeight="true" outlineLevel="0" collapsed="false">
      <c r="A36" s="171" t="s">
        <v>1786</v>
      </c>
    </row>
    <row r="37" customFormat="false" ht="25.5" hidden="false" customHeight="true" outlineLevel="0" collapsed="false">
      <c r="A37" s="1" t="s">
        <v>1173</v>
      </c>
      <c r="B37" s="1" t="s">
        <v>1787</v>
      </c>
      <c r="C37" s="1" t="s">
        <v>1432</v>
      </c>
      <c r="D37" s="1" t="s">
        <v>1788</v>
      </c>
      <c r="E37" s="1" t="s">
        <v>1789</v>
      </c>
      <c r="F37" s="1" t="s">
        <v>1790</v>
      </c>
    </row>
    <row r="38" customFormat="false" ht="25.5" hidden="false" customHeight="true" outlineLevel="0" collapsed="false">
      <c r="A38" s="1" t="s">
        <v>1791</v>
      </c>
      <c r="B38" s="1" t="s">
        <v>1792</v>
      </c>
      <c r="C38" s="1" t="s">
        <v>1432</v>
      </c>
      <c r="D38" s="1" t="s">
        <v>1793</v>
      </c>
      <c r="E38" s="1" t="s">
        <v>1794</v>
      </c>
      <c r="F38" s="1" t="s">
        <v>1795</v>
      </c>
    </row>
    <row r="39" customFormat="false" ht="25.5" hidden="false" customHeight="true" outlineLevel="0" collapsed="false">
      <c r="A39" s="1" t="s">
        <v>1796</v>
      </c>
      <c r="B39" s="1" t="s">
        <v>1797</v>
      </c>
      <c r="C39" s="1" t="s">
        <v>1798</v>
      </c>
      <c r="D39" s="1" t="s">
        <v>1799</v>
      </c>
      <c r="E39" s="1" t="s">
        <v>1800</v>
      </c>
      <c r="F39" s="1" t="s">
        <v>1801</v>
      </c>
    </row>
    <row r="41" customFormat="false" ht="15" hidden="false" customHeight="true" outlineLevel="0" collapsed="false">
      <c r="A41" s="171" t="s">
        <v>1802</v>
      </c>
    </row>
    <row r="42" customFormat="false" ht="21.75" hidden="false" customHeight="true" outlineLevel="0" collapsed="false">
      <c r="A42" s="1" t="s">
        <v>1803</v>
      </c>
      <c r="B42" s="1" t="s">
        <v>1804</v>
      </c>
      <c r="C42" s="1" t="s">
        <v>1805</v>
      </c>
      <c r="D42" s="1" t="s">
        <v>1806</v>
      </c>
      <c r="E42" s="1" t="s">
        <v>1807</v>
      </c>
      <c r="F42" s="1" t="s">
        <v>1808</v>
      </c>
    </row>
    <row r="43" customFormat="false" ht="21.75" hidden="false" customHeight="true" outlineLevel="0" collapsed="false">
      <c r="A43" s="1" t="s">
        <v>1809</v>
      </c>
      <c r="B43" s="1" t="s">
        <v>1810</v>
      </c>
      <c r="C43" s="1" t="s">
        <v>1811</v>
      </c>
      <c r="D43" s="1" t="s">
        <v>1812</v>
      </c>
      <c r="E43" s="1" t="s">
        <v>1813</v>
      </c>
      <c r="F43" s="1" t="s">
        <v>1814</v>
      </c>
    </row>
    <row r="44" customFormat="false" ht="21.75" hidden="false" customHeight="true" outlineLevel="0" collapsed="false">
      <c r="A44" s="1" t="s">
        <v>1815</v>
      </c>
      <c r="B44" s="1" t="s">
        <v>1816</v>
      </c>
      <c r="C44" s="1" t="s">
        <v>1817</v>
      </c>
      <c r="D44" s="1" t="s">
        <v>1818</v>
      </c>
      <c r="E44" s="1" t="s">
        <v>1819</v>
      </c>
      <c r="F44" s="1" t="s">
        <v>1814</v>
      </c>
    </row>
    <row r="45" customFormat="false" ht="21.75" hidden="false" customHeight="true" outlineLevel="0" collapsed="false">
      <c r="A45" s="1" t="s">
        <v>1820</v>
      </c>
      <c r="B45" s="1" t="s">
        <v>1821</v>
      </c>
      <c r="C45" s="1" t="s">
        <v>1822</v>
      </c>
      <c r="D45" s="1" t="s">
        <v>1823</v>
      </c>
      <c r="E45" s="1" t="s">
        <v>1824</v>
      </c>
      <c r="F45" s="1" t="s">
        <v>1825</v>
      </c>
    </row>
    <row r="46" customFormat="false" ht="21.75" hidden="false" customHeight="true" outlineLevel="0" collapsed="false">
      <c r="A46" s="1" t="s">
        <v>1826</v>
      </c>
      <c r="B46" s="1" t="s">
        <v>1827</v>
      </c>
      <c r="C46" s="1" t="s">
        <v>1828</v>
      </c>
      <c r="D46" s="1" t="s">
        <v>1823</v>
      </c>
      <c r="E46" s="1" t="s">
        <v>1829</v>
      </c>
      <c r="F46" s="1" t="s">
        <v>1808</v>
      </c>
    </row>
    <row r="47" customFormat="false" ht="21.75" hidden="false" customHeight="true" outlineLevel="0" collapsed="false">
      <c r="A47" s="1" t="s">
        <v>1830</v>
      </c>
      <c r="B47" s="1" t="s">
        <v>1831</v>
      </c>
      <c r="C47" s="1" t="s">
        <v>1832</v>
      </c>
      <c r="D47" s="1" t="s">
        <v>1833</v>
      </c>
      <c r="E47" s="1" t="s">
        <v>1834</v>
      </c>
      <c r="F47" s="1" t="s">
        <v>1808</v>
      </c>
    </row>
    <row r="49" customFormat="false" ht="15" hidden="false" customHeight="true" outlineLevel="0" collapsed="false">
      <c r="A49" s="171" t="s">
        <v>1835</v>
      </c>
    </row>
    <row r="50" customFormat="false" ht="25.5" hidden="false" customHeight="true" outlineLevel="0" collapsed="false">
      <c r="A50" s="1" t="s">
        <v>1836</v>
      </c>
      <c r="B50" s="1" t="s">
        <v>1837</v>
      </c>
      <c r="C50" s="1" t="s">
        <v>1838</v>
      </c>
      <c r="D50" s="1" t="s">
        <v>1839</v>
      </c>
      <c r="E50" s="1" t="s">
        <v>1840</v>
      </c>
      <c r="F50" s="1" t="s">
        <v>1841</v>
      </c>
    </row>
    <row r="51" customFormat="false" ht="25.5" hidden="false" customHeight="true" outlineLevel="0" collapsed="false">
      <c r="A51" s="1" t="s">
        <v>1842</v>
      </c>
      <c r="B51" s="1" t="s">
        <v>1843</v>
      </c>
      <c r="C51" s="1" t="s">
        <v>1838</v>
      </c>
      <c r="D51" s="1" t="s">
        <v>1844</v>
      </c>
      <c r="E51" s="1" t="s">
        <v>1845</v>
      </c>
      <c r="F51" s="1" t="s">
        <v>1846</v>
      </c>
    </row>
    <row r="52" customFormat="false" ht="25.5" hidden="false" customHeight="true" outlineLevel="0" collapsed="false">
      <c r="A52" s="1" t="s">
        <v>1847</v>
      </c>
      <c r="B52" s="1" t="s">
        <v>1848</v>
      </c>
      <c r="C52" s="1" t="s">
        <v>1838</v>
      </c>
      <c r="D52" s="1" t="s">
        <v>1715</v>
      </c>
      <c r="E52" s="1" t="s">
        <v>1849</v>
      </c>
      <c r="F52" s="1" t="s">
        <v>1823</v>
      </c>
    </row>
    <row r="53" customFormat="false" ht="25.5" hidden="false" customHeight="true" outlineLevel="0" collapsed="false">
      <c r="A53" s="1" t="s">
        <v>1850</v>
      </c>
      <c r="B53" s="1" t="s">
        <v>1851</v>
      </c>
      <c r="C53" s="1" t="s">
        <v>1852</v>
      </c>
      <c r="D53" s="1" t="s">
        <v>1853</v>
      </c>
      <c r="E53" s="1" t="s">
        <v>1854</v>
      </c>
      <c r="F53" s="1" t="s">
        <v>1761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80"/>
  </cols>
  <sheetData>
    <row r="1" customFormat="false" ht="27.75" hidden="false" customHeight="true" outlineLevel="0" collapsed="false">
      <c r="A1" s="170" t="s">
        <v>1855</v>
      </c>
    </row>
    <row r="2" customFormat="false" ht="15" hidden="false" customHeight="true" outlineLevel="0" collapsed="false">
      <c r="A2" s="1" t="s">
        <v>1856</v>
      </c>
    </row>
    <row r="4" customFormat="false" ht="15" hidden="false" customHeight="true" outlineLevel="0" collapsed="false">
      <c r="A4" s="171" t="s">
        <v>1857</v>
      </c>
    </row>
    <row r="5" customFormat="false" ht="39.75" hidden="false" customHeight="true" outlineLevel="0" collapsed="false">
      <c r="A5" s="1" t="s">
        <v>1858</v>
      </c>
      <c r="B5" s="1" t="s">
        <v>1859</v>
      </c>
    </row>
    <row r="6" customFormat="false" ht="30" hidden="false" customHeight="true" outlineLevel="0" collapsed="false">
      <c r="A6" s="1" t="s">
        <v>1860</v>
      </c>
      <c r="B6" s="1" t="s">
        <v>1861</v>
      </c>
    </row>
    <row r="7" customFormat="false" ht="30" hidden="false" customHeight="true" outlineLevel="0" collapsed="false">
      <c r="A7" s="1" t="s">
        <v>1862</v>
      </c>
      <c r="B7" s="1" t="s">
        <v>1863</v>
      </c>
    </row>
    <row r="9" customFormat="false" ht="15" hidden="false" customHeight="true" outlineLevel="0" collapsed="false">
      <c r="A9" s="171" t="s">
        <v>1864</v>
      </c>
    </row>
    <row r="10" customFormat="false" ht="30" hidden="false" customHeight="true" outlineLevel="0" collapsed="false">
      <c r="A10" s="1" t="s">
        <v>1865</v>
      </c>
      <c r="B10" s="1" t="s">
        <v>1866</v>
      </c>
    </row>
    <row r="11" customFormat="false" ht="30" hidden="false" customHeight="true" outlineLevel="0" collapsed="false">
      <c r="A11" s="1" t="s">
        <v>1867</v>
      </c>
      <c r="B11" s="1" t="s">
        <v>1868</v>
      </c>
    </row>
    <row r="12" customFormat="false" ht="30" hidden="false" customHeight="true" outlineLevel="0" collapsed="false">
      <c r="A12" s="1" t="s">
        <v>1869</v>
      </c>
      <c r="B12" s="1" t="s">
        <v>1870</v>
      </c>
    </row>
    <row r="13" customFormat="false" ht="30" hidden="false" customHeight="true" outlineLevel="0" collapsed="false">
      <c r="A13" s="1" t="s">
        <v>1871</v>
      </c>
      <c r="B13" s="1" t="s">
        <v>1872</v>
      </c>
    </row>
    <row r="14" customFormat="false" ht="30" hidden="false" customHeight="true" outlineLevel="0" collapsed="false">
      <c r="A14" s="1" t="s">
        <v>1873</v>
      </c>
      <c r="B14" s="1" t="s">
        <v>1874</v>
      </c>
    </row>
    <row r="16" customFormat="false" ht="15" hidden="false" customHeight="true" outlineLevel="0" collapsed="false">
      <c r="A16" s="171" t="s">
        <v>1875</v>
      </c>
    </row>
    <row r="17" customFormat="false" ht="15" hidden="false" customHeight="true" outlineLevel="0" collapsed="false">
      <c r="A17" s="1" t="s">
        <v>1803</v>
      </c>
      <c r="B17" s="1" t="s">
        <v>1876</v>
      </c>
    </row>
    <row r="18" customFormat="false" ht="15" hidden="false" customHeight="true" outlineLevel="0" collapsed="false">
      <c r="A18" s="1" t="s">
        <v>1809</v>
      </c>
      <c r="B18" s="1" t="s">
        <v>1877</v>
      </c>
    </row>
    <row r="19" customFormat="false" ht="15" hidden="false" customHeight="true" outlineLevel="0" collapsed="false">
      <c r="A19" s="1" t="s">
        <v>1815</v>
      </c>
      <c r="B19" s="1" t="s">
        <v>1878</v>
      </c>
    </row>
    <row r="20" customFormat="false" ht="15" hidden="false" customHeight="true" outlineLevel="0" collapsed="false">
      <c r="A20" s="1" t="s">
        <v>1820</v>
      </c>
      <c r="B20" s="1" t="s">
        <v>1879</v>
      </c>
    </row>
    <row r="21" customFormat="false" ht="15" hidden="false" customHeight="true" outlineLevel="0" collapsed="false">
      <c r="A21" s="1" t="s">
        <v>1880</v>
      </c>
      <c r="B21" s="1" t="s">
        <v>1881</v>
      </c>
    </row>
    <row r="22" customFormat="false" ht="15" hidden="false" customHeight="true" outlineLevel="0" collapsed="false">
      <c r="A22" s="1" t="s">
        <v>1882</v>
      </c>
      <c r="B22" s="1" t="s">
        <v>1883</v>
      </c>
    </row>
    <row r="24" customFormat="false" ht="15" hidden="false" customHeight="true" outlineLevel="0" collapsed="false">
      <c r="A24" s="171" t="s">
        <v>1884</v>
      </c>
    </row>
    <row r="25" customFormat="false" ht="30" hidden="false" customHeight="true" outlineLevel="0" collapsed="false">
      <c r="A25" s="1" t="s">
        <v>1885</v>
      </c>
      <c r="B25" s="1" t="s">
        <v>1886</v>
      </c>
    </row>
    <row r="26" customFormat="false" ht="30" hidden="false" customHeight="true" outlineLevel="0" collapsed="false">
      <c r="A26" s="1" t="s">
        <v>1887</v>
      </c>
      <c r="B26" s="1" t="s">
        <v>1888</v>
      </c>
    </row>
    <row r="27" customFormat="false" ht="30" hidden="false" customHeight="true" outlineLevel="0" collapsed="false">
      <c r="A27" s="1" t="s">
        <v>1889</v>
      </c>
      <c r="B27" s="1" t="s">
        <v>1890</v>
      </c>
    </row>
    <row r="28" customFormat="false" ht="30" hidden="false" customHeight="true" outlineLevel="0" collapsed="false">
      <c r="A28" s="1" t="s">
        <v>1891</v>
      </c>
      <c r="B28" s="1" t="s">
        <v>1892</v>
      </c>
    </row>
    <row r="29" customFormat="false" ht="30" hidden="false" customHeight="true" outlineLevel="0" collapsed="false">
      <c r="A29" s="1" t="s">
        <v>1893</v>
      </c>
      <c r="B29" s="1" t="s">
        <v>1894</v>
      </c>
    </row>
    <row r="31" customFormat="false" ht="15" hidden="false" customHeight="true" outlineLevel="0" collapsed="false">
      <c r="A31" s="171" t="s">
        <v>1895</v>
      </c>
    </row>
    <row r="32" customFormat="false" ht="30" hidden="false" customHeight="true" outlineLevel="0" collapsed="false">
      <c r="A32" s="1" t="s">
        <v>1896</v>
      </c>
      <c r="B32" s="1" t="s">
        <v>1897</v>
      </c>
    </row>
    <row r="33" customFormat="false" ht="30" hidden="false" customHeight="true" outlineLevel="0" collapsed="false">
      <c r="A33" s="1" t="s">
        <v>1898</v>
      </c>
      <c r="B33" s="1" t="s">
        <v>1899</v>
      </c>
    </row>
    <row r="34" customFormat="false" ht="30" hidden="false" customHeight="true" outlineLevel="0" collapsed="false">
      <c r="A34" s="1" t="s">
        <v>1900</v>
      </c>
      <c r="B34" s="1" t="s">
        <v>1901</v>
      </c>
    </row>
    <row r="35" customFormat="false" ht="30" hidden="false" customHeight="true" outlineLevel="0" collapsed="false">
      <c r="A35" s="1" t="s">
        <v>1902</v>
      </c>
      <c r="B35" s="1" t="s">
        <v>1903</v>
      </c>
    </row>
    <row r="36" customFormat="false" ht="30" hidden="false" customHeight="true" outlineLevel="0" collapsed="false">
      <c r="A36" s="1" t="s">
        <v>1904</v>
      </c>
      <c r="B36" s="1" t="s">
        <v>1905</v>
      </c>
    </row>
    <row r="37" customFormat="false" ht="30" hidden="false" customHeight="true" outlineLevel="0" collapsed="false">
      <c r="A37" s="1" t="s">
        <v>1906</v>
      </c>
      <c r="B37" s="1" t="s">
        <v>1907</v>
      </c>
    </row>
    <row r="39" customFormat="false" ht="15" hidden="false" customHeight="true" outlineLevel="0" collapsed="false">
      <c r="A39" s="171" t="s">
        <v>1908</v>
      </c>
    </row>
    <row r="40" customFormat="false" ht="15" hidden="false" customHeight="true" outlineLevel="0" collapsed="false">
      <c r="A40" s="1" t="s">
        <v>1909</v>
      </c>
      <c r="B40" s="1" t="s">
        <v>1910</v>
      </c>
    </row>
    <row r="41" customFormat="false" ht="15" hidden="false" customHeight="true" outlineLevel="0" collapsed="false">
      <c r="A41" s="1" t="s">
        <v>1911</v>
      </c>
      <c r="B41" s="1" t="s">
        <v>1912</v>
      </c>
    </row>
    <row r="42" customFormat="false" ht="15" hidden="false" customHeight="true" outlineLevel="0" collapsed="false">
      <c r="A42" s="1" t="s">
        <v>1913</v>
      </c>
      <c r="B42" s="1" t="s">
        <v>1914</v>
      </c>
    </row>
    <row r="43" customFormat="false" ht="15" hidden="false" customHeight="true" outlineLevel="0" collapsed="false">
      <c r="A43" s="1" t="s">
        <v>1915</v>
      </c>
      <c r="B43" s="1" t="s">
        <v>1916</v>
      </c>
    </row>
    <row r="44" customFormat="false" ht="15" hidden="false" customHeight="true" outlineLevel="0" collapsed="false">
      <c r="A44" s="1" t="s">
        <v>1917</v>
      </c>
      <c r="B44" s="1" t="s">
        <v>1918</v>
      </c>
    </row>
    <row r="46" customFormat="false" ht="15" hidden="false" customHeight="true" outlineLevel="0" collapsed="false">
      <c r="A46" s="171" t="s">
        <v>1919</v>
      </c>
    </row>
    <row r="47" customFormat="false" ht="15" hidden="false" customHeight="true" outlineLevel="0" collapsed="false">
      <c r="A47" s="1" t="s">
        <v>1920</v>
      </c>
      <c r="B47" s="1" t="s">
        <v>1921</v>
      </c>
    </row>
    <row r="48" customFormat="false" ht="15" hidden="false" customHeight="true" outlineLevel="0" collapsed="false">
      <c r="A48" s="1" t="s">
        <v>1922</v>
      </c>
      <c r="B48" s="1" t="s">
        <v>1923</v>
      </c>
    </row>
    <row r="49" customFormat="false" ht="15" hidden="false" customHeight="true" outlineLevel="0" collapsed="false">
      <c r="A49" s="1" t="s">
        <v>1924</v>
      </c>
      <c r="B49" s="1" t="s">
        <v>1925</v>
      </c>
    </row>
    <row r="50" customFormat="false" ht="15" hidden="false" customHeight="true" outlineLevel="0" collapsed="false">
      <c r="A50" s="1" t="s">
        <v>1926</v>
      </c>
      <c r="B50" s="1" t="s">
        <v>1927</v>
      </c>
    </row>
    <row r="52" customFormat="false" ht="15" hidden="false" customHeight="true" outlineLevel="0" collapsed="false">
      <c r="A52" s="171" t="s">
        <v>1928</v>
      </c>
    </row>
    <row r="53" customFormat="false" ht="15" hidden="false" customHeight="true" outlineLevel="0" collapsed="false">
      <c r="A53" s="1" t="s">
        <v>1929</v>
      </c>
      <c r="B53" s="1" t="s">
        <v>1930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2026-02-15T20:45:01Z</dcterms:created>
  <dc:creator>openpyxl</dc:creator>
  <dc:description/>
  <dc:language>en-US</dc:language>
  <cp:lastModifiedBy/>
  <dcterms:modified xsi:type="dcterms:W3CDTF">2026-02-15T20:47:01Z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