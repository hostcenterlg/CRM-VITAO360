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UZAMENTO MÊS A MÊS" sheetId="1" state="visible" r:id="rId3"/>
    <sheet name="RESUMO MENSAL" sheetId="2" state="visible" r:id="rId4"/>
    <sheet name="COBERTURA FONTES" sheetId="3" state="visible" r:id="rId5"/>
  </sheets>
  <definedNames>
    <definedName function="false" hidden="true" localSheetId="0" name="_xlnm._FilterDatabase" vbProcedure="false">'CRUZAMENTO MÊS A MÊS'!$A$2:$CB$495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<sst xmlns="http://schemas.openxmlformats.org/spreadsheetml/2006/main" count="4760" uniqueCount="1356">
  <si>
    <t xml:space="preserve">IDENTIDADE</t>
  </si>
  <si>
    <t xml:space="preserve">VENDA MÊS A MÊS (R$)</t>
  </si>
  <si>
    <t xml:space="preserve">POSITIVAÇÃO (1=comprou)</t>
  </si>
  <si>
    <t xml:space="preserve">CURVA ABC</t>
  </si>
  <si>
    <t xml:space="preserve">ACESSO E-COMMERCE B2B</t>
  </si>
  <si>
    <t xml:space="preserve">ATENDIMENTOS (Mercos+Deskrio)</t>
  </si>
  <si>
    <t xml:space="preserve">INDICADORES</t>
  </si>
  <si>
    <t xml:space="preserve">CNPJ</t>
  </si>
  <si>
    <t xml:space="preserve">NOME FANTASIA</t>
  </si>
  <si>
    <t xml:space="preserve">UF</t>
  </si>
  <si>
    <t xml:space="preserve">CIDADE</t>
  </si>
  <si>
    <t xml:space="preserve">SITUAÇÃO</t>
  </si>
  <si>
    <t xml:space="preserve">MAR/25</t>
  </si>
  <si>
    <t xml:space="preserve">ABR/25</t>
  </si>
  <si>
    <t xml:space="preserve">MAI/25</t>
  </si>
  <si>
    <t xml:space="preserve">JUN/25</t>
  </si>
  <si>
    <t xml:space="preserve">JUL/25</t>
  </si>
  <si>
    <t xml:space="preserve">AGO/25</t>
  </si>
  <si>
    <t xml:space="preserve">SET/25</t>
  </si>
  <si>
    <t xml:space="preserve">OUT/25</t>
  </si>
  <si>
    <t xml:space="preserve">NOV/25</t>
  </si>
  <si>
    <t xml:space="preserve">DEZ/25</t>
  </si>
  <si>
    <t xml:space="preserve">JAN/26</t>
  </si>
  <si>
    <t xml:space="preserve">FEV/26</t>
  </si>
  <si>
    <t xml:space="preserve">TOTAL R$</t>
  </si>
  <si>
    <t xml:space="preserve">MESES POS.</t>
  </si>
  <si>
    <t xml:space="preserve">ANUAL</t>
  </si>
  <si>
    <t xml:space="preserve">TOTAL ACESSOS</t>
  </si>
  <si>
    <t xml:space="preserve">TOTAL B2B R$</t>
  </si>
  <si>
    <t xml:space="preserve">OPORT.</t>
  </si>
  <si>
    <t xml:space="preserve">TOTAL</t>
  </si>
  <si>
    <t xml:space="preserve">ÚLT.DATA</t>
  </si>
  <si>
    <t xml:space="preserve">ÚLT.RESULTADO</t>
  </si>
  <si>
    <t xml:space="preserve">ÚLT.TIPO</t>
  </si>
  <si>
    <t xml:space="preserve">TICKET MÉDIO</t>
  </si>
  <si>
    <t xml:space="preserve">MÉDIA MENSAL</t>
  </si>
  <si>
    <t xml:space="preserve">CICLO MÉDIO</t>
  </si>
  <si>
    <t xml:space="preserve">TIPO CLIENTE</t>
  </si>
  <si>
    <t xml:space="preserve">SAÚDE</t>
  </si>
  <si>
    <t xml:space="preserve">51172110000171</t>
  </si>
  <si>
    <t xml:space="preserve"> BRENDHA EVELYN LOPES ERRERA ROCA</t>
  </si>
  <si>
    <t xml:space="preserve">PR</t>
  </si>
  <si>
    <t xml:space="preserve">CURITIBA</t>
  </si>
  <si>
    <t xml:space="preserve">ATIVO</t>
  </si>
  <si>
    <t xml:space="preserve">WHATSAPP</t>
  </si>
  <si>
    <t xml:space="preserve">35883775000137</t>
  </si>
  <si>
    <t xml:space="preserve">35.883.775 MARISA GARLINI MAGENIS</t>
  </si>
  <si>
    <t xml:space="preserve">SAO MIGUEL DO IGUACU</t>
  </si>
  <si>
    <t xml:space="preserve">C</t>
  </si>
  <si>
    <t xml:space="preserve">B</t>
  </si>
  <si>
    <t xml:space="preserve">A</t>
  </si>
  <si>
    <t xml:space="preserve">40185487000149</t>
  </si>
  <si>
    <t xml:space="preserve">40.185.487 ANTONIO JURANDI DA SILVA</t>
  </si>
  <si>
    <t xml:space="preserve">SP</t>
  </si>
  <si>
    <t xml:space="preserve">PORANGABA</t>
  </si>
  <si>
    <t xml:space="preserve">B2B</t>
  </si>
  <si>
    <t xml:space="preserve">48097578000134</t>
  </si>
  <si>
    <t xml:space="preserve">48.097.578 SALAH UD DIN ALE CHARKIE</t>
  </si>
  <si>
    <t xml:space="preserve">PARANAGUA</t>
  </si>
  <si>
    <t xml:space="preserve">56237854000140</t>
  </si>
  <si>
    <t xml:space="preserve">56.237.854 SAMUELL CARVALHO LUCIANO</t>
  </si>
  <si>
    <t xml:space="preserve">SC</t>
  </si>
  <si>
    <t xml:space="preserve">SAO JOAQUIM</t>
  </si>
  <si>
    <t xml:space="preserve">15265760000106</t>
  </si>
  <si>
    <t xml:space="preserve">A CEREALISSIMA</t>
  </si>
  <si>
    <t xml:space="preserve">GO</t>
  </si>
  <si>
    <t xml:space="preserve">GOIANIA</t>
  </si>
  <si>
    <t xml:space="preserve">45345641000116</t>
  </si>
  <si>
    <t xml:space="preserve">ABTM LTDA</t>
  </si>
  <si>
    <t xml:space="preserve">CACADOR</t>
  </si>
  <si>
    <t xml:space="preserve">41626544000140</t>
  </si>
  <si>
    <t xml:space="preserve">ALICE NO PAIS DOS GRAOS COMERCIO DE ALIMENTOS</t>
  </si>
  <si>
    <t xml:space="preserve">RS</t>
  </si>
  <si>
    <t xml:space="preserve">PORTO ALEGRE</t>
  </si>
  <si>
    <t xml:space="preserve">21691717000105</t>
  </si>
  <si>
    <t xml:space="preserve">ARMAZEM DA 18</t>
  </si>
  <si>
    <t xml:space="preserve">CAXIAS DO SUL</t>
  </si>
  <si>
    <t xml:space="preserve">58010332000137</t>
  </si>
  <si>
    <t xml:space="preserve">BIDO GUITES VIDA SAUDAVEL LTDA</t>
  </si>
  <si>
    <t xml:space="preserve">MT</t>
  </si>
  <si>
    <t xml:space="preserve">CANARANA</t>
  </si>
  <si>
    <t xml:space="preserve">60475933000167</t>
  </si>
  <si>
    <t xml:space="preserve">BV ALIMENTOS LTDA</t>
  </si>
  <si>
    <t xml:space="preserve">PE</t>
  </si>
  <si>
    <t xml:space="preserve">RECIFE</t>
  </si>
  <si>
    <t xml:space="preserve">43922481000286</t>
  </si>
  <si>
    <t xml:space="preserve">CAPITAL FITNESS - 2/3</t>
  </si>
  <si>
    <t xml:space="preserve">TO</t>
  </si>
  <si>
    <t xml:space="preserve">PALMAS</t>
  </si>
  <si>
    <t xml:space="preserve">CADASTRO</t>
  </si>
  <si>
    <t xml:space="preserve">27141630000132</t>
  </si>
  <si>
    <t xml:space="preserve">CARD DISTRIBUIDORA</t>
  </si>
  <si>
    <t xml:space="preserve">TIJUCAS</t>
  </si>
  <si>
    <t xml:space="preserve">SIM</t>
  </si>
  <si>
    <t xml:space="preserve">07621230000117</t>
  </si>
  <si>
    <t xml:space="preserve">CASA MISSÃO</t>
  </si>
  <si>
    <t xml:space="preserve">ITU</t>
  </si>
  <si>
    <t xml:space="preserve">VENDA REALIZADA</t>
  </si>
  <si>
    <t xml:space="preserve">41887017000190</t>
  </si>
  <si>
    <t xml:space="preserve">CHOKOLATEN</t>
  </si>
  <si>
    <t xml:space="preserve">POMERODE</t>
  </si>
  <si>
    <t xml:space="preserve">08808355000113</t>
  </si>
  <si>
    <t xml:space="preserve">CIA COCAL DO SUL</t>
  </si>
  <si>
    <t xml:space="preserve">COCAL DO SUL</t>
  </si>
  <si>
    <t xml:space="preserve">74552068000110</t>
  </si>
  <si>
    <t xml:space="preserve">CPQ BRASIL S/A - EM RECUPERACAO JUDICIAL</t>
  </si>
  <si>
    <t xml:space="preserve">ITUPEVA</t>
  </si>
  <si>
    <t xml:space="preserve">SUPORTE</t>
  </si>
  <si>
    <t xml:space="preserve">36093445000100</t>
  </si>
  <si>
    <t xml:space="preserve">CRUmidinhas da Mel</t>
  </si>
  <si>
    <t xml:space="preserve">IMBE</t>
  </si>
  <si>
    <t xml:space="preserve">OUTROS</t>
  </si>
  <si>
    <t xml:space="preserve">32828171000108</t>
  </si>
  <si>
    <t xml:space="preserve">DIVINA TERRA CURITIBA</t>
  </si>
  <si>
    <t xml:space="preserve">34422518000135</t>
  </si>
  <si>
    <t xml:space="preserve">DIVINA TERRA SANTA MARIA RS</t>
  </si>
  <si>
    <t xml:space="preserve">SANTA MARIA</t>
  </si>
  <si>
    <t xml:space="preserve">LIGAÇÃO</t>
  </si>
  <si>
    <t xml:space="preserve">55666250000157</t>
  </si>
  <si>
    <t xml:space="preserve">DIVINA TERRA XANXERE</t>
  </si>
  <si>
    <t xml:space="preserve">XANXERE</t>
  </si>
  <si>
    <t xml:space="preserve">53266705000111</t>
  </si>
  <si>
    <t xml:space="preserve">DS NUTRICAO</t>
  </si>
  <si>
    <t xml:space="preserve">JOINVILLE</t>
  </si>
  <si>
    <t xml:space="preserve">NUTRIÇÃO</t>
  </si>
  <si>
    <t xml:space="preserve">63442702000145</t>
  </si>
  <si>
    <t xml:space="preserve">ESSENCIAL VIDA E SAUDE LTDA</t>
  </si>
  <si>
    <t xml:space="preserve">BA</t>
  </si>
  <si>
    <t xml:space="preserve">ALAGOINHA</t>
  </si>
  <si>
    <t xml:space="preserve">57425671000111</t>
  </si>
  <si>
    <t xml:space="preserve">FIT NUTRICAO</t>
  </si>
  <si>
    <t xml:space="preserve">SANTO ANGELO</t>
  </si>
  <si>
    <t xml:space="preserve">49982339000120</t>
  </si>
  <si>
    <t xml:space="preserve">FITLAND BLUMENAU AGUA VERDE</t>
  </si>
  <si>
    <t xml:space="preserve">BLUMENAU</t>
  </si>
  <si>
    <t xml:space="preserve">63964303000144</t>
  </si>
  <si>
    <t xml:space="preserve">FPPI NATURAIS E SUPLEMENTOS</t>
  </si>
  <si>
    <t xml:space="preserve">TIMBO</t>
  </si>
  <si>
    <t xml:space="preserve">40917018000177</t>
  </si>
  <si>
    <t xml:space="preserve">FRANQUIA FITLAND BLUMENAU</t>
  </si>
  <si>
    <t xml:space="preserve">55483453000108</t>
  </si>
  <si>
    <t xml:space="preserve">FRANQUIA FITLAND BLUMENAU SALTO WEISSBACH</t>
  </si>
  <si>
    <t xml:space="preserve">62167819000103</t>
  </si>
  <si>
    <t xml:space="preserve">GARVIA PRODUTOS NATURAIS LTDA</t>
  </si>
  <si>
    <t xml:space="preserve">PB</t>
  </si>
  <si>
    <t xml:space="preserve">CAMPINA GRANDE</t>
  </si>
  <si>
    <t xml:space="preserve">41774112000187</t>
  </si>
  <si>
    <t xml:space="preserve">GRAO E FLOR</t>
  </si>
  <si>
    <t xml:space="preserve">TIMBAUBA</t>
  </si>
  <si>
    <t xml:space="preserve">RASTREIO</t>
  </si>
  <si>
    <t xml:space="preserve">52088258000195</t>
  </si>
  <si>
    <t xml:space="preserve">HECE PRODUTOS NATURAIS</t>
  </si>
  <si>
    <t xml:space="preserve">MARCELANDIA</t>
  </si>
  <si>
    <t xml:space="preserve">26198700000126</t>
  </si>
  <si>
    <t xml:space="preserve">HIPER GRANEL</t>
  </si>
  <si>
    <t xml:space="preserve">RJ</t>
  </si>
  <si>
    <t xml:space="preserve">ARARUAMA</t>
  </si>
  <si>
    <t xml:space="preserve">52261228000210</t>
  </si>
  <si>
    <t xml:space="preserve">L &amp; M NUTRICAO</t>
  </si>
  <si>
    <t xml:space="preserve">SAO JOSE</t>
  </si>
  <si>
    <t xml:space="preserve">15735146000152</t>
  </si>
  <si>
    <t xml:space="preserve">LA FEE CAFETERIA E RESTAURANTE LTDA</t>
  </si>
  <si>
    <t xml:space="preserve">INDAIATUBA</t>
  </si>
  <si>
    <t xml:space="preserve">53918909000190</t>
  </si>
  <si>
    <t xml:space="preserve">LF NUTRI VIDA</t>
  </si>
  <si>
    <t xml:space="preserve">BRUSQUE</t>
  </si>
  <si>
    <t xml:space="preserve">30097554011901</t>
  </si>
  <si>
    <t xml:space="preserve">LOJA DA NOVO TEMPO</t>
  </si>
  <si>
    <t xml:space="preserve">MG</t>
  </si>
  <si>
    <t xml:space="preserve">MONTES CLAROS</t>
  </si>
  <si>
    <t xml:space="preserve">59618403000141</t>
  </si>
  <si>
    <t xml:space="preserve">MINHA QUITANDINHA</t>
  </si>
  <si>
    <t xml:space="preserve">RIBEIRAO PRETO</t>
  </si>
  <si>
    <t xml:space="preserve">PRÉ-VENDA</t>
  </si>
  <si>
    <t xml:space="preserve">00211115000206</t>
  </si>
  <si>
    <t xml:space="preserve">NATUREZA EM KILO</t>
  </si>
  <si>
    <t xml:space="preserve">ARAUCARIA</t>
  </si>
  <si>
    <t xml:space="preserve">56608812000179</t>
  </si>
  <si>
    <t xml:space="preserve">NEM PEIXE</t>
  </si>
  <si>
    <t xml:space="preserve">52916686000169</t>
  </si>
  <si>
    <t xml:space="preserve">NOSSO GREEN MARKET</t>
  </si>
  <si>
    <t xml:space="preserve">12659548000127</t>
  </si>
  <si>
    <t xml:space="preserve">NUTRI LEVE</t>
  </si>
  <si>
    <t xml:space="preserve">63791809000107</t>
  </si>
  <si>
    <t xml:space="preserve">NUTRI SAFE</t>
  </si>
  <si>
    <t xml:space="preserve">63574330000100</t>
  </si>
  <si>
    <t xml:space="preserve">RAIZ FORTE</t>
  </si>
  <si>
    <t xml:space="preserve">GRAVATAI</t>
  </si>
  <si>
    <t xml:space="preserve">52902829000183</t>
  </si>
  <si>
    <t xml:space="preserve">RESERVA SAUDAVEL PRODUTOS NATURAIS</t>
  </si>
  <si>
    <t xml:space="preserve">BARUERI</t>
  </si>
  <si>
    <t xml:space="preserve">59876252000121</t>
  </si>
  <si>
    <t xml:space="preserve">RIKATI PRODUTOS NATURAIS</t>
  </si>
  <si>
    <t xml:space="preserve">04908058013339</t>
  </si>
  <si>
    <t xml:space="preserve">RISOTOLANDIA</t>
  </si>
  <si>
    <t xml:space="preserve">Curitiba</t>
  </si>
  <si>
    <t xml:space="preserve">03283237000115</t>
  </si>
  <si>
    <t xml:space="preserve">ROSANGELA DE LOURDES OLIVEIRA CASARINO LTDA</t>
  </si>
  <si>
    <t xml:space="preserve">ITABIRA</t>
  </si>
  <si>
    <t xml:space="preserve">17847228000203</t>
  </si>
  <si>
    <t xml:space="preserve">SACOI SUPERMERCADOS</t>
  </si>
  <si>
    <t xml:space="preserve">POTIRENDABA</t>
  </si>
  <si>
    <t xml:space="preserve">40053395000105</t>
  </si>
  <si>
    <t xml:space="preserve">SAUDE NOS ALIMENTOS</t>
  </si>
  <si>
    <t xml:space="preserve">SOBRADINHO</t>
  </si>
  <si>
    <t xml:space="preserve">35883706000123</t>
  </si>
  <si>
    <t xml:space="preserve">SEMENTE DO CORPO</t>
  </si>
  <si>
    <t xml:space="preserve">CURVELO</t>
  </si>
  <si>
    <t xml:space="preserve">60940727000180</t>
  </si>
  <si>
    <t xml:space="preserve">SEVEN ROOTS</t>
  </si>
  <si>
    <t xml:space="preserve">FLORIANOPOLIS</t>
  </si>
  <si>
    <t xml:space="preserve">34060666000157</t>
  </si>
  <si>
    <t xml:space="preserve">SUPERACAO &amp; VIDA SAUDAVEL</t>
  </si>
  <si>
    <t xml:space="preserve">05382867000253</t>
  </si>
  <si>
    <t xml:space="preserve">SUPERMERCADO MERCOCENTRO</t>
  </si>
  <si>
    <t xml:space="preserve">BIGUACU</t>
  </si>
  <si>
    <t xml:space="preserve">07316826000103</t>
  </si>
  <si>
    <t xml:space="preserve">SUPERMERCADO OFERTAO</t>
  </si>
  <si>
    <t xml:space="preserve">ITAPEMA</t>
  </si>
  <si>
    <t xml:space="preserve">11322507000188</t>
  </si>
  <si>
    <t xml:space="preserve">SUPERMERCADO PEDROSA</t>
  </si>
  <si>
    <t xml:space="preserve">MACAPARANA</t>
  </si>
  <si>
    <t xml:space="preserve">16693613000353</t>
  </si>
  <si>
    <t xml:space="preserve">SUPERMERCADO TIO ANTONIO LTDA</t>
  </si>
  <si>
    <t xml:space="preserve">SAO GONCALO DO RIO ABAIXO</t>
  </si>
  <si>
    <t xml:space="preserve">06982791000693</t>
  </si>
  <si>
    <t xml:space="preserve">SUPERMERCADOS OSANA</t>
  </si>
  <si>
    <t xml:space="preserve">NOVO HAMBURGO</t>
  </si>
  <si>
    <t xml:space="preserve">27277961000102</t>
  </si>
  <si>
    <t xml:space="preserve">SUPERMERCADOS PAGOTO LTDA</t>
  </si>
  <si>
    <t xml:space="preserve">ES</t>
  </si>
  <si>
    <t xml:space="preserve">VENDA NOVA DO IMIGRANTE</t>
  </si>
  <si>
    <t xml:space="preserve">37370567000160</t>
  </si>
  <si>
    <t xml:space="preserve">SWEET AND FIT ATELIER</t>
  </si>
  <si>
    <t xml:space="preserve">SAO PAULO</t>
  </si>
  <si>
    <t xml:space="preserve">61943206000140</t>
  </si>
  <si>
    <t xml:space="preserve">TAJU CROCANTES</t>
  </si>
  <si>
    <t xml:space="preserve">SAO JOAO BATISTA</t>
  </si>
  <si>
    <t xml:space="preserve">07192414001342</t>
  </si>
  <si>
    <t xml:space="preserve">TERCEIRIZE FOODS</t>
  </si>
  <si>
    <t xml:space="preserve">CHAPECO</t>
  </si>
  <si>
    <t xml:space="preserve">58820609000197</t>
  </si>
  <si>
    <t xml:space="preserve">TERRITORIO SAUDE CABRAL</t>
  </si>
  <si>
    <t xml:space="preserve">PÓS-VENDA</t>
  </si>
  <si>
    <t xml:space="preserve">61835839000134</t>
  </si>
  <si>
    <t xml:space="preserve">THE HOUSE BR PRODUTOS E SERVICOS DE BEM-ESTAR</t>
  </si>
  <si>
    <t xml:space="preserve">03855214000219</t>
  </si>
  <si>
    <t xml:space="preserve">UNIMED JARAGUA DO SUL</t>
  </si>
  <si>
    <t xml:space="preserve">JARAGUA DO SUL</t>
  </si>
  <si>
    <t xml:space="preserve">63698072000174</t>
  </si>
  <si>
    <t xml:space="preserve">VERDE LEVE</t>
  </si>
  <si>
    <t xml:space="preserve">REGENTE FEIJO</t>
  </si>
  <si>
    <t xml:space="preserve">63198302000136</t>
  </si>
  <si>
    <t xml:space="preserve">VIDA LEVE</t>
  </si>
  <si>
    <t xml:space="preserve">RO</t>
  </si>
  <si>
    <t xml:space="preserve">PORTO VELHO</t>
  </si>
  <si>
    <t xml:space="preserve">61228119000100</t>
  </si>
  <si>
    <t xml:space="preserve">JI-PARANA</t>
  </si>
  <si>
    <t xml:space="preserve">60209127000147</t>
  </si>
  <si>
    <t xml:space="preserve">VIDA LEVE - SÃO JOSE DO RIO PRETO</t>
  </si>
  <si>
    <t xml:space="preserve">SAO JOSE DO RIO PRETO</t>
  </si>
  <si>
    <t xml:space="preserve">61791187000183</t>
  </si>
  <si>
    <t xml:space="preserve">VIDA NATURAL</t>
  </si>
  <si>
    <t xml:space="preserve">PA</t>
  </si>
  <si>
    <t xml:space="preserve">BELEM</t>
  </si>
  <si>
    <t xml:space="preserve">14147398000106</t>
  </si>
  <si>
    <t xml:space="preserve">VILLA CERRONI LTDA</t>
  </si>
  <si>
    <t xml:space="preserve">16762003000100</t>
  </si>
  <si>
    <t xml:space="preserve">VITA PRODUTOS NATURAIS</t>
  </si>
  <si>
    <t xml:space="preserve">GOIATUBA</t>
  </si>
  <si>
    <t xml:space="preserve">64425601000129</t>
  </si>
  <si>
    <t xml:space="preserve">VITANO</t>
  </si>
  <si>
    <t xml:space="preserve">TUBARAO</t>
  </si>
  <si>
    <t xml:space="preserve">00939085000178</t>
  </si>
  <si>
    <t xml:space="preserve">VIVA PORTO DE GALINHAS RESORT</t>
  </si>
  <si>
    <t xml:space="preserve">IPOJUCA</t>
  </si>
  <si>
    <t xml:space="preserve">50342650000193</t>
  </si>
  <si>
    <t xml:space="preserve">50.342.650 PRISCILA LILIANE ROSSETO</t>
  </si>
  <si>
    <t xml:space="preserve">SANTO ANDRE</t>
  </si>
  <si>
    <t xml:space="preserve">INAT.REC</t>
  </si>
  <si>
    <t xml:space="preserve">59594680000161</t>
  </si>
  <si>
    <t xml:space="preserve">59.594.680 AGUIDA DE FATIMA DE SOUZA</t>
  </si>
  <si>
    <t xml:space="preserve">IMBE DE MINAS</t>
  </si>
  <si>
    <t xml:space="preserve">63835315000179</t>
  </si>
  <si>
    <t xml:space="preserve">63.835.315 ADASSYA NOBERTO FERREIRA</t>
  </si>
  <si>
    <t xml:space="preserve">OLINDA</t>
  </si>
  <si>
    <t xml:space="preserve">55699460000141</t>
  </si>
  <si>
    <t xml:space="preserve">AGRANOLLA</t>
  </si>
  <si>
    <t xml:space="preserve">BELO HORIZONTE</t>
  </si>
  <si>
    <t xml:space="preserve">03411217000182</t>
  </si>
  <si>
    <t xml:space="preserve">ARROBA EMBALAGENS LTDA</t>
  </si>
  <si>
    <t xml:space="preserve">PIRACICABA</t>
  </si>
  <si>
    <t xml:space="preserve">72326119000160</t>
  </si>
  <si>
    <t xml:space="preserve">ASSOCIACAO DOS FENILCETONURICOS E HOMOCISTINURICOS DO PARANA - AFEH-PR</t>
  </si>
  <si>
    <t xml:space="preserve">33950384000162</t>
  </si>
  <si>
    <t xml:space="preserve">BIO MUNDO</t>
  </si>
  <si>
    <t xml:space="preserve">62697942000128</t>
  </si>
  <si>
    <t xml:space="preserve">CELEIRO PRODUTOS NATURAIS LTDA</t>
  </si>
  <si>
    <t xml:space="preserve">SAO FIDELIS</t>
  </si>
  <si>
    <t xml:space="preserve">55026263000161</t>
  </si>
  <si>
    <t xml:space="preserve">DIVINA TERRA</t>
  </si>
  <si>
    <t xml:space="preserve">CARAGUATATUBA</t>
  </si>
  <si>
    <t xml:space="preserve">62303009000129</t>
  </si>
  <si>
    <t xml:space="preserve">DIVINO GRAO</t>
  </si>
  <si>
    <t xml:space="preserve">ARAGUAINA</t>
  </si>
  <si>
    <t xml:space="preserve">24713639000182</t>
  </si>
  <si>
    <t xml:space="preserve">EMPORIO CATARINA</t>
  </si>
  <si>
    <t xml:space="preserve">33778381000193</t>
  </si>
  <si>
    <t xml:space="preserve">EMPORIO DOLL PRODUTOS NATURAIS</t>
  </si>
  <si>
    <t xml:space="preserve">MA</t>
  </si>
  <si>
    <t xml:space="preserve">SAO LUIS</t>
  </si>
  <si>
    <t xml:space="preserve">32387943000105</t>
  </si>
  <si>
    <t xml:space="preserve">FACILITIES EDUCACIONAIS LTDA</t>
  </si>
  <si>
    <t xml:space="preserve">CAMPO LARGO</t>
  </si>
  <si>
    <t xml:space="preserve">63487473000185</t>
  </si>
  <si>
    <t xml:space="preserve">GRAO D'TERRA</t>
  </si>
  <si>
    <t xml:space="preserve">ANCHIETA</t>
  </si>
  <si>
    <t xml:space="preserve">52060534000107</t>
  </si>
  <si>
    <t xml:space="preserve">Garfit cozinha saudável</t>
  </si>
  <si>
    <t xml:space="preserve">BALNEARIO CAMBORIU</t>
  </si>
  <si>
    <t xml:space="preserve">76726884000128</t>
  </si>
  <si>
    <t xml:space="preserve">INSTITUICAO ADVENTISTA SUL BRASILEIRA DE EDUCACAO</t>
  </si>
  <si>
    <t xml:space="preserve">45120770000106</t>
  </si>
  <si>
    <t xml:space="preserve">JAQUELINE MACHADO COUTO 08791417600</t>
  </si>
  <si>
    <t xml:space="preserve">VAZANTE</t>
  </si>
  <si>
    <t xml:space="preserve">36611091000149</t>
  </si>
  <si>
    <t xml:space="preserve">LEVE SABOR ALIMENTACAO SAUDAVEL</t>
  </si>
  <si>
    <t xml:space="preserve">MARINGA</t>
  </si>
  <si>
    <t xml:space="preserve">54211982000190</t>
  </si>
  <si>
    <t xml:space="preserve">MAGOGA HORTIFRUTI LTDA</t>
  </si>
  <si>
    <t xml:space="preserve">JUNDIAI</t>
  </si>
  <si>
    <t xml:space="preserve">09088606000103</t>
  </si>
  <si>
    <t xml:space="preserve">NATERRA SLZ</t>
  </si>
  <si>
    <t xml:space="preserve">51938854000154</t>
  </si>
  <si>
    <t xml:space="preserve">NUTRILIFE</t>
  </si>
  <si>
    <t xml:space="preserve">BANDEIRANTES</t>
  </si>
  <si>
    <t xml:space="preserve">47058031000167</t>
  </si>
  <si>
    <t xml:space="preserve">NUTRIVIDA</t>
  </si>
  <si>
    <t xml:space="preserve">MONTENEGRO</t>
  </si>
  <si>
    <t xml:space="preserve">00580242000100</t>
  </si>
  <si>
    <t xml:space="preserve">PAPELARIA ESTRELA</t>
  </si>
  <si>
    <t xml:space="preserve">RIO DE JANEIRO</t>
  </si>
  <si>
    <t xml:space="preserve">44931711000155</t>
  </si>
  <si>
    <t xml:space="preserve">PEQII</t>
  </si>
  <si>
    <t xml:space="preserve">42045188000134</t>
  </si>
  <si>
    <t xml:space="preserve">PETIT MERCADO RECIFE</t>
  </si>
  <si>
    <t xml:space="preserve">08081191000175</t>
  </si>
  <si>
    <t xml:space="preserve">POSTO DE GASOLINA MARINA PARQUE VEROLME LTDA</t>
  </si>
  <si>
    <t xml:space="preserve">ANGRA DOS REIS</t>
  </si>
  <si>
    <t xml:space="preserve">03207136000165</t>
  </si>
  <si>
    <t xml:space="preserve">POSTO LP</t>
  </si>
  <si>
    <t xml:space="preserve">PRESIDENTE GETULIO</t>
  </si>
  <si>
    <t xml:space="preserve">22180402000158</t>
  </si>
  <si>
    <t xml:space="preserve">PUDIMZERA</t>
  </si>
  <si>
    <t xml:space="preserve">62288560000140</t>
  </si>
  <si>
    <t xml:space="preserve">SEMENTE DE LUZ</t>
  </si>
  <si>
    <t xml:space="preserve">URUCUCA</t>
  </si>
  <si>
    <t xml:space="preserve">23014826000105</t>
  </si>
  <si>
    <t xml:space="preserve">TROPICAL SUPERMERCADOS</t>
  </si>
  <si>
    <t xml:space="preserve">RONDONOPOLIS</t>
  </si>
  <si>
    <t xml:space="preserve">62617017000140</t>
  </si>
  <si>
    <t xml:space="preserve">VIDA NATURAL FSA</t>
  </si>
  <si>
    <t xml:space="preserve">FEIRA DE SANTANA</t>
  </si>
  <si>
    <t xml:space="preserve">06202229000195</t>
  </si>
  <si>
    <t xml:space="preserve"> EMPORIUM GRÃOS E ESPECIARIAS LTDA</t>
  </si>
  <si>
    <t xml:space="preserve">INAT.ANT</t>
  </si>
  <si>
    <t xml:space="preserve">31983992000148</t>
  </si>
  <si>
    <t xml:space="preserve"> Pro Abelha Comercio e Ind Prod Alimentcios LTDA</t>
  </si>
  <si>
    <t xml:space="preserve">Teresópolis</t>
  </si>
  <si>
    <t xml:space="preserve">58249963000103</t>
  </si>
  <si>
    <t xml:space="preserve">+VERDE</t>
  </si>
  <si>
    <t xml:space="preserve">EMBU DAS ARTES</t>
  </si>
  <si>
    <t xml:space="preserve">16586235000147</t>
  </si>
  <si>
    <t xml:space="preserve">16.586.235 IARA REGINA MULLER DE OLIVEIRA</t>
  </si>
  <si>
    <t xml:space="preserve">SAO FRANCISCO DE PAULA</t>
  </si>
  <si>
    <t xml:space="preserve">23777036000181</t>
  </si>
  <si>
    <t xml:space="preserve">23.777.036 WILLIAN YUKIO ITO MARQUES</t>
  </si>
  <si>
    <t xml:space="preserve">ARACATUBA</t>
  </si>
  <si>
    <t xml:space="preserve">RECOMPRA</t>
  </si>
  <si>
    <t xml:space="preserve">49844222000180</t>
  </si>
  <si>
    <t xml:space="preserve">49.844.222 LUIS CARLOS VIEIRA</t>
  </si>
  <si>
    <t xml:space="preserve">SOROCABA</t>
  </si>
  <si>
    <t xml:space="preserve">51156959000151</t>
  </si>
  <si>
    <t xml:space="preserve">51.156.959 ELAINE CRISTINA KOERICH</t>
  </si>
  <si>
    <t xml:space="preserve">OTACILIO COSTA</t>
  </si>
  <si>
    <t xml:space="preserve">51599613000128</t>
  </si>
  <si>
    <t xml:space="preserve">51.599.613 GENESIO PAIXAO DE JESUS</t>
  </si>
  <si>
    <t xml:space="preserve">SAO BERNARDO DO CAMPO</t>
  </si>
  <si>
    <t xml:space="preserve">53692717000108</t>
  </si>
  <si>
    <t xml:space="preserve">53.692.717 DIOMARA BASTOS MARCELO DE OLIVA</t>
  </si>
  <si>
    <t xml:space="preserve">GUARATINGUETA</t>
  </si>
  <si>
    <t xml:space="preserve">54487016000108</t>
  </si>
  <si>
    <t xml:space="preserve">54.487.016 JACKELINE RABELO TARGAS LINO</t>
  </si>
  <si>
    <t xml:space="preserve">54758201000181</t>
  </si>
  <si>
    <t xml:space="preserve">54.758.201 MICAELLE DE MORAES BALDUCI</t>
  </si>
  <si>
    <t xml:space="preserve">PROMISSAO</t>
  </si>
  <si>
    <t xml:space="preserve">54993650000104</t>
  </si>
  <si>
    <t xml:space="preserve">54.993.650 KELMA LIMA DA SILVA BORGES</t>
  </si>
  <si>
    <t xml:space="preserve">PALESTINA DO PARA</t>
  </si>
  <si>
    <t xml:space="preserve">55168822000178</t>
  </si>
  <si>
    <t xml:space="preserve">55.168.822 VALDECIR ANTONIO SPADA</t>
  </si>
  <si>
    <t xml:space="preserve">MONTE APRAZIVEL</t>
  </si>
  <si>
    <t xml:space="preserve">55274946000138</t>
  </si>
  <si>
    <t xml:space="preserve">55.274.946 MARCELO FERREIRA BASTOS JUNIOR</t>
  </si>
  <si>
    <t xml:space="preserve">57480928000138</t>
  </si>
  <si>
    <t xml:space="preserve">57.480.928 WESLLEY APARECIDO COSTA DA SILVA</t>
  </si>
  <si>
    <t xml:space="preserve">PRESIDENTE EPITACIO</t>
  </si>
  <si>
    <t xml:space="preserve">58188486000113</t>
  </si>
  <si>
    <t xml:space="preserve">58.188.486 TERESINHA PEREIRA DA SILVA NETA</t>
  </si>
  <si>
    <t xml:space="preserve">60088708000178</t>
  </si>
  <si>
    <t xml:space="preserve">60.088.708 JOSE CARLOS MARCELINO SOARES</t>
  </si>
  <si>
    <t xml:space="preserve">CAPIVARI DE BAIXO</t>
  </si>
  <si>
    <t xml:space="preserve">60641605000193</t>
  </si>
  <si>
    <t xml:space="preserve">60.641.605 LARA DE BARROS AMANDO ALENCAR</t>
  </si>
  <si>
    <t xml:space="preserve">PARNAMIRIM</t>
  </si>
  <si>
    <t xml:space="preserve">60764392000197</t>
  </si>
  <si>
    <t xml:space="preserve">60.764.392 WELLINGTON LOPES PINHEIRO</t>
  </si>
  <si>
    <t xml:space="preserve">TURMALINA</t>
  </si>
  <si>
    <t xml:space="preserve">62351082000176</t>
  </si>
  <si>
    <t xml:space="preserve">62.351.082 JOANA BATISTA DOS SANTOS AMORIM</t>
  </si>
  <si>
    <t xml:space="preserve">MATINHA</t>
  </si>
  <si>
    <t xml:space="preserve">51721657000189</t>
  </si>
  <si>
    <t xml:space="preserve">A.E PRODUTOS NATURAIS LTDA</t>
  </si>
  <si>
    <t xml:space="preserve">TOLEDO</t>
  </si>
  <si>
    <t xml:space="preserve">13154456000239</t>
  </si>
  <si>
    <t xml:space="preserve">ACADEMIA LIFE ENERGY</t>
  </si>
  <si>
    <t xml:space="preserve">32365782000159</t>
  </si>
  <si>
    <t xml:space="preserve">ALECRIM &amp; TOMILHO - PRODUTOS NATURAIS</t>
  </si>
  <si>
    <t xml:space="preserve">SALTO</t>
  </si>
  <si>
    <t xml:space="preserve">58104865000188</t>
  </si>
  <si>
    <t xml:space="preserve">AMME FIT NUTRICAO</t>
  </si>
  <si>
    <t xml:space="preserve">PORTO BELO</t>
  </si>
  <si>
    <t xml:space="preserve">60023278000106</t>
  </si>
  <si>
    <t xml:space="preserve">AMME NATURA</t>
  </si>
  <si>
    <t xml:space="preserve">53192289000235</t>
  </si>
  <si>
    <t xml:space="preserve">AR NUTRICAO</t>
  </si>
  <si>
    <t xml:space="preserve">24544945000132</t>
  </si>
  <si>
    <t xml:space="preserve">ARMAZEM 28</t>
  </si>
  <si>
    <t xml:space="preserve">ITARARE</t>
  </si>
  <si>
    <t xml:space="preserve">38614942000132</t>
  </si>
  <si>
    <t xml:space="preserve">ARMAZEM ESTIVA</t>
  </si>
  <si>
    <t xml:space="preserve">MIGUEL PEREIRA</t>
  </si>
  <si>
    <t xml:space="preserve">30194738000360</t>
  </si>
  <si>
    <t xml:space="preserve">ARMAZEM FIT STORE ROLIM DE MOURA</t>
  </si>
  <si>
    <t xml:space="preserve">ROLIM DE MOURA</t>
  </si>
  <si>
    <t xml:space="preserve">17641819000130</t>
  </si>
  <si>
    <t xml:space="preserve">ARMAZEM GIRASSOL COMERCIO DE ALIMENTOS LTDA</t>
  </si>
  <si>
    <t xml:space="preserve">VILHENA</t>
  </si>
  <si>
    <t xml:space="preserve">46992372000142</t>
  </si>
  <si>
    <t xml:space="preserve">ARMAZEM SAO JUDAS TADEU</t>
  </si>
  <si>
    <t xml:space="preserve">SANTOS</t>
  </si>
  <si>
    <t xml:space="preserve">60502242000105</t>
  </si>
  <si>
    <t xml:space="preserve">ASSOCIACAO DE PAIS E AMIGOS DOS EXCEPCIONAIS DE S PAULO</t>
  </si>
  <si>
    <t xml:space="preserve">24337192000194</t>
  </si>
  <si>
    <t xml:space="preserve">ATLAS BRASIL COMERCIALIZADORA DE ENERGIA S.A.</t>
  </si>
  <si>
    <t xml:space="preserve">43691842000140</t>
  </si>
  <si>
    <t xml:space="preserve">AUTO POSTO AFONSO PENA LTDA</t>
  </si>
  <si>
    <t xml:space="preserve">37191155000162</t>
  </si>
  <si>
    <t xml:space="preserve">AVILA DO TERMINAL PRODUTOS NATURAIS LTDA</t>
  </si>
  <si>
    <t xml:space="preserve">CRICIUMA</t>
  </si>
  <si>
    <t xml:space="preserve">16966212000168</t>
  </si>
  <si>
    <t xml:space="preserve">AVILA SUPLEMENTOS</t>
  </si>
  <si>
    <t xml:space="preserve">16966212000249</t>
  </si>
  <si>
    <t xml:space="preserve">AVILA SUPLEMENTOS ALIMENTICIOS LTDA</t>
  </si>
  <si>
    <t xml:space="preserve">63300724000170</t>
  </si>
  <si>
    <t xml:space="preserve">AVIÃO AZUL DOCES</t>
  </si>
  <si>
    <t xml:space="preserve">92916360000237</t>
  </si>
  <si>
    <t xml:space="preserve">BANCA12 ARMAZEM DE PRODUTOS NATURAIS LTDA</t>
  </si>
  <si>
    <t xml:space="preserve">08888228000171</t>
  </si>
  <si>
    <t xml:space="preserve">BARRAQUINHA DA MACA LTDA</t>
  </si>
  <si>
    <t xml:space="preserve">30289781000147</t>
  </si>
  <si>
    <t xml:space="preserve">BATEL GOURMET HORTIFRUTI E EMPORIO</t>
  </si>
  <si>
    <t xml:space="preserve">37974794000102</t>
  </si>
  <si>
    <t xml:space="preserve">BCG ALIMENTOS</t>
  </si>
  <si>
    <t xml:space="preserve">CORNELIO PROCOPIO</t>
  </si>
  <si>
    <t xml:space="preserve">58355920000102</t>
  </si>
  <si>
    <t xml:space="preserve">BEATRIZ HONORIO MACEDO</t>
  </si>
  <si>
    <t xml:space="preserve">CACIMBA DE DENTRO</t>
  </si>
  <si>
    <t xml:space="preserve">54606760000176</t>
  </si>
  <si>
    <t xml:space="preserve">BELA SAUDE</t>
  </si>
  <si>
    <t xml:space="preserve">49733252000119</t>
  </si>
  <si>
    <t xml:space="preserve">BELLA NATURA PRODUTOS NATURAIS</t>
  </si>
  <si>
    <t xml:space="preserve">JUIZ DE FORA</t>
  </si>
  <si>
    <t xml:space="preserve">43144817000146</t>
  </si>
  <si>
    <t xml:space="preserve">BELLA VIDA</t>
  </si>
  <si>
    <t xml:space="preserve">LIMEIRA</t>
  </si>
  <si>
    <t xml:space="preserve">39251980000130</t>
  </si>
  <si>
    <t xml:space="preserve">BELLA VITA - CAFE</t>
  </si>
  <si>
    <t xml:space="preserve">ARAPONGAS</t>
  </si>
  <si>
    <t xml:space="preserve">39557193000111</t>
  </si>
  <si>
    <t xml:space="preserve">BEM NATURAL</t>
  </si>
  <si>
    <t xml:space="preserve">03877787000162</t>
  </si>
  <si>
    <t xml:space="preserve">BEROLA</t>
  </si>
  <si>
    <t xml:space="preserve">PELOTAS</t>
  </si>
  <si>
    <t xml:space="preserve">14133092000192</t>
  </si>
  <si>
    <t xml:space="preserve">BESCO</t>
  </si>
  <si>
    <t xml:space="preserve">RIO DO SUL</t>
  </si>
  <si>
    <t xml:space="preserve">42535786000191</t>
  </si>
  <si>
    <t xml:space="preserve">BEVILACQUA CEREAIS</t>
  </si>
  <si>
    <t xml:space="preserve">VARGINHA</t>
  </si>
  <si>
    <t xml:space="preserve">22853928000151</t>
  </si>
  <si>
    <t xml:space="preserve">BIO FORCE NATURAIS E SUPLEMENTOS LTDA</t>
  </si>
  <si>
    <t xml:space="preserve">São Sebastião do Caí</t>
  </si>
  <si>
    <t xml:space="preserve">54126104000176</t>
  </si>
  <si>
    <t xml:space="preserve">BIO GOIANIA SHOPPING</t>
  </si>
  <si>
    <t xml:space="preserve">33016679000166</t>
  </si>
  <si>
    <t xml:space="preserve">40724765000199</t>
  </si>
  <si>
    <t xml:space="preserve">50860678000112</t>
  </si>
  <si>
    <t xml:space="preserve">BIO MUNDO ARAGUAINA</t>
  </si>
  <si>
    <t xml:space="preserve">55861609000147</t>
  </si>
  <si>
    <t xml:space="preserve">BIO MUNDO GURUPI</t>
  </si>
  <si>
    <t xml:space="preserve">GURUPI</t>
  </si>
  <si>
    <t xml:space="preserve">46945954000178</t>
  </si>
  <si>
    <t xml:space="preserve">BIO SC COMERCIO DE ALIMENTOS</t>
  </si>
  <si>
    <t xml:space="preserve">52575072000160</t>
  </si>
  <si>
    <t xml:space="preserve">BISTROZINHO INFANTIL</t>
  </si>
  <si>
    <t xml:space="preserve">53454684000168</t>
  </si>
  <si>
    <t xml:space="preserve">BORGER &amp; DOMINGUES LTDA</t>
  </si>
  <si>
    <t xml:space="preserve">33463112000138</t>
  </si>
  <si>
    <t xml:space="preserve">BRCOMBOS ALIMENTACAO</t>
  </si>
  <si>
    <t xml:space="preserve">01005782000114</t>
  </si>
  <si>
    <t xml:space="preserve">BUFFET PARTHENON</t>
  </si>
  <si>
    <t xml:space="preserve">VICOSA</t>
  </si>
  <si>
    <t xml:space="preserve">62106171000157</t>
  </si>
  <si>
    <t xml:space="preserve">C.CORREA LTDA</t>
  </si>
  <si>
    <t xml:space="preserve">CIANORTE</t>
  </si>
  <si>
    <t xml:space="preserve">INTERVENÇÃO</t>
  </si>
  <si>
    <t xml:space="preserve">39579910000106</t>
  </si>
  <si>
    <t xml:space="preserve">CANTINA DA NUTRI</t>
  </si>
  <si>
    <t xml:space="preserve">01665966000100</t>
  </si>
  <si>
    <t xml:space="preserve">CANTINA UNIVERSITARIO</t>
  </si>
  <si>
    <t xml:space="preserve">LONDRINA</t>
  </si>
  <si>
    <t xml:space="preserve">26176117000114</t>
  </si>
  <si>
    <t xml:space="preserve">CARIMBO ACAI E BEBIDAS DO NORTE</t>
  </si>
  <si>
    <t xml:space="preserve">55615538000283</t>
  </si>
  <si>
    <t xml:space="preserve">CASA HIRATA - SUPERMERCADO</t>
  </si>
  <si>
    <t xml:space="preserve">LINS</t>
  </si>
  <si>
    <t xml:space="preserve">62253704000123</t>
  </si>
  <si>
    <t xml:space="preserve">CASA MACHADO LTDA</t>
  </si>
  <si>
    <t xml:space="preserve">29301639000199</t>
  </si>
  <si>
    <t xml:space="preserve">CASAL MONSTRO SUPLEMENTOS</t>
  </si>
  <si>
    <t xml:space="preserve">10610044000197</t>
  </si>
  <si>
    <t xml:space="preserve">CASAS JORDANIA ABC - MOVEIS E DECORACOES LTDA</t>
  </si>
  <si>
    <t xml:space="preserve">47725529000136</t>
  </si>
  <si>
    <t xml:space="preserve">CATIMBAU</t>
  </si>
  <si>
    <t xml:space="preserve">38272246000195</t>
  </si>
  <si>
    <t xml:space="preserve">CE.NHORINHA COZINHA FUNCIONAL</t>
  </si>
  <si>
    <t xml:space="preserve">SOMBRIO</t>
  </si>
  <si>
    <t xml:space="preserve">54679245000116</t>
  </si>
  <si>
    <t xml:space="preserve">CECILIA DIAS SUPLEMENTOS</t>
  </si>
  <si>
    <t xml:space="preserve">21599262000194</t>
  </si>
  <si>
    <t xml:space="preserve">CELEIRO CERRADO</t>
  </si>
  <si>
    <t xml:space="preserve">APARECIDA DE GOIANIA</t>
  </si>
  <si>
    <t xml:space="preserve">48252719000146</t>
  </si>
  <si>
    <t xml:space="preserve">CENTRAL ATACAREJO</t>
  </si>
  <si>
    <t xml:space="preserve">DF</t>
  </si>
  <si>
    <t xml:space="preserve">BRASILIA</t>
  </si>
  <si>
    <t xml:space="preserve">00815797000185</t>
  </si>
  <si>
    <t xml:space="preserve">CENTRAL SAO CARLOS DISTRIBUIDORA DE PRODUTOS NATURAIS E DIETETICOS LTDA</t>
  </si>
  <si>
    <t xml:space="preserve">SAO CARLOS</t>
  </si>
  <si>
    <t xml:space="preserve">80230774000148</t>
  </si>
  <si>
    <t xml:space="preserve">CENTRAL SICREDI PR/SP/RJ</t>
  </si>
  <si>
    <t xml:space="preserve">28825262000104</t>
  </si>
  <si>
    <t xml:space="preserve">CEREALISSIMA MGV</t>
  </si>
  <si>
    <t xml:space="preserve">ITABERAI</t>
  </si>
  <si>
    <t xml:space="preserve">81586596000155</t>
  </si>
  <si>
    <t xml:space="preserve">CHOCOLATES CASEIRO GAROPABA</t>
  </si>
  <si>
    <t xml:space="preserve">GAROPABA</t>
  </si>
  <si>
    <t xml:space="preserve">61631938000102</t>
  </si>
  <si>
    <t xml:space="preserve">CIA DA SAUDE</t>
  </si>
  <si>
    <t xml:space="preserve">58094644000176</t>
  </si>
  <si>
    <t xml:space="preserve">58377806000183</t>
  </si>
  <si>
    <t xml:space="preserve">62738337000158</t>
  </si>
  <si>
    <t xml:space="preserve">62757635000195</t>
  </si>
  <si>
    <t xml:space="preserve">22570775000135</t>
  </si>
  <si>
    <t xml:space="preserve">CIA DA SAUDE - PRODUTOS NATURAIS</t>
  </si>
  <si>
    <t xml:space="preserve">CAPAO DA CANOA</t>
  </si>
  <si>
    <t xml:space="preserve">20243285000107</t>
  </si>
  <si>
    <t xml:space="preserve">CIA DA SAUDE CAMPINAS</t>
  </si>
  <si>
    <t xml:space="preserve">45161877000100</t>
  </si>
  <si>
    <t xml:space="preserve">CIA DA SAUDE INDAIAL</t>
  </si>
  <si>
    <t xml:space="preserve">INDAIAL</t>
  </si>
  <si>
    <t xml:space="preserve">07523884000108</t>
  </si>
  <si>
    <t xml:space="preserve">COMERCIAL JD</t>
  </si>
  <si>
    <t xml:space="preserve">CACHOEIRINHA</t>
  </si>
  <si>
    <t xml:space="preserve">34316966000154</t>
  </si>
  <si>
    <t xml:space="preserve">COMPLEX NUTRITION</t>
  </si>
  <si>
    <t xml:space="preserve">CANOAS</t>
  </si>
  <si>
    <t xml:space="preserve">29466137000118</t>
  </si>
  <si>
    <t xml:space="preserve">CONTORNO ARMAZEM</t>
  </si>
  <si>
    <t xml:space="preserve">EMBU-GUACU</t>
  </si>
  <si>
    <t xml:space="preserve">42627934000106</t>
  </si>
  <si>
    <t xml:space="preserve">CONVENIENCIA D-PORT</t>
  </si>
  <si>
    <t xml:space="preserve">IBITINGA</t>
  </si>
  <si>
    <t xml:space="preserve">36833981000103</t>
  </si>
  <si>
    <t xml:space="preserve">CORPUS SUPPLEMENTS NUTRICAO ESPORTIVA</t>
  </si>
  <si>
    <t xml:space="preserve">CODO</t>
  </si>
  <si>
    <t xml:space="preserve">58363567000102</t>
  </si>
  <si>
    <t xml:space="preserve">CSJ BRASIL ALIMENTOS LTDA</t>
  </si>
  <si>
    <t xml:space="preserve">26593516000180</t>
  </si>
  <si>
    <t xml:space="preserve">DELFINO FESTAS EMBALAGENS &amp; EQUIPAMENTOS</t>
  </si>
  <si>
    <t xml:space="preserve">URUACU</t>
  </si>
  <si>
    <t xml:space="preserve">33156790000158</t>
  </si>
  <si>
    <t xml:space="preserve">DELICIAS DO NORDESTE II</t>
  </si>
  <si>
    <t xml:space="preserve">79725255000171</t>
  </si>
  <si>
    <t xml:space="preserve">DELICIAS TRIUNFAL</t>
  </si>
  <si>
    <t xml:space="preserve">SANTO ANTONIO DA PLATINA</t>
  </si>
  <si>
    <t xml:space="preserve">59794577000165</t>
  </si>
  <si>
    <t xml:space="preserve">DESTAQUE SHAPE</t>
  </si>
  <si>
    <t xml:space="preserve">PENHA</t>
  </si>
  <si>
    <t xml:space="preserve">62754907000101</t>
  </si>
  <si>
    <t xml:space="preserve">DESTAQUE SHAPE 2</t>
  </si>
  <si>
    <t xml:space="preserve">BALNEARIO DE PICARRAS</t>
  </si>
  <si>
    <t xml:space="preserve">15415386000170</t>
  </si>
  <si>
    <t xml:space="preserve">DI MANGIARE ALIMENTOS LTDA</t>
  </si>
  <si>
    <t xml:space="preserve">42415997000190</t>
  </si>
  <si>
    <t xml:space="preserve">FOZ DO IGUACU</t>
  </si>
  <si>
    <t xml:space="preserve">62341898000119</t>
  </si>
  <si>
    <t xml:space="preserve">DIVINA TERRA - BLUMENAU</t>
  </si>
  <si>
    <t xml:space="preserve">50772174000140</t>
  </si>
  <si>
    <t xml:space="preserve">DIVINA TERRA SORRISO</t>
  </si>
  <si>
    <t xml:space="preserve">SORRISO</t>
  </si>
  <si>
    <t xml:space="preserve">29619670000172</t>
  </si>
  <si>
    <t xml:space="preserve">DOCE PUDIM</t>
  </si>
  <si>
    <t xml:space="preserve">29271154000108</t>
  </si>
  <si>
    <t xml:space="preserve">DP VIDA PRODUTOS NATURAIS LTDA</t>
  </si>
  <si>
    <t xml:space="preserve">38598934000140</t>
  </si>
  <si>
    <t xml:space="preserve">DROGARIA BARBOSA</t>
  </si>
  <si>
    <t xml:space="preserve">MENDES PIMENTEL</t>
  </si>
  <si>
    <t xml:space="preserve">63245503000147</t>
  </si>
  <si>
    <t xml:space="preserve">DS NUTRI GOLD</t>
  </si>
  <si>
    <t xml:space="preserve">PRESIDENTE PRUDENTE</t>
  </si>
  <si>
    <t xml:space="preserve">53266705000200</t>
  </si>
  <si>
    <t xml:space="preserve">SAO FRANCISCO DO SUL</t>
  </si>
  <si>
    <t xml:space="preserve">63501653000174</t>
  </si>
  <si>
    <t xml:space="preserve">DSC SAUDE E NUTRICAO</t>
  </si>
  <si>
    <t xml:space="preserve">24991684000107</t>
  </si>
  <si>
    <t xml:space="preserve">Debora Cristina Teixeira </t>
  </si>
  <si>
    <t xml:space="preserve">Araragua</t>
  </si>
  <si>
    <t xml:space="preserve">49300020000177</t>
  </si>
  <si>
    <t xml:space="preserve">Divina Terra Capão da Canoa</t>
  </si>
  <si>
    <t xml:space="preserve">13495805000103</t>
  </si>
  <si>
    <t xml:space="preserve">E-labore</t>
  </si>
  <si>
    <t xml:space="preserve">Itajaí</t>
  </si>
  <si>
    <t xml:space="preserve">36455705000140</t>
  </si>
  <si>
    <t xml:space="preserve">ELLES VEGAN CAFETERIA</t>
  </si>
  <si>
    <t xml:space="preserve">46796336000103</t>
  </si>
  <si>
    <t xml:space="preserve">EMAGRECENTRO JUIZ DE FORA</t>
  </si>
  <si>
    <t xml:space="preserve">39324235000174</t>
  </si>
  <si>
    <t xml:space="preserve">EMPORIO AGORA ECO</t>
  </si>
  <si>
    <t xml:space="preserve">MOGI DAS CRUZES</t>
  </si>
  <si>
    <t xml:space="preserve">50353207000118</t>
  </si>
  <si>
    <t xml:space="preserve">EMPORIO COMPRE FACIL</t>
  </si>
  <si>
    <t xml:space="preserve">SAO LOURENCO DA MATA</t>
  </si>
  <si>
    <t xml:space="preserve">52212261000179</t>
  </si>
  <si>
    <t xml:space="preserve">EMPORIO DA MATA PRODUTOS NATURAIS</t>
  </si>
  <si>
    <t xml:space="preserve">CAMPO NOVO DO PARECIS</t>
  </si>
  <si>
    <t xml:space="preserve">23143632000100</t>
  </si>
  <si>
    <t xml:space="preserve">EMPORIO GAMBOA - ESPECIARIAS E PRODUTOS NATURAIS</t>
  </si>
  <si>
    <t xml:space="preserve">GARANHUNS</t>
  </si>
  <si>
    <t xml:space="preserve">31574092000147</t>
  </si>
  <si>
    <t xml:space="preserve">EMPORIO GRAOTERRA</t>
  </si>
  <si>
    <t xml:space="preserve">22746850000176</t>
  </si>
  <si>
    <t xml:space="preserve">EMPORIO JAYA DISTRIBUICAO</t>
  </si>
  <si>
    <t xml:space="preserve">Barueri</t>
  </si>
  <si>
    <t xml:space="preserve">30698924000174</t>
  </si>
  <si>
    <t xml:space="preserve">EMPORIO MAIS VIDA</t>
  </si>
  <si>
    <t xml:space="preserve">TIMOTEO</t>
  </si>
  <si>
    <t xml:space="preserve">43249227000188</t>
  </si>
  <si>
    <t xml:space="preserve">EMPORIO MISO</t>
  </si>
  <si>
    <t xml:space="preserve">AGUA BOA</t>
  </si>
  <si>
    <t xml:space="preserve">59182148000137</t>
  </si>
  <si>
    <t xml:space="preserve">EMPORIO MULTI ARMAZEM</t>
  </si>
  <si>
    <t xml:space="preserve">38449259000197</t>
  </si>
  <si>
    <t xml:space="preserve">EMPORIO NATU</t>
  </si>
  <si>
    <t xml:space="preserve">22332946000198</t>
  </si>
  <si>
    <t xml:space="preserve">EMPORIO POMAR URBANO</t>
  </si>
  <si>
    <t xml:space="preserve">48391847000170</t>
  </si>
  <si>
    <t xml:space="preserve">EMPORIO TRIBO ALDEIA VERDE</t>
  </si>
  <si>
    <t xml:space="preserve">INHUMAS</t>
  </si>
  <si>
    <t xml:space="preserve">20021355000174</t>
  </si>
  <si>
    <t xml:space="preserve">EMPORIO VIDA E SAUDE</t>
  </si>
  <si>
    <t xml:space="preserve">31323790000170</t>
  </si>
  <si>
    <t xml:space="preserve">EMPORIO VIDA NATURAL</t>
  </si>
  <si>
    <t xml:space="preserve">59481985000167</t>
  </si>
  <si>
    <t xml:space="preserve">EMPORIO VIDA PLENA</t>
  </si>
  <si>
    <t xml:space="preserve">50126687000184</t>
  </si>
  <si>
    <t xml:space="preserve">EMPORIO VIDA VERDE</t>
  </si>
  <si>
    <t xml:space="preserve">XAXIM</t>
  </si>
  <si>
    <t xml:space="preserve">36293214000140</t>
  </si>
  <si>
    <t xml:space="preserve">EMPORIO VITTA</t>
  </si>
  <si>
    <t xml:space="preserve">COLATINA</t>
  </si>
  <si>
    <t xml:space="preserve">28180051000161</t>
  </si>
  <si>
    <t xml:space="preserve">EMPÓRIO GAIA</t>
  </si>
  <si>
    <t xml:space="preserve">NOVA HAMBURGO</t>
  </si>
  <si>
    <t xml:space="preserve">29693450000199</t>
  </si>
  <si>
    <t xml:space="preserve">EMPÓRIO MANJERICÃO</t>
  </si>
  <si>
    <t xml:space="preserve">38431127000138</t>
  </si>
  <si>
    <t xml:space="preserve">ENERGIZE PRODUTOS NATURAIS</t>
  </si>
  <si>
    <t xml:space="preserve">ARROIO DO TIGRE</t>
  </si>
  <si>
    <t xml:space="preserve">12165772000162</t>
  </si>
  <si>
    <t xml:space="preserve">EQUILLIBRIUN</t>
  </si>
  <si>
    <t xml:space="preserve">RN</t>
  </si>
  <si>
    <t xml:space="preserve">CURRAIS NOVOS</t>
  </si>
  <si>
    <t xml:space="preserve">06905607000369</t>
  </si>
  <si>
    <t xml:space="preserve">ESMERALDA CARAGUATA</t>
  </si>
  <si>
    <t xml:space="preserve">CAMPINA GRANDE DO SUL</t>
  </si>
  <si>
    <t xml:space="preserve">06905607000601</t>
  </si>
  <si>
    <t xml:space="preserve">ESMERALDA CONVENIENCIAS LTDA</t>
  </si>
  <si>
    <t xml:space="preserve">OSORIO</t>
  </si>
  <si>
    <t xml:space="preserve">06905607000440</t>
  </si>
  <si>
    <t xml:space="preserve">ESMERALDA JARDIM PAULISTA</t>
  </si>
  <si>
    <t xml:space="preserve">06905607000792</t>
  </si>
  <si>
    <t xml:space="preserve">ESMERALDA MENINO DEUS </t>
  </si>
  <si>
    <t xml:space="preserve">QUATRO BARRAS</t>
  </si>
  <si>
    <t xml:space="preserve">06905607000288</t>
  </si>
  <si>
    <t xml:space="preserve">ESMERALDA OSORIO</t>
  </si>
  <si>
    <t xml:space="preserve">06905607000105</t>
  </si>
  <si>
    <t xml:space="preserve">ESMERALDA RIO BONITO</t>
  </si>
  <si>
    <t xml:space="preserve">06905607000520</t>
  </si>
  <si>
    <t xml:space="preserve">ESMERALDA SÃO JOSÉ </t>
  </si>
  <si>
    <t xml:space="preserve">SAO JOSE DOS PINHAIS</t>
  </si>
  <si>
    <t xml:space="preserve">47895365000195</t>
  </si>
  <si>
    <t xml:space="preserve">ESPECIARIAS DA VIVI</t>
  </si>
  <si>
    <t xml:space="preserve">VOTUPORANGA</t>
  </si>
  <si>
    <t xml:space="preserve">46894141000104</t>
  </si>
  <si>
    <t xml:space="preserve">ESSENCIAS E FESTAS CONFEITARIA</t>
  </si>
  <si>
    <t xml:space="preserve">PI</t>
  </si>
  <si>
    <t xml:space="preserve">TERESINA</t>
  </si>
  <si>
    <t xml:space="preserve">62555863000182</t>
  </si>
  <si>
    <t xml:space="preserve">EVOLUCAO FIT NUTRICAO</t>
  </si>
  <si>
    <t xml:space="preserve">MARIALVA</t>
  </si>
  <si>
    <t xml:space="preserve">49336255000119</t>
  </si>
  <si>
    <t xml:space="preserve">EVORA GASTRONOMIA</t>
  </si>
  <si>
    <t xml:space="preserve">49366518000132</t>
  </si>
  <si>
    <t xml:space="preserve">EXPRESSO CEREALISTA</t>
  </si>
  <si>
    <t xml:space="preserve">ARMACAO DOS BUZIOS</t>
  </si>
  <si>
    <t xml:space="preserve">54943813000144</t>
  </si>
  <si>
    <t xml:space="preserve">F. MATTOS DA SILVA</t>
  </si>
  <si>
    <t xml:space="preserve">RR</t>
  </si>
  <si>
    <t xml:space="preserve">BOA VISTA</t>
  </si>
  <si>
    <t xml:space="preserve">45100604000148</t>
  </si>
  <si>
    <t xml:space="preserve">FAZENDINHA SALU.D LTDA</t>
  </si>
  <si>
    <t xml:space="preserve">08226720000181</t>
  </si>
  <si>
    <t xml:space="preserve">FIBRA ALIMENTOS</t>
  </si>
  <si>
    <t xml:space="preserve">41069473000122</t>
  </si>
  <si>
    <t xml:space="preserve">FIT &amp; GRANEL</t>
  </si>
  <si>
    <t xml:space="preserve">PEDRO LEOPOLDO</t>
  </si>
  <si>
    <t xml:space="preserve">52607036000131</t>
  </si>
  <si>
    <t xml:space="preserve">FIT LAGES COMERCIO DE SUPLEMENTOS E PRODUTOS NATURAIS</t>
  </si>
  <si>
    <t xml:space="preserve">LAGES</t>
  </si>
  <si>
    <t xml:space="preserve">53111830000152</t>
  </si>
  <si>
    <t xml:space="preserve">54116382000142</t>
  </si>
  <si>
    <t xml:space="preserve">PALHOCA</t>
  </si>
  <si>
    <t xml:space="preserve">60546169000173</t>
  </si>
  <si>
    <t xml:space="preserve">FIT PEDRA BRANCA</t>
  </si>
  <si>
    <t xml:space="preserve">47766246000132</t>
  </si>
  <si>
    <t xml:space="preserve">FIT PELOTAS</t>
  </si>
  <si>
    <t xml:space="preserve">47766246000213</t>
  </si>
  <si>
    <t xml:space="preserve">43732530000137</t>
  </si>
  <si>
    <t xml:space="preserve">FIT SJB</t>
  </si>
  <si>
    <t xml:space="preserve">61030585000187</t>
  </si>
  <si>
    <t xml:space="preserve">FITIBU</t>
  </si>
  <si>
    <t xml:space="preserve">PINHAIS</t>
  </si>
  <si>
    <t xml:space="preserve">58771384000126</t>
  </si>
  <si>
    <t xml:space="preserve">FOLHA E GRAO PRODUTOS NATURAIS</t>
  </si>
  <si>
    <t xml:space="preserve">05926581000100</t>
  </si>
  <si>
    <t xml:space="preserve">FRAN FIT</t>
  </si>
  <si>
    <t xml:space="preserve">Criciúma</t>
  </si>
  <si>
    <t xml:space="preserve">57320249000100</t>
  </si>
  <si>
    <t xml:space="preserve">FRANCIJANE MARQUES LEAL</t>
  </si>
  <si>
    <t xml:space="preserve">AGUA BRANCA</t>
  </si>
  <si>
    <t xml:space="preserve">55717635000104</t>
  </si>
  <si>
    <t xml:space="preserve">FRANQUIA FITLAND POMERODE</t>
  </si>
  <si>
    <t xml:space="preserve">53304073000133</t>
  </si>
  <si>
    <t xml:space="preserve">FRANQUIA FITLAND TIMBO</t>
  </si>
  <si>
    <t xml:space="preserve">34313930000117</t>
  </si>
  <si>
    <t xml:space="preserve">GAN NUTRICAO</t>
  </si>
  <si>
    <t xml:space="preserve">BRACO DO NORTE</t>
  </si>
  <si>
    <t xml:space="preserve">54801197000197</t>
  </si>
  <si>
    <t xml:space="preserve">GC NATURALIS</t>
  </si>
  <si>
    <t xml:space="preserve">50620234000100</t>
  </si>
  <si>
    <t xml:space="preserve">GEISIANE RODRIGUES MACHADO</t>
  </si>
  <si>
    <t xml:space="preserve">CURURUPU</t>
  </si>
  <si>
    <t xml:space="preserve">21757527000135</t>
  </si>
  <si>
    <t xml:space="preserve">GRANO &amp; VITA</t>
  </si>
  <si>
    <t xml:space="preserve">SOLICITAÇÃO DE BOLETO</t>
  </si>
  <si>
    <t xml:space="preserve">18010232000196</t>
  </si>
  <si>
    <t xml:space="preserve">GRANUM CAFE</t>
  </si>
  <si>
    <t xml:space="preserve">43590125000121</t>
  </si>
  <si>
    <t xml:space="preserve">GRAO E VIDA</t>
  </si>
  <si>
    <t xml:space="preserve">ITURAMA</t>
  </si>
  <si>
    <t xml:space="preserve">49620132000105</t>
  </si>
  <si>
    <t xml:space="preserve">GRAO E VIDA TABOADO</t>
  </si>
  <si>
    <t xml:space="preserve">MS</t>
  </si>
  <si>
    <t xml:space="preserve">APARECIDA DO TABOADO</t>
  </si>
  <si>
    <t xml:space="preserve">31599810000130</t>
  </si>
  <si>
    <t xml:space="preserve">GRAO VIDA</t>
  </si>
  <si>
    <t xml:space="preserve">JALES</t>
  </si>
  <si>
    <t xml:space="preserve">41610352000146</t>
  </si>
  <si>
    <t xml:space="preserve">GRÃO SAÚDE </t>
  </si>
  <si>
    <t xml:space="preserve">RIO DO PIRES</t>
  </si>
  <si>
    <t xml:space="preserve">33589783000140</t>
  </si>
  <si>
    <t xml:space="preserve">GS DA GAMA COMPRE MAIS MINI MERCADO LTDA</t>
  </si>
  <si>
    <t xml:space="preserve">44238838000193</t>
  </si>
  <si>
    <t xml:space="preserve">HABITTUDE</t>
  </si>
  <si>
    <t xml:space="preserve">Tapejara</t>
  </si>
  <si>
    <t xml:space="preserve">59460012000141</t>
  </si>
  <si>
    <t xml:space="preserve">HBA DISTRIBUIDORA LTDA</t>
  </si>
  <si>
    <t xml:space="preserve">57963322000153</t>
  </si>
  <si>
    <t xml:space="preserve">HENRI G. VALCARENGHI LTDA</t>
  </si>
  <si>
    <t xml:space="preserve">17039758000136</t>
  </si>
  <si>
    <t xml:space="preserve">HERTZ NUTRITION</t>
  </si>
  <si>
    <t xml:space="preserve">10337748000138</t>
  </si>
  <si>
    <t xml:space="preserve">HIPER CORDEIRO JUA</t>
  </si>
  <si>
    <t xml:space="preserve">LIMOEIRO</t>
  </si>
  <si>
    <t xml:space="preserve">42502454000100</t>
  </si>
  <si>
    <t xml:space="preserve">HIPER DOCE SAQUAREMA</t>
  </si>
  <si>
    <t xml:space="preserve">SAQUAREMA</t>
  </si>
  <si>
    <t xml:space="preserve">60183440000153</t>
  </si>
  <si>
    <t xml:space="preserve">HS NUTRICAO</t>
  </si>
  <si>
    <t xml:space="preserve">NAVEGANTES</t>
  </si>
  <si>
    <t xml:space="preserve">41920449000155</t>
  </si>
  <si>
    <t xml:space="preserve">IMPERIUM SAUDAVEL</t>
  </si>
  <si>
    <t xml:space="preserve">Mantenópolis</t>
  </si>
  <si>
    <t xml:space="preserve">60487702000173</t>
  </si>
  <si>
    <t xml:space="preserve">IMPORT LAND DOCES</t>
  </si>
  <si>
    <t xml:space="preserve">Ararangua</t>
  </si>
  <si>
    <t xml:space="preserve">12886112000170</t>
  </si>
  <si>
    <t xml:space="preserve">INTENSE CACAU</t>
  </si>
  <si>
    <t xml:space="preserve">FRANCISCO BELTRAO</t>
  </si>
  <si>
    <t xml:space="preserve">53754257000103</t>
  </si>
  <si>
    <t xml:space="preserve">ITALO ZILMER BEDERODE LTDA</t>
  </si>
  <si>
    <t xml:space="preserve">CANGUCU</t>
  </si>
  <si>
    <t xml:space="preserve">49639041000111</t>
  </si>
  <si>
    <t xml:space="preserve">J F COMERCIO DE ALIMENTOS LTDA</t>
  </si>
  <si>
    <t xml:space="preserve">57609668000158</t>
  </si>
  <si>
    <t xml:space="preserve">J&amp;D EMPORIO NATURAL</t>
  </si>
  <si>
    <t xml:space="preserve">09534909475</t>
  </si>
  <si>
    <t xml:space="preserve">JACKSON</t>
  </si>
  <si>
    <t xml:space="preserve">CARUARU</t>
  </si>
  <si>
    <t xml:space="preserve">10908265001037</t>
  </si>
  <si>
    <t xml:space="preserve">JARDIM DAS ERVAS</t>
  </si>
  <si>
    <t xml:space="preserve">51213425000110</t>
  </si>
  <si>
    <t xml:space="preserve">JARDIM DO GRANEL COMERCIO DE ALIMENTOS LTDA</t>
  </si>
  <si>
    <t xml:space="preserve">59254662000130</t>
  </si>
  <si>
    <t xml:space="preserve">JC PRODUTOS NATURAIS</t>
  </si>
  <si>
    <t xml:space="preserve">URUSSANGA</t>
  </si>
  <si>
    <t xml:space="preserve">58072623000150</t>
  </si>
  <si>
    <t xml:space="preserve">KLOSTERMANN NUTRICAO</t>
  </si>
  <si>
    <t xml:space="preserve">56157640000164</t>
  </si>
  <si>
    <t xml:space="preserve">KLOSTERMANN SUPLEMENTOS</t>
  </si>
  <si>
    <t xml:space="preserve">18885226000182</t>
  </si>
  <si>
    <t xml:space="preserve">KORIN</t>
  </si>
  <si>
    <t xml:space="preserve">18997672000189</t>
  </si>
  <si>
    <t xml:space="preserve">KUWADA COMPANIA LTDA</t>
  </si>
  <si>
    <t xml:space="preserve">TANGARA DA SERRA</t>
  </si>
  <si>
    <t xml:space="preserve">56174184000160</t>
  </si>
  <si>
    <t xml:space="preserve">L.A. PRODUTOS NATURAIS</t>
  </si>
  <si>
    <t xml:space="preserve">CANELINHA</t>
  </si>
  <si>
    <t xml:space="preserve">39695922000104</t>
  </si>
  <si>
    <t xml:space="preserve">LAILA DE CASSIA CORREIA SANTOS</t>
  </si>
  <si>
    <t xml:space="preserve">GOIAS</t>
  </si>
  <si>
    <t xml:space="preserve">60484125000166</t>
  </si>
  <si>
    <t xml:space="preserve">LAKOSKI MERCEARIA SEM GLUTEN</t>
  </si>
  <si>
    <t xml:space="preserve">42149466000101</t>
  </si>
  <si>
    <t xml:space="preserve">LARISSA DA SILVA PADILHA</t>
  </si>
  <si>
    <t xml:space="preserve">52655585000181</t>
  </si>
  <si>
    <t xml:space="preserve">LAURA ISABEL RICARDO OCHOA</t>
  </si>
  <si>
    <t xml:space="preserve">CANSANCAO</t>
  </si>
  <si>
    <t xml:space="preserve">03139271000110</t>
  </si>
  <si>
    <t xml:space="preserve">LEBANON MARKET CENTER LTDA</t>
  </si>
  <si>
    <t xml:space="preserve">21594203000123</t>
  </si>
  <si>
    <t xml:space="preserve">LEGURME ALIMENTOS</t>
  </si>
  <si>
    <t xml:space="preserve">36213071000110</t>
  </si>
  <si>
    <t xml:space="preserve">LIDIANA APARECIDA DE ASSIS LUQUE</t>
  </si>
  <si>
    <t xml:space="preserve">54904619000150</t>
  </si>
  <si>
    <t xml:space="preserve">LM NUTRICAO BOMBINHAS</t>
  </si>
  <si>
    <t xml:space="preserve">BOMBINHAS</t>
  </si>
  <si>
    <t xml:space="preserve">17261509001839</t>
  </si>
  <si>
    <t xml:space="preserve">LOJA MULTIBOM</t>
  </si>
  <si>
    <t xml:space="preserve">62004109000154</t>
  </si>
  <si>
    <t xml:space="preserve">LOJA VIDA LEVE VILA ARENS</t>
  </si>
  <si>
    <t xml:space="preserve">07260140000148</t>
  </si>
  <si>
    <t xml:space="preserve">LOS BENAVIDES SORVETES</t>
  </si>
  <si>
    <t xml:space="preserve">TATUI</t>
  </si>
  <si>
    <t xml:space="preserve">55222424000192</t>
  </si>
  <si>
    <t xml:space="preserve">LUANA CRISTINA DE ANGELO VALVASSORI</t>
  </si>
  <si>
    <t xml:space="preserve">03790904000407</t>
  </si>
  <si>
    <t xml:space="preserve">MACHADAO ATACADISTA</t>
  </si>
  <si>
    <t xml:space="preserve">MATUPA</t>
  </si>
  <si>
    <t xml:space="preserve">03790904000580</t>
  </si>
  <si>
    <t xml:space="preserve">PRIMAVERA DO LESTE</t>
  </si>
  <si>
    <t xml:space="preserve">13338712000248</t>
  </si>
  <si>
    <t xml:space="preserve">ALTA FLORESTA</t>
  </si>
  <si>
    <t xml:space="preserve">13338712000400</t>
  </si>
  <si>
    <t xml:space="preserve">CONFRESA</t>
  </si>
  <si>
    <t xml:space="preserve">30112498000145</t>
  </si>
  <si>
    <t xml:space="preserve">MAIS NATURAL</t>
  </si>
  <si>
    <t xml:space="preserve">QUERENCIA</t>
  </si>
  <si>
    <t xml:space="preserve">17880439000230</t>
  </si>
  <si>
    <t xml:space="preserve">MAIS NATURAL COMERCIO DE PRODUTOS NATURAIS</t>
  </si>
  <si>
    <t xml:space="preserve">TRES DE MAIO</t>
  </si>
  <si>
    <t xml:space="preserve">62872888000100</t>
  </si>
  <si>
    <t xml:space="preserve">MANCINI &amp; SANTOS NUTRICAO LTDA</t>
  </si>
  <si>
    <t xml:space="preserve">49946160000117</t>
  </si>
  <si>
    <t xml:space="preserve">MARGHERITA </t>
  </si>
  <si>
    <t xml:space="preserve">58067518000122</t>
  </si>
  <si>
    <t xml:space="preserve">MARIA FITNESS</t>
  </si>
  <si>
    <t xml:space="preserve">CONTAGEM</t>
  </si>
  <si>
    <t xml:space="preserve">61746555000171</t>
  </si>
  <si>
    <t xml:space="preserve">MARILIA RAFAELA FERREIRA DA LUZ LTDA</t>
  </si>
  <si>
    <t xml:space="preserve">PONTA GROSSA</t>
  </si>
  <si>
    <t xml:space="preserve">08452814000179</t>
  </si>
  <si>
    <t xml:space="preserve">MARLUCE VIEIRA VASQUES</t>
  </si>
  <si>
    <t xml:space="preserve">95772216000181</t>
  </si>
  <si>
    <t xml:space="preserve">MENEGAZ SUPERMERCADO</t>
  </si>
  <si>
    <t xml:space="preserve">95772216000262</t>
  </si>
  <si>
    <t xml:space="preserve">MENEGAZ SUPERMERCADO 2</t>
  </si>
  <si>
    <t xml:space="preserve">34404590000130</t>
  </si>
  <si>
    <t xml:space="preserve">MERCADINHO PAULISTA</t>
  </si>
  <si>
    <t xml:space="preserve">EUCLIDES DA CUNHA</t>
  </si>
  <si>
    <t xml:space="preserve">34404590000300</t>
  </si>
  <si>
    <t xml:space="preserve">MERCADINHO PAULISTA I I</t>
  </si>
  <si>
    <t xml:space="preserve">14419497000191</t>
  </si>
  <si>
    <t xml:space="preserve">MERCADO FERREIRA</t>
  </si>
  <si>
    <t xml:space="preserve">29841719000137</t>
  </si>
  <si>
    <t xml:space="preserve">MERCADO KRAU'S</t>
  </si>
  <si>
    <t xml:space="preserve">NAVIRAI</t>
  </si>
  <si>
    <t xml:space="preserve">12104010000156</t>
  </si>
  <si>
    <t xml:space="preserve">MERCADO MODELO</t>
  </si>
  <si>
    <t xml:space="preserve">RONDON</t>
  </si>
  <si>
    <t xml:space="preserve">39290070000167</t>
  </si>
  <si>
    <t xml:space="preserve">MIL FOLHAS PREMIUM</t>
  </si>
  <si>
    <t xml:space="preserve">44191961000104</t>
  </si>
  <si>
    <t xml:space="preserve">39358176000155</t>
  </si>
  <si>
    <t xml:space="preserve">59087175000120</t>
  </si>
  <si>
    <t xml:space="preserve">MACAE</t>
  </si>
  <si>
    <t xml:space="preserve">57609477000196</t>
  </si>
  <si>
    <t xml:space="preserve">ALVORADA</t>
  </si>
  <si>
    <t xml:space="preserve">54729143000168</t>
  </si>
  <si>
    <t xml:space="preserve">MINHA QUITANDINHA - AGUA VERDE - BLUMENAU</t>
  </si>
  <si>
    <t xml:space="preserve">35743795000102</t>
  </si>
  <si>
    <t xml:space="preserve">MINI MERCADO FAMILIA</t>
  </si>
  <si>
    <t xml:space="preserve">58434075000160</t>
  </si>
  <si>
    <t xml:space="preserve">MISTER GRAOS SS MOCOQUINHA LTDA</t>
  </si>
  <si>
    <t xml:space="preserve">SAO SEBASTIAO DO PARAISO</t>
  </si>
  <si>
    <t xml:space="preserve">26249561000465</t>
  </si>
  <si>
    <t xml:space="preserve">MIX TUDO COMERCIO DE ALIMENTOS E SERVICOS</t>
  </si>
  <si>
    <t xml:space="preserve">VITORIA</t>
  </si>
  <si>
    <t xml:space="preserve">60670819000198</t>
  </si>
  <si>
    <t xml:space="preserve">MJ PRODUTOS NATURAIS</t>
  </si>
  <si>
    <t xml:space="preserve">SAO LOURENCO DO OESTE</t>
  </si>
  <si>
    <t xml:space="preserve">52035194000164</t>
  </si>
  <si>
    <t xml:space="preserve">MOA EMPORIO</t>
  </si>
  <si>
    <t xml:space="preserve">Araraquara</t>
  </si>
  <si>
    <t xml:space="preserve">36093651000110</t>
  </si>
  <si>
    <t xml:space="preserve">MODESTA VEGANA</t>
  </si>
  <si>
    <t xml:space="preserve">21450286000187</t>
  </si>
  <si>
    <t xml:space="preserve">MONKEY COOKIE</t>
  </si>
  <si>
    <t xml:space="preserve">37790248000103</t>
  </si>
  <si>
    <t xml:space="preserve">MS DISTRIBUIDORA</t>
  </si>
  <si>
    <t xml:space="preserve">53191899000214</t>
  </si>
  <si>
    <t xml:space="preserve">MS NITRICAO</t>
  </si>
  <si>
    <t xml:space="preserve">BARRA VELHA</t>
  </si>
  <si>
    <t xml:space="preserve">53191899000133</t>
  </si>
  <si>
    <t xml:space="preserve">MS NUTRICAO</t>
  </si>
  <si>
    <t xml:space="preserve">53191899000303</t>
  </si>
  <si>
    <t xml:space="preserve">03300974003870</t>
  </si>
  <si>
    <t xml:space="preserve">MUITO MAIS</t>
  </si>
  <si>
    <t xml:space="preserve">29402498000109</t>
  </si>
  <si>
    <t xml:space="preserve">MUNDO FIT</t>
  </si>
  <si>
    <t xml:space="preserve">CORONEL FABRICIANO</t>
  </si>
  <si>
    <t xml:space="preserve">37717783000139</t>
  </si>
  <si>
    <t xml:space="preserve">MUNDO FITNESS</t>
  </si>
  <si>
    <t xml:space="preserve">MANTENA</t>
  </si>
  <si>
    <t xml:space="preserve">72500887000198</t>
  </si>
  <si>
    <t xml:space="preserve">MUNDO VERDE</t>
  </si>
  <si>
    <t xml:space="preserve">Nova Friburgo</t>
  </si>
  <si>
    <t xml:space="preserve">58429130000124</t>
  </si>
  <si>
    <t xml:space="preserve">DOURADOS</t>
  </si>
  <si>
    <t xml:space="preserve">18078522000171</t>
  </si>
  <si>
    <t xml:space="preserve">MUNDO VERDE FRIBURGO PRAÇA</t>
  </si>
  <si>
    <t xml:space="preserve">NOVA FRIBURGO</t>
  </si>
  <si>
    <t xml:space="preserve">28019593000157</t>
  </si>
  <si>
    <t xml:space="preserve">MUNDO VERDE VOCE MAIS SAUDAVEL</t>
  </si>
  <si>
    <t xml:space="preserve">MARILIA</t>
  </si>
  <si>
    <t xml:space="preserve">63187605000153</t>
  </si>
  <si>
    <t xml:space="preserve">MUSSAMBE PRODUTOS NATURAIS</t>
  </si>
  <si>
    <t xml:space="preserve">13664585000196</t>
  </si>
  <si>
    <t xml:space="preserve">Mundo Verde Icaraí</t>
  </si>
  <si>
    <t xml:space="preserve">NITEROI</t>
  </si>
  <si>
    <t xml:space="preserve">59244884000172</t>
  </si>
  <si>
    <t xml:space="preserve">NATHALIA DE JESUS SILVA COSTA LTDA</t>
  </si>
  <si>
    <t xml:space="preserve">28088475000109</t>
  </si>
  <si>
    <t xml:space="preserve">NATU &amp; FIT</t>
  </si>
  <si>
    <t xml:space="preserve">SANTA MARIA DE JETIBA</t>
  </si>
  <si>
    <t xml:space="preserve">31545180000110</t>
  </si>
  <si>
    <t xml:space="preserve">NATURALIS PRODUTOS NATURAIS</t>
  </si>
  <si>
    <t xml:space="preserve">31921194000191</t>
  </si>
  <si>
    <t xml:space="preserve">NATURALLE EMPORIO</t>
  </si>
  <si>
    <t xml:space="preserve">URUBICI</t>
  </si>
  <si>
    <t xml:space="preserve">PERDA</t>
  </si>
  <si>
    <t xml:space="preserve">46814160000175</t>
  </si>
  <si>
    <t xml:space="preserve">NATURE PRODUTOS NATURAIS</t>
  </si>
  <si>
    <t xml:space="preserve">CASTANHAL</t>
  </si>
  <si>
    <t xml:space="preserve">08626347000156</t>
  </si>
  <si>
    <t xml:space="preserve">NATURHAUS</t>
  </si>
  <si>
    <t xml:space="preserve">09185428000473</t>
  </si>
  <si>
    <t xml:space="preserve">NATURVIDA</t>
  </si>
  <si>
    <t xml:space="preserve">SANTA CRUZ DO SUL</t>
  </si>
  <si>
    <t xml:space="preserve">09185428000120</t>
  </si>
  <si>
    <t xml:space="preserve">VENANCIO AIRES</t>
  </si>
  <si>
    <t xml:space="preserve">09185428000392</t>
  </si>
  <si>
    <t xml:space="preserve">NATURVIDA MERCADO SAUDAVEL LTDA</t>
  </si>
  <si>
    <t xml:space="preserve">LAJEADO</t>
  </si>
  <si>
    <t xml:space="preserve">32940804000167</t>
  </si>
  <si>
    <t xml:space="preserve">NICE STORE PRESENTES</t>
  </si>
  <si>
    <t xml:space="preserve">CANOINHAS</t>
  </si>
  <si>
    <t xml:space="preserve">63179884000103</t>
  </si>
  <si>
    <t xml:space="preserve">NOZZIES</t>
  </si>
  <si>
    <t xml:space="preserve">JAGUARUNA</t>
  </si>
  <si>
    <t xml:space="preserve">26240684000273</t>
  </si>
  <si>
    <t xml:space="preserve">NUNCA FATURAR NESSE CNPJ - FORCE SUPLEMENTOS</t>
  </si>
  <si>
    <t xml:space="preserve">Jaraguá do Sul</t>
  </si>
  <si>
    <t xml:space="preserve">30880916000144</t>
  </si>
  <si>
    <t xml:space="preserve">NUTRIBOM</t>
  </si>
  <si>
    <t xml:space="preserve">62333916000110</t>
  </si>
  <si>
    <t xml:space="preserve">NUTRINATURAL</t>
  </si>
  <si>
    <t xml:space="preserve">SAO JOSE DE RIBAMAR</t>
  </si>
  <si>
    <t xml:space="preserve">27376725000135</t>
  </si>
  <si>
    <t xml:space="preserve">NUTRIR PRODUTOS NATURAIS</t>
  </si>
  <si>
    <t xml:space="preserve">CALDAS NOVAS</t>
  </si>
  <si>
    <t xml:space="preserve">53413839000118</t>
  </si>
  <si>
    <t xml:space="preserve">O2 NUTRICAO LTDA</t>
  </si>
  <si>
    <t xml:space="preserve">FRANCA</t>
  </si>
  <si>
    <t xml:space="preserve">10874523000706</t>
  </si>
  <si>
    <t xml:space="preserve">OBJETIVA SERVICOS TERCEIRIZADOS</t>
  </si>
  <si>
    <t xml:space="preserve">46013288000130</t>
  </si>
  <si>
    <t xml:space="preserve">ORIGENS EMPORIO NATURAL LTDA</t>
  </si>
  <si>
    <t xml:space="preserve">GUARAMIRIM</t>
  </si>
  <si>
    <t xml:space="preserve">53773154000182</t>
  </si>
  <si>
    <t xml:space="preserve">PACHECO FIT NUTRICAO</t>
  </si>
  <si>
    <t xml:space="preserve">SANTO AMARO DA IMPERATRIZ</t>
  </si>
  <si>
    <t xml:space="preserve">55906608000171</t>
  </si>
  <si>
    <t xml:space="preserve">PADOCA DA BAXA</t>
  </si>
  <si>
    <t xml:space="preserve">58256204000178</t>
  </si>
  <si>
    <t xml:space="preserve">PEROLA FIT</t>
  </si>
  <si>
    <t xml:space="preserve">CAMBARA</t>
  </si>
  <si>
    <t xml:space="preserve">37680783000292</t>
  </si>
  <si>
    <t xml:space="preserve">PICADO'S DA TERRA PRODUTOS NATURAIS</t>
  </si>
  <si>
    <t xml:space="preserve">59633825000196</t>
  </si>
  <si>
    <t xml:space="preserve">PICADOS DA TERRA</t>
  </si>
  <si>
    <t xml:space="preserve">TREZE DE MAIO</t>
  </si>
  <si>
    <t xml:space="preserve">61137195000100</t>
  </si>
  <si>
    <t xml:space="preserve">PIONER VITA NATURA</t>
  </si>
  <si>
    <t xml:space="preserve">IMBITUBA</t>
  </si>
  <si>
    <t xml:space="preserve">31727331000151</t>
  </si>
  <si>
    <t xml:space="preserve">PIQUINIQUE FRESH FOOD LTDA</t>
  </si>
  <si>
    <t xml:space="preserve">20161192000125</t>
  </si>
  <si>
    <t xml:space="preserve">PISTACHE EMPORIO</t>
  </si>
  <si>
    <t xml:space="preserve">CAMPO GRANDE</t>
  </si>
  <si>
    <t xml:space="preserve">15626213000109</t>
  </si>
  <si>
    <t xml:space="preserve">PONTO CERTO NATURAL</t>
  </si>
  <si>
    <t xml:space="preserve">AL</t>
  </si>
  <si>
    <t xml:space="preserve">SAO JOSE DA TAPERA</t>
  </si>
  <si>
    <t xml:space="preserve">61668179000144</t>
  </si>
  <si>
    <t xml:space="preserve">PORTONUTRY ALIMENTACAO SAUDAVEL</t>
  </si>
  <si>
    <t xml:space="preserve">PORTO SEGURO</t>
  </si>
  <si>
    <t xml:space="preserve">28998910000124</t>
  </si>
  <si>
    <t xml:space="preserve">POSTO AVENTADOR</t>
  </si>
  <si>
    <t xml:space="preserve">28239223000125</t>
  </si>
  <si>
    <t xml:space="preserve">POSTO SALVARO CASIL</t>
  </si>
  <si>
    <t xml:space="preserve">34159229000195</t>
  </si>
  <si>
    <t xml:space="preserve">POSTO SALVARO JLS</t>
  </si>
  <si>
    <t xml:space="preserve">48606158000136</t>
  </si>
  <si>
    <t xml:space="preserve">POWER SUPLEMENTOS</t>
  </si>
  <si>
    <t xml:space="preserve">ALTAMIRA</t>
  </si>
  <si>
    <t xml:space="preserve">59458633000190</t>
  </si>
  <si>
    <t xml:space="preserve">POWERFIT NUTRITION</t>
  </si>
  <si>
    <t xml:space="preserve">43497241000109</t>
  </si>
  <si>
    <t xml:space="preserve">PRATINHO CRIATIVO</t>
  </si>
  <si>
    <t xml:space="preserve">CE</t>
  </si>
  <si>
    <t xml:space="preserve">JUAZEIRO DO NORTE</t>
  </si>
  <si>
    <t xml:space="preserve">57701048000144</t>
  </si>
  <si>
    <t xml:space="preserve">PRO FIT SUPLEMENTOS</t>
  </si>
  <si>
    <t xml:space="preserve">13975801000114</t>
  </si>
  <si>
    <t xml:space="preserve">PRODUTOS DA TERRA</t>
  </si>
  <si>
    <t xml:space="preserve">SAO LEOPOLDO</t>
  </si>
  <si>
    <t xml:space="preserve">21437528000100</t>
  </si>
  <si>
    <t xml:space="preserve">PROSAUDE</t>
  </si>
  <si>
    <t xml:space="preserve">FREDERICO WESTPHALEN</t>
  </si>
  <si>
    <t xml:space="preserve">22081589000132</t>
  </si>
  <si>
    <t xml:space="preserve">PROSAUDE - NOVO PROGRESSO</t>
  </si>
  <si>
    <t xml:space="preserve">NOVO PROGRESSO</t>
  </si>
  <si>
    <t xml:space="preserve">24778921000148</t>
  </si>
  <si>
    <t xml:space="preserve">QUINOA NATURAL</t>
  </si>
  <si>
    <t xml:space="preserve">AMERICANA</t>
  </si>
  <si>
    <t xml:space="preserve">27433919000125</t>
  </si>
  <si>
    <t xml:space="preserve">QUINOA NATURAL CAMBUI ALIMENTOS SAUDAVEIS A LTDA</t>
  </si>
  <si>
    <t xml:space="preserve">CAMPINAS</t>
  </si>
  <si>
    <t xml:space="preserve">03554611000331</t>
  </si>
  <si>
    <t xml:space="preserve">RADISSON HOTEL CURITIBA</t>
  </si>
  <si>
    <t xml:space="preserve">61631622000102</t>
  </si>
  <si>
    <t xml:space="preserve">RAIZ FIT</t>
  </si>
  <si>
    <t xml:space="preserve">32093388000109</t>
  </si>
  <si>
    <t xml:space="preserve">RAIZES COMERCIO DE PRODUTOS NATURAIS E INCLUSIVOS LTDA</t>
  </si>
  <si>
    <t xml:space="preserve">IGARAPE-ACU</t>
  </si>
  <si>
    <t xml:space="preserve">61771710000100</t>
  </si>
  <si>
    <t xml:space="preserve">RAIZES DA PROMESSA</t>
  </si>
  <si>
    <t xml:space="preserve">BAURU</t>
  </si>
  <si>
    <t xml:space="preserve">46384752000102</t>
  </si>
  <si>
    <t xml:space="preserve">RAIZES DA VIDA PRODUTOS ORGANICOS E NATURAIS</t>
  </si>
  <si>
    <t xml:space="preserve">08294051000185</t>
  </si>
  <si>
    <t xml:space="preserve">RAIZES E FOLHAS PRODUTOS NATURAIS</t>
  </si>
  <si>
    <t xml:space="preserve">35031254000151</t>
  </si>
  <si>
    <t xml:space="preserve">RAIZES E SABORES</t>
  </si>
  <si>
    <t xml:space="preserve">LUCELIA</t>
  </si>
  <si>
    <t xml:space="preserve">40607315000116</t>
  </si>
  <si>
    <t xml:space="preserve">RAW MARKET ALIMENTOS SAUDAVEIS</t>
  </si>
  <si>
    <t xml:space="preserve">61819408000184</t>
  </si>
  <si>
    <t xml:space="preserve">RAYNARA PAULINA ROCHA FRANCO - JUSTGO</t>
  </si>
  <si>
    <t xml:space="preserve">JAPARAIBA</t>
  </si>
  <si>
    <t xml:space="preserve">16548054000126</t>
  </si>
  <si>
    <t xml:space="preserve">RB CONSULTORIA</t>
  </si>
  <si>
    <t xml:space="preserve">ALFREDO CHAVES</t>
  </si>
  <si>
    <t xml:space="preserve">75176859000317</t>
  </si>
  <si>
    <t xml:space="preserve">REDE BARÃO REDENTORA SJP</t>
  </si>
  <si>
    <t xml:space="preserve">62119738000120</t>
  </si>
  <si>
    <t xml:space="preserve">REDE CIA DA SAUDE PRODUTOS NATURAIS</t>
  </si>
  <si>
    <t xml:space="preserve">TRAMANDAI</t>
  </si>
  <si>
    <t xml:space="preserve">26225527000108</t>
  </si>
  <si>
    <t xml:space="preserve">REDE HIPER DOCE DE CABO FRIO LTDA</t>
  </si>
  <si>
    <t xml:space="preserve">CABO FRIO</t>
  </si>
  <si>
    <t xml:space="preserve">50324818000138</t>
  </si>
  <si>
    <t xml:space="preserve">REDE HIPER GRAOS RIO DAS OSTRAS LTDA</t>
  </si>
  <si>
    <t xml:space="preserve">RIO DAS OSTRAS</t>
  </si>
  <si>
    <t xml:space="preserve">48506346000192</t>
  </si>
  <si>
    <t xml:space="preserve">REDE HIPER GRAOS RODOVIARIA RJ COMERCIO LTDA</t>
  </si>
  <si>
    <t xml:space="preserve">01385423000130</t>
  </si>
  <si>
    <t xml:space="preserve">REDE NOVO TEMPO DE COMUNICACAO</t>
  </si>
  <si>
    <t xml:space="preserve">JACAREI</t>
  </si>
  <si>
    <t xml:space="preserve">32293063000170</t>
  </si>
  <si>
    <t xml:space="preserve">REI DO NORTE PRODUTOS ALIMENTICIOS LTDA</t>
  </si>
  <si>
    <t xml:space="preserve">BELFORD ROXO</t>
  </si>
  <si>
    <t xml:space="preserve">05132031000110</t>
  </si>
  <si>
    <t xml:space="preserve">RESTAURANTE NOSSA SENHORA DE CARAVAGGIO LTDA</t>
  </si>
  <si>
    <t xml:space="preserve">NOVA VENEZA</t>
  </si>
  <si>
    <t xml:space="preserve">53401615000196</t>
  </si>
  <si>
    <t xml:space="preserve">RIO BISTRO SAUDAVEL</t>
  </si>
  <si>
    <t xml:space="preserve">FLORIANO</t>
  </si>
  <si>
    <t xml:space="preserve">53357667000293</t>
  </si>
  <si>
    <t xml:space="preserve">ROCHA NUTRICAO</t>
  </si>
  <si>
    <t xml:space="preserve">53357667000102</t>
  </si>
  <si>
    <t xml:space="preserve">07869626000340</t>
  </si>
  <si>
    <t xml:space="preserve">S S DISTRIBUIDORA</t>
  </si>
  <si>
    <t xml:space="preserve">CIPO</t>
  </si>
  <si>
    <t xml:space="preserve">52923234000104</t>
  </si>
  <si>
    <t xml:space="preserve">S&amp;P NUTRICAO VIDA E SAUDE</t>
  </si>
  <si>
    <t xml:space="preserve">48681846000160</t>
  </si>
  <si>
    <t xml:space="preserve">SABOR DA ROCA EMPORIO</t>
  </si>
  <si>
    <t xml:space="preserve">SAO GOTARDO</t>
  </si>
  <si>
    <t xml:space="preserve">30327498000162</t>
  </si>
  <si>
    <t xml:space="preserve">SABORAMAIS COMERCIO DE ALIMENTOS LTDA.</t>
  </si>
  <si>
    <t xml:space="preserve">04846161000151</t>
  </si>
  <si>
    <t xml:space="preserve">SACOLAO CURITIBA</t>
  </si>
  <si>
    <t xml:space="preserve">43023380000192</t>
  </si>
  <si>
    <t xml:space="preserve">SAFITA DOCES</t>
  </si>
  <si>
    <t xml:space="preserve">61357031000199</t>
  </si>
  <si>
    <t xml:space="preserve">SAGAZ E DAMAZIO</t>
  </si>
  <si>
    <t xml:space="preserve">31833282000131</t>
  </si>
  <si>
    <t xml:space="preserve">SAINT CLAIRE BAKERY</t>
  </si>
  <si>
    <t xml:space="preserve">34901637000170</t>
  </si>
  <si>
    <t xml:space="preserve">SALES SUPERMERCADO</t>
  </si>
  <si>
    <t xml:space="preserve">ITAITUBA</t>
  </si>
  <si>
    <t xml:space="preserve">63677653000120</t>
  </si>
  <si>
    <t xml:space="preserve">SAUDE E NUTRICAO</t>
  </si>
  <si>
    <t xml:space="preserve">RIO VERDE</t>
  </si>
  <si>
    <t xml:space="preserve">58281843000193</t>
  </si>
  <si>
    <t xml:space="preserve">SAUDE TOTAL</t>
  </si>
  <si>
    <t xml:space="preserve">MARAU</t>
  </si>
  <si>
    <t xml:space="preserve">62862222000170</t>
  </si>
  <si>
    <t xml:space="preserve">SEMEANDO</t>
  </si>
  <si>
    <t xml:space="preserve">24583557000322</t>
  </si>
  <si>
    <t xml:space="preserve">SHOPPER COMERCIO ALIMENTICIO LTDA</t>
  </si>
  <si>
    <t xml:space="preserve">OSASCO</t>
  </si>
  <si>
    <t xml:space="preserve">15428647000196</t>
  </si>
  <si>
    <t xml:space="preserve">SHOPPING NATURAL</t>
  </si>
  <si>
    <t xml:space="preserve">SINOP</t>
  </si>
  <si>
    <t xml:space="preserve">41418074000120</t>
  </si>
  <si>
    <t xml:space="preserve">SIMPLES E SAUDAVEL COMERCIO PRODUTOS NATURAIS LTDA</t>
  </si>
  <si>
    <t xml:space="preserve">COSMOPOLIS</t>
  </si>
  <si>
    <t xml:space="preserve">06938837000162</t>
  </si>
  <si>
    <t xml:space="preserve">SJ INDUSTRIA DA PANIFICACAO LTDA</t>
  </si>
  <si>
    <t xml:space="preserve">61637299000184</t>
  </si>
  <si>
    <t xml:space="preserve">SO GRANEL MINEIRO</t>
  </si>
  <si>
    <t xml:space="preserve">34924371000181</t>
  </si>
  <si>
    <t xml:space="preserve">SOARES DISTRIBUIDORA</t>
  </si>
  <si>
    <t xml:space="preserve">08895369000111</t>
  </si>
  <si>
    <t xml:space="preserve">SOLAR PORTO DE GALINHAS</t>
  </si>
  <si>
    <t xml:space="preserve">37266276000126</t>
  </si>
  <si>
    <t xml:space="preserve">SONIA IOLANDA DUARTE</t>
  </si>
  <si>
    <t xml:space="preserve">35751273000152</t>
  </si>
  <si>
    <t xml:space="preserve">SR A GRANEL</t>
  </si>
  <si>
    <t xml:space="preserve">55795646000102</t>
  </si>
  <si>
    <t xml:space="preserve">STYLO FARMA CURITIBA</t>
  </si>
  <si>
    <t xml:space="preserve">37015609000144</t>
  </si>
  <si>
    <t xml:space="preserve">SUPER PILOES</t>
  </si>
  <si>
    <t xml:space="preserve">FAZENDA NOVA</t>
  </si>
  <si>
    <t xml:space="preserve">13435819000123</t>
  </si>
  <si>
    <t xml:space="preserve">SUPERMERCADO COSER</t>
  </si>
  <si>
    <t xml:space="preserve">CORDILHEIRA ALTA</t>
  </si>
  <si>
    <t xml:space="preserve">05382867000172</t>
  </si>
  <si>
    <t xml:space="preserve">04755895000125</t>
  </si>
  <si>
    <t xml:space="preserve">SUPERMERCADO REDEPAS</t>
  </si>
  <si>
    <t xml:space="preserve">CAFELANDIA</t>
  </si>
  <si>
    <t xml:space="preserve">02672868000163</t>
  </si>
  <si>
    <t xml:space="preserve">SUPERMERCADO SERVE BEM</t>
  </si>
  <si>
    <t xml:space="preserve">PAVAO</t>
  </si>
  <si>
    <t xml:space="preserve">03790904000156</t>
  </si>
  <si>
    <t xml:space="preserve">SUPERMERCADOS MACHADO</t>
  </si>
  <si>
    <t xml:space="preserve">COLIDER</t>
  </si>
  <si>
    <t xml:space="preserve">06982791000189</t>
  </si>
  <si>
    <t xml:space="preserve">61401282000123</t>
  </si>
  <si>
    <t xml:space="preserve">SUPLEMENT WORLD SHOP LTDA</t>
  </si>
  <si>
    <t xml:space="preserve">22105950000113</t>
  </si>
  <si>
    <t xml:space="preserve">TEMPEROS &amp; MEL</t>
  </si>
  <si>
    <t xml:space="preserve">59394889000181</t>
  </si>
  <si>
    <t xml:space="preserve">TERRITORIO SAUDE SJP</t>
  </si>
  <si>
    <t xml:space="preserve">55726945000187</t>
  </si>
  <si>
    <t xml:space="preserve">TERRITORIO SAUDE XV</t>
  </si>
  <si>
    <t xml:space="preserve">34788640000120</t>
  </si>
  <si>
    <t xml:space="preserve">TICO AUTO POSTO LOBATO</t>
  </si>
  <si>
    <t xml:space="preserve">LOBATO</t>
  </si>
  <si>
    <t xml:space="preserve">57200778000161</t>
  </si>
  <si>
    <t xml:space="preserve">TOP FIT</t>
  </si>
  <si>
    <t xml:space="preserve">61814136000120</t>
  </si>
  <si>
    <t xml:space="preserve">TORO EMPORIO</t>
  </si>
  <si>
    <t xml:space="preserve">60010307000103</t>
  </si>
  <si>
    <t xml:space="preserve">TORRE FORTE PRODUTOS E ALIMENTOS LTDA</t>
  </si>
  <si>
    <t xml:space="preserve">48486297000173</t>
  </si>
  <si>
    <t xml:space="preserve">TP NUTRICAO</t>
  </si>
  <si>
    <t xml:space="preserve">57185527000155</t>
  </si>
  <si>
    <t xml:space="preserve">TRILHAS DA AMAZONIA</t>
  </si>
  <si>
    <t xml:space="preserve">REDENCAO</t>
  </si>
  <si>
    <t xml:space="preserve">80204332000208</t>
  </si>
  <si>
    <t xml:space="preserve">TRIP</t>
  </si>
  <si>
    <t xml:space="preserve">80204332000127</t>
  </si>
  <si>
    <t xml:space="preserve">TRIP COMESTIVEIS E SERVICOS LTDA</t>
  </si>
  <si>
    <t xml:space="preserve">20474456000109</t>
  </si>
  <si>
    <t xml:space="preserve">TUDO EM GRAOS COMERCIO DE ALIMENTOS LTDA</t>
  </si>
  <si>
    <t xml:space="preserve">28842901000140</t>
  </si>
  <si>
    <t xml:space="preserve">Terra Naturalle</t>
  </si>
  <si>
    <t xml:space="preserve">Campinas</t>
  </si>
  <si>
    <t xml:space="preserve">79080602000156</t>
  </si>
  <si>
    <t xml:space="preserve">UNIAO SUL BRASILEIRA DA IGREJA ADVENTISTA DO SETIMO DIA</t>
  </si>
  <si>
    <t xml:space="preserve">30372997000171</t>
  </si>
  <si>
    <t xml:space="preserve">UNIBAHIA</t>
  </si>
  <si>
    <t xml:space="preserve">CANDEIAS</t>
  </si>
  <si>
    <t xml:space="preserve">20057883000183</t>
  </si>
  <si>
    <t xml:space="preserve">UNIVERSO GRANEL</t>
  </si>
  <si>
    <t xml:space="preserve">PORTAO</t>
  </si>
  <si>
    <t xml:space="preserve">37633350000103</t>
  </si>
  <si>
    <t xml:space="preserve">VALDECI APARECIDO DE NICOLAI</t>
  </si>
  <si>
    <t xml:space="preserve">SUMARE</t>
  </si>
  <si>
    <t xml:space="preserve">37738174000247</t>
  </si>
  <si>
    <t xml:space="preserve">VEGSIM LTDA</t>
  </si>
  <si>
    <t xml:space="preserve">42657490000143</t>
  </si>
  <si>
    <t xml:space="preserve">VERCATTO - BARIGUI</t>
  </si>
  <si>
    <t xml:space="preserve">53934453000151</t>
  </si>
  <si>
    <t xml:space="preserve">VERCATTO BOUTIQUE - ALTO DA XV</t>
  </si>
  <si>
    <t xml:space="preserve">41711232000135</t>
  </si>
  <si>
    <t xml:space="preserve">VERCATTO BOUTIQUE SÁUDAVEL</t>
  </si>
  <si>
    <t xml:space="preserve">62373627000145</t>
  </si>
  <si>
    <t xml:space="preserve">VERDI BEE EMPORIO NATURAL</t>
  </si>
  <si>
    <t xml:space="preserve">62766524000145</t>
  </si>
  <si>
    <t xml:space="preserve">PRESIDENTE DUTRA</t>
  </si>
  <si>
    <t xml:space="preserve">58258680000128</t>
  </si>
  <si>
    <t xml:space="preserve">61327765000125</t>
  </si>
  <si>
    <t xml:space="preserve">VIDA LEVE - CHAPADAO</t>
  </si>
  <si>
    <t xml:space="preserve">CHAPADAO DO CEU</t>
  </si>
  <si>
    <t xml:space="preserve">54423411000119</t>
  </si>
  <si>
    <t xml:space="preserve">VIDA LEVE BARIGUI</t>
  </si>
  <si>
    <t xml:space="preserve">60821190000130</t>
  </si>
  <si>
    <t xml:space="preserve">VIDA LEVE CANOAS</t>
  </si>
  <si>
    <t xml:space="preserve">60519117000108</t>
  </si>
  <si>
    <t xml:space="preserve">VIDA LEVE CMD</t>
  </si>
  <si>
    <t xml:space="preserve">CONCEICAO DO MATO DENTRO</t>
  </si>
  <si>
    <t xml:space="preserve">32203302000153</t>
  </si>
  <si>
    <t xml:space="preserve">VIDA LEVE ESPECIARIAS</t>
  </si>
  <si>
    <t xml:space="preserve">BOM JESUS DA LAPA</t>
  </si>
  <si>
    <t xml:space="preserve">60427099000134</t>
  </si>
  <si>
    <t xml:space="preserve">VIDA LEVE EUNAPOLIS</t>
  </si>
  <si>
    <t xml:space="preserve">EUNAPOLIS</t>
  </si>
  <si>
    <t xml:space="preserve">39565216000130</t>
  </si>
  <si>
    <t xml:space="preserve">VIDA NA VIDA EMPORIO NATURAL</t>
  </si>
  <si>
    <t xml:space="preserve">28781911000112</t>
  </si>
  <si>
    <t xml:space="preserve">VILA GRANEL COMERCIO DE PRODUTOS ALIMENTICIOS</t>
  </si>
  <si>
    <t xml:space="preserve">São João Del Rei</t>
  </si>
  <si>
    <t xml:space="preserve">31118319000140</t>
  </si>
  <si>
    <t xml:space="preserve">VILLA DOS GRAOS</t>
  </si>
  <si>
    <t xml:space="preserve">60822789000198</t>
  </si>
  <si>
    <t xml:space="preserve">22787082000107</t>
  </si>
  <si>
    <t xml:space="preserve">VILLA HORTIFRUTI</t>
  </si>
  <si>
    <t xml:space="preserve">58831467000163</t>
  </si>
  <si>
    <t xml:space="preserve">VILLAGGIO VERDE MERCADO DE PRODUTOS NATURAIS</t>
  </si>
  <si>
    <t xml:space="preserve">78516440000436</t>
  </si>
  <si>
    <t xml:space="preserve">VIPI SUPERMARCADOS E BONNO ATACADO E VAREJO</t>
  </si>
  <si>
    <t xml:space="preserve">SAO MIGUEL DO OESTE</t>
  </si>
  <si>
    <t xml:space="preserve">78516440000606</t>
  </si>
  <si>
    <t xml:space="preserve">VIPI SUPERMERCADOS E BONNO ATACADO E VAREJO</t>
  </si>
  <si>
    <t xml:space="preserve">07750414000187</t>
  </si>
  <si>
    <t xml:space="preserve">VITALY'S ESPECIARIAS E EMBALAGENS</t>
  </si>
  <si>
    <t xml:space="preserve">30515235000187</t>
  </si>
  <si>
    <t xml:space="preserve">VITTONI COMERCIO DE PRODUTOS NATURAIS</t>
  </si>
  <si>
    <t xml:space="preserve">BENTO GONCALVES</t>
  </si>
  <si>
    <t xml:space="preserve">41808865000166</t>
  </si>
  <si>
    <t xml:space="preserve">VIVA LEVE Cia da saude</t>
  </si>
  <si>
    <t xml:space="preserve">43603248000150</t>
  </si>
  <si>
    <t xml:space="preserve">VIVA SAUDAVEL PRODUTOS NATURAIS cia da Saúde</t>
  </si>
  <si>
    <t xml:space="preserve">52169809000145</t>
  </si>
  <si>
    <t xml:space="preserve">Vida leve Barreiras</t>
  </si>
  <si>
    <t xml:space="preserve">BARREIRAS</t>
  </si>
  <si>
    <t xml:space="preserve">59359915000130</t>
  </si>
  <si>
    <t xml:space="preserve">Viva mais produtos naturais</t>
  </si>
  <si>
    <t xml:space="preserve">IBAITI</t>
  </si>
  <si>
    <t xml:space="preserve">59686644000128</t>
  </si>
  <si>
    <t xml:space="preserve">Viverde Grãos</t>
  </si>
  <si>
    <t xml:space="preserve">Cubatão</t>
  </si>
  <si>
    <t xml:space="preserve">61932319000140</t>
  </si>
  <si>
    <t xml:space="preserve">WOLFI MACHINES</t>
  </si>
  <si>
    <t xml:space="preserve">ERECHIM</t>
  </si>
  <si>
    <t xml:space="preserve">76384908000108</t>
  </si>
  <si>
    <t xml:space="preserve">Ávila Natural</t>
  </si>
  <si>
    <t xml:space="preserve">INDICADOR</t>
  </si>
  <si>
    <t xml:space="preserve">TOTAL/MÉDIA</t>
  </si>
  <si>
    <t xml:space="preserve">VENDAS TOTAL (R$)</t>
  </si>
  <si>
    <t xml:space="preserve">CLIENTES POSITIVADOS</t>
  </si>
  <si>
    <t xml:space="preserve">CLIENTES CURVA A</t>
  </si>
  <si>
    <t xml:space="preserve">CLIENTES CURVA B</t>
  </si>
  <si>
    <t xml:space="preserve">CLIENTES CURVA C</t>
  </si>
  <si>
    <t xml:space="preserve">ACESSOS ECOMMERCE</t>
  </si>
  <si>
    <t xml:space="preserve">VALOR B2B (R$)</t>
  </si>
  <si>
    <t xml:space="preserve">ATENDIMENTOS REGISTRADOS</t>
  </si>
  <si>
    <t xml:space="preserve">TICKET MÉDIO (R$)</t>
  </si>
  <si>
    <t xml:space="preserve">FONTE</t>
  </si>
  <si>
    <t xml:space="preserve">CLIENTES</t>
  </si>
  <si>
    <t xml:space="preserve">%</t>
  </si>
  <si>
    <t xml:space="preserve">SEM DADO</t>
  </si>
  <si>
    <t xml:space="preserve">VENDAS</t>
  </si>
  <si>
    <t xml:space="preserve">POSITIVAÇÃO</t>
  </si>
  <si>
    <t xml:space="preserve">ECOMMERCE</t>
  </si>
  <si>
    <t xml:space="preserve">ATENDIMENTO</t>
  </si>
  <si>
    <t xml:space="preserve">TODAS 5 FONTES</t>
  </si>
  <si>
    <t xml:space="preserve">3+ FONTES</t>
  </si>
  <si>
    <t xml:space="preserve">QTD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</si>
</sst>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dd/mm/yyyy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2E75B6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  <fill>
      <patternFill patternType="solid">
        <fgColor rgb="FFC55A11"/>
        <bgColor rgb="FFFF6600"/>
      </patternFill>
    </fill>
    <fill>
      <patternFill patternType="solid">
        <fgColor rgb="FF2E75B6"/>
        <bgColor rgb="FF2F5496"/>
      </patternFill>
    </fill>
    <fill>
      <patternFill patternType="solid">
        <fgColor rgb="FF843C0C"/>
        <bgColor rgb="FFC55A11"/>
      </patternFill>
    </fill>
    <fill>
      <patternFill patternType="solid">
        <fgColor rgb="FFBF0000"/>
        <bgColor rgb="FF800000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  <fill>
      <patternFill patternType="solid">
        <fgColor rgb="FFFFC7CE"/>
        <bgColor rgb="FFCCCCCC"/>
      </patternFill>
    </fill>
    <fill>
      <patternFill patternType="solid">
        <fgColor rgb="FFFFF2CC"/>
        <bgColor rgb="FFFFFFFF"/>
      </patternFill>
    </fill>
    <fill>
      <patternFill patternType="solid">
        <fgColor rgb="FFFF6600"/>
        <bgColor rgb="FFC55A11"/>
      </patternFill>
    </fill>
    <fill>
      <patternFill patternType="solid">
        <fgColor rgb="FF7030A0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66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B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F0000"/>
      <rgbColor rgb="FF008000"/>
      <rgbColor rgb="FF000080"/>
      <rgbColor rgb="FF548235"/>
      <rgbColor rgb="FF800080"/>
      <rgbColor rgb="FF008080"/>
      <rgbColor rgb="FFCCCCCC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C55A11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4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8"/>
    <col collapsed="false" customWidth="true" hidden="false" outlineLevel="0" max="3" min="3" style="1" width="4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73" min="6" style="1" width="9"/>
    <col collapsed="false" customWidth="true" hidden="false" outlineLevel="0" max="74" min="74" style="1" width="16"/>
    <col collapsed="false" customWidth="true" hidden="false" outlineLevel="0" max="75" min="75" style="1" width="12"/>
    <col collapsed="false" customWidth="true" hidden="false" outlineLevel="0" max="78" min="76" style="1" width="9"/>
    <col collapsed="false" customWidth="true" hidden="false" outlineLevel="0" max="79" min="79" style="1" width="14"/>
    <col collapsed="false" customWidth="true" hidden="false" outlineLevel="0" max="80" min="80" style="1" width="9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3" t="s">
        <v>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 t="s">
        <v>2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 t="s">
        <v>3</v>
      </c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6" t="s">
        <v>4</v>
      </c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7" t="s">
        <v>5</v>
      </c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8" t="s">
        <v>6</v>
      </c>
      <c r="BY1" s="8"/>
      <c r="BZ1" s="8"/>
      <c r="CA1" s="8"/>
      <c r="CB1" s="8"/>
    </row>
    <row r="2" customFormat="false" ht="32.25" hidden="false" customHeight="true" outlineLevel="0" collapsed="false">
      <c r="A2" s="9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1" t="s">
        <v>12</v>
      </c>
      <c r="T2" s="11" t="s">
        <v>13</v>
      </c>
      <c r="U2" s="11" t="s">
        <v>14</v>
      </c>
      <c r="V2" s="11" t="s">
        <v>15</v>
      </c>
      <c r="W2" s="11" t="s">
        <v>16</v>
      </c>
      <c r="X2" s="11" t="s">
        <v>17</v>
      </c>
      <c r="Y2" s="11" t="s">
        <v>18</v>
      </c>
      <c r="Z2" s="11" t="s">
        <v>19</v>
      </c>
      <c r="AA2" s="11" t="s">
        <v>20</v>
      </c>
      <c r="AB2" s="11" t="s">
        <v>21</v>
      </c>
      <c r="AC2" s="11" t="s">
        <v>22</v>
      </c>
      <c r="AD2" s="11" t="s">
        <v>23</v>
      </c>
      <c r="AE2" s="11" t="s">
        <v>25</v>
      </c>
      <c r="AF2" s="12" t="s">
        <v>12</v>
      </c>
      <c r="AG2" s="12" t="s">
        <v>13</v>
      </c>
      <c r="AH2" s="12" t="s">
        <v>14</v>
      </c>
      <c r="AI2" s="12" t="s">
        <v>15</v>
      </c>
      <c r="AJ2" s="12" t="s">
        <v>16</v>
      </c>
      <c r="AK2" s="12" t="s">
        <v>17</v>
      </c>
      <c r="AL2" s="12" t="s">
        <v>18</v>
      </c>
      <c r="AM2" s="12" t="s">
        <v>19</v>
      </c>
      <c r="AN2" s="12" t="s">
        <v>20</v>
      </c>
      <c r="AO2" s="12" t="s">
        <v>21</v>
      </c>
      <c r="AP2" s="12" t="s">
        <v>22</v>
      </c>
      <c r="AQ2" s="12" t="s">
        <v>23</v>
      </c>
      <c r="AR2" s="12" t="s">
        <v>26</v>
      </c>
      <c r="AS2" s="13" t="s">
        <v>12</v>
      </c>
      <c r="AT2" s="13" t="s">
        <v>13</v>
      </c>
      <c r="AU2" s="13" t="s">
        <v>14</v>
      </c>
      <c r="AV2" s="13" t="s">
        <v>15</v>
      </c>
      <c r="AW2" s="13" t="s">
        <v>16</v>
      </c>
      <c r="AX2" s="13" t="s">
        <v>17</v>
      </c>
      <c r="AY2" s="13" t="s">
        <v>18</v>
      </c>
      <c r="AZ2" s="13" t="s">
        <v>19</v>
      </c>
      <c r="BA2" s="13" t="s">
        <v>20</v>
      </c>
      <c r="BB2" s="13" t="s">
        <v>21</v>
      </c>
      <c r="BC2" s="13" t="s">
        <v>22</v>
      </c>
      <c r="BD2" s="13" t="s">
        <v>23</v>
      </c>
      <c r="BE2" s="13" t="s">
        <v>27</v>
      </c>
      <c r="BF2" s="13" t="s">
        <v>28</v>
      </c>
      <c r="BG2" s="13" t="s">
        <v>29</v>
      </c>
      <c r="BH2" s="14" t="s">
        <v>12</v>
      </c>
      <c r="BI2" s="14" t="s">
        <v>13</v>
      </c>
      <c r="BJ2" s="14" t="s">
        <v>14</v>
      </c>
      <c r="BK2" s="14" t="s">
        <v>15</v>
      </c>
      <c r="BL2" s="14" t="s">
        <v>16</v>
      </c>
      <c r="BM2" s="14" t="s">
        <v>17</v>
      </c>
      <c r="BN2" s="14" t="s">
        <v>18</v>
      </c>
      <c r="BO2" s="14" t="s">
        <v>19</v>
      </c>
      <c r="BP2" s="14" t="s">
        <v>20</v>
      </c>
      <c r="BQ2" s="14" t="s">
        <v>21</v>
      </c>
      <c r="BR2" s="14" t="s">
        <v>22</v>
      </c>
      <c r="BS2" s="14" t="s">
        <v>23</v>
      </c>
      <c r="BT2" s="14" t="s">
        <v>30</v>
      </c>
      <c r="BU2" s="14" t="s">
        <v>31</v>
      </c>
      <c r="BV2" s="14" t="s">
        <v>32</v>
      </c>
      <c r="BW2" s="14" t="s">
        <v>33</v>
      </c>
      <c r="BX2" s="15" t="s">
        <v>34</v>
      </c>
      <c r="BY2" s="15" t="s">
        <v>35</v>
      </c>
      <c r="BZ2" s="15" t="s">
        <v>36</v>
      </c>
      <c r="CA2" s="15" t="s">
        <v>37</v>
      </c>
      <c r="CB2" s="15" t="s">
        <v>38</v>
      </c>
    </row>
    <row r="3" customFormat="false" ht="15" hidden="false" customHeight="true" outlineLevel="0" collapsed="false">
      <c r="A3" s="16" t="s">
        <v>39</v>
      </c>
      <c r="B3" s="17" t="s">
        <v>40</v>
      </c>
      <c r="C3" s="18" t="s">
        <v>41</v>
      </c>
      <c r="D3" s="17" t="s">
        <v>42</v>
      </c>
      <c r="E3" s="19" t="s">
        <v>43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1" t="n">
        <f aca="false">SUM(F3:Q3)</f>
        <v>0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22" t="n">
        <f aca="false">SUM(S3:AD3)</f>
        <v>0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22" t="n">
        <f aca="false">SUM(AS3:BD3)</f>
        <v>0</v>
      </c>
      <c r="BF3" s="23"/>
      <c r="BG3" s="24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25" t="n">
        <v>2</v>
      </c>
      <c r="BS3" s="25" t="n">
        <v>2</v>
      </c>
      <c r="BT3" s="22" t="n">
        <f aca="false">SUM(BH3:BS3)</f>
        <v>4</v>
      </c>
      <c r="BU3" s="26" t="n">
        <v>46056.7256944445</v>
      </c>
      <c r="BV3" s="17"/>
      <c r="BW3" s="17" t="s">
        <v>44</v>
      </c>
      <c r="BX3" s="23" t="n">
        <f aca="false">IFERROR(R3/AE3,0)</f>
        <v>0</v>
      </c>
      <c r="BY3" s="23" t="n">
        <f aca="false">IFERROR(R3/12,0)</f>
        <v>0</v>
      </c>
      <c r="BZ3" s="18" t="n">
        <v>0</v>
      </c>
      <c r="CA3" s="22" t="str">
        <f aca="false">IF(AE3=0,"PROSPECT",IF(AE3=1,"NOVO",IF(AE3&lt;=3,"EM DESENV.",IF(AE3&lt;=6,"RECORRENTE","FIDELIZADO"))))</f>
        <v>PROSPECT</v>
      </c>
      <c r="CB3" s="22" t="n">
        <f aca="false">IF((P3+Q3)&gt;0,1,0)+IF((BR3+BS3)&gt;0,1,0)+IF(BE3&gt;0,1,0)</f>
        <v>1</v>
      </c>
    </row>
    <row r="4" customFormat="false" ht="15" hidden="false" customHeight="true" outlineLevel="0" collapsed="false">
      <c r="A4" s="16" t="s">
        <v>45</v>
      </c>
      <c r="B4" s="17" t="s">
        <v>46</v>
      </c>
      <c r="C4" s="18" t="s">
        <v>41</v>
      </c>
      <c r="D4" s="17" t="s">
        <v>47</v>
      </c>
      <c r="E4" s="19" t="s">
        <v>43</v>
      </c>
      <c r="F4" s="20"/>
      <c r="G4" s="20"/>
      <c r="H4" s="20"/>
      <c r="I4" s="20"/>
      <c r="J4" s="20"/>
      <c r="K4" s="20"/>
      <c r="L4" s="20"/>
      <c r="M4" s="27" t="n">
        <v>661.04</v>
      </c>
      <c r="N4" s="20"/>
      <c r="O4" s="27" t="n">
        <v>1028.28</v>
      </c>
      <c r="P4" s="27" t="n">
        <v>996.3</v>
      </c>
      <c r="Q4" s="20"/>
      <c r="R4" s="21" t="n">
        <f aca="false">SUM(F4:Q4)</f>
        <v>2685.62</v>
      </c>
      <c r="S4" s="18"/>
      <c r="T4" s="18"/>
      <c r="U4" s="18"/>
      <c r="V4" s="18"/>
      <c r="W4" s="18"/>
      <c r="X4" s="18"/>
      <c r="Y4" s="18"/>
      <c r="Z4" s="28" t="n">
        <v>1</v>
      </c>
      <c r="AA4" s="18"/>
      <c r="AB4" s="28" t="n">
        <v>1</v>
      </c>
      <c r="AC4" s="28" t="n">
        <v>1</v>
      </c>
      <c r="AD4" s="18"/>
      <c r="AE4" s="22" t="n">
        <f aca="false">SUM(S4:AD4)</f>
        <v>3</v>
      </c>
      <c r="AF4" s="22"/>
      <c r="AG4" s="22"/>
      <c r="AH4" s="22"/>
      <c r="AI4" s="22"/>
      <c r="AJ4" s="22"/>
      <c r="AK4" s="22"/>
      <c r="AL4" s="22"/>
      <c r="AM4" s="29" t="s">
        <v>48</v>
      </c>
      <c r="AN4" s="22"/>
      <c r="AO4" s="30" t="s">
        <v>49</v>
      </c>
      <c r="AP4" s="19" t="s">
        <v>50</v>
      </c>
      <c r="AQ4" s="22"/>
      <c r="AR4" s="30" t="s">
        <v>49</v>
      </c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22" t="n">
        <f aca="false">SUM(AS4:BD4)</f>
        <v>0</v>
      </c>
      <c r="BF4" s="23"/>
      <c r="BG4" s="24"/>
      <c r="BH4" s="18"/>
      <c r="BI4" s="18"/>
      <c r="BJ4" s="18"/>
      <c r="BK4" s="18"/>
      <c r="BL4" s="18"/>
      <c r="BM4" s="18"/>
      <c r="BN4" s="18"/>
      <c r="BO4" s="25" t="n">
        <v>2</v>
      </c>
      <c r="BP4" s="25" t="n">
        <v>1</v>
      </c>
      <c r="BQ4" s="18"/>
      <c r="BR4" s="18"/>
      <c r="BS4" s="18"/>
      <c r="BT4" s="22" t="n">
        <f aca="false">SUM(BH4:BS4)</f>
        <v>3</v>
      </c>
      <c r="BU4" s="26" t="n">
        <v>45978.4638425926</v>
      </c>
      <c r="BV4" s="17"/>
      <c r="BW4" s="17" t="s">
        <v>44</v>
      </c>
      <c r="BX4" s="23" t="n">
        <f aca="false">IFERROR(R4/AE4,0)</f>
        <v>895.206666666667</v>
      </c>
      <c r="BY4" s="23" t="n">
        <f aca="false">IFERROR(R4/12,0)</f>
        <v>223.801666666667</v>
      </c>
      <c r="BZ4" s="18" t="n">
        <v>43</v>
      </c>
      <c r="CA4" s="22" t="str">
        <f aca="false">IF(AE4=0,"PROSPECT",IF(AE4=1,"NOVO",IF(AE4&lt;=3,"EM DESENV.",IF(AE4&lt;=6,"RECORRENTE","FIDELIZADO"))))</f>
        <v>EM DESENV.</v>
      </c>
      <c r="CB4" s="22" t="n">
        <f aca="false">IF((P4+Q4)&gt;0,1,0)+IF((BR4+BS4)&gt;0,1,0)+IF(BE4&gt;0,1,0)</f>
        <v>1</v>
      </c>
    </row>
    <row r="5" customFormat="false" ht="15" hidden="false" customHeight="true" outlineLevel="0" collapsed="false">
      <c r="A5" s="16" t="s">
        <v>51</v>
      </c>
      <c r="B5" s="17" t="s">
        <v>52</v>
      </c>
      <c r="C5" s="18" t="s">
        <v>53</v>
      </c>
      <c r="D5" s="17" t="s">
        <v>54</v>
      </c>
      <c r="E5" s="19" t="s">
        <v>43</v>
      </c>
      <c r="F5" s="27" t="n">
        <v>1247.65</v>
      </c>
      <c r="G5" s="20"/>
      <c r="H5" s="20"/>
      <c r="I5" s="27" t="n">
        <v>828.81</v>
      </c>
      <c r="J5" s="20"/>
      <c r="K5" s="27" t="n">
        <v>812.27</v>
      </c>
      <c r="L5" s="20"/>
      <c r="M5" s="20"/>
      <c r="N5" s="20"/>
      <c r="O5" s="20"/>
      <c r="P5" s="27" t="n">
        <v>1053.04</v>
      </c>
      <c r="Q5" s="20"/>
      <c r="R5" s="21" t="n">
        <f aca="false">SUM(F5:Q5)</f>
        <v>3941.77</v>
      </c>
      <c r="S5" s="28" t="n">
        <v>1</v>
      </c>
      <c r="T5" s="18"/>
      <c r="U5" s="18"/>
      <c r="V5" s="28" t="n">
        <v>1</v>
      </c>
      <c r="W5" s="18"/>
      <c r="X5" s="28" t="n">
        <v>1</v>
      </c>
      <c r="Y5" s="18"/>
      <c r="Z5" s="18"/>
      <c r="AA5" s="18"/>
      <c r="AB5" s="18"/>
      <c r="AC5" s="28" t="n">
        <v>1</v>
      </c>
      <c r="AD5" s="18"/>
      <c r="AE5" s="22" t="n">
        <f aca="false">SUM(S5:AD5)</f>
        <v>4</v>
      </c>
      <c r="AF5" s="19" t="s">
        <v>50</v>
      </c>
      <c r="AG5" s="22"/>
      <c r="AH5" s="22"/>
      <c r="AI5" s="30" t="s">
        <v>49</v>
      </c>
      <c r="AJ5" s="22"/>
      <c r="AK5" s="30" t="s">
        <v>49</v>
      </c>
      <c r="AL5" s="22"/>
      <c r="AM5" s="22"/>
      <c r="AN5" s="22"/>
      <c r="AO5" s="22"/>
      <c r="AP5" s="22"/>
      <c r="AQ5" s="22"/>
      <c r="AR5" s="19" t="s">
        <v>50</v>
      </c>
      <c r="AS5" s="25" t="n">
        <v>5</v>
      </c>
      <c r="AT5" s="25" t="n">
        <v>1</v>
      </c>
      <c r="AU5" s="25" t="n">
        <v>1</v>
      </c>
      <c r="AV5" s="25" t="n">
        <v>1</v>
      </c>
      <c r="AW5" s="18"/>
      <c r="AX5" s="25" t="n">
        <v>1</v>
      </c>
      <c r="AY5" s="18"/>
      <c r="AZ5" s="18"/>
      <c r="BA5" s="18"/>
      <c r="BB5" s="18"/>
      <c r="BC5" s="18"/>
      <c r="BD5" s="18"/>
      <c r="BE5" s="22" t="n">
        <f aca="false">SUM(AS5:BD5)</f>
        <v>9</v>
      </c>
      <c r="BF5" s="23" t="n">
        <v>2888.73</v>
      </c>
      <c r="BG5" s="19" t="s">
        <v>55</v>
      </c>
      <c r="BH5" s="25" t="n">
        <v>1</v>
      </c>
      <c r="BI5" s="18"/>
      <c r="BJ5" s="18"/>
      <c r="BK5" s="25" t="n">
        <v>1</v>
      </c>
      <c r="BL5" s="25" t="n">
        <v>1</v>
      </c>
      <c r="BM5" s="18"/>
      <c r="BN5" s="18"/>
      <c r="BO5" s="18"/>
      <c r="BP5" s="18"/>
      <c r="BQ5" s="18"/>
      <c r="BR5" s="25" t="n">
        <v>3</v>
      </c>
      <c r="BS5" s="25" t="n">
        <v>1</v>
      </c>
      <c r="BT5" s="22" t="n">
        <f aca="false">SUM(BH5:BS5)</f>
        <v>7</v>
      </c>
      <c r="BU5" s="26" t="n">
        <v>46058.4927662037</v>
      </c>
      <c r="BV5" s="17"/>
      <c r="BW5" s="17" t="s">
        <v>44</v>
      </c>
      <c r="BX5" s="23" t="n">
        <f aca="false">IFERROR(R5/AE5,0)</f>
        <v>985.4425</v>
      </c>
      <c r="BY5" s="23" t="n">
        <f aca="false">IFERROR(R5/12,0)</f>
        <v>328.480833333333</v>
      </c>
      <c r="BZ5" s="18" t="n">
        <v>99.3333</v>
      </c>
      <c r="CA5" s="22" t="str">
        <f aca="false">IF(AE5=0,"PROSPECT",IF(AE5=1,"NOVO",IF(AE5&lt;=3,"EM DESENV.",IF(AE5&lt;=6,"RECORRENTE","FIDELIZADO"))))</f>
        <v>RECORRENTE</v>
      </c>
      <c r="CB5" s="22" t="n">
        <f aca="false">IF((P5+Q5)&gt;0,1,0)+IF((BR5+BS5)&gt;0,1,0)+IF(BE5&gt;0,1,0)</f>
        <v>3</v>
      </c>
    </row>
    <row r="6" customFormat="false" ht="15" hidden="false" customHeight="true" outlineLevel="0" collapsed="false">
      <c r="A6" s="16" t="s">
        <v>56</v>
      </c>
      <c r="B6" s="17" t="s">
        <v>57</v>
      </c>
      <c r="C6" s="18" t="s">
        <v>41</v>
      </c>
      <c r="D6" s="17" t="s">
        <v>58</v>
      </c>
      <c r="E6" s="19" t="s">
        <v>43</v>
      </c>
      <c r="F6" s="20"/>
      <c r="G6" s="27" t="n">
        <v>856.3</v>
      </c>
      <c r="H6" s="27" t="n">
        <v>1008</v>
      </c>
      <c r="I6" s="27" t="n">
        <v>1479.83</v>
      </c>
      <c r="J6" s="20"/>
      <c r="K6" s="27" t="n">
        <v>940.5</v>
      </c>
      <c r="L6" s="20"/>
      <c r="M6" s="20"/>
      <c r="N6" s="27" t="n">
        <v>968.43</v>
      </c>
      <c r="O6" s="20"/>
      <c r="P6" s="20"/>
      <c r="Q6" s="20"/>
      <c r="R6" s="21" t="n">
        <f aca="false">SUM(F6:Q6)</f>
        <v>5253.06</v>
      </c>
      <c r="S6" s="18"/>
      <c r="T6" s="28" t="n">
        <v>1</v>
      </c>
      <c r="U6" s="28" t="n">
        <v>1</v>
      </c>
      <c r="V6" s="28" t="n">
        <v>1</v>
      </c>
      <c r="W6" s="18"/>
      <c r="X6" s="28" t="n">
        <v>1</v>
      </c>
      <c r="Y6" s="18"/>
      <c r="Z6" s="18"/>
      <c r="AA6" s="28" t="n">
        <v>1</v>
      </c>
      <c r="AB6" s="18"/>
      <c r="AC6" s="18"/>
      <c r="AD6" s="18"/>
      <c r="AE6" s="22" t="n">
        <f aca="false">SUM(S6:AD6)</f>
        <v>5</v>
      </c>
      <c r="AF6" s="22"/>
      <c r="AG6" s="30" t="s">
        <v>49</v>
      </c>
      <c r="AH6" s="30" t="s">
        <v>49</v>
      </c>
      <c r="AI6" s="19" t="s">
        <v>50</v>
      </c>
      <c r="AJ6" s="22"/>
      <c r="AK6" s="30" t="s">
        <v>49</v>
      </c>
      <c r="AL6" s="22"/>
      <c r="AM6" s="22"/>
      <c r="AN6" s="30" t="s">
        <v>49</v>
      </c>
      <c r="AO6" s="22"/>
      <c r="AP6" s="22"/>
      <c r="AQ6" s="30" t="s">
        <v>49</v>
      </c>
      <c r="AR6" s="19" t="s">
        <v>50</v>
      </c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22" t="n">
        <f aca="false">SUM(AS6:BD6)</f>
        <v>0</v>
      </c>
      <c r="BF6" s="23"/>
      <c r="BG6" s="24"/>
      <c r="BH6" s="18"/>
      <c r="BI6" s="18"/>
      <c r="BJ6" s="25" t="n">
        <v>3</v>
      </c>
      <c r="BK6" s="18"/>
      <c r="BL6" s="25" t="n">
        <v>1</v>
      </c>
      <c r="BM6" s="18"/>
      <c r="BN6" s="18"/>
      <c r="BO6" s="18"/>
      <c r="BP6" s="25" t="n">
        <v>1</v>
      </c>
      <c r="BQ6" s="18"/>
      <c r="BR6" s="18"/>
      <c r="BS6" s="25" t="n">
        <v>3</v>
      </c>
      <c r="BT6" s="22" t="n">
        <f aca="false">SUM(BH6:BS6)</f>
        <v>8</v>
      </c>
      <c r="BU6" s="26" t="n">
        <v>46057.4567476852</v>
      </c>
      <c r="BV6" s="17"/>
      <c r="BW6" s="17" t="s">
        <v>44</v>
      </c>
      <c r="BX6" s="23" t="n">
        <f aca="false">IFERROR(R6/AE6,0)</f>
        <v>1050.612</v>
      </c>
      <c r="BY6" s="23" t="n">
        <f aca="false">IFERROR(R6/12,0)</f>
        <v>437.755</v>
      </c>
      <c r="BZ6" s="18" t="n">
        <v>48.8571</v>
      </c>
      <c r="CA6" s="22" t="str">
        <f aca="false">IF(AE6=0,"PROSPECT",IF(AE6=1,"NOVO",IF(AE6&lt;=3,"EM DESENV.",IF(AE6&lt;=6,"RECORRENTE","FIDELIZADO"))))</f>
        <v>RECORRENTE</v>
      </c>
      <c r="CB6" s="22" t="n">
        <f aca="false">IF((P6+Q6)&gt;0,1,0)+IF((BR6+BS6)&gt;0,1,0)+IF(BE6&gt;0,1,0)</f>
        <v>1</v>
      </c>
    </row>
    <row r="7" customFormat="false" ht="15" hidden="false" customHeight="true" outlineLevel="0" collapsed="false">
      <c r="A7" s="16" t="s">
        <v>59</v>
      </c>
      <c r="B7" s="17" t="s">
        <v>60</v>
      </c>
      <c r="C7" s="18" t="s">
        <v>61</v>
      </c>
      <c r="D7" s="17" t="s">
        <v>62</v>
      </c>
      <c r="E7" s="19" t="s">
        <v>43</v>
      </c>
      <c r="F7" s="27" t="n">
        <v>1423.4</v>
      </c>
      <c r="G7" s="20"/>
      <c r="H7" s="27" t="n">
        <v>873.05</v>
      </c>
      <c r="I7" s="20"/>
      <c r="J7" s="20"/>
      <c r="K7" s="20"/>
      <c r="L7" s="20"/>
      <c r="M7" s="20"/>
      <c r="N7" s="20"/>
      <c r="O7" s="20"/>
      <c r="P7" s="27" t="n">
        <v>667.59</v>
      </c>
      <c r="Q7" s="20"/>
      <c r="R7" s="21" t="n">
        <f aca="false">SUM(F7:Q7)</f>
        <v>2964.04</v>
      </c>
      <c r="S7" s="28" t="n">
        <v>1</v>
      </c>
      <c r="T7" s="18"/>
      <c r="U7" s="28" t="n">
        <v>1</v>
      </c>
      <c r="V7" s="18"/>
      <c r="W7" s="18"/>
      <c r="X7" s="18"/>
      <c r="Y7" s="18"/>
      <c r="Z7" s="18"/>
      <c r="AA7" s="18"/>
      <c r="AB7" s="18"/>
      <c r="AC7" s="28" t="n">
        <v>1</v>
      </c>
      <c r="AD7" s="18"/>
      <c r="AE7" s="22" t="n">
        <f aca="false">SUM(S7:AD7)</f>
        <v>3</v>
      </c>
      <c r="AF7" s="19" t="s">
        <v>50</v>
      </c>
      <c r="AG7" s="22"/>
      <c r="AH7" s="30" t="s">
        <v>49</v>
      </c>
      <c r="AI7" s="22"/>
      <c r="AJ7" s="22"/>
      <c r="AK7" s="22"/>
      <c r="AL7" s="22"/>
      <c r="AM7" s="22"/>
      <c r="AN7" s="22"/>
      <c r="AO7" s="22"/>
      <c r="AP7" s="22"/>
      <c r="AQ7" s="22"/>
      <c r="AR7" s="30" t="s">
        <v>49</v>
      </c>
      <c r="AS7" s="25" t="n">
        <v>4</v>
      </c>
      <c r="AT7" s="25" t="n">
        <v>5</v>
      </c>
      <c r="AU7" s="25" t="n">
        <v>5</v>
      </c>
      <c r="AV7" s="18"/>
      <c r="AW7" s="18"/>
      <c r="AX7" s="18"/>
      <c r="AY7" s="25" t="n">
        <v>4</v>
      </c>
      <c r="AZ7" s="18"/>
      <c r="BA7" s="18"/>
      <c r="BB7" s="18"/>
      <c r="BC7" s="18"/>
      <c r="BD7" s="18"/>
      <c r="BE7" s="22" t="n">
        <f aca="false">SUM(AS7:BD7)</f>
        <v>18</v>
      </c>
      <c r="BF7" s="23" t="n">
        <v>2296.45</v>
      </c>
      <c r="BG7" s="19" t="s">
        <v>55</v>
      </c>
      <c r="BH7" s="25" t="n">
        <v>2</v>
      </c>
      <c r="BI7" s="18"/>
      <c r="BJ7" s="18"/>
      <c r="BK7" s="18"/>
      <c r="BL7" s="25" t="n">
        <v>1</v>
      </c>
      <c r="BM7" s="18"/>
      <c r="BN7" s="18"/>
      <c r="BO7" s="18"/>
      <c r="BP7" s="25" t="n">
        <v>1</v>
      </c>
      <c r="BQ7" s="18"/>
      <c r="BR7" s="25" t="n">
        <v>2</v>
      </c>
      <c r="BS7" s="25" t="n">
        <v>2</v>
      </c>
      <c r="BT7" s="22" t="n">
        <f aca="false">SUM(BH7:BS7)</f>
        <v>8</v>
      </c>
      <c r="BU7" s="26" t="n">
        <v>46056.7270833333</v>
      </c>
      <c r="BV7" s="17"/>
      <c r="BW7" s="17" t="s">
        <v>44</v>
      </c>
      <c r="BX7" s="23" t="n">
        <f aca="false">IFERROR(R7/AE7,0)</f>
        <v>988.013333333333</v>
      </c>
      <c r="BY7" s="23" t="n">
        <f aca="false">IFERROR(R7/12,0)</f>
        <v>247.003333333333</v>
      </c>
      <c r="BZ7" s="18" t="n">
        <v>153</v>
      </c>
      <c r="CA7" s="22" t="str">
        <f aca="false">IF(AE7=0,"PROSPECT",IF(AE7=1,"NOVO",IF(AE7&lt;=3,"EM DESENV.",IF(AE7&lt;=6,"RECORRENTE","FIDELIZADO"))))</f>
        <v>EM DESENV.</v>
      </c>
      <c r="CB7" s="22" t="n">
        <f aca="false">IF((P7+Q7)&gt;0,1,0)+IF((BR7+BS7)&gt;0,1,0)+IF(BE7&gt;0,1,0)</f>
        <v>3</v>
      </c>
    </row>
    <row r="8" customFormat="false" ht="15" hidden="false" customHeight="true" outlineLevel="0" collapsed="false">
      <c r="A8" s="16" t="s">
        <v>63</v>
      </c>
      <c r="B8" s="17" t="s">
        <v>64</v>
      </c>
      <c r="C8" s="18" t="s">
        <v>65</v>
      </c>
      <c r="D8" s="17" t="s">
        <v>66</v>
      </c>
      <c r="E8" s="19" t="s">
        <v>43</v>
      </c>
      <c r="F8" s="20"/>
      <c r="G8" s="20"/>
      <c r="H8" s="20"/>
      <c r="I8" s="27" t="n">
        <v>3054.38</v>
      </c>
      <c r="J8" s="27" t="n">
        <v>3778.78</v>
      </c>
      <c r="K8" s="27" t="n">
        <v>5097.2</v>
      </c>
      <c r="L8" s="27" t="n">
        <v>5983.46</v>
      </c>
      <c r="M8" s="27" t="n">
        <v>3773.16</v>
      </c>
      <c r="N8" s="27" t="n">
        <v>3795.29</v>
      </c>
      <c r="O8" s="20"/>
      <c r="P8" s="20"/>
      <c r="Q8" s="20"/>
      <c r="R8" s="21" t="n">
        <f aca="false">SUM(F8:Q8)</f>
        <v>25482.27</v>
      </c>
      <c r="S8" s="18"/>
      <c r="T8" s="18"/>
      <c r="U8" s="18"/>
      <c r="V8" s="28" t="n">
        <v>1</v>
      </c>
      <c r="W8" s="28" t="n">
        <v>1</v>
      </c>
      <c r="X8" s="28" t="n">
        <v>1</v>
      </c>
      <c r="Y8" s="28" t="n">
        <v>1</v>
      </c>
      <c r="Z8" s="28" t="n">
        <v>1</v>
      </c>
      <c r="AA8" s="28" t="n">
        <v>1</v>
      </c>
      <c r="AB8" s="18"/>
      <c r="AC8" s="18"/>
      <c r="AD8" s="18"/>
      <c r="AE8" s="22" t="n">
        <f aca="false">SUM(S8:AD8)</f>
        <v>6</v>
      </c>
      <c r="AF8" s="22"/>
      <c r="AG8" s="22"/>
      <c r="AH8" s="22"/>
      <c r="AI8" s="19" t="s">
        <v>50</v>
      </c>
      <c r="AJ8" s="19" t="s">
        <v>50</v>
      </c>
      <c r="AK8" s="19" t="s">
        <v>50</v>
      </c>
      <c r="AL8" s="19" t="s">
        <v>50</v>
      </c>
      <c r="AM8" s="19" t="s">
        <v>50</v>
      </c>
      <c r="AN8" s="19" t="s">
        <v>50</v>
      </c>
      <c r="AO8" s="22"/>
      <c r="AP8" s="22"/>
      <c r="AQ8" s="30" t="s">
        <v>49</v>
      </c>
      <c r="AR8" s="19" t="s">
        <v>50</v>
      </c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22" t="n">
        <f aca="false">SUM(AS8:BD8)</f>
        <v>0</v>
      </c>
      <c r="BF8" s="23"/>
      <c r="BG8" s="24"/>
      <c r="BH8" s="25" t="n">
        <v>1</v>
      </c>
      <c r="BI8" s="18"/>
      <c r="BJ8" s="25" t="n">
        <v>2</v>
      </c>
      <c r="BK8" s="18"/>
      <c r="BL8" s="18"/>
      <c r="BM8" s="18"/>
      <c r="BN8" s="18"/>
      <c r="BO8" s="18"/>
      <c r="BP8" s="18"/>
      <c r="BQ8" s="18"/>
      <c r="BR8" s="25" t="n">
        <v>4</v>
      </c>
      <c r="BS8" s="18"/>
      <c r="BT8" s="22" t="n">
        <f aca="false">SUM(BH8:BS8)</f>
        <v>7</v>
      </c>
      <c r="BU8" s="26" t="n">
        <v>46050.3740509259</v>
      </c>
      <c r="BV8" s="17"/>
      <c r="BW8" s="17" t="s">
        <v>44</v>
      </c>
      <c r="BX8" s="23" t="n">
        <f aca="false">IFERROR(R8/AE8,0)</f>
        <v>4247.045</v>
      </c>
      <c r="BY8" s="23" t="n">
        <f aca="false">IFERROR(R8/12,0)</f>
        <v>2123.5225</v>
      </c>
      <c r="BZ8" s="18" t="n">
        <v>33.2857</v>
      </c>
      <c r="CA8" s="22" t="str">
        <f aca="false">IF(AE8=0,"PROSPECT",IF(AE8=1,"NOVO",IF(AE8&lt;=3,"EM DESENV.",IF(AE8&lt;=6,"RECORRENTE","FIDELIZADO"))))</f>
        <v>RECORRENTE</v>
      </c>
      <c r="CB8" s="22" t="n">
        <f aca="false">IF((P8+Q8)&gt;0,1,0)+IF((BR8+BS8)&gt;0,1,0)+IF(BE8&gt;0,1,0)</f>
        <v>1</v>
      </c>
    </row>
    <row r="9" customFormat="false" ht="15" hidden="false" customHeight="true" outlineLevel="0" collapsed="false">
      <c r="A9" s="16" t="s">
        <v>67</v>
      </c>
      <c r="B9" s="17" t="s">
        <v>68</v>
      </c>
      <c r="C9" s="18" t="s">
        <v>61</v>
      </c>
      <c r="D9" s="17" t="s">
        <v>69</v>
      </c>
      <c r="E9" s="19" t="s">
        <v>43</v>
      </c>
      <c r="F9" s="20"/>
      <c r="G9" s="27" t="n">
        <v>660.19</v>
      </c>
      <c r="H9" s="20"/>
      <c r="I9" s="20"/>
      <c r="J9" s="27" t="n">
        <v>803.98</v>
      </c>
      <c r="K9" s="20"/>
      <c r="L9" s="20"/>
      <c r="M9" s="27" t="n">
        <v>679.05</v>
      </c>
      <c r="N9" s="20"/>
      <c r="O9" s="20"/>
      <c r="P9" s="27" t="n">
        <v>832.79</v>
      </c>
      <c r="Q9" s="20"/>
      <c r="R9" s="21" t="n">
        <f aca="false">SUM(F9:Q9)</f>
        <v>2976.01</v>
      </c>
      <c r="S9" s="18"/>
      <c r="T9" s="28" t="n">
        <v>1</v>
      </c>
      <c r="U9" s="18"/>
      <c r="V9" s="18"/>
      <c r="W9" s="28" t="n">
        <v>1</v>
      </c>
      <c r="X9" s="18"/>
      <c r="Y9" s="18"/>
      <c r="Z9" s="28" t="n">
        <v>1</v>
      </c>
      <c r="AA9" s="18"/>
      <c r="AB9" s="18"/>
      <c r="AC9" s="28" t="n">
        <v>1</v>
      </c>
      <c r="AD9" s="18"/>
      <c r="AE9" s="22" t="n">
        <f aca="false">SUM(S9:AD9)</f>
        <v>4</v>
      </c>
      <c r="AF9" s="22"/>
      <c r="AG9" s="29" t="s">
        <v>48</v>
      </c>
      <c r="AH9" s="22"/>
      <c r="AI9" s="22"/>
      <c r="AJ9" s="30" t="s">
        <v>49</v>
      </c>
      <c r="AK9" s="22"/>
      <c r="AL9" s="22"/>
      <c r="AM9" s="29" t="s">
        <v>48</v>
      </c>
      <c r="AN9" s="22"/>
      <c r="AO9" s="22"/>
      <c r="AP9" s="22"/>
      <c r="AQ9" s="22"/>
      <c r="AR9" s="30" t="s">
        <v>49</v>
      </c>
      <c r="AS9" s="18"/>
      <c r="AT9" s="25" t="n">
        <v>5</v>
      </c>
      <c r="AU9" s="25" t="n">
        <v>5</v>
      </c>
      <c r="AV9" s="18"/>
      <c r="AW9" s="18"/>
      <c r="AX9" s="18"/>
      <c r="AY9" s="25" t="n">
        <v>2</v>
      </c>
      <c r="AZ9" s="18"/>
      <c r="BA9" s="18"/>
      <c r="BB9" s="18"/>
      <c r="BC9" s="18"/>
      <c r="BD9" s="18"/>
      <c r="BE9" s="22" t="n">
        <f aca="false">SUM(AS9:BD9)</f>
        <v>12</v>
      </c>
      <c r="BF9" s="23" t="n">
        <v>1320.38</v>
      </c>
      <c r="BG9" s="19" t="s">
        <v>55</v>
      </c>
      <c r="BH9" s="18"/>
      <c r="BI9" s="25" t="n">
        <v>2</v>
      </c>
      <c r="BJ9" s="18"/>
      <c r="BK9" s="25" t="n">
        <v>1</v>
      </c>
      <c r="BL9" s="25" t="n">
        <v>3</v>
      </c>
      <c r="BM9" s="18"/>
      <c r="BN9" s="18"/>
      <c r="BO9" s="25" t="n">
        <v>3</v>
      </c>
      <c r="BP9" s="18"/>
      <c r="BQ9" s="18"/>
      <c r="BR9" s="18"/>
      <c r="BS9" s="25" t="n">
        <v>5</v>
      </c>
      <c r="BT9" s="22" t="n">
        <f aca="false">SUM(BH9:BS9)</f>
        <v>14</v>
      </c>
      <c r="BU9" s="26" t="n">
        <v>46056.7263888889</v>
      </c>
      <c r="BV9" s="17"/>
      <c r="BW9" s="17" t="s">
        <v>44</v>
      </c>
      <c r="BX9" s="23" t="n">
        <f aca="false">IFERROR(R9/AE9,0)</f>
        <v>744.0025</v>
      </c>
      <c r="BY9" s="23" t="n">
        <f aca="false">IFERROR(R9/12,0)</f>
        <v>248.000833333333</v>
      </c>
      <c r="BZ9" s="18" t="n">
        <v>96.6667</v>
      </c>
      <c r="CA9" s="22" t="str">
        <f aca="false">IF(AE9=0,"PROSPECT",IF(AE9=1,"NOVO",IF(AE9&lt;=3,"EM DESENV.",IF(AE9&lt;=6,"RECORRENTE","FIDELIZADO"))))</f>
        <v>RECORRENTE</v>
      </c>
      <c r="CB9" s="22" t="n">
        <f aca="false">IF((P9+Q9)&gt;0,1,0)+IF((BR9+BS9)&gt;0,1,0)+IF(BE9&gt;0,1,0)</f>
        <v>3</v>
      </c>
    </row>
    <row r="10" customFormat="false" ht="15" hidden="false" customHeight="true" outlineLevel="0" collapsed="false">
      <c r="A10" s="16" t="s">
        <v>70</v>
      </c>
      <c r="B10" s="17" t="s">
        <v>71</v>
      </c>
      <c r="C10" s="18" t="s">
        <v>72</v>
      </c>
      <c r="D10" s="17" t="s">
        <v>73</v>
      </c>
      <c r="E10" s="19" t="s">
        <v>43</v>
      </c>
      <c r="F10" s="20"/>
      <c r="G10" s="20"/>
      <c r="H10" s="20"/>
      <c r="I10" s="20"/>
      <c r="J10" s="20"/>
      <c r="K10" s="27" t="n">
        <v>2797.4</v>
      </c>
      <c r="L10" s="27" t="n">
        <v>2088.7</v>
      </c>
      <c r="M10" s="27" t="n">
        <v>1740.66</v>
      </c>
      <c r="N10" s="20"/>
      <c r="O10" s="27" t="n">
        <v>1093.04</v>
      </c>
      <c r="P10" s="20"/>
      <c r="Q10" s="20"/>
      <c r="R10" s="21" t="n">
        <f aca="false">SUM(F10:Q10)</f>
        <v>7719.8</v>
      </c>
      <c r="S10" s="18"/>
      <c r="T10" s="18"/>
      <c r="U10" s="18"/>
      <c r="V10" s="18"/>
      <c r="W10" s="18"/>
      <c r="X10" s="28" t="n">
        <v>1</v>
      </c>
      <c r="Y10" s="28" t="n">
        <v>1</v>
      </c>
      <c r="Z10" s="28" t="n">
        <v>1</v>
      </c>
      <c r="AA10" s="18"/>
      <c r="AB10" s="28" t="n">
        <v>1</v>
      </c>
      <c r="AC10" s="18"/>
      <c r="AD10" s="18"/>
      <c r="AE10" s="22" t="n">
        <f aca="false">SUM(S10:AD10)</f>
        <v>4</v>
      </c>
      <c r="AF10" s="22"/>
      <c r="AG10" s="22"/>
      <c r="AH10" s="22"/>
      <c r="AI10" s="22"/>
      <c r="AJ10" s="22"/>
      <c r="AK10" s="19" t="s">
        <v>50</v>
      </c>
      <c r="AL10" s="19" t="s">
        <v>50</v>
      </c>
      <c r="AM10" s="19" t="s">
        <v>50</v>
      </c>
      <c r="AN10" s="22"/>
      <c r="AO10" s="19" t="s">
        <v>50</v>
      </c>
      <c r="AP10" s="22"/>
      <c r="AQ10" s="19" t="s">
        <v>50</v>
      </c>
      <c r="AR10" s="19" t="s">
        <v>50</v>
      </c>
      <c r="AS10" s="18"/>
      <c r="AT10" s="18"/>
      <c r="AU10" s="18"/>
      <c r="AV10" s="18"/>
      <c r="AW10" s="18"/>
      <c r="AX10" s="18"/>
      <c r="AY10" s="18"/>
      <c r="AZ10" s="18"/>
      <c r="BA10" s="25" t="n">
        <v>1</v>
      </c>
      <c r="BB10" s="18"/>
      <c r="BC10" s="18"/>
      <c r="BD10" s="18"/>
      <c r="BE10" s="22" t="n">
        <f aca="false">SUM(AS10:BD10)</f>
        <v>1</v>
      </c>
      <c r="BF10" s="23" t="n">
        <v>1093.04</v>
      </c>
      <c r="BG10" s="19" t="s">
        <v>55</v>
      </c>
      <c r="BH10" s="25" t="n">
        <v>1</v>
      </c>
      <c r="BI10" s="18"/>
      <c r="BJ10" s="25" t="n">
        <v>3</v>
      </c>
      <c r="BK10" s="25" t="n">
        <v>1</v>
      </c>
      <c r="BL10" s="25" t="n">
        <v>3</v>
      </c>
      <c r="BM10" s="18"/>
      <c r="BN10" s="25" t="n">
        <v>1</v>
      </c>
      <c r="BO10" s="25" t="n">
        <v>1</v>
      </c>
      <c r="BP10" s="25" t="n">
        <v>1</v>
      </c>
      <c r="BQ10" s="25" t="n">
        <v>1</v>
      </c>
      <c r="BR10" s="25" t="n">
        <v>2</v>
      </c>
      <c r="BS10" s="18"/>
      <c r="BT10" s="22" t="n">
        <f aca="false">SUM(BH10:BS10)</f>
        <v>14</v>
      </c>
      <c r="BU10" s="26" t="n">
        <v>46036.3724768519</v>
      </c>
      <c r="BV10" s="17"/>
      <c r="BW10" s="17" t="s">
        <v>44</v>
      </c>
      <c r="BX10" s="23" t="n">
        <f aca="false">IFERROR(R10/AE10,0)</f>
        <v>1929.95</v>
      </c>
      <c r="BY10" s="23" t="n">
        <f aca="false">IFERROR(R10/12,0)</f>
        <v>643.316666666667</v>
      </c>
      <c r="BZ10" s="18" t="n">
        <v>36</v>
      </c>
      <c r="CA10" s="22" t="str">
        <f aca="false">IF(AE10=0,"PROSPECT",IF(AE10=1,"NOVO",IF(AE10&lt;=3,"EM DESENV.",IF(AE10&lt;=6,"RECORRENTE","FIDELIZADO"))))</f>
        <v>RECORRENTE</v>
      </c>
      <c r="CB10" s="22" t="n">
        <f aca="false">IF((P10+Q10)&gt;0,1,0)+IF((BR10+BS10)&gt;0,1,0)+IF(BE10&gt;0,1,0)</f>
        <v>2</v>
      </c>
    </row>
    <row r="11" customFormat="false" ht="15" hidden="false" customHeight="true" outlineLevel="0" collapsed="false">
      <c r="A11" s="16" t="s">
        <v>74</v>
      </c>
      <c r="B11" s="17" t="s">
        <v>75</v>
      </c>
      <c r="C11" s="18" t="s">
        <v>72</v>
      </c>
      <c r="D11" s="17" t="s">
        <v>76</v>
      </c>
      <c r="E11" s="19" t="s">
        <v>43</v>
      </c>
      <c r="F11" s="20"/>
      <c r="G11" s="20"/>
      <c r="H11" s="20"/>
      <c r="I11" s="20"/>
      <c r="J11" s="27" t="n">
        <v>862.43</v>
      </c>
      <c r="K11" s="20"/>
      <c r="L11" s="20"/>
      <c r="M11" s="27" t="n">
        <v>884.08</v>
      </c>
      <c r="N11" s="20"/>
      <c r="O11" s="20"/>
      <c r="P11" s="20"/>
      <c r="Q11" s="20"/>
      <c r="R11" s="21" t="n">
        <f aca="false">SUM(F11:Q11)</f>
        <v>1746.51</v>
      </c>
      <c r="S11" s="18"/>
      <c r="T11" s="18"/>
      <c r="U11" s="18"/>
      <c r="V11" s="18"/>
      <c r="W11" s="28" t="n">
        <v>1</v>
      </c>
      <c r="X11" s="18"/>
      <c r="Y11" s="18"/>
      <c r="Z11" s="28" t="n">
        <v>1</v>
      </c>
      <c r="AA11" s="18"/>
      <c r="AB11" s="18"/>
      <c r="AC11" s="18"/>
      <c r="AD11" s="18"/>
      <c r="AE11" s="22" t="n">
        <f aca="false">SUM(S11:AD11)</f>
        <v>2</v>
      </c>
      <c r="AF11" s="22"/>
      <c r="AG11" s="22"/>
      <c r="AH11" s="22"/>
      <c r="AI11" s="22"/>
      <c r="AJ11" s="30" t="s">
        <v>49</v>
      </c>
      <c r="AK11" s="22"/>
      <c r="AL11" s="22"/>
      <c r="AM11" s="30" t="s">
        <v>49</v>
      </c>
      <c r="AN11" s="22"/>
      <c r="AO11" s="22"/>
      <c r="AP11" s="22"/>
      <c r="AQ11" s="29" t="s">
        <v>48</v>
      </c>
      <c r="AR11" s="30" t="s">
        <v>49</v>
      </c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5" t="n">
        <v>1</v>
      </c>
      <c r="BE11" s="22" t="n">
        <f aca="false">SUM(AS11:BD11)</f>
        <v>1</v>
      </c>
      <c r="BF11" s="23" t="n">
        <v>653.25</v>
      </c>
      <c r="BG11" s="19" t="s">
        <v>55</v>
      </c>
      <c r="BH11" s="18"/>
      <c r="BI11" s="18"/>
      <c r="BJ11" s="18"/>
      <c r="BK11" s="25" t="n">
        <v>2</v>
      </c>
      <c r="BL11" s="25" t="n">
        <v>1</v>
      </c>
      <c r="BM11" s="18"/>
      <c r="BN11" s="18"/>
      <c r="BO11" s="25" t="n">
        <v>1</v>
      </c>
      <c r="BP11" s="18"/>
      <c r="BQ11" s="25" t="n">
        <v>1</v>
      </c>
      <c r="BR11" s="25" t="n">
        <v>1</v>
      </c>
      <c r="BS11" s="18"/>
      <c r="BT11" s="22" t="n">
        <f aca="false">SUM(BH11:BS11)</f>
        <v>6</v>
      </c>
      <c r="BU11" s="26" t="n">
        <v>46049.7195833333</v>
      </c>
      <c r="BV11" s="17"/>
      <c r="BW11" s="17" t="s">
        <v>44</v>
      </c>
      <c r="BX11" s="23" t="n">
        <f aca="false">IFERROR(R11/AE11,0)</f>
        <v>873.255</v>
      </c>
      <c r="BY11" s="23" t="n">
        <f aca="false">IFERROR(R11/12,0)</f>
        <v>145.5425</v>
      </c>
      <c r="BZ11" s="18" t="n">
        <v>101</v>
      </c>
      <c r="CA11" s="22" t="str">
        <f aca="false">IF(AE11=0,"PROSPECT",IF(AE11=1,"NOVO",IF(AE11&lt;=3,"EM DESENV.",IF(AE11&lt;=6,"RECORRENTE","FIDELIZADO"))))</f>
        <v>EM DESENV.</v>
      </c>
      <c r="CB11" s="22" t="n">
        <f aca="false">IF((P11+Q11)&gt;0,1,0)+IF((BR11+BS11)&gt;0,1,0)+IF(BE11&gt;0,1,0)</f>
        <v>2</v>
      </c>
    </row>
    <row r="12" customFormat="false" ht="15" hidden="false" customHeight="true" outlineLevel="0" collapsed="false">
      <c r="A12" s="16" t="s">
        <v>77</v>
      </c>
      <c r="B12" s="17" t="s">
        <v>78</v>
      </c>
      <c r="C12" s="18" t="s">
        <v>79</v>
      </c>
      <c r="D12" s="17" t="s">
        <v>80</v>
      </c>
      <c r="E12" s="19" t="s">
        <v>43</v>
      </c>
      <c r="F12" s="20"/>
      <c r="G12" s="20"/>
      <c r="H12" s="20"/>
      <c r="I12" s="20"/>
      <c r="J12" s="20"/>
      <c r="K12" s="20"/>
      <c r="L12" s="20"/>
      <c r="M12" s="27" t="n">
        <v>1511</v>
      </c>
      <c r="N12" s="20"/>
      <c r="O12" s="20"/>
      <c r="P12" s="20"/>
      <c r="Q12" s="20"/>
      <c r="R12" s="21" t="n">
        <f aca="false">SUM(F12:Q12)</f>
        <v>1511</v>
      </c>
      <c r="S12" s="18"/>
      <c r="T12" s="18"/>
      <c r="U12" s="18"/>
      <c r="V12" s="18"/>
      <c r="W12" s="18"/>
      <c r="X12" s="18"/>
      <c r="Y12" s="18"/>
      <c r="Z12" s="28" t="n">
        <v>1</v>
      </c>
      <c r="AA12" s="18"/>
      <c r="AB12" s="18"/>
      <c r="AC12" s="18"/>
      <c r="AD12" s="18"/>
      <c r="AE12" s="22" t="n">
        <f aca="false">SUM(S12:AD12)</f>
        <v>1</v>
      </c>
      <c r="AF12" s="22"/>
      <c r="AG12" s="22"/>
      <c r="AH12" s="22"/>
      <c r="AI12" s="22"/>
      <c r="AJ12" s="22"/>
      <c r="AK12" s="22"/>
      <c r="AL12" s="22"/>
      <c r="AM12" s="19" t="s">
        <v>50</v>
      </c>
      <c r="AN12" s="22"/>
      <c r="AO12" s="22"/>
      <c r="AP12" s="22"/>
      <c r="AQ12" s="19" t="s">
        <v>50</v>
      </c>
      <c r="AR12" s="30" t="s">
        <v>49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5" t="n">
        <v>4</v>
      </c>
      <c r="BE12" s="22" t="n">
        <f aca="false">SUM(AS12:BD12)</f>
        <v>4</v>
      </c>
      <c r="BF12" s="23" t="n">
        <v>1511.33</v>
      </c>
      <c r="BG12" s="19" t="s">
        <v>55</v>
      </c>
      <c r="BH12" s="18"/>
      <c r="BI12" s="18"/>
      <c r="BJ12" s="18"/>
      <c r="BK12" s="18"/>
      <c r="BL12" s="18"/>
      <c r="BM12" s="18"/>
      <c r="BN12" s="18"/>
      <c r="BO12" s="25" t="n">
        <v>1</v>
      </c>
      <c r="BP12" s="18"/>
      <c r="BQ12" s="18"/>
      <c r="BR12" s="18"/>
      <c r="BS12" s="18"/>
      <c r="BT12" s="22" t="n">
        <f aca="false">SUM(BH12:BS12)</f>
        <v>1</v>
      </c>
      <c r="BU12" s="26" t="n">
        <v>45951.7965046296</v>
      </c>
      <c r="BV12" s="17"/>
      <c r="BW12" s="17" t="s">
        <v>44</v>
      </c>
      <c r="BX12" s="23" t="n">
        <f aca="false">IFERROR(R12/AE12,0)</f>
        <v>1511</v>
      </c>
      <c r="BY12" s="23" t="n">
        <f aca="false">IFERROR(R12/12,0)</f>
        <v>125.916666666667</v>
      </c>
      <c r="BZ12" s="18" t="n">
        <v>112</v>
      </c>
      <c r="CA12" s="22" t="str">
        <f aca="false">IF(AE12=0,"PROSPECT",IF(AE12=1,"NOVO",IF(AE12&lt;=3,"EM DESENV.",IF(AE12&lt;=6,"RECORRENTE","FIDELIZADO"))))</f>
        <v>NOVO</v>
      </c>
      <c r="CB12" s="22" t="n">
        <f aca="false">IF((P12+Q12)&gt;0,1,0)+IF((BR12+BS12)&gt;0,1,0)+IF(BE12&gt;0,1,0)</f>
        <v>1</v>
      </c>
    </row>
    <row r="13" customFormat="false" ht="15" hidden="false" customHeight="true" outlineLevel="0" collapsed="false">
      <c r="A13" s="16" t="s">
        <v>81</v>
      </c>
      <c r="B13" s="17" t="s">
        <v>82</v>
      </c>
      <c r="C13" s="18" t="s">
        <v>83</v>
      </c>
      <c r="D13" s="17" t="s">
        <v>84</v>
      </c>
      <c r="E13" s="19" t="s">
        <v>43</v>
      </c>
      <c r="F13" s="20"/>
      <c r="G13" s="20"/>
      <c r="H13" s="20"/>
      <c r="I13" s="20"/>
      <c r="J13" s="20"/>
      <c r="K13" s="27" t="n">
        <v>2105.05</v>
      </c>
      <c r="L13" s="20"/>
      <c r="M13" s="20"/>
      <c r="N13" s="27" t="n">
        <v>2436.83</v>
      </c>
      <c r="O13" s="20"/>
      <c r="P13" s="20"/>
      <c r="Q13" s="20"/>
      <c r="R13" s="21" t="n">
        <f aca="false">SUM(F13:Q13)</f>
        <v>4541.88</v>
      </c>
      <c r="S13" s="18"/>
      <c r="T13" s="18"/>
      <c r="U13" s="18"/>
      <c r="V13" s="18"/>
      <c r="W13" s="18"/>
      <c r="X13" s="28" t="n">
        <v>1</v>
      </c>
      <c r="Y13" s="18"/>
      <c r="Z13" s="18"/>
      <c r="AA13" s="28" t="n">
        <v>1</v>
      </c>
      <c r="AB13" s="18"/>
      <c r="AC13" s="18"/>
      <c r="AD13" s="18"/>
      <c r="AE13" s="22" t="n">
        <f aca="false">SUM(S13:AD13)</f>
        <v>2</v>
      </c>
      <c r="AF13" s="22"/>
      <c r="AG13" s="22"/>
      <c r="AH13" s="22"/>
      <c r="AI13" s="22"/>
      <c r="AJ13" s="22"/>
      <c r="AK13" s="19" t="s">
        <v>50</v>
      </c>
      <c r="AL13" s="22"/>
      <c r="AM13" s="22"/>
      <c r="AN13" s="19" t="s">
        <v>50</v>
      </c>
      <c r="AO13" s="22"/>
      <c r="AP13" s="22"/>
      <c r="AQ13" s="19" t="s">
        <v>50</v>
      </c>
      <c r="AR13" s="19" t="s">
        <v>50</v>
      </c>
      <c r="AS13" s="18"/>
      <c r="AT13" s="18"/>
      <c r="AU13" s="18"/>
      <c r="AV13" s="18"/>
      <c r="AW13" s="18"/>
      <c r="AX13" s="25" t="n">
        <v>5</v>
      </c>
      <c r="AY13" s="18"/>
      <c r="AZ13" s="18"/>
      <c r="BA13" s="25" t="n">
        <v>2</v>
      </c>
      <c r="BB13" s="18"/>
      <c r="BC13" s="18"/>
      <c r="BD13" s="25" t="n">
        <v>2</v>
      </c>
      <c r="BE13" s="22" t="n">
        <f aca="false">SUM(AS13:BD13)</f>
        <v>9</v>
      </c>
      <c r="BF13" s="23" t="n">
        <v>7196.86</v>
      </c>
      <c r="BG13" s="19" t="s">
        <v>55</v>
      </c>
      <c r="BH13" s="18"/>
      <c r="BI13" s="18"/>
      <c r="BJ13" s="18"/>
      <c r="BK13" s="25" t="n">
        <v>1</v>
      </c>
      <c r="BL13" s="18"/>
      <c r="BM13" s="25" t="n">
        <v>2</v>
      </c>
      <c r="BN13" s="18"/>
      <c r="BO13" s="25" t="n">
        <v>2</v>
      </c>
      <c r="BP13" s="25" t="n">
        <v>2</v>
      </c>
      <c r="BQ13" s="25" t="n">
        <v>1</v>
      </c>
      <c r="BR13" s="25" t="n">
        <v>3</v>
      </c>
      <c r="BS13" s="25" t="n">
        <v>1</v>
      </c>
      <c r="BT13" s="22" t="n">
        <f aca="false">SUM(BH13:BS13)</f>
        <v>12</v>
      </c>
      <c r="BU13" s="26" t="n">
        <v>46056.7779282407</v>
      </c>
      <c r="BV13" s="17"/>
      <c r="BW13" s="17" t="s">
        <v>44</v>
      </c>
      <c r="BX13" s="23" t="n">
        <f aca="false">IFERROR(R13/AE13,0)</f>
        <v>2270.94</v>
      </c>
      <c r="BY13" s="23" t="n">
        <f aca="false">IFERROR(R13/12,0)</f>
        <v>378.49</v>
      </c>
      <c r="BZ13" s="18" t="n">
        <v>87</v>
      </c>
      <c r="CA13" s="22" t="str">
        <f aca="false">IF(AE13=0,"PROSPECT",IF(AE13=1,"NOVO",IF(AE13&lt;=3,"EM DESENV.",IF(AE13&lt;=6,"RECORRENTE","FIDELIZADO"))))</f>
        <v>EM DESENV.</v>
      </c>
      <c r="CB13" s="22" t="n">
        <f aca="false">IF((P13+Q13)&gt;0,1,0)+IF((BR13+BS13)&gt;0,1,0)+IF(BE13&gt;0,1,0)</f>
        <v>2</v>
      </c>
    </row>
    <row r="14" customFormat="false" ht="15" hidden="false" customHeight="true" outlineLevel="0" collapsed="false">
      <c r="A14" s="16" t="s">
        <v>85</v>
      </c>
      <c r="B14" s="17" t="s">
        <v>86</v>
      </c>
      <c r="C14" s="18" t="s">
        <v>87</v>
      </c>
      <c r="D14" s="17" t="s">
        <v>88</v>
      </c>
      <c r="E14" s="19" t="s">
        <v>43</v>
      </c>
      <c r="F14" s="27" t="n">
        <v>3550.17</v>
      </c>
      <c r="G14" s="20"/>
      <c r="H14" s="20"/>
      <c r="I14" s="27" t="n">
        <v>1793.17</v>
      </c>
      <c r="J14" s="20"/>
      <c r="K14" s="20"/>
      <c r="L14" s="27" t="n">
        <v>2013.98</v>
      </c>
      <c r="M14" s="20"/>
      <c r="N14" s="20"/>
      <c r="O14" s="20"/>
      <c r="P14" s="27" t="n">
        <v>3110.35</v>
      </c>
      <c r="Q14" s="20"/>
      <c r="R14" s="21" t="n">
        <f aca="false">SUM(F14:Q14)</f>
        <v>10467.67</v>
      </c>
      <c r="S14" s="28" t="n">
        <v>1</v>
      </c>
      <c r="T14" s="18"/>
      <c r="U14" s="18"/>
      <c r="V14" s="28" t="n">
        <v>1</v>
      </c>
      <c r="W14" s="18"/>
      <c r="X14" s="18"/>
      <c r="Y14" s="28" t="n">
        <v>1</v>
      </c>
      <c r="Z14" s="18"/>
      <c r="AA14" s="18"/>
      <c r="AB14" s="18"/>
      <c r="AC14" s="28" t="n">
        <v>1</v>
      </c>
      <c r="AD14" s="18"/>
      <c r="AE14" s="22" t="n">
        <f aca="false">SUM(S14:AD14)</f>
        <v>4</v>
      </c>
      <c r="AF14" s="19" t="s">
        <v>50</v>
      </c>
      <c r="AG14" s="22"/>
      <c r="AH14" s="22"/>
      <c r="AI14" s="19" t="s">
        <v>50</v>
      </c>
      <c r="AJ14" s="22"/>
      <c r="AK14" s="22"/>
      <c r="AL14" s="19" t="s">
        <v>50</v>
      </c>
      <c r="AM14" s="22"/>
      <c r="AN14" s="22"/>
      <c r="AO14" s="22"/>
      <c r="AP14" s="22"/>
      <c r="AQ14" s="22"/>
      <c r="AR14" s="19" t="s">
        <v>50</v>
      </c>
      <c r="AS14" s="25" t="n">
        <v>4</v>
      </c>
      <c r="AT14" s="18"/>
      <c r="AU14" s="18"/>
      <c r="AV14" s="25" t="n">
        <v>2</v>
      </c>
      <c r="AW14" s="18"/>
      <c r="AX14" s="18"/>
      <c r="AY14" s="25" t="n">
        <v>2</v>
      </c>
      <c r="AZ14" s="18"/>
      <c r="BA14" s="18"/>
      <c r="BB14" s="18"/>
      <c r="BC14" s="18"/>
      <c r="BD14" s="18"/>
      <c r="BE14" s="22" t="n">
        <f aca="false">SUM(AS14:BD14)</f>
        <v>8</v>
      </c>
      <c r="BF14" s="23" t="n">
        <v>7357.32</v>
      </c>
      <c r="BG14" s="19" t="s">
        <v>55</v>
      </c>
      <c r="BH14" s="18"/>
      <c r="BI14" s="18"/>
      <c r="BJ14" s="25" t="n">
        <v>1</v>
      </c>
      <c r="BK14" s="25" t="n">
        <v>1</v>
      </c>
      <c r="BL14" s="25" t="n">
        <v>1</v>
      </c>
      <c r="BM14" s="18"/>
      <c r="BN14" s="18"/>
      <c r="BO14" s="18"/>
      <c r="BP14" s="25" t="n">
        <v>1</v>
      </c>
      <c r="BQ14" s="25" t="n">
        <v>1</v>
      </c>
      <c r="BR14" s="25" t="n">
        <v>5</v>
      </c>
      <c r="BS14" s="18"/>
      <c r="BT14" s="22" t="n">
        <f aca="false">SUM(BH14:BS14)</f>
        <v>10</v>
      </c>
      <c r="BU14" s="26" t="n">
        <v>46041.4618055556</v>
      </c>
      <c r="BV14" s="17" t="s">
        <v>89</v>
      </c>
      <c r="BW14" s="17" t="s">
        <v>44</v>
      </c>
      <c r="BX14" s="23" t="n">
        <f aca="false">IFERROR(R14/AE14,0)</f>
        <v>2616.9175</v>
      </c>
      <c r="BY14" s="23" t="n">
        <f aca="false">IFERROR(R14/12,0)</f>
        <v>872.305833333333</v>
      </c>
      <c r="BZ14" s="18" t="n">
        <v>101.3333</v>
      </c>
      <c r="CA14" s="22" t="str">
        <f aca="false">IF(AE14=0,"PROSPECT",IF(AE14=1,"NOVO",IF(AE14&lt;=3,"EM DESENV.",IF(AE14&lt;=6,"RECORRENTE","FIDELIZADO"))))</f>
        <v>RECORRENTE</v>
      </c>
      <c r="CB14" s="22" t="n">
        <f aca="false">IF((P14+Q14)&gt;0,1,0)+IF((BR14+BS14)&gt;0,1,0)+IF(BE14&gt;0,1,0)</f>
        <v>3</v>
      </c>
    </row>
    <row r="15" customFormat="false" ht="15" hidden="false" customHeight="true" outlineLevel="0" collapsed="false">
      <c r="A15" s="16" t="s">
        <v>90</v>
      </c>
      <c r="B15" s="17" t="s">
        <v>91</v>
      </c>
      <c r="C15" s="18" t="s">
        <v>61</v>
      </c>
      <c r="D15" s="17" t="s">
        <v>92</v>
      </c>
      <c r="E15" s="19" t="s">
        <v>43</v>
      </c>
      <c r="F15" s="20"/>
      <c r="G15" s="20"/>
      <c r="H15" s="20"/>
      <c r="I15" s="20"/>
      <c r="J15" s="20"/>
      <c r="K15" s="20"/>
      <c r="L15" s="20"/>
      <c r="M15" s="20"/>
      <c r="N15" s="27" t="n">
        <v>1105.08</v>
      </c>
      <c r="O15" s="20"/>
      <c r="P15" s="27" t="n">
        <v>663.93</v>
      </c>
      <c r="Q15" s="20"/>
      <c r="R15" s="21" t="n">
        <f aca="false">SUM(F15:Q15)</f>
        <v>1769.01</v>
      </c>
      <c r="S15" s="18"/>
      <c r="T15" s="18"/>
      <c r="U15" s="18"/>
      <c r="V15" s="18"/>
      <c r="W15" s="18"/>
      <c r="X15" s="18"/>
      <c r="Y15" s="18"/>
      <c r="Z15" s="18"/>
      <c r="AA15" s="28" t="n">
        <v>1</v>
      </c>
      <c r="AB15" s="18"/>
      <c r="AC15" s="28" t="n">
        <v>1</v>
      </c>
      <c r="AD15" s="18"/>
      <c r="AE15" s="22" t="n">
        <f aca="false">SUM(S15:AD15)</f>
        <v>2</v>
      </c>
      <c r="AF15" s="22"/>
      <c r="AG15" s="22"/>
      <c r="AH15" s="22"/>
      <c r="AI15" s="22"/>
      <c r="AJ15" s="22"/>
      <c r="AK15" s="22"/>
      <c r="AL15" s="22"/>
      <c r="AM15" s="22"/>
      <c r="AN15" s="30" t="s">
        <v>49</v>
      </c>
      <c r="AO15" s="22"/>
      <c r="AP15" s="22"/>
      <c r="AQ15" s="19" t="s">
        <v>50</v>
      </c>
      <c r="AR15" s="29" t="s">
        <v>48</v>
      </c>
      <c r="AS15" s="18"/>
      <c r="AT15" s="18"/>
      <c r="AU15" s="18"/>
      <c r="AV15" s="18"/>
      <c r="AW15" s="18"/>
      <c r="AX15" s="25" t="n">
        <v>1</v>
      </c>
      <c r="AY15" s="18"/>
      <c r="AZ15" s="18"/>
      <c r="BA15" s="18"/>
      <c r="BB15" s="18"/>
      <c r="BC15" s="18"/>
      <c r="BD15" s="18"/>
      <c r="BE15" s="22" t="n">
        <f aca="false">SUM(AS15:BD15)</f>
        <v>1</v>
      </c>
      <c r="BF15" s="23"/>
      <c r="BG15" s="31" t="s">
        <v>93</v>
      </c>
      <c r="BH15" s="25" t="n">
        <v>1</v>
      </c>
      <c r="BI15" s="18"/>
      <c r="BJ15" s="25" t="n">
        <v>3</v>
      </c>
      <c r="BK15" s="25" t="n">
        <v>2</v>
      </c>
      <c r="BL15" s="18"/>
      <c r="BM15" s="25" t="n">
        <v>1</v>
      </c>
      <c r="BN15" s="18"/>
      <c r="BO15" s="18"/>
      <c r="BP15" s="25" t="n">
        <v>2</v>
      </c>
      <c r="BQ15" s="18"/>
      <c r="BR15" s="18"/>
      <c r="BS15" s="25" t="n">
        <v>1</v>
      </c>
      <c r="BT15" s="22" t="n">
        <f aca="false">SUM(BH15:BS15)</f>
        <v>10</v>
      </c>
      <c r="BU15" s="26" t="n">
        <v>46059.4065162037</v>
      </c>
      <c r="BV15" s="17"/>
      <c r="BW15" s="17" t="s">
        <v>44</v>
      </c>
      <c r="BX15" s="23" t="n">
        <f aca="false">IFERROR(R15/AE15,0)</f>
        <v>884.505</v>
      </c>
      <c r="BY15" s="23" t="n">
        <f aca="false">IFERROR(R15/12,0)</f>
        <v>147.4175</v>
      </c>
      <c r="BZ15" s="18" t="n">
        <v>45.5</v>
      </c>
      <c r="CA15" s="22" t="str">
        <f aca="false">IF(AE15=0,"PROSPECT",IF(AE15=1,"NOVO",IF(AE15&lt;=3,"EM DESENV.",IF(AE15&lt;=6,"RECORRENTE","FIDELIZADO"))))</f>
        <v>EM DESENV.</v>
      </c>
      <c r="CB15" s="22" t="n">
        <f aca="false">IF((P15+Q15)&gt;0,1,0)+IF((BR15+BS15)&gt;0,1,0)+IF(BE15&gt;0,1,0)</f>
        <v>3</v>
      </c>
    </row>
    <row r="16" customFormat="false" ht="15" hidden="false" customHeight="true" outlineLevel="0" collapsed="false">
      <c r="A16" s="16" t="s">
        <v>94</v>
      </c>
      <c r="B16" s="17" t="s">
        <v>95</v>
      </c>
      <c r="C16" s="18" t="s">
        <v>53</v>
      </c>
      <c r="D16" s="17" t="s">
        <v>96</v>
      </c>
      <c r="E16" s="19" t="s">
        <v>43</v>
      </c>
      <c r="F16" s="20"/>
      <c r="G16" s="20"/>
      <c r="H16" s="27" t="n">
        <v>1695.31</v>
      </c>
      <c r="I16" s="20"/>
      <c r="J16" s="27" t="n">
        <v>1507.48</v>
      </c>
      <c r="K16" s="20"/>
      <c r="L16" s="20"/>
      <c r="M16" s="27" t="n">
        <v>2432.48</v>
      </c>
      <c r="N16" s="20"/>
      <c r="O16" s="20"/>
      <c r="P16" s="27" t="n">
        <v>1383.4</v>
      </c>
      <c r="Q16" s="20"/>
      <c r="R16" s="21" t="n">
        <f aca="false">SUM(F16:Q16)</f>
        <v>7018.67</v>
      </c>
      <c r="S16" s="18"/>
      <c r="T16" s="18"/>
      <c r="U16" s="28" t="n">
        <v>1</v>
      </c>
      <c r="V16" s="18"/>
      <c r="W16" s="28" t="n">
        <v>1</v>
      </c>
      <c r="X16" s="18"/>
      <c r="Y16" s="18"/>
      <c r="Z16" s="28" t="n">
        <v>1</v>
      </c>
      <c r="AA16" s="18"/>
      <c r="AB16" s="18"/>
      <c r="AC16" s="28" t="n">
        <v>1</v>
      </c>
      <c r="AD16" s="18"/>
      <c r="AE16" s="22" t="n">
        <f aca="false">SUM(S16:AD16)</f>
        <v>4</v>
      </c>
      <c r="AF16" s="22"/>
      <c r="AG16" s="22"/>
      <c r="AH16" s="19" t="s">
        <v>50</v>
      </c>
      <c r="AI16" s="22"/>
      <c r="AJ16" s="19" t="s">
        <v>50</v>
      </c>
      <c r="AK16" s="22"/>
      <c r="AL16" s="22"/>
      <c r="AM16" s="19" t="s">
        <v>50</v>
      </c>
      <c r="AN16" s="22"/>
      <c r="AO16" s="22"/>
      <c r="AP16" s="22"/>
      <c r="AQ16" s="22"/>
      <c r="AR16" s="19" t="s">
        <v>50</v>
      </c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22" t="n">
        <f aca="false">SUM(AS16:BD16)</f>
        <v>0</v>
      </c>
      <c r="BF16" s="23"/>
      <c r="BG16" s="24"/>
      <c r="BH16" s="18"/>
      <c r="BI16" s="18"/>
      <c r="BJ16" s="25" t="n">
        <v>1</v>
      </c>
      <c r="BK16" s="25" t="n">
        <v>2</v>
      </c>
      <c r="BL16" s="18"/>
      <c r="BM16" s="18"/>
      <c r="BN16" s="25" t="n">
        <v>1</v>
      </c>
      <c r="BO16" s="25" t="n">
        <v>1</v>
      </c>
      <c r="BP16" s="18"/>
      <c r="BQ16" s="18"/>
      <c r="BR16" s="25" t="n">
        <v>5</v>
      </c>
      <c r="BS16" s="18"/>
      <c r="BT16" s="22" t="n">
        <f aca="false">SUM(BH16:BS16)</f>
        <v>10</v>
      </c>
      <c r="BU16" s="26" t="n">
        <v>46048.7204861111</v>
      </c>
      <c r="BV16" s="17" t="s">
        <v>97</v>
      </c>
      <c r="BW16" s="17" t="s">
        <v>44</v>
      </c>
      <c r="BX16" s="23" t="n">
        <f aca="false">IFERROR(R16/AE16,0)</f>
        <v>1754.6675</v>
      </c>
      <c r="BY16" s="23" t="n">
        <f aca="false">IFERROR(R16/12,0)</f>
        <v>584.889166666667</v>
      </c>
      <c r="BZ16" s="18" t="n">
        <v>86.6667</v>
      </c>
      <c r="CA16" s="22" t="str">
        <f aca="false">IF(AE16=0,"PROSPECT",IF(AE16=1,"NOVO",IF(AE16&lt;=3,"EM DESENV.",IF(AE16&lt;=6,"RECORRENTE","FIDELIZADO"))))</f>
        <v>RECORRENTE</v>
      </c>
      <c r="CB16" s="22" t="n">
        <f aca="false">IF((P16+Q16)&gt;0,1,0)+IF((BR16+BS16)&gt;0,1,0)+IF(BE16&gt;0,1,0)</f>
        <v>2</v>
      </c>
    </row>
    <row r="17" customFormat="false" ht="15" hidden="false" customHeight="true" outlineLevel="0" collapsed="false">
      <c r="A17" s="16" t="s">
        <v>98</v>
      </c>
      <c r="B17" s="17" t="s">
        <v>99</v>
      </c>
      <c r="C17" s="18" t="s">
        <v>61</v>
      </c>
      <c r="D17" s="17" t="s">
        <v>100</v>
      </c>
      <c r="E17" s="19" t="s">
        <v>43</v>
      </c>
      <c r="F17" s="20"/>
      <c r="G17" s="20"/>
      <c r="H17" s="20"/>
      <c r="I17" s="20"/>
      <c r="J17" s="27" t="n">
        <v>3467.83</v>
      </c>
      <c r="K17" s="20"/>
      <c r="L17" s="27" t="n">
        <v>12654.14</v>
      </c>
      <c r="M17" s="27" t="n">
        <v>9729.07</v>
      </c>
      <c r="N17" s="20"/>
      <c r="O17" s="20"/>
      <c r="P17" s="27" t="n">
        <v>520</v>
      </c>
      <c r="Q17" s="20"/>
      <c r="R17" s="21" t="n">
        <f aca="false">SUM(F17:Q17)</f>
        <v>26371.04</v>
      </c>
      <c r="S17" s="18"/>
      <c r="T17" s="18"/>
      <c r="U17" s="18"/>
      <c r="V17" s="18"/>
      <c r="W17" s="28" t="n">
        <v>1</v>
      </c>
      <c r="X17" s="18"/>
      <c r="Y17" s="28" t="n">
        <v>1</v>
      </c>
      <c r="Z17" s="28" t="n">
        <v>1</v>
      </c>
      <c r="AA17" s="18"/>
      <c r="AB17" s="18"/>
      <c r="AC17" s="28" t="n">
        <v>1</v>
      </c>
      <c r="AD17" s="18"/>
      <c r="AE17" s="22" t="n">
        <f aca="false">SUM(S17:AD17)</f>
        <v>4</v>
      </c>
      <c r="AF17" s="22"/>
      <c r="AG17" s="22"/>
      <c r="AH17" s="22"/>
      <c r="AI17" s="22"/>
      <c r="AJ17" s="19" t="s">
        <v>50</v>
      </c>
      <c r="AK17" s="22"/>
      <c r="AL17" s="19" t="s">
        <v>50</v>
      </c>
      <c r="AM17" s="19" t="s">
        <v>50</v>
      </c>
      <c r="AN17" s="22"/>
      <c r="AO17" s="22"/>
      <c r="AP17" s="22"/>
      <c r="AQ17" s="22"/>
      <c r="AR17" s="19" t="s">
        <v>50</v>
      </c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22" t="n">
        <f aca="false">SUM(AS17:BD17)</f>
        <v>0</v>
      </c>
      <c r="BF17" s="23"/>
      <c r="BG17" s="24"/>
      <c r="BH17" s="18"/>
      <c r="BI17" s="18"/>
      <c r="BJ17" s="18"/>
      <c r="BK17" s="18"/>
      <c r="BL17" s="18"/>
      <c r="BM17" s="18"/>
      <c r="BN17" s="25" t="n">
        <v>1</v>
      </c>
      <c r="BO17" s="25" t="n">
        <v>1</v>
      </c>
      <c r="BP17" s="18"/>
      <c r="BQ17" s="18"/>
      <c r="BR17" s="18"/>
      <c r="BS17" s="25" t="n">
        <v>2</v>
      </c>
      <c r="BT17" s="22" t="n">
        <f aca="false">SUM(BH17:BS17)</f>
        <v>4</v>
      </c>
      <c r="BU17" s="26" t="n">
        <v>46056.7263888889</v>
      </c>
      <c r="BV17" s="17"/>
      <c r="BW17" s="17" t="s">
        <v>44</v>
      </c>
      <c r="BX17" s="23" t="n">
        <f aca="false">IFERROR(R17/AE17,0)</f>
        <v>6592.76</v>
      </c>
      <c r="BY17" s="23" t="n">
        <f aca="false">IFERROR(R17/12,0)</f>
        <v>2197.58666666667</v>
      </c>
      <c r="BZ17" s="18" t="n">
        <v>45.5</v>
      </c>
      <c r="CA17" s="22" t="str">
        <f aca="false">IF(AE17=0,"PROSPECT",IF(AE17=1,"NOVO",IF(AE17&lt;=3,"EM DESENV.",IF(AE17&lt;=6,"RECORRENTE","FIDELIZADO"))))</f>
        <v>RECORRENTE</v>
      </c>
      <c r="CB17" s="22" t="n">
        <f aca="false">IF((P17+Q17)&gt;0,1,0)+IF((BR17+BS17)&gt;0,1,0)+IF(BE17&gt;0,1,0)</f>
        <v>2</v>
      </c>
    </row>
    <row r="18" customFormat="false" ht="15" hidden="false" customHeight="true" outlineLevel="0" collapsed="false">
      <c r="A18" s="16" t="s">
        <v>101</v>
      </c>
      <c r="B18" s="17" t="s">
        <v>102</v>
      </c>
      <c r="C18" s="18" t="s">
        <v>61</v>
      </c>
      <c r="D18" s="17" t="s">
        <v>103</v>
      </c>
      <c r="E18" s="19" t="s">
        <v>43</v>
      </c>
      <c r="F18" s="20"/>
      <c r="G18" s="20"/>
      <c r="H18" s="20"/>
      <c r="I18" s="20"/>
      <c r="J18" s="20"/>
      <c r="K18" s="20"/>
      <c r="L18" s="20"/>
      <c r="M18" s="27" t="n">
        <v>1043.04</v>
      </c>
      <c r="N18" s="27" t="n">
        <v>815.52</v>
      </c>
      <c r="O18" s="20"/>
      <c r="P18" s="20"/>
      <c r="Q18" s="20"/>
      <c r="R18" s="21" t="n">
        <f aca="false">SUM(F18:Q18)</f>
        <v>1858.56</v>
      </c>
      <c r="S18" s="18"/>
      <c r="T18" s="18"/>
      <c r="U18" s="18"/>
      <c r="V18" s="18"/>
      <c r="W18" s="18"/>
      <c r="X18" s="18"/>
      <c r="Y18" s="18"/>
      <c r="Z18" s="28" t="n">
        <v>1</v>
      </c>
      <c r="AA18" s="28" t="n">
        <v>1</v>
      </c>
      <c r="AB18" s="18"/>
      <c r="AC18" s="18"/>
      <c r="AD18" s="18"/>
      <c r="AE18" s="22" t="n">
        <f aca="false">SUM(S18:AD18)</f>
        <v>2</v>
      </c>
      <c r="AF18" s="22"/>
      <c r="AG18" s="22"/>
      <c r="AH18" s="22"/>
      <c r="AI18" s="22"/>
      <c r="AJ18" s="22"/>
      <c r="AK18" s="22"/>
      <c r="AL18" s="22"/>
      <c r="AM18" s="30" t="s">
        <v>49</v>
      </c>
      <c r="AN18" s="30" t="s">
        <v>49</v>
      </c>
      <c r="AO18" s="22"/>
      <c r="AP18" s="22"/>
      <c r="AQ18" s="30" t="s">
        <v>49</v>
      </c>
      <c r="AR18" s="30" t="s">
        <v>49</v>
      </c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22" t="n">
        <f aca="false">SUM(AS18:BD18)</f>
        <v>0</v>
      </c>
      <c r="BF18" s="23"/>
      <c r="BG18" s="24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22" t="n">
        <f aca="false">SUM(BH18:BS18)</f>
        <v>0</v>
      </c>
      <c r="BU18" s="26"/>
      <c r="BV18" s="17"/>
      <c r="BW18" s="17"/>
      <c r="BX18" s="23" t="n">
        <f aca="false">IFERROR(R18/AE18,0)</f>
        <v>929.28</v>
      </c>
      <c r="BY18" s="23" t="n">
        <f aca="false">IFERROR(R18/12,0)</f>
        <v>154.88</v>
      </c>
      <c r="BZ18" s="18" t="n">
        <v>48.5</v>
      </c>
      <c r="CA18" s="22" t="str">
        <f aca="false">IF(AE18=0,"PROSPECT",IF(AE18=1,"NOVO",IF(AE18&lt;=3,"EM DESENV.",IF(AE18&lt;=6,"RECORRENTE","FIDELIZADO"))))</f>
        <v>EM DESENV.</v>
      </c>
      <c r="CB18" s="22" t="n">
        <f aca="false">IF((P18+Q18)&gt;0,1,0)+IF((BR18+BS18)&gt;0,1,0)+IF(BE18&gt;0,1,0)</f>
        <v>0</v>
      </c>
    </row>
    <row r="19" customFormat="false" ht="15" hidden="false" customHeight="true" outlineLevel="0" collapsed="false">
      <c r="A19" s="16" t="s">
        <v>104</v>
      </c>
      <c r="B19" s="17" t="s">
        <v>105</v>
      </c>
      <c r="C19" s="18" t="s">
        <v>53</v>
      </c>
      <c r="D19" s="17" t="s">
        <v>106</v>
      </c>
      <c r="E19" s="19" t="s">
        <v>43</v>
      </c>
      <c r="F19" s="20"/>
      <c r="G19" s="20"/>
      <c r="H19" s="20"/>
      <c r="I19" s="20"/>
      <c r="J19" s="20"/>
      <c r="K19" s="20"/>
      <c r="L19" s="27" t="n">
        <v>2015.52</v>
      </c>
      <c r="M19" s="20"/>
      <c r="N19" s="20"/>
      <c r="O19" s="20"/>
      <c r="P19" s="20"/>
      <c r="Q19" s="20"/>
      <c r="R19" s="21" t="n">
        <f aca="false">SUM(F19:Q19)</f>
        <v>2015.52</v>
      </c>
      <c r="S19" s="18"/>
      <c r="T19" s="18"/>
      <c r="U19" s="18"/>
      <c r="V19" s="18"/>
      <c r="W19" s="18"/>
      <c r="X19" s="18"/>
      <c r="Y19" s="28" t="n">
        <v>1</v>
      </c>
      <c r="Z19" s="18"/>
      <c r="AA19" s="18"/>
      <c r="AB19" s="18"/>
      <c r="AC19" s="18"/>
      <c r="AD19" s="18"/>
      <c r="AE19" s="22" t="n">
        <f aca="false">SUM(S19:AD19)</f>
        <v>1</v>
      </c>
      <c r="AF19" s="22"/>
      <c r="AG19" s="22"/>
      <c r="AH19" s="22"/>
      <c r="AI19" s="22"/>
      <c r="AJ19" s="22"/>
      <c r="AK19" s="22"/>
      <c r="AL19" s="19" t="s">
        <v>50</v>
      </c>
      <c r="AM19" s="22"/>
      <c r="AN19" s="22"/>
      <c r="AO19" s="22"/>
      <c r="AP19" s="22"/>
      <c r="AQ19" s="19" t="s">
        <v>50</v>
      </c>
      <c r="AR19" s="30" t="s">
        <v>49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22" t="n">
        <f aca="false">SUM(AS19:BD19)</f>
        <v>0</v>
      </c>
      <c r="BF19" s="23"/>
      <c r="BG19" s="24"/>
      <c r="BH19" s="18"/>
      <c r="BI19" s="18"/>
      <c r="BJ19" s="18"/>
      <c r="BK19" s="18"/>
      <c r="BL19" s="18"/>
      <c r="BM19" s="18"/>
      <c r="BN19" s="18"/>
      <c r="BO19" s="18"/>
      <c r="BP19" s="18"/>
      <c r="BQ19" s="25" t="n">
        <v>2</v>
      </c>
      <c r="BR19" s="25" t="n">
        <v>4</v>
      </c>
      <c r="BS19" s="25" t="n">
        <v>2</v>
      </c>
      <c r="BT19" s="22" t="n">
        <f aca="false">SUM(BH19:BS19)</f>
        <v>8</v>
      </c>
      <c r="BU19" s="26" t="n">
        <v>46059.4930555556</v>
      </c>
      <c r="BV19" s="17" t="s">
        <v>107</v>
      </c>
      <c r="BW19" s="17" t="s">
        <v>44</v>
      </c>
      <c r="BX19" s="23" t="n">
        <f aca="false">IFERROR(R19/AE19,0)</f>
        <v>2015.52</v>
      </c>
      <c r="BY19" s="23" t="n">
        <f aca="false">IFERROR(R19/12,0)</f>
        <v>167.96</v>
      </c>
      <c r="BZ19" s="18" t="n">
        <v>130</v>
      </c>
      <c r="CA19" s="22" t="str">
        <f aca="false">IF(AE19=0,"PROSPECT",IF(AE19=1,"NOVO",IF(AE19&lt;=3,"EM DESENV.",IF(AE19&lt;=6,"RECORRENTE","FIDELIZADO"))))</f>
        <v>NOVO</v>
      </c>
      <c r="CB19" s="22" t="n">
        <f aca="false">IF((P19+Q19)&gt;0,1,0)+IF((BR19+BS19)&gt;0,1,0)+IF(BE19&gt;0,1,0)</f>
        <v>1</v>
      </c>
    </row>
    <row r="20" customFormat="false" ht="15" hidden="false" customHeight="true" outlineLevel="0" collapsed="false">
      <c r="A20" s="16" t="s">
        <v>108</v>
      </c>
      <c r="B20" s="17" t="s">
        <v>109</v>
      </c>
      <c r="C20" s="18" t="s">
        <v>72</v>
      </c>
      <c r="D20" s="17" t="s">
        <v>110</v>
      </c>
      <c r="E20" s="19" t="s">
        <v>43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1" t="n">
        <f aca="false">SUM(F20:Q20)</f>
        <v>0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22" t="n">
        <f aca="false">SUM(S20:AD20)</f>
        <v>0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22" t="n">
        <f aca="false">SUM(AS20:BD20)</f>
        <v>0</v>
      </c>
      <c r="BF20" s="23"/>
      <c r="BG20" s="24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25" t="n">
        <v>3</v>
      </c>
      <c r="BS20" s="25" t="n">
        <v>2</v>
      </c>
      <c r="BT20" s="22" t="n">
        <f aca="false">SUM(BH20:BS20)</f>
        <v>5</v>
      </c>
      <c r="BU20" s="26" t="n">
        <v>46057.3930555556</v>
      </c>
      <c r="BV20" s="17"/>
      <c r="BW20" s="17" t="s">
        <v>111</v>
      </c>
      <c r="BX20" s="23" t="n">
        <f aca="false">IFERROR(R20/AE20,0)</f>
        <v>0</v>
      </c>
      <c r="BY20" s="23" t="n">
        <f aca="false">IFERROR(R20/12,0)</f>
        <v>0</v>
      </c>
      <c r="BZ20" s="18" t="n">
        <v>0</v>
      </c>
      <c r="CA20" s="22" t="str">
        <f aca="false">IF(AE20=0,"PROSPECT",IF(AE20=1,"NOVO",IF(AE20&lt;=3,"EM DESENV.",IF(AE20&lt;=6,"RECORRENTE","FIDELIZADO"))))</f>
        <v>PROSPECT</v>
      </c>
      <c r="CB20" s="22" t="n">
        <f aca="false">IF((P20+Q20)&gt;0,1,0)+IF((BR20+BS20)&gt;0,1,0)+IF(BE20&gt;0,1,0)</f>
        <v>1</v>
      </c>
    </row>
    <row r="21" customFormat="false" ht="15" hidden="false" customHeight="true" outlineLevel="0" collapsed="false">
      <c r="A21" s="16" t="s">
        <v>112</v>
      </c>
      <c r="B21" s="17" t="s">
        <v>113</v>
      </c>
      <c r="C21" s="18" t="s">
        <v>41</v>
      </c>
      <c r="D21" s="17" t="s">
        <v>42</v>
      </c>
      <c r="E21" s="19" t="s">
        <v>43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1" t="n">
        <f aca="false">SUM(F21:Q21)</f>
        <v>0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22" t="n">
        <f aca="false">SUM(S21:AD21)</f>
        <v>0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22" t="n">
        <f aca="false">SUM(AS21:BD21)</f>
        <v>0</v>
      </c>
      <c r="BF21" s="23"/>
      <c r="BG21" s="24"/>
      <c r="BH21" s="18"/>
      <c r="BI21" s="18"/>
      <c r="BJ21" s="18"/>
      <c r="BK21" s="18"/>
      <c r="BL21" s="25" t="n">
        <v>1</v>
      </c>
      <c r="BM21" s="18"/>
      <c r="BN21" s="18"/>
      <c r="BO21" s="18"/>
      <c r="BP21" s="18"/>
      <c r="BQ21" s="25" t="n">
        <v>2</v>
      </c>
      <c r="BR21" s="18"/>
      <c r="BS21" s="18"/>
      <c r="BT21" s="22" t="n">
        <f aca="false">SUM(BH21:BS21)</f>
        <v>3</v>
      </c>
      <c r="BU21" s="26" t="n">
        <v>45994.4694444445</v>
      </c>
      <c r="BV21" s="17"/>
      <c r="BW21" s="17" t="s">
        <v>44</v>
      </c>
      <c r="BX21" s="23" t="n">
        <f aca="false">IFERROR(R21/AE21,0)</f>
        <v>0</v>
      </c>
      <c r="BY21" s="23" t="n">
        <f aca="false">IFERROR(R21/12,0)</f>
        <v>0</v>
      </c>
      <c r="BZ21" s="18" t="n">
        <v>0</v>
      </c>
      <c r="CA21" s="22" t="str">
        <f aca="false">IF(AE21=0,"PROSPECT",IF(AE21=1,"NOVO",IF(AE21&lt;=3,"EM DESENV.",IF(AE21&lt;=6,"RECORRENTE","FIDELIZADO"))))</f>
        <v>PROSPECT</v>
      </c>
      <c r="CB21" s="22" t="n">
        <f aca="false">IF((P21+Q21)&gt;0,1,0)+IF((BR21+BS21)&gt;0,1,0)+IF(BE21&gt;0,1,0)</f>
        <v>0</v>
      </c>
    </row>
    <row r="22" customFormat="false" ht="15" hidden="false" customHeight="true" outlineLevel="0" collapsed="false">
      <c r="A22" s="16" t="s">
        <v>114</v>
      </c>
      <c r="B22" s="17" t="s">
        <v>115</v>
      </c>
      <c r="C22" s="18" t="s">
        <v>72</v>
      </c>
      <c r="D22" s="17" t="s">
        <v>116</v>
      </c>
      <c r="E22" s="19" t="s">
        <v>43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7" t="n">
        <v>666.38</v>
      </c>
      <c r="Q22" s="20"/>
      <c r="R22" s="21" t="n">
        <f aca="false">SUM(F22:Q22)</f>
        <v>666.38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28" t="n">
        <v>1</v>
      </c>
      <c r="AD22" s="18"/>
      <c r="AE22" s="22" t="n">
        <f aca="false">SUM(S22:AD22)</f>
        <v>1</v>
      </c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9" t="s">
        <v>48</v>
      </c>
      <c r="AQ22" s="22"/>
      <c r="AR22" s="22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25" t="n">
        <v>3</v>
      </c>
      <c r="BD22" s="18"/>
      <c r="BE22" s="22" t="n">
        <f aca="false">SUM(AS22:BD22)</f>
        <v>3</v>
      </c>
      <c r="BF22" s="23" t="n">
        <v>666.38</v>
      </c>
      <c r="BG22" s="19" t="s">
        <v>55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25" t="n">
        <v>1</v>
      </c>
      <c r="BS22" s="18"/>
      <c r="BT22" s="22" t="n">
        <f aca="false">SUM(BH22:BS22)</f>
        <v>1</v>
      </c>
      <c r="BU22" s="26" t="n">
        <v>46034.6006944445</v>
      </c>
      <c r="BV22" s="17"/>
      <c r="BW22" s="17" t="s">
        <v>117</v>
      </c>
      <c r="BX22" s="23" t="n">
        <f aca="false">IFERROR(R22/AE22,0)</f>
        <v>666.38</v>
      </c>
      <c r="BY22" s="23" t="n">
        <f aca="false">IFERROR(R22/12,0)</f>
        <v>55.5316666666667</v>
      </c>
      <c r="BZ22" s="18" t="n">
        <v>0</v>
      </c>
      <c r="CA22" s="22" t="str">
        <f aca="false">IF(AE22=0,"PROSPECT",IF(AE22=1,"NOVO",IF(AE22&lt;=3,"EM DESENV.",IF(AE22&lt;=6,"RECORRENTE","FIDELIZADO"))))</f>
        <v>NOVO</v>
      </c>
      <c r="CB22" s="22" t="n">
        <f aca="false">IF((P22+Q22)&gt;0,1,0)+IF((BR22+BS22)&gt;0,1,0)+IF(BE22&gt;0,1,0)</f>
        <v>3</v>
      </c>
    </row>
    <row r="23" customFormat="false" ht="15" hidden="false" customHeight="true" outlineLevel="0" collapsed="false">
      <c r="A23" s="16" t="s">
        <v>118</v>
      </c>
      <c r="B23" s="17" t="s">
        <v>119</v>
      </c>
      <c r="C23" s="18" t="s">
        <v>61</v>
      </c>
      <c r="D23" s="17" t="s">
        <v>120</v>
      </c>
      <c r="E23" s="19" t="s">
        <v>43</v>
      </c>
      <c r="F23" s="20"/>
      <c r="G23" s="20"/>
      <c r="H23" s="27" t="n">
        <v>687.56</v>
      </c>
      <c r="I23" s="20"/>
      <c r="J23" s="20"/>
      <c r="K23" s="20"/>
      <c r="L23" s="20"/>
      <c r="M23" s="20"/>
      <c r="N23" s="20"/>
      <c r="O23" s="20"/>
      <c r="P23" s="27" t="n">
        <v>698.62</v>
      </c>
      <c r="Q23" s="20"/>
      <c r="R23" s="21" t="n">
        <f aca="false">SUM(F23:Q23)</f>
        <v>1386.18</v>
      </c>
      <c r="S23" s="18"/>
      <c r="T23" s="18"/>
      <c r="U23" s="28" t="n">
        <v>1</v>
      </c>
      <c r="V23" s="18"/>
      <c r="W23" s="18"/>
      <c r="X23" s="18"/>
      <c r="Y23" s="18"/>
      <c r="Z23" s="18"/>
      <c r="AA23" s="18"/>
      <c r="AB23" s="18"/>
      <c r="AC23" s="28" t="n">
        <v>1</v>
      </c>
      <c r="AD23" s="18"/>
      <c r="AE23" s="22" t="n">
        <f aca="false">SUM(S23:AD23)</f>
        <v>2</v>
      </c>
      <c r="AF23" s="22"/>
      <c r="AG23" s="22"/>
      <c r="AH23" s="30" t="s">
        <v>49</v>
      </c>
      <c r="AI23" s="22"/>
      <c r="AJ23" s="22"/>
      <c r="AK23" s="22"/>
      <c r="AL23" s="22"/>
      <c r="AM23" s="22"/>
      <c r="AN23" s="22"/>
      <c r="AO23" s="22"/>
      <c r="AP23" s="22"/>
      <c r="AQ23" s="22"/>
      <c r="AR23" s="29" t="s">
        <v>48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22" t="n">
        <f aca="false">SUM(AS23:BD23)</f>
        <v>0</v>
      </c>
      <c r="BF23" s="23"/>
      <c r="BG23" s="24"/>
      <c r="BH23" s="25" t="n">
        <v>2</v>
      </c>
      <c r="BI23" s="18"/>
      <c r="BJ23" s="25" t="n">
        <v>1</v>
      </c>
      <c r="BK23" s="25" t="n">
        <v>3</v>
      </c>
      <c r="BL23" s="25" t="n">
        <v>5</v>
      </c>
      <c r="BM23" s="25" t="n">
        <v>2</v>
      </c>
      <c r="BN23" s="18"/>
      <c r="BO23" s="18"/>
      <c r="BP23" s="18"/>
      <c r="BQ23" s="25" t="n">
        <v>1</v>
      </c>
      <c r="BR23" s="25" t="n">
        <v>3</v>
      </c>
      <c r="BS23" s="18"/>
      <c r="BT23" s="22" t="n">
        <f aca="false">SUM(BH23:BS23)</f>
        <v>17</v>
      </c>
      <c r="BU23" s="26" t="n">
        <v>46045.4013888889</v>
      </c>
      <c r="BV23" s="17"/>
      <c r="BW23" s="17" t="s">
        <v>117</v>
      </c>
      <c r="BX23" s="23" t="n">
        <f aca="false">IFERROR(R23/AE23,0)</f>
        <v>693.09</v>
      </c>
      <c r="BY23" s="23" t="n">
        <f aca="false">IFERROR(R23/12,0)</f>
        <v>115.515</v>
      </c>
      <c r="BZ23" s="18" t="n">
        <v>263</v>
      </c>
      <c r="CA23" s="22" t="str">
        <f aca="false">IF(AE23=0,"PROSPECT",IF(AE23=1,"NOVO",IF(AE23&lt;=3,"EM DESENV.",IF(AE23&lt;=6,"RECORRENTE","FIDELIZADO"))))</f>
        <v>EM DESENV.</v>
      </c>
      <c r="CB23" s="22" t="n">
        <f aca="false">IF((P23+Q23)&gt;0,1,0)+IF((BR23+BS23)&gt;0,1,0)+IF(BE23&gt;0,1,0)</f>
        <v>2</v>
      </c>
    </row>
    <row r="24" customFormat="false" ht="15" hidden="false" customHeight="true" outlineLevel="0" collapsed="false">
      <c r="A24" s="16" t="s">
        <v>121</v>
      </c>
      <c r="B24" s="17" t="s">
        <v>122</v>
      </c>
      <c r="C24" s="18" t="s">
        <v>61</v>
      </c>
      <c r="D24" s="17" t="s">
        <v>123</v>
      </c>
      <c r="E24" s="19" t="s">
        <v>43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1" t="n">
        <f aca="false">SUM(F24:Q24)</f>
        <v>0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2" t="n">
        <f aca="false">SUM(S24:AD24)</f>
        <v>0</v>
      </c>
      <c r="AF24" s="22"/>
      <c r="AG24" s="22"/>
      <c r="AH24" s="22"/>
      <c r="AI24" s="30" t="s">
        <v>49</v>
      </c>
      <c r="AJ24" s="22"/>
      <c r="AK24" s="22"/>
      <c r="AL24" s="22"/>
      <c r="AM24" s="22"/>
      <c r="AN24" s="22"/>
      <c r="AO24" s="22"/>
      <c r="AP24" s="22"/>
      <c r="AQ24" s="22"/>
      <c r="AR24" s="30" t="s">
        <v>49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22" t="n">
        <f aca="false">SUM(AS24:BD24)</f>
        <v>0</v>
      </c>
      <c r="BF24" s="23"/>
      <c r="BG24" s="24"/>
      <c r="BH24" s="25" t="n">
        <v>1</v>
      </c>
      <c r="BI24" s="18"/>
      <c r="BJ24" s="18"/>
      <c r="BK24" s="18"/>
      <c r="BL24" s="25" t="n">
        <v>3</v>
      </c>
      <c r="BM24" s="25" t="n">
        <v>1</v>
      </c>
      <c r="BN24" s="18"/>
      <c r="BO24" s="18"/>
      <c r="BP24" s="18"/>
      <c r="BQ24" s="18"/>
      <c r="BR24" s="18"/>
      <c r="BS24" s="18"/>
      <c r="BT24" s="22" t="n">
        <f aca="false">SUM(BH24:BS24)</f>
        <v>5</v>
      </c>
      <c r="BU24" s="26" t="n">
        <v>45895.68125</v>
      </c>
      <c r="BV24" s="17" t="s">
        <v>124</v>
      </c>
      <c r="BW24" s="17" t="s">
        <v>44</v>
      </c>
      <c r="BX24" s="23" t="n">
        <f aca="false">IFERROR(R24/AE24,0)</f>
        <v>0</v>
      </c>
      <c r="BY24" s="23" t="n">
        <f aca="false">IFERROR(R24/12,0)</f>
        <v>0</v>
      </c>
      <c r="BZ24" s="18" t="n">
        <v>208</v>
      </c>
      <c r="CA24" s="22" t="str">
        <f aca="false">IF(AE24=0,"PROSPECT",IF(AE24=1,"NOVO",IF(AE24&lt;=3,"EM DESENV.",IF(AE24&lt;=6,"RECORRENTE","FIDELIZADO"))))</f>
        <v>PROSPECT</v>
      </c>
      <c r="CB24" s="22" t="n">
        <f aca="false">IF((P24+Q24)&gt;0,1,0)+IF((BR24+BS24)&gt;0,1,0)+IF(BE24&gt;0,1,0)</f>
        <v>0</v>
      </c>
    </row>
    <row r="25" customFormat="false" ht="15" hidden="false" customHeight="true" outlineLevel="0" collapsed="false">
      <c r="A25" s="16" t="s">
        <v>125</v>
      </c>
      <c r="B25" s="17" t="s">
        <v>126</v>
      </c>
      <c r="C25" s="18" t="s">
        <v>127</v>
      </c>
      <c r="D25" s="17" t="s">
        <v>128</v>
      </c>
      <c r="E25" s="19" t="s">
        <v>43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 t="n">
        <f aca="false">SUM(F25:Q25)</f>
        <v>0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22" t="n">
        <f aca="false">SUM(S25:AD25)</f>
        <v>0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22" t="n">
        <f aca="false">SUM(AS25:BD25)</f>
        <v>0</v>
      </c>
      <c r="BF25" s="23"/>
      <c r="BG25" s="24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22" t="n">
        <f aca="false">SUM(BH25:BS25)</f>
        <v>0</v>
      </c>
      <c r="BU25" s="26"/>
      <c r="BV25" s="17"/>
      <c r="BW25" s="17"/>
      <c r="BX25" s="23" t="n">
        <f aca="false">IFERROR(R25/AE25,0)</f>
        <v>0</v>
      </c>
      <c r="BY25" s="23" t="n">
        <f aca="false">IFERROR(R25/12,0)</f>
        <v>0</v>
      </c>
      <c r="BZ25" s="18" t="n">
        <v>0</v>
      </c>
      <c r="CA25" s="22" t="str">
        <f aca="false">IF(AE25=0,"PROSPECT",IF(AE25=1,"NOVO",IF(AE25&lt;=3,"EM DESENV.",IF(AE25&lt;=6,"RECORRENTE","FIDELIZADO"))))</f>
        <v>PROSPECT</v>
      </c>
      <c r="CB25" s="22" t="n">
        <f aca="false">IF((P25+Q25)&gt;0,1,0)+IF((BR25+BS25)&gt;0,1,0)+IF(BE25&gt;0,1,0)</f>
        <v>0</v>
      </c>
    </row>
    <row r="26" customFormat="false" ht="15" hidden="false" customHeight="true" outlineLevel="0" collapsed="false">
      <c r="A26" s="16" t="s">
        <v>129</v>
      </c>
      <c r="B26" s="17" t="s">
        <v>130</v>
      </c>
      <c r="C26" s="18" t="s">
        <v>72</v>
      </c>
      <c r="D26" s="17" t="s">
        <v>131</v>
      </c>
      <c r="E26" s="19" t="s">
        <v>43</v>
      </c>
      <c r="F26" s="20"/>
      <c r="G26" s="20"/>
      <c r="H26" s="27" t="n">
        <v>880</v>
      </c>
      <c r="I26" s="27" t="n">
        <v>1218.44</v>
      </c>
      <c r="J26" s="20"/>
      <c r="K26" s="27" t="n">
        <v>924.68</v>
      </c>
      <c r="L26" s="20"/>
      <c r="M26" s="20"/>
      <c r="N26" s="20"/>
      <c r="O26" s="20"/>
      <c r="P26" s="27" t="n">
        <v>729.94</v>
      </c>
      <c r="Q26" s="20"/>
      <c r="R26" s="21" t="n">
        <f aca="false">SUM(F26:Q26)</f>
        <v>3753.06</v>
      </c>
      <c r="S26" s="18"/>
      <c r="T26" s="18"/>
      <c r="U26" s="28" t="n">
        <v>1</v>
      </c>
      <c r="V26" s="28" t="n">
        <v>1</v>
      </c>
      <c r="W26" s="18"/>
      <c r="X26" s="28" t="n">
        <v>1</v>
      </c>
      <c r="Y26" s="18"/>
      <c r="Z26" s="18"/>
      <c r="AA26" s="18"/>
      <c r="AB26" s="18"/>
      <c r="AC26" s="28" t="n">
        <v>1</v>
      </c>
      <c r="AD26" s="18"/>
      <c r="AE26" s="22" t="n">
        <f aca="false">SUM(S26:AD26)</f>
        <v>4</v>
      </c>
      <c r="AF26" s="22"/>
      <c r="AG26" s="22"/>
      <c r="AH26" s="22"/>
      <c r="AI26" s="22"/>
      <c r="AJ26" s="22"/>
      <c r="AK26" s="30" t="s">
        <v>49</v>
      </c>
      <c r="AL26" s="22"/>
      <c r="AM26" s="22"/>
      <c r="AN26" s="22"/>
      <c r="AO26" s="22"/>
      <c r="AP26" s="30" t="s">
        <v>49</v>
      </c>
      <c r="AQ26" s="22"/>
      <c r="AR26" s="29" t="s">
        <v>48</v>
      </c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22" t="n">
        <f aca="false">SUM(AS26:BD26)</f>
        <v>0</v>
      </c>
      <c r="BF26" s="23" t="n">
        <v>924.68</v>
      </c>
      <c r="BG26" s="24"/>
      <c r="BH26" s="18"/>
      <c r="BI26" s="18"/>
      <c r="BJ26" s="25" t="n">
        <v>2</v>
      </c>
      <c r="BK26" s="25" t="n">
        <v>1</v>
      </c>
      <c r="BL26" s="25" t="n">
        <v>3</v>
      </c>
      <c r="BM26" s="25" t="n">
        <v>1</v>
      </c>
      <c r="BN26" s="18"/>
      <c r="BO26" s="25" t="n">
        <v>1</v>
      </c>
      <c r="BP26" s="25" t="n">
        <v>3</v>
      </c>
      <c r="BQ26" s="18"/>
      <c r="BR26" s="25" t="n">
        <v>1</v>
      </c>
      <c r="BS26" s="18"/>
      <c r="BT26" s="22" t="n">
        <f aca="false">SUM(BH26:BS26)</f>
        <v>12</v>
      </c>
      <c r="BU26" s="26" t="n">
        <v>46036.3640162037</v>
      </c>
      <c r="BV26" s="17"/>
      <c r="BW26" s="17" t="s">
        <v>44</v>
      </c>
      <c r="BX26" s="23" t="n">
        <f aca="false">IFERROR(R26/AE26,0)</f>
        <v>938.265</v>
      </c>
      <c r="BY26" s="23" t="n">
        <f aca="false">IFERROR(R26/12,0)</f>
        <v>312.755</v>
      </c>
      <c r="BZ26" s="18" t="n">
        <v>143</v>
      </c>
      <c r="CA26" s="22" t="str">
        <f aca="false">IF(AE26=0,"PROSPECT",IF(AE26=1,"NOVO",IF(AE26&lt;=3,"EM DESENV.",IF(AE26&lt;=6,"RECORRENTE","FIDELIZADO"))))</f>
        <v>RECORRENTE</v>
      </c>
      <c r="CB26" s="22" t="n">
        <f aca="false">IF((P26+Q26)&gt;0,1,0)+IF((BR26+BS26)&gt;0,1,0)+IF(BE26&gt;0,1,0)</f>
        <v>2</v>
      </c>
    </row>
    <row r="27" customFormat="false" ht="15" hidden="false" customHeight="true" outlineLevel="0" collapsed="false">
      <c r="A27" s="16" t="s">
        <v>132</v>
      </c>
      <c r="B27" s="17" t="s">
        <v>133</v>
      </c>
      <c r="C27" s="18" t="s">
        <v>61</v>
      </c>
      <c r="D27" s="17" t="s">
        <v>134</v>
      </c>
      <c r="E27" s="19" t="s">
        <v>43</v>
      </c>
      <c r="F27" s="20"/>
      <c r="G27" s="20"/>
      <c r="H27" s="20"/>
      <c r="I27" s="27" t="n">
        <v>2643.25</v>
      </c>
      <c r="J27" s="27" t="n">
        <v>1678.98</v>
      </c>
      <c r="K27" s="27" t="n">
        <v>4220.08</v>
      </c>
      <c r="L27" s="27" t="n">
        <v>2074.89</v>
      </c>
      <c r="M27" s="20"/>
      <c r="N27" s="27" t="n">
        <v>1251.88</v>
      </c>
      <c r="O27" s="20"/>
      <c r="P27" s="27" t="n">
        <v>1795.52</v>
      </c>
      <c r="Q27" s="20"/>
      <c r="R27" s="21" t="n">
        <f aca="false">SUM(F27:Q27)</f>
        <v>13664.6</v>
      </c>
      <c r="S27" s="18"/>
      <c r="T27" s="18"/>
      <c r="U27" s="18"/>
      <c r="V27" s="28" t="n">
        <v>1</v>
      </c>
      <c r="W27" s="28" t="n">
        <v>1</v>
      </c>
      <c r="X27" s="28" t="n">
        <v>1</v>
      </c>
      <c r="Y27" s="28" t="n">
        <v>1</v>
      </c>
      <c r="Z27" s="18"/>
      <c r="AA27" s="28" t="n">
        <v>1</v>
      </c>
      <c r="AB27" s="18"/>
      <c r="AC27" s="28" t="n">
        <v>1</v>
      </c>
      <c r="AD27" s="18"/>
      <c r="AE27" s="22" t="n">
        <f aca="false">SUM(S27:AD27)</f>
        <v>6</v>
      </c>
      <c r="AF27" s="22"/>
      <c r="AG27" s="22"/>
      <c r="AH27" s="22"/>
      <c r="AI27" s="19" t="s">
        <v>50</v>
      </c>
      <c r="AJ27" s="19" t="s">
        <v>50</v>
      </c>
      <c r="AK27" s="19" t="s">
        <v>50</v>
      </c>
      <c r="AL27" s="19" t="s">
        <v>50</v>
      </c>
      <c r="AM27" s="22"/>
      <c r="AN27" s="30" t="s">
        <v>49</v>
      </c>
      <c r="AO27" s="22"/>
      <c r="AP27" s="22"/>
      <c r="AQ27" s="22"/>
      <c r="AR27" s="19" t="s">
        <v>50</v>
      </c>
      <c r="AS27" s="18"/>
      <c r="AT27" s="18"/>
      <c r="AU27" s="18"/>
      <c r="AV27" s="25" t="n">
        <v>5</v>
      </c>
      <c r="AW27" s="18"/>
      <c r="AX27" s="25" t="n">
        <v>1</v>
      </c>
      <c r="AY27" s="25" t="n">
        <v>3</v>
      </c>
      <c r="AZ27" s="18"/>
      <c r="BA27" s="25" t="n">
        <v>1</v>
      </c>
      <c r="BB27" s="25" t="n">
        <v>2</v>
      </c>
      <c r="BC27" s="18"/>
      <c r="BD27" s="25" t="n">
        <v>2</v>
      </c>
      <c r="BE27" s="22" t="n">
        <f aca="false">SUM(AS27:BD27)</f>
        <v>14</v>
      </c>
      <c r="BF27" s="23" t="n">
        <v>10190.1</v>
      </c>
      <c r="BG27" s="19" t="s">
        <v>55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22" t="n">
        <f aca="false">SUM(BH27:BS27)</f>
        <v>0</v>
      </c>
      <c r="BU27" s="26"/>
      <c r="BV27" s="17"/>
      <c r="BW27" s="17"/>
      <c r="BX27" s="23" t="n">
        <f aca="false">IFERROR(R27/AE27,0)</f>
        <v>2277.43333333333</v>
      </c>
      <c r="BY27" s="23" t="n">
        <f aca="false">IFERROR(R27/12,0)</f>
        <v>1138.71666666667</v>
      </c>
      <c r="BZ27" s="18" t="n">
        <v>37.1667</v>
      </c>
      <c r="CA27" s="22" t="str">
        <f aca="false">IF(AE27=0,"PROSPECT",IF(AE27=1,"NOVO",IF(AE27&lt;=3,"EM DESENV.",IF(AE27&lt;=6,"RECORRENTE","FIDELIZADO"))))</f>
        <v>RECORRENTE</v>
      </c>
      <c r="CB27" s="22" t="n">
        <f aca="false">IF((P27+Q27)&gt;0,1,0)+IF((BR27+BS27)&gt;0,1,0)+IF(BE27&gt;0,1,0)</f>
        <v>2</v>
      </c>
    </row>
    <row r="28" customFormat="false" ht="15" hidden="false" customHeight="true" outlineLevel="0" collapsed="false">
      <c r="A28" s="16" t="s">
        <v>135</v>
      </c>
      <c r="B28" s="17" t="s">
        <v>136</v>
      </c>
      <c r="C28" s="18" t="s">
        <v>61</v>
      </c>
      <c r="D28" s="17" t="s">
        <v>137</v>
      </c>
      <c r="E28" s="19" t="s">
        <v>43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 t="n">
        <f aca="false">SUM(F28:Q28)</f>
        <v>0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22" t="n">
        <f aca="false">SUM(S28:AD28)</f>
        <v>0</v>
      </c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30" t="s">
        <v>49</v>
      </c>
      <c r="AR28" s="22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22" t="n">
        <f aca="false">SUM(AS28:BD28)</f>
        <v>0</v>
      </c>
      <c r="BF28" s="23"/>
      <c r="BG28" s="24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25" t="n">
        <v>2</v>
      </c>
      <c r="BS28" s="18"/>
      <c r="BT28" s="22" t="n">
        <f aca="false">SUM(BH28:BS28)</f>
        <v>2</v>
      </c>
      <c r="BU28" s="26" t="n">
        <v>46050.5576273148</v>
      </c>
      <c r="BV28" s="17"/>
      <c r="BW28" s="17" t="s">
        <v>44</v>
      </c>
      <c r="BX28" s="23" t="n">
        <f aca="false">IFERROR(R28/AE28,0)</f>
        <v>0</v>
      </c>
      <c r="BY28" s="23" t="n">
        <f aca="false">IFERROR(R28/12,0)</f>
        <v>0</v>
      </c>
      <c r="BZ28" s="18" t="n">
        <v>0</v>
      </c>
      <c r="CA28" s="22" t="str">
        <f aca="false">IF(AE28=0,"PROSPECT",IF(AE28=1,"NOVO",IF(AE28&lt;=3,"EM DESENV.",IF(AE28&lt;=6,"RECORRENTE","FIDELIZADO"))))</f>
        <v>PROSPECT</v>
      </c>
      <c r="CB28" s="22" t="n">
        <f aca="false">IF((P28+Q28)&gt;0,1,0)+IF((BR28+BS28)&gt;0,1,0)+IF(BE28&gt;0,1,0)</f>
        <v>1</v>
      </c>
    </row>
    <row r="29" customFormat="false" ht="15" hidden="false" customHeight="true" outlineLevel="0" collapsed="false">
      <c r="A29" s="16" t="s">
        <v>138</v>
      </c>
      <c r="B29" s="17" t="s">
        <v>139</v>
      </c>
      <c r="C29" s="18" t="s">
        <v>61</v>
      </c>
      <c r="D29" s="17" t="s">
        <v>134</v>
      </c>
      <c r="E29" s="19" t="s">
        <v>43</v>
      </c>
      <c r="F29" s="20"/>
      <c r="G29" s="20"/>
      <c r="H29" s="20"/>
      <c r="I29" s="27" t="n">
        <v>2643.25</v>
      </c>
      <c r="J29" s="27" t="n">
        <v>1867.12</v>
      </c>
      <c r="K29" s="27" t="n">
        <v>2176.64</v>
      </c>
      <c r="L29" s="27" t="n">
        <v>1347.96</v>
      </c>
      <c r="M29" s="27" t="n">
        <v>1558.71</v>
      </c>
      <c r="N29" s="20"/>
      <c r="O29" s="27" t="n">
        <v>1148.44</v>
      </c>
      <c r="P29" s="27" t="n">
        <v>1018.04</v>
      </c>
      <c r="Q29" s="20"/>
      <c r="R29" s="21" t="n">
        <f aca="false">SUM(F29:Q29)</f>
        <v>11760.16</v>
      </c>
      <c r="S29" s="18"/>
      <c r="T29" s="18"/>
      <c r="U29" s="18"/>
      <c r="V29" s="28" t="n">
        <v>1</v>
      </c>
      <c r="W29" s="28" t="n">
        <v>1</v>
      </c>
      <c r="X29" s="28" t="n">
        <v>1</v>
      </c>
      <c r="Y29" s="28" t="n">
        <v>1</v>
      </c>
      <c r="Z29" s="28" t="n">
        <v>1</v>
      </c>
      <c r="AA29" s="18"/>
      <c r="AB29" s="28" t="n">
        <v>1</v>
      </c>
      <c r="AC29" s="28" t="n">
        <v>1</v>
      </c>
      <c r="AD29" s="18"/>
      <c r="AE29" s="22" t="n">
        <f aca="false">SUM(S29:AD29)</f>
        <v>7</v>
      </c>
      <c r="AF29" s="22"/>
      <c r="AG29" s="22"/>
      <c r="AH29" s="22"/>
      <c r="AI29" s="19" t="s">
        <v>50</v>
      </c>
      <c r="AJ29" s="19" t="s">
        <v>50</v>
      </c>
      <c r="AK29" s="19" t="s">
        <v>50</v>
      </c>
      <c r="AL29" s="19" t="s">
        <v>50</v>
      </c>
      <c r="AM29" s="19" t="s">
        <v>50</v>
      </c>
      <c r="AN29" s="22"/>
      <c r="AO29" s="19" t="s">
        <v>50</v>
      </c>
      <c r="AP29" s="22"/>
      <c r="AQ29" s="22"/>
      <c r="AR29" s="19" t="s">
        <v>50</v>
      </c>
      <c r="AS29" s="18"/>
      <c r="AT29" s="18"/>
      <c r="AU29" s="18"/>
      <c r="AV29" s="25" t="n">
        <v>3</v>
      </c>
      <c r="AW29" s="18"/>
      <c r="AX29" s="25" t="n">
        <v>1</v>
      </c>
      <c r="AY29" s="25" t="n">
        <v>3</v>
      </c>
      <c r="AZ29" s="18"/>
      <c r="BA29" s="18"/>
      <c r="BB29" s="25" t="n">
        <v>3</v>
      </c>
      <c r="BC29" s="25" t="n">
        <v>1</v>
      </c>
      <c r="BD29" s="25" t="n">
        <v>2</v>
      </c>
      <c r="BE29" s="22" t="n">
        <f aca="false">SUM(AS29:BD29)</f>
        <v>13</v>
      </c>
      <c r="BF29" s="23" t="n">
        <v>7316.29</v>
      </c>
      <c r="BG29" s="19" t="s">
        <v>55</v>
      </c>
      <c r="BH29" s="18"/>
      <c r="BI29" s="18"/>
      <c r="BJ29" s="25" t="n">
        <v>1</v>
      </c>
      <c r="BK29" s="25" t="n">
        <v>1</v>
      </c>
      <c r="BL29" s="25" t="n">
        <v>1</v>
      </c>
      <c r="BM29" s="25" t="n">
        <v>1</v>
      </c>
      <c r="BN29" s="18"/>
      <c r="BO29" s="18"/>
      <c r="BP29" s="18"/>
      <c r="BQ29" s="18"/>
      <c r="BR29" s="18"/>
      <c r="BS29" s="18"/>
      <c r="BT29" s="22" t="n">
        <f aca="false">SUM(BH29:BS29)</f>
        <v>4</v>
      </c>
      <c r="BU29" s="26" t="n">
        <v>45894.5006944445</v>
      </c>
      <c r="BV29" s="17" t="s">
        <v>124</v>
      </c>
      <c r="BW29" s="17" t="s">
        <v>44</v>
      </c>
      <c r="BX29" s="23" t="n">
        <f aca="false">IFERROR(R29/AE29,0)</f>
        <v>1680.02285714286</v>
      </c>
      <c r="BY29" s="23" t="n">
        <f aca="false">IFERROR(R29/12,0)</f>
        <v>980.013333333333</v>
      </c>
      <c r="BZ29" s="18" t="n">
        <v>31.7143</v>
      </c>
      <c r="CA29" s="22" t="str">
        <f aca="false">IF(AE29=0,"PROSPECT",IF(AE29=1,"NOVO",IF(AE29&lt;=3,"EM DESENV.",IF(AE29&lt;=6,"RECORRENTE","FIDELIZADO"))))</f>
        <v>FIDELIZADO</v>
      </c>
      <c r="CB29" s="22" t="n">
        <f aca="false">IF((P29+Q29)&gt;0,1,0)+IF((BR29+BS29)&gt;0,1,0)+IF(BE29&gt;0,1,0)</f>
        <v>2</v>
      </c>
    </row>
    <row r="30" customFormat="false" ht="15" hidden="false" customHeight="true" outlineLevel="0" collapsed="false">
      <c r="A30" s="16" t="s">
        <v>140</v>
      </c>
      <c r="B30" s="17" t="s">
        <v>141</v>
      </c>
      <c r="C30" s="18" t="s">
        <v>61</v>
      </c>
      <c r="D30" s="17" t="s">
        <v>134</v>
      </c>
      <c r="E30" s="19" t="s">
        <v>43</v>
      </c>
      <c r="F30" s="20"/>
      <c r="G30" s="20"/>
      <c r="H30" s="20"/>
      <c r="I30" s="27" t="n">
        <v>1889.7</v>
      </c>
      <c r="J30" s="20"/>
      <c r="K30" s="20"/>
      <c r="L30" s="27" t="n">
        <v>2126.48</v>
      </c>
      <c r="M30" s="27" t="n">
        <v>2829.87</v>
      </c>
      <c r="N30" s="27" t="n">
        <v>1753.02</v>
      </c>
      <c r="O30" s="20"/>
      <c r="P30" s="27" t="n">
        <v>1499.19</v>
      </c>
      <c r="Q30" s="20"/>
      <c r="R30" s="21" t="n">
        <f aca="false">SUM(F30:Q30)</f>
        <v>10098.26</v>
      </c>
      <c r="S30" s="18"/>
      <c r="T30" s="18"/>
      <c r="U30" s="18"/>
      <c r="V30" s="28" t="n">
        <v>1</v>
      </c>
      <c r="W30" s="18"/>
      <c r="X30" s="18"/>
      <c r="Y30" s="28" t="n">
        <v>1</v>
      </c>
      <c r="Z30" s="28" t="n">
        <v>1</v>
      </c>
      <c r="AA30" s="28" t="n">
        <v>1</v>
      </c>
      <c r="AB30" s="18"/>
      <c r="AC30" s="28" t="n">
        <v>1</v>
      </c>
      <c r="AD30" s="18"/>
      <c r="AE30" s="22" t="n">
        <f aca="false">SUM(S30:AD30)</f>
        <v>5</v>
      </c>
      <c r="AF30" s="22"/>
      <c r="AG30" s="22"/>
      <c r="AH30" s="22"/>
      <c r="AI30" s="19" t="s">
        <v>50</v>
      </c>
      <c r="AJ30" s="22"/>
      <c r="AK30" s="22"/>
      <c r="AL30" s="19" t="s">
        <v>50</v>
      </c>
      <c r="AM30" s="19" t="s">
        <v>50</v>
      </c>
      <c r="AN30" s="19" t="s">
        <v>50</v>
      </c>
      <c r="AO30" s="22"/>
      <c r="AP30" s="22"/>
      <c r="AQ30" s="22"/>
      <c r="AR30" s="19" t="s">
        <v>50</v>
      </c>
      <c r="AS30" s="18"/>
      <c r="AT30" s="18"/>
      <c r="AU30" s="18"/>
      <c r="AV30" s="25" t="n">
        <v>3</v>
      </c>
      <c r="AW30" s="18"/>
      <c r="AX30" s="18"/>
      <c r="AY30" s="25" t="n">
        <v>2</v>
      </c>
      <c r="AZ30" s="18"/>
      <c r="BA30" s="25" t="n">
        <v>1</v>
      </c>
      <c r="BB30" s="25" t="n">
        <v>3</v>
      </c>
      <c r="BC30" s="18"/>
      <c r="BD30" s="25" t="n">
        <v>2</v>
      </c>
      <c r="BE30" s="22" t="n">
        <f aca="false">SUM(AS30:BD30)</f>
        <v>11</v>
      </c>
      <c r="BF30" s="23" t="n">
        <v>5769.2</v>
      </c>
      <c r="BG30" s="19" t="s">
        <v>55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22" t="n">
        <f aca="false">SUM(BH30:BS30)</f>
        <v>0</v>
      </c>
      <c r="BU30" s="26"/>
      <c r="BV30" s="17"/>
      <c r="BW30" s="17"/>
      <c r="BX30" s="23" t="n">
        <f aca="false">IFERROR(R30/AE30,0)</f>
        <v>2019.652</v>
      </c>
      <c r="BY30" s="23" t="n">
        <f aca="false">IFERROR(R30/12,0)</f>
        <v>841.521666666667</v>
      </c>
      <c r="BZ30" s="18" t="n">
        <v>55.75</v>
      </c>
      <c r="CA30" s="22" t="str">
        <f aca="false">IF(AE30=0,"PROSPECT",IF(AE30=1,"NOVO",IF(AE30&lt;=3,"EM DESENV.",IF(AE30&lt;=6,"RECORRENTE","FIDELIZADO"))))</f>
        <v>RECORRENTE</v>
      </c>
      <c r="CB30" s="22" t="n">
        <f aca="false">IF((P30+Q30)&gt;0,1,0)+IF((BR30+BS30)&gt;0,1,0)+IF(BE30&gt;0,1,0)</f>
        <v>2</v>
      </c>
    </row>
    <row r="31" customFormat="false" ht="15" hidden="false" customHeight="true" outlineLevel="0" collapsed="false">
      <c r="A31" s="16" t="s">
        <v>142</v>
      </c>
      <c r="B31" s="17" t="s">
        <v>143</v>
      </c>
      <c r="C31" s="18" t="s">
        <v>144</v>
      </c>
      <c r="D31" s="17" t="s">
        <v>145</v>
      </c>
      <c r="E31" s="19" t="s">
        <v>43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1" t="n">
        <f aca="false">SUM(F31:Q31)</f>
        <v>0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2" t="n">
        <f aca="false">SUM(S31:AD31)</f>
        <v>0</v>
      </c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19" t="s">
        <v>50</v>
      </c>
      <c r="AR31" s="22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22" t="n">
        <f aca="false">SUM(AS31:BD31)</f>
        <v>0</v>
      </c>
      <c r="BF31" s="23"/>
      <c r="BG31" s="24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25" t="n">
        <v>2</v>
      </c>
      <c r="BT31" s="22" t="n">
        <f aca="false">SUM(BH31:BS31)</f>
        <v>2</v>
      </c>
      <c r="BU31" s="26" t="n">
        <v>46058.5395833333</v>
      </c>
      <c r="BV31" s="17"/>
      <c r="BW31" s="17" t="s">
        <v>44</v>
      </c>
      <c r="BX31" s="23" t="n">
        <f aca="false">IFERROR(R31/AE31,0)</f>
        <v>0</v>
      </c>
      <c r="BY31" s="23" t="n">
        <f aca="false">IFERROR(R31/12,0)</f>
        <v>0</v>
      </c>
      <c r="BZ31" s="18" t="n">
        <v>0</v>
      </c>
      <c r="CA31" s="22" t="str">
        <f aca="false">IF(AE31=0,"PROSPECT",IF(AE31=1,"NOVO",IF(AE31&lt;=3,"EM DESENV.",IF(AE31&lt;=6,"RECORRENTE","FIDELIZADO"))))</f>
        <v>PROSPECT</v>
      </c>
      <c r="CB31" s="22" t="n">
        <f aca="false">IF((P31+Q31)&gt;0,1,0)+IF((BR31+BS31)&gt;0,1,0)+IF(BE31&gt;0,1,0)</f>
        <v>1</v>
      </c>
    </row>
    <row r="32" customFormat="false" ht="15" hidden="false" customHeight="true" outlineLevel="0" collapsed="false">
      <c r="A32" s="16" t="s">
        <v>146</v>
      </c>
      <c r="B32" s="17" t="s">
        <v>147</v>
      </c>
      <c r="C32" s="18" t="s">
        <v>83</v>
      </c>
      <c r="D32" s="17" t="s">
        <v>148</v>
      </c>
      <c r="E32" s="19" t="s">
        <v>43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1" t="n">
        <f aca="false">SUM(F32:Q32)</f>
        <v>0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22" t="n">
        <f aca="false">SUM(S32:AD32)</f>
        <v>0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22" t="n">
        <f aca="false">SUM(AS32:BD32)</f>
        <v>0</v>
      </c>
      <c r="BF32" s="23"/>
      <c r="BG32" s="24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25" t="n">
        <v>3</v>
      </c>
      <c r="BS32" s="18"/>
      <c r="BT32" s="22" t="n">
        <f aca="false">SUM(BH32:BS32)</f>
        <v>3</v>
      </c>
      <c r="BU32" s="26" t="n">
        <v>46050.4723148148</v>
      </c>
      <c r="BV32" s="17" t="s">
        <v>149</v>
      </c>
      <c r="BW32" s="17" t="s">
        <v>44</v>
      </c>
      <c r="BX32" s="23" t="n">
        <f aca="false">IFERROR(R32/AE32,0)</f>
        <v>0</v>
      </c>
      <c r="BY32" s="23" t="n">
        <f aca="false">IFERROR(R32/12,0)</f>
        <v>0</v>
      </c>
      <c r="BZ32" s="18" t="n">
        <v>0</v>
      </c>
      <c r="CA32" s="22" t="str">
        <f aca="false">IF(AE32=0,"PROSPECT",IF(AE32=1,"NOVO",IF(AE32&lt;=3,"EM DESENV.",IF(AE32&lt;=6,"RECORRENTE","FIDELIZADO"))))</f>
        <v>PROSPECT</v>
      </c>
      <c r="CB32" s="22" t="n">
        <f aca="false">IF((P32+Q32)&gt;0,1,0)+IF((BR32+BS32)&gt;0,1,0)+IF(BE32&gt;0,1,0)</f>
        <v>1</v>
      </c>
    </row>
    <row r="33" customFormat="false" ht="15" hidden="false" customHeight="true" outlineLevel="0" collapsed="false">
      <c r="A33" s="16" t="s">
        <v>150</v>
      </c>
      <c r="B33" s="17" t="s">
        <v>151</v>
      </c>
      <c r="C33" s="18" t="s">
        <v>79</v>
      </c>
      <c r="D33" s="17" t="s">
        <v>152</v>
      </c>
      <c r="E33" s="19" t="s">
        <v>43</v>
      </c>
      <c r="F33" s="20"/>
      <c r="G33" s="20"/>
      <c r="H33" s="20"/>
      <c r="I33" s="20"/>
      <c r="J33" s="20"/>
      <c r="K33" s="20"/>
      <c r="L33" s="20"/>
      <c r="M33" s="20"/>
      <c r="N33" s="20"/>
      <c r="O33" s="27" t="n">
        <v>1118.75</v>
      </c>
      <c r="P33" s="27" t="n">
        <v>1699.51</v>
      </c>
      <c r="Q33" s="20"/>
      <c r="R33" s="21" t="n">
        <f aca="false">SUM(F33:Q33)</f>
        <v>2818.26</v>
      </c>
      <c r="S33" s="18"/>
      <c r="T33" s="18"/>
      <c r="U33" s="18"/>
      <c r="V33" s="18"/>
      <c r="W33" s="18"/>
      <c r="X33" s="18"/>
      <c r="Y33" s="18"/>
      <c r="Z33" s="18"/>
      <c r="AA33" s="18"/>
      <c r="AB33" s="28" t="n">
        <v>1</v>
      </c>
      <c r="AC33" s="28" t="n">
        <v>1</v>
      </c>
      <c r="AD33" s="18"/>
      <c r="AE33" s="22" t="n">
        <f aca="false">SUM(S33:AD33)</f>
        <v>2</v>
      </c>
      <c r="AF33" s="22"/>
      <c r="AG33" s="22"/>
      <c r="AH33" s="22"/>
      <c r="AI33" s="22"/>
      <c r="AJ33" s="22"/>
      <c r="AK33" s="22"/>
      <c r="AL33" s="22"/>
      <c r="AM33" s="22"/>
      <c r="AN33" s="22"/>
      <c r="AO33" s="19" t="s">
        <v>50</v>
      </c>
      <c r="AP33" s="22"/>
      <c r="AQ33" s="22"/>
      <c r="AR33" s="30" t="s">
        <v>49</v>
      </c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22" t="n">
        <f aca="false">SUM(AS33:BD33)</f>
        <v>0</v>
      </c>
      <c r="BF33" s="23"/>
      <c r="BG33" s="24"/>
      <c r="BH33" s="25" t="n">
        <v>1</v>
      </c>
      <c r="BI33" s="18"/>
      <c r="BJ33" s="18"/>
      <c r="BK33" s="18"/>
      <c r="BL33" s="18"/>
      <c r="BM33" s="18"/>
      <c r="BN33" s="18"/>
      <c r="BO33" s="18"/>
      <c r="BP33" s="18"/>
      <c r="BQ33" s="25" t="n">
        <v>1</v>
      </c>
      <c r="BR33" s="25" t="n">
        <v>1</v>
      </c>
      <c r="BS33" s="25" t="n">
        <v>2</v>
      </c>
      <c r="BT33" s="22" t="n">
        <f aca="false">SUM(BH33:BS33)</f>
        <v>5</v>
      </c>
      <c r="BU33" s="26" t="n">
        <v>46057.4222222222</v>
      </c>
      <c r="BV33" s="17"/>
      <c r="BW33" s="17" t="s">
        <v>117</v>
      </c>
      <c r="BX33" s="23" t="n">
        <f aca="false">IFERROR(R33/AE33,0)</f>
        <v>1409.13</v>
      </c>
      <c r="BY33" s="23" t="n">
        <f aca="false">IFERROR(R33/12,0)</f>
        <v>234.855</v>
      </c>
      <c r="BZ33" s="18" t="n">
        <v>52</v>
      </c>
      <c r="CA33" s="22" t="str">
        <f aca="false">IF(AE33=0,"PROSPECT",IF(AE33=1,"NOVO",IF(AE33&lt;=3,"EM DESENV.",IF(AE33&lt;=6,"RECORRENTE","FIDELIZADO"))))</f>
        <v>EM DESENV.</v>
      </c>
      <c r="CB33" s="22" t="n">
        <f aca="false">IF((P33+Q33)&gt;0,1,0)+IF((BR33+BS33)&gt;0,1,0)+IF(BE33&gt;0,1,0)</f>
        <v>2</v>
      </c>
    </row>
    <row r="34" customFormat="false" ht="15" hidden="false" customHeight="true" outlineLevel="0" collapsed="false">
      <c r="A34" s="16" t="s">
        <v>153</v>
      </c>
      <c r="B34" s="17" t="s">
        <v>154</v>
      </c>
      <c r="C34" s="18" t="s">
        <v>155</v>
      </c>
      <c r="D34" s="17" t="s">
        <v>156</v>
      </c>
      <c r="E34" s="19" t="s">
        <v>43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1" t="n">
        <f aca="false">SUM(F34:Q34)</f>
        <v>0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2" t="n">
        <f aca="false">SUM(S34:AD34)</f>
        <v>0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18"/>
      <c r="AT34" s="18"/>
      <c r="AU34" s="18"/>
      <c r="AV34" s="18"/>
      <c r="AW34" s="18"/>
      <c r="AX34" s="25" t="n">
        <v>4</v>
      </c>
      <c r="AY34" s="18"/>
      <c r="AZ34" s="18"/>
      <c r="BA34" s="18"/>
      <c r="BB34" s="18"/>
      <c r="BC34" s="18"/>
      <c r="BD34" s="18"/>
      <c r="BE34" s="22" t="n">
        <f aca="false">SUM(AS34:BD34)</f>
        <v>4</v>
      </c>
      <c r="BF34" s="23"/>
      <c r="BG34" s="31" t="s">
        <v>93</v>
      </c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22" t="n">
        <f aca="false">SUM(BH34:BS34)</f>
        <v>0</v>
      </c>
      <c r="BU34" s="26"/>
      <c r="BV34" s="17"/>
      <c r="BW34" s="17"/>
      <c r="BX34" s="23" t="n">
        <f aca="false">IFERROR(R34/AE34,0)</f>
        <v>0</v>
      </c>
      <c r="BY34" s="23" t="n">
        <f aca="false">IFERROR(R34/12,0)</f>
        <v>0</v>
      </c>
      <c r="BZ34" s="18" t="n">
        <v>0</v>
      </c>
      <c r="CA34" s="22" t="str">
        <f aca="false">IF(AE34=0,"PROSPECT",IF(AE34=1,"NOVO",IF(AE34&lt;=3,"EM DESENV.",IF(AE34&lt;=6,"RECORRENTE","FIDELIZADO"))))</f>
        <v>PROSPECT</v>
      </c>
      <c r="CB34" s="22" t="n">
        <f aca="false">IF((P34+Q34)&gt;0,1,0)+IF((BR34+BS34)&gt;0,1,0)+IF(BE34&gt;0,1,0)</f>
        <v>1</v>
      </c>
    </row>
    <row r="35" customFormat="false" ht="15" hidden="false" customHeight="true" outlineLevel="0" collapsed="false">
      <c r="A35" s="16" t="s">
        <v>157</v>
      </c>
      <c r="B35" s="17" t="s">
        <v>158</v>
      </c>
      <c r="C35" s="18" t="s">
        <v>61</v>
      </c>
      <c r="D35" s="17" t="s">
        <v>159</v>
      </c>
      <c r="E35" s="19" t="s">
        <v>43</v>
      </c>
      <c r="F35" s="20"/>
      <c r="G35" s="20"/>
      <c r="H35" s="20"/>
      <c r="I35" s="27" t="n">
        <v>2490.6</v>
      </c>
      <c r="J35" s="20"/>
      <c r="K35" s="20"/>
      <c r="L35" s="27" t="n">
        <v>1216.76</v>
      </c>
      <c r="M35" s="20"/>
      <c r="N35" s="20"/>
      <c r="O35" s="20"/>
      <c r="P35" s="27" t="n">
        <v>805.15</v>
      </c>
      <c r="Q35" s="20"/>
      <c r="R35" s="21" t="n">
        <f aca="false">SUM(F35:Q35)</f>
        <v>4512.51</v>
      </c>
      <c r="S35" s="18"/>
      <c r="T35" s="18"/>
      <c r="U35" s="18"/>
      <c r="V35" s="28" t="n">
        <v>1</v>
      </c>
      <c r="W35" s="18"/>
      <c r="X35" s="18"/>
      <c r="Y35" s="28" t="n">
        <v>1</v>
      </c>
      <c r="Z35" s="18"/>
      <c r="AA35" s="18"/>
      <c r="AB35" s="18"/>
      <c r="AC35" s="28" t="n">
        <v>1</v>
      </c>
      <c r="AD35" s="18"/>
      <c r="AE35" s="22" t="n">
        <f aca="false">SUM(S35:AD35)</f>
        <v>3</v>
      </c>
      <c r="AF35" s="22"/>
      <c r="AG35" s="22"/>
      <c r="AH35" s="22"/>
      <c r="AI35" s="19" t="s">
        <v>50</v>
      </c>
      <c r="AJ35" s="22"/>
      <c r="AK35" s="22"/>
      <c r="AL35" s="30" t="s">
        <v>49</v>
      </c>
      <c r="AM35" s="22"/>
      <c r="AN35" s="22"/>
      <c r="AO35" s="22"/>
      <c r="AP35" s="22"/>
      <c r="AQ35" s="22"/>
      <c r="AR35" s="19" t="s">
        <v>50</v>
      </c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22" t="n">
        <f aca="false">SUM(AS35:BD35)</f>
        <v>0</v>
      </c>
      <c r="BF35" s="23"/>
      <c r="BG35" s="24"/>
      <c r="BH35" s="18"/>
      <c r="BI35" s="18"/>
      <c r="BJ35" s="18"/>
      <c r="BK35" s="25" t="n">
        <v>1</v>
      </c>
      <c r="BL35" s="25" t="n">
        <v>1</v>
      </c>
      <c r="BM35" s="25" t="n">
        <v>1</v>
      </c>
      <c r="BN35" s="18"/>
      <c r="BO35" s="18"/>
      <c r="BP35" s="18"/>
      <c r="BQ35" s="18"/>
      <c r="BR35" s="18"/>
      <c r="BS35" s="18"/>
      <c r="BT35" s="22" t="n">
        <f aca="false">SUM(BH35:BS35)</f>
        <v>3</v>
      </c>
      <c r="BU35" s="26" t="n">
        <v>45894.5944444445</v>
      </c>
      <c r="BV35" s="17" t="s">
        <v>124</v>
      </c>
      <c r="BW35" s="17" t="s">
        <v>44</v>
      </c>
      <c r="BX35" s="23" t="n">
        <f aca="false">IFERROR(R35/AE35,0)</f>
        <v>1504.17</v>
      </c>
      <c r="BY35" s="23" t="n">
        <f aca="false">IFERROR(R35/12,0)</f>
        <v>376.0425</v>
      </c>
      <c r="BZ35" s="18" t="n">
        <v>74.3333</v>
      </c>
      <c r="CA35" s="22" t="str">
        <f aca="false">IF(AE35=0,"PROSPECT",IF(AE35=1,"NOVO",IF(AE35&lt;=3,"EM DESENV.",IF(AE35&lt;=6,"RECORRENTE","FIDELIZADO"))))</f>
        <v>EM DESENV.</v>
      </c>
      <c r="CB35" s="22" t="n">
        <f aca="false">IF((P35+Q35)&gt;0,1,0)+IF((BR35+BS35)&gt;0,1,0)+IF(BE35&gt;0,1,0)</f>
        <v>1</v>
      </c>
    </row>
    <row r="36" customFormat="false" ht="15" hidden="false" customHeight="true" outlineLevel="0" collapsed="false">
      <c r="A36" s="16" t="s">
        <v>160</v>
      </c>
      <c r="B36" s="17" t="s">
        <v>161</v>
      </c>
      <c r="C36" s="18" t="s">
        <v>53</v>
      </c>
      <c r="D36" s="17" t="s">
        <v>162</v>
      </c>
      <c r="E36" s="19" t="s">
        <v>43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1" t="n">
        <f aca="false">SUM(F36:Q36)</f>
        <v>0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2" t="n">
        <f aca="false">SUM(S36:AD36)</f>
        <v>0</v>
      </c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25" t="n">
        <v>1</v>
      </c>
      <c r="BD36" s="18"/>
      <c r="BE36" s="22" t="n">
        <f aca="false">SUM(AS36:BD36)</f>
        <v>1</v>
      </c>
      <c r="BF36" s="23"/>
      <c r="BG36" s="31" t="s">
        <v>93</v>
      </c>
      <c r="BH36" s="18"/>
      <c r="BI36" s="18"/>
      <c r="BJ36" s="18"/>
      <c r="BK36" s="18"/>
      <c r="BL36" s="18"/>
      <c r="BM36" s="18"/>
      <c r="BN36" s="18"/>
      <c r="BO36" s="18"/>
      <c r="BP36" s="18"/>
      <c r="BQ36" s="25" t="n">
        <v>2</v>
      </c>
      <c r="BR36" s="25" t="n">
        <v>1</v>
      </c>
      <c r="BS36" s="18"/>
      <c r="BT36" s="22" t="n">
        <f aca="false">SUM(BH36:BS36)</f>
        <v>3</v>
      </c>
      <c r="BU36" s="26" t="n">
        <v>46044.5811689815</v>
      </c>
      <c r="BV36" s="17" t="s">
        <v>97</v>
      </c>
      <c r="BW36" s="17" t="s">
        <v>44</v>
      </c>
      <c r="BX36" s="23" t="n">
        <f aca="false">IFERROR(R36/AE36,0)</f>
        <v>0</v>
      </c>
      <c r="BY36" s="23" t="n">
        <f aca="false">IFERROR(R36/12,0)</f>
        <v>0</v>
      </c>
      <c r="BZ36" s="18" t="n">
        <v>0</v>
      </c>
      <c r="CA36" s="22" t="str">
        <f aca="false">IF(AE36=0,"PROSPECT",IF(AE36=1,"NOVO",IF(AE36&lt;=3,"EM DESENV.",IF(AE36&lt;=6,"RECORRENTE","FIDELIZADO"))))</f>
        <v>PROSPECT</v>
      </c>
      <c r="CB36" s="22" t="n">
        <f aca="false">IF((P36+Q36)&gt;0,1,0)+IF((BR36+BS36)&gt;0,1,0)+IF(BE36&gt;0,1,0)</f>
        <v>2</v>
      </c>
    </row>
    <row r="37" customFormat="false" ht="15" hidden="false" customHeight="true" outlineLevel="0" collapsed="false">
      <c r="A37" s="16" t="s">
        <v>163</v>
      </c>
      <c r="B37" s="17" t="s">
        <v>164</v>
      </c>
      <c r="C37" s="18" t="s">
        <v>61</v>
      </c>
      <c r="D37" s="17" t="s">
        <v>165</v>
      </c>
      <c r="E37" s="19" t="s">
        <v>43</v>
      </c>
      <c r="F37" s="20"/>
      <c r="G37" s="20"/>
      <c r="H37" s="20"/>
      <c r="I37" s="27" t="n">
        <v>737.8</v>
      </c>
      <c r="J37" s="20"/>
      <c r="K37" s="20"/>
      <c r="L37" s="20"/>
      <c r="M37" s="27" t="n">
        <v>669.96</v>
      </c>
      <c r="N37" s="20"/>
      <c r="O37" s="20"/>
      <c r="P37" s="20"/>
      <c r="Q37" s="20"/>
      <c r="R37" s="21" t="n">
        <f aca="false">SUM(F37:Q37)</f>
        <v>1407.76</v>
      </c>
      <c r="S37" s="18"/>
      <c r="T37" s="18"/>
      <c r="U37" s="18"/>
      <c r="V37" s="28" t="n">
        <v>1</v>
      </c>
      <c r="W37" s="18"/>
      <c r="X37" s="18"/>
      <c r="Y37" s="18"/>
      <c r="Z37" s="28" t="n">
        <v>1</v>
      </c>
      <c r="AA37" s="18"/>
      <c r="AB37" s="18"/>
      <c r="AC37" s="18"/>
      <c r="AD37" s="18"/>
      <c r="AE37" s="22" t="n">
        <f aca="false">SUM(S37:AD37)</f>
        <v>2</v>
      </c>
      <c r="AF37" s="22"/>
      <c r="AG37" s="22"/>
      <c r="AH37" s="22"/>
      <c r="AI37" s="29" t="s">
        <v>48</v>
      </c>
      <c r="AJ37" s="22"/>
      <c r="AK37" s="22"/>
      <c r="AL37" s="22"/>
      <c r="AM37" s="29" t="s">
        <v>48</v>
      </c>
      <c r="AN37" s="22"/>
      <c r="AO37" s="22"/>
      <c r="AP37" s="22"/>
      <c r="AQ37" s="29" t="s">
        <v>48</v>
      </c>
      <c r="AR37" s="30" t="s">
        <v>49</v>
      </c>
      <c r="AS37" s="18"/>
      <c r="AT37" s="18"/>
      <c r="AU37" s="18"/>
      <c r="AV37" s="18"/>
      <c r="AW37" s="18"/>
      <c r="AX37" s="18"/>
      <c r="AY37" s="18"/>
      <c r="AZ37" s="18"/>
      <c r="BA37" s="18"/>
      <c r="BB37" s="25" t="n">
        <v>1</v>
      </c>
      <c r="BC37" s="18"/>
      <c r="BD37" s="18"/>
      <c r="BE37" s="22" t="n">
        <f aca="false">SUM(AS37:BD37)</f>
        <v>1</v>
      </c>
      <c r="BF37" s="23"/>
      <c r="BG37" s="31" t="s">
        <v>93</v>
      </c>
      <c r="BH37" s="25" t="n">
        <v>1</v>
      </c>
      <c r="BI37" s="18"/>
      <c r="BJ37" s="18"/>
      <c r="BK37" s="25" t="n">
        <v>3</v>
      </c>
      <c r="BL37" s="25" t="n">
        <v>3</v>
      </c>
      <c r="BM37" s="25" t="n">
        <v>1</v>
      </c>
      <c r="BN37" s="18"/>
      <c r="BO37" s="18"/>
      <c r="BP37" s="25" t="n">
        <v>1</v>
      </c>
      <c r="BQ37" s="18"/>
      <c r="BR37" s="25" t="n">
        <v>1</v>
      </c>
      <c r="BS37" s="18"/>
      <c r="BT37" s="22" t="n">
        <f aca="false">SUM(BH37:BS37)</f>
        <v>10</v>
      </c>
      <c r="BU37" s="26" t="n">
        <v>46027.6015509259</v>
      </c>
      <c r="BV37" s="17"/>
      <c r="BW37" s="17" t="s">
        <v>44</v>
      </c>
      <c r="BX37" s="23" t="n">
        <f aca="false">IFERROR(R37/AE37,0)</f>
        <v>703.88</v>
      </c>
      <c r="BY37" s="23" t="n">
        <f aca="false">IFERROR(R37/12,0)</f>
        <v>117.313333333333</v>
      </c>
      <c r="BZ37" s="18" t="n">
        <v>111</v>
      </c>
      <c r="CA37" s="22" t="str">
        <f aca="false">IF(AE37=0,"PROSPECT",IF(AE37=1,"NOVO",IF(AE37&lt;=3,"EM DESENV.",IF(AE37&lt;=6,"RECORRENTE","FIDELIZADO"))))</f>
        <v>EM DESENV.</v>
      </c>
      <c r="CB37" s="22" t="n">
        <f aca="false">IF((P37+Q37)&gt;0,1,0)+IF((BR37+BS37)&gt;0,1,0)+IF(BE37&gt;0,1,0)</f>
        <v>2</v>
      </c>
    </row>
    <row r="38" customFormat="false" ht="15" hidden="false" customHeight="true" outlineLevel="0" collapsed="false">
      <c r="A38" s="16" t="s">
        <v>166</v>
      </c>
      <c r="B38" s="17" t="s">
        <v>167</v>
      </c>
      <c r="C38" s="18" t="s">
        <v>168</v>
      </c>
      <c r="D38" s="17" t="s">
        <v>169</v>
      </c>
      <c r="E38" s="19" t="s">
        <v>43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7" t="n">
        <v>1503.09</v>
      </c>
      <c r="Q38" s="20"/>
      <c r="R38" s="21" t="n">
        <f aca="false">SUM(F38:Q38)</f>
        <v>1503.09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28" t="n">
        <v>1</v>
      </c>
      <c r="AD38" s="18"/>
      <c r="AE38" s="22" t="n">
        <f aca="false">SUM(S38:AD38)</f>
        <v>1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19" t="s">
        <v>50</v>
      </c>
      <c r="AQ38" s="22"/>
      <c r="AR38" s="22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25" t="n">
        <v>5</v>
      </c>
      <c r="BD38" s="18"/>
      <c r="BE38" s="22" t="n">
        <f aca="false">SUM(AS38:BD38)</f>
        <v>5</v>
      </c>
      <c r="BF38" s="23" t="n">
        <v>1503.09</v>
      </c>
      <c r="BG38" s="19" t="s">
        <v>55</v>
      </c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25" t="n">
        <v>2</v>
      </c>
      <c r="BS38" s="18"/>
      <c r="BT38" s="22" t="n">
        <f aca="false">SUM(BH38:BS38)</f>
        <v>2</v>
      </c>
      <c r="BU38" s="26" t="n">
        <v>46036.5770833333</v>
      </c>
      <c r="BV38" s="17" t="s">
        <v>89</v>
      </c>
      <c r="BW38" s="17" t="s">
        <v>44</v>
      </c>
      <c r="BX38" s="23" t="n">
        <f aca="false">IFERROR(R38/AE38,0)</f>
        <v>1503.09</v>
      </c>
      <c r="BY38" s="23" t="n">
        <f aca="false">IFERROR(R38/12,0)</f>
        <v>125.2575</v>
      </c>
      <c r="BZ38" s="18" t="n">
        <v>0</v>
      </c>
      <c r="CA38" s="22" t="str">
        <f aca="false">IF(AE38=0,"PROSPECT",IF(AE38=1,"NOVO",IF(AE38&lt;=3,"EM DESENV.",IF(AE38&lt;=6,"RECORRENTE","FIDELIZADO"))))</f>
        <v>NOVO</v>
      </c>
      <c r="CB38" s="22" t="n">
        <f aca="false">IF((P38+Q38)&gt;0,1,0)+IF((BR38+BS38)&gt;0,1,0)+IF(BE38&gt;0,1,0)</f>
        <v>3</v>
      </c>
    </row>
    <row r="39" customFormat="false" ht="15" hidden="false" customHeight="true" outlineLevel="0" collapsed="false">
      <c r="A39" s="16" t="s">
        <v>170</v>
      </c>
      <c r="B39" s="17" t="s">
        <v>171</v>
      </c>
      <c r="C39" s="18" t="s">
        <v>53</v>
      </c>
      <c r="D39" s="17" t="s">
        <v>172</v>
      </c>
      <c r="E39" s="19" t="s">
        <v>43</v>
      </c>
      <c r="F39" s="20"/>
      <c r="G39" s="20"/>
      <c r="H39" s="20"/>
      <c r="I39" s="20"/>
      <c r="J39" s="20"/>
      <c r="K39" s="20"/>
      <c r="L39" s="27" t="n">
        <v>1442.26</v>
      </c>
      <c r="M39" s="27" t="n">
        <v>5984.12</v>
      </c>
      <c r="N39" s="27" t="n">
        <v>2035.83</v>
      </c>
      <c r="O39" s="20"/>
      <c r="P39" s="27" t="n">
        <v>612.47</v>
      </c>
      <c r="Q39" s="20"/>
      <c r="R39" s="21" t="n">
        <f aca="false">SUM(F39:Q39)</f>
        <v>10074.68</v>
      </c>
      <c r="S39" s="18"/>
      <c r="T39" s="18"/>
      <c r="U39" s="18"/>
      <c r="V39" s="18"/>
      <c r="W39" s="18"/>
      <c r="X39" s="18"/>
      <c r="Y39" s="28" t="n">
        <v>1</v>
      </c>
      <c r="Z39" s="28" t="n">
        <v>1</v>
      </c>
      <c r="AA39" s="28" t="n">
        <v>1</v>
      </c>
      <c r="AB39" s="18"/>
      <c r="AC39" s="28" t="n">
        <v>1</v>
      </c>
      <c r="AD39" s="18"/>
      <c r="AE39" s="22" t="n">
        <f aca="false">SUM(S39:AD39)</f>
        <v>4</v>
      </c>
      <c r="AF39" s="22"/>
      <c r="AG39" s="22"/>
      <c r="AH39" s="22"/>
      <c r="AI39" s="22"/>
      <c r="AJ39" s="22"/>
      <c r="AK39" s="22"/>
      <c r="AL39" s="22"/>
      <c r="AM39" s="22"/>
      <c r="AN39" s="19" t="s">
        <v>50</v>
      </c>
      <c r="AO39" s="22"/>
      <c r="AP39" s="22"/>
      <c r="AQ39" s="22"/>
      <c r="AR39" s="30" t="s">
        <v>49</v>
      </c>
      <c r="AS39" s="18"/>
      <c r="AT39" s="18"/>
      <c r="AU39" s="18"/>
      <c r="AV39" s="18"/>
      <c r="AW39" s="18"/>
      <c r="AX39" s="18"/>
      <c r="AY39" s="18"/>
      <c r="AZ39" s="18"/>
      <c r="BA39" s="25" t="n">
        <v>27</v>
      </c>
      <c r="BB39" s="18"/>
      <c r="BC39" s="18"/>
      <c r="BD39" s="18"/>
      <c r="BE39" s="22" t="n">
        <f aca="false">SUM(AS39:BD39)</f>
        <v>27</v>
      </c>
      <c r="BF39" s="23" t="n">
        <v>2035.83</v>
      </c>
      <c r="BG39" s="19" t="s">
        <v>55</v>
      </c>
      <c r="BH39" s="18"/>
      <c r="BI39" s="18"/>
      <c r="BJ39" s="18"/>
      <c r="BK39" s="18"/>
      <c r="BL39" s="18"/>
      <c r="BM39" s="18"/>
      <c r="BN39" s="18"/>
      <c r="BO39" s="18"/>
      <c r="BP39" s="25" t="n">
        <v>2</v>
      </c>
      <c r="BQ39" s="18"/>
      <c r="BR39" s="18"/>
      <c r="BS39" s="18"/>
      <c r="BT39" s="22" t="n">
        <f aca="false">SUM(BH39:BS39)</f>
        <v>2</v>
      </c>
      <c r="BU39" s="26" t="n">
        <v>45966.4694444445</v>
      </c>
      <c r="BV39" s="17" t="s">
        <v>173</v>
      </c>
      <c r="BW39" s="17" t="s">
        <v>44</v>
      </c>
      <c r="BX39" s="23" t="n">
        <f aca="false">IFERROR(R39/AE39,0)</f>
        <v>2518.67</v>
      </c>
      <c r="BY39" s="23" t="n">
        <f aca="false">IFERROR(R39/12,0)</f>
        <v>839.556666666667</v>
      </c>
      <c r="BZ39" s="18" t="n">
        <v>68</v>
      </c>
      <c r="CA39" s="22" t="str">
        <f aca="false">IF(AE39=0,"PROSPECT",IF(AE39=1,"NOVO",IF(AE39&lt;=3,"EM DESENV.",IF(AE39&lt;=6,"RECORRENTE","FIDELIZADO"))))</f>
        <v>RECORRENTE</v>
      </c>
      <c r="CB39" s="22" t="n">
        <f aca="false">IF((P39+Q39)&gt;0,1,0)+IF((BR39+BS39)&gt;0,1,0)+IF(BE39&gt;0,1,0)</f>
        <v>2</v>
      </c>
    </row>
    <row r="40" customFormat="false" ht="15" hidden="false" customHeight="true" outlineLevel="0" collapsed="false">
      <c r="A40" s="16" t="s">
        <v>174</v>
      </c>
      <c r="B40" s="17" t="s">
        <v>175</v>
      </c>
      <c r="C40" s="18" t="s">
        <v>41</v>
      </c>
      <c r="D40" s="17" t="s">
        <v>176</v>
      </c>
      <c r="E40" s="19" t="s">
        <v>43</v>
      </c>
      <c r="F40" s="20"/>
      <c r="G40" s="20"/>
      <c r="H40" s="20"/>
      <c r="I40" s="20"/>
      <c r="J40" s="20"/>
      <c r="K40" s="27" t="n">
        <v>904.49</v>
      </c>
      <c r="L40" s="27" t="n">
        <v>731.55</v>
      </c>
      <c r="M40" s="27" t="n">
        <v>1382.99</v>
      </c>
      <c r="N40" s="27" t="n">
        <v>609.61</v>
      </c>
      <c r="O40" s="20"/>
      <c r="P40" s="27" t="n">
        <v>776.61</v>
      </c>
      <c r="Q40" s="20"/>
      <c r="R40" s="21" t="n">
        <f aca="false">SUM(F40:Q40)</f>
        <v>4405.25</v>
      </c>
      <c r="S40" s="18"/>
      <c r="T40" s="18"/>
      <c r="U40" s="18"/>
      <c r="V40" s="18"/>
      <c r="W40" s="18"/>
      <c r="X40" s="28" t="n">
        <v>1</v>
      </c>
      <c r="Y40" s="28" t="n">
        <v>1</v>
      </c>
      <c r="Z40" s="28" t="n">
        <v>1</v>
      </c>
      <c r="AA40" s="28" t="n">
        <v>1</v>
      </c>
      <c r="AB40" s="18"/>
      <c r="AC40" s="28" t="n">
        <v>1</v>
      </c>
      <c r="AD40" s="18"/>
      <c r="AE40" s="22" t="n">
        <f aca="false">SUM(S40:AD40)</f>
        <v>5</v>
      </c>
      <c r="AF40" s="22"/>
      <c r="AG40" s="22"/>
      <c r="AH40" s="22"/>
      <c r="AI40" s="22"/>
      <c r="AJ40" s="22"/>
      <c r="AK40" s="30" t="s">
        <v>49</v>
      </c>
      <c r="AL40" s="30" t="s">
        <v>49</v>
      </c>
      <c r="AM40" s="30" t="s">
        <v>49</v>
      </c>
      <c r="AN40" s="29" t="s">
        <v>48</v>
      </c>
      <c r="AO40" s="22"/>
      <c r="AP40" s="22"/>
      <c r="AQ40" s="22"/>
      <c r="AR40" s="19" t="s">
        <v>50</v>
      </c>
      <c r="AS40" s="18"/>
      <c r="AT40" s="18"/>
      <c r="AU40" s="18"/>
      <c r="AV40" s="18"/>
      <c r="AW40" s="18"/>
      <c r="AX40" s="25" t="n">
        <v>4</v>
      </c>
      <c r="AY40" s="18"/>
      <c r="AZ40" s="18"/>
      <c r="BA40" s="25" t="n">
        <v>5</v>
      </c>
      <c r="BB40" s="18"/>
      <c r="BC40" s="18"/>
      <c r="BD40" s="18"/>
      <c r="BE40" s="22" t="n">
        <f aca="false">SUM(AS40:BD40)</f>
        <v>9</v>
      </c>
      <c r="BF40" s="23" t="n">
        <v>1514.1</v>
      </c>
      <c r="BG40" s="19" t="s">
        <v>55</v>
      </c>
      <c r="BH40" s="18"/>
      <c r="BI40" s="18"/>
      <c r="BJ40" s="18"/>
      <c r="BK40" s="25" t="n">
        <v>1</v>
      </c>
      <c r="BL40" s="18"/>
      <c r="BM40" s="18"/>
      <c r="BN40" s="18"/>
      <c r="BO40" s="18"/>
      <c r="BP40" s="25" t="n">
        <v>1</v>
      </c>
      <c r="BQ40" s="18"/>
      <c r="BR40" s="18"/>
      <c r="BS40" s="25" t="n">
        <v>2</v>
      </c>
      <c r="BT40" s="22" t="n">
        <f aca="false">SUM(BH40:BS40)</f>
        <v>4</v>
      </c>
      <c r="BU40" s="26" t="n">
        <v>46056.725</v>
      </c>
      <c r="BV40" s="17"/>
      <c r="BW40" s="17" t="s">
        <v>117</v>
      </c>
      <c r="BX40" s="23" t="n">
        <f aca="false">IFERROR(R40/AE40,0)</f>
        <v>881.05</v>
      </c>
      <c r="BY40" s="23" t="n">
        <f aca="false">IFERROR(R40/12,0)</f>
        <v>367.104166666667</v>
      </c>
      <c r="BZ40" s="18" t="n">
        <v>38.25</v>
      </c>
      <c r="CA40" s="22" t="str">
        <f aca="false">IF(AE40=0,"PROSPECT",IF(AE40=1,"NOVO",IF(AE40&lt;=3,"EM DESENV.",IF(AE40&lt;=6,"RECORRENTE","FIDELIZADO"))))</f>
        <v>RECORRENTE</v>
      </c>
      <c r="CB40" s="22" t="n">
        <f aca="false">IF((P40+Q40)&gt;0,1,0)+IF((BR40+BS40)&gt;0,1,0)+IF(BE40&gt;0,1,0)</f>
        <v>3</v>
      </c>
    </row>
    <row r="41" customFormat="false" ht="15" hidden="false" customHeight="true" outlineLevel="0" collapsed="false">
      <c r="A41" s="16" t="s">
        <v>177</v>
      </c>
      <c r="B41" s="17" t="s">
        <v>178</v>
      </c>
      <c r="C41" s="18" t="s">
        <v>72</v>
      </c>
      <c r="D41" s="17" t="s">
        <v>73</v>
      </c>
      <c r="E41" s="19" t="s">
        <v>43</v>
      </c>
      <c r="F41" s="20"/>
      <c r="G41" s="20"/>
      <c r="H41" s="20"/>
      <c r="I41" s="20"/>
      <c r="J41" s="20"/>
      <c r="K41" s="27" t="n">
        <v>490.02</v>
      </c>
      <c r="L41" s="27" t="n">
        <v>683.35</v>
      </c>
      <c r="M41" s="20"/>
      <c r="N41" s="20"/>
      <c r="O41" s="27" t="n">
        <v>1064.3</v>
      </c>
      <c r="P41" s="27" t="n">
        <v>1218.77</v>
      </c>
      <c r="Q41" s="20"/>
      <c r="R41" s="21" t="n">
        <f aca="false">SUM(F41:Q41)</f>
        <v>3456.44</v>
      </c>
      <c r="S41" s="18"/>
      <c r="T41" s="18"/>
      <c r="U41" s="18"/>
      <c r="V41" s="18"/>
      <c r="W41" s="18"/>
      <c r="X41" s="28" t="n">
        <v>1</v>
      </c>
      <c r="Y41" s="28" t="n">
        <v>1</v>
      </c>
      <c r="Z41" s="18"/>
      <c r="AA41" s="18"/>
      <c r="AB41" s="28" t="n">
        <v>1</v>
      </c>
      <c r="AC41" s="28" t="n">
        <v>1</v>
      </c>
      <c r="AD41" s="18"/>
      <c r="AE41" s="22" t="n">
        <f aca="false">SUM(S41:AD41)</f>
        <v>4</v>
      </c>
      <c r="AF41" s="22"/>
      <c r="AG41" s="22"/>
      <c r="AH41" s="22"/>
      <c r="AI41" s="22"/>
      <c r="AJ41" s="22"/>
      <c r="AK41" s="29" t="s">
        <v>48</v>
      </c>
      <c r="AL41" s="29" t="s">
        <v>48</v>
      </c>
      <c r="AM41" s="22"/>
      <c r="AN41" s="22"/>
      <c r="AO41" s="30" t="s">
        <v>49</v>
      </c>
      <c r="AP41" s="22"/>
      <c r="AQ41" s="22"/>
      <c r="AR41" s="30" t="s">
        <v>49</v>
      </c>
      <c r="AS41" s="18"/>
      <c r="AT41" s="18"/>
      <c r="AU41" s="18"/>
      <c r="AV41" s="18"/>
      <c r="AW41" s="18"/>
      <c r="AX41" s="25" t="n">
        <v>12</v>
      </c>
      <c r="AY41" s="25" t="n">
        <v>4</v>
      </c>
      <c r="AZ41" s="18"/>
      <c r="BA41" s="18"/>
      <c r="BB41" s="25" t="n">
        <v>8</v>
      </c>
      <c r="BC41" s="18"/>
      <c r="BD41" s="18"/>
      <c r="BE41" s="22" t="n">
        <f aca="false">SUM(AS41:BD41)</f>
        <v>24</v>
      </c>
      <c r="BF41" s="23" t="n">
        <v>2237.67</v>
      </c>
      <c r="BG41" s="19" t="s">
        <v>55</v>
      </c>
      <c r="BH41" s="18"/>
      <c r="BI41" s="18"/>
      <c r="BJ41" s="18"/>
      <c r="BK41" s="18"/>
      <c r="BL41" s="18"/>
      <c r="BM41" s="25" t="n">
        <v>1</v>
      </c>
      <c r="BN41" s="18"/>
      <c r="BO41" s="18"/>
      <c r="BP41" s="18"/>
      <c r="BQ41" s="18"/>
      <c r="BR41" s="18"/>
      <c r="BS41" s="18"/>
      <c r="BT41" s="22" t="n">
        <f aca="false">SUM(BH41:BS41)</f>
        <v>1</v>
      </c>
      <c r="BU41" s="26" t="n">
        <v>45874.4763888889</v>
      </c>
      <c r="BV41" s="17"/>
      <c r="BW41" s="17" t="s">
        <v>44</v>
      </c>
      <c r="BX41" s="23" t="n">
        <f aca="false">IFERROR(R41/AE41,0)</f>
        <v>864.11</v>
      </c>
      <c r="BY41" s="23" t="n">
        <f aca="false">IFERROR(R41/12,0)</f>
        <v>288.036666666667</v>
      </c>
      <c r="BZ41" s="18" t="n">
        <v>53</v>
      </c>
      <c r="CA41" s="22" t="str">
        <f aca="false">IF(AE41=0,"PROSPECT",IF(AE41=1,"NOVO",IF(AE41&lt;=3,"EM DESENV.",IF(AE41&lt;=6,"RECORRENTE","FIDELIZADO"))))</f>
        <v>RECORRENTE</v>
      </c>
      <c r="CB41" s="22" t="n">
        <f aca="false">IF((P41+Q41)&gt;0,1,0)+IF((BR41+BS41)&gt;0,1,0)+IF(BE41&gt;0,1,0)</f>
        <v>2</v>
      </c>
    </row>
    <row r="42" customFormat="false" ht="15" hidden="false" customHeight="true" outlineLevel="0" collapsed="false">
      <c r="A42" s="16" t="s">
        <v>179</v>
      </c>
      <c r="B42" s="17" t="s">
        <v>180</v>
      </c>
      <c r="C42" s="18" t="s">
        <v>83</v>
      </c>
      <c r="D42" s="17" t="s">
        <v>84</v>
      </c>
      <c r="E42" s="19" t="s">
        <v>43</v>
      </c>
      <c r="F42" s="20"/>
      <c r="G42" s="20"/>
      <c r="H42" s="20"/>
      <c r="I42" s="27" t="n">
        <v>1442.74</v>
      </c>
      <c r="J42" s="20"/>
      <c r="K42" s="27" t="n">
        <v>1009.9</v>
      </c>
      <c r="L42" s="20"/>
      <c r="M42" s="27" t="n">
        <v>1365.73</v>
      </c>
      <c r="N42" s="20"/>
      <c r="O42" s="20"/>
      <c r="P42" s="27" t="n">
        <v>880.47</v>
      </c>
      <c r="Q42" s="20"/>
      <c r="R42" s="21" t="n">
        <f aca="false">SUM(F42:Q42)</f>
        <v>4698.84</v>
      </c>
      <c r="S42" s="18"/>
      <c r="T42" s="18"/>
      <c r="U42" s="18"/>
      <c r="V42" s="28" t="n">
        <v>1</v>
      </c>
      <c r="W42" s="18"/>
      <c r="X42" s="28" t="n">
        <v>1</v>
      </c>
      <c r="Y42" s="18"/>
      <c r="Z42" s="28" t="n">
        <v>1</v>
      </c>
      <c r="AA42" s="18"/>
      <c r="AB42" s="18"/>
      <c r="AC42" s="28" t="n">
        <v>1</v>
      </c>
      <c r="AD42" s="18"/>
      <c r="AE42" s="22" t="n">
        <f aca="false">SUM(S42:AD42)</f>
        <v>4</v>
      </c>
      <c r="AF42" s="22"/>
      <c r="AG42" s="22"/>
      <c r="AH42" s="22"/>
      <c r="AI42" s="19" t="s">
        <v>50</v>
      </c>
      <c r="AJ42" s="22"/>
      <c r="AK42" s="30" t="s">
        <v>49</v>
      </c>
      <c r="AL42" s="22"/>
      <c r="AM42" s="30" t="s">
        <v>49</v>
      </c>
      <c r="AN42" s="22"/>
      <c r="AO42" s="22"/>
      <c r="AP42" s="30" t="s">
        <v>49</v>
      </c>
      <c r="AQ42" s="22"/>
      <c r="AR42" s="19" t="s">
        <v>50</v>
      </c>
      <c r="AS42" s="18"/>
      <c r="AT42" s="18"/>
      <c r="AU42" s="18"/>
      <c r="AV42" s="25" t="n">
        <v>7</v>
      </c>
      <c r="AW42" s="18"/>
      <c r="AX42" s="25" t="n">
        <v>4</v>
      </c>
      <c r="AY42" s="18"/>
      <c r="AZ42" s="18"/>
      <c r="BA42" s="25" t="n">
        <v>1</v>
      </c>
      <c r="BB42" s="18"/>
      <c r="BC42" s="25" t="n">
        <v>2</v>
      </c>
      <c r="BD42" s="18"/>
      <c r="BE42" s="22" t="n">
        <f aca="false">SUM(AS42:BD42)</f>
        <v>14</v>
      </c>
      <c r="BF42" s="23" t="n">
        <v>3333.11</v>
      </c>
      <c r="BG42" s="19" t="s">
        <v>55</v>
      </c>
      <c r="BH42" s="18"/>
      <c r="BI42" s="18"/>
      <c r="BJ42" s="18"/>
      <c r="BK42" s="25" t="n">
        <v>1</v>
      </c>
      <c r="BL42" s="18"/>
      <c r="BM42" s="25" t="n">
        <v>2</v>
      </c>
      <c r="BN42" s="18"/>
      <c r="BO42" s="25" t="n">
        <v>2</v>
      </c>
      <c r="BP42" s="25" t="n">
        <v>1</v>
      </c>
      <c r="BQ42" s="18"/>
      <c r="BR42" s="25" t="n">
        <v>5</v>
      </c>
      <c r="BS42" s="25" t="n">
        <v>1</v>
      </c>
      <c r="BT42" s="22" t="n">
        <f aca="false">SUM(BH42:BS42)</f>
        <v>12</v>
      </c>
      <c r="BU42" s="26" t="n">
        <v>46059.5159375</v>
      </c>
      <c r="BV42" s="17"/>
      <c r="BW42" s="17" t="s">
        <v>44</v>
      </c>
      <c r="BX42" s="23" t="n">
        <f aca="false">IFERROR(R42/AE42,0)</f>
        <v>1174.71</v>
      </c>
      <c r="BY42" s="23" t="n">
        <f aca="false">IFERROR(R42/12,0)</f>
        <v>391.57</v>
      </c>
      <c r="BZ42" s="18" t="n">
        <v>73</v>
      </c>
      <c r="CA42" s="22" t="str">
        <f aca="false">IF(AE42=0,"PROSPECT",IF(AE42=1,"NOVO",IF(AE42&lt;=3,"EM DESENV.",IF(AE42&lt;=6,"RECORRENTE","FIDELIZADO"))))</f>
        <v>RECORRENTE</v>
      </c>
      <c r="CB42" s="22" t="n">
        <f aca="false">IF((P42+Q42)&gt;0,1,0)+IF((BR42+BS42)&gt;0,1,0)+IF(BE42&gt;0,1,0)</f>
        <v>3</v>
      </c>
    </row>
    <row r="43" customFormat="false" ht="15" hidden="false" customHeight="true" outlineLevel="0" collapsed="false">
      <c r="A43" s="16" t="s">
        <v>181</v>
      </c>
      <c r="B43" s="17" t="s">
        <v>182</v>
      </c>
      <c r="C43" s="18" t="s">
        <v>61</v>
      </c>
      <c r="D43" s="17" t="s">
        <v>100</v>
      </c>
      <c r="E43" s="19" t="s">
        <v>43</v>
      </c>
      <c r="F43" s="20"/>
      <c r="G43" s="20"/>
      <c r="H43" s="27" t="n">
        <v>901.92</v>
      </c>
      <c r="I43" s="27" t="n">
        <v>820.06</v>
      </c>
      <c r="J43" s="20"/>
      <c r="K43" s="27" t="n">
        <v>1508.79</v>
      </c>
      <c r="L43" s="20"/>
      <c r="M43" s="27" t="n">
        <v>1065.39</v>
      </c>
      <c r="N43" s="20"/>
      <c r="O43" s="27" t="n">
        <v>1077.47</v>
      </c>
      <c r="P43" s="20"/>
      <c r="Q43" s="20"/>
      <c r="R43" s="21" t="n">
        <f aca="false">SUM(F43:Q43)</f>
        <v>5373.63</v>
      </c>
      <c r="S43" s="18"/>
      <c r="T43" s="18"/>
      <c r="U43" s="28" t="n">
        <v>1</v>
      </c>
      <c r="V43" s="28" t="n">
        <v>1</v>
      </c>
      <c r="W43" s="18"/>
      <c r="X43" s="28" t="n">
        <v>1</v>
      </c>
      <c r="Y43" s="18"/>
      <c r="Z43" s="28" t="n">
        <v>1</v>
      </c>
      <c r="AA43" s="18"/>
      <c r="AB43" s="28" t="n">
        <v>1</v>
      </c>
      <c r="AC43" s="18"/>
      <c r="AD43" s="18"/>
      <c r="AE43" s="22" t="n">
        <f aca="false">SUM(S43:AD43)</f>
        <v>5</v>
      </c>
      <c r="AF43" s="22"/>
      <c r="AG43" s="22"/>
      <c r="AH43" s="30" t="s">
        <v>49</v>
      </c>
      <c r="AI43" s="29" t="s">
        <v>48</v>
      </c>
      <c r="AJ43" s="22"/>
      <c r="AK43" s="19" t="s">
        <v>50</v>
      </c>
      <c r="AL43" s="22"/>
      <c r="AM43" s="30" t="s">
        <v>49</v>
      </c>
      <c r="AN43" s="22"/>
      <c r="AO43" s="19" t="s">
        <v>50</v>
      </c>
      <c r="AP43" s="22"/>
      <c r="AQ43" s="22"/>
      <c r="AR43" s="19" t="s">
        <v>50</v>
      </c>
      <c r="AS43" s="18"/>
      <c r="AT43" s="18"/>
      <c r="AU43" s="18"/>
      <c r="AV43" s="25" t="n">
        <v>9</v>
      </c>
      <c r="AW43" s="25" t="n">
        <v>6</v>
      </c>
      <c r="AX43" s="25" t="n">
        <v>2</v>
      </c>
      <c r="AY43" s="18"/>
      <c r="AZ43" s="18"/>
      <c r="BA43" s="25" t="n">
        <v>2</v>
      </c>
      <c r="BB43" s="25" t="n">
        <v>3</v>
      </c>
      <c r="BC43" s="18"/>
      <c r="BD43" s="18"/>
      <c r="BE43" s="22" t="n">
        <f aca="false">SUM(AS43:BD43)</f>
        <v>22</v>
      </c>
      <c r="BF43" s="23" t="n">
        <v>4308.24</v>
      </c>
      <c r="BG43" s="19" t="s">
        <v>55</v>
      </c>
      <c r="BH43" s="18"/>
      <c r="BI43" s="18"/>
      <c r="BJ43" s="25" t="n">
        <v>6</v>
      </c>
      <c r="BK43" s="25" t="n">
        <v>1</v>
      </c>
      <c r="BL43" s="25" t="n">
        <v>1</v>
      </c>
      <c r="BM43" s="25" t="n">
        <v>1</v>
      </c>
      <c r="BN43" s="25" t="n">
        <v>1</v>
      </c>
      <c r="BO43" s="25" t="n">
        <v>1</v>
      </c>
      <c r="BP43" s="25" t="n">
        <v>1</v>
      </c>
      <c r="BQ43" s="18"/>
      <c r="BR43" s="18"/>
      <c r="BS43" s="25" t="n">
        <v>2</v>
      </c>
      <c r="BT43" s="22" t="n">
        <f aca="false">SUM(BH43:BS43)</f>
        <v>14</v>
      </c>
      <c r="BU43" s="26" t="n">
        <v>46056.7201388889</v>
      </c>
      <c r="BV43" s="17"/>
      <c r="BW43" s="17" t="s">
        <v>44</v>
      </c>
      <c r="BX43" s="23" t="n">
        <f aca="false">IFERROR(R43/AE43,0)</f>
        <v>1074.726</v>
      </c>
      <c r="BY43" s="23" t="n">
        <f aca="false">IFERROR(R43/12,0)</f>
        <v>447.8025</v>
      </c>
      <c r="BZ43" s="18" t="n">
        <v>52</v>
      </c>
      <c r="CA43" s="22" t="str">
        <f aca="false">IF(AE43=0,"PROSPECT",IF(AE43=1,"NOVO",IF(AE43&lt;=3,"EM DESENV.",IF(AE43&lt;=6,"RECORRENTE","FIDELIZADO"))))</f>
        <v>RECORRENTE</v>
      </c>
      <c r="CB43" s="22" t="n">
        <f aca="false">IF((P43+Q43)&gt;0,1,0)+IF((BR43+BS43)&gt;0,1,0)+IF(BE43&gt;0,1,0)</f>
        <v>2</v>
      </c>
    </row>
    <row r="44" customFormat="false" ht="15" hidden="false" customHeight="true" outlineLevel="0" collapsed="false">
      <c r="A44" s="16" t="s">
        <v>183</v>
      </c>
      <c r="B44" s="17" t="s">
        <v>184</v>
      </c>
      <c r="C44" s="18" t="s">
        <v>72</v>
      </c>
      <c r="D44" s="17" t="s">
        <v>73</v>
      </c>
      <c r="E44" s="19" t="s">
        <v>43</v>
      </c>
      <c r="F44" s="20"/>
      <c r="G44" s="20"/>
      <c r="H44" s="20"/>
      <c r="I44" s="20"/>
      <c r="J44" s="20"/>
      <c r="K44" s="20"/>
      <c r="L44" s="20"/>
      <c r="M44" s="20"/>
      <c r="N44" s="20"/>
      <c r="O44" s="27" t="n">
        <v>568.6</v>
      </c>
      <c r="P44" s="27" t="n">
        <v>511.19</v>
      </c>
      <c r="Q44" s="20"/>
      <c r="R44" s="21" t="n">
        <f aca="false">SUM(F44:Q44)</f>
        <v>1079.79</v>
      </c>
      <c r="S44" s="18"/>
      <c r="T44" s="18"/>
      <c r="U44" s="18"/>
      <c r="V44" s="18"/>
      <c r="W44" s="18"/>
      <c r="X44" s="18"/>
      <c r="Y44" s="18"/>
      <c r="Z44" s="18"/>
      <c r="AA44" s="18"/>
      <c r="AB44" s="28" t="n">
        <v>1</v>
      </c>
      <c r="AC44" s="28" t="n">
        <v>1</v>
      </c>
      <c r="AD44" s="18"/>
      <c r="AE44" s="22" t="n">
        <f aca="false">SUM(S44:AD44)</f>
        <v>2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9" t="s">
        <v>48</v>
      </c>
      <c r="AP44" s="29" t="s">
        <v>48</v>
      </c>
      <c r="AQ44" s="22"/>
      <c r="AR44" s="29" t="s">
        <v>48</v>
      </c>
      <c r="AS44" s="18"/>
      <c r="AT44" s="18"/>
      <c r="AU44" s="18"/>
      <c r="AV44" s="18"/>
      <c r="AW44" s="18"/>
      <c r="AX44" s="18"/>
      <c r="AY44" s="18"/>
      <c r="AZ44" s="18"/>
      <c r="BA44" s="18"/>
      <c r="BB44" s="25" t="n">
        <v>4</v>
      </c>
      <c r="BC44" s="18"/>
      <c r="BD44" s="18"/>
      <c r="BE44" s="22" t="n">
        <f aca="false">SUM(AS44:BD44)</f>
        <v>4</v>
      </c>
      <c r="BF44" s="23" t="n">
        <v>568.6</v>
      </c>
      <c r="BG44" s="19" t="s">
        <v>55</v>
      </c>
      <c r="BH44" s="18"/>
      <c r="BI44" s="18"/>
      <c r="BJ44" s="18"/>
      <c r="BK44" s="18"/>
      <c r="BL44" s="18"/>
      <c r="BM44" s="18"/>
      <c r="BN44" s="18"/>
      <c r="BO44" s="18"/>
      <c r="BP44" s="18"/>
      <c r="BQ44" s="25" t="n">
        <v>3</v>
      </c>
      <c r="BR44" s="18"/>
      <c r="BS44" s="18"/>
      <c r="BT44" s="22" t="n">
        <f aca="false">SUM(BH44:BS44)</f>
        <v>3</v>
      </c>
      <c r="BU44" s="26" t="n">
        <v>46002.6256944445</v>
      </c>
      <c r="BV44" s="17"/>
      <c r="BW44" s="17" t="s">
        <v>117</v>
      </c>
      <c r="BX44" s="23" t="n">
        <f aca="false">IFERROR(R44/AE44,0)</f>
        <v>539.895</v>
      </c>
      <c r="BY44" s="23" t="n">
        <f aca="false">IFERROR(R44/12,0)</f>
        <v>89.9825</v>
      </c>
      <c r="BZ44" s="18" t="n">
        <v>21</v>
      </c>
      <c r="CA44" s="22" t="str">
        <f aca="false">IF(AE44=0,"PROSPECT",IF(AE44=1,"NOVO",IF(AE44&lt;=3,"EM DESENV.",IF(AE44&lt;=6,"RECORRENTE","FIDELIZADO"))))</f>
        <v>EM DESENV.</v>
      </c>
      <c r="CB44" s="22" t="n">
        <f aca="false">IF((P44+Q44)&gt;0,1,0)+IF((BR44+BS44)&gt;0,1,0)+IF(BE44&gt;0,1,0)</f>
        <v>2</v>
      </c>
    </row>
    <row r="45" customFormat="false" ht="15" hidden="false" customHeight="true" outlineLevel="0" collapsed="false">
      <c r="A45" s="16" t="s">
        <v>185</v>
      </c>
      <c r="B45" s="17" t="s">
        <v>186</v>
      </c>
      <c r="C45" s="18" t="s">
        <v>72</v>
      </c>
      <c r="D45" s="17" t="s">
        <v>187</v>
      </c>
      <c r="E45" s="19" t="s">
        <v>43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7" t="n">
        <v>403.98</v>
      </c>
      <c r="Q45" s="20"/>
      <c r="R45" s="21" t="n">
        <f aca="false">SUM(F45:Q45)</f>
        <v>403.98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28" t="n">
        <v>1</v>
      </c>
      <c r="AD45" s="18"/>
      <c r="AE45" s="22" t="n">
        <f aca="false">SUM(S45:AD45)</f>
        <v>1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9" t="s">
        <v>48</v>
      </c>
      <c r="AQ45" s="22"/>
      <c r="AR45" s="22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25" t="n">
        <v>5</v>
      </c>
      <c r="BD45" s="18"/>
      <c r="BE45" s="22" t="n">
        <f aca="false">SUM(AS45:BD45)</f>
        <v>5</v>
      </c>
      <c r="BF45" s="23" t="n">
        <v>403.98</v>
      </c>
      <c r="BG45" s="19" t="s">
        <v>55</v>
      </c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25" t="n">
        <v>3</v>
      </c>
      <c r="BS45" s="25" t="n">
        <v>2</v>
      </c>
      <c r="BT45" s="22" t="n">
        <f aca="false">SUM(BH45:BS45)</f>
        <v>5</v>
      </c>
      <c r="BU45" s="26" t="n">
        <v>46056.7270833333</v>
      </c>
      <c r="BV45" s="17"/>
      <c r="BW45" s="17" t="s">
        <v>44</v>
      </c>
      <c r="BX45" s="23" t="n">
        <f aca="false">IFERROR(R45/AE45,0)</f>
        <v>403.98</v>
      </c>
      <c r="BY45" s="23" t="n">
        <f aca="false">IFERROR(R45/12,0)</f>
        <v>33.665</v>
      </c>
      <c r="BZ45" s="18" t="n">
        <v>0</v>
      </c>
      <c r="CA45" s="22" t="str">
        <f aca="false">IF(AE45=0,"PROSPECT",IF(AE45=1,"NOVO",IF(AE45&lt;=3,"EM DESENV.",IF(AE45&lt;=6,"RECORRENTE","FIDELIZADO"))))</f>
        <v>NOVO</v>
      </c>
      <c r="CB45" s="22" t="n">
        <f aca="false">IF((P45+Q45)&gt;0,1,0)+IF((BR45+BS45)&gt;0,1,0)+IF(BE45&gt;0,1,0)</f>
        <v>3</v>
      </c>
    </row>
    <row r="46" customFormat="false" ht="15" hidden="false" customHeight="true" outlineLevel="0" collapsed="false">
      <c r="A46" s="16" t="s">
        <v>188</v>
      </c>
      <c r="B46" s="17" t="s">
        <v>189</v>
      </c>
      <c r="C46" s="18" t="s">
        <v>53</v>
      </c>
      <c r="D46" s="17" t="s">
        <v>190</v>
      </c>
      <c r="E46" s="19" t="s">
        <v>43</v>
      </c>
      <c r="F46" s="20"/>
      <c r="G46" s="20"/>
      <c r="H46" s="20"/>
      <c r="I46" s="20"/>
      <c r="J46" s="20"/>
      <c r="K46" s="20"/>
      <c r="L46" s="20"/>
      <c r="M46" s="20"/>
      <c r="N46" s="27" t="n">
        <v>1670.94</v>
      </c>
      <c r="O46" s="20"/>
      <c r="P46" s="27" t="n">
        <v>966.75</v>
      </c>
      <c r="Q46" s="20"/>
      <c r="R46" s="21" t="n">
        <f aca="false">SUM(F46:Q46)</f>
        <v>2637.69</v>
      </c>
      <c r="S46" s="18"/>
      <c r="T46" s="18"/>
      <c r="U46" s="18"/>
      <c r="V46" s="18"/>
      <c r="W46" s="18"/>
      <c r="X46" s="18"/>
      <c r="Y46" s="18"/>
      <c r="Z46" s="18"/>
      <c r="AA46" s="28" t="n">
        <v>1</v>
      </c>
      <c r="AB46" s="18"/>
      <c r="AC46" s="28" t="n">
        <v>1</v>
      </c>
      <c r="AD46" s="18"/>
      <c r="AE46" s="22" t="n">
        <f aca="false">SUM(S46:AD46)</f>
        <v>2</v>
      </c>
      <c r="AF46" s="22"/>
      <c r="AG46" s="22"/>
      <c r="AH46" s="22"/>
      <c r="AI46" s="22"/>
      <c r="AJ46" s="22"/>
      <c r="AK46" s="22"/>
      <c r="AL46" s="22"/>
      <c r="AM46" s="22"/>
      <c r="AN46" s="19" t="s">
        <v>50</v>
      </c>
      <c r="AO46" s="22"/>
      <c r="AP46" s="22"/>
      <c r="AQ46" s="22"/>
      <c r="AR46" s="30" t="s">
        <v>49</v>
      </c>
      <c r="AS46" s="18"/>
      <c r="AT46" s="18"/>
      <c r="AU46" s="18"/>
      <c r="AV46" s="18"/>
      <c r="AW46" s="18"/>
      <c r="AX46" s="18"/>
      <c r="AY46" s="18"/>
      <c r="AZ46" s="18"/>
      <c r="BA46" s="25" t="n">
        <v>1</v>
      </c>
      <c r="BB46" s="18"/>
      <c r="BC46" s="18"/>
      <c r="BD46" s="18"/>
      <c r="BE46" s="22" t="n">
        <f aca="false">SUM(AS46:BD46)</f>
        <v>1</v>
      </c>
      <c r="BF46" s="23" t="n">
        <v>1670.94</v>
      </c>
      <c r="BG46" s="19" t="s">
        <v>55</v>
      </c>
      <c r="BH46" s="25" t="n">
        <v>1</v>
      </c>
      <c r="BI46" s="18"/>
      <c r="BJ46" s="25" t="n">
        <v>2</v>
      </c>
      <c r="BK46" s="25" t="n">
        <v>1</v>
      </c>
      <c r="BL46" s="25" t="n">
        <v>1</v>
      </c>
      <c r="BM46" s="18"/>
      <c r="BN46" s="18"/>
      <c r="BO46" s="18"/>
      <c r="BP46" s="18"/>
      <c r="BQ46" s="25" t="n">
        <v>1</v>
      </c>
      <c r="BR46" s="25" t="n">
        <v>2</v>
      </c>
      <c r="BS46" s="18"/>
      <c r="BT46" s="22" t="n">
        <f aca="false">SUM(BH46:BS46)</f>
        <v>8</v>
      </c>
      <c r="BU46" s="26" t="n">
        <v>46048.375150463</v>
      </c>
      <c r="BV46" s="17"/>
      <c r="BW46" s="17" t="s">
        <v>44</v>
      </c>
      <c r="BX46" s="23" t="n">
        <f aca="false">IFERROR(R46/AE46,0)</f>
        <v>1318.845</v>
      </c>
      <c r="BY46" s="23" t="n">
        <f aca="false">IFERROR(R46/12,0)</f>
        <v>219.8075</v>
      </c>
      <c r="BZ46" s="18" t="n">
        <v>63</v>
      </c>
      <c r="CA46" s="22" t="str">
        <f aca="false">IF(AE46=0,"PROSPECT",IF(AE46=1,"NOVO",IF(AE46&lt;=3,"EM DESENV.",IF(AE46&lt;=6,"RECORRENTE","FIDELIZADO"))))</f>
        <v>EM DESENV.</v>
      </c>
      <c r="CB46" s="22" t="n">
        <f aca="false">IF((P46+Q46)&gt;0,1,0)+IF((BR46+BS46)&gt;0,1,0)+IF(BE46&gt;0,1,0)</f>
        <v>3</v>
      </c>
    </row>
    <row r="47" customFormat="false" ht="15" hidden="false" customHeight="true" outlineLevel="0" collapsed="false">
      <c r="A47" s="16" t="s">
        <v>191</v>
      </c>
      <c r="B47" s="17" t="s">
        <v>192</v>
      </c>
      <c r="C47" s="18" t="s">
        <v>61</v>
      </c>
      <c r="D47" s="17" t="s">
        <v>123</v>
      </c>
      <c r="E47" s="19" t="s">
        <v>43</v>
      </c>
      <c r="F47" s="20"/>
      <c r="G47" s="20"/>
      <c r="H47" s="20"/>
      <c r="I47" s="20"/>
      <c r="J47" s="27" t="n">
        <v>1253.13</v>
      </c>
      <c r="K47" s="20"/>
      <c r="L47" s="20"/>
      <c r="M47" s="20"/>
      <c r="N47" s="20"/>
      <c r="O47" s="20"/>
      <c r="P47" s="27" t="n">
        <v>812.89</v>
      </c>
      <c r="Q47" s="20"/>
      <c r="R47" s="21" t="n">
        <f aca="false">SUM(F47:Q47)</f>
        <v>2066.02</v>
      </c>
      <c r="S47" s="18"/>
      <c r="T47" s="18"/>
      <c r="U47" s="18"/>
      <c r="V47" s="18"/>
      <c r="W47" s="28" t="n">
        <v>1</v>
      </c>
      <c r="X47" s="18"/>
      <c r="Y47" s="18"/>
      <c r="Z47" s="18"/>
      <c r="AA47" s="18"/>
      <c r="AB47" s="18"/>
      <c r="AC47" s="28" t="n">
        <v>1</v>
      </c>
      <c r="AD47" s="18"/>
      <c r="AE47" s="22" t="n">
        <f aca="false">SUM(S47:AD47)</f>
        <v>2</v>
      </c>
      <c r="AF47" s="22"/>
      <c r="AG47" s="22"/>
      <c r="AH47" s="22"/>
      <c r="AI47" s="22"/>
      <c r="AJ47" s="30" t="s">
        <v>49</v>
      </c>
      <c r="AK47" s="22"/>
      <c r="AL47" s="22"/>
      <c r="AM47" s="22"/>
      <c r="AN47" s="22"/>
      <c r="AO47" s="22"/>
      <c r="AP47" s="22"/>
      <c r="AQ47" s="22"/>
      <c r="AR47" s="30" t="s">
        <v>49</v>
      </c>
      <c r="AS47" s="18"/>
      <c r="AT47" s="18"/>
      <c r="AU47" s="18"/>
      <c r="AV47" s="18"/>
      <c r="AW47" s="18"/>
      <c r="AX47" s="18"/>
      <c r="AY47" s="18"/>
      <c r="AZ47" s="18"/>
      <c r="BA47" s="25" t="n">
        <v>1</v>
      </c>
      <c r="BB47" s="18"/>
      <c r="BC47" s="18"/>
      <c r="BD47" s="18"/>
      <c r="BE47" s="22" t="n">
        <f aca="false">SUM(AS47:BD47)</f>
        <v>1</v>
      </c>
      <c r="BF47" s="23"/>
      <c r="BG47" s="31" t="s">
        <v>93</v>
      </c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25" t="n">
        <v>1</v>
      </c>
      <c r="BS47" s="25" t="n">
        <v>2</v>
      </c>
      <c r="BT47" s="22" t="n">
        <f aca="false">SUM(BH47:BS47)</f>
        <v>3</v>
      </c>
      <c r="BU47" s="26" t="n">
        <v>46056.7256944445</v>
      </c>
      <c r="BV47" s="17"/>
      <c r="BW47" s="17" t="s">
        <v>44</v>
      </c>
      <c r="BX47" s="23" t="n">
        <f aca="false">IFERROR(R47/AE47,0)</f>
        <v>1033.01</v>
      </c>
      <c r="BY47" s="23" t="n">
        <f aca="false">IFERROR(R47/12,0)</f>
        <v>172.168333333333</v>
      </c>
      <c r="BZ47" s="18" t="n">
        <v>182</v>
      </c>
      <c r="CA47" s="22" t="str">
        <f aca="false">IF(AE47=0,"PROSPECT",IF(AE47=1,"NOVO",IF(AE47&lt;=3,"EM DESENV.",IF(AE47&lt;=6,"RECORRENTE","FIDELIZADO"))))</f>
        <v>EM DESENV.</v>
      </c>
      <c r="CB47" s="22" t="n">
        <f aca="false">IF((P47+Q47)&gt;0,1,0)+IF((BR47+BS47)&gt;0,1,0)+IF(BE47&gt;0,1,0)</f>
        <v>3</v>
      </c>
    </row>
    <row r="48" customFormat="false" ht="15" hidden="false" customHeight="true" outlineLevel="0" collapsed="false">
      <c r="A48" s="16" t="s">
        <v>193</v>
      </c>
      <c r="B48" s="17" t="s">
        <v>194</v>
      </c>
      <c r="C48" s="18" t="s">
        <v>41</v>
      </c>
      <c r="D48" s="17" t="s">
        <v>195</v>
      </c>
      <c r="E48" s="19" t="s">
        <v>43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1" t="n">
        <f aca="false">SUM(F48:Q48)</f>
        <v>0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22" t="n">
        <f aca="false">SUM(S48:AD48)</f>
        <v>0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9" t="s">
        <v>48</v>
      </c>
      <c r="AR48" s="22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22" t="n">
        <f aca="false">SUM(AS48:BD48)</f>
        <v>0</v>
      </c>
      <c r="BF48" s="23"/>
      <c r="BG48" s="24"/>
      <c r="BH48" s="18"/>
      <c r="BI48" s="18"/>
      <c r="BJ48" s="18"/>
      <c r="BK48" s="18"/>
      <c r="BL48" s="18"/>
      <c r="BM48" s="25" t="n">
        <v>1</v>
      </c>
      <c r="BN48" s="18"/>
      <c r="BO48" s="18"/>
      <c r="BP48" s="25" t="n">
        <v>1</v>
      </c>
      <c r="BQ48" s="18"/>
      <c r="BR48" s="18"/>
      <c r="BS48" s="18"/>
      <c r="BT48" s="22" t="n">
        <f aca="false">SUM(BH48:BS48)</f>
        <v>2</v>
      </c>
      <c r="BU48" s="26" t="n">
        <v>45967.6679166667</v>
      </c>
      <c r="BV48" s="17"/>
      <c r="BW48" s="17" t="s">
        <v>44</v>
      </c>
      <c r="BX48" s="23" t="n">
        <f aca="false">IFERROR(R48/AE48,0)</f>
        <v>0</v>
      </c>
      <c r="BY48" s="23" t="n">
        <f aca="false">IFERROR(R48/12,0)</f>
        <v>0</v>
      </c>
      <c r="BZ48" s="18" t="n">
        <v>0</v>
      </c>
      <c r="CA48" s="22" t="str">
        <f aca="false">IF(AE48=0,"PROSPECT",IF(AE48=1,"NOVO",IF(AE48&lt;=3,"EM DESENV.",IF(AE48&lt;=6,"RECORRENTE","FIDELIZADO"))))</f>
        <v>PROSPECT</v>
      </c>
      <c r="CB48" s="22" t="n">
        <f aca="false">IF((P48+Q48)&gt;0,1,0)+IF((BR48+BS48)&gt;0,1,0)+IF(BE48&gt;0,1,0)</f>
        <v>0</v>
      </c>
    </row>
    <row r="49" customFormat="false" ht="15" hidden="false" customHeight="true" outlineLevel="0" collapsed="false">
      <c r="A49" s="16" t="s">
        <v>196</v>
      </c>
      <c r="B49" s="17" t="s">
        <v>197</v>
      </c>
      <c r="C49" s="18" t="s">
        <v>168</v>
      </c>
      <c r="D49" s="17" t="s">
        <v>198</v>
      </c>
      <c r="E49" s="19" t="s">
        <v>43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1" t="n">
        <f aca="false">SUM(F49:Q49)</f>
        <v>0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22" t="n">
        <f aca="false">SUM(S49:AD49)</f>
        <v>0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22" t="n">
        <f aca="false">SUM(AS49:BD49)</f>
        <v>0</v>
      </c>
      <c r="BF49" s="23"/>
      <c r="BG49" s="24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25" t="n">
        <v>1</v>
      </c>
      <c r="BS49" s="18"/>
      <c r="BT49" s="22" t="n">
        <f aca="false">SUM(BH49:BS49)</f>
        <v>1</v>
      </c>
      <c r="BU49" s="26" t="n">
        <v>46042.7315162037</v>
      </c>
      <c r="BV49" s="17"/>
      <c r="BW49" s="17" t="s">
        <v>44</v>
      </c>
      <c r="BX49" s="23" t="n">
        <f aca="false">IFERROR(R49/AE49,0)</f>
        <v>0</v>
      </c>
      <c r="BY49" s="23" t="n">
        <f aca="false">IFERROR(R49/12,0)</f>
        <v>0</v>
      </c>
      <c r="BZ49" s="18" t="n">
        <v>0</v>
      </c>
      <c r="CA49" s="22" t="str">
        <f aca="false">IF(AE49=0,"PROSPECT",IF(AE49=1,"NOVO",IF(AE49&lt;=3,"EM DESENV.",IF(AE49&lt;=6,"RECORRENTE","FIDELIZADO"))))</f>
        <v>PROSPECT</v>
      </c>
      <c r="CB49" s="22" t="n">
        <f aca="false">IF((P49+Q49)&gt;0,1,0)+IF((BR49+BS49)&gt;0,1,0)+IF(BE49&gt;0,1,0)</f>
        <v>1</v>
      </c>
    </row>
    <row r="50" customFormat="false" ht="15" hidden="false" customHeight="true" outlineLevel="0" collapsed="false">
      <c r="A50" s="16" t="s">
        <v>199</v>
      </c>
      <c r="B50" s="17" t="s">
        <v>200</v>
      </c>
      <c r="C50" s="18" t="s">
        <v>53</v>
      </c>
      <c r="D50" s="17" t="s">
        <v>201</v>
      </c>
      <c r="E50" s="19" t="s">
        <v>43</v>
      </c>
      <c r="F50" s="20"/>
      <c r="G50" s="20"/>
      <c r="H50" s="20"/>
      <c r="I50" s="20"/>
      <c r="J50" s="20"/>
      <c r="K50" s="20"/>
      <c r="L50" s="20"/>
      <c r="M50" s="20"/>
      <c r="N50" s="27" t="n">
        <v>3009.27</v>
      </c>
      <c r="O50" s="20"/>
      <c r="P50" s="20"/>
      <c r="Q50" s="20"/>
      <c r="R50" s="21" t="n">
        <f aca="false">SUM(F50:Q50)</f>
        <v>3009.27</v>
      </c>
      <c r="S50" s="18"/>
      <c r="T50" s="18"/>
      <c r="U50" s="18"/>
      <c r="V50" s="18"/>
      <c r="W50" s="18"/>
      <c r="X50" s="18"/>
      <c r="Y50" s="18"/>
      <c r="Z50" s="18"/>
      <c r="AA50" s="28" t="n">
        <v>1</v>
      </c>
      <c r="AB50" s="18"/>
      <c r="AC50" s="18"/>
      <c r="AD50" s="18"/>
      <c r="AE50" s="22" t="n">
        <f aca="false">SUM(S50:AD50)</f>
        <v>1</v>
      </c>
      <c r="AF50" s="22"/>
      <c r="AG50" s="22"/>
      <c r="AH50" s="22"/>
      <c r="AI50" s="22"/>
      <c r="AJ50" s="22"/>
      <c r="AK50" s="22"/>
      <c r="AL50" s="22"/>
      <c r="AM50" s="22"/>
      <c r="AN50" s="19" t="s">
        <v>50</v>
      </c>
      <c r="AO50" s="22"/>
      <c r="AP50" s="22"/>
      <c r="AQ50" s="19" t="s">
        <v>50</v>
      </c>
      <c r="AR50" s="19" t="s">
        <v>50</v>
      </c>
      <c r="AS50" s="18"/>
      <c r="AT50" s="18"/>
      <c r="AU50" s="18"/>
      <c r="AV50" s="18"/>
      <c r="AW50" s="18"/>
      <c r="AX50" s="18"/>
      <c r="AY50" s="18"/>
      <c r="AZ50" s="18"/>
      <c r="BA50" s="25" t="n">
        <v>2</v>
      </c>
      <c r="BB50" s="18"/>
      <c r="BC50" s="18"/>
      <c r="BD50" s="18"/>
      <c r="BE50" s="22" t="n">
        <f aca="false">SUM(AS50:BD50)</f>
        <v>2</v>
      </c>
      <c r="BF50" s="23" t="n">
        <v>3009.27</v>
      </c>
      <c r="BG50" s="19" t="s">
        <v>55</v>
      </c>
      <c r="BH50" s="18"/>
      <c r="BI50" s="18"/>
      <c r="BJ50" s="18"/>
      <c r="BK50" s="18"/>
      <c r="BL50" s="18"/>
      <c r="BM50" s="18"/>
      <c r="BN50" s="18"/>
      <c r="BO50" s="18"/>
      <c r="BP50" s="25" t="n">
        <v>2</v>
      </c>
      <c r="BQ50" s="18"/>
      <c r="BR50" s="25" t="n">
        <v>3</v>
      </c>
      <c r="BS50" s="25" t="n">
        <v>3</v>
      </c>
      <c r="BT50" s="22" t="n">
        <f aca="false">SUM(BH50:BS50)</f>
        <v>8</v>
      </c>
      <c r="BU50" s="26" t="n">
        <v>46055.5770833333</v>
      </c>
      <c r="BV50" s="17" t="s">
        <v>124</v>
      </c>
      <c r="BW50" s="17" t="s">
        <v>44</v>
      </c>
      <c r="BX50" s="23" t="n">
        <f aca="false">IFERROR(R50/AE50,0)</f>
        <v>3009.27</v>
      </c>
      <c r="BY50" s="23" t="n">
        <f aca="false">IFERROR(R50/12,0)</f>
        <v>250.7725</v>
      </c>
      <c r="BZ50" s="18" t="n">
        <v>68</v>
      </c>
      <c r="CA50" s="22" t="str">
        <f aca="false">IF(AE50=0,"PROSPECT",IF(AE50=1,"NOVO",IF(AE50&lt;=3,"EM DESENV.",IF(AE50&lt;=6,"RECORRENTE","FIDELIZADO"))))</f>
        <v>NOVO</v>
      </c>
      <c r="CB50" s="22" t="n">
        <f aca="false">IF((P50+Q50)&gt;0,1,0)+IF((BR50+BS50)&gt;0,1,0)+IF(BE50&gt;0,1,0)</f>
        <v>2</v>
      </c>
    </row>
    <row r="51" customFormat="false" ht="15" hidden="false" customHeight="true" outlineLevel="0" collapsed="false">
      <c r="A51" s="16" t="s">
        <v>202</v>
      </c>
      <c r="B51" s="17" t="s">
        <v>203</v>
      </c>
      <c r="C51" s="18" t="s">
        <v>72</v>
      </c>
      <c r="D51" s="17" t="s">
        <v>204</v>
      </c>
      <c r="E51" s="19" t="s">
        <v>43</v>
      </c>
      <c r="F51" s="20"/>
      <c r="G51" s="20"/>
      <c r="H51" s="27" t="n">
        <v>671.1</v>
      </c>
      <c r="I51" s="20"/>
      <c r="J51" s="20"/>
      <c r="K51" s="20"/>
      <c r="L51" s="20"/>
      <c r="M51" s="20"/>
      <c r="N51" s="20"/>
      <c r="O51" s="20"/>
      <c r="P51" s="27" t="n">
        <v>1562.74</v>
      </c>
      <c r="Q51" s="20"/>
      <c r="R51" s="21" t="n">
        <f aca="false">SUM(F51:Q51)</f>
        <v>2233.84</v>
      </c>
      <c r="S51" s="18"/>
      <c r="T51" s="18"/>
      <c r="U51" s="28" t="n">
        <v>1</v>
      </c>
      <c r="V51" s="18"/>
      <c r="W51" s="18"/>
      <c r="X51" s="18"/>
      <c r="Y51" s="18"/>
      <c r="Z51" s="18"/>
      <c r="AA51" s="18"/>
      <c r="AB51" s="18"/>
      <c r="AC51" s="28" t="n">
        <v>1</v>
      </c>
      <c r="AD51" s="18"/>
      <c r="AE51" s="22" t="n">
        <f aca="false">SUM(S51:AD51)</f>
        <v>2</v>
      </c>
      <c r="AF51" s="22"/>
      <c r="AG51" s="22"/>
      <c r="AH51" s="29" t="s">
        <v>48</v>
      </c>
      <c r="AI51" s="22"/>
      <c r="AJ51" s="22"/>
      <c r="AK51" s="22"/>
      <c r="AL51" s="22"/>
      <c r="AM51" s="22"/>
      <c r="AN51" s="22"/>
      <c r="AO51" s="22"/>
      <c r="AP51" s="22"/>
      <c r="AQ51" s="22"/>
      <c r="AR51" s="29" t="s">
        <v>48</v>
      </c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22" t="n">
        <f aca="false">SUM(AS51:BD51)</f>
        <v>0</v>
      </c>
      <c r="BF51" s="23"/>
      <c r="BG51" s="24"/>
      <c r="BH51" s="18"/>
      <c r="BI51" s="18"/>
      <c r="BJ51" s="25" t="n">
        <v>1</v>
      </c>
      <c r="BK51" s="18"/>
      <c r="BL51" s="25" t="n">
        <v>4</v>
      </c>
      <c r="BM51" s="25" t="n">
        <v>1</v>
      </c>
      <c r="BN51" s="18"/>
      <c r="BO51" s="25" t="n">
        <v>2</v>
      </c>
      <c r="BP51" s="18"/>
      <c r="BQ51" s="18"/>
      <c r="BR51" s="25" t="n">
        <v>3</v>
      </c>
      <c r="BS51" s="18"/>
      <c r="BT51" s="22" t="n">
        <f aca="false">SUM(BH51:BS51)</f>
        <v>11</v>
      </c>
      <c r="BU51" s="26" t="n">
        <v>46043.7178935185</v>
      </c>
      <c r="BV51" s="17"/>
      <c r="BW51" s="17" t="s">
        <v>44</v>
      </c>
      <c r="BX51" s="23" t="n">
        <f aca="false">IFERROR(R51/AE51,0)</f>
        <v>1116.92</v>
      </c>
      <c r="BY51" s="23" t="n">
        <f aca="false">IFERROR(R51/12,0)</f>
        <v>186.153333333333</v>
      </c>
      <c r="BZ51" s="18" t="n">
        <v>247</v>
      </c>
      <c r="CA51" s="22" t="str">
        <f aca="false">IF(AE51=0,"PROSPECT",IF(AE51=1,"NOVO",IF(AE51&lt;=3,"EM DESENV.",IF(AE51&lt;=6,"RECORRENTE","FIDELIZADO"))))</f>
        <v>EM DESENV.</v>
      </c>
      <c r="CB51" s="22" t="n">
        <f aca="false">IF((P51+Q51)&gt;0,1,0)+IF((BR51+BS51)&gt;0,1,0)+IF(BE51&gt;0,1,0)</f>
        <v>2</v>
      </c>
    </row>
    <row r="52" customFormat="false" ht="15" hidden="false" customHeight="true" outlineLevel="0" collapsed="false">
      <c r="A52" s="16" t="s">
        <v>205</v>
      </c>
      <c r="B52" s="17" t="s">
        <v>206</v>
      </c>
      <c r="C52" s="18" t="s">
        <v>168</v>
      </c>
      <c r="D52" s="17" t="s">
        <v>207</v>
      </c>
      <c r="E52" s="19" t="s">
        <v>43</v>
      </c>
      <c r="F52" s="20"/>
      <c r="G52" s="20"/>
      <c r="H52" s="20"/>
      <c r="I52" s="20"/>
      <c r="J52" s="20"/>
      <c r="K52" s="20"/>
      <c r="L52" s="20"/>
      <c r="M52" s="20"/>
      <c r="N52" s="27" t="n">
        <v>728.46</v>
      </c>
      <c r="O52" s="20"/>
      <c r="P52" s="27" t="n">
        <v>793.22</v>
      </c>
      <c r="Q52" s="20"/>
      <c r="R52" s="21" t="n">
        <f aca="false">SUM(F52:Q52)</f>
        <v>1521.68</v>
      </c>
      <c r="S52" s="18"/>
      <c r="T52" s="18"/>
      <c r="U52" s="18"/>
      <c r="V52" s="18"/>
      <c r="W52" s="18"/>
      <c r="X52" s="18"/>
      <c r="Y52" s="18"/>
      <c r="Z52" s="18"/>
      <c r="AA52" s="28" t="n">
        <v>1</v>
      </c>
      <c r="AB52" s="18"/>
      <c r="AC52" s="28" t="n">
        <v>1</v>
      </c>
      <c r="AD52" s="18"/>
      <c r="AE52" s="22" t="n">
        <f aca="false">SUM(S52:AD52)</f>
        <v>2</v>
      </c>
      <c r="AF52" s="22"/>
      <c r="AG52" s="22"/>
      <c r="AH52" s="22"/>
      <c r="AI52" s="22"/>
      <c r="AJ52" s="22"/>
      <c r="AK52" s="22"/>
      <c r="AL52" s="22"/>
      <c r="AM52" s="22"/>
      <c r="AN52" s="29" t="s">
        <v>48</v>
      </c>
      <c r="AO52" s="22"/>
      <c r="AP52" s="22"/>
      <c r="AQ52" s="22"/>
      <c r="AR52" s="29" t="s">
        <v>48</v>
      </c>
      <c r="AS52" s="18"/>
      <c r="AT52" s="18"/>
      <c r="AU52" s="18"/>
      <c r="AV52" s="18"/>
      <c r="AW52" s="18"/>
      <c r="AX52" s="18"/>
      <c r="AY52" s="18"/>
      <c r="AZ52" s="18"/>
      <c r="BA52" s="25" t="n">
        <v>2</v>
      </c>
      <c r="BB52" s="18"/>
      <c r="BC52" s="25" t="n">
        <v>1</v>
      </c>
      <c r="BD52" s="25" t="n">
        <v>1</v>
      </c>
      <c r="BE52" s="22" t="n">
        <f aca="false">SUM(AS52:BD52)</f>
        <v>4</v>
      </c>
      <c r="BF52" s="23" t="n">
        <v>728.46</v>
      </c>
      <c r="BG52" s="19" t="s">
        <v>55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25" t="n">
        <v>1</v>
      </c>
      <c r="BS52" s="18"/>
      <c r="BT52" s="22" t="n">
        <f aca="false">SUM(BH52:BS52)</f>
        <v>1</v>
      </c>
      <c r="BU52" s="26" t="n">
        <v>46051.6715277778</v>
      </c>
      <c r="BV52" s="17"/>
      <c r="BW52" s="17" t="s">
        <v>111</v>
      </c>
      <c r="BX52" s="23" t="n">
        <f aca="false">IFERROR(R52/AE52,0)</f>
        <v>760.84</v>
      </c>
      <c r="BY52" s="23" t="n">
        <f aca="false">IFERROR(R52/12,0)</f>
        <v>126.806666666667</v>
      </c>
      <c r="BZ52" s="18" t="n">
        <v>64</v>
      </c>
      <c r="CA52" s="22" t="str">
        <f aca="false">IF(AE52=0,"PROSPECT",IF(AE52=1,"NOVO",IF(AE52&lt;=3,"EM DESENV.",IF(AE52&lt;=6,"RECORRENTE","FIDELIZADO"))))</f>
        <v>EM DESENV.</v>
      </c>
      <c r="CB52" s="22" t="n">
        <f aca="false">IF((P52+Q52)&gt;0,1,0)+IF((BR52+BS52)&gt;0,1,0)+IF(BE52&gt;0,1,0)</f>
        <v>3</v>
      </c>
    </row>
    <row r="53" customFormat="false" ht="15" hidden="false" customHeight="true" outlineLevel="0" collapsed="false">
      <c r="A53" s="16" t="s">
        <v>208</v>
      </c>
      <c r="B53" s="17" t="s">
        <v>209</v>
      </c>
      <c r="C53" s="18" t="s">
        <v>61</v>
      </c>
      <c r="D53" s="17" t="s">
        <v>210</v>
      </c>
      <c r="E53" s="19" t="s">
        <v>43</v>
      </c>
      <c r="F53" s="20"/>
      <c r="G53" s="20"/>
      <c r="H53" s="20"/>
      <c r="I53" s="20"/>
      <c r="J53" s="20"/>
      <c r="K53" s="20"/>
      <c r="L53" s="20"/>
      <c r="M53" s="27" t="n">
        <v>1256.29</v>
      </c>
      <c r="N53" s="20"/>
      <c r="O53" s="20"/>
      <c r="P53" s="27" t="n">
        <v>677.31</v>
      </c>
      <c r="Q53" s="20"/>
      <c r="R53" s="21" t="n">
        <f aca="false">SUM(F53:Q53)</f>
        <v>1933.6</v>
      </c>
      <c r="S53" s="18"/>
      <c r="T53" s="18"/>
      <c r="U53" s="18"/>
      <c r="V53" s="18"/>
      <c r="W53" s="18"/>
      <c r="X53" s="18"/>
      <c r="Y53" s="18"/>
      <c r="Z53" s="28" t="n">
        <v>1</v>
      </c>
      <c r="AA53" s="18"/>
      <c r="AB53" s="18"/>
      <c r="AC53" s="28" t="n">
        <v>1</v>
      </c>
      <c r="AD53" s="18"/>
      <c r="AE53" s="22" t="n">
        <f aca="false">SUM(S53:AD53)</f>
        <v>2</v>
      </c>
      <c r="AF53" s="22"/>
      <c r="AG53" s="22"/>
      <c r="AH53" s="22"/>
      <c r="AI53" s="22"/>
      <c r="AJ53" s="22"/>
      <c r="AK53" s="22"/>
      <c r="AL53" s="22"/>
      <c r="AM53" s="30" t="s">
        <v>49</v>
      </c>
      <c r="AN53" s="22"/>
      <c r="AO53" s="22"/>
      <c r="AP53" s="22"/>
      <c r="AQ53" s="22"/>
      <c r="AR53" s="30" t="s">
        <v>49</v>
      </c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25" t="n">
        <v>1</v>
      </c>
      <c r="BD53" s="18"/>
      <c r="BE53" s="22" t="n">
        <f aca="false">SUM(AS53:BD53)</f>
        <v>1</v>
      </c>
      <c r="BF53" s="23"/>
      <c r="BG53" s="31" t="s">
        <v>93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22" t="n">
        <f aca="false">SUM(BH53:BS53)</f>
        <v>0</v>
      </c>
      <c r="BU53" s="26"/>
      <c r="BV53" s="17"/>
      <c r="BW53" s="17"/>
      <c r="BX53" s="23" t="n">
        <f aca="false">IFERROR(R53/AE53,0)</f>
        <v>966.8</v>
      </c>
      <c r="BY53" s="23" t="n">
        <f aca="false">IFERROR(R53/12,0)</f>
        <v>161.133333333333</v>
      </c>
      <c r="BZ53" s="18" t="n">
        <v>99</v>
      </c>
      <c r="CA53" s="22" t="str">
        <f aca="false">IF(AE53=0,"PROSPECT",IF(AE53=1,"NOVO",IF(AE53&lt;=3,"EM DESENV.",IF(AE53&lt;=6,"RECORRENTE","FIDELIZADO"))))</f>
        <v>EM DESENV.</v>
      </c>
      <c r="CB53" s="22" t="n">
        <f aca="false">IF((P53+Q53)&gt;0,1,0)+IF((BR53+BS53)&gt;0,1,0)+IF(BE53&gt;0,1,0)</f>
        <v>2</v>
      </c>
    </row>
    <row r="54" customFormat="false" ht="15" hidden="false" customHeight="true" outlineLevel="0" collapsed="false">
      <c r="A54" s="16" t="s">
        <v>211</v>
      </c>
      <c r="B54" s="17" t="s">
        <v>212</v>
      </c>
      <c r="C54" s="18" t="s">
        <v>53</v>
      </c>
      <c r="D54" s="17" t="s">
        <v>172</v>
      </c>
      <c r="E54" s="19" t="s">
        <v>43</v>
      </c>
      <c r="F54" s="20"/>
      <c r="G54" s="20"/>
      <c r="H54" s="20"/>
      <c r="I54" s="27" t="n">
        <v>838.52</v>
      </c>
      <c r="J54" s="27" t="n">
        <v>3851.22</v>
      </c>
      <c r="K54" s="27" t="n">
        <v>1068.6</v>
      </c>
      <c r="L54" s="27" t="n">
        <v>1781.13</v>
      </c>
      <c r="M54" s="20"/>
      <c r="N54" s="27" t="n">
        <v>1762.77</v>
      </c>
      <c r="O54" s="20"/>
      <c r="P54" s="27" t="n">
        <v>3308.13</v>
      </c>
      <c r="Q54" s="20"/>
      <c r="R54" s="21" t="n">
        <f aca="false">SUM(F54:Q54)</f>
        <v>12610.37</v>
      </c>
      <c r="S54" s="18"/>
      <c r="T54" s="18"/>
      <c r="U54" s="18"/>
      <c r="V54" s="28" t="n">
        <v>1</v>
      </c>
      <c r="W54" s="28" t="n">
        <v>1</v>
      </c>
      <c r="X54" s="28" t="n">
        <v>1</v>
      </c>
      <c r="Y54" s="28" t="n">
        <v>1</v>
      </c>
      <c r="Z54" s="18"/>
      <c r="AA54" s="28" t="n">
        <v>1</v>
      </c>
      <c r="AB54" s="18"/>
      <c r="AC54" s="28" t="n">
        <v>1</v>
      </c>
      <c r="AD54" s="18"/>
      <c r="AE54" s="22" t="n">
        <f aca="false">SUM(S54:AD54)</f>
        <v>6</v>
      </c>
      <c r="AF54" s="22"/>
      <c r="AG54" s="22"/>
      <c r="AH54" s="22"/>
      <c r="AI54" s="30" t="s">
        <v>49</v>
      </c>
      <c r="AJ54" s="19" t="s">
        <v>50</v>
      </c>
      <c r="AK54" s="30" t="s">
        <v>49</v>
      </c>
      <c r="AL54" s="19" t="s">
        <v>50</v>
      </c>
      <c r="AM54" s="22"/>
      <c r="AN54" s="19" t="s">
        <v>50</v>
      </c>
      <c r="AO54" s="22"/>
      <c r="AP54" s="19" t="s">
        <v>50</v>
      </c>
      <c r="AQ54" s="22"/>
      <c r="AR54" s="19" t="s">
        <v>50</v>
      </c>
      <c r="AS54" s="18"/>
      <c r="AT54" s="18"/>
      <c r="AU54" s="18"/>
      <c r="AV54" s="25" t="n">
        <v>2</v>
      </c>
      <c r="AW54" s="18"/>
      <c r="AX54" s="18"/>
      <c r="AY54" s="18"/>
      <c r="AZ54" s="18"/>
      <c r="BA54" s="18"/>
      <c r="BB54" s="18"/>
      <c r="BC54" s="18"/>
      <c r="BD54" s="18"/>
      <c r="BE54" s="22" t="n">
        <f aca="false">SUM(AS54:BD54)</f>
        <v>2</v>
      </c>
      <c r="BF54" s="23" t="n">
        <v>838.52</v>
      </c>
      <c r="BG54" s="19" t="s">
        <v>55</v>
      </c>
      <c r="BH54" s="18"/>
      <c r="BI54" s="18"/>
      <c r="BJ54" s="18"/>
      <c r="BK54" s="25" t="n">
        <v>2</v>
      </c>
      <c r="BL54" s="25" t="n">
        <v>3</v>
      </c>
      <c r="BM54" s="18"/>
      <c r="BN54" s="18"/>
      <c r="BO54" s="18"/>
      <c r="BP54" s="25" t="n">
        <v>1</v>
      </c>
      <c r="BQ54" s="18"/>
      <c r="BR54" s="25" t="n">
        <v>4</v>
      </c>
      <c r="BS54" s="18"/>
      <c r="BT54" s="22" t="n">
        <f aca="false">SUM(BH54:BS54)</f>
        <v>10</v>
      </c>
      <c r="BU54" s="26" t="n">
        <v>46037.5515740741</v>
      </c>
      <c r="BV54" s="17"/>
      <c r="BW54" s="17" t="s">
        <v>44</v>
      </c>
      <c r="BX54" s="23" t="n">
        <f aca="false">IFERROR(R54/AE54,0)</f>
        <v>2101.72833333333</v>
      </c>
      <c r="BY54" s="23" t="n">
        <f aca="false">IFERROR(R54/12,0)</f>
        <v>1050.86416666667</v>
      </c>
      <c r="BZ54" s="18" t="n">
        <v>23.5556</v>
      </c>
      <c r="CA54" s="22" t="str">
        <f aca="false">IF(AE54=0,"PROSPECT",IF(AE54=1,"NOVO",IF(AE54&lt;=3,"EM DESENV.",IF(AE54&lt;=6,"RECORRENTE","FIDELIZADO"))))</f>
        <v>RECORRENTE</v>
      </c>
      <c r="CB54" s="22" t="n">
        <f aca="false">IF((P54+Q54)&gt;0,1,0)+IF((BR54+BS54)&gt;0,1,0)+IF(BE54&gt;0,1,0)</f>
        <v>3</v>
      </c>
    </row>
    <row r="55" customFormat="false" ht="15" hidden="false" customHeight="true" outlineLevel="0" collapsed="false">
      <c r="A55" s="16" t="s">
        <v>213</v>
      </c>
      <c r="B55" s="17" t="s">
        <v>214</v>
      </c>
      <c r="C55" s="18" t="s">
        <v>61</v>
      </c>
      <c r="D55" s="17" t="s">
        <v>215</v>
      </c>
      <c r="E55" s="19" t="s">
        <v>43</v>
      </c>
      <c r="F55" s="20"/>
      <c r="G55" s="20"/>
      <c r="H55" s="20"/>
      <c r="I55" s="20"/>
      <c r="J55" s="27" t="n">
        <v>3314.24</v>
      </c>
      <c r="K55" s="27" t="n">
        <v>1148.79</v>
      </c>
      <c r="L55" s="27" t="n">
        <v>5698.98</v>
      </c>
      <c r="M55" s="27" t="n">
        <v>2464.38</v>
      </c>
      <c r="N55" s="27" t="n">
        <v>1999.79</v>
      </c>
      <c r="O55" s="27" t="n">
        <v>4706.11</v>
      </c>
      <c r="P55" s="27" t="n">
        <v>2081.76</v>
      </c>
      <c r="Q55" s="20"/>
      <c r="R55" s="21" t="n">
        <f aca="false">SUM(F55:Q55)</f>
        <v>21414.05</v>
      </c>
      <c r="S55" s="18"/>
      <c r="T55" s="18"/>
      <c r="U55" s="18"/>
      <c r="V55" s="18"/>
      <c r="W55" s="28" t="n">
        <v>1</v>
      </c>
      <c r="X55" s="28" t="n">
        <v>1</v>
      </c>
      <c r="Y55" s="28" t="n">
        <v>1</v>
      </c>
      <c r="Z55" s="28" t="n">
        <v>1</v>
      </c>
      <c r="AA55" s="28" t="n">
        <v>1</v>
      </c>
      <c r="AB55" s="28" t="n">
        <v>1</v>
      </c>
      <c r="AC55" s="28" t="n">
        <v>1</v>
      </c>
      <c r="AD55" s="18"/>
      <c r="AE55" s="22" t="n">
        <f aca="false">SUM(S55:AD55)</f>
        <v>7</v>
      </c>
      <c r="AF55" s="22"/>
      <c r="AG55" s="22"/>
      <c r="AH55" s="22"/>
      <c r="AI55" s="22"/>
      <c r="AJ55" s="22"/>
      <c r="AK55" s="22"/>
      <c r="AL55" s="19" t="s">
        <v>50</v>
      </c>
      <c r="AM55" s="19" t="s">
        <v>50</v>
      </c>
      <c r="AN55" s="19" t="s">
        <v>50</v>
      </c>
      <c r="AO55" s="22"/>
      <c r="AP55" s="19" t="s">
        <v>50</v>
      </c>
      <c r="AQ55" s="22"/>
      <c r="AR55" s="19" t="s">
        <v>50</v>
      </c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22" t="n">
        <f aca="false">SUM(AS55:BD55)</f>
        <v>0</v>
      </c>
      <c r="BF55" s="23"/>
      <c r="BG55" s="24"/>
      <c r="BH55" s="18"/>
      <c r="BI55" s="18"/>
      <c r="BJ55" s="18"/>
      <c r="BK55" s="18"/>
      <c r="BL55" s="25" t="n">
        <v>1</v>
      </c>
      <c r="BM55" s="18"/>
      <c r="BN55" s="18"/>
      <c r="BO55" s="25" t="n">
        <v>1</v>
      </c>
      <c r="BP55" s="18"/>
      <c r="BQ55" s="25" t="n">
        <v>1</v>
      </c>
      <c r="BR55" s="25" t="n">
        <v>1</v>
      </c>
      <c r="BS55" s="18"/>
      <c r="BT55" s="22" t="n">
        <f aca="false">SUM(BH55:BS55)</f>
        <v>4</v>
      </c>
      <c r="BU55" s="26" t="n">
        <v>46049.7090740741</v>
      </c>
      <c r="BV55" s="17"/>
      <c r="BW55" s="17" t="s">
        <v>44</v>
      </c>
      <c r="BX55" s="23" t="n">
        <f aca="false">IFERROR(R55/AE55,0)</f>
        <v>3059.15</v>
      </c>
      <c r="BY55" s="23" t="n">
        <f aca="false">IFERROR(R55/12,0)</f>
        <v>1784.50416666667</v>
      </c>
      <c r="BZ55" s="18" t="n">
        <v>23.2</v>
      </c>
      <c r="CA55" s="22" t="str">
        <f aca="false">IF(AE55=0,"PROSPECT",IF(AE55=1,"NOVO",IF(AE55&lt;=3,"EM DESENV.",IF(AE55&lt;=6,"RECORRENTE","FIDELIZADO"))))</f>
        <v>FIDELIZADO</v>
      </c>
      <c r="CB55" s="22" t="n">
        <f aca="false">IF((P55+Q55)&gt;0,1,0)+IF((BR55+BS55)&gt;0,1,0)+IF(BE55&gt;0,1,0)</f>
        <v>2</v>
      </c>
    </row>
    <row r="56" customFormat="false" ht="15" hidden="false" customHeight="true" outlineLevel="0" collapsed="false">
      <c r="A56" s="16" t="s">
        <v>216</v>
      </c>
      <c r="B56" s="17" t="s">
        <v>217</v>
      </c>
      <c r="C56" s="18" t="s">
        <v>61</v>
      </c>
      <c r="D56" s="17" t="s">
        <v>218</v>
      </c>
      <c r="E56" s="19" t="s">
        <v>43</v>
      </c>
      <c r="F56" s="20"/>
      <c r="G56" s="20"/>
      <c r="H56" s="20"/>
      <c r="I56" s="20"/>
      <c r="J56" s="27" t="n">
        <v>3416.95</v>
      </c>
      <c r="K56" s="27" t="n">
        <v>1514.06</v>
      </c>
      <c r="L56" s="27" t="n">
        <v>1824.33</v>
      </c>
      <c r="M56" s="20"/>
      <c r="N56" s="27" t="n">
        <v>1878.38</v>
      </c>
      <c r="O56" s="27" t="n">
        <v>3345.11</v>
      </c>
      <c r="P56" s="27" t="n">
        <v>1274.24</v>
      </c>
      <c r="Q56" s="20"/>
      <c r="R56" s="21" t="n">
        <f aca="false">SUM(F56:Q56)</f>
        <v>13253.07</v>
      </c>
      <c r="S56" s="18"/>
      <c r="T56" s="18"/>
      <c r="U56" s="18"/>
      <c r="V56" s="18"/>
      <c r="W56" s="28" t="n">
        <v>1</v>
      </c>
      <c r="X56" s="28" t="n">
        <v>1</v>
      </c>
      <c r="Y56" s="28" t="n">
        <v>1</v>
      </c>
      <c r="Z56" s="18"/>
      <c r="AA56" s="28" t="n">
        <v>1</v>
      </c>
      <c r="AB56" s="28" t="n">
        <v>1</v>
      </c>
      <c r="AC56" s="28" t="n">
        <v>1</v>
      </c>
      <c r="AD56" s="18"/>
      <c r="AE56" s="22" t="n">
        <f aca="false">SUM(S56:AD56)</f>
        <v>6</v>
      </c>
      <c r="AF56" s="22"/>
      <c r="AG56" s="22"/>
      <c r="AH56" s="22"/>
      <c r="AI56" s="22"/>
      <c r="AJ56" s="19" t="s">
        <v>50</v>
      </c>
      <c r="AK56" s="19" t="s">
        <v>50</v>
      </c>
      <c r="AL56" s="19" t="s">
        <v>50</v>
      </c>
      <c r="AM56" s="22"/>
      <c r="AN56" s="19" t="s">
        <v>50</v>
      </c>
      <c r="AO56" s="19" t="s">
        <v>50</v>
      </c>
      <c r="AP56" s="22"/>
      <c r="AQ56" s="22"/>
      <c r="AR56" s="19" t="s">
        <v>50</v>
      </c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22" t="n">
        <f aca="false">SUM(AS56:BD56)</f>
        <v>0</v>
      </c>
      <c r="BF56" s="23"/>
      <c r="BG56" s="24"/>
      <c r="BH56" s="18"/>
      <c r="BI56" s="18"/>
      <c r="BJ56" s="18"/>
      <c r="BK56" s="25" t="n">
        <v>1</v>
      </c>
      <c r="BL56" s="18"/>
      <c r="BM56" s="25" t="n">
        <v>2</v>
      </c>
      <c r="BN56" s="18"/>
      <c r="BO56" s="25" t="n">
        <v>1</v>
      </c>
      <c r="BP56" s="18"/>
      <c r="BQ56" s="25" t="n">
        <v>1</v>
      </c>
      <c r="BR56" s="25" t="n">
        <v>1</v>
      </c>
      <c r="BS56" s="18"/>
      <c r="BT56" s="22" t="n">
        <f aca="false">SUM(BH56:BS56)</f>
        <v>6</v>
      </c>
      <c r="BU56" s="26" t="n">
        <v>46050.3203819445</v>
      </c>
      <c r="BV56" s="17"/>
      <c r="BW56" s="17" t="s">
        <v>44</v>
      </c>
      <c r="BX56" s="23" t="n">
        <f aca="false">IFERROR(R56/AE56,0)</f>
        <v>2208.845</v>
      </c>
      <c r="BY56" s="23" t="n">
        <f aca="false">IFERROR(R56/12,0)</f>
        <v>1104.4225</v>
      </c>
      <c r="BZ56" s="18" t="n">
        <v>39</v>
      </c>
      <c r="CA56" s="22" t="str">
        <f aca="false">IF(AE56=0,"PROSPECT",IF(AE56=1,"NOVO",IF(AE56&lt;=3,"EM DESENV.",IF(AE56&lt;=6,"RECORRENTE","FIDELIZADO"))))</f>
        <v>RECORRENTE</v>
      </c>
      <c r="CB56" s="22" t="n">
        <f aca="false">IF((P56+Q56)&gt;0,1,0)+IF((BR56+BS56)&gt;0,1,0)+IF(BE56&gt;0,1,0)</f>
        <v>2</v>
      </c>
    </row>
    <row r="57" customFormat="false" ht="15" hidden="false" customHeight="true" outlineLevel="0" collapsed="false">
      <c r="A57" s="16" t="s">
        <v>219</v>
      </c>
      <c r="B57" s="17" t="s">
        <v>220</v>
      </c>
      <c r="C57" s="18" t="s">
        <v>83</v>
      </c>
      <c r="D57" s="17" t="s">
        <v>221</v>
      </c>
      <c r="E57" s="19" t="s">
        <v>43</v>
      </c>
      <c r="F57" s="20"/>
      <c r="G57" s="20"/>
      <c r="H57" s="20"/>
      <c r="I57" s="20"/>
      <c r="J57" s="20"/>
      <c r="K57" s="27" t="n">
        <v>4108.73</v>
      </c>
      <c r="L57" s="20"/>
      <c r="M57" s="20"/>
      <c r="N57" s="27" t="n">
        <v>2516.97</v>
      </c>
      <c r="O57" s="20"/>
      <c r="P57" s="20"/>
      <c r="Q57" s="20"/>
      <c r="R57" s="21" t="n">
        <f aca="false">SUM(F57:Q57)</f>
        <v>6625.7</v>
      </c>
      <c r="S57" s="18"/>
      <c r="T57" s="18"/>
      <c r="U57" s="18"/>
      <c r="V57" s="18"/>
      <c r="W57" s="18"/>
      <c r="X57" s="28" t="n">
        <v>1</v>
      </c>
      <c r="Y57" s="18"/>
      <c r="Z57" s="18"/>
      <c r="AA57" s="28" t="n">
        <v>1</v>
      </c>
      <c r="AB57" s="18"/>
      <c r="AC57" s="18"/>
      <c r="AD57" s="18"/>
      <c r="AE57" s="22" t="n">
        <f aca="false">SUM(S57:AD57)</f>
        <v>2</v>
      </c>
      <c r="AF57" s="22"/>
      <c r="AG57" s="22"/>
      <c r="AH57" s="22"/>
      <c r="AI57" s="22"/>
      <c r="AJ57" s="22"/>
      <c r="AK57" s="19" t="s">
        <v>50</v>
      </c>
      <c r="AL57" s="22"/>
      <c r="AM57" s="22"/>
      <c r="AN57" s="19" t="s">
        <v>50</v>
      </c>
      <c r="AO57" s="22"/>
      <c r="AP57" s="22"/>
      <c r="AQ57" s="19" t="s">
        <v>50</v>
      </c>
      <c r="AR57" s="19" t="s">
        <v>50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22" t="n">
        <f aca="false">SUM(AS57:BD57)</f>
        <v>0</v>
      </c>
      <c r="BF57" s="23"/>
      <c r="BG57" s="24"/>
      <c r="BH57" s="18"/>
      <c r="BI57" s="18"/>
      <c r="BJ57" s="18"/>
      <c r="BK57" s="18"/>
      <c r="BL57" s="25" t="n">
        <v>1</v>
      </c>
      <c r="BM57" s="18"/>
      <c r="BN57" s="18"/>
      <c r="BO57" s="25" t="n">
        <v>3</v>
      </c>
      <c r="BP57" s="18"/>
      <c r="BQ57" s="18"/>
      <c r="BR57" s="25" t="n">
        <v>3</v>
      </c>
      <c r="BS57" s="25" t="n">
        <v>3</v>
      </c>
      <c r="BT57" s="22" t="n">
        <f aca="false">SUM(BH57:BS57)</f>
        <v>10</v>
      </c>
      <c r="BU57" s="26" t="n">
        <v>46058.71875</v>
      </c>
      <c r="BV57" s="17" t="s">
        <v>107</v>
      </c>
      <c r="BW57" s="17" t="s">
        <v>44</v>
      </c>
      <c r="BX57" s="23" t="n">
        <f aca="false">IFERROR(R57/AE57,0)</f>
        <v>3312.85</v>
      </c>
      <c r="BY57" s="23" t="n">
        <f aca="false">IFERROR(R57/12,0)</f>
        <v>552.141666666667</v>
      </c>
      <c r="BZ57" s="18" t="n">
        <v>91.5</v>
      </c>
      <c r="CA57" s="22" t="str">
        <f aca="false">IF(AE57=0,"PROSPECT",IF(AE57=1,"NOVO",IF(AE57&lt;=3,"EM DESENV.",IF(AE57&lt;=6,"RECORRENTE","FIDELIZADO"))))</f>
        <v>EM DESENV.</v>
      </c>
      <c r="CB57" s="22" t="n">
        <f aca="false">IF((P57+Q57)&gt;0,1,0)+IF((BR57+BS57)&gt;0,1,0)+IF(BE57&gt;0,1,0)</f>
        <v>1</v>
      </c>
    </row>
    <row r="58" customFormat="false" ht="15" hidden="false" customHeight="true" outlineLevel="0" collapsed="false">
      <c r="A58" s="16" t="s">
        <v>222</v>
      </c>
      <c r="B58" s="17" t="s">
        <v>223</v>
      </c>
      <c r="C58" s="18" t="s">
        <v>168</v>
      </c>
      <c r="D58" s="17" t="s">
        <v>224</v>
      </c>
      <c r="E58" s="19" t="s">
        <v>43</v>
      </c>
      <c r="F58" s="20"/>
      <c r="G58" s="20"/>
      <c r="H58" s="27" t="n">
        <v>1415.8</v>
      </c>
      <c r="I58" s="20"/>
      <c r="J58" s="20"/>
      <c r="K58" s="20"/>
      <c r="L58" s="20"/>
      <c r="M58" s="20"/>
      <c r="N58" s="20"/>
      <c r="O58" s="20"/>
      <c r="P58" s="20"/>
      <c r="Q58" s="20"/>
      <c r="R58" s="21" t="n">
        <f aca="false">SUM(F58:Q58)</f>
        <v>1415.8</v>
      </c>
      <c r="S58" s="18"/>
      <c r="T58" s="18"/>
      <c r="U58" s="28" t="n">
        <v>1</v>
      </c>
      <c r="V58" s="18"/>
      <c r="W58" s="18"/>
      <c r="X58" s="18"/>
      <c r="Y58" s="18"/>
      <c r="Z58" s="18"/>
      <c r="AA58" s="18"/>
      <c r="AB58" s="18"/>
      <c r="AC58" s="18"/>
      <c r="AD58" s="18"/>
      <c r="AE58" s="22" t="n">
        <f aca="false">SUM(S58:AD58)</f>
        <v>1</v>
      </c>
      <c r="AF58" s="22"/>
      <c r="AG58" s="22"/>
      <c r="AH58" s="30" t="s">
        <v>49</v>
      </c>
      <c r="AI58" s="22"/>
      <c r="AJ58" s="22"/>
      <c r="AK58" s="22"/>
      <c r="AL58" s="22"/>
      <c r="AM58" s="22"/>
      <c r="AN58" s="22"/>
      <c r="AO58" s="22"/>
      <c r="AP58" s="22"/>
      <c r="AQ58" s="19" t="s">
        <v>50</v>
      </c>
      <c r="AR58" s="30" t="s">
        <v>49</v>
      </c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22" t="n">
        <f aca="false">SUM(AS58:BD58)</f>
        <v>0</v>
      </c>
      <c r="BF58" s="23"/>
      <c r="BG58" s="24"/>
      <c r="BH58" s="18"/>
      <c r="BI58" s="18"/>
      <c r="BJ58" s="25" t="n">
        <v>1</v>
      </c>
      <c r="BK58" s="18"/>
      <c r="BL58" s="18"/>
      <c r="BM58" s="18"/>
      <c r="BN58" s="18"/>
      <c r="BO58" s="18"/>
      <c r="BP58" s="18"/>
      <c r="BQ58" s="25" t="n">
        <v>2</v>
      </c>
      <c r="BR58" s="25" t="n">
        <v>2</v>
      </c>
      <c r="BS58" s="25" t="n">
        <v>1</v>
      </c>
      <c r="BT58" s="22" t="n">
        <f aca="false">SUM(BH58:BS58)</f>
        <v>6</v>
      </c>
      <c r="BU58" s="26" t="n">
        <v>46057.365462963</v>
      </c>
      <c r="BV58" s="17" t="s">
        <v>97</v>
      </c>
      <c r="BW58" s="17" t="s">
        <v>44</v>
      </c>
      <c r="BX58" s="23" t="n">
        <f aca="false">IFERROR(R58/AE58,0)</f>
        <v>1415.8</v>
      </c>
      <c r="BY58" s="23" t="n">
        <f aca="false">IFERROR(R58/12,0)</f>
        <v>117.983333333333</v>
      </c>
      <c r="BZ58" s="18" t="n">
        <v>259</v>
      </c>
      <c r="CA58" s="22" t="str">
        <f aca="false">IF(AE58=0,"PROSPECT",IF(AE58=1,"NOVO",IF(AE58&lt;=3,"EM DESENV.",IF(AE58&lt;=6,"RECORRENTE","FIDELIZADO"))))</f>
        <v>NOVO</v>
      </c>
      <c r="CB58" s="22" t="n">
        <f aca="false">IF((P58+Q58)&gt;0,1,0)+IF((BR58+BS58)&gt;0,1,0)+IF(BE58&gt;0,1,0)</f>
        <v>1</v>
      </c>
    </row>
    <row r="59" customFormat="false" ht="15" hidden="false" customHeight="true" outlineLevel="0" collapsed="false">
      <c r="A59" s="16" t="s">
        <v>225</v>
      </c>
      <c r="B59" s="17" t="s">
        <v>226</v>
      </c>
      <c r="C59" s="18" t="s">
        <v>72</v>
      </c>
      <c r="D59" s="17" t="s">
        <v>227</v>
      </c>
      <c r="E59" s="19" t="s">
        <v>43</v>
      </c>
      <c r="F59" s="20"/>
      <c r="G59" s="20"/>
      <c r="H59" s="27" t="n">
        <v>1558.74</v>
      </c>
      <c r="I59" s="20"/>
      <c r="J59" s="20"/>
      <c r="K59" s="20"/>
      <c r="L59" s="27" t="n">
        <v>5187.15</v>
      </c>
      <c r="M59" s="20"/>
      <c r="N59" s="27" t="n">
        <v>3031.97</v>
      </c>
      <c r="O59" s="27" t="n">
        <v>2567.63</v>
      </c>
      <c r="P59" s="20"/>
      <c r="Q59" s="20"/>
      <c r="R59" s="21" t="n">
        <f aca="false">SUM(F59:Q59)</f>
        <v>12345.49</v>
      </c>
      <c r="S59" s="18"/>
      <c r="T59" s="18"/>
      <c r="U59" s="28" t="n">
        <v>1</v>
      </c>
      <c r="V59" s="18"/>
      <c r="W59" s="18"/>
      <c r="X59" s="18"/>
      <c r="Y59" s="28" t="n">
        <v>1</v>
      </c>
      <c r="Z59" s="18"/>
      <c r="AA59" s="28" t="n">
        <v>1</v>
      </c>
      <c r="AB59" s="28" t="n">
        <v>1</v>
      </c>
      <c r="AC59" s="18"/>
      <c r="AD59" s="18"/>
      <c r="AE59" s="22" t="n">
        <f aca="false">SUM(S59:AD59)</f>
        <v>4</v>
      </c>
      <c r="AF59" s="22"/>
      <c r="AG59" s="22"/>
      <c r="AH59" s="22"/>
      <c r="AI59" s="22"/>
      <c r="AJ59" s="22"/>
      <c r="AK59" s="22"/>
      <c r="AL59" s="19" t="s">
        <v>50</v>
      </c>
      <c r="AM59" s="22"/>
      <c r="AN59" s="19" t="s">
        <v>50</v>
      </c>
      <c r="AO59" s="19" t="s">
        <v>50</v>
      </c>
      <c r="AP59" s="22"/>
      <c r="AQ59" s="19" t="s">
        <v>50</v>
      </c>
      <c r="AR59" s="19" t="s">
        <v>50</v>
      </c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22" t="n">
        <f aca="false">SUM(AS59:BD59)</f>
        <v>0</v>
      </c>
      <c r="BF59" s="23"/>
      <c r="BG59" s="24"/>
      <c r="BH59" s="18"/>
      <c r="BI59" s="18"/>
      <c r="BJ59" s="18"/>
      <c r="BK59" s="18"/>
      <c r="BL59" s="18"/>
      <c r="BM59" s="18"/>
      <c r="BN59" s="18"/>
      <c r="BO59" s="25" t="n">
        <v>1</v>
      </c>
      <c r="BP59" s="18"/>
      <c r="BQ59" s="18"/>
      <c r="BR59" s="18"/>
      <c r="BS59" s="25" t="n">
        <v>4</v>
      </c>
      <c r="BT59" s="22" t="n">
        <f aca="false">SUM(BH59:BS59)</f>
        <v>5</v>
      </c>
      <c r="BU59" s="26" t="n">
        <v>46056.7194444445</v>
      </c>
      <c r="BV59" s="17"/>
      <c r="BW59" s="17" t="s">
        <v>44</v>
      </c>
      <c r="BX59" s="23" t="n">
        <f aca="false">IFERROR(R59/AE59,0)</f>
        <v>3086.3725</v>
      </c>
      <c r="BY59" s="23" t="n">
        <f aca="false">IFERROR(R59/12,0)</f>
        <v>1028.79083333333</v>
      </c>
      <c r="BZ59" s="18" t="n">
        <v>48.3333</v>
      </c>
      <c r="CA59" s="22" t="str">
        <f aca="false">IF(AE59=0,"PROSPECT",IF(AE59=1,"NOVO",IF(AE59&lt;=3,"EM DESENV.",IF(AE59&lt;=6,"RECORRENTE","FIDELIZADO"))))</f>
        <v>RECORRENTE</v>
      </c>
      <c r="CB59" s="22" t="n">
        <f aca="false">IF((P59+Q59)&gt;0,1,0)+IF((BR59+BS59)&gt;0,1,0)+IF(BE59&gt;0,1,0)</f>
        <v>1</v>
      </c>
    </row>
    <row r="60" customFormat="false" ht="15" hidden="false" customHeight="true" outlineLevel="0" collapsed="false">
      <c r="A60" s="16" t="s">
        <v>228</v>
      </c>
      <c r="B60" s="17" t="s">
        <v>229</v>
      </c>
      <c r="C60" s="18" t="s">
        <v>230</v>
      </c>
      <c r="D60" s="17" t="s">
        <v>231</v>
      </c>
      <c r="E60" s="19" t="s">
        <v>43</v>
      </c>
      <c r="F60" s="20"/>
      <c r="G60" s="20"/>
      <c r="H60" s="20"/>
      <c r="I60" s="20"/>
      <c r="J60" s="20"/>
      <c r="K60" s="20"/>
      <c r="L60" s="20"/>
      <c r="M60" s="27" t="n">
        <v>2763.48</v>
      </c>
      <c r="N60" s="27" t="n">
        <v>2097.59</v>
      </c>
      <c r="O60" s="20"/>
      <c r="P60" s="27" t="n">
        <v>1992.13</v>
      </c>
      <c r="Q60" s="20"/>
      <c r="R60" s="21" t="n">
        <f aca="false">SUM(F60:Q60)</f>
        <v>6853.2</v>
      </c>
      <c r="S60" s="18"/>
      <c r="T60" s="18"/>
      <c r="U60" s="18"/>
      <c r="V60" s="18"/>
      <c r="W60" s="18"/>
      <c r="X60" s="18"/>
      <c r="Y60" s="18"/>
      <c r="Z60" s="28" t="n">
        <v>1</v>
      </c>
      <c r="AA60" s="28" t="n">
        <v>1</v>
      </c>
      <c r="AB60" s="18"/>
      <c r="AC60" s="28" t="n">
        <v>1</v>
      </c>
      <c r="AD60" s="18"/>
      <c r="AE60" s="22" t="n">
        <f aca="false">SUM(S60:AD60)</f>
        <v>3</v>
      </c>
      <c r="AF60" s="22"/>
      <c r="AG60" s="22"/>
      <c r="AH60" s="22"/>
      <c r="AI60" s="22"/>
      <c r="AJ60" s="22"/>
      <c r="AK60" s="22"/>
      <c r="AL60" s="22"/>
      <c r="AM60" s="19" t="s">
        <v>50</v>
      </c>
      <c r="AN60" s="19" t="s">
        <v>50</v>
      </c>
      <c r="AO60" s="22"/>
      <c r="AP60" s="22"/>
      <c r="AQ60" s="22"/>
      <c r="AR60" s="19" t="s">
        <v>50</v>
      </c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22" t="n">
        <f aca="false">SUM(AS60:BD60)</f>
        <v>0</v>
      </c>
      <c r="BF60" s="23"/>
      <c r="BG60" s="24"/>
      <c r="BH60" s="18"/>
      <c r="BI60" s="18"/>
      <c r="BJ60" s="18"/>
      <c r="BK60" s="18"/>
      <c r="BL60" s="18"/>
      <c r="BM60" s="18"/>
      <c r="BN60" s="18"/>
      <c r="BO60" s="18"/>
      <c r="BP60" s="25" t="n">
        <v>1</v>
      </c>
      <c r="BQ60" s="18"/>
      <c r="BR60" s="25" t="n">
        <v>2</v>
      </c>
      <c r="BS60" s="18"/>
      <c r="BT60" s="22" t="n">
        <f aca="false">SUM(BH60:BS60)</f>
        <v>3</v>
      </c>
      <c r="BU60" s="26" t="n">
        <v>46043.6782523148</v>
      </c>
      <c r="BV60" s="17" t="s">
        <v>97</v>
      </c>
      <c r="BW60" s="17" t="s">
        <v>44</v>
      </c>
      <c r="BX60" s="23" t="n">
        <f aca="false">IFERROR(R60/AE60,0)</f>
        <v>2284.4</v>
      </c>
      <c r="BY60" s="23" t="n">
        <f aca="false">IFERROR(R60/12,0)</f>
        <v>571.1</v>
      </c>
      <c r="BZ60" s="18" t="n">
        <v>36</v>
      </c>
      <c r="CA60" s="22" t="str">
        <f aca="false">IF(AE60=0,"PROSPECT",IF(AE60=1,"NOVO",IF(AE60&lt;=3,"EM DESENV.",IF(AE60&lt;=6,"RECORRENTE","FIDELIZADO"))))</f>
        <v>EM DESENV.</v>
      </c>
      <c r="CB60" s="22" t="n">
        <f aca="false">IF((P60+Q60)&gt;0,1,0)+IF((BR60+BS60)&gt;0,1,0)+IF(BE60&gt;0,1,0)</f>
        <v>2</v>
      </c>
    </row>
    <row r="61" customFormat="false" ht="15" hidden="false" customHeight="true" outlineLevel="0" collapsed="false">
      <c r="A61" s="16" t="s">
        <v>232</v>
      </c>
      <c r="B61" s="17" t="s">
        <v>233</v>
      </c>
      <c r="C61" s="18" t="s">
        <v>53</v>
      </c>
      <c r="D61" s="17" t="s">
        <v>234</v>
      </c>
      <c r="E61" s="19" t="s">
        <v>43</v>
      </c>
      <c r="F61" s="20"/>
      <c r="G61" s="20"/>
      <c r="H61" s="20"/>
      <c r="I61" s="20"/>
      <c r="J61" s="27" t="n">
        <v>2058.07</v>
      </c>
      <c r="K61" s="27" t="n">
        <v>3448</v>
      </c>
      <c r="L61" s="27" t="n">
        <v>3231.74</v>
      </c>
      <c r="M61" s="27" t="n">
        <v>3672.43</v>
      </c>
      <c r="N61" s="20"/>
      <c r="O61" s="27" t="n">
        <v>3672.43</v>
      </c>
      <c r="P61" s="27" t="n">
        <v>4468.5</v>
      </c>
      <c r="Q61" s="20"/>
      <c r="R61" s="21" t="n">
        <f aca="false">SUM(F61:Q61)</f>
        <v>20551.17</v>
      </c>
      <c r="S61" s="18"/>
      <c r="T61" s="18"/>
      <c r="U61" s="18"/>
      <c r="V61" s="18"/>
      <c r="W61" s="28" t="n">
        <v>1</v>
      </c>
      <c r="X61" s="28" t="n">
        <v>1</v>
      </c>
      <c r="Y61" s="28" t="n">
        <v>1</v>
      </c>
      <c r="Z61" s="28" t="n">
        <v>1</v>
      </c>
      <c r="AA61" s="18"/>
      <c r="AB61" s="28" t="n">
        <v>1</v>
      </c>
      <c r="AC61" s="28" t="n">
        <v>1</v>
      </c>
      <c r="AD61" s="18"/>
      <c r="AE61" s="22" t="n">
        <f aca="false">SUM(S61:AD61)</f>
        <v>6</v>
      </c>
      <c r="AF61" s="22"/>
      <c r="AG61" s="22"/>
      <c r="AH61" s="22"/>
      <c r="AI61" s="22"/>
      <c r="AJ61" s="19" t="s">
        <v>50</v>
      </c>
      <c r="AK61" s="19" t="s">
        <v>50</v>
      </c>
      <c r="AL61" s="19" t="s">
        <v>50</v>
      </c>
      <c r="AM61" s="19" t="s">
        <v>50</v>
      </c>
      <c r="AN61" s="19" t="s">
        <v>50</v>
      </c>
      <c r="AO61" s="19" t="s">
        <v>50</v>
      </c>
      <c r="AP61" s="19" t="s">
        <v>50</v>
      </c>
      <c r="AQ61" s="19" t="s">
        <v>50</v>
      </c>
      <c r="AR61" s="19" t="s">
        <v>50</v>
      </c>
      <c r="AS61" s="18"/>
      <c r="AT61" s="18"/>
      <c r="AU61" s="18"/>
      <c r="AV61" s="25" t="n">
        <v>3</v>
      </c>
      <c r="AW61" s="18"/>
      <c r="AX61" s="25" t="n">
        <v>2</v>
      </c>
      <c r="AY61" s="25" t="n">
        <v>1</v>
      </c>
      <c r="AZ61" s="18"/>
      <c r="BA61" s="18"/>
      <c r="BB61" s="18"/>
      <c r="BC61" s="18"/>
      <c r="BD61" s="18"/>
      <c r="BE61" s="22" t="n">
        <f aca="false">SUM(AS61:BD61)</f>
        <v>6</v>
      </c>
      <c r="BF61" s="23" t="n">
        <v>3448</v>
      </c>
      <c r="BG61" s="19" t="s">
        <v>55</v>
      </c>
      <c r="BH61" s="18"/>
      <c r="BI61" s="18"/>
      <c r="BJ61" s="18"/>
      <c r="BK61" s="25" t="n">
        <v>1</v>
      </c>
      <c r="BL61" s="25" t="n">
        <v>1</v>
      </c>
      <c r="BM61" s="18"/>
      <c r="BN61" s="18"/>
      <c r="BO61" s="25" t="n">
        <v>2</v>
      </c>
      <c r="BP61" s="25" t="n">
        <v>1</v>
      </c>
      <c r="BQ61" s="18"/>
      <c r="BR61" s="25" t="n">
        <v>3</v>
      </c>
      <c r="BS61" s="25" t="n">
        <v>4</v>
      </c>
      <c r="BT61" s="22" t="n">
        <f aca="false">SUM(BH61:BS61)</f>
        <v>12</v>
      </c>
      <c r="BU61" s="26" t="n">
        <v>46058.53375</v>
      </c>
      <c r="BV61" s="17" t="s">
        <v>97</v>
      </c>
      <c r="BW61" s="17" t="s">
        <v>44</v>
      </c>
      <c r="BX61" s="23" t="n">
        <f aca="false">IFERROR(R61/AE61,0)</f>
        <v>3425.195</v>
      </c>
      <c r="BY61" s="23" t="n">
        <f aca="false">IFERROR(R61/12,0)</f>
        <v>1712.5975</v>
      </c>
      <c r="BZ61" s="18" t="n">
        <v>34.1667</v>
      </c>
      <c r="CA61" s="22" t="str">
        <f aca="false">IF(AE61=0,"PROSPECT",IF(AE61=1,"NOVO",IF(AE61&lt;=3,"EM DESENV.",IF(AE61&lt;=6,"RECORRENTE","FIDELIZADO"))))</f>
        <v>RECORRENTE</v>
      </c>
      <c r="CB61" s="22" t="n">
        <f aca="false">IF((P61+Q61)&gt;0,1,0)+IF((BR61+BS61)&gt;0,1,0)+IF(BE61&gt;0,1,0)</f>
        <v>3</v>
      </c>
    </row>
    <row r="62" customFormat="false" ht="15" hidden="false" customHeight="true" outlineLevel="0" collapsed="false">
      <c r="A62" s="16" t="s">
        <v>235</v>
      </c>
      <c r="B62" s="17" t="s">
        <v>236</v>
      </c>
      <c r="C62" s="18" t="s">
        <v>61</v>
      </c>
      <c r="D62" s="17" t="s">
        <v>237</v>
      </c>
      <c r="E62" s="19" t="s">
        <v>43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1" t="n">
        <f aca="false">SUM(F62:Q62)</f>
        <v>0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2" t="n">
        <f aca="false">SUM(S62:AD62)</f>
        <v>0</v>
      </c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22" t="n">
        <f aca="false">SUM(AS62:BD62)</f>
        <v>0</v>
      </c>
      <c r="BF62" s="23"/>
      <c r="BG62" s="24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25" t="n">
        <v>1</v>
      </c>
      <c r="BS62" s="25" t="n">
        <v>2</v>
      </c>
      <c r="BT62" s="22" t="n">
        <f aca="false">SUM(BH62:BS62)</f>
        <v>3</v>
      </c>
      <c r="BU62" s="26" t="n">
        <v>46056.7263888889</v>
      </c>
      <c r="BV62" s="17"/>
      <c r="BW62" s="17" t="s">
        <v>44</v>
      </c>
      <c r="BX62" s="23" t="n">
        <f aca="false">IFERROR(R62/AE62,0)</f>
        <v>0</v>
      </c>
      <c r="BY62" s="23" t="n">
        <f aca="false">IFERROR(R62/12,0)</f>
        <v>0</v>
      </c>
      <c r="BZ62" s="18" t="n">
        <v>0</v>
      </c>
      <c r="CA62" s="22" t="str">
        <f aca="false">IF(AE62=0,"PROSPECT",IF(AE62=1,"NOVO",IF(AE62&lt;=3,"EM DESENV.",IF(AE62&lt;=6,"RECORRENTE","FIDELIZADO"))))</f>
        <v>PROSPECT</v>
      </c>
      <c r="CB62" s="22" t="n">
        <f aca="false">IF((P62+Q62)&gt;0,1,0)+IF((BR62+BS62)&gt;0,1,0)+IF(BE62&gt;0,1,0)</f>
        <v>1</v>
      </c>
    </row>
    <row r="63" customFormat="false" ht="15" hidden="false" customHeight="true" outlineLevel="0" collapsed="false">
      <c r="A63" s="16" t="s">
        <v>238</v>
      </c>
      <c r="B63" s="17" t="s">
        <v>239</v>
      </c>
      <c r="C63" s="18" t="s">
        <v>61</v>
      </c>
      <c r="D63" s="17" t="s">
        <v>240</v>
      </c>
      <c r="E63" s="19" t="s">
        <v>43</v>
      </c>
      <c r="F63" s="20"/>
      <c r="G63" s="20"/>
      <c r="H63" s="20"/>
      <c r="I63" s="20"/>
      <c r="J63" s="20"/>
      <c r="K63" s="27" t="n">
        <v>1524.53</v>
      </c>
      <c r="L63" s="20"/>
      <c r="M63" s="20"/>
      <c r="N63" s="20"/>
      <c r="O63" s="20"/>
      <c r="P63" s="20"/>
      <c r="Q63" s="20"/>
      <c r="R63" s="21" t="n">
        <f aca="false">SUM(F63:Q63)</f>
        <v>1524.53</v>
      </c>
      <c r="S63" s="18"/>
      <c r="T63" s="18"/>
      <c r="U63" s="18"/>
      <c r="V63" s="18"/>
      <c r="W63" s="18"/>
      <c r="X63" s="28" t="n">
        <v>1</v>
      </c>
      <c r="Y63" s="18"/>
      <c r="Z63" s="18"/>
      <c r="AA63" s="18"/>
      <c r="AB63" s="18"/>
      <c r="AC63" s="18"/>
      <c r="AD63" s="18"/>
      <c r="AE63" s="22" t="n">
        <f aca="false">SUM(S63:AD63)</f>
        <v>1</v>
      </c>
      <c r="AF63" s="22"/>
      <c r="AG63" s="22"/>
      <c r="AH63" s="22"/>
      <c r="AI63" s="22"/>
      <c r="AJ63" s="22"/>
      <c r="AK63" s="19" t="s">
        <v>50</v>
      </c>
      <c r="AL63" s="22"/>
      <c r="AM63" s="22"/>
      <c r="AN63" s="22"/>
      <c r="AO63" s="22"/>
      <c r="AP63" s="22"/>
      <c r="AQ63" s="30" t="s">
        <v>49</v>
      </c>
      <c r="AR63" s="30" t="s">
        <v>49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22" t="n">
        <f aca="false">SUM(AS63:BD63)</f>
        <v>0</v>
      </c>
      <c r="BF63" s="23"/>
      <c r="BG63" s="24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25" t="n">
        <v>4</v>
      </c>
      <c r="BT63" s="22" t="n">
        <f aca="false">SUM(BH63:BS63)</f>
        <v>4</v>
      </c>
      <c r="BU63" s="26" t="n">
        <v>46059.6069444444</v>
      </c>
      <c r="BV63" s="17"/>
      <c r="BW63" s="17" t="s">
        <v>44</v>
      </c>
      <c r="BX63" s="23" t="n">
        <f aca="false">IFERROR(R63/AE63,0)</f>
        <v>1524.53</v>
      </c>
      <c r="BY63" s="23" t="n">
        <f aca="false">IFERROR(R63/12,0)</f>
        <v>127.044166666667</v>
      </c>
      <c r="BZ63" s="18" t="n">
        <v>184</v>
      </c>
      <c r="CA63" s="22" t="str">
        <f aca="false">IF(AE63=0,"PROSPECT",IF(AE63=1,"NOVO",IF(AE63&lt;=3,"EM DESENV.",IF(AE63&lt;=6,"RECORRENTE","FIDELIZADO"))))</f>
        <v>NOVO</v>
      </c>
      <c r="CB63" s="22" t="n">
        <f aca="false">IF((P63+Q63)&gt;0,1,0)+IF((BR63+BS63)&gt;0,1,0)+IF(BE63&gt;0,1,0)</f>
        <v>1</v>
      </c>
    </row>
    <row r="64" customFormat="false" ht="15" hidden="false" customHeight="true" outlineLevel="0" collapsed="false">
      <c r="A64" s="16" t="s">
        <v>241</v>
      </c>
      <c r="B64" s="17" t="s">
        <v>242</v>
      </c>
      <c r="C64" s="18" t="s">
        <v>41</v>
      </c>
      <c r="D64" s="17" t="s">
        <v>42</v>
      </c>
      <c r="E64" s="19" t="s">
        <v>43</v>
      </c>
      <c r="F64" s="20"/>
      <c r="G64" s="20"/>
      <c r="H64" s="27" t="n">
        <v>700.02</v>
      </c>
      <c r="I64" s="27" t="n">
        <v>1216.97</v>
      </c>
      <c r="J64" s="20"/>
      <c r="K64" s="20"/>
      <c r="L64" s="20"/>
      <c r="M64" s="20"/>
      <c r="N64" s="20"/>
      <c r="O64" s="20"/>
      <c r="P64" s="27" t="n">
        <v>1322.77</v>
      </c>
      <c r="Q64" s="20"/>
      <c r="R64" s="21" t="n">
        <f aca="false">SUM(F64:Q64)</f>
        <v>3239.76</v>
      </c>
      <c r="S64" s="18"/>
      <c r="T64" s="18"/>
      <c r="U64" s="28" t="n">
        <v>1</v>
      </c>
      <c r="V64" s="28" t="n">
        <v>1</v>
      </c>
      <c r="W64" s="18"/>
      <c r="X64" s="18"/>
      <c r="Y64" s="18"/>
      <c r="Z64" s="18"/>
      <c r="AA64" s="18"/>
      <c r="AB64" s="18"/>
      <c r="AC64" s="28" t="n">
        <v>1</v>
      </c>
      <c r="AD64" s="18"/>
      <c r="AE64" s="22" t="n">
        <f aca="false">SUM(S64:AD64)</f>
        <v>3</v>
      </c>
      <c r="AF64" s="22"/>
      <c r="AG64" s="22"/>
      <c r="AH64" s="30" t="s">
        <v>49</v>
      </c>
      <c r="AI64" s="30" t="s">
        <v>49</v>
      </c>
      <c r="AJ64" s="22"/>
      <c r="AK64" s="22"/>
      <c r="AL64" s="22"/>
      <c r="AM64" s="22"/>
      <c r="AN64" s="22"/>
      <c r="AO64" s="22"/>
      <c r="AP64" s="22"/>
      <c r="AQ64" s="22"/>
      <c r="AR64" s="30" t="s">
        <v>49</v>
      </c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22" t="n">
        <f aca="false">SUM(AS64:BD64)</f>
        <v>0</v>
      </c>
      <c r="BF64" s="23"/>
      <c r="BG64" s="24"/>
      <c r="BH64" s="18"/>
      <c r="BI64" s="18"/>
      <c r="BJ64" s="18"/>
      <c r="BK64" s="25" t="n">
        <v>1</v>
      </c>
      <c r="BL64" s="18"/>
      <c r="BM64" s="18"/>
      <c r="BN64" s="18"/>
      <c r="BO64" s="18"/>
      <c r="BP64" s="18"/>
      <c r="BQ64" s="18"/>
      <c r="BR64" s="18"/>
      <c r="BS64" s="18"/>
      <c r="BT64" s="22" t="n">
        <f aca="false">SUM(BH64:BS64)</f>
        <v>1</v>
      </c>
      <c r="BU64" s="26" t="n">
        <v>45813.7388888889</v>
      </c>
      <c r="BV64" s="17" t="s">
        <v>243</v>
      </c>
      <c r="BW64" s="17" t="s">
        <v>44</v>
      </c>
      <c r="BX64" s="23" t="n">
        <f aca="false">IFERROR(R64/AE64,0)</f>
        <v>1079.92</v>
      </c>
      <c r="BY64" s="23" t="n">
        <f aca="false">IFERROR(R64/12,0)</f>
        <v>269.98</v>
      </c>
      <c r="BZ64" s="18" t="n">
        <v>132.5</v>
      </c>
      <c r="CA64" s="22" t="str">
        <f aca="false">IF(AE64=0,"PROSPECT",IF(AE64=1,"NOVO",IF(AE64&lt;=3,"EM DESENV.",IF(AE64&lt;=6,"RECORRENTE","FIDELIZADO"))))</f>
        <v>EM DESENV.</v>
      </c>
      <c r="CB64" s="22" t="n">
        <f aca="false">IF((P64+Q64)&gt;0,1,0)+IF((BR64+BS64)&gt;0,1,0)+IF(BE64&gt;0,1,0)</f>
        <v>1</v>
      </c>
    </row>
    <row r="65" customFormat="false" ht="15" hidden="false" customHeight="true" outlineLevel="0" collapsed="false">
      <c r="A65" s="16" t="s">
        <v>244</v>
      </c>
      <c r="B65" s="17" t="s">
        <v>245</v>
      </c>
      <c r="C65" s="18" t="s">
        <v>41</v>
      </c>
      <c r="D65" s="17" t="s">
        <v>42</v>
      </c>
      <c r="E65" s="19" t="s">
        <v>43</v>
      </c>
      <c r="F65" s="20"/>
      <c r="G65" s="20"/>
      <c r="H65" s="20"/>
      <c r="I65" s="20"/>
      <c r="J65" s="20"/>
      <c r="K65" s="20"/>
      <c r="L65" s="20"/>
      <c r="M65" s="27" t="n">
        <v>120</v>
      </c>
      <c r="N65" s="27" t="n">
        <v>464.64</v>
      </c>
      <c r="O65" s="20"/>
      <c r="P65" s="27" t="n">
        <v>395.61</v>
      </c>
      <c r="Q65" s="20"/>
      <c r="R65" s="21" t="n">
        <f aca="false">SUM(F65:Q65)</f>
        <v>980.25</v>
      </c>
      <c r="S65" s="18"/>
      <c r="T65" s="18"/>
      <c r="U65" s="18"/>
      <c r="V65" s="18"/>
      <c r="W65" s="18"/>
      <c r="X65" s="18"/>
      <c r="Y65" s="18"/>
      <c r="Z65" s="28" t="n">
        <v>1</v>
      </c>
      <c r="AA65" s="28" t="n">
        <v>1</v>
      </c>
      <c r="AB65" s="18"/>
      <c r="AC65" s="28" t="n">
        <v>1</v>
      </c>
      <c r="AD65" s="18"/>
      <c r="AE65" s="22" t="n">
        <f aca="false">SUM(S65:AD65)</f>
        <v>3</v>
      </c>
      <c r="AF65" s="22"/>
      <c r="AG65" s="22"/>
      <c r="AH65" s="22"/>
      <c r="AI65" s="22"/>
      <c r="AJ65" s="22"/>
      <c r="AK65" s="22"/>
      <c r="AL65" s="22"/>
      <c r="AM65" s="29" t="s">
        <v>48</v>
      </c>
      <c r="AN65" s="29" t="s">
        <v>48</v>
      </c>
      <c r="AO65" s="22"/>
      <c r="AP65" s="22"/>
      <c r="AQ65" s="22"/>
      <c r="AR65" s="29" t="s">
        <v>48</v>
      </c>
      <c r="AS65" s="18"/>
      <c r="AT65" s="18"/>
      <c r="AU65" s="18"/>
      <c r="AV65" s="18"/>
      <c r="AW65" s="18"/>
      <c r="AX65" s="18"/>
      <c r="AY65" s="18"/>
      <c r="AZ65" s="18"/>
      <c r="BA65" s="25" t="n">
        <v>4</v>
      </c>
      <c r="BB65" s="18"/>
      <c r="BC65" s="18"/>
      <c r="BD65" s="18"/>
      <c r="BE65" s="22" t="n">
        <f aca="false">SUM(AS65:BD65)</f>
        <v>4</v>
      </c>
      <c r="BF65" s="23"/>
      <c r="BG65" s="31" t="s">
        <v>93</v>
      </c>
      <c r="BH65" s="18"/>
      <c r="BI65" s="18"/>
      <c r="BJ65" s="18"/>
      <c r="BK65" s="18"/>
      <c r="BL65" s="18"/>
      <c r="BM65" s="18"/>
      <c r="BN65" s="18"/>
      <c r="BO65" s="25" t="n">
        <v>2</v>
      </c>
      <c r="BP65" s="18"/>
      <c r="BQ65" s="18"/>
      <c r="BR65" s="25" t="n">
        <v>2</v>
      </c>
      <c r="BS65" s="25" t="n">
        <v>2</v>
      </c>
      <c r="BT65" s="22" t="n">
        <f aca="false">SUM(BH65:BS65)</f>
        <v>6</v>
      </c>
      <c r="BU65" s="26" t="n">
        <v>46056.7243055556</v>
      </c>
      <c r="BV65" s="17"/>
      <c r="BW65" s="17" t="s">
        <v>44</v>
      </c>
      <c r="BX65" s="23" t="n">
        <f aca="false">IFERROR(R65/AE65,0)</f>
        <v>326.75</v>
      </c>
      <c r="BY65" s="23" t="n">
        <f aca="false">IFERROR(R65/12,0)</f>
        <v>81.6875</v>
      </c>
      <c r="BZ65" s="18" t="n">
        <v>45</v>
      </c>
      <c r="CA65" s="22" t="str">
        <f aca="false">IF(AE65=0,"PROSPECT",IF(AE65=1,"NOVO",IF(AE65&lt;=3,"EM DESENV.",IF(AE65&lt;=6,"RECORRENTE","FIDELIZADO"))))</f>
        <v>EM DESENV.</v>
      </c>
      <c r="CB65" s="22" t="n">
        <f aca="false">IF((P65+Q65)&gt;0,1,0)+IF((BR65+BS65)&gt;0,1,0)+IF(BE65&gt;0,1,0)</f>
        <v>3</v>
      </c>
    </row>
    <row r="66" customFormat="false" ht="15" hidden="false" customHeight="true" outlineLevel="0" collapsed="false">
      <c r="A66" s="16" t="s">
        <v>246</v>
      </c>
      <c r="B66" s="17" t="s">
        <v>247</v>
      </c>
      <c r="C66" s="18" t="s">
        <v>61</v>
      </c>
      <c r="D66" s="17" t="s">
        <v>248</v>
      </c>
      <c r="E66" s="19" t="s">
        <v>43</v>
      </c>
      <c r="F66" s="20"/>
      <c r="G66" s="20"/>
      <c r="H66" s="20"/>
      <c r="I66" s="20"/>
      <c r="J66" s="20"/>
      <c r="K66" s="20"/>
      <c r="L66" s="27" t="n">
        <v>433.84</v>
      </c>
      <c r="M66" s="20"/>
      <c r="N66" s="20"/>
      <c r="O66" s="20"/>
      <c r="P66" s="27" t="n">
        <v>279</v>
      </c>
      <c r="Q66" s="20"/>
      <c r="R66" s="21" t="n">
        <f aca="false">SUM(F66:Q66)</f>
        <v>712.84</v>
      </c>
      <c r="S66" s="18"/>
      <c r="T66" s="18"/>
      <c r="U66" s="18"/>
      <c r="V66" s="18"/>
      <c r="W66" s="18"/>
      <c r="X66" s="18"/>
      <c r="Y66" s="28" t="n">
        <v>1</v>
      </c>
      <c r="Z66" s="18"/>
      <c r="AA66" s="18"/>
      <c r="AB66" s="18"/>
      <c r="AC66" s="28" t="n">
        <v>1</v>
      </c>
      <c r="AD66" s="18"/>
      <c r="AE66" s="22" t="n">
        <f aca="false">SUM(S66:AD66)</f>
        <v>2</v>
      </c>
      <c r="AF66" s="22"/>
      <c r="AG66" s="22"/>
      <c r="AH66" s="22"/>
      <c r="AI66" s="22"/>
      <c r="AJ66" s="22"/>
      <c r="AK66" s="22"/>
      <c r="AL66" s="29" t="s">
        <v>48</v>
      </c>
      <c r="AM66" s="22"/>
      <c r="AN66" s="22"/>
      <c r="AO66" s="22"/>
      <c r="AP66" s="22"/>
      <c r="AQ66" s="22"/>
      <c r="AR66" s="29" t="s">
        <v>48</v>
      </c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22" t="n">
        <f aca="false">SUM(AS66:BD66)</f>
        <v>0</v>
      </c>
      <c r="BF66" s="23"/>
      <c r="BG66" s="24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25" t="n">
        <v>2</v>
      </c>
      <c r="BT66" s="22" t="n">
        <f aca="false">SUM(BH66:BS66)</f>
        <v>2</v>
      </c>
      <c r="BU66" s="26" t="n">
        <v>46056.725</v>
      </c>
      <c r="BV66" s="17"/>
      <c r="BW66" s="17" t="s">
        <v>44</v>
      </c>
      <c r="BX66" s="23" t="n">
        <f aca="false">IFERROR(R66/AE66,0)</f>
        <v>356.42</v>
      </c>
      <c r="BY66" s="23" t="n">
        <f aca="false">IFERROR(R66/12,0)</f>
        <v>59.4033333333333</v>
      </c>
      <c r="BZ66" s="18" t="n">
        <v>122</v>
      </c>
      <c r="CA66" s="22" t="str">
        <f aca="false">IF(AE66=0,"PROSPECT",IF(AE66=1,"NOVO",IF(AE66&lt;=3,"EM DESENV.",IF(AE66&lt;=6,"RECORRENTE","FIDELIZADO"))))</f>
        <v>EM DESENV.</v>
      </c>
      <c r="CB66" s="22" t="n">
        <f aca="false">IF((P66+Q66)&gt;0,1,0)+IF((BR66+BS66)&gt;0,1,0)+IF(BE66&gt;0,1,0)</f>
        <v>2</v>
      </c>
    </row>
    <row r="67" customFormat="false" ht="15" hidden="false" customHeight="true" outlineLevel="0" collapsed="false">
      <c r="A67" s="16" t="s">
        <v>249</v>
      </c>
      <c r="B67" s="17" t="s">
        <v>250</v>
      </c>
      <c r="C67" s="18" t="s">
        <v>53</v>
      </c>
      <c r="D67" s="17" t="s">
        <v>251</v>
      </c>
      <c r="E67" s="19" t="s">
        <v>43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1" t="n">
        <f aca="false">SUM(F67:Q67)</f>
        <v>0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2" t="n">
        <f aca="false">SUM(S67:AD67)</f>
        <v>0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22" t="n">
        <f aca="false">SUM(AS67:BD67)</f>
        <v>0</v>
      </c>
      <c r="BF67" s="23"/>
      <c r="BG67" s="24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25" t="n">
        <v>2</v>
      </c>
      <c r="BT67" s="22" t="n">
        <f aca="false">SUM(BH67:BS67)</f>
        <v>2</v>
      </c>
      <c r="BU67" s="26" t="n">
        <v>46058.5395833333</v>
      </c>
      <c r="BV67" s="17"/>
      <c r="BW67" s="17" t="s">
        <v>44</v>
      </c>
      <c r="BX67" s="23" t="n">
        <f aca="false">IFERROR(R67/AE67,0)</f>
        <v>0</v>
      </c>
      <c r="BY67" s="23" t="n">
        <f aca="false">IFERROR(R67/12,0)</f>
        <v>0</v>
      </c>
      <c r="BZ67" s="18" t="n">
        <v>0</v>
      </c>
      <c r="CA67" s="22" t="str">
        <f aca="false">IF(AE67=0,"PROSPECT",IF(AE67=1,"NOVO",IF(AE67&lt;=3,"EM DESENV.",IF(AE67&lt;=6,"RECORRENTE","FIDELIZADO"))))</f>
        <v>PROSPECT</v>
      </c>
      <c r="CB67" s="22" t="n">
        <f aca="false">IF((P67+Q67)&gt;0,1,0)+IF((BR67+BS67)&gt;0,1,0)+IF(BE67&gt;0,1,0)</f>
        <v>1</v>
      </c>
    </row>
    <row r="68" customFormat="false" ht="15" hidden="false" customHeight="true" outlineLevel="0" collapsed="false">
      <c r="A68" s="16" t="s">
        <v>252</v>
      </c>
      <c r="B68" s="17" t="s">
        <v>253</v>
      </c>
      <c r="C68" s="18" t="s">
        <v>254</v>
      </c>
      <c r="D68" s="17" t="s">
        <v>255</v>
      </c>
      <c r="E68" s="19" t="s">
        <v>43</v>
      </c>
      <c r="F68" s="20"/>
      <c r="G68" s="20"/>
      <c r="H68" s="20"/>
      <c r="I68" s="20"/>
      <c r="J68" s="20"/>
      <c r="K68" s="20"/>
      <c r="L68" s="20"/>
      <c r="M68" s="27" t="n">
        <v>1387.56</v>
      </c>
      <c r="N68" s="20"/>
      <c r="O68" s="27" t="n">
        <v>2536.11</v>
      </c>
      <c r="P68" s="27" t="n">
        <v>2018.5</v>
      </c>
      <c r="Q68" s="20"/>
      <c r="R68" s="21" t="n">
        <f aca="false">SUM(F68:Q68)</f>
        <v>5942.17</v>
      </c>
      <c r="S68" s="18"/>
      <c r="T68" s="18"/>
      <c r="U68" s="18"/>
      <c r="V68" s="18"/>
      <c r="W68" s="18"/>
      <c r="X68" s="18"/>
      <c r="Y68" s="18"/>
      <c r="Z68" s="28" t="n">
        <v>1</v>
      </c>
      <c r="AA68" s="18"/>
      <c r="AB68" s="28" t="n">
        <v>1</v>
      </c>
      <c r="AC68" s="28" t="n">
        <v>1</v>
      </c>
      <c r="AD68" s="18"/>
      <c r="AE68" s="22" t="n">
        <f aca="false">SUM(S68:AD68)</f>
        <v>3</v>
      </c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19" t="s">
        <v>50</v>
      </c>
      <c r="AR68" s="22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22" t="n">
        <f aca="false">SUM(AS68:BD68)</f>
        <v>0</v>
      </c>
      <c r="BF68" s="23"/>
      <c r="BG68" s="24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22" t="n">
        <f aca="false">SUM(BH68:BS68)</f>
        <v>0</v>
      </c>
      <c r="BU68" s="26"/>
      <c r="BV68" s="17"/>
      <c r="BW68" s="17"/>
      <c r="BX68" s="23" t="n">
        <f aca="false">IFERROR(R68/AE68,0)</f>
        <v>1980.72333333333</v>
      </c>
      <c r="BY68" s="23" t="n">
        <f aca="false">IFERROR(R68/12,0)</f>
        <v>495.180833333333</v>
      </c>
      <c r="BZ68" s="18" t="n">
        <v>0</v>
      </c>
      <c r="CA68" s="22" t="str">
        <f aca="false">IF(AE68=0,"PROSPECT",IF(AE68=1,"NOVO",IF(AE68&lt;=3,"EM DESENV.",IF(AE68&lt;=6,"RECORRENTE","FIDELIZADO"))))</f>
        <v>EM DESENV.</v>
      </c>
      <c r="CB68" s="22" t="n">
        <f aca="false">IF((P68+Q68)&gt;0,1,0)+IF((BR68+BS68)&gt;0,1,0)+IF(BE68&gt;0,1,0)</f>
        <v>1</v>
      </c>
    </row>
    <row r="69" customFormat="false" ht="15" hidden="false" customHeight="true" outlineLevel="0" collapsed="false">
      <c r="A69" s="16" t="s">
        <v>256</v>
      </c>
      <c r="B69" s="17" t="s">
        <v>253</v>
      </c>
      <c r="C69" s="18" t="s">
        <v>254</v>
      </c>
      <c r="D69" s="17" t="s">
        <v>257</v>
      </c>
      <c r="E69" s="19" t="s">
        <v>43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1" t="n">
        <f aca="false">SUM(F69:Q69)</f>
        <v>0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22" t="n">
        <f aca="false">SUM(S69:AD69)</f>
        <v>0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19" t="s">
        <v>50</v>
      </c>
      <c r="AQ69" s="22"/>
      <c r="AR69" s="22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22" t="n">
        <f aca="false">SUM(AS69:BD69)</f>
        <v>0</v>
      </c>
      <c r="BF69" s="23"/>
      <c r="BG69" s="24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22" t="n">
        <f aca="false">SUM(BH69:BS69)</f>
        <v>0</v>
      </c>
      <c r="BU69" s="26"/>
      <c r="BV69" s="17"/>
      <c r="BW69" s="17"/>
      <c r="BX69" s="23" t="n">
        <f aca="false">IFERROR(R69/AE69,0)</f>
        <v>0</v>
      </c>
      <c r="BY69" s="23" t="n">
        <f aca="false">IFERROR(R69/12,0)</f>
        <v>0</v>
      </c>
      <c r="BZ69" s="18" t="n">
        <v>0</v>
      </c>
      <c r="CA69" s="22" t="str">
        <f aca="false">IF(AE69=0,"PROSPECT",IF(AE69=1,"NOVO",IF(AE69&lt;=3,"EM DESENV.",IF(AE69&lt;=6,"RECORRENTE","FIDELIZADO"))))</f>
        <v>PROSPECT</v>
      </c>
      <c r="CB69" s="22" t="n">
        <f aca="false">IF((P69+Q69)&gt;0,1,0)+IF((BR69+BS69)&gt;0,1,0)+IF(BE69&gt;0,1,0)</f>
        <v>0</v>
      </c>
    </row>
    <row r="70" customFormat="false" ht="15" hidden="false" customHeight="true" outlineLevel="0" collapsed="false">
      <c r="A70" s="16" t="s">
        <v>258</v>
      </c>
      <c r="B70" s="17" t="s">
        <v>259</v>
      </c>
      <c r="C70" s="18" t="s">
        <v>53</v>
      </c>
      <c r="D70" s="17" t="s">
        <v>260</v>
      </c>
      <c r="E70" s="19" t="s">
        <v>43</v>
      </c>
      <c r="F70" s="20"/>
      <c r="G70" s="20"/>
      <c r="H70" s="20"/>
      <c r="I70" s="20"/>
      <c r="J70" s="20"/>
      <c r="K70" s="27" t="n">
        <v>1341.15</v>
      </c>
      <c r="L70" s="20"/>
      <c r="M70" s="20"/>
      <c r="N70" s="27" t="n">
        <v>875.85</v>
      </c>
      <c r="O70" s="20"/>
      <c r="P70" s="27" t="n">
        <v>1126.29</v>
      </c>
      <c r="Q70" s="20"/>
      <c r="R70" s="21" t="n">
        <f aca="false">SUM(F70:Q70)</f>
        <v>3343.29</v>
      </c>
      <c r="S70" s="18"/>
      <c r="T70" s="18"/>
      <c r="U70" s="18"/>
      <c r="V70" s="18"/>
      <c r="W70" s="18"/>
      <c r="X70" s="28" t="n">
        <v>1</v>
      </c>
      <c r="Y70" s="18"/>
      <c r="Z70" s="18"/>
      <c r="AA70" s="28" t="n">
        <v>1</v>
      </c>
      <c r="AB70" s="18"/>
      <c r="AC70" s="28" t="n">
        <v>1</v>
      </c>
      <c r="AD70" s="18"/>
      <c r="AE70" s="22" t="n">
        <f aca="false">SUM(S70:AD70)</f>
        <v>3</v>
      </c>
      <c r="AF70" s="22"/>
      <c r="AG70" s="22"/>
      <c r="AH70" s="22"/>
      <c r="AI70" s="22"/>
      <c r="AJ70" s="22"/>
      <c r="AK70" s="19" t="s">
        <v>50</v>
      </c>
      <c r="AL70" s="22"/>
      <c r="AM70" s="22"/>
      <c r="AN70" s="30" t="s">
        <v>49</v>
      </c>
      <c r="AO70" s="22"/>
      <c r="AP70" s="22"/>
      <c r="AQ70" s="22"/>
      <c r="AR70" s="30" t="s">
        <v>49</v>
      </c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22" t="n">
        <f aca="false">SUM(AS70:BD70)</f>
        <v>0</v>
      </c>
      <c r="BF70" s="23"/>
      <c r="BG70" s="24"/>
      <c r="BH70" s="18"/>
      <c r="BI70" s="18"/>
      <c r="BJ70" s="18"/>
      <c r="BK70" s="18"/>
      <c r="BL70" s="18"/>
      <c r="BM70" s="18"/>
      <c r="BN70" s="18"/>
      <c r="BO70" s="18"/>
      <c r="BP70" s="25" t="n">
        <v>4</v>
      </c>
      <c r="BQ70" s="18"/>
      <c r="BR70" s="18"/>
      <c r="BS70" s="25" t="n">
        <v>1</v>
      </c>
      <c r="BT70" s="22" t="n">
        <f aca="false">SUM(BH70:BS70)</f>
        <v>5</v>
      </c>
      <c r="BU70" s="26" t="n">
        <v>46055.6559490741</v>
      </c>
      <c r="BV70" s="17"/>
      <c r="BW70" s="17" t="s">
        <v>44</v>
      </c>
      <c r="BX70" s="23" t="n">
        <f aca="false">IFERROR(R70/AE70,0)</f>
        <v>1114.43</v>
      </c>
      <c r="BY70" s="23" t="n">
        <f aca="false">IFERROR(R70/12,0)</f>
        <v>278.6075</v>
      </c>
      <c r="BZ70" s="18" t="n">
        <v>80</v>
      </c>
      <c r="CA70" s="22" t="str">
        <f aca="false">IF(AE70=0,"PROSPECT",IF(AE70=1,"NOVO",IF(AE70&lt;=3,"EM DESENV.",IF(AE70&lt;=6,"RECORRENTE","FIDELIZADO"))))</f>
        <v>EM DESENV.</v>
      </c>
      <c r="CB70" s="22" t="n">
        <f aca="false">IF((P70+Q70)&gt;0,1,0)+IF((BR70+BS70)&gt;0,1,0)+IF(BE70&gt;0,1,0)</f>
        <v>2</v>
      </c>
    </row>
    <row r="71" customFormat="false" ht="15" hidden="false" customHeight="true" outlineLevel="0" collapsed="false">
      <c r="A71" s="16" t="s">
        <v>261</v>
      </c>
      <c r="B71" s="17" t="s">
        <v>262</v>
      </c>
      <c r="C71" s="18" t="s">
        <v>263</v>
      </c>
      <c r="D71" s="17" t="s">
        <v>264</v>
      </c>
      <c r="E71" s="19" t="s">
        <v>43</v>
      </c>
      <c r="F71" s="20"/>
      <c r="G71" s="20"/>
      <c r="H71" s="20"/>
      <c r="I71" s="20"/>
      <c r="J71" s="20"/>
      <c r="K71" s="20"/>
      <c r="L71" s="27" t="n">
        <v>1567.26</v>
      </c>
      <c r="M71" s="20"/>
      <c r="N71" s="20"/>
      <c r="O71" s="20"/>
      <c r="P71" s="27" t="n">
        <v>1351.48</v>
      </c>
      <c r="Q71" s="20"/>
      <c r="R71" s="21" t="n">
        <f aca="false">SUM(F71:Q71)</f>
        <v>2918.74</v>
      </c>
      <c r="S71" s="18"/>
      <c r="T71" s="18"/>
      <c r="U71" s="18"/>
      <c r="V71" s="18"/>
      <c r="W71" s="18"/>
      <c r="X71" s="18"/>
      <c r="Y71" s="28" t="n">
        <v>1</v>
      </c>
      <c r="Z71" s="18"/>
      <c r="AA71" s="18"/>
      <c r="AB71" s="18"/>
      <c r="AC71" s="28" t="n">
        <v>1</v>
      </c>
      <c r="AD71" s="18"/>
      <c r="AE71" s="22" t="n">
        <f aca="false">SUM(S71:AD71)</f>
        <v>2</v>
      </c>
      <c r="AF71" s="22"/>
      <c r="AG71" s="22"/>
      <c r="AH71" s="22"/>
      <c r="AI71" s="22"/>
      <c r="AJ71" s="22"/>
      <c r="AK71" s="22"/>
      <c r="AL71" s="19" t="s">
        <v>50</v>
      </c>
      <c r="AM71" s="22"/>
      <c r="AN71" s="22"/>
      <c r="AO71" s="22"/>
      <c r="AP71" s="22"/>
      <c r="AQ71" s="22"/>
      <c r="AR71" s="30" t="s">
        <v>49</v>
      </c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25" t="n">
        <v>1</v>
      </c>
      <c r="BD71" s="18"/>
      <c r="BE71" s="22" t="n">
        <f aca="false">SUM(AS71:BD71)</f>
        <v>1</v>
      </c>
      <c r="BF71" s="23"/>
      <c r="BG71" s="31" t="s">
        <v>93</v>
      </c>
      <c r="BH71" s="18"/>
      <c r="BI71" s="18"/>
      <c r="BJ71" s="18"/>
      <c r="BK71" s="18"/>
      <c r="BL71" s="18"/>
      <c r="BM71" s="18"/>
      <c r="BN71" s="18"/>
      <c r="BO71" s="18"/>
      <c r="BP71" s="18"/>
      <c r="BQ71" s="25" t="n">
        <v>1</v>
      </c>
      <c r="BR71" s="25" t="n">
        <v>2</v>
      </c>
      <c r="BS71" s="18"/>
      <c r="BT71" s="22" t="n">
        <f aca="false">SUM(BH71:BS71)</f>
        <v>3</v>
      </c>
      <c r="BU71" s="26" t="n">
        <v>46048.4752546296</v>
      </c>
      <c r="BV71" s="17"/>
      <c r="BW71" s="17" t="s">
        <v>44</v>
      </c>
      <c r="BX71" s="23" t="n">
        <f aca="false">IFERROR(R71/AE71,0)</f>
        <v>1459.37</v>
      </c>
      <c r="BY71" s="23" t="n">
        <f aca="false">IFERROR(R71/12,0)</f>
        <v>243.228333333333</v>
      </c>
      <c r="BZ71" s="18" t="n">
        <v>59.5</v>
      </c>
      <c r="CA71" s="22" t="str">
        <f aca="false">IF(AE71=0,"PROSPECT",IF(AE71=1,"NOVO",IF(AE71&lt;=3,"EM DESENV.",IF(AE71&lt;=6,"RECORRENTE","FIDELIZADO"))))</f>
        <v>EM DESENV.</v>
      </c>
      <c r="CB71" s="22" t="n">
        <f aca="false">IF((P71+Q71)&gt;0,1,0)+IF((BR71+BS71)&gt;0,1,0)+IF(BE71&gt;0,1,0)</f>
        <v>3</v>
      </c>
    </row>
    <row r="72" customFormat="false" ht="15" hidden="false" customHeight="true" outlineLevel="0" collapsed="false">
      <c r="A72" s="16" t="s">
        <v>265</v>
      </c>
      <c r="B72" s="17" t="s">
        <v>266</v>
      </c>
      <c r="C72" s="18" t="s">
        <v>53</v>
      </c>
      <c r="D72" s="17" t="s">
        <v>106</v>
      </c>
      <c r="E72" s="19" t="s">
        <v>43</v>
      </c>
      <c r="F72" s="20"/>
      <c r="G72" s="20"/>
      <c r="H72" s="20"/>
      <c r="I72" s="20"/>
      <c r="J72" s="20"/>
      <c r="K72" s="20"/>
      <c r="L72" s="20"/>
      <c r="M72" s="20"/>
      <c r="N72" s="20"/>
      <c r="O72" s="27" t="n">
        <v>1690</v>
      </c>
      <c r="P72" s="20"/>
      <c r="Q72" s="20"/>
      <c r="R72" s="21" t="n">
        <f aca="false">SUM(F72:Q72)</f>
        <v>1690</v>
      </c>
      <c r="S72" s="18"/>
      <c r="T72" s="18"/>
      <c r="U72" s="18"/>
      <c r="V72" s="18"/>
      <c r="W72" s="18"/>
      <c r="X72" s="18"/>
      <c r="Y72" s="18"/>
      <c r="Z72" s="18"/>
      <c r="AA72" s="18"/>
      <c r="AB72" s="28" t="n">
        <v>1</v>
      </c>
      <c r="AC72" s="18"/>
      <c r="AD72" s="18"/>
      <c r="AE72" s="22" t="n">
        <f aca="false">SUM(S72:AD72)</f>
        <v>1</v>
      </c>
      <c r="AF72" s="22"/>
      <c r="AG72" s="22"/>
      <c r="AH72" s="22"/>
      <c r="AI72" s="22"/>
      <c r="AJ72" s="22"/>
      <c r="AK72" s="22"/>
      <c r="AL72" s="22"/>
      <c r="AM72" s="22"/>
      <c r="AN72" s="22"/>
      <c r="AO72" s="19" t="s">
        <v>50</v>
      </c>
      <c r="AP72" s="22"/>
      <c r="AQ72" s="30" t="s">
        <v>49</v>
      </c>
      <c r="AR72" s="30" t="s">
        <v>49</v>
      </c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22" t="n">
        <f aca="false">SUM(AS72:BD72)</f>
        <v>0</v>
      </c>
      <c r="BF72" s="23"/>
      <c r="BG72" s="24"/>
      <c r="BH72" s="18"/>
      <c r="BI72" s="18"/>
      <c r="BJ72" s="18"/>
      <c r="BK72" s="18"/>
      <c r="BL72" s="18"/>
      <c r="BM72" s="18"/>
      <c r="BN72" s="18"/>
      <c r="BO72" s="18"/>
      <c r="BP72" s="18"/>
      <c r="BQ72" s="25" t="n">
        <v>1</v>
      </c>
      <c r="BR72" s="25" t="n">
        <v>5</v>
      </c>
      <c r="BS72" s="25" t="n">
        <v>1</v>
      </c>
      <c r="BT72" s="22" t="n">
        <f aca="false">SUM(BH72:BS72)</f>
        <v>7</v>
      </c>
      <c r="BU72" s="26" t="n">
        <v>46055.4438773148</v>
      </c>
      <c r="BV72" s="17"/>
      <c r="BW72" s="17" t="s">
        <v>44</v>
      </c>
      <c r="BX72" s="23" t="n">
        <f aca="false">IFERROR(R72/AE72,0)</f>
        <v>1690</v>
      </c>
      <c r="BY72" s="23" t="n">
        <f aca="false">IFERROR(R72/12,0)</f>
        <v>140.833333333333</v>
      </c>
      <c r="BZ72" s="18" t="n">
        <v>30.5</v>
      </c>
      <c r="CA72" s="22" t="str">
        <f aca="false">IF(AE72=0,"PROSPECT",IF(AE72=1,"NOVO",IF(AE72&lt;=3,"EM DESENV.",IF(AE72&lt;=6,"RECORRENTE","FIDELIZADO"))))</f>
        <v>NOVO</v>
      </c>
      <c r="CB72" s="22" t="n">
        <f aca="false">IF((P72+Q72)&gt;0,1,0)+IF((BR72+BS72)&gt;0,1,0)+IF(BE72&gt;0,1,0)</f>
        <v>1</v>
      </c>
    </row>
    <row r="73" customFormat="false" ht="15" hidden="false" customHeight="true" outlineLevel="0" collapsed="false">
      <c r="A73" s="16" t="s">
        <v>267</v>
      </c>
      <c r="B73" s="17" t="s">
        <v>268</v>
      </c>
      <c r="C73" s="18" t="s">
        <v>65</v>
      </c>
      <c r="D73" s="17" t="s">
        <v>269</v>
      </c>
      <c r="E73" s="19" t="s">
        <v>43</v>
      </c>
      <c r="F73" s="20"/>
      <c r="G73" s="27" t="n">
        <v>2185.57</v>
      </c>
      <c r="H73" s="20"/>
      <c r="I73" s="27" t="n">
        <v>2798.08</v>
      </c>
      <c r="J73" s="20"/>
      <c r="K73" s="27" t="n">
        <v>1859.19</v>
      </c>
      <c r="L73" s="20"/>
      <c r="M73" s="27" t="n">
        <v>3150.05</v>
      </c>
      <c r="N73" s="20"/>
      <c r="O73" s="20"/>
      <c r="P73" s="27" t="n">
        <v>2283.13</v>
      </c>
      <c r="Q73" s="20"/>
      <c r="R73" s="21" t="n">
        <f aca="false">SUM(F73:Q73)</f>
        <v>12276.02</v>
      </c>
      <c r="S73" s="18"/>
      <c r="T73" s="28" t="n">
        <v>1</v>
      </c>
      <c r="U73" s="18"/>
      <c r="V73" s="28" t="n">
        <v>1</v>
      </c>
      <c r="W73" s="18"/>
      <c r="X73" s="28" t="n">
        <v>1</v>
      </c>
      <c r="Y73" s="18"/>
      <c r="Z73" s="28" t="n">
        <v>1</v>
      </c>
      <c r="AA73" s="18"/>
      <c r="AB73" s="18"/>
      <c r="AC73" s="28" t="n">
        <v>1</v>
      </c>
      <c r="AD73" s="18"/>
      <c r="AE73" s="22" t="n">
        <f aca="false">SUM(S73:AD73)</f>
        <v>5</v>
      </c>
      <c r="AF73" s="22"/>
      <c r="AG73" s="19" t="s">
        <v>50</v>
      </c>
      <c r="AH73" s="22"/>
      <c r="AI73" s="19" t="s">
        <v>50</v>
      </c>
      <c r="AJ73" s="22"/>
      <c r="AK73" s="19" t="s">
        <v>50</v>
      </c>
      <c r="AL73" s="22"/>
      <c r="AM73" s="19" t="s">
        <v>50</v>
      </c>
      <c r="AN73" s="22"/>
      <c r="AO73" s="22"/>
      <c r="AP73" s="22"/>
      <c r="AQ73" s="22"/>
      <c r="AR73" s="19" t="s">
        <v>50</v>
      </c>
      <c r="AS73" s="18"/>
      <c r="AT73" s="18"/>
      <c r="AU73" s="18"/>
      <c r="AV73" s="25" t="n">
        <v>8</v>
      </c>
      <c r="AW73" s="25" t="n">
        <v>4</v>
      </c>
      <c r="AX73" s="25" t="n">
        <v>4</v>
      </c>
      <c r="AY73" s="18"/>
      <c r="AZ73" s="18"/>
      <c r="BA73" s="25" t="n">
        <v>7</v>
      </c>
      <c r="BB73" s="18"/>
      <c r="BC73" s="18"/>
      <c r="BD73" s="18"/>
      <c r="BE73" s="22" t="n">
        <f aca="false">SUM(AS73:BD73)</f>
        <v>23</v>
      </c>
      <c r="BF73" s="23" t="n">
        <v>4657.27</v>
      </c>
      <c r="BG73" s="19" t="s">
        <v>55</v>
      </c>
      <c r="BH73" s="18"/>
      <c r="BI73" s="25" t="n">
        <v>1</v>
      </c>
      <c r="BJ73" s="25" t="n">
        <v>1</v>
      </c>
      <c r="BK73" s="18"/>
      <c r="BL73" s="18"/>
      <c r="BM73" s="25" t="n">
        <v>1</v>
      </c>
      <c r="BN73" s="18"/>
      <c r="BO73" s="18"/>
      <c r="BP73" s="25" t="n">
        <v>2</v>
      </c>
      <c r="BQ73" s="25" t="n">
        <v>1</v>
      </c>
      <c r="BR73" s="25" t="n">
        <v>2</v>
      </c>
      <c r="BS73" s="18"/>
      <c r="BT73" s="22" t="n">
        <f aca="false">SUM(BH73:BS73)</f>
        <v>8</v>
      </c>
      <c r="BU73" s="26" t="n">
        <v>46049.4333333333</v>
      </c>
      <c r="BV73" s="17" t="s">
        <v>107</v>
      </c>
      <c r="BW73" s="17" t="s">
        <v>44</v>
      </c>
      <c r="BX73" s="23" t="n">
        <f aca="false">IFERROR(R73/AE73,0)</f>
        <v>2455.204</v>
      </c>
      <c r="BY73" s="23" t="n">
        <f aca="false">IFERROR(R73/12,0)</f>
        <v>1023.00166666667</v>
      </c>
      <c r="BZ73" s="18" t="n">
        <v>69.5</v>
      </c>
      <c r="CA73" s="22" t="str">
        <f aca="false">IF(AE73=0,"PROSPECT",IF(AE73=1,"NOVO",IF(AE73&lt;=3,"EM DESENV.",IF(AE73&lt;=6,"RECORRENTE","FIDELIZADO"))))</f>
        <v>RECORRENTE</v>
      </c>
      <c r="CB73" s="22" t="n">
        <f aca="false">IF((P73+Q73)&gt;0,1,0)+IF((BR73+BS73)&gt;0,1,0)+IF(BE73&gt;0,1,0)</f>
        <v>3</v>
      </c>
    </row>
    <row r="74" customFormat="false" ht="15" hidden="false" customHeight="true" outlineLevel="0" collapsed="false">
      <c r="A74" s="16" t="s">
        <v>270</v>
      </c>
      <c r="B74" s="17" t="s">
        <v>271</v>
      </c>
      <c r="C74" s="18" t="s">
        <v>61</v>
      </c>
      <c r="D74" s="17" t="s">
        <v>272</v>
      </c>
      <c r="E74" s="19" t="s">
        <v>43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1" t="n">
        <f aca="false">SUM(F74:Q74)</f>
        <v>0</v>
      </c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22" t="n">
        <f aca="false">SUM(S74:AD74)</f>
        <v>0</v>
      </c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30" t="s">
        <v>49</v>
      </c>
      <c r="AR74" s="22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25" t="n">
        <v>4</v>
      </c>
      <c r="BD74" s="25" t="n">
        <v>2</v>
      </c>
      <c r="BE74" s="22" t="n">
        <f aca="false">SUM(AS74:BD74)</f>
        <v>6</v>
      </c>
      <c r="BF74" s="23" t="n">
        <v>1190.31</v>
      </c>
      <c r="BG74" s="19" t="s">
        <v>55</v>
      </c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25" t="n">
        <v>1</v>
      </c>
      <c r="BS74" s="18"/>
      <c r="BT74" s="22" t="n">
        <f aca="false">SUM(BH74:BS74)</f>
        <v>1</v>
      </c>
      <c r="BU74" s="26" t="n">
        <v>46035.6368055556</v>
      </c>
      <c r="BV74" s="17" t="s">
        <v>173</v>
      </c>
      <c r="BW74" s="17" t="s">
        <v>117</v>
      </c>
      <c r="BX74" s="23" t="n">
        <f aca="false">IFERROR(R74/AE74,0)</f>
        <v>0</v>
      </c>
      <c r="BY74" s="23" t="n">
        <f aca="false">IFERROR(R74/12,0)</f>
        <v>0</v>
      </c>
      <c r="BZ74" s="18" t="n">
        <v>0</v>
      </c>
      <c r="CA74" s="22" t="str">
        <f aca="false">IF(AE74=0,"PROSPECT",IF(AE74=1,"NOVO",IF(AE74&lt;=3,"EM DESENV.",IF(AE74&lt;=6,"RECORRENTE","FIDELIZADO"))))</f>
        <v>PROSPECT</v>
      </c>
      <c r="CB74" s="22" t="n">
        <f aca="false">IF((P74+Q74)&gt;0,1,0)+IF((BR74+BS74)&gt;0,1,0)+IF(BE74&gt;0,1,0)</f>
        <v>2</v>
      </c>
    </row>
    <row r="75" customFormat="false" ht="15" hidden="false" customHeight="true" outlineLevel="0" collapsed="false">
      <c r="A75" s="16" t="s">
        <v>273</v>
      </c>
      <c r="B75" s="17" t="s">
        <v>274</v>
      </c>
      <c r="C75" s="18" t="s">
        <v>83</v>
      </c>
      <c r="D75" s="17" t="s">
        <v>275</v>
      </c>
      <c r="E75" s="19" t="s">
        <v>43</v>
      </c>
      <c r="F75" s="20"/>
      <c r="G75" s="27" t="n">
        <v>5026.2</v>
      </c>
      <c r="H75" s="20"/>
      <c r="I75" s="27" t="n">
        <v>5040</v>
      </c>
      <c r="J75" s="20"/>
      <c r="K75" s="20"/>
      <c r="L75" s="27" t="n">
        <v>5260.84</v>
      </c>
      <c r="M75" s="27" t="n">
        <v>10920</v>
      </c>
      <c r="N75" s="27" t="n">
        <v>5686.46</v>
      </c>
      <c r="O75" s="27" t="n">
        <v>8377.39</v>
      </c>
      <c r="P75" s="27" t="n">
        <v>15300</v>
      </c>
      <c r="Q75" s="20"/>
      <c r="R75" s="21" t="n">
        <f aca="false">SUM(F75:Q75)</f>
        <v>55610.89</v>
      </c>
      <c r="S75" s="18"/>
      <c r="T75" s="28" t="n">
        <v>1</v>
      </c>
      <c r="U75" s="18"/>
      <c r="V75" s="28" t="n">
        <v>1</v>
      </c>
      <c r="W75" s="18"/>
      <c r="X75" s="18"/>
      <c r="Y75" s="28" t="n">
        <v>1</v>
      </c>
      <c r="Z75" s="28" t="n">
        <v>1</v>
      </c>
      <c r="AA75" s="28" t="n">
        <v>1</v>
      </c>
      <c r="AB75" s="28" t="n">
        <v>1</v>
      </c>
      <c r="AC75" s="28" t="n">
        <v>1</v>
      </c>
      <c r="AD75" s="18"/>
      <c r="AE75" s="22" t="n">
        <f aca="false">SUM(S75:AD75)</f>
        <v>7</v>
      </c>
      <c r="AF75" s="22"/>
      <c r="AG75" s="19" t="s">
        <v>50</v>
      </c>
      <c r="AH75" s="22"/>
      <c r="AI75" s="19" t="s">
        <v>50</v>
      </c>
      <c r="AJ75" s="22"/>
      <c r="AK75" s="22"/>
      <c r="AL75" s="19" t="s">
        <v>50</v>
      </c>
      <c r="AM75" s="19" t="s">
        <v>50</v>
      </c>
      <c r="AN75" s="19" t="s">
        <v>50</v>
      </c>
      <c r="AO75" s="19" t="s">
        <v>50</v>
      </c>
      <c r="AP75" s="19" t="s">
        <v>50</v>
      </c>
      <c r="AQ75" s="19" t="s">
        <v>50</v>
      </c>
      <c r="AR75" s="19" t="s">
        <v>50</v>
      </c>
      <c r="AS75" s="18"/>
      <c r="AT75" s="25" t="n">
        <v>5</v>
      </c>
      <c r="AU75" s="25" t="n">
        <v>5</v>
      </c>
      <c r="AV75" s="25" t="n">
        <v>1</v>
      </c>
      <c r="AW75" s="25" t="n">
        <v>4</v>
      </c>
      <c r="AX75" s="18"/>
      <c r="AY75" s="25" t="n">
        <v>4</v>
      </c>
      <c r="AZ75" s="18"/>
      <c r="BA75" s="25" t="n">
        <v>2</v>
      </c>
      <c r="BB75" s="25" t="n">
        <v>3</v>
      </c>
      <c r="BC75" s="18"/>
      <c r="BD75" s="25" t="n">
        <v>1</v>
      </c>
      <c r="BE75" s="22" t="n">
        <f aca="false">SUM(AS75:BD75)</f>
        <v>25</v>
      </c>
      <c r="BF75" s="23" t="n">
        <v>47791.69</v>
      </c>
      <c r="BG75" s="19" t="s">
        <v>55</v>
      </c>
      <c r="BH75" s="18"/>
      <c r="BI75" s="18"/>
      <c r="BJ75" s="25" t="n">
        <v>1</v>
      </c>
      <c r="BK75" s="18"/>
      <c r="BL75" s="18"/>
      <c r="BM75" s="18"/>
      <c r="BN75" s="18"/>
      <c r="BO75" s="25" t="n">
        <v>1</v>
      </c>
      <c r="BP75" s="18"/>
      <c r="BQ75" s="18"/>
      <c r="BR75" s="25" t="n">
        <v>2</v>
      </c>
      <c r="BS75" s="25" t="n">
        <v>3</v>
      </c>
      <c r="BT75" s="22" t="n">
        <f aca="false">SUM(BH75:BS75)</f>
        <v>7</v>
      </c>
      <c r="BU75" s="26" t="n">
        <v>46058.6805555556</v>
      </c>
      <c r="BV75" s="17" t="s">
        <v>124</v>
      </c>
      <c r="BW75" s="17" t="s">
        <v>44</v>
      </c>
      <c r="BX75" s="23" t="n">
        <f aca="false">IFERROR(R75/AE75,0)</f>
        <v>7944.41285714286</v>
      </c>
      <c r="BY75" s="23" t="n">
        <f aca="false">IFERROR(R75/12,0)</f>
        <v>4634.24083333333</v>
      </c>
      <c r="BZ75" s="18" t="n">
        <v>28.8</v>
      </c>
      <c r="CA75" s="22" t="str">
        <f aca="false">IF(AE75=0,"PROSPECT",IF(AE75=1,"NOVO",IF(AE75&lt;=3,"EM DESENV.",IF(AE75&lt;=6,"RECORRENTE","FIDELIZADO"))))</f>
        <v>FIDELIZADO</v>
      </c>
      <c r="CB75" s="22" t="n">
        <f aca="false">IF((P75+Q75)&gt;0,1,0)+IF((BR75+BS75)&gt;0,1,0)+IF(BE75&gt;0,1,0)</f>
        <v>3</v>
      </c>
    </row>
    <row r="76" customFormat="false" ht="15" hidden="false" customHeight="true" outlineLevel="0" collapsed="false">
      <c r="A76" s="16" t="s">
        <v>276</v>
      </c>
      <c r="B76" s="17" t="s">
        <v>277</v>
      </c>
      <c r="C76" s="18" t="s">
        <v>53</v>
      </c>
      <c r="D76" s="17" t="s">
        <v>278</v>
      </c>
      <c r="E76" s="30" t="s">
        <v>279</v>
      </c>
      <c r="F76" s="20"/>
      <c r="G76" s="20"/>
      <c r="H76" s="20"/>
      <c r="I76" s="20"/>
      <c r="J76" s="20"/>
      <c r="K76" s="27" t="n">
        <v>708.25</v>
      </c>
      <c r="L76" s="27" t="n">
        <v>769.47</v>
      </c>
      <c r="M76" s="27" t="n">
        <v>1400.78</v>
      </c>
      <c r="N76" s="27" t="n">
        <v>789.36</v>
      </c>
      <c r="O76" s="20"/>
      <c r="P76" s="27" t="n">
        <v>1083.95</v>
      </c>
      <c r="Q76" s="20"/>
      <c r="R76" s="21" t="n">
        <f aca="false">SUM(F76:Q76)</f>
        <v>4751.81</v>
      </c>
      <c r="S76" s="18"/>
      <c r="T76" s="18"/>
      <c r="U76" s="18"/>
      <c r="V76" s="18"/>
      <c r="W76" s="18"/>
      <c r="X76" s="28" t="n">
        <v>1</v>
      </c>
      <c r="Y76" s="28" t="n">
        <v>1</v>
      </c>
      <c r="Z76" s="28" t="n">
        <v>1</v>
      </c>
      <c r="AA76" s="28" t="n">
        <v>1</v>
      </c>
      <c r="AB76" s="18"/>
      <c r="AC76" s="28" t="n">
        <v>1</v>
      </c>
      <c r="AD76" s="18"/>
      <c r="AE76" s="22" t="n">
        <f aca="false">SUM(S76:AD76)</f>
        <v>5</v>
      </c>
      <c r="AF76" s="22"/>
      <c r="AG76" s="22"/>
      <c r="AH76" s="22"/>
      <c r="AI76" s="22"/>
      <c r="AJ76" s="22"/>
      <c r="AK76" s="29" t="s">
        <v>48</v>
      </c>
      <c r="AL76" s="30" t="s">
        <v>49</v>
      </c>
      <c r="AM76" s="30" t="s">
        <v>49</v>
      </c>
      <c r="AN76" s="30" t="s">
        <v>49</v>
      </c>
      <c r="AO76" s="22"/>
      <c r="AP76" s="19" t="s">
        <v>50</v>
      </c>
      <c r="AQ76" s="22"/>
      <c r="AR76" s="19" t="s">
        <v>50</v>
      </c>
      <c r="AS76" s="18"/>
      <c r="AT76" s="18"/>
      <c r="AU76" s="18"/>
      <c r="AV76" s="18"/>
      <c r="AW76" s="18"/>
      <c r="AX76" s="25" t="n">
        <v>5</v>
      </c>
      <c r="AY76" s="25" t="n">
        <v>10</v>
      </c>
      <c r="AZ76" s="18"/>
      <c r="BA76" s="25" t="n">
        <v>5</v>
      </c>
      <c r="BB76" s="18"/>
      <c r="BC76" s="25" t="n">
        <v>9</v>
      </c>
      <c r="BD76" s="18"/>
      <c r="BE76" s="22" t="n">
        <f aca="false">SUM(AS76:BD76)</f>
        <v>29</v>
      </c>
      <c r="BF76" s="23" t="n">
        <v>3351.03</v>
      </c>
      <c r="BG76" s="19" t="s">
        <v>55</v>
      </c>
      <c r="BH76" s="18"/>
      <c r="BI76" s="18"/>
      <c r="BJ76" s="18"/>
      <c r="BK76" s="18"/>
      <c r="BL76" s="25" t="n">
        <v>2</v>
      </c>
      <c r="BM76" s="18"/>
      <c r="BN76" s="18"/>
      <c r="BO76" s="18"/>
      <c r="BP76" s="25" t="n">
        <v>2</v>
      </c>
      <c r="BQ76" s="18"/>
      <c r="BR76" s="25" t="n">
        <v>3</v>
      </c>
      <c r="BS76" s="18"/>
      <c r="BT76" s="22" t="n">
        <f aca="false">SUM(BH76:BS76)</f>
        <v>7</v>
      </c>
      <c r="BU76" s="26" t="n">
        <v>46030.6346412037</v>
      </c>
      <c r="BV76" s="17"/>
      <c r="BW76" s="17" t="s">
        <v>44</v>
      </c>
      <c r="BX76" s="23" t="n">
        <f aca="false">IFERROR(R76/AE76,0)</f>
        <v>950.362</v>
      </c>
      <c r="BY76" s="23" t="n">
        <f aca="false">IFERROR(R76/12,0)</f>
        <v>395.984166666667</v>
      </c>
      <c r="BZ76" s="18" t="n">
        <v>31.2</v>
      </c>
      <c r="CA76" s="22" t="str">
        <f aca="false">IF(AE76=0,"PROSPECT",IF(AE76=1,"NOVO",IF(AE76&lt;=3,"EM DESENV.",IF(AE76&lt;=6,"RECORRENTE","FIDELIZADO"))))</f>
        <v>RECORRENTE</v>
      </c>
      <c r="CB76" s="22" t="n">
        <f aca="false">IF((P76+Q76)&gt;0,1,0)+IF((BR76+BS76)&gt;0,1,0)+IF(BE76&gt;0,1,0)</f>
        <v>3</v>
      </c>
    </row>
    <row r="77" customFormat="false" ht="15" hidden="false" customHeight="true" outlineLevel="0" collapsed="false">
      <c r="A77" s="16" t="s">
        <v>280</v>
      </c>
      <c r="B77" s="17" t="s">
        <v>281</v>
      </c>
      <c r="C77" s="18" t="s">
        <v>168</v>
      </c>
      <c r="D77" s="17" t="s">
        <v>282</v>
      </c>
      <c r="E77" s="30" t="s">
        <v>279</v>
      </c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7" t="n">
        <v>654</v>
      </c>
      <c r="Q77" s="20"/>
      <c r="R77" s="21" t="n">
        <f aca="false">SUM(F77:Q77)</f>
        <v>654</v>
      </c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28" t="n">
        <v>1</v>
      </c>
      <c r="AD77" s="18"/>
      <c r="AE77" s="22" t="n">
        <f aca="false">SUM(S77:AD77)</f>
        <v>1</v>
      </c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9" t="s">
        <v>48</v>
      </c>
      <c r="AQ77" s="22"/>
      <c r="AR77" s="22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25" t="n">
        <v>12</v>
      </c>
      <c r="BD77" s="18"/>
      <c r="BE77" s="22" t="n">
        <f aca="false">SUM(AS77:BD77)</f>
        <v>12</v>
      </c>
      <c r="BF77" s="23" t="n">
        <v>654</v>
      </c>
      <c r="BG77" s="19" t="s">
        <v>55</v>
      </c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25" t="n">
        <v>4</v>
      </c>
      <c r="BS77" s="18"/>
      <c r="BT77" s="22" t="n">
        <f aca="false">SUM(BH77:BS77)</f>
        <v>4</v>
      </c>
      <c r="BU77" s="26" t="n">
        <v>46038.6498263889</v>
      </c>
      <c r="BV77" s="17"/>
      <c r="BW77" s="17" t="s">
        <v>44</v>
      </c>
      <c r="BX77" s="23" t="n">
        <f aca="false">IFERROR(R77/AE77,0)</f>
        <v>654</v>
      </c>
      <c r="BY77" s="23" t="n">
        <f aca="false">IFERROR(R77/12,0)</f>
        <v>54.5</v>
      </c>
      <c r="BZ77" s="18" t="n">
        <v>0</v>
      </c>
      <c r="CA77" s="22" t="str">
        <f aca="false">IF(AE77=0,"PROSPECT",IF(AE77=1,"NOVO",IF(AE77&lt;=3,"EM DESENV.",IF(AE77&lt;=6,"RECORRENTE","FIDELIZADO"))))</f>
        <v>NOVO</v>
      </c>
      <c r="CB77" s="22" t="n">
        <f aca="false">IF((P77+Q77)&gt;0,1,0)+IF((BR77+BS77)&gt;0,1,0)+IF(BE77&gt;0,1,0)</f>
        <v>3</v>
      </c>
    </row>
    <row r="78" customFormat="false" ht="15" hidden="false" customHeight="true" outlineLevel="0" collapsed="false">
      <c r="A78" s="16" t="s">
        <v>283</v>
      </c>
      <c r="B78" s="17" t="s">
        <v>284</v>
      </c>
      <c r="C78" s="18" t="s">
        <v>83</v>
      </c>
      <c r="D78" s="17" t="s">
        <v>285</v>
      </c>
      <c r="E78" s="30" t="s">
        <v>279</v>
      </c>
      <c r="F78" s="20"/>
      <c r="G78" s="20"/>
      <c r="H78" s="20"/>
      <c r="I78" s="20"/>
      <c r="J78" s="20"/>
      <c r="K78" s="20"/>
      <c r="L78" s="20"/>
      <c r="M78" s="20"/>
      <c r="N78" s="20"/>
      <c r="O78" s="27" t="n">
        <v>852.03</v>
      </c>
      <c r="P78" s="20"/>
      <c r="Q78" s="20"/>
      <c r="R78" s="21" t="n">
        <f aca="false">SUM(F78:Q78)</f>
        <v>852.03</v>
      </c>
      <c r="S78" s="18"/>
      <c r="T78" s="18"/>
      <c r="U78" s="18"/>
      <c r="V78" s="18"/>
      <c r="W78" s="18"/>
      <c r="X78" s="18"/>
      <c r="Y78" s="18"/>
      <c r="Z78" s="18"/>
      <c r="AA78" s="18"/>
      <c r="AB78" s="28" t="n">
        <v>1</v>
      </c>
      <c r="AC78" s="18"/>
      <c r="AD78" s="18"/>
      <c r="AE78" s="22" t="n">
        <f aca="false">SUM(S78:AD78)</f>
        <v>1</v>
      </c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18"/>
      <c r="AT78" s="18"/>
      <c r="AU78" s="18"/>
      <c r="AV78" s="18"/>
      <c r="AW78" s="18"/>
      <c r="AX78" s="18"/>
      <c r="AY78" s="18"/>
      <c r="AZ78" s="18"/>
      <c r="BA78" s="18"/>
      <c r="BB78" s="25" t="n">
        <v>8</v>
      </c>
      <c r="BC78" s="18"/>
      <c r="BD78" s="18"/>
      <c r="BE78" s="22" t="n">
        <f aca="false">SUM(AS78:BD78)</f>
        <v>8</v>
      </c>
      <c r="BF78" s="23" t="n">
        <v>852.03</v>
      </c>
      <c r="BG78" s="19" t="s">
        <v>55</v>
      </c>
      <c r="BH78" s="18"/>
      <c r="BI78" s="18"/>
      <c r="BJ78" s="18"/>
      <c r="BK78" s="18"/>
      <c r="BL78" s="18"/>
      <c r="BM78" s="18"/>
      <c r="BN78" s="18"/>
      <c r="BO78" s="18"/>
      <c r="BP78" s="25" t="n">
        <v>1</v>
      </c>
      <c r="BQ78" s="18"/>
      <c r="BR78" s="25" t="n">
        <v>1</v>
      </c>
      <c r="BS78" s="25" t="n">
        <v>3</v>
      </c>
      <c r="BT78" s="22" t="n">
        <f aca="false">SUM(BH78:BS78)</f>
        <v>5</v>
      </c>
      <c r="BU78" s="26" t="n">
        <v>46057.46875</v>
      </c>
      <c r="BV78" s="17" t="s">
        <v>243</v>
      </c>
      <c r="BW78" s="17" t="s">
        <v>44</v>
      </c>
      <c r="BX78" s="23" t="n">
        <f aca="false">IFERROR(R78/AE78,0)</f>
        <v>852.03</v>
      </c>
      <c r="BY78" s="23" t="n">
        <f aca="false">IFERROR(R78/12,0)</f>
        <v>71.0025</v>
      </c>
      <c r="BZ78" s="18" t="n">
        <v>0</v>
      </c>
      <c r="CA78" s="22" t="str">
        <f aca="false">IF(AE78=0,"PROSPECT",IF(AE78=1,"NOVO",IF(AE78&lt;=3,"EM DESENV.",IF(AE78&lt;=6,"RECORRENTE","FIDELIZADO"))))</f>
        <v>NOVO</v>
      </c>
      <c r="CB78" s="22" t="n">
        <f aca="false">IF((P78+Q78)&gt;0,1,0)+IF((BR78+BS78)&gt;0,1,0)+IF(BE78&gt;0,1,0)</f>
        <v>2</v>
      </c>
    </row>
    <row r="79" customFormat="false" ht="15" hidden="false" customHeight="true" outlineLevel="0" collapsed="false">
      <c r="A79" s="16" t="s">
        <v>286</v>
      </c>
      <c r="B79" s="17" t="s">
        <v>287</v>
      </c>
      <c r="C79" s="18" t="s">
        <v>168</v>
      </c>
      <c r="D79" s="17" t="s">
        <v>288</v>
      </c>
      <c r="E79" s="30" t="s">
        <v>279</v>
      </c>
      <c r="F79" s="20"/>
      <c r="G79" s="20"/>
      <c r="H79" s="20"/>
      <c r="I79" s="20"/>
      <c r="J79" s="20"/>
      <c r="K79" s="20"/>
      <c r="L79" s="20"/>
      <c r="M79" s="20"/>
      <c r="N79" s="27" t="n">
        <v>2012.37</v>
      </c>
      <c r="O79" s="27" t="n">
        <v>5359.73</v>
      </c>
      <c r="P79" s="27" t="n">
        <v>4528.38</v>
      </c>
      <c r="Q79" s="20"/>
      <c r="R79" s="21" t="n">
        <f aca="false">SUM(F79:Q79)</f>
        <v>11900.48</v>
      </c>
      <c r="S79" s="18"/>
      <c r="T79" s="18"/>
      <c r="U79" s="18"/>
      <c r="V79" s="18"/>
      <c r="W79" s="18"/>
      <c r="X79" s="18"/>
      <c r="Y79" s="18"/>
      <c r="Z79" s="18"/>
      <c r="AA79" s="28" t="n">
        <v>1</v>
      </c>
      <c r="AB79" s="28" t="n">
        <v>1</v>
      </c>
      <c r="AC79" s="28" t="n">
        <v>1</v>
      </c>
      <c r="AD79" s="18"/>
      <c r="AE79" s="22" t="n">
        <f aca="false">SUM(S79:AD79)</f>
        <v>3</v>
      </c>
      <c r="AF79" s="22"/>
      <c r="AG79" s="22"/>
      <c r="AH79" s="22"/>
      <c r="AI79" s="22"/>
      <c r="AJ79" s="22"/>
      <c r="AK79" s="22"/>
      <c r="AL79" s="22"/>
      <c r="AM79" s="22"/>
      <c r="AN79" s="19" t="s">
        <v>50</v>
      </c>
      <c r="AO79" s="19" t="s">
        <v>50</v>
      </c>
      <c r="AP79" s="19" t="s">
        <v>50</v>
      </c>
      <c r="AQ79" s="22"/>
      <c r="AR79" s="19" t="s">
        <v>50</v>
      </c>
      <c r="AS79" s="18"/>
      <c r="AT79" s="18"/>
      <c r="AU79" s="18"/>
      <c r="AV79" s="18"/>
      <c r="AW79" s="18"/>
      <c r="AX79" s="18"/>
      <c r="AY79" s="18"/>
      <c r="AZ79" s="18"/>
      <c r="BA79" s="25" t="n">
        <v>4</v>
      </c>
      <c r="BB79" s="18"/>
      <c r="BC79" s="18"/>
      <c r="BD79" s="18"/>
      <c r="BE79" s="22" t="n">
        <f aca="false">SUM(AS79:BD79)</f>
        <v>4</v>
      </c>
      <c r="BF79" s="23"/>
      <c r="BG79" s="31" t="s">
        <v>93</v>
      </c>
      <c r="BH79" s="18"/>
      <c r="BI79" s="18"/>
      <c r="BJ79" s="18"/>
      <c r="BK79" s="18"/>
      <c r="BL79" s="18"/>
      <c r="BM79" s="18"/>
      <c r="BN79" s="18"/>
      <c r="BO79" s="25" t="n">
        <v>2</v>
      </c>
      <c r="BP79" s="25" t="n">
        <v>1</v>
      </c>
      <c r="BQ79" s="25" t="n">
        <v>2</v>
      </c>
      <c r="BR79" s="25" t="n">
        <v>2</v>
      </c>
      <c r="BS79" s="25" t="n">
        <v>3</v>
      </c>
      <c r="BT79" s="22" t="n">
        <f aca="false">SUM(BH79:BS79)</f>
        <v>10</v>
      </c>
      <c r="BU79" s="26" t="n">
        <v>46059.3395833333</v>
      </c>
      <c r="BV79" s="17" t="s">
        <v>107</v>
      </c>
      <c r="BW79" s="17" t="s">
        <v>44</v>
      </c>
      <c r="BX79" s="23" t="n">
        <f aca="false">IFERROR(R79/AE79,0)</f>
        <v>3966.82666666667</v>
      </c>
      <c r="BY79" s="23" t="n">
        <f aca="false">IFERROR(R79/12,0)</f>
        <v>991.706666666667</v>
      </c>
      <c r="BZ79" s="18" t="n">
        <v>11</v>
      </c>
      <c r="CA79" s="22" t="str">
        <f aca="false">IF(AE79=0,"PROSPECT",IF(AE79=1,"NOVO",IF(AE79&lt;=3,"EM DESENV.",IF(AE79&lt;=6,"RECORRENTE","FIDELIZADO"))))</f>
        <v>EM DESENV.</v>
      </c>
      <c r="CB79" s="22" t="n">
        <f aca="false">IF((P79+Q79)&gt;0,1,0)+IF((BR79+BS79)&gt;0,1,0)+IF(BE79&gt;0,1,0)</f>
        <v>3</v>
      </c>
    </row>
    <row r="80" customFormat="false" ht="15" hidden="false" customHeight="true" outlineLevel="0" collapsed="false">
      <c r="A80" s="16" t="s">
        <v>289</v>
      </c>
      <c r="B80" s="17" t="s">
        <v>290</v>
      </c>
      <c r="C80" s="18" t="s">
        <v>53</v>
      </c>
      <c r="D80" s="17" t="s">
        <v>291</v>
      </c>
      <c r="E80" s="30" t="s">
        <v>279</v>
      </c>
      <c r="F80" s="20"/>
      <c r="G80" s="20"/>
      <c r="H80" s="20"/>
      <c r="I80" s="20"/>
      <c r="J80" s="27" t="n">
        <v>959.79</v>
      </c>
      <c r="K80" s="20"/>
      <c r="L80" s="20"/>
      <c r="M80" s="27" t="n">
        <v>949.5</v>
      </c>
      <c r="N80" s="20"/>
      <c r="O80" s="20"/>
      <c r="P80" s="27" t="n">
        <v>1552.1</v>
      </c>
      <c r="Q80" s="20"/>
      <c r="R80" s="21" t="n">
        <f aca="false">SUM(F80:Q80)</f>
        <v>3461.39</v>
      </c>
      <c r="S80" s="18"/>
      <c r="T80" s="18"/>
      <c r="U80" s="18"/>
      <c r="V80" s="18"/>
      <c r="W80" s="28" t="n">
        <v>1</v>
      </c>
      <c r="X80" s="18"/>
      <c r="Y80" s="18"/>
      <c r="Z80" s="28" t="n">
        <v>1</v>
      </c>
      <c r="AA80" s="18"/>
      <c r="AB80" s="18"/>
      <c r="AC80" s="28" t="n">
        <v>1</v>
      </c>
      <c r="AD80" s="18"/>
      <c r="AE80" s="22" t="n">
        <f aca="false">SUM(S80:AD80)</f>
        <v>3</v>
      </c>
      <c r="AF80" s="22"/>
      <c r="AG80" s="22"/>
      <c r="AH80" s="22"/>
      <c r="AI80" s="22"/>
      <c r="AJ80" s="30" t="s">
        <v>49</v>
      </c>
      <c r="AK80" s="22"/>
      <c r="AL80" s="22"/>
      <c r="AM80" s="30" t="s">
        <v>49</v>
      </c>
      <c r="AN80" s="22"/>
      <c r="AO80" s="22"/>
      <c r="AP80" s="19" t="s">
        <v>50</v>
      </c>
      <c r="AQ80" s="22"/>
      <c r="AR80" s="30" t="s">
        <v>49</v>
      </c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22" t="n">
        <f aca="false">SUM(AS80:BD80)</f>
        <v>0</v>
      </c>
      <c r="BF80" s="23"/>
      <c r="BG80" s="24"/>
      <c r="BH80" s="18"/>
      <c r="BI80" s="18"/>
      <c r="BJ80" s="18"/>
      <c r="BK80" s="18"/>
      <c r="BL80" s="25" t="n">
        <v>1</v>
      </c>
      <c r="BM80" s="25" t="n">
        <v>1</v>
      </c>
      <c r="BN80" s="25" t="n">
        <v>1</v>
      </c>
      <c r="BO80" s="25" t="n">
        <v>1</v>
      </c>
      <c r="BP80" s="25" t="n">
        <v>2</v>
      </c>
      <c r="BQ80" s="18"/>
      <c r="BR80" s="25" t="n">
        <v>4</v>
      </c>
      <c r="BS80" s="18"/>
      <c r="BT80" s="22" t="n">
        <f aca="false">SUM(BH80:BS80)</f>
        <v>10</v>
      </c>
      <c r="BU80" s="26" t="n">
        <v>46035.6659722222</v>
      </c>
      <c r="BV80" s="17" t="s">
        <v>107</v>
      </c>
      <c r="BW80" s="17" t="s">
        <v>44</v>
      </c>
      <c r="BX80" s="23" t="n">
        <f aca="false">IFERROR(R80/AE80,0)</f>
        <v>1153.79666666667</v>
      </c>
      <c r="BY80" s="23" t="n">
        <f aca="false">IFERROR(R80/12,0)</f>
        <v>288.449166666667</v>
      </c>
      <c r="BZ80" s="18" t="n">
        <v>91.5</v>
      </c>
      <c r="CA80" s="22" t="str">
        <f aca="false">IF(AE80=0,"PROSPECT",IF(AE80=1,"NOVO",IF(AE80&lt;=3,"EM DESENV.",IF(AE80&lt;=6,"RECORRENTE","FIDELIZADO"))))</f>
        <v>EM DESENV.</v>
      </c>
      <c r="CB80" s="22" t="n">
        <f aca="false">IF((P80+Q80)&gt;0,1,0)+IF((BR80+BS80)&gt;0,1,0)+IF(BE80&gt;0,1,0)</f>
        <v>2</v>
      </c>
    </row>
    <row r="81" customFormat="false" ht="15" hidden="false" customHeight="true" outlineLevel="0" collapsed="false">
      <c r="A81" s="16" t="s">
        <v>292</v>
      </c>
      <c r="B81" s="17" t="s">
        <v>293</v>
      </c>
      <c r="C81" s="18" t="s">
        <v>41</v>
      </c>
      <c r="D81" s="17" t="s">
        <v>42</v>
      </c>
      <c r="E81" s="30" t="s">
        <v>279</v>
      </c>
      <c r="F81" s="20"/>
      <c r="G81" s="20"/>
      <c r="H81" s="27" t="n">
        <v>1320</v>
      </c>
      <c r="I81" s="20"/>
      <c r="J81" s="20"/>
      <c r="K81" s="20"/>
      <c r="L81" s="27" t="n">
        <v>1388.52</v>
      </c>
      <c r="M81" s="20"/>
      <c r="N81" s="20"/>
      <c r="O81" s="20"/>
      <c r="P81" s="27" t="n">
        <v>1405.05</v>
      </c>
      <c r="Q81" s="20"/>
      <c r="R81" s="21" t="n">
        <f aca="false">SUM(F81:Q81)</f>
        <v>4113.57</v>
      </c>
      <c r="S81" s="18"/>
      <c r="T81" s="18"/>
      <c r="U81" s="28" t="n">
        <v>1</v>
      </c>
      <c r="V81" s="18"/>
      <c r="W81" s="18"/>
      <c r="X81" s="18"/>
      <c r="Y81" s="28" t="n">
        <v>1</v>
      </c>
      <c r="Z81" s="18"/>
      <c r="AA81" s="18"/>
      <c r="AB81" s="18"/>
      <c r="AC81" s="28" t="n">
        <v>1</v>
      </c>
      <c r="AD81" s="18"/>
      <c r="AE81" s="22" t="n">
        <f aca="false">SUM(S81:AD81)</f>
        <v>3</v>
      </c>
      <c r="AF81" s="22"/>
      <c r="AG81" s="22"/>
      <c r="AH81" s="30" t="s">
        <v>49</v>
      </c>
      <c r="AI81" s="22"/>
      <c r="AJ81" s="22"/>
      <c r="AK81" s="22"/>
      <c r="AL81" s="19" t="s">
        <v>50</v>
      </c>
      <c r="AM81" s="22"/>
      <c r="AN81" s="22"/>
      <c r="AO81" s="22"/>
      <c r="AP81" s="19" t="s">
        <v>50</v>
      </c>
      <c r="AQ81" s="22"/>
      <c r="AR81" s="19" t="s">
        <v>50</v>
      </c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22" t="n">
        <f aca="false">SUM(AS81:BD81)</f>
        <v>0</v>
      </c>
      <c r="BF81" s="23"/>
      <c r="BG81" s="24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25" t="n">
        <v>2</v>
      </c>
      <c r="BT81" s="22" t="n">
        <f aca="false">SUM(BH81:BS81)</f>
        <v>2</v>
      </c>
      <c r="BU81" s="26" t="n">
        <v>46056.7284722222</v>
      </c>
      <c r="BV81" s="17"/>
      <c r="BW81" s="17" t="s">
        <v>44</v>
      </c>
      <c r="BX81" s="23" t="n">
        <f aca="false">IFERROR(R81/AE81,0)</f>
        <v>1371.19</v>
      </c>
      <c r="BY81" s="23" t="n">
        <f aca="false">IFERROR(R81/12,0)</f>
        <v>342.7975</v>
      </c>
      <c r="BZ81" s="18" t="n">
        <v>117.5</v>
      </c>
      <c r="CA81" s="22" t="str">
        <f aca="false">IF(AE81=0,"PROSPECT",IF(AE81=1,"NOVO",IF(AE81&lt;=3,"EM DESENV.",IF(AE81&lt;=6,"RECORRENTE","FIDELIZADO"))))</f>
        <v>EM DESENV.</v>
      </c>
      <c r="CB81" s="22" t="n">
        <f aca="false">IF((P81+Q81)&gt;0,1,0)+IF((BR81+BS81)&gt;0,1,0)+IF(BE81&gt;0,1,0)</f>
        <v>2</v>
      </c>
    </row>
    <row r="82" customFormat="false" ht="15" hidden="false" customHeight="true" outlineLevel="0" collapsed="false">
      <c r="A82" s="16" t="s">
        <v>294</v>
      </c>
      <c r="B82" s="17" t="s">
        <v>295</v>
      </c>
      <c r="C82" s="18" t="s">
        <v>83</v>
      </c>
      <c r="D82" s="17" t="s">
        <v>84</v>
      </c>
      <c r="E82" s="30" t="s">
        <v>279</v>
      </c>
      <c r="F82" s="20"/>
      <c r="G82" s="27" t="n">
        <v>3303.7</v>
      </c>
      <c r="H82" s="27" t="n">
        <v>657.21</v>
      </c>
      <c r="I82" s="20"/>
      <c r="J82" s="20"/>
      <c r="K82" s="20"/>
      <c r="L82" s="20"/>
      <c r="M82" s="20"/>
      <c r="N82" s="20"/>
      <c r="O82" s="20"/>
      <c r="P82" s="27" t="n">
        <v>764.81</v>
      </c>
      <c r="Q82" s="20"/>
      <c r="R82" s="21" t="n">
        <f aca="false">SUM(F82:Q82)</f>
        <v>4725.72</v>
      </c>
      <c r="S82" s="18"/>
      <c r="T82" s="28" t="n">
        <v>1</v>
      </c>
      <c r="U82" s="28" t="n">
        <v>1</v>
      </c>
      <c r="V82" s="18"/>
      <c r="W82" s="18"/>
      <c r="X82" s="18"/>
      <c r="Y82" s="18"/>
      <c r="Z82" s="18"/>
      <c r="AA82" s="18"/>
      <c r="AB82" s="18"/>
      <c r="AC82" s="28" t="n">
        <v>1</v>
      </c>
      <c r="AD82" s="18"/>
      <c r="AE82" s="22" t="n">
        <f aca="false">SUM(S82:AD82)</f>
        <v>3</v>
      </c>
      <c r="AF82" s="22"/>
      <c r="AG82" s="30" t="s">
        <v>49</v>
      </c>
      <c r="AH82" s="29" t="s">
        <v>48</v>
      </c>
      <c r="AI82" s="22"/>
      <c r="AJ82" s="22"/>
      <c r="AK82" s="22"/>
      <c r="AL82" s="22"/>
      <c r="AM82" s="22"/>
      <c r="AN82" s="22"/>
      <c r="AO82" s="22"/>
      <c r="AP82" s="30" t="s">
        <v>49</v>
      </c>
      <c r="AQ82" s="22"/>
      <c r="AR82" s="30" t="s">
        <v>49</v>
      </c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25" t="n">
        <v>1</v>
      </c>
      <c r="BD82" s="18"/>
      <c r="BE82" s="22" t="n">
        <f aca="false">SUM(AS82:BD82)</f>
        <v>1</v>
      </c>
      <c r="BF82" s="23" t="n">
        <v>764.81</v>
      </c>
      <c r="BG82" s="19" t="s">
        <v>55</v>
      </c>
      <c r="BH82" s="18"/>
      <c r="BI82" s="18"/>
      <c r="BJ82" s="18"/>
      <c r="BK82" s="18"/>
      <c r="BL82" s="25" t="n">
        <v>1</v>
      </c>
      <c r="BM82" s="18"/>
      <c r="BN82" s="25" t="n">
        <v>1</v>
      </c>
      <c r="BO82" s="18"/>
      <c r="BP82" s="18"/>
      <c r="BQ82" s="18"/>
      <c r="BR82" s="25" t="n">
        <v>2</v>
      </c>
      <c r="BS82" s="18"/>
      <c r="BT82" s="22" t="n">
        <f aca="false">SUM(BH82:BS82)</f>
        <v>4</v>
      </c>
      <c r="BU82" s="26" t="n">
        <v>46037.66125</v>
      </c>
      <c r="BV82" s="17"/>
      <c r="BW82" s="17" t="s">
        <v>44</v>
      </c>
      <c r="BX82" s="23" t="n">
        <f aca="false">IFERROR(R82/AE82,0)</f>
        <v>1575.24</v>
      </c>
      <c r="BY82" s="23" t="n">
        <f aca="false">IFERROR(R82/12,0)</f>
        <v>393.81</v>
      </c>
      <c r="BZ82" s="18" t="n">
        <v>139</v>
      </c>
      <c r="CA82" s="22" t="str">
        <f aca="false">IF(AE82=0,"PROSPECT",IF(AE82=1,"NOVO",IF(AE82&lt;=3,"EM DESENV.",IF(AE82&lt;=6,"RECORRENTE","FIDELIZADO"))))</f>
        <v>EM DESENV.</v>
      </c>
      <c r="CB82" s="22" t="n">
        <f aca="false">IF((P82+Q82)&gt;0,1,0)+IF((BR82+BS82)&gt;0,1,0)+IF(BE82&gt;0,1,0)</f>
        <v>3</v>
      </c>
    </row>
    <row r="83" customFormat="false" ht="15" hidden="false" customHeight="true" outlineLevel="0" collapsed="false">
      <c r="A83" s="16" t="s">
        <v>296</v>
      </c>
      <c r="B83" s="17" t="s">
        <v>297</v>
      </c>
      <c r="C83" s="18" t="s">
        <v>155</v>
      </c>
      <c r="D83" s="17" t="s">
        <v>298</v>
      </c>
      <c r="E83" s="30" t="s">
        <v>279</v>
      </c>
      <c r="F83" s="20"/>
      <c r="G83" s="20"/>
      <c r="H83" s="20"/>
      <c r="I83" s="20"/>
      <c r="J83" s="20"/>
      <c r="K83" s="20"/>
      <c r="L83" s="20"/>
      <c r="M83" s="20"/>
      <c r="N83" s="27" t="n">
        <v>2220.76</v>
      </c>
      <c r="O83" s="27" t="n">
        <v>1993.09</v>
      </c>
      <c r="P83" s="27" t="n">
        <v>1508.54</v>
      </c>
      <c r="Q83" s="20"/>
      <c r="R83" s="21" t="n">
        <f aca="false">SUM(F83:Q83)</f>
        <v>5722.39</v>
      </c>
      <c r="S83" s="18"/>
      <c r="T83" s="18"/>
      <c r="U83" s="18"/>
      <c r="V83" s="18"/>
      <c r="W83" s="18"/>
      <c r="X83" s="18"/>
      <c r="Y83" s="18"/>
      <c r="Z83" s="18"/>
      <c r="AA83" s="28" t="n">
        <v>1</v>
      </c>
      <c r="AB83" s="28" t="n">
        <v>1</v>
      </c>
      <c r="AC83" s="28" t="n">
        <v>1</v>
      </c>
      <c r="AD83" s="18"/>
      <c r="AE83" s="22" t="n">
        <f aca="false">SUM(S83:AD83)</f>
        <v>3</v>
      </c>
      <c r="AF83" s="22"/>
      <c r="AG83" s="22"/>
      <c r="AH83" s="22"/>
      <c r="AI83" s="22"/>
      <c r="AJ83" s="22"/>
      <c r="AK83" s="22"/>
      <c r="AL83" s="22"/>
      <c r="AM83" s="22"/>
      <c r="AN83" s="19" t="s">
        <v>50</v>
      </c>
      <c r="AO83" s="19" t="s">
        <v>50</v>
      </c>
      <c r="AP83" s="19" t="s">
        <v>50</v>
      </c>
      <c r="AQ83" s="22"/>
      <c r="AR83" s="19" t="s">
        <v>50</v>
      </c>
      <c r="AS83" s="18"/>
      <c r="AT83" s="18"/>
      <c r="AU83" s="18"/>
      <c r="AV83" s="18"/>
      <c r="AW83" s="18"/>
      <c r="AX83" s="18"/>
      <c r="AY83" s="18"/>
      <c r="AZ83" s="18"/>
      <c r="BA83" s="25" t="n">
        <v>18</v>
      </c>
      <c r="BB83" s="25" t="n">
        <v>26</v>
      </c>
      <c r="BC83" s="25" t="n">
        <v>23</v>
      </c>
      <c r="BD83" s="25" t="n">
        <v>6</v>
      </c>
      <c r="BE83" s="22" t="n">
        <f aca="false">SUM(AS83:BD83)</f>
        <v>73</v>
      </c>
      <c r="BF83" s="23" t="n">
        <v>5722.39</v>
      </c>
      <c r="BG83" s="19" t="s">
        <v>55</v>
      </c>
      <c r="BH83" s="18"/>
      <c r="BI83" s="18"/>
      <c r="BJ83" s="18"/>
      <c r="BK83" s="18"/>
      <c r="BL83" s="18"/>
      <c r="BM83" s="18"/>
      <c r="BN83" s="18"/>
      <c r="BO83" s="25" t="n">
        <v>2</v>
      </c>
      <c r="BP83" s="25" t="n">
        <v>1</v>
      </c>
      <c r="BQ83" s="18"/>
      <c r="BR83" s="25" t="n">
        <v>5</v>
      </c>
      <c r="BS83" s="25" t="n">
        <v>1</v>
      </c>
      <c r="BT83" s="22" t="n">
        <f aca="false">SUM(BH83:BS83)</f>
        <v>9</v>
      </c>
      <c r="BU83" s="26" t="n">
        <v>46056.3422222222</v>
      </c>
      <c r="BV83" s="17" t="s">
        <v>149</v>
      </c>
      <c r="BW83" s="17" t="s">
        <v>44</v>
      </c>
      <c r="BX83" s="23" t="n">
        <f aca="false">IFERROR(R83/AE83,0)</f>
        <v>1907.46333333333</v>
      </c>
      <c r="BY83" s="23" t="n">
        <f aca="false">IFERROR(R83/12,0)</f>
        <v>476.865833333333</v>
      </c>
      <c r="BZ83" s="18" t="n">
        <v>25</v>
      </c>
      <c r="CA83" s="22" t="str">
        <f aca="false">IF(AE83=0,"PROSPECT",IF(AE83=1,"NOVO",IF(AE83&lt;=3,"EM DESENV.",IF(AE83&lt;=6,"RECORRENTE","FIDELIZADO"))))</f>
        <v>EM DESENV.</v>
      </c>
      <c r="CB83" s="22" t="n">
        <f aca="false">IF((P83+Q83)&gt;0,1,0)+IF((BR83+BS83)&gt;0,1,0)+IF(BE83&gt;0,1,0)</f>
        <v>3</v>
      </c>
    </row>
    <row r="84" customFormat="false" ht="15" hidden="false" customHeight="true" outlineLevel="0" collapsed="false">
      <c r="A84" s="16" t="s">
        <v>299</v>
      </c>
      <c r="B84" s="17" t="s">
        <v>300</v>
      </c>
      <c r="C84" s="18" t="s">
        <v>53</v>
      </c>
      <c r="D84" s="17" t="s">
        <v>301</v>
      </c>
      <c r="E84" s="30" t="s">
        <v>279</v>
      </c>
      <c r="F84" s="20"/>
      <c r="G84" s="20"/>
      <c r="H84" s="20"/>
      <c r="I84" s="20"/>
      <c r="J84" s="20"/>
      <c r="K84" s="27" t="n">
        <v>1036.87</v>
      </c>
      <c r="L84" s="20"/>
      <c r="M84" s="20"/>
      <c r="N84" s="20"/>
      <c r="O84" s="27" t="n">
        <v>685.71</v>
      </c>
      <c r="P84" s="20"/>
      <c r="Q84" s="20"/>
      <c r="R84" s="21" t="n">
        <f aca="false">SUM(F84:Q84)</f>
        <v>1722.58</v>
      </c>
      <c r="S84" s="18"/>
      <c r="T84" s="18"/>
      <c r="U84" s="18"/>
      <c r="V84" s="18"/>
      <c r="W84" s="18"/>
      <c r="X84" s="28" t="n">
        <v>1</v>
      </c>
      <c r="Y84" s="18"/>
      <c r="Z84" s="18"/>
      <c r="AA84" s="18"/>
      <c r="AB84" s="28" t="n">
        <v>1</v>
      </c>
      <c r="AC84" s="18"/>
      <c r="AD84" s="18"/>
      <c r="AE84" s="22" t="n">
        <f aca="false">SUM(S84:AD84)</f>
        <v>2</v>
      </c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18"/>
      <c r="AT84" s="18"/>
      <c r="AU84" s="18"/>
      <c r="AV84" s="25" t="n">
        <v>1</v>
      </c>
      <c r="AW84" s="18"/>
      <c r="AX84" s="18"/>
      <c r="AY84" s="18"/>
      <c r="AZ84" s="18"/>
      <c r="BA84" s="18"/>
      <c r="BB84" s="25" t="n">
        <v>2</v>
      </c>
      <c r="BC84" s="18"/>
      <c r="BD84" s="18"/>
      <c r="BE84" s="22" t="n">
        <f aca="false">SUM(AS84:BD84)</f>
        <v>3</v>
      </c>
      <c r="BF84" s="23" t="n">
        <v>685.71</v>
      </c>
      <c r="BG84" s="19" t="s">
        <v>55</v>
      </c>
      <c r="BH84" s="25" t="n">
        <v>2</v>
      </c>
      <c r="BI84" s="18"/>
      <c r="BJ84" s="25" t="n">
        <v>4</v>
      </c>
      <c r="BK84" s="25" t="n">
        <v>1</v>
      </c>
      <c r="BL84" s="25" t="n">
        <v>3</v>
      </c>
      <c r="BM84" s="25" t="n">
        <v>1</v>
      </c>
      <c r="BN84" s="25" t="n">
        <v>1</v>
      </c>
      <c r="BO84" s="25" t="n">
        <v>1</v>
      </c>
      <c r="BP84" s="18"/>
      <c r="BQ84" s="25" t="n">
        <v>2</v>
      </c>
      <c r="BR84" s="25" t="n">
        <v>4</v>
      </c>
      <c r="BS84" s="25" t="n">
        <v>3</v>
      </c>
      <c r="BT84" s="22" t="n">
        <f aca="false">SUM(BH84:BS84)</f>
        <v>22</v>
      </c>
      <c r="BU84" s="26" t="n">
        <v>46055.6063888889</v>
      </c>
      <c r="BV84" s="17"/>
      <c r="BW84" s="17" t="s">
        <v>44</v>
      </c>
      <c r="BX84" s="23" t="n">
        <f aca="false">IFERROR(R84/AE84,0)</f>
        <v>861.29</v>
      </c>
      <c r="BY84" s="23" t="n">
        <f aca="false">IFERROR(R84/12,0)</f>
        <v>143.548333333333</v>
      </c>
      <c r="BZ84" s="18" t="n">
        <v>0</v>
      </c>
      <c r="CA84" s="22" t="str">
        <f aca="false">IF(AE84=0,"PROSPECT",IF(AE84=1,"NOVO",IF(AE84&lt;=3,"EM DESENV.",IF(AE84&lt;=6,"RECORRENTE","FIDELIZADO"))))</f>
        <v>EM DESENV.</v>
      </c>
      <c r="CB84" s="22" t="n">
        <f aca="false">IF((P84+Q84)&gt;0,1,0)+IF((BR84+BS84)&gt;0,1,0)+IF(BE84&gt;0,1,0)</f>
        <v>2</v>
      </c>
    </row>
    <row r="85" customFormat="false" ht="15" hidden="false" customHeight="true" outlineLevel="0" collapsed="false">
      <c r="A85" s="16" t="s">
        <v>302</v>
      </c>
      <c r="B85" s="17" t="s">
        <v>303</v>
      </c>
      <c r="C85" s="18" t="s">
        <v>87</v>
      </c>
      <c r="D85" s="17" t="s">
        <v>304</v>
      </c>
      <c r="E85" s="30" t="s">
        <v>279</v>
      </c>
      <c r="F85" s="20"/>
      <c r="G85" s="20"/>
      <c r="H85" s="20"/>
      <c r="I85" s="20"/>
      <c r="J85" s="20"/>
      <c r="K85" s="20"/>
      <c r="L85" s="20"/>
      <c r="M85" s="20"/>
      <c r="N85" s="20"/>
      <c r="O85" s="27" t="n">
        <v>2531.12</v>
      </c>
      <c r="P85" s="20"/>
      <c r="Q85" s="20"/>
      <c r="R85" s="21" t="n">
        <f aca="false">SUM(F85:Q85)</f>
        <v>2531.12</v>
      </c>
      <c r="S85" s="18"/>
      <c r="T85" s="18"/>
      <c r="U85" s="18"/>
      <c r="V85" s="18"/>
      <c r="W85" s="18"/>
      <c r="X85" s="18"/>
      <c r="Y85" s="18"/>
      <c r="Z85" s="18"/>
      <c r="AA85" s="18"/>
      <c r="AB85" s="28" t="n">
        <v>1</v>
      </c>
      <c r="AC85" s="18"/>
      <c r="AD85" s="18"/>
      <c r="AE85" s="22" t="n">
        <f aca="false">SUM(S85:AD85)</f>
        <v>1</v>
      </c>
      <c r="AF85" s="22"/>
      <c r="AG85" s="22"/>
      <c r="AH85" s="22"/>
      <c r="AI85" s="22"/>
      <c r="AJ85" s="22"/>
      <c r="AK85" s="22"/>
      <c r="AL85" s="22"/>
      <c r="AM85" s="22"/>
      <c r="AN85" s="22"/>
      <c r="AO85" s="19" t="s">
        <v>50</v>
      </c>
      <c r="AP85" s="22"/>
      <c r="AQ85" s="22"/>
      <c r="AR85" s="19" t="s">
        <v>50</v>
      </c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22" t="n">
        <f aca="false">SUM(AS85:BD85)</f>
        <v>0</v>
      </c>
      <c r="BF85" s="23"/>
      <c r="BG85" s="24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25" t="n">
        <v>2</v>
      </c>
      <c r="BS85" s="18"/>
      <c r="BT85" s="22" t="n">
        <f aca="false">SUM(BH85:BS85)</f>
        <v>2</v>
      </c>
      <c r="BU85" s="26" t="n">
        <v>46050.4479166667</v>
      </c>
      <c r="BV85" s="17"/>
      <c r="BW85" s="17" t="s">
        <v>44</v>
      </c>
      <c r="BX85" s="23" t="n">
        <f aca="false">IFERROR(R85/AE85,0)</f>
        <v>2531.12</v>
      </c>
      <c r="BY85" s="23" t="n">
        <f aca="false">IFERROR(R85/12,0)</f>
        <v>210.926666666667</v>
      </c>
      <c r="BZ85" s="18" t="n">
        <v>0</v>
      </c>
      <c r="CA85" s="22" t="str">
        <f aca="false">IF(AE85=0,"PROSPECT",IF(AE85=1,"NOVO",IF(AE85&lt;=3,"EM DESENV.",IF(AE85&lt;=6,"RECORRENTE","FIDELIZADO"))))</f>
        <v>NOVO</v>
      </c>
      <c r="CB85" s="22" t="n">
        <f aca="false">IF((P85+Q85)&gt;0,1,0)+IF((BR85+BS85)&gt;0,1,0)+IF(BE85&gt;0,1,0)</f>
        <v>1</v>
      </c>
    </row>
    <row r="86" customFormat="false" ht="15" hidden="false" customHeight="true" outlineLevel="0" collapsed="false">
      <c r="A86" s="16" t="s">
        <v>305</v>
      </c>
      <c r="B86" s="17" t="s">
        <v>306</v>
      </c>
      <c r="C86" s="18" t="s">
        <v>61</v>
      </c>
      <c r="D86" s="17" t="s">
        <v>123</v>
      </c>
      <c r="E86" s="30" t="s">
        <v>279</v>
      </c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7" t="n">
        <v>697.77</v>
      </c>
      <c r="Q86" s="20"/>
      <c r="R86" s="21" t="n">
        <f aca="false">SUM(F86:Q86)</f>
        <v>697.77</v>
      </c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28" t="n">
        <v>1</v>
      </c>
      <c r="AD86" s="18"/>
      <c r="AE86" s="22" t="n">
        <f aca="false">SUM(S86:AD86)</f>
        <v>1</v>
      </c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9" t="s">
        <v>48</v>
      </c>
      <c r="AQ86" s="22"/>
      <c r="AR86" s="22"/>
      <c r="AS86" s="18"/>
      <c r="AT86" s="18"/>
      <c r="AU86" s="18"/>
      <c r="AV86" s="18"/>
      <c r="AW86" s="18"/>
      <c r="AX86" s="18"/>
      <c r="AY86" s="18"/>
      <c r="AZ86" s="18"/>
      <c r="BA86" s="18"/>
      <c r="BB86" s="25" t="n">
        <v>12</v>
      </c>
      <c r="BC86" s="25" t="n">
        <v>14</v>
      </c>
      <c r="BD86" s="25" t="n">
        <v>1</v>
      </c>
      <c r="BE86" s="22" t="n">
        <f aca="false">SUM(AS86:BD86)</f>
        <v>27</v>
      </c>
      <c r="BF86" s="23" t="n">
        <v>697.77</v>
      </c>
      <c r="BG86" s="19" t="s">
        <v>55</v>
      </c>
      <c r="BH86" s="18"/>
      <c r="BI86" s="18"/>
      <c r="BJ86" s="18"/>
      <c r="BK86" s="18"/>
      <c r="BL86" s="18"/>
      <c r="BM86" s="18"/>
      <c r="BN86" s="18"/>
      <c r="BO86" s="18"/>
      <c r="BP86" s="18"/>
      <c r="BQ86" s="25" t="n">
        <v>1</v>
      </c>
      <c r="BR86" s="25" t="n">
        <v>3</v>
      </c>
      <c r="BS86" s="18"/>
      <c r="BT86" s="22" t="n">
        <f aca="false">SUM(BH86:BS86)</f>
        <v>4</v>
      </c>
      <c r="BU86" s="26" t="n">
        <v>46052.6751736111</v>
      </c>
      <c r="BV86" s="17"/>
      <c r="BW86" s="17" t="s">
        <v>44</v>
      </c>
      <c r="BX86" s="23" t="n">
        <f aca="false">IFERROR(R86/AE86,0)</f>
        <v>697.77</v>
      </c>
      <c r="BY86" s="23" t="n">
        <f aca="false">IFERROR(R86/12,0)</f>
        <v>58.1475</v>
      </c>
      <c r="BZ86" s="18" t="n">
        <v>0</v>
      </c>
      <c r="CA86" s="22" t="str">
        <f aca="false">IF(AE86=0,"PROSPECT",IF(AE86=1,"NOVO",IF(AE86&lt;=3,"EM DESENV.",IF(AE86&lt;=6,"RECORRENTE","FIDELIZADO"))))</f>
        <v>NOVO</v>
      </c>
      <c r="CB86" s="22" t="n">
        <f aca="false">IF((P86+Q86)&gt;0,1,0)+IF((BR86+BS86)&gt;0,1,0)+IF(BE86&gt;0,1,0)</f>
        <v>3</v>
      </c>
    </row>
    <row r="87" customFormat="false" ht="15" hidden="false" customHeight="true" outlineLevel="0" collapsed="false">
      <c r="A87" s="16" t="s">
        <v>307</v>
      </c>
      <c r="B87" s="17" t="s">
        <v>308</v>
      </c>
      <c r="C87" s="18" t="s">
        <v>309</v>
      </c>
      <c r="D87" s="17" t="s">
        <v>310</v>
      </c>
      <c r="E87" s="30" t="s">
        <v>279</v>
      </c>
      <c r="F87" s="20"/>
      <c r="G87" s="20"/>
      <c r="H87" s="27" t="n">
        <v>951.12</v>
      </c>
      <c r="I87" s="27" t="n">
        <v>815.05</v>
      </c>
      <c r="J87" s="20"/>
      <c r="K87" s="20"/>
      <c r="L87" s="20"/>
      <c r="M87" s="27" t="n">
        <v>1504.83</v>
      </c>
      <c r="N87" s="20"/>
      <c r="O87" s="20"/>
      <c r="P87" s="27" t="n">
        <v>934.57</v>
      </c>
      <c r="Q87" s="20"/>
      <c r="R87" s="21" t="n">
        <f aca="false">SUM(F87:Q87)</f>
        <v>4205.57</v>
      </c>
      <c r="S87" s="18"/>
      <c r="T87" s="18"/>
      <c r="U87" s="28" t="n">
        <v>1</v>
      </c>
      <c r="V87" s="28" t="n">
        <v>1</v>
      </c>
      <c r="W87" s="18"/>
      <c r="X87" s="18"/>
      <c r="Y87" s="18"/>
      <c r="Z87" s="28" t="n">
        <v>1</v>
      </c>
      <c r="AA87" s="18"/>
      <c r="AB87" s="18"/>
      <c r="AC87" s="28" t="n">
        <v>1</v>
      </c>
      <c r="AD87" s="18"/>
      <c r="AE87" s="22" t="n">
        <f aca="false">SUM(S87:AD87)</f>
        <v>4</v>
      </c>
      <c r="AF87" s="22"/>
      <c r="AG87" s="22"/>
      <c r="AH87" s="30" t="s">
        <v>49</v>
      </c>
      <c r="AI87" s="29" t="s">
        <v>48</v>
      </c>
      <c r="AJ87" s="22"/>
      <c r="AK87" s="22"/>
      <c r="AL87" s="22"/>
      <c r="AM87" s="30" t="s">
        <v>49</v>
      </c>
      <c r="AN87" s="22"/>
      <c r="AO87" s="22"/>
      <c r="AP87" s="30" t="s">
        <v>49</v>
      </c>
      <c r="AQ87" s="22"/>
      <c r="AR87" s="19" t="s">
        <v>50</v>
      </c>
      <c r="AS87" s="18"/>
      <c r="AT87" s="18"/>
      <c r="AU87" s="18"/>
      <c r="AV87" s="25" t="n">
        <v>6</v>
      </c>
      <c r="AW87" s="25" t="n">
        <v>5</v>
      </c>
      <c r="AX87" s="18"/>
      <c r="AY87" s="25" t="n">
        <v>4</v>
      </c>
      <c r="AZ87" s="18"/>
      <c r="BA87" s="25" t="n">
        <v>1</v>
      </c>
      <c r="BB87" s="25" t="n">
        <v>3</v>
      </c>
      <c r="BC87" s="18"/>
      <c r="BD87" s="18"/>
      <c r="BE87" s="22" t="n">
        <f aca="false">SUM(AS87:BD87)</f>
        <v>19</v>
      </c>
      <c r="BF87" s="23" t="n">
        <v>2700.74</v>
      </c>
      <c r="BG87" s="19" t="s">
        <v>55</v>
      </c>
      <c r="BH87" s="18"/>
      <c r="BI87" s="25" t="n">
        <v>1</v>
      </c>
      <c r="BJ87" s="25" t="n">
        <v>3</v>
      </c>
      <c r="BK87" s="25" t="n">
        <v>1</v>
      </c>
      <c r="BL87" s="25" t="n">
        <v>4</v>
      </c>
      <c r="BM87" s="18"/>
      <c r="BN87" s="18"/>
      <c r="BO87" s="25" t="n">
        <v>1</v>
      </c>
      <c r="BP87" s="25" t="n">
        <v>2</v>
      </c>
      <c r="BQ87" s="18"/>
      <c r="BR87" s="25" t="n">
        <v>1</v>
      </c>
      <c r="BS87" s="25" t="n">
        <v>3</v>
      </c>
      <c r="BT87" s="22" t="n">
        <f aca="false">SUM(BH87:BS87)</f>
        <v>16</v>
      </c>
      <c r="BU87" s="26" t="n">
        <v>46059.5958333333</v>
      </c>
      <c r="BV87" s="17"/>
      <c r="BW87" s="17" t="s">
        <v>44</v>
      </c>
      <c r="BX87" s="23" t="n">
        <f aca="false">IFERROR(R87/AE87,0)</f>
        <v>1051.3925</v>
      </c>
      <c r="BY87" s="23" t="n">
        <f aca="false">IFERROR(R87/12,0)</f>
        <v>350.464166666667</v>
      </c>
      <c r="BZ87" s="18" t="n">
        <v>81.3333</v>
      </c>
      <c r="CA87" s="22" t="str">
        <f aca="false">IF(AE87=0,"PROSPECT",IF(AE87=1,"NOVO",IF(AE87&lt;=3,"EM DESENV.",IF(AE87&lt;=6,"RECORRENTE","FIDELIZADO"))))</f>
        <v>RECORRENTE</v>
      </c>
      <c r="CB87" s="22" t="n">
        <f aca="false">IF((P87+Q87)&gt;0,1,0)+IF((BR87+BS87)&gt;0,1,0)+IF(BE87&gt;0,1,0)</f>
        <v>3</v>
      </c>
    </row>
    <row r="88" customFormat="false" ht="15" hidden="false" customHeight="true" outlineLevel="0" collapsed="false">
      <c r="A88" s="16" t="s">
        <v>311</v>
      </c>
      <c r="B88" s="17" t="s">
        <v>312</v>
      </c>
      <c r="C88" s="18" t="s">
        <v>41</v>
      </c>
      <c r="D88" s="17" t="s">
        <v>313</v>
      </c>
      <c r="E88" s="30" t="s">
        <v>279</v>
      </c>
      <c r="F88" s="20"/>
      <c r="G88" s="20"/>
      <c r="H88" s="20"/>
      <c r="I88" s="20"/>
      <c r="J88" s="20"/>
      <c r="K88" s="20"/>
      <c r="L88" s="20"/>
      <c r="M88" s="27" t="n">
        <v>80302.28</v>
      </c>
      <c r="N88" s="20"/>
      <c r="O88" s="27" t="n">
        <v>58302.12</v>
      </c>
      <c r="P88" s="20"/>
      <c r="Q88" s="20"/>
      <c r="R88" s="21" t="n">
        <f aca="false">SUM(F88:Q88)</f>
        <v>138604.4</v>
      </c>
      <c r="S88" s="18"/>
      <c r="T88" s="18"/>
      <c r="U88" s="18"/>
      <c r="V88" s="18"/>
      <c r="W88" s="18"/>
      <c r="X88" s="18"/>
      <c r="Y88" s="18"/>
      <c r="Z88" s="28" t="n">
        <v>1</v>
      </c>
      <c r="AA88" s="18"/>
      <c r="AB88" s="28" t="n">
        <v>1</v>
      </c>
      <c r="AC88" s="18"/>
      <c r="AD88" s="18"/>
      <c r="AE88" s="22" t="n">
        <f aca="false">SUM(S88:AD88)</f>
        <v>2</v>
      </c>
      <c r="AF88" s="22"/>
      <c r="AG88" s="22"/>
      <c r="AH88" s="22"/>
      <c r="AI88" s="22"/>
      <c r="AJ88" s="22"/>
      <c r="AK88" s="22"/>
      <c r="AL88" s="22"/>
      <c r="AM88" s="19" t="s">
        <v>50</v>
      </c>
      <c r="AN88" s="22"/>
      <c r="AO88" s="22"/>
      <c r="AP88" s="22"/>
      <c r="AQ88" s="22"/>
      <c r="AR88" s="19" t="s">
        <v>50</v>
      </c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22" t="n">
        <f aca="false">SUM(AS88:BD88)</f>
        <v>0</v>
      </c>
      <c r="BF88" s="23"/>
      <c r="BG88" s="24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22" t="n">
        <f aca="false">SUM(BH88:BS88)</f>
        <v>0</v>
      </c>
      <c r="BU88" s="26"/>
      <c r="BV88" s="17"/>
      <c r="BW88" s="17"/>
      <c r="BX88" s="23" t="n">
        <f aca="false">IFERROR(R88/AE88,0)</f>
        <v>69302.2</v>
      </c>
      <c r="BY88" s="23" t="n">
        <f aca="false">IFERROR(R88/12,0)</f>
        <v>11550.3666666667</v>
      </c>
      <c r="BZ88" s="18" t="n">
        <v>67</v>
      </c>
      <c r="CA88" s="22" t="str">
        <f aca="false">IF(AE88=0,"PROSPECT",IF(AE88=1,"NOVO",IF(AE88&lt;=3,"EM DESENV.",IF(AE88&lt;=6,"RECORRENTE","FIDELIZADO"))))</f>
        <v>EM DESENV.</v>
      </c>
      <c r="CB88" s="22" t="n">
        <f aca="false">IF((P88+Q88)&gt;0,1,0)+IF((BR88+BS88)&gt;0,1,0)+IF(BE88&gt;0,1,0)</f>
        <v>0</v>
      </c>
    </row>
    <row r="89" customFormat="false" ht="15" hidden="false" customHeight="true" outlineLevel="0" collapsed="false">
      <c r="A89" s="16" t="s">
        <v>314</v>
      </c>
      <c r="B89" s="17" t="s">
        <v>315</v>
      </c>
      <c r="C89" s="18" t="s">
        <v>230</v>
      </c>
      <c r="D89" s="17" t="s">
        <v>316</v>
      </c>
      <c r="E89" s="30" t="s">
        <v>279</v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7" t="n">
        <v>863.41</v>
      </c>
      <c r="Q89" s="20"/>
      <c r="R89" s="21" t="n">
        <f aca="false">SUM(F89:Q89)</f>
        <v>863.41</v>
      </c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28" t="n">
        <v>1</v>
      </c>
      <c r="AD89" s="18"/>
      <c r="AE89" s="22" t="n">
        <f aca="false">SUM(S89:AD89)</f>
        <v>1</v>
      </c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30" t="s">
        <v>49</v>
      </c>
      <c r="AQ89" s="22"/>
      <c r="AR89" s="22"/>
      <c r="AS89" s="18"/>
      <c r="AT89" s="18"/>
      <c r="AU89" s="18"/>
      <c r="AV89" s="18"/>
      <c r="AW89" s="18"/>
      <c r="AX89" s="18"/>
      <c r="AY89" s="18"/>
      <c r="AZ89" s="18"/>
      <c r="BA89" s="18"/>
      <c r="BB89" s="25" t="n">
        <v>3</v>
      </c>
      <c r="BC89" s="25" t="n">
        <v>4</v>
      </c>
      <c r="BD89" s="18"/>
      <c r="BE89" s="22" t="n">
        <f aca="false">SUM(AS89:BD89)</f>
        <v>7</v>
      </c>
      <c r="BF89" s="23" t="n">
        <v>863.41</v>
      </c>
      <c r="BG89" s="19" t="s">
        <v>55</v>
      </c>
      <c r="BH89" s="18"/>
      <c r="BI89" s="18"/>
      <c r="BJ89" s="18"/>
      <c r="BK89" s="18"/>
      <c r="BL89" s="18"/>
      <c r="BM89" s="18"/>
      <c r="BN89" s="18"/>
      <c r="BO89" s="18"/>
      <c r="BP89" s="18"/>
      <c r="BQ89" s="25" t="n">
        <v>2</v>
      </c>
      <c r="BR89" s="25" t="n">
        <v>1</v>
      </c>
      <c r="BS89" s="18"/>
      <c r="BT89" s="22" t="n">
        <f aca="false">SUM(BH89:BS89)</f>
        <v>3</v>
      </c>
      <c r="BU89" s="26" t="n">
        <v>46034.5787615741</v>
      </c>
      <c r="BV89" s="17"/>
      <c r="BW89" s="17" t="s">
        <v>44</v>
      </c>
      <c r="BX89" s="23" t="n">
        <f aca="false">IFERROR(R89/AE89,0)</f>
        <v>863.41</v>
      </c>
      <c r="BY89" s="23" t="n">
        <f aca="false">IFERROR(R89/12,0)</f>
        <v>71.9508333333333</v>
      </c>
      <c r="BZ89" s="18" t="n">
        <v>0</v>
      </c>
      <c r="CA89" s="22" t="str">
        <f aca="false">IF(AE89=0,"PROSPECT",IF(AE89=1,"NOVO",IF(AE89&lt;=3,"EM DESENV.",IF(AE89&lt;=6,"RECORRENTE","FIDELIZADO"))))</f>
        <v>NOVO</v>
      </c>
      <c r="CB89" s="22" t="n">
        <f aca="false">IF((P89+Q89)&gt;0,1,0)+IF((BR89+BS89)&gt;0,1,0)+IF(BE89&gt;0,1,0)</f>
        <v>3</v>
      </c>
    </row>
    <row r="90" customFormat="false" ht="15" hidden="false" customHeight="true" outlineLevel="0" collapsed="false">
      <c r="A90" s="16" t="s">
        <v>317</v>
      </c>
      <c r="B90" s="17" t="s">
        <v>318</v>
      </c>
      <c r="C90" s="18" t="s">
        <v>61</v>
      </c>
      <c r="D90" s="17" t="s">
        <v>319</v>
      </c>
      <c r="E90" s="30" t="s">
        <v>279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7" t="n">
        <v>740.43</v>
      </c>
      <c r="Q90" s="20"/>
      <c r="R90" s="21" t="n">
        <f aca="false">SUM(F90:Q90)</f>
        <v>740.43</v>
      </c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28" t="n">
        <v>1</v>
      </c>
      <c r="AD90" s="18"/>
      <c r="AE90" s="22" t="n">
        <f aca="false">SUM(S90:AD90)</f>
        <v>1</v>
      </c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30" t="s">
        <v>49</v>
      </c>
      <c r="AQ90" s="22"/>
      <c r="AR90" s="22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22" t="n">
        <f aca="false">SUM(AS90:BD90)</f>
        <v>0</v>
      </c>
      <c r="BF90" s="23"/>
      <c r="BG90" s="24"/>
      <c r="BH90" s="18"/>
      <c r="BI90" s="18"/>
      <c r="BJ90" s="18"/>
      <c r="BK90" s="18"/>
      <c r="BL90" s="18"/>
      <c r="BM90" s="18"/>
      <c r="BN90" s="18"/>
      <c r="BO90" s="18"/>
      <c r="BP90" s="18"/>
      <c r="BQ90" s="25" t="n">
        <v>1</v>
      </c>
      <c r="BR90" s="25" t="n">
        <v>1</v>
      </c>
      <c r="BS90" s="25" t="n">
        <v>2</v>
      </c>
      <c r="BT90" s="22" t="n">
        <f aca="false">SUM(BH90:BS90)</f>
        <v>4</v>
      </c>
      <c r="BU90" s="26" t="n">
        <v>46056.7277777778</v>
      </c>
      <c r="BV90" s="17"/>
      <c r="BW90" s="17" t="s">
        <v>44</v>
      </c>
      <c r="BX90" s="23" t="n">
        <f aca="false">IFERROR(R90/AE90,0)</f>
        <v>740.43</v>
      </c>
      <c r="BY90" s="23" t="n">
        <f aca="false">IFERROR(R90/12,0)</f>
        <v>61.7025</v>
      </c>
      <c r="BZ90" s="18" t="n">
        <v>0</v>
      </c>
      <c r="CA90" s="22" t="str">
        <f aca="false">IF(AE90=0,"PROSPECT",IF(AE90=1,"NOVO",IF(AE90&lt;=3,"EM DESENV.",IF(AE90&lt;=6,"RECORRENTE","FIDELIZADO"))))</f>
        <v>NOVO</v>
      </c>
      <c r="CB90" s="22" t="n">
        <f aca="false">IF((P90+Q90)&gt;0,1,0)+IF((BR90+BS90)&gt;0,1,0)+IF(BE90&gt;0,1,0)</f>
        <v>2</v>
      </c>
    </row>
    <row r="91" customFormat="false" ht="15" hidden="false" customHeight="true" outlineLevel="0" collapsed="false">
      <c r="A91" s="16" t="s">
        <v>320</v>
      </c>
      <c r="B91" s="17" t="s">
        <v>321</v>
      </c>
      <c r="C91" s="18" t="s">
        <v>41</v>
      </c>
      <c r="D91" s="17" t="s">
        <v>42</v>
      </c>
      <c r="E91" s="30" t="s">
        <v>279</v>
      </c>
      <c r="F91" s="20"/>
      <c r="G91" s="20"/>
      <c r="H91" s="20"/>
      <c r="I91" s="20"/>
      <c r="J91" s="20"/>
      <c r="K91" s="20"/>
      <c r="L91" s="20"/>
      <c r="M91" s="20"/>
      <c r="N91" s="20"/>
      <c r="O91" s="27" t="n">
        <v>978.46</v>
      </c>
      <c r="P91" s="20"/>
      <c r="Q91" s="20"/>
      <c r="R91" s="21" t="n">
        <f aca="false">SUM(F91:Q91)</f>
        <v>978.46</v>
      </c>
      <c r="S91" s="18"/>
      <c r="T91" s="18"/>
      <c r="U91" s="18"/>
      <c r="V91" s="18"/>
      <c r="W91" s="18"/>
      <c r="X91" s="18"/>
      <c r="Y91" s="18"/>
      <c r="Z91" s="18"/>
      <c r="AA91" s="18"/>
      <c r="AB91" s="28" t="n">
        <v>1</v>
      </c>
      <c r="AC91" s="18"/>
      <c r="AD91" s="18"/>
      <c r="AE91" s="22" t="n">
        <f aca="false">SUM(S91:AD91)</f>
        <v>1</v>
      </c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22" t="n">
        <f aca="false">SUM(AS91:BD91)</f>
        <v>0</v>
      </c>
      <c r="BF91" s="23"/>
      <c r="BG91" s="24"/>
      <c r="BH91" s="18"/>
      <c r="BI91" s="18"/>
      <c r="BJ91" s="18"/>
      <c r="BK91" s="25" t="n">
        <v>1</v>
      </c>
      <c r="BL91" s="18"/>
      <c r="BM91" s="18"/>
      <c r="BN91" s="18"/>
      <c r="BO91" s="18"/>
      <c r="BP91" s="18"/>
      <c r="BQ91" s="25" t="n">
        <v>1</v>
      </c>
      <c r="BR91" s="18"/>
      <c r="BS91" s="25" t="n">
        <v>2</v>
      </c>
      <c r="BT91" s="22" t="n">
        <f aca="false">SUM(BH91:BS91)</f>
        <v>4</v>
      </c>
      <c r="BU91" s="26" t="n">
        <v>46056.4027777778</v>
      </c>
      <c r="BV91" s="17"/>
      <c r="BW91" s="17" t="s">
        <v>117</v>
      </c>
      <c r="BX91" s="23" t="n">
        <f aca="false">IFERROR(R91/AE91,0)</f>
        <v>978.46</v>
      </c>
      <c r="BY91" s="23" t="n">
        <f aca="false">IFERROR(R91/12,0)</f>
        <v>81.5383333333333</v>
      </c>
      <c r="BZ91" s="18" t="n">
        <v>0</v>
      </c>
      <c r="CA91" s="22" t="str">
        <f aca="false">IF(AE91=0,"PROSPECT",IF(AE91=1,"NOVO",IF(AE91&lt;=3,"EM DESENV.",IF(AE91&lt;=6,"RECORRENTE","FIDELIZADO"))))</f>
        <v>NOVO</v>
      </c>
      <c r="CB91" s="22" t="n">
        <f aca="false">IF((P91+Q91)&gt;0,1,0)+IF((BR91+BS91)&gt;0,1,0)+IF(BE91&gt;0,1,0)</f>
        <v>1</v>
      </c>
    </row>
    <row r="92" customFormat="false" ht="15" hidden="false" customHeight="true" outlineLevel="0" collapsed="false">
      <c r="A92" s="16" t="s">
        <v>322</v>
      </c>
      <c r="B92" s="17" t="s">
        <v>323</v>
      </c>
      <c r="C92" s="18" t="s">
        <v>168</v>
      </c>
      <c r="D92" s="17" t="s">
        <v>324</v>
      </c>
      <c r="E92" s="30" t="s">
        <v>279</v>
      </c>
      <c r="F92" s="20"/>
      <c r="G92" s="20"/>
      <c r="H92" s="20"/>
      <c r="I92" s="20"/>
      <c r="J92" s="20"/>
      <c r="K92" s="27" t="n">
        <v>933.42</v>
      </c>
      <c r="L92" s="20"/>
      <c r="M92" s="27" t="n">
        <v>1517.12</v>
      </c>
      <c r="N92" s="20"/>
      <c r="O92" s="27" t="n">
        <v>1741.39</v>
      </c>
      <c r="P92" s="20"/>
      <c r="Q92" s="20"/>
      <c r="R92" s="21" t="n">
        <f aca="false">SUM(F92:Q92)</f>
        <v>4191.93</v>
      </c>
      <c r="S92" s="18"/>
      <c r="T92" s="18"/>
      <c r="U92" s="18"/>
      <c r="V92" s="18"/>
      <c r="W92" s="18"/>
      <c r="X92" s="28" t="n">
        <v>1</v>
      </c>
      <c r="Y92" s="18"/>
      <c r="Z92" s="28" t="n">
        <v>1</v>
      </c>
      <c r="AA92" s="18"/>
      <c r="AB92" s="28" t="n">
        <v>1</v>
      </c>
      <c r="AC92" s="18"/>
      <c r="AD92" s="18"/>
      <c r="AE92" s="22" t="n">
        <f aca="false">SUM(S92:AD92)</f>
        <v>3</v>
      </c>
      <c r="AF92" s="22"/>
      <c r="AG92" s="22"/>
      <c r="AH92" s="22"/>
      <c r="AI92" s="22"/>
      <c r="AJ92" s="22"/>
      <c r="AK92" s="30" t="s">
        <v>49</v>
      </c>
      <c r="AL92" s="22"/>
      <c r="AM92" s="19" t="s">
        <v>50</v>
      </c>
      <c r="AN92" s="22"/>
      <c r="AO92" s="22"/>
      <c r="AP92" s="22"/>
      <c r="AQ92" s="22"/>
      <c r="AR92" s="19" t="s">
        <v>50</v>
      </c>
      <c r="AS92" s="18"/>
      <c r="AT92" s="18"/>
      <c r="AU92" s="18"/>
      <c r="AV92" s="18"/>
      <c r="AW92" s="18"/>
      <c r="AX92" s="25" t="n">
        <v>11</v>
      </c>
      <c r="AY92" s="18"/>
      <c r="AZ92" s="18"/>
      <c r="BA92" s="18"/>
      <c r="BB92" s="25" t="n">
        <v>5</v>
      </c>
      <c r="BC92" s="25" t="n">
        <v>1</v>
      </c>
      <c r="BD92" s="18"/>
      <c r="BE92" s="22" t="n">
        <f aca="false">SUM(AS92:BD92)</f>
        <v>17</v>
      </c>
      <c r="BF92" s="23" t="n">
        <v>2674.81</v>
      </c>
      <c r="BG92" s="19" t="s">
        <v>55</v>
      </c>
      <c r="BH92" s="18"/>
      <c r="BI92" s="18"/>
      <c r="BJ92" s="18"/>
      <c r="BK92" s="18"/>
      <c r="BL92" s="18"/>
      <c r="BM92" s="25" t="n">
        <v>1</v>
      </c>
      <c r="BN92" s="18"/>
      <c r="BO92" s="18"/>
      <c r="BP92" s="25" t="n">
        <v>2</v>
      </c>
      <c r="BQ92" s="25" t="n">
        <v>1</v>
      </c>
      <c r="BR92" s="25" t="n">
        <v>3</v>
      </c>
      <c r="BS92" s="18"/>
      <c r="BT92" s="22" t="n">
        <f aca="false">SUM(BH92:BS92)</f>
        <v>7</v>
      </c>
      <c r="BU92" s="26" t="n">
        <v>46049.4027777778</v>
      </c>
      <c r="BV92" s="17"/>
      <c r="BW92" s="17" t="s">
        <v>44</v>
      </c>
      <c r="BX92" s="23" t="n">
        <f aca="false">IFERROR(R92/AE92,0)</f>
        <v>1397.31</v>
      </c>
      <c r="BY92" s="23" t="n">
        <f aca="false">IFERROR(R92/12,0)</f>
        <v>349.3275</v>
      </c>
      <c r="BZ92" s="18" t="n">
        <v>59</v>
      </c>
      <c r="CA92" s="22" t="str">
        <f aca="false">IF(AE92=0,"PROSPECT",IF(AE92=1,"NOVO",IF(AE92&lt;=3,"EM DESENV.",IF(AE92&lt;=6,"RECORRENTE","FIDELIZADO"))))</f>
        <v>EM DESENV.</v>
      </c>
      <c r="CB92" s="22" t="n">
        <f aca="false">IF((P92+Q92)&gt;0,1,0)+IF((BR92+BS92)&gt;0,1,0)+IF(BE92&gt;0,1,0)</f>
        <v>2</v>
      </c>
    </row>
    <row r="93" customFormat="false" ht="15" hidden="false" customHeight="true" outlineLevel="0" collapsed="false">
      <c r="A93" s="16" t="s">
        <v>325</v>
      </c>
      <c r="B93" s="17" t="s">
        <v>326</v>
      </c>
      <c r="C93" s="18" t="s">
        <v>41</v>
      </c>
      <c r="D93" s="17" t="s">
        <v>327</v>
      </c>
      <c r="E93" s="30" t="s">
        <v>279</v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7" t="n">
        <v>1002.92</v>
      </c>
      <c r="Q93" s="20"/>
      <c r="R93" s="21" t="n">
        <f aca="false">SUM(F93:Q93)</f>
        <v>1002.92</v>
      </c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28" t="n">
        <v>1</v>
      </c>
      <c r="AD93" s="18"/>
      <c r="AE93" s="22" t="n">
        <f aca="false">SUM(S93:AD93)</f>
        <v>1</v>
      </c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30" t="s">
        <v>49</v>
      </c>
      <c r="AQ93" s="22"/>
      <c r="AR93" s="22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25" t="n">
        <v>4</v>
      </c>
      <c r="BD93" s="18"/>
      <c r="BE93" s="22" t="n">
        <f aca="false">SUM(AS93:BD93)</f>
        <v>4</v>
      </c>
      <c r="BF93" s="23" t="n">
        <v>1002.92</v>
      </c>
      <c r="BG93" s="19" t="s">
        <v>55</v>
      </c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25" t="n">
        <v>1</v>
      </c>
      <c r="BS93" s="25" t="n">
        <v>2</v>
      </c>
      <c r="BT93" s="22" t="n">
        <f aca="false">SUM(BH93:BS93)</f>
        <v>3</v>
      </c>
      <c r="BU93" s="26" t="n">
        <v>46056.7277777778</v>
      </c>
      <c r="BV93" s="17"/>
      <c r="BW93" s="17" t="s">
        <v>44</v>
      </c>
      <c r="BX93" s="23" t="n">
        <f aca="false">IFERROR(R93/AE93,0)</f>
        <v>1002.92</v>
      </c>
      <c r="BY93" s="23" t="n">
        <f aca="false">IFERROR(R93/12,0)</f>
        <v>83.5766666666667</v>
      </c>
      <c r="BZ93" s="18" t="n">
        <v>0</v>
      </c>
      <c r="CA93" s="22" t="str">
        <f aca="false">IF(AE93=0,"PROSPECT",IF(AE93=1,"NOVO",IF(AE93&lt;=3,"EM DESENV.",IF(AE93&lt;=6,"RECORRENTE","FIDELIZADO"))))</f>
        <v>NOVO</v>
      </c>
      <c r="CB93" s="22" t="n">
        <f aca="false">IF((P93+Q93)&gt;0,1,0)+IF((BR93+BS93)&gt;0,1,0)+IF(BE93&gt;0,1,0)</f>
        <v>3</v>
      </c>
    </row>
    <row r="94" customFormat="false" ht="15" hidden="false" customHeight="true" outlineLevel="0" collapsed="false">
      <c r="A94" s="16" t="s">
        <v>328</v>
      </c>
      <c r="B94" s="17" t="s">
        <v>329</v>
      </c>
      <c r="C94" s="18" t="s">
        <v>53</v>
      </c>
      <c r="D94" s="17" t="s">
        <v>330</v>
      </c>
      <c r="E94" s="30" t="s">
        <v>279</v>
      </c>
      <c r="F94" s="20"/>
      <c r="G94" s="27" t="n">
        <v>4357.86</v>
      </c>
      <c r="H94" s="27" t="n">
        <v>5371.12</v>
      </c>
      <c r="I94" s="27" t="n">
        <v>2564.4</v>
      </c>
      <c r="J94" s="27" t="n">
        <v>2406.47</v>
      </c>
      <c r="K94" s="20"/>
      <c r="L94" s="27" t="n">
        <v>1879.39</v>
      </c>
      <c r="M94" s="20"/>
      <c r="N94" s="20"/>
      <c r="O94" s="27" t="n">
        <v>1028.12</v>
      </c>
      <c r="P94" s="27" t="n">
        <v>946.64</v>
      </c>
      <c r="Q94" s="20"/>
      <c r="R94" s="21" t="n">
        <f aca="false">SUM(F94:Q94)</f>
        <v>18554</v>
      </c>
      <c r="S94" s="18"/>
      <c r="T94" s="28" t="n">
        <v>1</v>
      </c>
      <c r="U94" s="28" t="n">
        <v>1</v>
      </c>
      <c r="V94" s="28" t="n">
        <v>1</v>
      </c>
      <c r="W94" s="28" t="n">
        <v>1</v>
      </c>
      <c r="X94" s="18"/>
      <c r="Y94" s="28" t="n">
        <v>1</v>
      </c>
      <c r="Z94" s="18"/>
      <c r="AA94" s="18"/>
      <c r="AB94" s="28" t="n">
        <v>1</v>
      </c>
      <c r="AC94" s="28" t="n">
        <v>1</v>
      </c>
      <c r="AD94" s="18"/>
      <c r="AE94" s="22" t="n">
        <f aca="false">SUM(S94:AD94)</f>
        <v>7</v>
      </c>
      <c r="AF94" s="22"/>
      <c r="AG94" s="19" t="s">
        <v>50</v>
      </c>
      <c r="AH94" s="19" t="s">
        <v>50</v>
      </c>
      <c r="AI94" s="19" t="s">
        <v>50</v>
      </c>
      <c r="AJ94" s="19" t="s">
        <v>50</v>
      </c>
      <c r="AK94" s="22"/>
      <c r="AL94" s="19" t="s">
        <v>50</v>
      </c>
      <c r="AM94" s="22"/>
      <c r="AN94" s="22"/>
      <c r="AO94" s="30" t="s">
        <v>49</v>
      </c>
      <c r="AP94" s="30" t="s">
        <v>49</v>
      </c>
      <c r="AQ94" s="22"/>
      <c r="AR94" s="19" t="s">
        <v>50</v>
      </c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22" t="n">
        <f aca="false">SUM(AS94:BD94)</f>
        <v>0</v>
      </c>
      <c r="BF94" s="23"/>
      <c r="BG94" s="24"/>
      <c r="BH94" s="18"/>
      <c r="BI94" s="18"/>
      <c r="BJ94" s="18"/>
      <c r="BK94" s="25" t="n">
        <v>2</v>
      </c>
      <c r="BL94" s="25" t="n">
        <v>2</v>
      </c>
      <c r="BM94" s="25" t="n">
        <v>1</v>
      </c>
      <c r="BN94" s="18"/>
      <c r="BO94" s="18"/>
      <c r="BP94" s="18"/>
      <c r="BQ94" s="25" t="n">
        <v>1</v>
      </c>
      <c r="BR94" s="25" t="n">
        <v>3</v>
      </c>
      <c r="BS94" s="18"/>
      <c r="BT94" s="22" t="n">
        <f aca="false">SUM(BH94:BS94)</f>
        <v>9</v>
      </c>
      <c r="BU94" s="26" t="n">
        <v>46034.3847453704</v>
      </c>
      <c r="BV94" s="17"/>
      <c r="BW94" s="17" t="s">
        <v>44</v>
      </c>
      <c r="BX94" s="23" t="n">
        <f aca="false">IFERROR(R94/AE94,0)</f>
        <v>2650.57142857143</v>
      </c>
      <c r="BY94" s="23" t="n">
        <f aca="false">IFERROR(R94/12,0)</f>
        <v>1546.16666666667</v>
      </c>
      <c r="BZ94" s="18" t="n">
        <v>39.8571</v>
      </c>
      <c r="CA94" s="22" t="str">
        <f aca="false">IF(AE94=0,"PROSPECT",IF(AE94=1,"NOVO",IF(AE94&lt;=3,"EM DESENV.",IF(AE94&lt;=6,"RECORRENTE","FIDELIZADO"))))</f>
        <v>FIDELIZADO</v>
      </c>
      <c r="CB94" s="22" t="n">
        <f aca="false">IF((P94+Q94)&gt;0,1,0)+IF((BR94+BS94)&gt;0,1,0)+IF(BE94&gt;0,1,0)</f>
        <v>2</v>
      </c>
    </row>
    <row r="95" customFormat="false" ht="15" hidden="false" customHeight="true" outlineLevel="0" collapsed="false">
      <c r="A95" s="16" t="s">
        <v>331</v>
      </c>
      <c r="B95" s="17" t="s">
        <v>332</v>
      </c>
      <c r="C95" s="18" t="s">
        <v>309</v>
      </c>
      <c r="D95" s="17" t="s">
        <v>310</v>
      </c>
      <c r="E95" s="30" t="s">
        <v>279</v>
      </c>
      <c r="F95" s="20"/>
      <c r="G95" s="20"/>
      <c r="H95" s="20"/>
      <c r="I95" s="27" t="n">
        <v>1961.6</v>
      </c>
      <c r="J95" s="20"/>
      <c r="K95" s="27" t="n">
        <v>2596.83</v>
      </c>
      <c r="L95" s="20"/>
      <c r="M95" s="27" t="n">
        <v>2541.41</v>
      </c>
      <c r="N95" s="20"/>
      <c r="O95" s="20"/>
      <c r="P95" s="27" t="n">
        <v>897.75</v>
      </c>
      <c r="Q95" s="20"/>
      <c r="R95" s="21" t="n">
        <f aca="false">SUM(F95:Q95)</f>
        <v>7997.59</v>
      </c>
      <c r="S95" s="18"/>
      <c r="T95" s="18"/>
      <c r="U95" s="18"/>
      <c r="V95" s="28" t="n">
        <v>1</v>
      </c>
      <c r="W95" s="18"/>
      <c r="X95" s="28" t="n">
        <v>1</v>
      </c>
      <c r="Y95" s="18"/>
      <c r="Z95" s="28" t="n">
        <v>1</v>
      </c>
      <c r="AA95" s="18"/>
      <c r="AB95" s="18"/>
      <c r="AC95" s="28" t="n">
        <v>1</v>
      </c>
      <c r="AD95" s="18"/>
      <c r="AE95" s="22" t="n">
        <f aca="false">SUM(S95:AD95)</f>
        <v>4</v>
      </c>
      <c r="AF95" s="22"/>
      <c r="AG95" s="22"/>
      <c r="AH95" s="22"/>
      <c r="AI95" s="19" t="s">
        <v>50</v>
      </c>
      <c r="AJ95" s="22"/>
      <c r="AK95" s="19" t="s">
        <v>50</v>
      </c>
      <c r="AL95" s="22"/>
      <c r="AM95" s="19" t="s">
        <v>50</v>
      </c>
      <c r="AN95" s="22"/>
      <c r="AO95" s="22"/>
      <c r="AP95" s="19" t="s">
        <v>50</v>
      </c>
      <c r="AQ95" s="22"/>
      <c r="AR95" s="19" t="s">
        <v>50</v>
      </c>
      <c r="AS95" s="18"/>
      <c r="AT95" s="18"/>
      <c r="AU95" s="18"/>
      <c r="AV95" s="25" t="n">
        <v>2</v>
      </c>
      <c r="AW95" s="18"/>
      <c r="AX95" s="25" t="n">
        <v>1</v>
      </c>
      <c r="AY95" s="18"/>
      <c r="AZ95" s="18"/>
      <c r="BA95" s="18"/>
      <c r="BB95" s="18"/>
      <c r="BC95" s="25" t="n">
        <v>2</v>
      </c>
      <c r="BD95" s="18"/>
      <c r="BE95" s="22" t="n">
        <f aca="false">SUM(AS95:BD95)</f>
        <v>5</v>
      </c>
      <c r="BF95" s="23" t="n">
        <v>5456.18</v>
      </c>
      <c r="BG95" s="19" t="s">
        <v>55</v>
      </c>
      <c r="BH95" s="18"/>
      <c r="BI95" s="18"/>
      <c r="BJ95" s="18"/>
      <c r="BK95" s="25" t="n">
        <v>1</v>
      </c>
      <c r="BL95" s="25" t="n">
        <v>1</v>
      </c>
      <c r="BM95" s="25" t="n">
        <v>1</v>
      </c>
      <c r="BN95" s="18"/>
      <c r="BO95" s="25" t="n">
        <v>4</v>
      </c>
      <c r="BP95" s="25" t="n">
        <v>1</v>
      </c>
      <c r="BQ95" s="18"/>
      <c r="BR95" s="25" t="n">
        <v>5</v>
      </c>
      <c r="BS95" s="18"/>
      <c r="BT95" s="22" t="n">
        <f aca="false">SUM(BH95:BS95)</f>
        <v>13</v>
      </c>
      <c r="BU95" s="26" t="n">
        <v>46041.6804398148</v>
      </c>
      <c r="BV95" s="17" t="s">
        <v>97</v>
      </c>
      <c r="BW95" s="17" t="s">
        <v>44</v>
      </c>
      <c r="BX95" s="23" t="n">
        <f aca="false">IFERROR(R95/AE95,0)</f>
        <v>1999.3975</v>
      </c>
      <c r="BY95" s="23" t="n">
        <f aca="false">IFERROR(R95/12,0)</f>
        <v>666.465833333333</v>
      </c>
      <c r="BZ95" s="18" t="n">
        <v>67</v>
      </c>
      <c r="CA95" s="22" t="str">
        <f aca="false">IF(AE95=0,"PROSPECT",IF(AE95=1,"NOVO",IF(AE95&lt;=3,"EM DESENV.",IF(AE95&lt;=6,"RECORRENTE","FIDELIZADO"))))</f>
        <v>RECORRENTE</v>
      </c>
      <c r="CB95" s="22" t="n">
        <f aca="false">IF((P95+Q95)&gt;0,1,0)+IF((BR95+BS95)&gt;0,1,0)+IF(BE95&gt;0,1,0)</f>
        <v>3</v>
      </c>
    </row>
    <row r="96" customFormat="false" ht="15" hidden="false" customHeight="true" outlineLevel="0" collapsed="false">
      <c r="A96" s="16" t="s">
        <v>333</v>
      </c>
      <c r="B96" s="17" t="s">
        <v>334</v>
      </c>
      <c r="C96" s="18" t="s">
        <v>41</v>
      </c>
      <c r="D96" s="17" t="s">
        <v>335</v>
      </c>
      <c r="E96" s="30" t="s">
        <v>279</v>
      </c>
      <c r="F96" s="20"/>
      <c r="G96" s="20"/>
      <c r="H96" s="20"/>
      <c r="I96" s="20"/>
      <c r="J96" s="20"/>
      <c r="K96" s="20"/>
      <c r="L96" s="20"/>
      <c r="M96" s="20"/>
      <c r="N96" s="20"/>
      <c r="O96" s="27" t="n">
        <v>2323.95</v>
      </c>
      <c r="P96" s="20"/>
      <c r="Q96" s="20"/>
      <c r="R96" s="21" t="n">
        <f aca="false">SUM(F96:Q96)</f>
        <v>2323.95</v>
      </c>
      <c r="S96" s="18"/>
      <c r="T96" s="18"/>
      <c r="U96" s="18"/>
      <c r="V96" s="18"/>
      <c r="W96" s="18"/>
      <c r="X96" s="18"/>
      <c r="Y96" s="18"/>
      <c r="Z96" s="18"/>
      <c r="AA96" s="18"/>
      <c r="AB96" s="28" t="n">
        <v>1</v>
      </c>
      <c r="AC96" s="18"/>
      <c r="AD96" s="18"/>
      <c r="AE96" s="22" t="n">
        <f aca="false">SUM(S96:AD96)</f>
        <v>1</v>
      </c>
      <c r="AF96" s="22"/>
      <c r="AG96" s="22"/>
      <c r="AH96" s="22"/>
      <c r="AI96" s="22"/>
      <c r="AJ96" s="22"/>
      <c r="AK96" s="22"/>
      <c r="AL96" s="22"/>
      <c r="AM96" s="22"/>
      <c r="AN96" s="22"/>
      <c r="AO96" s="19" t="s">
        <v>50</v>
      </c>
      <c r="AP96" s="22"/>
      <c r="AQ96" s="22"/>
      <c r="AR96" s="30" t="s">
        <v>49</v>
      </c>
      <c r="AS96" s="18"/>
      <c r="AT96" s="18"/>
      <c r="AU96" s="18"/>
      <c r="AV96" s="18"/>
      <c r="AW96" s="18"/>
      <c r="AX96" s="18"/>
      <c r="AY96" s="18"/>
      <c r="AZ96" s="18"/>
      <c r="BA96" s="18"/>
      <c r="BB96" s="25" t="n">
        <v>2</v>
      </c>
      <c r="BC96" s="18"/>
      <c r="BD96" s="18"/>
      <c r="BE96" s="22" t="n">
        <f aca="false">SUM(AS96:BD96)</f>
        <v>2</v>
      </c>
      <c r="BF96" s="23" t="n">
        <v>2323.95</v>
      </c>
      <c r="BG96" s="19" t="s">
        <v>55</v>
      </c>
      <c r="BH96" s="18"/>
      <c r="BI96" s="18"/>
      <c r="BJ96" s="18"/>
      <c r="BK96" s="18"/>
      <c r="BL96" s="18"/>
      <c r="BM96" s="18"/>
      <c r="BN96" s="18"/>
      <c r="BO96" s="18"/>
      <c r="BP96" s="18"/>
      <c r="BQ96" s="25" t="n">
        <v>2</v>
      </c>
      <c r="BR96" s="18"/>
      <c r="BS96" s="25" t="n">
        <v>2</v>
      </c>
      <c r="BT96" s="22" t="n">
        <f aca="false">SUM(BH96:BS96)</f>
        <v>4</v>
      </c>
      <c r="BU96" s="26" t="n">
        <v>46056.4027777778</v>
      </c>
      <c r="BV96" s="17"/>
      <c r="BW96" s="17" t="s">
        <v>117</v>
      </c>
      <c r="BX96" s="23" t="n">
        <f aca="false">IFERROR(R96/AE96,0)</f>
        <v>2323.95</v>
      </c>
      <c r="BY96" s="23" t="n">
        <f aca="false">IFERROR(R96/12,0)</f>
        <v>193.6625</v>
      </c>
      <c r="BZ96" s="18" t="n">
        <v>0</v>
      </c>
      <c r="CA96" s="22" t="str">
        <f aca="false">IF(AE96=0,"PROSPECT",IF(AE96=1,"NOVO",IF(AE96&lt;=3,"EM DESENV.",IF(AE96&lt;=6,"RECORRENTE","FIDELIZADO"))))</f>
        <v>NOVO</v>
      </c>
      <c r="CB96" s="22" t="n">
        <f aca="false">IF((P96+Q96)&gt;0,1,0)+IF((BR96+BS96)&gt;0,1,0)+IF(BE96&gt;0,1,0)</f>
        <v>2</v>
      </c>
    </row>
    <row r="97" customFormat="false" ht="15" hidden="false" customHeight="true" outlineLevel="0" collapsed="false">
      <c r="A97" s="16" t="s">
        <v>336</v>
      </c>
      <c r="B97" s="17" t="s">
        <v>337</v>
      </c>
      <c r="C97" s="18" t="s">
        <v>72</v>
      </c>
      <c r="D97" s="17" t="s">
        <v>338</v>
      </c>
      <c r="E97" s="30" t="s">
        <v>279</v>
      </c>
      <c r="F97" s="20"/>
      <c r="G97" s="20"/>
      <c r="H97" s="20"/>
      <c r="I97" s="20"/>
      <c r="J97" s="20"/>
      <c r="K97" s="20"/>
      <c r="L97" s="20"/>
      <c r="M97" s="20"/>
      <c r="N97" s="27" t="n">
        <v>1502.41</v>
      </c>
      <c r="O97" s="20"/>
      <c r="P97" s="27" t="n">
        <v>964.59</v>
      </c>
      <c r="Q97" s="20"/>
      <c r="R97" s="21" t="n">
        <f aca="false">SUM(F97:Q97)</f>
        <v>2467</v>
      </c>
      <c r="S97" s="18"/>
      <c r="T97" s="18"/>
      <c r="U97" s="18"/>
      <c r="V97" s="18"/>
      <c r="W97" s="18"/>
      <c r="X97" s="18"/>
      <c r="Y97" s="18"/>
      <c r="Z97" s="18"/>
      <c r="AA97" s="28" t="n">
        <v>1</v>
      </c>
      <c r="AB97" s="18"/>
      <c r="AC97" s="28" t="n">
        <v>1</v>
      </c>
      <c r="AD97" s="18"/>
      <c r="AE97" s="22" t="n">
        <f aca="false">SUM(S97:AD97)</f>
        <v>2</v>
      </c>
      <c r="AF97" s="22"/>
      <c r="AG97" s="22"/>
      <c r="AH97" s="22"/>
      <c r="AI97" s="22"/>
      <c r="AJ97" s="22"/>
      <c r="AK97" s="22"/>
      <c r="AL97" s="22"/>
      <c r="AM97" s="22"/>
      <c r="AN97" s="19" t="s">
        <v>50</v>
      </c>
      <c r="AO97" s="22"/>
      <c r="AP97" s="30" t="s">
        <v>49</v>
      </c>
      <c r="AQ97" s="22"/>
      <c r="AR97" s="30" t="s">
        <v>49</v>
      </c>
      <c r="AS97" s="18"/>
      <c r="AT97" s="18"/>
      <c r="AU97" s="18"/>
      <c r="AV97" s="18"/>
      <c r="AW97" s="18"/>
      <c r="AX97" s="18"/>
      <c r="AY97" s="18"/>
      <c r="AZ97" s="18"/>
      <c r="BA97" s="25" t="n">
        <v>5</v>
      </c>
      <c r="BB97" s="25" t="n">
        <v>3</v>
      </c>
      <c r="BC97" s="25" t="n">
        <v>2</v>
      </c>
      <c r="BD97" s="18"/>
      <c r="BE97" s="22" t="n">
        <f aca="false">SUM(AS97:BD97)</f>
        <v>10</v>
      </c>
      <c r="BF97" s="23" t="n">
        <v>2467</v>
      </c>
      <c r="BG97" s="19" t="s">
        <v>55</v>
      </c>
      <c r="BH97" s="18"/>
      <c r="BI97" s="18"/>
      <c r="BJ97" s="18"/>
      <c r="BK97" s="25" t="n">
        <v>1</v>
      </c>
      <c r="BL97" s="25" t="n">
        <v>2</v>
      </c>
      <c r="BM97" s="18"/>
      <c r="BN97" s="18"/>
      <c r="BO97" s="18"/>
      <c r="BP97" s="25" t="n">
        <v>2</v>
      </c>
      <c r="BQ97" s="18"/>
      <c r="BR97" s="18"/>
      <c r="BS97" s="25" t="n">
        <v>4</v>
      </c>
      <c r="BT97" s="22" t="n">
        <f aca="false">SUM(BH97:BS97)</f>
        <v>9</v>
      </c>
      <c r="BU97" s="26" t="n">
        <v>46058.6979282407</v>
      </c>
      <c r="BV97" s="17"/>
      <c r="BW97" s="17" t="s">
        <v>44</v>
      </c>
      <c r="BX97" s="23" t="n">
        <f aca="false">IFERROR(R97/AE97,0)</f>
        <v>1233.5</v>
      </c>
      <c r="BY97" s="23" t="n">
        <f aca="false">IFERROR(R97/12,0)</f>
        <v>205.583333333333</v>
      </c>
      <c r="BZ97" s="18" t="n">
        <v>58</v>
      </c>
      <c r="CA97" s="22" t="str">
        <f aca="false">IF(AE97=0,"PROSPECT",IF(AE97=1,"NOVO",IF(AE97&lt;=3,"EM DESENV.",IF(AE97&lt;=6,"RECORRENTE","FIDELIZADO"))))</f>
        <v>EM DESENV.</v>
      </c>
      <c r="CB97" s="22" t="n">
        <f aca="false">IF((P97+Q97)&gt;0,1,0)+IF((BR97+BS97)&gt;0,1,0)+IF(BE97&gt;0,1,0)</f>
        <v>3</v>
      </c>
    </row>
    <row r="98" customFormat="false" ht="15" hidden="false" customHeight="true" outlineLevel="0" collapsed="false">
      <c r="A98" s="16" t="s">
        <v>339</v>
      </c>
      <c r="B98" s="17" t="s">
        <v>340</v>
      </c>
      <c r="C98" s="18" t="s">
        <v>155</v>
      </c>
      <c r="D98" s="17" t="s">
        <v>341</v>
      </c>
      <c r="E98" s="30" t="s">
        <v>279</v>
      </c>
      <c r="F98" s="20"/>
      <c r="G98" s="20"/>
      <c r="H98" s="20"/>
      <c r="I98" s="20"/>
      <c r="J98" s="20"/>
      <c r="K98" s="20"/>
      <c r="L98" s="20"/>
      <c r="M98" s="27" t="n">
        <v>1219.25</v>
      </c>
      <c r="N98" s="27" t="n">
        <v>1215.98</v>
      </c>
      <c r="O98" s="20"/>
      <c r="P98" s="27" t="n">
        <v>1431.2</v>
      </c>
      <c r="Q98" s="20"/>
      <c r="R98" s="21" t="n">
        <f aca="false">SUM(F98:Q98)</f>
        <v>3866.43</v>
      </c>
      <c r="S98" s="18"/>
      <c r="T98" s="18"/>
      <c r="U98" s="18"/>
      <c r="V98" s="18"/>
      <c r="W98" s="18"/>
      <c r="X98" s="18"/>
      <c r="Y98" s="18"/>
      <c r="Z98" s="28" t="n">
        <v>1</v>
      </c>
      <c r="AA98" s="28" t="n">
        <v>1</v>
      </c>
      <c r="AB98" s="18"/>
      <c r="AC98" s="28" t="n">
        <v>1</v>
      </c>
      <c r="AD98" s="18"/>
      <c r="AE98" s="22" t="n">
        <f aca="false">SUM(S98:AD98)</f>
        <v>3</v>
      </c>
      <c r="AF98" s="22"/>
      <c r="AG98" s="22"/>
      <c r="AH98" s="22"/>
      <c r="AI98" s="22"/>
      <c r="AJ98" s="22"/>
      <c r="AK98" s="22"/>
      <c r="AL98" s="22"/>
      <c r="AM98" s="30" t="s">
        <v>49</v>
      </c>
      <c r="AN98" s="30" t="s">
        <v>49</v>
      </c>
      <c r="AO98" s="22"/>
      <c r="AP98" s="19" t="s">
        <v>50</v>
      </c>
      <c r="AQ98" s="22"/>
      <c r="AR98" s="19" t="s">
        <v>50</v>
      </c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22" t="n">
        <f aca="false">SUM(AS98:BD98)</f>
        <v>0</v>
      </c>
      <c r="BF98" s="23"/>
      <c r="BG98" s="24"/>
      <c r="BH98" s="18"/>
      <c r="BI98" s="18"/>
      <c r="BJ98" s="18"/>
      <c r="BK98" s="18"/>
      <c r="BL98" s="18"/>
      <c r="BM98" s="18"/>
      <c r="BN98" s="18"/>
      <c r="BO98" s="25" t="n">
        <v>2</v>
      </c>
      <c r="BP98" s="18"/>
      <c r="BQ98" s="25" t="n">
        <v>1</v>
      </c>
      <c r="BR98" s="25" t="n">
        <v>3</v>
      </c>
      <c r="BS98" s="18"/>
      <c r="BT98" s="22" t="n">
        <f aca="false">SUM(BH98:BS98)</f>
        <v>6</v>
      </c>
      <c r="BU98" s="26" t="n">
        <v>46036.3663657407</v>
      </c>
      <c r="BV98" s="17"/>
      <c r="BW98" s="17" t="s">
        <v>44</v>
      </c>
      <c r="BX98" s="23" t="n">
        <f aca="false">IFERROR(R98/AE98,0)</f>
        <v>1288.81</v>
      </c>
      <c r="BY98" s="23" t="n">
        <f aca="false">IFERROR(R98/12,0)</f>
        <v>322.2025</v>
      </c>
      <c r="BZ98" s="18" t="n">
        <v>44.5</v>
      </c>
      <c r="CA98" s="22" t="str">
        <f aca="false">IF(AE98=0,"PROSPECT",IF(AE98=1,"NOVO",IF(AE98&lt;=3,"EM DESENV.",IF(AE98&lt;=6,"RECORRENTE","FIDELIZADO"))))</f>
        <v>EM DESENV.</v>
      </c>
      <c r="CB98" s="22" t="n">
        <f aca="false">IF((P98+Q98)&gt;0,1,0)+IF((BR98+BS98)&gt;0,1,0)+IF(BE98&gt;0,1,0)</f>
        <v>2</v>
      </c>
    </row>
    <row r="99" customFormat="false" ht="15" hidden="false" customHeight="true" outlineLevel="0" collapsed="false">
      <c r="A99" s="16" t="s">
        <v>342</v>
      </c>
      <c r="B99" s="17" t="s">
        <v>343</v>
      </c>
      <c r="C99" s="18" t="s">
        <v>53</v>
      </c>
      <c r="D99" s="17" t="s">
        <v>234</v>
      </c>
      <c r="E99" s="30" t="s">
        <v>279</v>
      </c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7" t="n">
        <v>3422.4</v>
      </c>
      <c r="Q99" s="20"/>
      <c r="R99" s="21" t="n">
        <f aca="false">SUM(F99:Q99)</f>
        <v>3422.4</v>
      </c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28" t="n">
        <v>1</v>
      </c>
      <c r="AD99" s="18"/>
      <c r="AE99" s="22" t="n">
        <f aca="false">SUM(S99:AD99)</f>
        <v>1</v>
      </c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19" t="s">
        <v>50</v>
      </c>
      <c r="AQ99" s="22"/>
      <c r="AR99" s="22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25" t="n">
        <v>3</v>
      </c>
      <c r="BD99" s="18"/>
      <c r="BE99" s="22" t="n">
        <f aca="false">SUM(AS99:BD99)</f>
        <v>3</v>
      </c>
      <c r="BF99" s="23" t="n">
        <v>3422.4</v>
      </c>
      <c r="BG99" s="19" t="s">
        <v>55</v>
      </c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25" t="n">
        <v>2</v>
      </c>
      <c r="BS99" s="18"/>
      <c r="BT99" s="22" t="n">
        <f aca="false">SUM(BH99:BS99)</f>
        <v>2</v>
      </c>
      <c r="BU99" s="26" t="n">
        <v>46035.4902777778</v>
      </c>
      <c r="BV99" s="17" t="s">
        <v>89</v>
      </c>
      <c r="BW99" s="17" t="s">
        <v>44</v>
      </c>
      <c r="BX99" s="23" t="n">
        <f aca="false">IFERROR(R99/AE99,0)</f>
        <v>3422.4</v>
      </c>
      <c r="BY99" s="23" t="n">
        <f aca="false">IFERROR(R99/12,0)</f>
        <v>285.2</v>
      </c>
      <c r="BZ99" s="18" t="n">
        <v>0</v>
      </c>
      <c r="CA99" s="22" t="str">
        <f aca="false">IF(AE99=0,"PROSPECT",IF(AE99=1,"NOVO",IF(AE99&lt;=3,"EM DESENV.",IF(AE99&lt;=6,"RECORRENTE","FIDELIZADO"))))</f>
        <v>NOVO</v>
      </c>
      <c r="CB99" s="22" t="n">
        <f aca="false">IF((P99+Q99)&gt;0,1,0)+IF((BR99+BS99)&gt;0,1,0)+IF(BE99&gt;0,1,0)</f>
        <v>3</v>
      </c>
    </row>
    <row r="100" customFormat="false" ht="15" hidden="false" customHeight="true" outlineLevel="0" collapsed="false">
      <c r="A100" s="16" t="s">
        <v>344</v>
      </c>
      <c r="B100" s="17" t="s">
        <v>345</v>
      </c>
      <c r="C100" s="18" t="s">
        <v>83</v>
      </c>
      <c r="D100" s="17" t="s">
        <v>84</v>
      </c>
      <c r="E100" s="30" t="s">
        <v>279</v>
      </c>
      <c r="F100" s="27" t="n">
        <v>3097.52</v>
      </c>
      <c r="G100" s="27" t="n">
        <v>3750.38</v>
      </c>
      <c r="H100" s="20"/>
      <c r="I100" s="20"/>
      <c r="J100" s="27" t="n">
        <v>2744.45</v>
      </c>
      <c r="K100" s="20"/>
      <c r="L100" s="20"/>
      <c r="M100" s="27" t="n">
        <v>3069.91</v>
      </c>
      <c r="N100" s="20"/>
      <c r="O100" s="20"/>
      <c r="P100" s="27" t="n">
        <v>2755.08</v>
      </c>
      <c r="Q100" s="20"/>
      <c r="R100" s="21" t="n">
        <f aca="false">SUM(F100:Q100)</f>
        <v>15417.34</v>
      </c>
      <c r="S100" s="28" t="n">
        <v>1</v>
      </c>
      <c r="T100" s="28" t="n">
        <v>1</v>
      </c>
      <c r="U100" s="18"/>
      <c r="V100" s="18"/>
      <c r="W100" s="28" t="n">
        <v>1</v>
      </c>
      <c r="X100" s="18"/>
      <c r="Y100" s="18"/>
      <c r="Z100" s="28" t="n">
        <v>1</v>
      </c>
      <c r="AA100" s="18"/>
      <c r="AB100" s="18"/>
      <c r="AC100" s="28" t="n">
        <v>1</v>
      </c>
      <c r="AD100" s="18"/>
      <c r="AE100" s="22" t="n">
        <f aca="false">SUM(S100:AD100)</f>
        <v>5</v>
      </c>
      <c r="AF100" s="19" t="s">
        <v>50</v>
      </c>
      <c r="AG100" s="19" t="s">
        <v>50</v>
      </c>
      <c r="AH100" s="22"/>
      <c r="AI100" s="22"/>
      <c r="AJ100" s="19" t="s">
        <v>50</v>
      </c>
      <c r="AK100" s="22"/>
      <c r="AL100" s="22"/>
      <c r="AM100" s="19" t="s">
        <v>50</v>
      </c>
      <c r="AN100" s="22"/>
      <c r="AO100" s="22"/>
      <c r="AP100" s="19" t="s">
        <v>50</v>
      </c>
      <c r="AQ100" s="22"/>
      <c r="AR100" s="19" t="s">
        <v>50</v>
      </c>
      <c r="AS100" s="18"/>
      <c r="AT100" s="25" t="n">
        <v>3</v>
      </c>
      <c r="AU100" s="25" t="n">
        <v>3</v>
      </c>
      <c r="AV100" s="25" t="n">
        <v>1</v>
      </c>
      <c r="AW100" s="18"/>
      <c r="AX100" s="18"/>
      <c r="AY100" s="18"/>
      <c r="AZ100" s="18"/>
      <c r="BA100" s="18"/>
      <c r="BB100" s="18"/>
      <c r="BC100" s="18"/>
      <c r="BD100" s="18"/>
      <c r="BE100" s="22" t="n">
        <f aca="false">SUM(AS100:BD100)</f>
        <v>7</v>
      </c>
      <c r="BF100" s="23" t="n">
        <v>7500.76</v>
      </c>
      <c r="BG100" s="19" t="s">
        <v>55</v>
      </c>
      <c r="BH100" s="18"/>
      <c r="BI100" s="18"/>
      <c r="BJ100" s="18"/>
      <c r="BK100" s="25" t="n">
        <v>1</v>
      </c>
      <c r="BL100" s="25" t="n">
        <v>1</v>
      </c>
      <c r="BM100" s="18"/>
      <c r="BN100" s="18"/>
      <c r="BO100" s="25" t="n">
        <v>1</v>
      </c>
      <c r="BP100" s="25" t="n">
        <v>1</v>
      </c>
      <c r="BQ100" s="18"/>
      <c r="BR100" s="25" t="n">
        <v>1</v>
      </c>
      <c r="BS100" s="25" t="n">
        <v>3</v>
      </c>
      <c r="BT100" s="22" t="n">
        <f aca="false">SUM(BH100:BS100)</f>
        <v>8</v>
      </c>
      <c r="BU100" s="26" t="n">
        <v>46059.5979166667</v>
      </c>
      <c r="BV100" s="17"/>
      <c r="BW100" s="17" t="s">
        <v>44</v>
      </c>
      <c r="BX100" s="23" t="n">
        <f aca="false">IFERROR(R100/AE100,0)</f>
        <v>3083.468</v>
      </c>
      <c r="BY100" s="23" t="n">
        <f aca="false">IFERROR(R100/12,0)</f>
        <v>1284.77833333333</v>
      </c>
      <c r="BZ100" s="18" t="n">
        <v>76.75</v>
      </c>
      <c r="CA100" s="22" t="str">
        <f aca="false">IF(AE100=0,"PROSPECT",IF(AE100=1,"NOVO",IF(AE100&lt;=3,"EM DESENV.",IF(AE100&lt;=6,"RECORRENTE","FIDELIZADO"))))</f>
        <v>RECORRENTE</v>
      </c>
      <c r="CB100" s="22" t="n">
        <f aca="false">IF((P100+Q100)&gt;0,1,0)+IF((BR100+BS100)&gt;0,1,0)+IF(BE100&gt;0,1,0)</f>
        <v>3</v>
      </c>
    </row>
    <row r="101" customFormat="false" ht="15" hidden="false" customHeight="true" outlineLevel="0" collapsed="false">
      <c r="A101" s="16" t="s">
        <v>346</v>
      </c>
      <c r="B101" s="17" t="s">
        <v>347</v>
      </c>
      <c r="C101" s="18" t="s">
        <v>155</v>
      </c>
      <c r="D101" s="17" t="s">
        <v>348</v>
      </c>
      <c r="E101" s="30" t="s">
        <v>279</v>
      </c>
      <c r="F101" s="20"/>
      <c r="G101" s="20"/>
      <c r="H101" s="20"/>
      <c r="I101" s="20"/>
      <c r="J101" s="20"/>
      <c r="K101" s="20"/>
      <c r="L101" s="20"/>
      <c r="M101" s="20"/>
      <c r="N101" s="20"/>
      <c r="O101" s="27" t="n">
        <v>1505.18</v>
      </c>
      <c r="P101" s="20"/>
      <c r="Q101" s="20"/>
      <c r="R101" s="21" t="n">
        <f aca="false">SUM(F101:Q101)</f>
        <v>1505.18</v>
      </c>
      <c r="S101" s="18"/>
      <c r="T101" s="18"/>
      <c r="U101" s="18"/>
      <c r="V101" s="18"/>
      <c r="W101" s="18"/>
      <c r="X101" s="18"/>
      <c r="Y101" s="18"/>
      <c r="Z101" s="18"/>
      <c r="AA101" s="18"/>
      <c r="AB101" s="28" t="n">
        <v>1</v>
      </c>
      <c r="AC101" s="18"/>
      <c r="AD101" s="18"/>
      <c r="AE101" s="22" t="n">
        <f aca="false">SUM(S101:AD101)</f>
        <v>1</v>
      </c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18"/>
      <c r="AT101" s="18"/>
      <c r="AU101" s="18"/>
      <c r="AV101" s="18"/>
      <c r="AW101" s="18"/>
      <c r="AX101" s="18"/>
      <c r="AY101" s="18"/>
      <c r="AZ101" s="18"/>
      <c r="BA101" s="18"/>
      <c r="BB101" s="25" t="n">
        <v>1</v>
      </c>
      <c r="BC101" s="18"/>
      <c r="BD101" s="18"/>
      <c r="BE101" s="22" t="n">
        <f aca="false">SUM(AS101:BD101)</f>
        <v>1</v>
      </c>
      <c r="BF101" s="23"/>
      <c r="BG101" s="31" t="s">
        <v>93</v>
      </c>
      <c r="BH101" s="18"/>
      <c r="BI101" s="18"/>
      <c r="BJ101" s="18"/>
      <c r="BK101" s="18"/>
      <c r="BL101" s="18"/>
      <c r="BM101" s="18"/>
      <c r="BN101" s="18"/>
      <c r="BO101" s="18"/>
      <c r="BP101" s="18"/>
      <c r="BQ101" s="25" t="n">
        <v>1</v>
      </c>
      <c r="BR101" s="25" t="n">
        <v>3</v>
      </c>
      <c r="BS101" s="18"/>
      <c r="BT101" s="22" t="n">
        <f aca="false">SUM(BH101:BS101)</f>
        <v>4</v>
      </c>
      <c r="BU101" s="26" t="n">
        <v>46049.4347222222</v>
      </c>
      <c r="BV101" s="17"/>
      <c r="BW101" s="17" t="s">
        <v>44</v>
      </c>
      <c r="BX101" s="23" t="n">
        <f aca="false">IFERROR(R101/AE101,0)</f>
        <v>1505.18</v>
      </c>
      <c r="BY101" s="23" t="n">
        <f aca="false">IFERROR(R101/12,0)</f>
        <v>125.431666666667</v>
      </c>
      <c r="BZ101" s="18" t="n">
        <v>0</v>
      </c>
      <c r="CA101" s="22" t="str">
        <f aca="false">IF(AE101=0,"PROSPECT",IF(AE101=1,"NOVO",IF(AE101&lt;=3,"EM DESENV.",IF(AE101&lt;=6,"RECORRENTE","FIDELIZADO"))))</f>
        <v>NOVO</v>
      </c>
      <c r="CB101" s="22" t="n">
        <f aca="false">IF((P101+Q101)&gt;0,1,0)+IF((BR101+BS101)&gt;0,1,0)+IF(BE101&gt;0,1,0)</f>
        <v>2</v>
      </c>
    </row>
    <row r="102" customFormat="false" ht="15" hidden="false" customHeight="true" outlineLevel="0" collapsed="false">
      <c r="A102" s="16" t="s">
        <v>349</v>
      </c>
      <c r="B102" s="17" t="s">
        <v>350</v>
      </c>
      <c r="C102" s="18" t="s">
        <v>61</v>
      </c>
      <c r="D102" s="17" t="s">
        <v>351</v>
      </c>
      <c r="E102" s="30" t="s">
        <v>279</v>
      </c>
      <c r="F102" s="20"/>
      <c r="G102" s="20"/>
      <c r="H102" s="20"/>
      <c r="I102" s="20"/>
      <c r="J102" s="27" t="n">
        <v>657.55</v>
      </c>
      <c r="K102" s="20"/>
      <c r="L102" s="27" t="n">
        <v>692.03</v>
      </c>
      <c r="M102" s="20"/>
      <c r="N102" s="20"/>
      <c r="O102" s="27" t="n">
        <v>410.07</v>
      </c>
      <c r="P102" s="20"/>
      <c r="Q102" s="20"/>
      <c r="R102" s="21" t="n">
        <f aca="false">SUM(F102:Q102)</f>
        <v>1759.65</v>
      </c>
      <c r="S102" s="18"/>
      <c r="T102" s="18"/>
      <c r="U102" s="18"/>
      <c r="V102" s="18"/>
      <c r="W102" s="28" t="n">
        <v>1</v>
      </c>
      <c r="X102" s="18"/>
      <c r="Y102" s="28" t="n">
        <v>1</v>
      </c>
      <c r="Z102" s="18"/>
      <c r="AA102" s="18"/>
      <c r="AB102" s="28" t="n">
        <v>1</v>
      </c>
      <c r="AC102" s="18"/>
      <c r="AD102" s="18"/>
      <c r="AE102" s="22" t="n">
        <f aca="false">SUM(S102:AD102)</f>
        <v>3</v>
      </c>
      <c r="AF102" s="22"/>
      <c r="AG102" s="22"/>
      <c r="AH102" s="22"/>
      <c r="AI102" s="22"/>
      <c r="AJ102" s="29" t="s">
        <v>48</v>
      </c>
      <c r="AK102" s="22"/>
      <c r="AL102" s="30" t="s">
        <v>49</v>
      </c>
      <c r="AM102" s="22"/>
      <c r="AN102" s="22"/>
      <c r="AO102" s="29" t="s">
        <v>48</v>
      </c>
      <c r="AP102" s="22"/>
      <c r="AQ102" s="22"/>
      <c r="AR102" s="30" t="s">
        <v>49</v>
      </c>
      <c r="AS102" s="18"/>
      <c r="AT102" s="18"/>
      <c r="AU102" s="18"/>
      <c r="AV102" s="18"/>
      <c r="AW102" s="18"/>
      <c r="AX102" s="25" t="n">
        <v>1</v>
      </c>
      <c r="AY102" s="25" t="n">
        <v>2</v>
      </c>
      <c r="AZ102" s="18"/>
      <c r="BA102" s="18"/>
      <c r="BB102" s="25" t="n">
        <v>1</v>
      </c>
      <c r="BC102" s="18"/>
      <c r="BD102" s="18"/>
      <c r="BE102" s="22" t="n">
        <f aca="false">SUM(AS102:BD102)</f>
        <v>4</v>
      </c>
      <c r="BF102" s="23" t="n">
        <v>1102.1</v>
      </c>
      <c r="BG102" s="19" t="s">
        <v>55</v>
      </c>
      <c r="BH102" s="18"/>
      <c r="BI102" s="18"/>
      <c r="BJ102" s="18"/>
      <c r="BK102" s="18"/>
      <c r="BL102" s="25" t="n">
        <v>3</v>
      </c>
      <c r="BM102" s="18"/>
      <c r="BN102" s="18"/>
      <c r="BO102" s="25" t="n">
        <v>1</v>
      </c>
      <c r="BP102" s="25" t="n">
        <v>1</v>
      </c>
      <c r="BQ102" s="18"/>
      <c r="BR102" s="25" t="n">
        <v>1</v>
      </c>
      <c r="BS102" s="18"/>
      <c r="BT102" s="22" t="n">
        <f aca="false">SUM(BH102:BS102)</f>
        <v>6</v>
      </c>
      <c r="BU102" s="26" t="n">
        <v>46049.388599537</v>
      </c>
      <c r="BV102" s="17"/>
      <c r="BW102" s="17" t="s">
        <v>44</v>
      </c>
      <c r="BX102" s="23" t="n">
        <f aca="false">IFERROR(R102/AE102,0)</f>
        <v>586.55</v>
      </c>
      <c r="BY102" s="23" t="n">
        <f aca="false">IFERROR(R102/12,0)</f>
        <v>146.6375</v>
      </c>
      <c r="BZ102" s="18" t="n">
        <v>68.5</v>
      </c>
      <c r="CA102" s="22" t="str">
        <f aca="false">IF(AE102=0,"PROSPECT",IF(AE102=1,"NOVO",IF(AE102&lt;=3,"EM DESENV.",IF(AE102&lt;=6,"RECORRENTE","FIDELIZADO"))))</f>
        <v>EM DESENV.</v>
      </c>
      <c r="CB102" s="22" t="n">
        <f aca="false">IF((P102+Q102)&gt;0,1,0)+IF((BR102+BS102)&gt;0,1,0)+IF(BE102&gt;0,1,0)</f>
        <v>2</v>
      </c>
    </row>
    <row r="103" customFormat="false" ht="15" hidden="false" customHeight="true" outlineLevel="0" collapsed="false">
      <c r="A103" s="16" t="s">
        <v>352</v>
      </c>
      <c r="B103" s="17" t="s">
        <v>353</v>
      </c>
      <c r="C103" s="18" t="s">
        <v>53</v>
      </c>
      <c r="D103" s="17" t="s">
        <v>234</v>
      </c>
      <c r="E103" s="30" t="s">
        <v>279</v>
      </c>
      <c r="F103" s="20"/>
      <c r="G103" s="20"/>
      <c r="H103" s="20"/>
      <c r="I103" s="20"/>
      <c r="J103" s="20"/>
      <c r="K103" s="27" t="n">
        <v>617.8</v>
      </c>
      <c r="L103" s="27" t="n">
        <v>397.4</v>
      </c>
      <c r="M103" s="20"/>
      <c r="N103" s="27" t="n">
        <v>666.22</v>
      </c>
      <c r="O103" s="27" t="n">
        <v>351.82</v>
      </c>
      <c r="P103" s="20"/>
      <c r="Q103" s="20"/>
      <c r="R103" s="21" t="n">
        <f aca="false">SUM(F103:Q103)</f>
        <v>2033.24</v>
      </c>
      <c r="S103" s="18"/>
      <c r="T103" s="18"/>
      <c r="U103" s="18"/>
      <c r="V103" s="18"/>
      <c r="W103" s="18"/>
      <c r="X103" s="28" t="n">
        <v>1</v>
      </c>
      <c r="Y103" s="28" t="n">
        <v>1</v>
      </c>
      <c r="Z103" s="18"/>
      <c r="AA103" s="28" t="n">
        <v>1</v>
      </c>
      <c r="AB103" s="28" t="n">
        <v>1</v>
      </c>
      <c r="AC103" s="18"/>
      <c r="AD103" s="18"/>
      <c r="AE103" s="22" t="n">
        <f aca="false">SUM(S103:AD103)</f>
        <v>4</v>
      </c>
      <c r="AF103" s="22"/>
      <c r="AG103" s="22"/>
      <c r="AH103" s="22"/>
      <c r="AI103" s="22"/>
      <c r="AJ103" s="22"/>
      <c r="AK103" s="29" t="s">
        <v>48</v>
      </c>
      <c r="AL103" s="29" t="s">
        <v>48</v>
      </c>
      <c r="AM103" s="22"/>
      <c r="AN103" s="29" t="s">
        <v>48</v>
      </c>
      <c r="AO103" s="22"/>
      <c r="AP103" s="22"/>
      <c r="AQ103" s="22"/>
      <c r="AR103" s="30" t="s">
        <v>49</v>
      </c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22" t="n">
        <f aca="false">SUM(AS103:BD103)</f>
        <v>0</v>
      </c>
      <c r="BF103" s="23"/>
      <c r="BG103" s="24"/>
      <c r="BH103" s="18"/>
      <c r="BI103" s="18"/>
      <c r="BJ103" s="18"/>
      <c r="BK103" s="18"/>
      <c r="BL103" s="18"/>
      <c r="BM103" s="25" t="n">
        <v>1</v>
      </c>
      <c r="BN103" s="18"/>
      <c r="BO103" s="25" t="n">
        <v>2</v>
      </c>
      <c r="BP103" s="18"/>
      <c r="BQ103" s="25" t="n">
        <v>1</v>
      </c>
      <c r="BR103" s="25" t="n">
        <v>2</v>
      </c>
      <c r="BS103" s="25" t="n">
        <v>3</v>
      </c>
      <c r="BT103" s="22" t="n">
        <f aca="false">SUM(BH103:BS103)</f>
        <v>9</v>
      </c>
      <c r="BU103" s="26" t="n">
        <v>46059.5986111111</v>
      </c>
      <c r="BV103" s="17" t="s">
        <v>107</v>
      </c>
      <c r="BW103" s="17" t="s">
        <v>44</v>
      </c>
      <c r="BX103" s="23" t="n">
        <f aca="false">IFERROR(R103/AE103,0)</f>
        <v>508.31</v>
      </c>
      <c r="BY103" s="23" t="n">
        <f aca="false">IFERROR(R103/12,0)</f>
        <v>169.436666666667</v>
      </c>
      <c r="BZ103" s="18" t="n">
        <v>32.5</v>
      </c>
      <c r="CA103" s="22" t="str">
        <f aca="false">IF(AE103=0,"PROSPECT",IF(AE103=1,"NOVO",IF(AE103&lt;=3,"EM DESENV.",IF(AE103&lt;=6,"RECORRENTE","FIDELIZADO"))))</f>
        <v>RECORRENTE</v>
      </c>
      <c r="CB103" s="22" t="n">
        <f aca="false">IF((P103+Q103)&gt;0,1,0)+IF((BR103+BS103)&gt;0,1,0)+IF(BE103&gt;0,1,0)</f>
        <v>1</v>
      </c>
    </row>
    <row r="104" customFormat="false" ht="15" hidden="false" customHeight="true" outlineLevel="0" collapsed="false">
      <c r="A104" s="16" t="s">
        <v>354</v>
      </c>
      <c r="B104" s="17" t="s">
        <v>355</v>
      </c>
      <c r="C104" s="18" t="s">
        <v>127</v>
      </c>
      <c r="D104" s="17" t="s">
        <v>356</v>
      </c>
      <c r="E104" s="30" t="s">
        <v>279</v>
      </c>
      <c r="F104" s="20"/>
      <c r="G104" s="20"/>
      <c r="H104" s="20"/>
      <c r="I104" s="20"/>
      <c r="J104" s="20"/>
      <c r="K104" s="20"/>
      <c r="L104" s="20"/>
      <c r="M104" s="20"/>
      <c r="N104" s="27" t="n">
        <v>3409.26</v>
      </c>
      <c r="O104" s="20"/>
      <c r="P104" s="27" t="n">
        <v>2501.31</v>
      </c>
      <c r="Q104" s="20"/>
      <c r="R104" s="21" t="n">
        <f aca="false">SUM(F104:Q104)</f>
        <v>5910.57</v>
      </c>
      <c r="S104" s="18"/>
      <c r="T104" s="18"/>
      <c r="U104" s="18"/>
      <c r="V104" s="18"/>
      <c r="W104" s="18"/>
      <c r="X104" s="18"/>
      <c r="Y104" s="18"/>
      <c r="Z104" s="18"/>
      <c r="AA104" s="28" t="n">
        <v>1</v>
      </c>
      <c r="AB104" s="18"/>
      <c r="AC104" s="28" t="n">
        <v>1</v>
      </c>
      <c r="AD104" s="18"/>
      <c r="AE104" s="22" t="n">
        <f aca="false">SUM(S104:AD104)</f>
        <v>2</v>
      </c>
      <c r="AF104" s="22"/>
      <c r="AG104" s="22"/>
      <c r="AH104" s="22"/>
      <c r="AI104" s="22"/>
      <c r="AJ104" s="22"/>
      <c r="AK104" s="22"/>
      <c r="AL104" s="22"/>
      <c r="AM104" s="22"/>
      <c r="AN104" s="19" t="s">
        <v>50</v>
      </c>
      <c r="AO104" s="22"/>
      <c r="AP104" s="19" t="s">
        <v>50</v>
      </c>
      <c r="AQ104" s="22"/>
      <c r="AR104" s="19" t="s">
        <v>50</v>
      </c>
      <c r="AS104" s="18"/>
      <c r="AT104" s="18"/>
      <c r="AU104" s="18"/>
      <c r="AV104" s="18"/>
      <c r="AW104" s="18"/>
      <c r="AX104" s="18"/>
      <c r="AY104" s="18"/>
      <c r="AZ104" s="18"/>
      <c r="BA104" s="25" t="n">
        <v>4</v>
      </c>
      <c r="BB104" s="18"/>
      <c r="BC104" s="25" t="n">
        <v>2</v>
      </c>
      <c r="BD104" s="18"/>
      <c r="BE104" s="22" t="n">
        <f aca="false">SUM(AS104:BD104)</f>
        <v>6</v>
      </c>
      <c r="BF104" s="23" t="n">
        <v>5910.57</v>
      </c>
      <c r="BG104" s="19" t="s">
        <v>55</v>
      </c>
      <c r="BH104" s="18"/>
      <c r="BI104" s="18"/>
      <c r="BJ104" s="18"/>
      <c r="BK104" s="18"/>
      <c r="BL104" s="18"/>
      <c r="BM104" s="18"/>
      <c r="BN104" s="18"/>
      <c r="BO104" s="18"/>
      <c r="BP104" s="25" t="n">
        <v>2</v>
      </c>
      <c r="BQ104" s="18"/>
      <c r="BR104" s="25" t="n">
        <v>3</v>
      </c>
      <c r="BS104" s="18"/>
      <c r="BT104" s="22" t="n">
        <f aca="false">SUM(BH104:BS104)</f>
        <v>5</v>
      </c>
      <c r="BU104" s="26" t="n">
        <v>46034.5673611111</v>
      </c>
      <c r="BV104" s="17" t="s">
        <v>107</v>
      </c>
      <c r="BW104" s="17" t="s">
        <v>44</v>
      </c>
      <c r="BX104" s="23" t="n">
        <f aca="false">IFERROR(R104/AE104,0)</f>
        <v>2955.285</v>
      </c>
      <c r="BY104" s="23" t="n">
        <f aca="false">IFERROR(R104/12,0)</f>
        <v>492.5475</v>
      </c>
      <c r="BZ104" s="18" t="n">
        <v>60</v>
      </c>
      <c r="CA104" s="22" t="str">
        <f aca="false">IF(AE104=0,"PROSPECT",IF(AE104=1,"NOVO",IF(AE104&lt;=3,"EM DESENV.",IF(AE104&lt;=6,"RECORRENTE","FIDELIZADO"))))</f>
        <v>EM DESENV.</v>
      </c>
      <c r="CB104" s="22" t="n">
        <f aca="false">IF((P104+Q104)&gt;0,1,0)+IF((BR104+BS104)&gt;0,1,0)+IF(BE104&gt;0,1,0)</f>
        <v>3</v>
      </c>
    </row>
    <row r="105" customFormat="false" ht="15" hidden="false" customHeight="true" outlineLevel="0" collapsed="false">
      <c r="A105" s="16" t="s">
        <v>357</v>
      </c>
      <c r="B105" s="17" t="s">
        <v>358</v>
      </c>
      <c r="C105" s="18" t="s">
        <v>79</v>
      </c>
      <c r="D105" s="17" t="s">
        <v>359</v>
      </c>
      <c r="E105" s="30" t="s">
        <v>279</v>
      </c>
      <c r="F105" s="20"/>
      <c r="G105" s="20"/>
      <c r="H105" s="20"/>
      <c r="I105" s="27" t="n">
        <v>6442.21</v>
      </c>
      <c r="J105" s="27" t="n">
        <v>4099.98</v>
      </c>
      <c r="K105" s="27" t="n">
        <v>8406.63</v>
      </c>
      <c r="L105" s="27" t="n">
        <v>5299.97</v>
      </c>
      <c r="M105" s="20"/>
      <c r="N105" s="27" t="n">
        <v>16502.32</v>
      </c>
      <c r="O105" s="27" t="n">
        <v>12636.67</v>
      </c>
      <c r="P105" s="27" t="n">
        <v>5730.18</v>
      </c>
      <c r="Q105" s="20"/>
      <c r="R105" s="21" t="n">
        <f aca="false">SUM(F105:Q105)</f>
        <v>59117.96</v>
      </c>
      <c r="S105" s="18"/>
      <c r="T105" s="18"/>
      <c r="U105" s="18"/>
      <c r="V105" s="28" t="n">
        <v>1</v>
      </c>
      <c r="W105" s="28" t="n">
        <v>1</v>
      </c>
      <c r="X105" s="28" t="n">
        <v>1</v>
      </c>
      <c r="Y105" s="28" t="n">
        <v>1</v>
      </c>
      <c r="Z105" s="18"/>
      <c r="AA105" s="28" t="n">
        <v>1</v>
      </c>
      <c r="AB105" s="28" t="n">
        <v>1</v>
      </c>
      <c r="AC105" s="28" t="n">
        <v>1</v>
      </c>
      <c r="AD105" s="18"/>
      <c r="AE105" s="22" t="n">
        <f aca="false">SUM(S105:AD105)</f>
        <v>7</v>
      </c>
      <c r="AF105" s="22"/>
      <c r="AG105" s="22"/>
      <c r="AH105" s="22"/>
      <c r="AI105" s="19" t="s">
        <v>50</v>
      </c>
      <c r="AJ105" s="19" t="s">
        <v>50</v>
      </c>
      <c r="AK105" s="19" t="s">
        <v>50</v>
      </c>
      <c r="AL105" s="19" t="s">
        <v>50</v>
      </c>
      <c r="AM105" s="22"/>
      <c r="AN105" s="19" t="s">
        <v>50</v>
      </c>
      <c r="AO105" s="22"/>
      <c r="AP105" s="19" t="s">
        <v>50</v>
      </c>
      <c r="AQ105" s="22"/>
      <c r="AR105" s="19" t="s">
        <v>50</v>
      </c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22" t="n">
        <f aca="false">SUM(AS105:BD105)</f>
        <v>0</v>
      </c>
      <c r="BF105" s="23"/>
      <c r="BG105" s="24"/>
      <c r="BH105" s="18"/>
      <c r="BI105" s="18"/>
      <c r="BJ105" s="25" t="n">
        <v>1</v>
      </c>
      <c r="BK105" s="18"/>
      <c r="BL105" s="18"/>
      <c r="BM105" s="25" t="n">
        <v>1</v>
      </c>
      <c r="BN105" s="18"/>
      <c r="BO105" s="18"/>
      <c r="BP105" s="18"/>
      <c r="BQ105" s="25" t="n">
        <v>2</v>
      </c>
      <c r="BR105" s="25" t="n">
        <v>3</v>
      </c>
      <c r="BS105" s="18"/>
      <c r="BT105" s="22" t="n">
        <f aca="false">SUM(BH105:BS105)</f>
        <v>7</v>
      </c>
      <c r="BU105" s="26" t="n">
        <v>46036.6771064815</v>
      </c>
      <c r="BV105" s="17"/>
      <c r="BW105" s="17" t="s">
        <v>44</v>
      </c>
      <c r="BX105" s="23" t="n">
        <f aca="false">IFERROR(R105/AE105,0)</f>
        <v>8445.42285714286</v>
      </c>
      <c r="BY105" s="23" t="n">
        <f aca="false">IFERROR(R105/12,0)</f>
        <v>4926.49666666667</v>
      </c>
      <c r="BZ105" s="18" t="n">
        <v>29.2857</v>
      </c>
      <c r="CA105" s="22" t="str">
        <f aca="false">IF(AE105=0,"PROSPECT",IF(AE105=1,"NOVO",IF(AE105&lt;=3,"EM DESENV.",IF(AE105&lt;=6,"RECORRENTE","FIDELIZADO"))))</f>
        <v>FIDELIZADO</v>
      </c>
      <c r="CB105" s="22" t="n">
        <f aca="false">IF((P105+Q105)&gt;0,1,0)+IF((BR105+BS105)&gt;0,1,0)+IF(BE105&gt;0,1,0)</f>
        <v>2</v>
      </c>
    </row>
    <row r="106" customFormat="false" ht="15" hidden="false" customHeight="true" outlineLevel="0" collapsed="false">
      <c r="A106" s="16" t="s">
        <v>360</v>
      </c>
      <c r="B106" s="17" t="s">
        <v>361</v>
      </c>
      <c r="C106" s="18" t="s">
        <v>127</v>
      </c>
      <c r="D106" s="17" t="s">
        <v>362</v>
      </c>
      <c r="E106" s="30" t="s">
        <v>279</v>
      </c>
      <c r="F106" s="20"/>
      <c r="G106" s="20"/>
      <c r="H106" s="20"/>
      <c r="I106" s="20"/>
      <c r="J106" s="20"/>
      <c r="K106" s="20"/>
      <c r="L106" s="27" t="n">
        <v>1567.26</v>
      </c>
      <c r="M106" s="20"/>
      <c r="N106" s="20"/>
      <c r="O106" s="27" t="n">
        <v>1159.21</v>
      </c>
      <c r="P106" s="20"/>
      <c r="Q106" s="20"/>
      <c r="R106" s="21" t="n">
        <f aca="false">SUM(F106:Q106)</f>
        <v>2726.47</v>
      </c>
      <c r="S106" s="18"/>
      <c r="T106" s="18"/>
      <c r="U106" s="18"/>
      <c r="V106" s="18"/>
      <c r="W106" s="18"/>
      <c r="X106" s="18"/>
      <c r="Y106" s="28" t="n">
        <v>1</v>
      </c>
      <c r="Z106" s="18"/>
      <c r="AA106" s="18"/>
      <c r="AB106" s="28" t="n">
        <v>1</v>
      </c>
      <c r="AC106" s="18"/>
      <c r="AD106" s="18"/>
      <c r="AE106" s="22" t="n">
        <f aca="false">SUM(S106:AD106)</f>
        <v>2</v>
      </c>
      <c r="AF106" s="22"/>
      <c r="AG106" s="22"/>
      <c r="AH106" s="22"/>
      <c r="AI106" s="22"/>
      <c r="AJ106" s="22"/>
      <c r="AK106" s="22"/>
      <c r="AL106" s="19" t="s">
        <v>50</v>
      </c>
      <c r="AM106" s="22"/>
      <c r="AN106" s="22"/>
      <c r="AO106" s="22"/>
      <c r="AP106" s="22"/>
      <c r="AQ106" s="22"/>
      <c r="AR106" s="30" t="s">
        <v>49</v>
      </c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22" t="n">
        <f aca="false">SUM(AS106:BD106)</f>
        <v>0</v>
      </c>
      <c r="BF106" s="23"/>
      <c r="BG106" s="24"/>
      <c r="BH106" s="18"/>
      <c r="BI106" s="18"/>
      <c r="BJ106" s="18"/>
      <c r="BK106" s="18"/>
      <c r="BL106" s="18"/>
      <c r="BM106" s="18"/>
      <c r="BN106" s="18"/>
      <c r="BO106" s="18"/>
      <c r="BP106" s="18"/>
      <c r="BQ106" s="25" t="n">
        <v>2</v>
      </c>
      <c r="BR106" s="18"/>
      <c r="BS106" s="18"/>
      <c r="BT106" s="22" t="n">
        <f aca="false">SUM(BH106:BS106)</f>
        <v>2</v>
      </c>
      <c r="BU106" s="26" t="n">
        <v>46000.5048611111</v>
      </c>
      <c r="BV106" s="17" t="s">
        <v>107</v>
      </c>
      <c r="BW106" s="17" t="s">
        <v>44</v>
      </c>
      <c r="BX106" s="23" t="n">
        <f aca="false">IFERROR(R106/AE106,0)</f>
        <v>1363.235</v>
      </c>
      <c r="BY106" s="23" t="n">
        <f aca="false">IFERROR(R106/12,0)</f>
        <v>227.205833333333</v>
      </c>
      <c r="BZ106" s="18" t="n">
        <v>83</v>
      </c>
      <c r="CA106" s="22" t="str">
        <f aca="false">IF(AE106=0,"PROSPECT",IF(AE106=1,"NOVO",IF(AE106&lt;=3,"EM DESENV.",IF(AE106&lt;=6,"RECORRENTE","FIDELIZADO"))))</f>
        <v>EM DESENV.</v>
      </c>
      <c r="CB106" s="22" t="n">
        <f aca="false">IF((P106+Q106)&gt;0,1,0)+IF((BR106+BS106)&gt;0,1,0)+IF(BE106&gt;0,1,0)</f>
        <v>0</v>
      </c>
    </row>
    <row r="107" customFormat="false" ht="15" hidden="false" customHeight="true" outlineLevel="0" collapsed="false">
      <c r="A107" s="16" t="s">
        <v>363</v>
      </c>
      <c r="B107" s="17" t="s">
        <v>364</v>
      </c>
      <c r="C107" s="18" t="s">
        <v>168</v>
      </c>
      <c r="D107" s="17" t="s">
        <v>169</v>
      </c>
      <c r="E107" s="29" t="s">
        <v>365</v>
      </c>
      <c r="F107" s="20"/>
      <c r="G107" s="20"/>
      <c r="H107" s="20"/>
      <c r="I107" s="20"/>
      <c r="J107" s="27" t="n">
        <v>1500.53</v>
      </c>
      <c r="K107" s="20"/>
      <c r="L107" s="20"/>
      <c r="M107" s="20"/>
      <c r="N107" s="20"/>
      <c r="O107" s="20"/>
      <c r="P107" s="20"/>
      <c r="Q107" s="20"/>
      <c r="R107" s="21" t="n">
        <f aca="false">SUM(F107:Q107)</f>
        <v>1500.53</v>
      </c>
      <c r="S107" s="18"/>
      <c r="T107" s="18"/>
      <c r="U107" s="18"/>
      <c r="V107" s="18"/>
      <c r="W107" s="28" t="n">
        <v>1</v>
      </c>
      <c r="X107" s="18"/>
      <c r="Y107" s="18"/>
      <c r="Z107" s="18"/>
      <c r="AA107" s="18"/>
      <c r="AB107" s="18"/>
      <c r="AC107" s="18"/>
      <c r="AD107" s="18"/>
      <c r="AE107" s="22" t="n">
        <f aca="false">SUM(S107:AD107)</f>
        <v>1</v>
      </c>
      <c r="AF107" s="22"/>
      <c r="AG107" s="22"/>
      <c r="AH107" s="22"/>
      <c r="AI107" s="22"/>
      <c r="AJ107" s="19" t="s">
        <v>50</v>
      </c>
      <c r="AK107" s="22"/>
      <c r="AL107" s="22"/>
      <c r="AM107" s="22"/>
      <c r="AN107" s="22"/>
      <c r="AO107" s="22"/>
      <c r="AP107" s="22"/>
      <c r="AQ107" s="22"/>
      <c r="AR107" s="30" t="s">
        <v>49</v>
      </c>
      <c r="AS107" s="18"/>
      <c r="AT107" s="18"/>
      <c r="AU107" s="18"/>
      <c r="AV107" s="18"/>
      <c r="AW107" s="18"/>
      <c r="AX107" s="25" t="n">
        <v>1</v>
      </c>
      <c r="AY107" s="25" t="n">
        <v>1</v>
      </c>
      <c r="AZ107" s="18"/>
      <c r="BA107" s="18"/>
      <c r="BB107" s="18"/>
      <c r="BC107" s="18"/>
      <c r="BD107" s="18"/>
      <c r="BE107" s="22" t="n">
        <f aca="false">SUM(AS107:BD107)</f>
        <v>2</v>
      </c>
      <c r="BF107" s="23"/>
      <c r="BG107" s="31" t="s">
        <v>93</v>
      </c>
      <c r="BH107" s="18"/>
      <c r="BI107" s="18"/>
      <c r="BJ107" s="18"/>
      <c r="BK107" s="25" t="n">
        <v>2</v>
      </c>
      <c r="BL107" s="18"/>
      <c r="BM107" s="25" t="n">
        <v>1</v>
      </c>
      <c r="BN107" s="18"/>
      <c r="BO107" s="25" t="n">
        <v>2</v>
      </c>
      <c r="BP107" s="18"/>
      <c r="BQ107" s="18"/>
      <c r="BR107" s="18"/>
      <c r="BS107" s="18"/>
      <c r="BT107" s="22" t="n">
        <f aca="false">SUM(BH107:BS107)</f>
        <v>5</v>
      </c>
      <c r="BU107" s="26" t="n">
        <v>45952.4527777778</v>
      </c>
      <c r="BV107" s="17" t="s">
        <v>243</v>
      </c>
      <c r="BW107" s="17" t="s">
        <v>44</v>
      </c>
      <c r="BX107" s="23" t="n">
        <f aca="false">IFERROR(R107/AE107,0)</f>
        <v>1500.53</v>
      </c>
      <c r="BY107" s="23" t="n">
        <f aca="false">IFERROR(R107/12,0)</f>
        <v>125.044166666667</v>
      </c>
      <c r="BZ107" s="18" t="n">
        <v>0</v>
      </c>
      <c r="CA107" s="22" t="str">
        <f aca="false">IF(AE107=0,"PROSPECT",IF(AE107=1,"NOVO",IF(AE107&lt;=3,"EM DESENV.",IF(AE107&lt;=6,"RECORRENTE","FIDELIZADO"))))</f>
        <v>NOVO</v>
      </c>
      <c r="CB107" s="22" t="n">
        <f aca="false">IF((P107+Q107)&gt;0,1,0)+IF((BR107+BS107)&gt;0,1,0)+IF(BE107&gt;0,1,0)</f>
        <v>1</v>
      </c>
    </row>
    <row r="108" customFormat="false" ht="15" hidden="false" customHeight="true" outlineLevel="0" collapsed="false">
      <c r="A108" s="16" t="s">
        <v>366</v>
      </c>
      <c r="B108" s="17" t="s">
        <v>367</v>
      </c>
      <c r="C108" s="18" t="s">
        <v>155</v>
      </c>
      <c r="D108" s="17" t="s">
        <v>368</v>
      </c>
      <c r="E108" s="29" t="s">
        <v>365</v>
      </c>
      <c r="F108" s="20"/>
      <c r="G108" s="20"/>
      <c r="H108" s="20"/>
      <c r="I108" s="20"/>
      <c r="J108" s="20"/>
      <c r="K108" s="20"/>
      <c r="L108" s="27" t="n">
        <v>6510.59</v>
      </c>
      <c r="M108" s="20"/>
      <c r="N108" s="20"/>
      <c r="O108" s="20"/>
      <c r="P108" s="20"/>
      <c r="Q108" s="20"/>
      <c r="R108" s="21" t="n">
        <f aca="false">SUM(F108:Q108)</f>
        <v>6510.59</v>
      </c>
      <c r="S108" s="18"/>
      <c r="T108" s="18"/>
      <c r="U108" s="18"/>
      <c r="V108" s="18"/>
      <c r="W108" s="18"/>
      <c r="X108" s="18"/>
      <c r="Y108" s="28" t="n">
        <v>1</v>
      </c>
      <c r="Z108" s="18"/>
      <c r="AA108" s="18"/>
      <c r="AB108" s="18"/>
      <c r="AC108" s="18"/>
      <c r="AD108" s="18"/>
      <c r="AE108" s="22" t="n">
        <f aca="false">SUM(S108:AD108)</f>
        <v>1</v>
      </c>
      <c r="AF108" s="22"/>
      <c r="AG108" s="22"/>
      <c r="AH108" s="22"/>
      <c r="AI108" s="22"/>
      <c r="AJ108" s="22"/>
      <c r="AK108" s="22"/>
      <c r="AL108" s="19" t="s">
        <v>50</v>
      </c>
      <c r="AM108" s="22"/>
      <c r="AN108" s="22"/>
      <c r="AO108" s="22"/>
      <c r="AP108" s="22"/>
      <c r="AQ108" s="22"/>
      <c r="AR108" s="19" t="s">
        <v>50</v>
      </c>
      <c r="AS108" s="18"/>
      <c r="AT108" s="25" t="n">
        <v>5</v>
      </c>
      <c r="AU108" s="25" t="n">
        <v>5</v>
      </c>
      <c r="AV108" s="25" t="n">
        <v>4</v>
      </c>
      <c r="AW108" s="25" t="n">
        <v>1</v>
      </c>
      <c r="AX108" s="25" t="n">
        <v>1</v>
      </c>
      <c r="AY108" s="25" t="n">
        <v>4</v>
      </c>
      <c r="AZ108" s="18"/>
      <c r="BA108" s="18"/>
      <c r="BB108" s="18"/>
      <c r="BC108" s="18"/>
      <c r="BD108" s="18"/>
      <c r="BE108" s="22" t="n">
        <f aca="false">SUM(AS108:BD108)</f>
        <v>20</v>
      </c>
      <c r="BF108" s="23"/>
      <c r="BG108" s="31" t="s">
        <v>93</v>
      </c>
      <c r="BH108" s="18"/>
      <c r="BI108" s="25" t="n">
        <v>2</v>
      </c>
      <c r="BJ108" s="18"/>
      <c r="BK108" s="18"/>
      <c r="BL108" s="18"/>
      <c r="BM108" s="18"/>
      <c r="BN108" s="18"/>
      <c r="BO108" s="18"/>
      <c r="BP108" s="18"/>
      <c r="BQ108" s="18"/>
      <c r="BR108" s="25" t="n">
        <v>2</v>
      </c>
      <c r="BS108" s="25" t="n">
        <v>1</v>
      </c>
      <c r="BT108" s="22" t="n">
        <f aca="false">SUM(BH108:BS108)</f>
        <v>5</v>
      </c>
      <c r="BU108" s="26" t="n">
        <v>46059.4409143519</v>
      </c>
      <c r="BV108" s="17"/>
      <c r="BW108" s="17" t="s">
        <v>44</v>
      </c>
      <c r="BX108" s="23" t="n">
        <f aca="false">IFERROR(R108/AE108,0)</f>
        <v>6510.59</v>
      </c>
      <c r="BY108" s="23" t="n">
        <f aca="false">IFERROR(R108/12,0)</f>
        <v>542.549166666667</v>
      </c>
      <c r="BZ108" s="18" t="n">
        <v>0</v>
      </c>
      <c r="CA108" s="22" t="str">
        <f aca="false">IF(AE108=0,"PROSPECT",IF(AE108=1,"NOVO",IF(AE108&lt;=3,"EM DESENV.",IF(AE108&lt;=6,"RECORRENTE","FIDELIZADO"))))</f>
        <v>NOVO</v>
      </c>
      <c r="CB108" s="22" t="n">
        <f aca="false">IF((P108+Q108)&gt;0,1,0)+IF((BR108+BS108)&gt;0,1,0)+IF(BE108&gt;0,1,0)</f>
        <v>2</v>
      </c>
    </row>
    <row r="109" customFormat="false" ht="15" hidden="false" customHeight="true" outlineLevel="0" collapsed="false">
      <c r="A109" s="16" t="s">
        <v>369</v>
      </c>
      <c r="B109" s="17" t="s">
        <v>370</v>
      </c>
      <c r="C109" s="18" t="s">
        <v>53</v>
      </c>
      <c r="D109" s="17" t="s">
        <v>371</v>
      </c>
      <c r="E109" s="29" t="s">
        <v>365</v>
      </c>
      <c r="F109" s="27" t="n">
        <v>2281.3</v>
      </c>
      <c r="G109" s="27" t="n">
        <v>682.62</v>
      </c>
      <c r="H109" s="27" t="n">
        <v>681.04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1" t="n">
        <f aca="false">SUM(F109:Q109)</f>
        <v>3644.96</v>
      </c>
      <c r="S109" s="28" t="n">
        <v>1</v>
      </c>
      <c r="T109" s="28" t="n">
        <v>1</v>
      </c>
      <c r="U109" s="28" t="n">
        <v>1</v>
      </c>
      <c r="V109" s="18"/>
      <c r="W109" s="18"/>
      <c r="X109" s="18"/>
      <c r="Y109" s="18"/>
      <c r="Z109" s="18"/>
      <c r="AA109" s="18"/>
      <c r="AB109" s="18"/>
      <c r="AC109" s="18"/>
      <c r="AD109" s="18"/>
      <c r="AE109" s="22" t="n">
        <f aca="false">SUM(S109:AD109)</f>
        <v>3</v>
      </c>
      <c r="AF109" s="19" t="s">
        <v>50</v>
      </c>
      <c r="AG109" s="30" t="s">
        <v>49</v>
      </c>
      <c r="AH109" s="29" t="s">
        <v>48</v>
      </c>
      <c r="AI109" s="22"/>
      <c r="AJ109" s="22"/>
      <c r="AK109" s="22"/>
      <c r="AL109" s="22"/>
      <c r="AM109" s="22"/>
      <c r="AN109" s="22"/>
      <c r="AO109" s="22"/>
      <c r="AP109" s="22"/>
      <c r="AQ109" s="22"/>
      <c r="AR109" s="19" t="s">
        <v>50</v>
      </c>
      <c r="AS109" s="25" t="n">
        <v>3</v>
      </c>
      <c r="AT109" s="25" t="n">
        <v>2</v>
      </c>
      <c r="AU109" s="25" t="n">
        <v>2</v>
      </c>
      <c r="AV109" s="18"/>
      <c r="AW109" s="18"/>
      <c r="AX109" s="18"/>
      <c r="AY109" s="18"/>
      <c r="AZ109" s="18"/>
      <c r="BA109" s="18"/>
      <c r="BB109" s="18"/>
      <c r="BC109" s="18"/>
      <c r="BD109" s="18"/>
      <c r="BE109" s="22" t="n">
        <f aca="false">SUM(AS109:BD109)</f>
        <v>7</v>
      </c>
      <c r="BF109" s="23"/>
      <c r="BG109" s="31" t="s">
        <v>93</v>
      </c>
      <c r="BH109" s="18"/>
      <c r="BI109" s="18"/>
      <c r="BJ109" s="18"/>
      <c r="BK109" s="25" t="n">
        <v>1</v>
      </c>
      <c r="BL109" s="25" t="n">
        <v>1</v>
      </c>
      <c r="BM109" s="18"/>
      <c r="BN109" s="25" t="n">
        <v>1</v>
      </c>
      <c r="BO109" s="25" t="n">
        <v>2</v>
      </c>
      <c r="BP109" s="18"/>
      <c r="BQ109" s="25" t="n">
        <v>1</v>
      </c>
      <c r="BR109" s="25" t="n">
        <v>2</v>
      </c>
      <c r="BS109" s="18"/>
      <c r="BT109" s="22" t="n">
        <f aca="false">SUM(BH109:BS109)</f>
        <v>8</v>
      </c>
      <c r="BU109" s="26" t="n">
        <v>46036.6862847222</v>
      </c>
      <c r="BV109" s="17"/>
      <c r="BW109" s="17" t="s">
        <v>44</v>
      </c>
      <c r="BX109" s="23" t="n">
        <f aca="false">IFERROR(R109/AE109,0)</f>
        <v>1214.98666666667</v>
      </c>
      <c r="BY109" s="23" t="n">
        <f aca="false">IFERROR(R109/12,0)</f>
        <v>303.746666666667</v>
      </c>
      <c r="BZ109" s="18" t="n">
        <v>33.5</v>
      </c>
      <c r="CA109" s="22" t="str">
        <f aca="false">IF(AE109=0,"PROSPECT",IF(AE109=1,"NOVO",IF(AE109&lt;=3,"EM DESENV.",IF(AE109&lt;=6,"RECORRENTE","FIDELIZADO"))))</f>
        <v>EM DESENV.</v>
      </c>
      <c r="CB109" s="22" t="n">
        <f aca="false">IF((P109+Q109)&gt;0,1,0)+IF((BR109+BS109)&gt;0,1,0)+IF(BE109&gt;0,1,0)</f>
        <v>2</v>
      </c>
    </row>
    <row r="110" customFormat="false" ht="15" hidden="false" customHeight="true" outlineLevel="0" collapsed="false">
      <c r="A110" s="16" t="s">
        <v>372</v>
      </c>
      <c r="B110" s="17" t="s">
        <v>373</v>
      </c>
      <c r="C110" s="18" t="s">
        <v>72</v>
      </c>
      <c r="D110" s="17" t="s">
        <v>374</v>
      </c>
      <c r="E110" s="29" t="s">
        <v>365</v>
      </c>
      <c r="F110" s="20"/>
      <c r="G110" s="20"/>
      <c r="H110" s="20"/>
      <c r="I110" s="20"/>
      <c r="J110" s="20"/>
      <c r="K110" s="20"/>
      <c r="L110" s="20"/>
      <c r="M110" s="20"/>
      <c r="N110" s="27" t="n">
        <v>657.26</v>
      </c>
      <c r="O110" s="20"/>
      <c r="P110" s="20"/>
      <c r="Q110" s="20"/>
      <c r="R110" s="21" t="n">
        <f aca="false">SUM(F110:Q110)</f>
        <v>657.26</v>
      </c>
      <c r="S110" s="18"/>
      <c r="T110" s="18"/>
      <c r="U110" s="18"/>
      <c r="V110" s="18"/>
      <c r="W110" s="18"/>
      <c r="X110" s="18"/>
      <c r="Y110" s="18"/>
      <c r="Z110" s="18"/>
      <c r="AA110" s="28" t="n">
        <v>1</v>
      </c>
      <c r="AB110" s="18"/>
      <c r="AC110" s="18"/>
      <c r="AD110" s="18"/>
      <c r="AE110" s="22" t="n">
        <f aca="false">SUM(S110:AD110)</f>
        <v>1</v>
      </c>
      <c r="AF110" s="22"/>
      <c r="AG110" s="22"/>
      <c r="AH110" s="22"/>
      <c r="AI110" s="22"/>
      <c r="AJ110" s="22"/>
      <c r="AK110" s="22"/>
      <c r="AL110" s="22"/>
      <c r="AM110" s="22"/>
      <c r="AN110" s="29" t="s">
        <v>48</v>
      </c>
      <c r="AO110" s="22"/>
      <c r="AP110" s="22"/>
      <c r="AQ110" s="22"/>
      <c r="AR110" s="29" t="s">
        <v>48</v>
      </c>
      <c r="AS110" s="18"/>
      <c r="AT110" s="18"/>
      <c r="AU110" s="18"/>
      <c r="AV110" s="18"/>
      <c r="AW110" s="18"/>
      <c r="AX110" s="18"/>
      <c r="AY110" s="18"/>
      <c r="AZ110" s="18"/>
      <c r="BA110" s="25" t="n">
        <v>19</v>
      </c>
      <c r="BB110" s="18"/>
      <c r="BC110" s="18"/>
      <c r="BD110" s="18"/>
      <c r="BE110" s="22" t="n">
        <f aca="false">SUM(AS110:BD110)</f>
        <v>19</v>
      </c>
      <c r="BF110" s="23" t="n">
        <v>657.26</v>
      </c>
      <c r="BG110" s="19" t="s">
        <v>55</v>
      </c>
      <c r="BH110" s="18"/>
      <c r="BI110" s="18"/>
      <c r="BJ110" s="18"/>
      <c r="BK110" s="18"/>
      <c r="BL110" s="18"/>
      <c r="BM110" s="18"/>
      <c r="BN110" s="18"/>
      <c r="BO110" s="18"/>
      <c r="BP110" s="25" t="n">
        <v>2</v>
      </c>
      <c r="BQ110" s="18"/>
      <c r="BR110" s="18"/>
      <c r="BS110" s="18"/>
      <c r="BT110" s="22" t="n">
        <f aca="false">SUM(BH110:BS110)</f>
        <v>2</v>
      </c>
      <c r="BU110" s="26" t="n">
        <v>45968.5618055556</v>
      </c>
      <c r="BV110" s="17" t="s">
        <v>89</v>
      </c>
      <c r="BW110" s="17" t="s">
        <v>44</v>
      </c>
      <c r="BX110" s="23" t="n">
        <f aca="false">IFERROR(R110/AE110,0)</f>
        <v>657.26</v>
      </c>
      <c r="BY110" s="23" t="n">
        <f aca="false">IFERROR(R110/12,0)</f>
        <v>54.7716666666667</v>
      </c>
      <c r="BZ110" s="18" t="n">
        <v>0</v>
      </c>
      <c r="CA110" s="22" t="str">
        <f aca="false">IF(AE110=0,"PROSPECT",IF(AE110=1,"NOVO",IF(AE110&lt;=3,"EM DESENV.",IF(AE110&lt;=6,"RECORRENTE","FIDELIZADO"))))</f>
        <v>NOVO</v>
      </c>
      <c r="CB110" s="22" t="n">
        <f aca="false">IF((P110+Q110)&gt;0,1,0)+IF((BR110+BS110)&gt;0,1,0)+IF(BE110&gt;0,1,0)</f>
        <v>1</v>
      </c>
    </row>
    <row r="111" customFormat="false" ht="15" hidden="false" customHeight="true" outlineLevel="0" collapsed="false">
      <c r="A111" s="16" t="s">
        <v>375</v>
      </c>
      <c r="B111" s="17" t="s">
        <v>376</v>
      </c>
      <c r="C111" s="18" t="s">
        <v>53</v>
      </c>
      <c r="D111" s="17" t="s">
        <v>377</v>
      </c>
      <c r="E111" s="29" t="s">
        <v>365</v>
      </c>
      <c r="F111" s="20"/>
      <c r="G111" s="20"/>
      <c r="H111" s="27" t="n">
        <v>576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1" t="n">
        <f aca="false">SUM(F111:Q111)</f>
        <v>576</v>
      </c>
      <c r="S111" s="18"/>
      <c r="T111" s="18"/>
      <c r="U111" s="28" t="n">
        <v>1</v>
      </c>
      <c r="V111" s="18"/>
      <c r="W111" s="18"/>
      <c r="X111" s="18"/>
      <c r="Y111" s="18"/>
      <c r="Z111" s="18"/>
      <c r="AA111" s="18"/>
      <c r="AB111" s="18"/>
      <c r="AC111" s="18"/>
      <c r="AD111" s="18"/>
      <c r="AE111" s="22" t="n">
        <f aca="false">SUM(S111:AD111)</f>
        <v>1</v>
      </c>
      <c r="AF111" s="22"/>
      <c r="AG111" s="22"/>
      <c r="AH111" s="29" t="s">
        <v>48</v>
      </c>
      <c r="AI111" s="22"/>
      <c r="AJ111" s="22"/>
      <c r="AK111" s="22"/>
      <c r="AL111" s="22"/>
      <c r="AM111" s="22"/>
      <c r="AN111" s="22"/>
      <c r="AO111" s="22"/>
      <c r="AP111" s="22"/>
      <c r="AQ111" s="22"/>
      <c r="AR111" s="29" t="s">
        <v>48</v>
      </c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22" t="n">
        <f aca="false">SUM(AS111:BD111)</f>
        <v>0</v>
      </c>
      <c r="BF111" s="23"/>
      <c r="BG111" s="24"/>
      <c r="BH111" s="18"/>
      <c r="BI111" s="18"/>
      <c r="BJ111" s="25" t="n">
        <v>1</v>
      </c>
      <c r="BK111" s="18"/>
      <c r="BL111" s="18"/>
      <c r="BM111" s="25" t="n">
        <v>1</v>
      </c>
      <c r="BN111" s="25" t="n">
        <v>1</v>
      </c>
      <c r="BO111" s="25" t="n">
        <v>1</v>
      </c>
      <c r="BP111" s="18"/>
      <c r="BQ111" s="25" t="n">
        <v>1</v>
      </c>
      <c r="BR111" s="25" t="n">
        <v>1</v>
      </c>
      <c r="BS111" s="18"/>
      <c r="BT111" s="22" t="n">
        <f aca="false">SUM(BH111:BS111)</f>
        <v>6</v>
      </c>
      <c r="BU111" s="26" t="n">
        <v>46036.6805555556</v>
      </c>
      <c r="BV111" s="17" t="s">
        <v>378</v>
      </c>
      <c r="BW111" s="17" t="s">
        <v>44</v>
      </c>
      <c r="BX111" s="23" t="n">
        <f aca="false">IFERROR(R111/AE111,0)</f>
        <v>576</v>
      </c>
      <c r="BY111" s="23" t="n">
        <f aca="false">IFERROR(R111/12,0)</f>
        <v>48</v>
      </c>
      <c r="BZ111" s="18" t="n">
        <v>0</v>
      </c>
      <c r="CA111" s="22" t="str">
        <f aca="false">IF(AE111=0,"PROSPECT",IF(AE111=1,"NOVO",IF(AE111&lt;=3,"EM DESENV.",IF(AE111&lt;=6,"RECORRENTE","FIDELIZADO"))))</f>
        <v>NOVO</v>
      </c>
      <c r="CB111" s="22" t="n">
        <f aca="false">IF((P111+Q111)&gt;0,1,0)+IF((BR111+BS111)&gt;0,1,0)+IF(BE111&gt;0,1,0)</f>
        <v>1</v>
      </c>
    </row>
    <row r="112" customFormat="false" ht="15" hidden="false" customHeight="true" outlineLevel="0" collapsed="false">
      <c r="A112" s="16" t="s">
        <v>379</v>
      </c>
      <c r="B112" s="17" t="s">
        <v>380</v>
      </c>
      <c r="C112" s="18" t="s">
        <v>53</v>
      </c>
      <c r="D112" s="17" t="s">
        <v>381</v>
      </c>
      <c r="E112" s="29" t="s">
        <v>365</v>
      </c>
      <c r="F112" s="20"/>
      <c r="G112" s="20"/>
      <c r="H112" s="27" t="n">
        <v>661.5</v>
      </c>
      <c r="I112" s="20"/>
      <c r="J112" s="20"/>
      <c r="K112" s="27" t="n">
        <v>725.05</v>
      </c>
      <c r="L112" s="27" t="n">
        <v>659.66</v>
      </c>
      <c r="M112" s="27" t="n">
        <v>659.66</v>
      </c>
      <c r="N112" s="20"/>
      <c r="O112" s="27" t="n">
        <v>897.14</v>
      </c>
      <c r="P112" s="20"/>
      <c r="Q112" s="20"/>
      <c r="R112" s="21" t="n">
        <f aca="false">SUM(F112:Q112)</f>
        <v>3603.01</v>
      </c>
      <c r="S112" s="18"/>
      <c r="T112" s="18"/>
      <c r="U112" s="28" t="n">
        <v>1</v>
      </c>
      <c r="V112" s="18"/>
      <c r="W112" s="18"/>
      <c r="X112" s="28" t="n">
        <v>1</v>
      </c>
      <c r="Y112" s="28" t="n">
        <v>1</v>
      </c>
      <c r="Z112" s="28" t="n">
        <v>1</v>
      </c>
      <c r="AA112" s="18"/>
      <c r="AB112" s="28" t="n">
        <v>1</v>
      </c>
      <c r="AC112" s="18"/>
      <c r="AD112" s="18"/>
      <c r="AE112" s="22" t="n">
        <f aca="false">SUM(S112:AD112)</f>
        <v>5</v>
      </c>
      <c r="AF112" s="22"/>
      <c r="AG112" s="22"/>
      <c r="AH112" s="29" t="s">
        <v>48</v>
      </c>
      <c r="AI112" s="22"/>
      <c r="AJ112" s="22"/>
      <c r="AK112" s="29" t="s">
        <v>48</v>
      </c>
      <c r="AL112" s="29" t="s">
        <v>48</v>
      </c>
      <c r="AM112" s="29" t="s">
        <v>48</v>
      </c>
      <c r="AN112" s="22"/>
      <c r="AO112" s="30" t="s">
        <v>49</v>
      </c>
      <c r="AP112" s="22"/>
      <c r="AQ112" s="22"/>
      <c r="AR112" s="19" t="s">
        <v>50</v>
      </c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22" t="n">
        <f aca="false">SUM(AS112:BD112)</f>
        <v>0</v>
      </c>
      <c r="BF112" s="23"/>
      <c r="BG112" s="24"/>
      <c r="BH112" s="18"/>
      <c r="BI112" s="18"/>
      <c r="BJ112" s="18"/>
      <c r="BK112" s="18"/>
      <c r="BL112" s="18"/>
      <c r="BM112" s="25" t="n">
        <v>1</v>
      </c>
      <c r="BN112" s="18"/>
      <c r="BO112" s="18"/>
      <c r="BP112" s="25" t="n">
        <v>2</v>
      </c>
      <c r="BQ112" s="18"/>
      <c r="BR112" s="25" t="n">
        <v>3</v>
      </c>
      <c r="BS112" s="25" t="n">
        <v>3</v>
      </c>
      <c r="BT112" s="22" t="n">
        <f aca="false">SUM(BH112:BS112)</f>
        <v>9</v>
      </c>
      <c r="BU112" s="26" t="n">
        <v>46058.6138888889</v>
      </c>
      <c r="BV112" s="17" t="s">
        <v>124</v>
      </c>
      <c r="BW112" s="17" t="s">
        <v>44</v>
      </c>
      <c r="BX112" s="23" t="n">
        <f aca="false">IFERROR(R112/AE112,0)</f>
        <v>720.602</v>
      </c>
      <c r="BY112" s="23" t="n">
        <f aca="false">IFERROR(R112/12,0)</f>
        <v>300.250833333333</v>
      </c>
      <c r="BZ112" s="18" t="n">
        <v>62.3333</v>
      </c>
      <c r="CA112" s="22" t="str">
        <f aca="false">IF(AE112=0,"PROSPECT",IF(AE112=1,"NOVO",IF(AE112&lt;=3,"EM DESENV.",IF(AE112&lt;=6,"RECORRENTE","FIDELIZADO"))))</f>
        <v>RECORRENTE</v>
      </c>
      <c r="CB112" s="22" t="n">
        <f aca="false">IF((P112+Q112)&gt;0,1,0)+IF((BR112+BS112)&gt;0,1,0)+IF(BE112&gt;0,1,0)</f>
        <v>1</v>
      </c>
    </row>
    <row r="113" customFormat="false" ht="15" hidden="false" customHeight="true" outlineLevel="0" collapsed="false">
      <c r="A113" s="16" t="s">
        <v>382</v>
      </c>
      <c r="B113" s="17" t="s">
        <v>383</v>
      </c>
      <c r="C113" s="18" t="s">
        <v>61</v>
      </c>
      <c r="D113" s="17" t="s">
        <v>384</v>
      </c>
      <c r="E113" s="29" t="s">
        <v>365</v>
      </c>
      <c r="F113" s="20"/>
      <c r="G113" s="20"/>
      <c r="H113" s="20"/>
      <c r="I113" s="20"/>
      <c r="J113" s="20"/>
      <c r="K113" s="20"/>
      <c r="L113" s="20"/>
      <c r="M113" s="20"/>
      <c r="N113" s="27" t="n">
        <v>615.6</v>
      </c>
      <c r="O113" s="20"/>
      <c r="P113" s="20"/>
      <c r="Q113" s="20"/>
      <c r="R113" s="21" t="n">
        <f aca="false">SUM(F113:Q113)</f>
        <v>615.6</v>
      </c>
      <c r="S113" s="18"/>
      <c r="T113" s="18"/>
      <c r="U113" s="18"/>
      <c r="V113" s="18"/>
      <c r="W113" s="18"/>
      <c r="X113" s="18"/>
      <c r="Y113" s="18"/>
      <c r="Z113" s="18"/>
      <c r="AA113" s="28" t="n">
        <v>1</v>
      </c>
      <c r="AB113" s="18"/>
      <c r="AC113" s="18"/>
      <c r="AD113" s="18"/>
      <c r="AE113" s="22" t="n">
        <f aca="false">SUM(S113:AD113)</f>
        <v>1</v>
      </c>
      <c r="AF113" s="22"/>
      <c r="AG113" s="22"/>
      <c r="AH113" s="22"/>
      <c r="AI113" s="22"/>
      <c r="AJ113" s="22"/>
      <c r="AK113" s="22"/>
      <c r="AL113" s="22"/>
      <c r="AM113" s="22"/>
      <c r="AN113" s="29" t="s">
        <v>48</v>
      </c>
      <c r="AO113" s="22"/>
      <c r="AP113" s="22"/>
      <c r="AQ113" s="22"/>
      <c r="AR113" s="29" t="s">
        <v>48</v>
      </c>
      <c r="AS113" s="18"/>
      <c r="AT113" s="18"/>
      <c r="AU113" s="18"/>
      <c r="AV113" s="18"/>
      <c r="AW113" s="18"/>
      <c r="AX113" s="18"/>
      <c r="AY113" s="18"/>
      <c r="AZ113" s="18"/>
      <c r="BA113" s="25" t="n">
        <v>6</v>
      </c>
      <c r="BB113" s="18"/>
      <c r="BC113" s="18"/>
      <c r="BD113" s="18"/>
      <c r="BE113" s="22" t="n">
        <f aca="false">SUM(AS113:BD113)</f>
        <v>6</v>
      </c>
      <c r="BF113" s="23"/>
      <c r="BG113" s="31" t="s">
        <v>93</v>
      </c>
      <c r="BH113" s="18"/>
      <c r="BI113" s="18"/>
      <c r="BJ113" s="18"/>
      <c r="BK113" s="18"/>
      <c r="BL113" s="18"/>
      <c r="BM113" s="18"/>
      <c r="BN113" s="18"/>
      <c r="BO113" s="18"/>
      <c r="BP113" s="25" t="n">
        <v>2</v>
      </c>
      <c r="BQ113" s="18"/>
      <c r="BR113" s="18"/>
      <c r="BS113" s="25" t="n">
        <v>2</v>
      </c>
      <c r="BT113" s="22" t="n">
        <f aca="false">SUM(BH113:BS113)</f>
        <v>4</v>
      </c>
      <c r="BU113" s="26" t="n">
        <v>46056.7215277778</v>
      </c>
      <c r="BV113" s="17"/>
      <c r="BW113" s="17" t="s">
        <v>44</v>
      </c>
      <c r="BX113" s="23" t="n">
        <f aca="false">IFERROR(R113/AE113,0)</f>
        <v>615.6</v>
      </c>
      <c r="BY113" s="23" t="n">
        <f aca="false">IFERROR(R113/12,0)</f>
        <v>51.3</v>
      </c>
      <c r="BZ113" s="18" t="n">
        <v>0</v>
      </c>
      <c r="CA113" s="22" t="str">
        <f aca="false">IF(AE113=0,"PROSPECT",IF(AE113=1,"NOVO",IF(AE113&lt;=3,"EM DESENV.",IF(AE113&lt;=6,"RECORRENTE","FIDELIZADO"))))</f>
        <v>NOVO</v>
      </c>
      <c r="CB113" s="22" t="n">
        <f aca="false">IF((P113+Q113)&gt;0,1,0)+IF((BR113+BS113)&gt;0,1,0)+IF(BE113&gt;0,1,0)</f>
        <v>2</v>
      </c>
    </row>
    <row r="114" customFormat="false" ht="15" hidden="false" customHeight="true" outlineLevel="0" collapsed="false">
      <c r="A114" s="16" t="s">
        <v>385</v>
      </c>
      <c r="B114" s="17" t="s">
        <v>386</v>
      </c>
      <c r="C114" s="18" t="s">
        <v>53</v>
      </c>
      <c r="D114" s="17" t="s">
        <v>387</v>
      </c>
      <c r="E114" s="29" t="s">
        <v>365</v>
      </c>
      <c r="F114" s="20"/>
      <c r="G114" s="20"/>
      <c r="H114" s="20"/>
      <c r="I114" s="20"/>
      <c r="J114" s="20"/>
      <c r="K114" s="20"/>
      <c r="L114" s="27" t="n">
        <v>687.6</v>
      </c>
      <c r="M114" s="20"/>
      <c r="N114" s="20"/>
      <c r="O114" s="20"/>
      <c r="P114" s="20"/>
      <c r="Q114" s="20"/>
      <c r="R114" s="21" t="n">
        <f aca="false">SUM(F114:Q114)</f>
        <v>687.6</v>
      </c>
      <c r="S114" s="18"/>
      <c r="T114" s="18"/>
      <c r="U114" s="18"/>
      <c r="V114" s="18"/>
      <c r="W114" s="18"/>
      <c r="X114" s="18"/>
      <c r="Y114" s="28" t="n">
        <v>1</v>
      </c>
      <c r="Z114" s="18"/>
      <c r="AA114" s="18"/>
      <c r="AB114" s="18"/>
      <c r="AC114" s="18"/>
      <c r="AD114" s="18"/>
      <c r="AE114" s="22" t="n">
        <f aca="false">SUM(S114:AD114)</f>
        <v>1</v>
      </c>
      <c r="AF114" s="22"/>
      <c r="AG114" s="22"/>
      <c r="AH114" s="22"/>
      <c r="AI114" s="22"/>
      <c r="AJ114" s="22"/>
      <c r="AK114" s="22"/>
      <c r="AL114" s="29" t="s">
        <v>48</v>
      </c>
      <c r="AM114" s="22"/>
      <c r="AN114" s="22"/>
      <c r="AO114" s="22"/>
      <c r="AP114" s="22"/>
      <c r="AQ114" s="22"/>
      <c r="AR114" s="29" t="s">
        <v>48</v>
      </c>
      <c r="AS114" s="18"/>
      <c r="AT114" s="18"/>
      <c r="AU114" s="18"/>
      <c r="AV114" s="25" t="n">
        <v>2</v>
      </c>
      <c r="AW114" s="18"/>
      <c r="AX114" s="25" t="n">
        <v>5</v>
      </c>
      <c r="AY114" s="25" t="n">
        <v>11</v>
      </c>
      <c r="AZ114" s="18"/>
      <c r="BA114" s="18"/>
      <c r="BB114" s="18"/>
      <c r="BC114" s="18"/>
      <c r="BD114" s="18"/>
      <c r="BE114" s="22" t="n">
        <f aca="false">SUM(AS114:BD114)</f>
        <v>18</v>
      </c>
      <c r="BF114" s="23" t="n">
        <v>687.6</v>
      </c>
      <c r="BG114" s="19" t="s">
        <v>55</v>
      </c>
      <c r="BH114" s="18"/>
      <c r="BI114" s="18"/>
      <c r="BJ114" s="18"/>
      <c r="BK114" s="25" t="n">
        <v>3</v>
      </c>
      <c r="BL114" s="18"/>
      <c r="BM114" s="25" t="n">
        <v>1</v>
      </c>
      <c r="BN114" s="18"/>
      <c r="BO114" s="18"/>
      <c r="BP114" s="18"/>
      <c r="BQ114" s="18"/>
      <c r="BR114" s="25" t="n">
        <v>2</v>
      </c>
      <c r="BS114" s="18"/>
      <c r="BT114" s="22" t="n">
        <f aca="false">SUM(BH114:BS114)</f>
        <v>6</v>
      </c>
      <c r="BU114" s="26" t="n">
        <v>46036.4298611111</v>
      </c>
      <c r="BV114" s="17" t="s">
        <v>243</v>
      </c>
      <c r="BW114" s="17" t="s">
        <v>44</v>
      </c>
      <c r="BX114" s="23" t="n">
        <f aca="false">IFERROR(R114/AE114,0)</f>
        <v>687.6</v>
      </c>
      <c r="BY114" s="23" t="n">
        <f aca="false">IFERROR(R114/12,0)</f>
        <v>57.3</v>
      </c>
      <c r="BZ114" s="18" t="n">
        <v>0</v>
      </c>
      <c r="CA114" s="22" t="str">
        <f aca="false">IF(AE114=0,"PROSPECT",IF(AE114=1,"NOVO",IF(AE114&lt;=3,"EM DESENV.",IF(AE114&lt;=6,"RECORRENTE","FIDELIZADO"))))</f>
        <v>NOVO</v>
      </c>
      <c r="CB114" s="22" t="n">
        <f aca="false">IF((P114+Q114)&gt;0,1,0)+IF((BR114+BS114)&gt;0,1,0)+IF(BE114&gt;0,1,0)</f>
        <v>2</v>
      </c>
    </row>
    <row r="115" customFormat="false" ht="15" hidden="false" customHeight="true" outlineLevel="0" collapsed="false">
      <c r="A115" s="16" t="s">
        <v>388</v>
      </c>
      <c r="B115" s="17" t="s">
        <v>389</v>
      </c>
      <c r="C115" s="18" t="s">
        <v>53</v>
      </c>
      <c r="D115" s="17" t="s">
        <v>390</v>
      </c>
      <c r="E115" s="29" t="s">
        <v>365</v>
      </c>
      <c r="F115" s="20"/>
      <c r="G115" s="20"/>
      <c r="H115" s="20"/>
      <c r="I115" s="20"/>
      <c r="J115" s="20"/>
      <c r="K115" s="20"/>
      <c r="L115" s="20"/>
      <c r="M115" s="20"/>
      <c r="N115" s="27" t="n">
        <v>2615.08</v>
      </c>
      <c r="O115" s="20"/>
      <c r="P115" s="20"/>
      <c r="Q115" s="20"/>
      <c r="R115" s="21" t="n">
        <f aca="false">SUM(F115:Q115)</f>
        <v>2615.08</v>
      </c>
      <c r="S115" s="18"/>
      <c r="T115" s="18"/>
      <c r="U115" s="18"/>
      <c r="V115" s="18"/>
      <c r="W115" s="18"/>
      <c r="X115" s="18"/>
      <c r="Y115" s="18"/>
      <c r="Z115" s="18"/>
      <c r="AA115" s="28" t="n">
        <v>1</v>
      </c>
      <c r="AB115" s="18"/>
      <c r="AC115" s="18"/>
      <c r="AD115" s="18"/>
      <c r="AE115" s="22" t="n">
        <f aca="false">SUM(S115:AD115)</f>
        <v>1</v>
      </c>
      <c r="AF115" s="22"/>
      <c r="AG115" s="22"/>
      <c r="AH115" s="22"/>
      <c r="AI115" s="22"/>
      <c r="AJ115" s="22"/>
      <c r="AK115" s="22"/>
      <c r="AL115" s="22"/>
      <c r="AM115" s="22"/>
      <c r="AN115" s="19" t="s">
        <v>50</v>
      </c>
      <c r="AO115" s="22"/>
      <c r="AP115" s="22"/>
      <c r="AQ115" s="22"/>
      <c r="AR115" s="19" t="s">
        <v>50</v>
      </c>
      <c r="AS115" s="18"/>
      <c r="AT115" s="18"/>
      <c r="AU115" s="18"/>
      <c r="AV115" s="18"/>
      <c r="AW115" s="18"/>
      <c r="AX115" s="18"/>
      <c r="AY115" s="18"/>
      <c r="AZ115" s="18"/>
      <c r="BA115" s="25" t="n">
        <v>3</v>
      </c>
      <c r="BB115" s="25" t="n">
        <v>5</v>
      </c>
      <c r="BC115" s="18"/>
      <c r="BD115" s="25" t="n">
        <v>3</v>
      </c>
      <c r="BE115" s="22" t="n">
        <f aca="false">SUM(AS115:BD115)</f>
        <v>11</v>
      </c>
      <c r="BF115" s="23"/>
      <c r="BG115" s="31" t="s">
        <v>93</v>
      </c>
      <c r="BH115" s="18"/>
      <c r="BI115" s="18"/>
      <c r="BJ115" s="18"/>
      <c r="BK115" s="18"/>
      <c r="BL115" s="18"/>
      <c r="BM115" s="18"/>
      <c r="BN115" s="18"/>
      <c r="BO115" s="18"/>
      <c r="BP115" s="25" t="n">
        <v>1</v>
      </c>
      <c r="BQ115" s="18"/>
      <c r="BR115" s="18"/>
      <c r="BS115" s="18"/>
      <c r="BT115" s="22" t="n">
        <f aca="false">SUM(BH115:BS115)</f>
        <v>1</v>
      </c>
      <c r="BU115" s="26" t="n">
        <v>45986.7083333333</v>
      </c>
      <c r="BV115" s="17"/>
      <c r="BW115" s="17" t="s">
        <v>44</v>
      </c>
      <c r="BX115" s="23" t="n">
        <f aca="false">IFERROR(R115/AE115,0)</f>
        <v>2615.08</v>
      </c>
      <c r="BY115" s="23" t="n">
        <f aca="false">IFERROR(R115/12,0)</f>
        <v>217.923333333333</v>
      </c>
      <c r="BZ115" s="18" t="n">
        <v>0</v>
      </c>
      <c r="CA115" s="22" t="str">
        <f aca="false">IF(AE115=0,"PROSPECT",IF(AE115=1,"NOVO",IF(AE115&lt;=3,"EM DESENV.",IF(AE115&lt;=6,"RECORRENTE","FIDELIZADO"))))</f>
        <v>NOVO</v>
      </c>
      <c r="CB115" s="22" t="n">
        <f aca="false">IF((P115+Q115)&gt;0,1,0)+IF((BR115+BS115)&gt;0,1,0)+IF(BE115&gt;0,1,0)</f>
        <v>1</v>
      </c>
    </row>
    <row r="116" customFormat="false" ht="15" hidden="false" customHeight="true" outlineLevel="0" collapsed="false">
      <c r="A116" s="16" t="s">
        <v>391</v>
      </c>
      <c r="B116" s="17" t="s">
        <v>392</v>
      </c>
      <c r="C116" s="18" t="s">
        <v>53</v>
      </c>
      <c r="D116" s="17" t="s">
        <v>172</v>
      </c>
      <c r="E116" s="29" t="s">
        <v>365</v>
      </c>
      <c r="F116" s="20"/>
      <c r="G116" s="20"/>
      <c r="H116" s="20"/>
      <c r="I116" s="20"/>
      <c r="J116" s="20"/>
      <c r="K116" s="20"/>
      <c r="L116" s="20"/>
      <c r="M116" s="27" t="n">
        <v>775.16</v>
      </c>
      <c r="N116" s="27" t="n">
        <v>958.5</v>
      </c>
      <c r="O116" s="20"/>
      <c r="P116" s="20"/>
      <c r="Q116" s="20"/>
      <c r="R116" s="21" t="n">
        <f aca="false">SUM(F116:Q116)</f>
        <v>1733.66</v>
      </c>
      <c r="S116" s="18"/>
      <c r="T116" s="18"/>
      <c r="U116" s="18"/>
      <c r="V116" s="18"/>
      <c r="W116" s="18"/>
      <c r="X116" s="18"/>
      <c r="Y116" s="18"/>
      <c r="Z116" s="28" t="n">
        <v>1</v>
      </c>
      <c r="AA116" s="28" t="n">
        <v>1</v>
      </c>
      <c r="AB116" s="18"/>
      <c r="AC116" s="18"/>
      <c r="AD116" s="18"/>
      <c r="AE116" s="22" t="n">
        <f aca="false">SUM(S116:AD116)</f>
        <v>2</v>
      </c>
      <c r="AF116" s="22"/>
      <c r="AG116" s="22"/>
      <c r="AH116" s="22"/>
      <c r="AI116" s="22"/>
      <c r="AJ116" s="22"/>
      <c r="AK116" s="22"/>
      <c r="AL116" s="22"/>
      <c r="AM116" s="29" t="s">
        <v>48</v>
      </c>
      <c r="AN116" s="30" t="s">
        <v>49</v>
      </c>
      <c r="AO116" s="22"/>
      <c r="AP116" s="22"/>
      <c r="AQ116" s="22"/>
      <c r="AR116" s="30" t="s">
        <v>49</v>
      </c>
      <c r="AS116" s="18"/>
      <c r="AT116" s="18"/>
      <c r="AU116" s="18"/>
      <c r="AV116" s="18"/>
      <c r="AW116" s="18"/>
      <c r="AX116" s="18"/>
      <c r="AY116" s="18"/>
      <c r="AZ116" s="18"/>
      <c r="BA116" s="25" t="n">
        <v>2</v>
      </c>
      <c r="BB116" s="18"/>
      <c r="BC116" s="18"/>
      <c r="BD116" s="18"/>
      <c r="BE116" s="22" t="n">
        <f aca="false">SUM(AS116:BD116)</f>
        <v>2</v>
      </c>
      <c r="BF116" s="23"/>
      <c r="BG116" s="31" t="s">
        <v>93</v>
      </c>
      <c r="BH116" s="18"/>
      <c r="BI116" s="18"/>
      <c r="BJ116" s="18"/>
      <c r="BK116" s="18"/>
      <c r="BL116" s="18"/>
      <c r="BM116" s="18"/>
      <c r="BN116" s="18"/>
      <c r="BO116" s="25" t="n">
        <v>2</v>
      </c>
      <c r="BP116" s="18"/>
      <c r="BQ116" s="25" t="n">
        <v>1</v>
      </c>
      <c r="BR116" s="25" t="n">
        <v>3</v>
      </c>
      <c r="BS116" s="18"/>
      <c r="BT116" s="22" t="n">
        <f aca="false">SUM(BH116:BS116)</f>
        <v>6</v>
      </c>
      <c r="BU116" s="26" t="n">
        <v>46041.48125</v>
      </c>
      <c r="BV116" s="17" t="s">
        <v>107</v>
      </c>
      <c r="BW116" s="17" t="s">
        <v>44</v>
      </c>
      <c r="BX116" s="23" t="n">
        <f aca="false">IFERROR(R116/AE116,0)</f>
        <v>866.83</v>
      </c>
      <c r="BY116" s="23" t="n">
        <f aca="false">IFERROR(R116/12,0)</f>
        <v>144.471666666667</v>
      </c>
      <c r="BZ116" s="18" t="n">
        <v>26</v>
      </c>
      <c r="CA116" s="22" t="str">
        <f aca="false">IF(AE116=0,"PROSPECT",IF(AE116=1,"NOVO",IF(AE116&lt;=3,"EM DESENV.",IF(AE116&lt;=6,"RECORRENTE","FIDELIZADO"))))</f>
        <v>EM DESENV.</v>
      </c>
      <c r="CB116" s="22" t="n">
        <f aca="false">IF((P116+Q116)&gt;0,1,0)+IF((BR116+BS116)&gt;0,1,0)+IF(BE116&gt;0,1,0)</f>
        <v>2</v>
      </c>
    </row>
    <row r="117" customFormat="false" ht="15" hidden="false" customHeight="true" outlineLevel="0" collapsed="false">
      <c r="A117" s="16" t="s">
        <v>393</v>
      </c>
      <c r="B117" s="17" t="s">
        <v>394</v>
      </c>
      <c r="C117" s="18" t="s">
        <v>53</v>
      </c>
      <c r="D117" s="17" t="s">
        <v>395</v>
      </c>
      <c r="E117" s="29" t="s">
        <v>365</v>
      </c>
      <c r="F117" s="20"/>
      <c r="G117" s="20"/>
      <c r="H117" s="20"/>
      <c r="I117" s="20"/>
      <c r="J117" s="20"/>
      <c r="K117" s="20"/>
      <c r="L117" s="20"/>
      <c r="M117" s="20"/>
      <c r="N117" s="27" t="n">
        <v>3545.87</v>
      </c>
      <c r="O117" s="20"/>
      <c r="P117" s="20"/>
      <c r="Q117" s="20"/>
      <c r="R117" s="21" t="n">
        <f aca="false">SUM(F117:Q117)</f>
        <v>3545.87</v>
      </c>
      <c r="S117" s="18"/>
      <c r="T117" s="18"/>
      <c r="U117" s="18"/>
      <c r="V117" s="18"/>
      <c r="W117" s="18"/>
      <c r="X117" s="18"/>
      <c r="Y117" s="18"/>
      <c r="Z117" s="18"/>
      <c r="AA117" s="28" t="n">
        <v>1</v>
      </c>
      <c r="AB117" s="18"/>
      <c r="AC117" s="18"/>
      <c r="AD117" s="18"/>
      <c r="AE117" s="22" t="n">
        <f aca="false">SUM(S117:AD117)</f>
        <v>1</v>
      </c>
      <c r="AF117" s="22"/>
      <c r="AG117" s="22"/>
      <c r="AH117" s="22"/>
      <c r="AI117" s="22"/>
      <c r="AJ117" s="22"/>
      <c r="AK117" s="22"/>
      <c r="AL117" s="22"/>
      <c r="AM117" s="22"/>
      <c r="AN117" s="19" t="s">
        <v>50</v>
      </c>
      <c r="AO117" s="22"/>
      <c r="AP117" s="22"/>
      <c r="AQ117" s="22"/>
      <c r="AR117" s="19" t="s">
        <v>50</v>
      </c>
      <c r="AS117" s="18"/>
      <c r="AT117" s="18"/>
      <c r="AU117" s="18"/>
      <c r="AV117" s="18"/>
      <c r="AW117" s="18"/>
      <c r="AX117" s="18"/>
      <c r="AY117" s="18"/>
      <c r="AZ117" s="18"/>
      <c r="BA117" s="25" t="n">
        <v>13</v>
      </c>
      <c r="BB117" s="25" t="n">
        <v>1</v>
      </c>
      <c r="BC117" s="18"/>
      <c r="BD117" s="18"/>
      <c r="BE117" s="22" t="n">
        <f aca="false">SUM(AS117:BD117)</f>
        <v>14</v>
      </c>
      <c r="BF117" s="23" t="n">
        <v>3545.87</v>
      </c>
      <c r="BG117" s="19" t="s">
        <v>55</v>
      </c>
      <c r="BH117" s="18"/>
      <c r="BI117" s="18"/>
      <c r="BJ117" s="18"/>
      <c r="BK117" s="18"/>
      <c r="BL117" s="18"/>
      <c r="BM117" s="18"/>
      <c r="BN117" s="18"/>
      <c r="BO117" s="18"/>
      <c r="BP117" s="25" t="n">
        <v>2</v>
      </c>
      <c r="BQ117" s="18"/>
      <c r="BR117" s="25" t="n">
        <v>3</v>
      </c>
      <c r="BS117" s="25" t="n">
        <v>3</v>
      </c>
      <c r="BT117" s="22" t="n">
        <f aca="false">SUM(BH117:BS117)</f>
        <v>8</v>
      </c>
      <c r="BU117" s="26" t="n">
        <v>46056.6256944445</v>
      </c>
      <c r="BV117" s="17" t="s">
        <v>124</v>
      </c>
      <c r="BW117" s="17" t="s">
        <v>44</v>
      </c>
      <c r="BX117" s="23" t="n">
        <f aca="false">IFERROR(R117/AE117,0)</f>
        <v>3545.87</v>
      </c>
      <c r="BY117" s="23" t="n">
        <f aca="false">IFERROR(R117/12,0)</f>
        <v>295.489166666667</v>
      </c>
      <c r="BZ117" s="18" t="n">
        <v>0</v>
      </c>
      <c r="CA117" s="22" t="str">
        <f aca="false">IF(AE117=0,"PROSPECT",IF(AE117=1,"NOVO",IF(AE117&lt;=3,"EM DESENV.",IF(AE117&lt;=6,"RECORRENTE","FIDELIZADO"))))</f>
        <v>NOVO</v>
      </c>
      <c r="CB117" s="22" t="n">
        <f aca="false">IF((P117+Q117)&gt;0,1,0)+IF((BR117+BS117)&gt;0,1,0)+IF(BE117&gt;0,1,0)</f>
        <v>2</v>
      </c>
    </row>
    <row r="118" customFormat="false" ht="15" hidden="false" customHeight="true" outlineLevel="0" collapsed="false">
      <c r="A118" s="16" t="s">
        <v>396</v>
      </c>
      <c r="B118" s="17" t="s">
        <v>397</v>
      </c>
      <c r="C118" s="18" t="s">
        <v>263</v>
      </c>
      <c r="D118" s="17" t="s">
        <v>398</v>
      </c>
      <c r="E118" s="29" t="s">
        <v>365</v>
      </c>
      <c r="F118" s="20"/>
      <c r="G118" s="20"/>
      <c r="H118" s="27" t="n">
        <v>398.62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1" t="n">
        <f aca="false">SUM(F118:Q118)</f>
        <v>398.62</v>
      </c>
      <c r="S118" s="18"/>
      <c r="T118" s="18"/>
      <c r="U118" s="28" t="n">
        <v>1</v>
      </c>
      <c r="V118" s="18"/>
      <c r="W118" s="18"/>
      <c r="X118" s="18"/>
      <c r="Y118" s="18"/>
      <c r="Z118" s="18"/>
      <c r="AA118" s="18"/>
      <c r="AB118" s="18"/>
      <c r="AC118" s="18"/>
      <c r="AD118" s="18"/>
      <c r="AE118" s="22" t="n">
        <f aca="false">SUM(S118:AD118)</f>
        <v>1</v>
      </c>
      <c r="AF118" s="22"/>
      <c r="AG118" s="22"/>
      <c r="AH118" s="29" t="s">
        <v>48</v>
      </c>
      <c r="AI118" s="22"/>
      <c r="AJ118" s="22"/>
      <c r="AK118" s="22"/>
      <c r="AL118" s="22"/>
      <c r="AM118" s="22"/>
      <c r="AN118" s="22"/>
      <c r="AO118" s="22"/>
      <c r="AP118" s="22"/>
      <c r="AQ118" s="22"/>
      <c r="AR118" s="29" t="s">
        <v>48</v>
      </c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22" t="n">
        <f aca="false">SUM(AS118:BD118)</f>
        <v>0</v>
      </c>
      <c r="BF118" s="23"/>
      <c r="BG118" s="24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22" t="n">
        <f aca="false">SUM(BH118:BS118)</f>
        <v>0</v>
      </c>
      <c r="BU118" s="26"/>
      <c r="BV118" s="17"/>
      <c r="BW118" s="17"/>
      <c r="BX118" s="23" t="n">
        <f aca="false">IFERROR(R118/AE118,0)</f>
        <v>398.62</v>
      </c>
      <c r="BY118" s="23" t="n">
        <f aca="false">IFERROR(R118/12,0)</f>
        <v>33.2183333333333</v>
      </c>
      <c r="BZ118" s="18" t="n">
        <v>0</v>
      </c>
      <c r="CA118" s="22" t="str">
        <f aca="false">IF(AE118=0,"PROSPECT",IF(AE118=1,"NOVO",IF(AE118&lt;=3,"EM DESENV.",IF(AE118&lt;=6,"RECORRENTE","FIDELIZADO"))))</f>
        <v>NOVO</v>
      </c>
      <c r="CB118" s="22" t="n">
        <f aca="false">IF((P118+Q118)&gt;0,1,0)+IF((BR118+BS118)&gt;0,1,0)+IF(BE118&gt;0,1,0)</f>
        <v>0</v>
      </c>
    </row>
    <row r="119" customFormat="false" ht="15" hidden="false" customHeight="true" outlineLevel="0" collapsed="false">
      <c r="A119" s="16" t="s">
        <v>399</v>
      </c>
      <c r="B119" s="17" t="s">
        <v>400</v>
      </c>
      <c r="C119" s="18" t="s">
        <v>53</v>
      </c>
      <c r="D119" s="17" t="s">
        <v>401</v>
      </c>
      <c r="E119" s="29" t="s">
        <v>365</v>
      </c>
      <c r="F119" s="20"/>
      <c r="G119" s="20"/>
      <c r="H119" s="20"/>
      <c r="I119" s="20"/>
      <c r="J119" s="20"/>
      <c r="K119" s="20"/>
      <c r="L119" s="20"/>
      <c r="M119" s="27" t="n">
        <v>1036.85</v>
      </c>
      <c r="N119" s="20"/>
      <c r="O119" s="20"/>
      <c r="P119" s="20"/>
      <c r="Q119" s="20"/>
      <c r="R119" s="21" t="n">
        <f aca="false">SUM(F119:Q119)</f>
        <v>1036.85</v>
      </c>
      <c r="S119" s="18"/>
      <c r="T119" s="18"/>
      <c r="U119" s="18"/>
      <c r="V119" s="18"/>
      <c r="W119" s="18"/>
      <c r="X119" s="18"/>
      <c r="Y119" s="18"/>
      <c r="Z119" s="28" t="n">
        <v>1</v>
      </c>
      <c r="AA119" s="18"/>
      <c r="AB119" s="18"/>
      <c r="AC119" s="18"/>
      <c r="AD119" s="18"/>
      <c r="AE119" s="22" t="n">
        <f aca="false">SUM(S119:AD119)</f>
        <v>1</v>
      </c>
      <c r="AF119" s="22"/>
      <c r="AG119" s="22"/>
      <c r="AH119" s="22"/>
      <c r="AI119" s="22"/>
      <c r="AJ119" s="22"/>
      <c r="AK119" s="22"/>
      <c r="AL119" s="22"/>
      <c r="AM119" s="30" t="s">
        <v>49</v>
      </c>
      <c r="AN119" s="22"/>
      <c r="AO119" s="22"/>
      <c r="AP119" s="22"/>
      <c r="AQ119" s="22"/>
      <c r="AR119" s="29" t="s">
        <v>48</v>
      </c>
      <c r="AS119" s="18"/>
      <c r="AT119" s="18"/>
      <c r="AU119" s="18"/>
      <c r="AV119" s="18"/>
      <c r="AW119" s="18"/>
      <c r="AX119" s="18"/>
      <c r="AY119" s="18"/>
      <c r="AZ119" s="18"/>
      <c r="BA119" s="25" t="n">
        <v>21</v>
      </c>
      <c r="BB119" s="18"/>
      <c r="BC119" s="18"/>
      <c r="BD119" s="18"/>
      <c r="BE119" s="22" t="n">
        <f aca="false">SUM(AS119:BD119)</f>
        <v>21</v>
      </c>
      <c r="BF119" s="23"/>
      <c r="BG119" s="31" t="s">
        <v>93</v>
      </c>
      <c r="BH119" s="18"/>
      <c r="BI119" s="18"/>
      <c r="BJ119" s="18"/>
      <c r="BK119" s="18"/>
      <c r="BL119" s="18"/>
      <c r="BM119" s="18"/>
      <c r="BN119" s="18"/>
      <c r="BO119" s="25" t="n">
        <v>1</v>
      </c>
      <c r="BP119" s="18"/>
      <c r="BQ119" s="25" t="n">
        <v>2</v>
      </c>
      <c r="BR119" s="25" t="n">
        <v>3</v>
      </c>
      <c r="BS119" s="18"/>
      <c r="BT119" s="22" t="n">
        <f aca="false">SUM(BH119:BS119)</f>
        <v>6</v>
      </c>
      <c r="BU119" s="26" t="n">
        <v>46049.43125</v>
      </c>
      <c r="BV119" s="17"/>
      <c r="BW119" s="17" t="s">
        <v>44</v>
      </c>
      <c r="BX119" s="23" t="n">
        <f aca="false">IFERROR(R119/AE119,0)</f>
        <v>1036.85</v>
      </c>
      <c r="BY119" s="23" t="n">
        <f aca="false">IFERROR(R119/12,0)</f>
        <v>86.4041666666667</v>
      </c>
      <c r="BZ119" s="18" t="n">
        <v>0</v>
      </c>
      <c r="CA119" s="22" t="str">
        <f aca="false">IF(AE119=0,"PROSPECT",IF(AE119=1,"NOVO",IF(AE119&lt;=3,"EM DESENV.",IF(AE119&lt;=6,"RECORRENTE","FIDELIZADO"))))</f>
        <v>NOVO</v>
      </c>
      <c r="CB119" s="22" t="n">
        <f aca="false">IF((P119+Q119)&gt;0,1,0)+IF((BR119+BS119)&gt;0,1,0)+IF(BE119&gt;0,1,0)</f>
        <v>2</v>
      </c>
    </row>
    <row r="120" customFormat="false" ht="15" hidden="false" customHeight="true" outlineLevel="0" collapsed="false">
      <c r="A120" s="16" t="s">
        <v>402</v>
      </c>
      <c r="B120" s="17" t="s">
        <v>403</v>
      </c>
      <c r="C120" s="18" t="s">
        <v>127</v>
      </c>
      <c r="D120" s="17" t="s">
        <v>362</v>
      </c>
      <c r="E120" s="29" t="s">
        <v>365</v>
      </c>
      <c r="F120" s="20"/>
      <c r="G120" s="20"/>
      <c r="H120" s="20"/>
      <c r="I120" s="20"/>
      <c r="J120" s="27" t="n">
        <v>1537.85</v>
      </c>
      <c r="K120" s="20"/>
      <c r="L120" s="27" t="n">
        <v>1427.88</v>
      </c>
      <c r="M120" s="20"/>
      <c r="N120" s="20"/>
      <c r="O120" s="20"/>
      <c r="P120" s="20"/>
      <c r="Q120" s="20"/>
      <c r="R120" s="21" t="n">
        <f aca="false">SUM(F120:Q120)</f>
        <v>2965.73</v>
      </c>
      <c r="S120" s="18"/>
      <c r="T120" s="18"/>
      <c r="U120" s="18"/>
      <c r="V120" s="18"/>
      <c r="W120" s="28" t="n">
        <v>1</v>
      </c>
      <c r="X120" s="18"/>
      <c r="Y120" s="28" t="n">
        <v>1</v>
      </c>
      <c r="Z120" s="18"/>
      <c r="AA120" s="18"/>
      <c r="AB120" s="18"/>
      <c r="AC120" s="18"/>
      <c r="AD120" s="18"/>
      <c r="AE120" s="22" t="n">
        <f aca="false">SUM(S120:AD120)</f>
        <v>2</v>
      </c>
      <c r="AF120" s="22"/>
      <c r="AG120" s="22"/>
      <c r="AH120" s="22"/>
      <c r="AI120" s="22"/>
      <c r="AJ120" s="19" t="s">
        <v>50</v>
      </c>
      <c r="AK120" s="22"/>
      <c r="AL120" s="19" t="s">
        <v>50</v>
      </c>
      <c r="AM120" s="22"/>
      <c r="AN120" s="22"/>
      <c r="AO120" s="22"/>
      <c r="AP120" s="22"/>
      <c r="AQ120" s="22"/>
      <c r="AR120" s="19" t="s">
        <v>50</v>
      </c>
      <c r="AS120" s="18"/>
      <c r="AT120" s="18"/>
      <c r="AU120" s="18"/>
      <c r="AV120" s="25" t="n">
        <v>3</v>
      </c>
      <c r="AW120" s="25" t="n">
        <v>4</v>
      </c>
      <c r="AX120" s="25" t="n">
        <v>1</v>
      </c>
      <c r="AY120" s="18"/>
      <c r="AZ120" s="18"/>
      <c r="BA120" s="18"/>
      <c r="BB120" s="25" t="n">
        <v>2</v>
      </c>
      <c r="BC120" s="18"/>
      <c r="BD120" s="18"/>
      <c r="BE120" s="22" t="n">
        <f aca="false">SUM(AS120:BD120)</f>
        <v>10</v>
      </c>
      <c r="BF120" s="23"/>
      <c r="BG120" s="31" t="s">
        <v>93</v>
      </c>
      <c r="BH120" s="18"/>
      <c r="BI120" s="18"/>
      <c r="BJ120" s="25" t="n">
        <v>1</v>
      </c>
      <c r="BK120" s="18"/>
      <c r="BL120" s="18"/>
      <c r="BM120" s="18"/>
      <c r="BN120" s="18"/>
      <c r="BO120" s="18"/>
      <c r="BP120" s="18"/>
      <c r="BQ120" s="18"/>
      <c r="BR120" s="25" t="n">
        <v>1</v>
      </c>
      <c r="BS120" s="18"/>
      <c r="BT120" s="22" t="n">
        <f aca="false">SUM(BH120:BS120)</f>
        <v>2</v>
      </c>
      <c r="BU120" s="26" t="n">
        <v>46036.425</v>
      </c>
      <c r="BV120" s="17" t="s">
        <v>243</v>
      </c>
      <c r="BW120" s="17" t="s">
        <v>44</v>
      </c>
      <c r="BX120" s="23" t="n">
        <f aca="false">IFERROR(R120/AE120,0)</f>
        <v>1482.865</v>
      </c>
      <c r="BY120" s="23" t="n">
        <f aca="false">IFERROR(R120/12,0)</f>
        <v>247.144166666667</v>
      </c>
      <c r="BZ120" s="18" t="n">
        <v>66</v>
      </c>
      <c r="CA120" s="22" t="str">
        <f aca="false">IF(AE120=0,"PROSPECT",IF(AE120=1,"NOVO",IF(AE120&lt;=3,"EM DESENV.",IF(AE120&lt;=6,"RECORRENTE","FIDELIZADO"))))</f>
        <v>EM DESENV.</v>
      </c>
      <c r="CB120" s="22" t="n">
        <f aca="false">IF((P120+Q120)&gt;0,1,0)+IF((BR120+BS120)&gt;0,1,0)+IF(BE120&gt;0,1,0)</f>
        <v>2</v>
      </c>
    </row>
    <row r="121" customFormat="false" ht="15" hidden="false" customHeight="true" outlineLevel="0" collapsed="false">
      <c r="A121" s="16" t="s">
        <v>404</v>
      </c>
      <c r="B121" s="17" t="s">
        <v>405</v>
      </c>
      <c r="C121" s="18" t="s">
        <v>53</v>
      </c>
      <c r="D121" s="17" t="s">
        <v>406</v>
      </c>
      <c r="E121" s="29" t="s">
        <v>365</v>
      </c>
      <c r="F121" s="20"/>
      <c r="G121" s="20"/>
      <c r="H121" s="27" t="n">
        <v>976.06</v>
      </c>
      <c r="I121" s="27" t="n">
        <v>925.83</v>
      </c>
      <c r="J121" s="20"/>
      <c r="K121" s="20"/>
      <c r="L121" s="20"/>
      <c r="M121" s="20"/>
      <c r="N121" s="20"/>
      <c r="O121" s="20"/>
      <c r="P121" s="20"/>
      <c r="Q121" s="20"/>
      <c r="R121" s="21" t="n">
        <f aca="false">SUM(F121:Q121)</f>
        <v>1901.89</v>
      </c>
      <c r="S121" s="18"/>
      <c r="T121" s="18"/>
      <c r="U121" s="28" t="n">
        <v>1</v>
      </c>
      <c r="V121" s="28" t="n">
        <v>1</v>
      </c>
      <c r="W121" s="18"/>
      <c r="X121" s="18"/>
      <c r="Y121" s="18"/>
      <c r="Z121" s="18"/>
      <c r="AA121" s="18"/>
      <c r="AB121" s="18"/>
      <c r="AC121" s="18"/>
      <c r="AD121" s="18"/>
      <c r="AE121" s="22" t="n">
        <f aca="false">SUM(S121:AD121)</f>
        <v>2</v>
      </c>
      <c r="AF121" s="22"/>
      <c r="AG121" s="22"/>
      <c r="AH121" s="30" t="s">
        <v>49</v>
      </c>
      <c r="AI121" s="30" t="s">
        <v>49</v>
      </c>
      <c r="AJ121" s="22"/>
      <c r="AK121" s="22"/>
      <c r="AL121" s="22"/>
      <c r="AM121" s="22"/>
      <c r="AN121" s="22"/>
      <c r="AO121" s="22"/>
      <c r="AP121" s="22"/>
      <c r="AQ121" s="22"/>
      <c r="AR121" s="30" t="s">
        <v>49</v>
      </c>
      <c r="AS121" s="18"/>
      <c r="AT121" s="18"/>
      <c r="AU121" s="18"/>
      <c r="AV121" s="25" t="n">
        <v>4</v>
      </c>
      <c r="AW121" s="18"/>
      <c r="AX121" s="18"/>
      <c r="AY121" s="18"/>
      <c r="AZ121" s="18"/>
      <c r="BA121" s="18"/>
      <c r="BB121" s="18"/>
      <c r="BC121" s="18"/>
      <c r="BD121" s="18"/>
      <c r="BE121" s="22" t="n">
        <f aca="false">SUM(AS121:BD121)</f>
        <v>4</v>
      </c>
      <c r="BF121" s="23" t="n">
        <v>925.83</v>
      </c>
      <c r="BG121" s="19" t="s">
        <v>55</v>
      </c>
      <c r="BH121" s="18"/>
      <c r="BI121" s="18"/>
      <c r="BJ121" s="25" t="n">
        <v>1</v>
      </c>
      <c r="BK121" s="25" t="n">
        <v>1</v>
      </c>
      <c r="BL121" s="18"/>
      <c r="BM121" s="18"/>
      <c r="BN121" s="18"/>
      <c r="BO121" s="18"/>
      <c r="BP121" s="18"/>
      <c r="BQ121" s="18"/>
      <c r="BR121" s="18"/>
      <c r="BS121" s="18"/>
      <c r="BT121" s="22" t="n">
        <f aca="false">SUM(BH121:BS121)</f>
        <v>2</v>
      </c>
      <c r="BU121" s="26" t="n">
        <v>45817.4423611111</v>
      </c>
      <c r="BV121" s="17"/>
      <c r="BW121" s="17" t="s">
        <v>117</v>
      </c>
      <c r="BX121" s="23" t="n">
        <f aca="false">IFERROR(R121/AE121,0)</f>
        <v>950.945</v>
      </c>
      <c r="BY121" s="23" t="n">
        <f aca="false">IFERROR(R121/12,0)</f>
        <v>158.490833333333</v>
      </c>
      <c r="BZ121" s="18" t="n">
        <v>16</v>
      </c>
      <c r="CA121" s="22" t="str">
        <f aca="false">IF(AE121=0,"PROSPECT",IF(AE121=1,"NOVO",IF(AE121&lt;=3,"EM DESENV.",IF(AE121&lt;=6,"RECORRENTE","FIDELIZADO"))))</f>
        <v>EM DESENV.</v>
      </c>
      <c r="CB121" s="22" t="n">
        <f aca="false">IF((P121+Q121)&gt;0,1,0)+IF((BR121+BS121)&gt;0,1,0)+IF(BE121&gt;0,1,0)</f>
        <v>1</v>
      </c>
    </row>
    <row r="122" customFormat="false" ht="15" hidden="false" customHeight="true" outlineLevel="0" collapsed="false">
      <c r="A122" s="16" t="s">
        <v>407</v>
      </c>
      <c r="B122" s="17" t="s">
        <v>408</v>
      </c>
      <c r="C122" s="18" t="s">
        <v>87</v>
      </c>
      <c r="D122" s="17" t="s">
        <v>88</v>
      </c>
      <c r="E122" s="29" t="s">
        <v>365</v>
      </c>
      <c r="F122" s="20"/>
      <c r="G122" s="20"/>
      <c r="H122" s="20"/>
      <c r="I122" s="20"/>
      <c r="J122" s="27" t="n">
        <v>1184.36</v>
      </c>
      <c r="K122" s="20"/>
      <c r="L122" s="20"/>
      <c r="M122" s="20"/>
      <c r="N122" s="20"/>
      <c r="O122" s="27" t="n">
        <v>650.02</v>
      </c>
      <c r="P122" s="20"/>
      <c r="Q122" s="20"/>
      <c r="R122" s="21" t="n">
        <f aca="false">SUM(F122:Q122)</f>
        <v>1834.38</v>
      </c>
      <c r="S122" s="18"/>
      <c r="T122" s="18"/>
      <c r="U122" s="18"/>
      <c r="V122" s="18"/>
      <c r="W122" s="28" t="n">
        <v>1</v>
      </c>
      <c r="X122" s="18"/>
      <c r="Y122" s="18"/>
      <c r="Z122" s="18"/>
      <c r="AA122" s="18"/>
      <c r="AB122" s="28" t="n">
        <v>1</v>
      </c>
      <c r="AC122" s="18"/>
      <c r="AD122" s="18"/>
      <c r="AE122" s="22" t="n">
        <f aca="false">SUM(S122:AD122)</f>
        <v>2</v>
      </c>
      <c r="AF122" s="22"/>
      <c r="AG122" s="22"/>
      <c r="AH122" s="22"/>
      <c r="AI122" s="22"/>
      <c r="AJ122" s="30" t="s">
        <v>49</v>
      </c>
      <c r="AK122" s="22"/>
      <c r="AL122" s="22"/>
      <c r="AM122" s="22"/>
      <c r="AN122" s="22"/>
      <c r="AO122" s="29" t="s">
        <v>48</v>
      </c>
      <c r="AP122" s="22"/>
      <c r="AQ122" s="22"/>
      <c r="AR122" s="30" t="s">
        <v>49</v>
      </c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22" t="n">
        <f aca="false">SUM(AS122:BD122)</f>
        <v>0</v>
      </c>
      <c r="BF122" s="23"/>
      <c r="BG122" s="24"/>
      <c r="BH122" s="18"/>
      <c r="BI122" s="18"/>
      <c r="BJ122" s="18"/>
      <c r="BK122" s="18"/>
      <c r="BL122" s="25" t="n">
        <v>3</v>
      </c>
      <c r="BM122" s="18"/>
      <c r="BN122" s="25" t="n">
        <v>1</v>
      </c>
      <c r="BO122" s="18"/>
      <c r="BP122" s="25" t="n">
        <v>1</v>
      </c>
      <c r="BQ122" s="18"/>
      <c r="BR122" s="25" t="n">
        <v>3</v>
      </c>
      <c r="BS122" s="25" t="n">
        <v>4</v>
      </c>
      <c r="BT122" s="22" t="n">
        <f aca="false">SUM(BH122:BS122)</f>
        <v>12</v>
      </c>
      <c r="BU122" s="26" t="n">
        <v>46058.5902777778</v>
      </c>
      <c r="BV122" s="17" t="s">
        <v>107</v>
      </c>
      <c r="BW122" s="17" t="s">
        <v>44</v>
      </c>
      <c r="BX122" s="23" t="n">
        <f aca="false">IFERROR(R122/AE122,0)</f>
        <v>917.19</v>
      </c>
      <c r="BY122" s="23" t="n">
        <f aca="false">IFERROR(R122/12,0)</f>
        <v>152.865</v>
      </c>
      <c r="BZ122" s="18" t="n">
        <v>131</v>
      </c>
      <c r="CA122" s="22" t="str">
        <f aca="false">IF(AE122=0,"PROSPECT",IF(AE122=1,"NOVO",IF(AE122&lt;=3,"EM DESENV.",IF(AE122&lt;=6,"RECORRENTE","FIDELIZADO"))))</f>
        <v>EM DESENV.</v>
      </c>
      <c r="CB122" s="22" t="n">
        <f aca="false">IF((P122+Q122)&gt;0,1,0)+IF((BR122+BS122)&gt;0,1,0)+IF(BE122&gt;0,1,0)</f>
        <v>1</v>
      </c>
    </row>
    <row r="123" customFormat="false" ht="15" hidden="false" customHeight="true" outlineLevel="0" collapsed="false">
      <c r="A123" s="16" t="s">
        <v>409</v>
      </c>
      <c r="B123" s="17" t="s">
        <v>410</v>
      </c>
      <c r="C123" s="18" t="s">
        <v>61</v>
      </c>
      <c r="D123" s="17" t="s">
        <v>411</v>
      </c>
      <c r="E123" s="29" t="s">
        <v>365</v>
      </c>
      <c r="F123" s="20"/>
      <c r="G123" s="20"/>
      <c r="H123" s="20"/>
      <c r="I123" s="20"/>
      <c r="J123" s="20"/>
      <c r="K123" s="20"/>
      <c r="L123" s="20"/>
      <c r="M123" s="20"/>
      <c r="N123" s="20"/>
      <c r="O123" s="27" t="n">
        <v>1140.63</v>
      </c>
      <c r="P123" s="20"/>
      <c r="Q123" s="20"/>
      <c r="R123" s="21" t="n">
        <f aca="false">SUM(F123:Q123)</f>
        <v>1140.63</v>
      </c>
      <c r="S123" s="18"/>
      <c r="T123" s="18"/>
      <c r="U123" s="18"/>
      <c r="V123" s="18"/>
      <c r="W123" s="18"/>
      <c r="X123" s="18"/>
      <c r="Y123" s="18"/>
      <c r="Z123" s="18"/>
      <c r="AA123" s="18"/>
      <c r="AB123" s="28" t="n">
        <v>1</v>
      </c>
      <c r="AC123" s="18"/>
      <c r="AD123" s="18"/>
      <c r="AE123" s="22" t="n">
        <f aca="false">SUM(S123:AD123)</f>
        <v>1</v>
      </c>
      <c r="AF123" s="22"/>
      <c r="AG123" s="22"/>
      <c r="AH123" s="22"/>
      <c r="AI123" s="22"/>
      <c r="AJ123" s="22"/>
      <c r="AK123" s="22"/>
      <c r="AL123" s="22"/>
      <c r="AM123" s="22"/>
      <c r="AN123" s="22"/>
      <c r="AO123" s="19" t="s">
        <v>50</v>
      </c>
      <c r="AP123" s="22"/>
      <c r="AQ123" s="22"/>
      <c r="AR123" s="30" t="s">
        <v>49</v>
      </c>
      <c r="AS123" s="18"/>
      <c r="AT123" s="25" t="n">
        <v>2</v>
      </c>
      <c r="AU123" s="25" t="n">
        <v>2</v>
      </c>
      <c r="AV123" s="18"/>
      <c r="AW123" s="18"/>
      <c r="AX123" s="18"/>
      <c r="AY123" s="18"/>
      <c r="AZ123" s="18"/>
      <c r="BA123" s="18"/>
      <c r="BB123" s="25" t="n">
        <v>4</v>
      </c>
      <c r="BC123" s="18"/>
      <c r="BD123" s="18"/>
      <c r="BE123" s="22" t="n">
        <f aca="false">SUM(AS123:BD123)</f>
        <v>8</v>
      </c>
      <c r="BF123" s="23" t="n">
        <v>1140.63</v>
      </c>
      <c r="BG123" s="19" t="s">
        <v>55</v>
      </c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22" t="n">
        <f aca="false">SUM(BH123:BS123)</f>
        <v>0</v>
      </c>
      <c r="BU123" s="26"/>
      <c r="BV123" s="17"/>
      <c r="BW123" s="17"/>
      <c r="BX123" s="23" t="n">
        <f aca="false">IFERROR(R123/AE123,0)</f>
        <v>1140.63</v>
      </c>
      <c r="BY123" s="23" t="n">
        <f aca="false">IFERROR(R123/12,0)</f>
        <v>95.0525</v>
      </c>
      <c r="BZ123" s="18" t="n">
        <v>0</v>
      </c>
      <c r="CA123" s="22" t="str">
        <f aca="false">IF(AE123=0,"PROSPECT",IF(AE123=1,"NOVO",IF(AE123&lt;=3,"EM DESENV.",IF(AE123&lt;=6,"RECORRENTE","FIDELIZADO"))))</f>
        <v>NOVO</v>
      </c>
      <c r="CB123" s="22" t="n">
        <f aca="false">IF((P123+Q123)&gt;0,1,0)+IF((BR123+BS123)&gt;0,1,0)+IF(BE123&gt;0,1,0)</f>
        <v>1</v>
      </c>
    </row>
    <row r="124" customFormat="false" ht="15" hidden="false" customHeight="true" outlineLevel="0" collapsed="false">
      <c r="A124" s="16" t="s">
        <v>412</v>
      </c>
      <c r="B124" s="17" t="s">
        <v>413</v>
      </c>
      <c r="C124" s="18" t="s">
        <v>83</v>
      </c>
      <c r="D124" s="17" t="s">
        <v>414</v>
      </c>
      <c r="E124" s="29" t="s">
        <v>365</v>
      </c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1" t="n">
        <f aca="false">SUM(F124:Q124)</f>
        <v>0</v>
      </c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22" t="n">
        <f aca="false">SUM(S124:AD124)</f>
        <v>0</v>
      </c>
      <c r="AF124" s="22"/>
      <c r="AG124" s="22"/>
      <c r="AH124" s="29" t="s">
        <v>48</v>
      </c>
      <c r="AI124" s="22"/>
      <c r="AJ124" s="29" t="s">
        <v>48</v>
      </c>
      <c r="AK124" s="22"/>
      <c r="AL124" s="22"/>
      <c r="AM124" s="22"/>
      <c r="AN124" s="22"/>
      <c r="AO124" s="22"/>
      <c r="AP124" s="22"/>
      <c r="AQ124" s="22"/>
      <c r="AR124" s="30" t="s">
        <v>49</v>
      </c>
      <c r="AS124" s="18"/>
      <c r="AT124" s="18"/>
      <c r="AU124" s="18"/>
      <c r="AV124" s="25" t="n">
        <v>2</v>
      </c>
      <c r="AW124" s="25" t="n">
        <v>4</v>
      </c>
      <c r="AX124" s="18"/>
      <c r="AY124" s="18"/>
      <c r="AZ124" s="18"/>
      <c r="BA124" s="18"/>
      <c r="BB124" s="18"/>
      <c r="BC124" s="18"/>
      <c r="BD124" s="18"/>
      <c r="BE124" s="22" t="n">
        <f aca="false">SUM(AS124:BD124)</f>
        <v>6</v>
      </c>
      <c r="BF124" s="23" t="n">
        <v>668.75</v>
      </c>
      <c r="BG124" s="19" t="s">
        <v>55</v>
      </c>
      <c r="BH124" s="18"/>
      <c r="BI124" s="18"/>
      <c r="BJ124" s="25" t="n">
        <v>1</v>
      </c>
      <c r="BK124" s="25" t="n">
        <v>3</v>
      </c>
      <c r="BL124" s="25" t="n">
        <v>1</v>
      </c>
      <c r="BM124" s="25" t="n">
        <v>1</v>
      </c>
      <c r="BN124" s="18"/>
      <c r="BO124" s="18"/>
      <c r="BP124" s="18"/>
      <c r="BQ124" s="18"/>
      <c r="BR124" s="25" t="n">
        <v>2</v>
      </c>
      <c r="BS124" s="18"/>
      <c r="BT124" s="22" t="n">
        <f aca="false">SUM(BH124:BS124)</f>
        <v>8</v>
      </c>
      <c r="BU124" s="26" t="n">
        <v>46036.6381944444</v>
      </c>
      <c r="BV124" s="17" t="s">
        <v>378</v>
      </c>
      <c r="BW124" s="17" t="s">
        <v>44</v>
      </c>
      <c r="BX124" s="23" t="n">
        <f aca="false">IFERROR(R124/AE124,0)</f>
        <v>0</v>
      </c>
      <c r="BY124" s="23" t="n">
        <f aca="false">IFERROR(R124/12,0)</f>
        <v>0</v>
      </c>
      <c r="BZ124" s="18" t="n">
        <v>56</v>
      </c>
      <c r="CA124" s="22" t="str">
        <f aca="false">IF(AE124=0,"PROSPECT",IF(AE124=1,"NOVO",IF(AE124&lt;=3,"EM DESENV.",IF(AE124&lt;=6,"RECORRENTE","FIDELIZADO"))))</f>
        <v>PROSPECT</v>
      </c>
      <c r="CB124" s="22" t="n">
        <f aca="false">IF((P124+Q124)&gt;0,1,0)+IF((BR124+BS124)&gt;0,1,0)+IF(BE124&gt;0,1,0)</f>
        <v>2</v>
      </c>
    </row>
    <row r="125" customFormat="false" ht="15" hidden="false" customHeight="true" outlineLevel="0" collapsed="false">
      <c r="A125" s="16" t="s">
        <v>415</v>
      </c>
      <c r="B125" s="17" t="s">
        <v>416</v>
      </c>
      <c r="C125" s="18" t="s">
        <v>168</v>
      </c>
      <c r="D125" s="17" t="s">
        <v>417</v>
      </c>
      <c r="E125" s="29" t="s">
        <v>365</v>
      </c>
      <c r="F125" s="20"/>
      <c r="G125" s="20"/>
      <c r="H125" s="20"/>
      <c r="I125" s="27" t="n">
        <v>1001.78</v>
      </c>
      <c r="J125" s="20"/>
      <c r="K125" s="20"/>
      <c r="L125" s="20"/>
      <c r="M125" s="20"/>
      <c r="N125" s="20"/>
      <c r="O125" s="20"/>
      <c r="P125" s="20"/>
      <c r="Q125" s="20"/>
      <c r="R125" s="21" t="n">
        <f aca="false">SUM(F125:Q125)</f>
        <v>1001.78</v>
      </c>
      <c r="S125" s="18"/>
      <c r="T125" s="18"/>
      <c r="U125" s="18"/>
      <c r="V125" s="28" t="n">
        <v>1</v>
      </c>
      <c r="W125" s="18"/>
      <c r="X125" s="18"/>
      <c r="Y125" s="18"/>
      <c r="Z125" s="18"/>
      <c r="AA125" s="18"/>
      <c r="AB125" s="18"/>
      <c r="AC125" s="18"/>
      <c r="AD125" s="18"/>
      <c r="AE125" s="22" t="n">
        <f aca="false">SUM(S125:AD125)</f>
        <v>1</v>
      </c>
      <c r="AF125" s="22"/>
      <c r="AG125" s="22"/>
      <c r="AH125" s="22"/>
      <c r="AI125" s="30" t="s">
        <v>49</v>
      </c>
      <c r="AJ125" s="22"/>
      <c r="AK125" s="22"/>
      <c r="AL125" s="22"/>
      <c r="AM125" s="22"/>
      <c r="AN125" s="22"/>
      <c r="AO125" s="22"/>
      <c r="AP125" s="22"/>
      <c r="AQ125" s="22"/>
      <c r="AR125" s="29" t="s">
        <v>48</v>
      </c>
      <c r="AS125" s="18"/>
      <c r="AT125" s="18"/>
      <c r="AU125" s="18"/>
      <c r="AV125" s="25" t="n">
        <v>11</v>
      </c>
      <c r="AW125" s="18"/>
      <c r="AX125" s="18"/>
      <c r="AY125" s="18"/>
      <c r="AZ125" s="18"/>
      <c r="BA125" s="18"/>
      <c r="BB125" s="18"/>
      <c r="BC125" s="18"/>
      <c r="BD125" s="18"/>
      <c r="BE125" s="22" t="n">
        <f aca="false">SUM(AS125:BD125)</f>
        <v>11</v>
      </c>
      <c r="BF125" s="23" t="n">
        <v>1001.78</v>
      </c>
      <c r="BG125" s="19" t="s">
        <v>55</v>
      </c>
      <c r="BH125" s="18"/>
      <c r="BI125" s="18"/>
      <c r="BJ125" s="18"/>
      <c r="BK125" s="25" t="n">
        <v>1</v>
      </c>
      <c r="BL125" s="25" t="n">
        <v>1</v>
      </c>
      <c r="BM125" s="25" t="n">
        <v>1</v>
      </c>
      <c r="BN125" s="25" t="n">
        <v>1</v>
      </c>
      <c r="BO125" s="18"/>
      <c r="BP125" s="18"/>
      <c r="BQ125" s="25" t="n">
        <v>2</v>
      </c>
      <c r="BR125" s="25" t="n">
        <v>2</v>
      </c>
      <c r="BS125" s="18"/>
      <c r="BT125" s="22" t="n">
        <f aca="false">SUM(BH125:BS125)</f>
        <v>8</v>
      </c>
      <c r="BU125" s="26" t="n">
        <v>46036.6661921296</v>
      </c>
      <c r="BV125" s="17"/>
      <c r="BW125" s="17" t="s">
        <v>44</v>
      </c>
      <c r="BX125" s="23" t="n">
        <f aca="false">IFERROR(R125/AE125,0)</f>
        <v>1001.78</v>
      </c>
      <c r="BY125" s="23" t="n">
        <f aca="false">IFERROR(R125/12,0)</f>
        <v>83.4816666666667</v>
      </c>
      <c r="BZ125" s="18" t="n">
        <v>0</v>
      </c>
      <c r="CA125" s="22" t="str">
        <f aca="false">IF(AE125=0,"PROSPECT",IF(AE125=1,"NOVO",IF(AE125&lt;=3,"EM DESENV.",IF(AE125&lt;=6,"RECORRENTE","FIDELIZADO"))))</f>
        <v>NOVO</v>
      </c>
      <c r="CB125" s="22" t="n">
        <f aca="false">IF((P125+Q125)&gt;0,1,0)+IF((BR125+BS125)&gt;0,1,0)+IF(BE125&gt;0,1,0)</f>
        <v>2</v>
      </c>
    </row>
    <row r="126" customFormat="false" ht="15" hidden="false" customHeight="true" outlineLevel="0" collapsed="false">
      <c r="A126" s="16" t="s">
        <v>418</v>
      </c>
      <c r="B126" s="17" t="s">
        <v>419</v>
      </c>
      <c r="C126" s="18" t="s">
        <v>309</v>
      </c>
      <c r="D126" s="17" t="s">
        <v>420</v>
      </c>
      <c r="E126" s="29" t="s">
        <v>365</v>
      </c>
      <c r="F126" s="20"/>
      <c r="G126" s="20"/>
      <c r="H126" s="20"/>
      <c r="I126" s="20"/>
      <c r="J126" s="20"/>
      <c r="K126" s="20"/>
      <c r="L126" s="20"/>
      <c r="M126" s="27" t="n">
        <v>2046.6</v>
      </c>
      <c r="N126" s="20"/>
      <c r="O126" s="20"/>
      <c r="P126" s="20"/>
      <c r="Q126" s="20"/>
      <c r="R126" s="21" t="n">
        <f aca="false">SUM(F126:Q126)</f>
        <v>2046.6</v>
      </c>
      <c r="S126" s="18"/>
      <c r="T126" s="18"/>
      <c r="U126" s="18"/>
      <c r="V126" s="18"/>
      <c r="W126" s="18"/>
      <c r="X126" s="18"/>
      <c r="Y126" s="18"/>
      <c r="Z126" s="28" t="n">
        <v>1</v>
      </c>
      <c r="AA126" s="18"/>
      <c r="AB126" s="18"/>
      <c r="AC126" s="18"/>
      <c r="AD126" s="18"/>
      <c r="AE126" s="22" t="n">
        <f aca="false">SUM(S126:AD126)</f>
        <v>1</v>
      </c>
      <c r="AF126" s="22"/>
      <c r="AG126" s="22"/>
      <c r="AH126" s="22"/>
      <c r="AI126" s="22"/>
      <c r="AJ126" s="22"/>
      <c r="AK126" s="22"/>
      <c r="AL126" s="22"/>
      <c r="AM126" s="19" t="s">
        <v>50</v>
      </c>
      <c r="AN126" s="22"/>
      <c r="AO126" s="22"/>
      <c r="AP126" s="22"/>
      <c r="AQ126" s="22"/>
      <c r="AR126" s="30" t="s">
        <v>49</v>
      </c>
      <c r="AS126" s="18"/>
      <c r="AT126" s="18"/>
      <c r="AU126" s="18"/>
      <c r="AV126" s="18"/>
      <c r="AW126" s="18"/>
      <c r="AX126" s="18"/>
      <c r="AY126" s="25" t="n">
        <v>3</v>
      </c>
      <c r="AZ126" s="18"/>
      <c r="BA126" s="18"/>
      <c r="BB126" s="18"/>
      <c r="BC126" s="18"/>
      <c r="BD126" s="18"/>
      <c r="BE126" s="22" t="n">
        <f aca="false">SUM(AS126:BD126)</f>
        <v>3</v>
      </c>
      <c r="BF126" s="23"/>
      <c r="BG126" s="31" t="s">
        <v>93</v>
      </c>
      <c r="BH126" s="18"/>
      <c r="BI126" s="18"/>
      <c r="BJ126" s="18"/>
      <c r="BK126" s="18"/>
      <c r="BL126" s="18"/>
      <c r="BM126" s="18"/>
      <c r="BN126" s="25" t="n">
        <v>1</v>
      </c>
      <c r="BO126" s="18"/>
      <c r="BP126" s="25" t="n">
        <v>2</v>
      </c>
      <c r="BQ126" s="25" t="n">
        <v>2</v>
      </c>
      <c r="BR126" s="25" t="n">
        <v>2</v>
      </c>
      <c r="BS126" s="18"/>
      <c r="BT126" s="22" t="n">
        <f aca="false">SUM(BH126:BS126)</f>
        <v>7</v>
      </c>
      <c r="BU126" s="26" t="n">
        <v>46036.3840277778</v>
      </c>
      <c r="BV126" s="17" t="s">
        <v>243</v>
      </c>
      <c r="BW126" s="17" t="s">
        <v>44</v>
      </c>
      <c r="BX126" s="23" t="n">
        <f aca="false">IFERROR(R126/AE126,0)</f>
        <v>2046.6</v>
      </c>
      <c r="BY126" s="23" t="n">
        <f aca="false">IFERROR(R126/12,0)</f>
        <v>170.55</v>
      </c>
      <c r="BZ126" s="18" t="n">
        <v>0</v>
      </c>
      <c r="CA126" s="22" t="str">
        <f aca="false">IF(AE126=0,"PROSPECT",IF(AE126=1,"NOVO",IF(AE126&lt;=3,"EM DESENV.",IF(AE126&lt;=6,"RECORRENTE","FIDELIZADO"))))</f>
        <v>NOVO</v>
      </c>
      <c r="CB126" s="22" t="n">
        <f aca="false">IF((P126+Q126)&gt;0,1,0)+IF((BR126+BS126)&gt;0,1,0)+IF(BE126&gt;0,1,0)</f>
        <v>2</v>
      </c>
    </row>
    <row r="127" customFormat="false" ht="15" hidden="false" customHeight="true" outlineLevel="0" collapsed="false">
      <c r="A127" s="16" t="s">
        <v>421</v>
      </c>
      <c r="B127" s="17" t="s">
        <v>422</v>
      </c>
      <c r="C127" s="18" t="s">
        <v>41</v>
      </c>
      <c r="D127" s="17" t="s">
        <v>423</v>
      </c>
      <c r="E127" s="29" t="s">
        <v>365</v>
      </c>
      <c r="F127" s="20"/>
      <c r="G127" s="20"/>
      <c r="H127" s="20"/>
      <c r="I127" s="20"/>
      <c r="J127" s="20"/>
      <c r="K127" s="20"/>
      <c r="L127" s="20"/>
      <c r="M127" s="20"/>
      <c r="N127" s="27" t="n">
        <v>2098.89</v>
      </c>
      <c r="O127" s="20"/>
      <c r="P127" s="20"/>
      <c r="Q127" s="20"/>
      <c r="R127" s="21" t="n">
        <f aca="false">SUM(F127:Q127)</f>
        <v>2098.89</v>
      </c>
      <c r="S127" s="18"/>
      <c r="T127" s="18"/>
      <c r="U127" s="18"/>
      <c r="V127" s="18"/>
      <c r="W127" s="18"/>
      <c r="X127" s="18"/>
      <c r="Y127" s="18"/>
      <c r="Z127" s="18"/>
      <c r="AA127" s="28" t="n">
        <v>1</v>
      </c>
      <c r="AB127" s="18"/>
      <c r="AC127" s="18"/>
      <c r="AD127" s="18"/>
      <c r="AE127" s="22" t="n">
        <f aca="false">SUM(S127:AD127)</f>
        <v>1</v>
      </c>
      <c r="AF127" s="22"/>
      <c r="AG127" s="22"/>
      <c r="AH127" s="22"/>
      <c r="AI127" s="22"/>
      <c r="AJ127" s="22"/>
      <c r="AK127" s="22"/>
      <c r="AL127" s="22"/>
      <c r="AM127" s="22"/>
      <c r="AN127" s="19" t="s">
        <v>50</v>
      </c>
      <c r="AO127" s="22"/>
      <c r="AP127" s="22"/>
      <c r="AQ127" s="22"/>
      <c r="AR127" s="30" t="s">
        <v>49</v>
      </c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22" t="n">
        <f aca="false">SUM(AS127:BD127)</f>
        <v>0</v>
      </c>
      <c r="BF127" s="23"/>
      <c r="BG127" s="24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25" t="n">
        <v>1</v>
      </c>
      <c r="BS127" s="18"/>
      <c r="BT127" s="22" t="n">
        <f aca="false">SUM(BH127:BS127)</f>
        <v>1</v>
      </c>
      <c r="BU127" s="26" t="n">
        <v>46050.4875</v>
      </c>
      <c r="BV127" s="17"/>
      <c r="BW127" s="17" t="s">
        <v>117</v>
      </c>
      <c r="BX127" s="23" t="n">
        <f aca="false">IFERROR(R127/AE127,0)</f>
        <v>2098.89</v>
      </c>
      <c r="BY127" s="23" t="n">
        <f aca="false">IFERROR(R127/12,0)</f>
        <v>174.9075</v>
      </c>
      <c r="BZ127" s="18" t="n">
        <v>0</v>
      </c>
      <c r="CA127" s="22" t="str">
        <f aca="false">IF(AE127=0,"PROSPECT",IF(AE127=1,"NOVO",IF(AE127&lt;=3,"EM DESENV.",IF(AE127&lt;=6,"RECORRENTE","FIDELIZADO"))))</f>
        <v>NOVO</v>
      </c>
      <c r="CB127" s="22" t="n">
        <f aca="false">IF((P127+Q127)&gt;0,1,0)+IF((BR127+BS127)&gt;0,1,0)+IF(BE127&gt;0,1,0)</f>
        <v>1</v>
      </c>
    </row>
    <row r="128" customFormat="false" ht="15" hidden="false" customHeight="true" outlineLevel="0" collapsed="false">
      <c r="A128" s="16" t="s">
        <v>424</v>
      </c>
      <c r="B128" s="17" t="s">
        <v>425</v>
      </c>
      <c r="C128" s="18" t="s">
        <v>41</v>
      </c>
      <c r="D128" s="17" t="s">
        <v>42</v>
      </c>
      <c r="E128" s="29" t="s">
        <v>365</v>
      </c>
      <c r="F128" s="20"/>
      <c r="G128" s="20"/>
      <c r="H128" s="20"/>
      <c r="I128" s="20"/>
      <c r="J128" s="20"/>
      <c r="K128" s="27" t="n">
        <v>983.87</v>
      </c>
      <c r="L128" s="27" t="n">
        <v>798</v>
      </c>
      <c r="M128" s="20"/>
      <c r="N128" s="20"/>
      <c r="O128" s="20"/>
      <c r="P128" s="20"/>
      <c r="Q128" s="20"/>
      <c r="R128" s="21" t="n">
        <f aca="false">SUM(F128:Q128)</f>
        <v>1781.87</v>
      </c>
      <c r="S128" s="18"/>
      <c r="T128" s="18"/>
      <c r="U128" s="18"/>
      <c r="V128" s="18"/>
      <c r="W128" s="18"/>
      <c r="X128" s="28" t="n">
        <v>1</v>
      </c>
      <c r="Y128" s="28" t="n">
        <v>1</v>
      </c>
      <c r="Z128" s="18"/>
      <c r="AA128" s="18"/>
      <c r="AB128" s="18"/>
      <c r="AC128" s="18"/>
      <c r="AD128" s="18"/>
      <c r="AE128" s="22" t="n">
        <f aca="false">SUM(S128:AD128)</f>
        <v>2</v>
      </c>
      <c r="AF128" s="22"/>
      <c r="AG128" s="22"/>
      <c r="AH128" s="22"/>
      <c r="AI128" s="22"/>
      <c r="AJ128" s="22"/>
      <c r="AK128" s="30" t="s">
        <v>49</v>
      </c>
      <c r="AL128" s="30" t="s">
        <v>49</v>
      </c>
      <c r="AM128" s="22"/>
      <c r="AN128" s="22"/>
      <c r="AO128" s="22"/>
      <c r="AP128" s="22"/>
      <c r="AQ128" s="22"/>
      <c r="AR128" s="30" t="s">
        <v>49</v>
      </c>
      <c r="AS128" s="18"/>
      <c r="AT128" s="18"/>
      <c r="AU128" s="18"/>
      <c r="AV128" s="18"/>
      <c r="AW128" s="18"/>
      <c r="AX128" s="25" t="n">
        <v>2</v>
      </c>
      <c r="AY128" s="25" t="n">
        <v>3</v>
      </c>
      <c r="AZ128" s="18"/>
      <c r="BA128" s="18"/>
      <c r="BB128" s="18"/>
      <c r="BC128" s="18"/>
      <c r="BD128" s="18"/>
      <c r="BE128" s="22" t="n">
        <f aca="false">SUM(AS128:BD128)</f>
        <v>5</v>
      </c>
      <c r="BF128" s="23" t="n">
        <v>1781.87</v>
      </c>
      <c r="BG128" s="19" t="s">
        <v>55</v>
      </c>
      <c r="BH128" s="18"/>
      <c r="BI128" s="18"/>
      <c r="BJ128" s="18"/>
      <c r="BK128" s="18"/>
      <c r="BL128" s="18"/>
      <c r="BM128" s="25" t="n">
        <v>1</v>
      </c>
      <c r="BN128" s="18"/>
      <c r="BO128" s="18"/>
      <c r="BP128" s="18"/>
      <c r="BQ128" s="18"/>
      <c r="BR128" s="18"/>
      <c r="BS128" s="25" t="n">
        <v>2</v>
      </c>
      <c r="BT128" s="22" t="n">
        <f aca="false">SUM(BH128:BS128)</f>
        <v>3</v>
      </c>
      <c r="BU128" s="26" t="n">
        <v>46059.4888888889</v>
      </c>
      <c r="BV128" s="17"/>
      <c r="BW128" s="17" t="s">
        <v>117</v>
      </c>
      <c r="BX128" s="23" t="n">
        <f aca="false">IFERROR(R128/AE128,0)</f>
        <v>890.935</v>
      </c>
      <c r="BY128" s="23" t="n">
        <f aca="false">IFERROR(R128/12,0)</f>
        <v>148.489166666667</v>
      </c>
      <c r="BZ128" s="18" t="n">
        <v>49</v>
      </c>
      <c r="CA128" s="22" t="str">
        <f aca="false">IF(AE128=0,"PROSPECT",IF(AE128=1,"NOVO",IF(AE128&lt;=3,"EM DESENV.",IF(AE128&lt;=6,"RECORRENTE","FIDELIZADO"))))</f>
        <v>EM DESENV.</v>
      </c>
      <c r="CB128" s="22" t="n">
        <f aca="false">IF((P128+Q128)&gt;0,1,0)+IF((BR128+BS128)&gt;0,1,0)+IF(BE128&gt;0,1,0)</f>
        <v>2</v>
      </c>
    </row>
    <row r="129" customFormat="false" ht="15" hidden="false" customHeight="true" outlineLevel="0" collapsed="false">
      <c r="A129" s="16" t="s">
        <v>426</v>
      </c>
      <c r="B129" s="17" t="s">
        <v>427</v>
      </c>
      <c r="C129" s="18" t="s">
        <v>53</v>
      </c>
      <c r="D129" s="17" t="s">
        <v>428</v>
      </c>
      <c r="E129" s="29" t="s">
        <v>365</v>
      </c>
      <c r="F129" s="20"/>
      <c r="G129" s="20"/>
      <c r="H129" s="20"/>
      <c r="I129" s="20"/>
      <c r="J129" s="20"/>
      <c r="K129" s="20"/>
      <c r="L129" s="20"/>
      <c r="M129" s="20"/>
      <c r="N129" s="27" t="n">
        <v>2378.6</v>
      </c>
      <c r="O129" s="20"/>
      <c r="P129" s="20"/>
      <c r="Q129" s="20"/>
      <c r="R129" s="21" t="n">
        <f aca="false">SUM(F129:Q129)</f>
        <v>2378.6</v>
      </c>
      <c r="S129" s="18"/>
      <c r="T129" s="18"/>
      <c r="U129" s="18"/>
      <c r="V129" s="18"/>
      <c r="W129" s="18"/>
      <c r="X129" s="18"/>
      <c r="Y129" s="18"/>
      <c r="Z129" s="18"/>
      <c r="AA129" s="28" t="n">
        <v>1</v>
      </c>
      <c r="AB129" s="18"/>
      <c r="AC129" s="18"/>
      <c r="AD129" s="18"/>
      <c r="AE129" s="22" t="n">
        <f aca="false">SUM(S129:AD129)</f>
        <v>1</v>
      </c>
      <c r="AF129" s="22"/>
      <c r="AG129" s="22"/>
      <c r="AH129" s="22"/>
      <c r="AI129" s="22"/>
      <c r="AJ129" s="22"/>
      <c r="AK129" s="22"/>
      <c r="AL129" s="22"/>
      <c r="AM129" s="22"/>
      <c r="AN129" s="19" t="s">
        <v>50</v>
      </c>
      <c r="AO129" s="22"/>
      <c r="AP129" s="22"/>
      <c r="AQ129" s="22"/>
      <c r="AR129" s="30" t="s">
        <v>49</v>
      </c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22" t="n">
        <f aca="false">SUM(AS129:BD129)</f>
        <v>0</v>
      </c>
      <c r="BF129" s="23"/>
      <c r="BG129" s="24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22" t="n">
        <f aca="false">SUM(BH129:BS129)</f>
        <v>0</v>
      </c>
      <c r="BU129" s="26"/>
      <c r="BV129" s="17"/>
      <c r="BW129" s="17"/>
      <c r="BX129" s="23" t="n">
        <f aca="false">IFERROR(R129/AE129,0)</f>
        <v>2378.6</v>
      </c>
      <c r="BY129" s="23" t="n">
        <f aca="false">IFERROR(R129/12,0)</f>
        <v>198.216666666667</v>
      </c>
      <c r="BZ129" s="18" t="n">
        <v>0</v>
      </c>
      <c r="CA129" s="22" t="str">
        <f aca="false">IF(AE129=0,"PROSPECT",IF(AE129=1,"NOVO",IF(AE129&lt;=3,"EM DESENV.",IF(AE129&lt;=6,"RECORRENTE","FIDELIZADO"))))</f>
        <v>NOVO</v>
      </c>
      <c r="CB129" s="22" t="n">
        <f aca="false">IF((P129+Q129)&gt;0,1,0)+IF((BR129+BS129)&gt;0,1,0)+IF(BE129&gt;0,1,0)</f>
        <v>0</v>
      </c>
    </row>
    <row r="130" customFormat="false" ht="15" hidden="false" customHeight="true" outlineLevel="0" collapsed="false">
      <c r="A130" s="16" t="s">
        <v>429</v>
      </c>
      <c r="B130" s="17" t="s">
        <v>430</v>
      </c>
      <c r="C130" s="18" t="s">
        <v>61</v>
      </c>
      <c r="D130" s="17" t="s">
        <v>431</v>
      </c>
      <c r="E130" s="29" t="s">
        <v>365</v>
      </c>
      <c r="F130" s="20"/>
      <c r="G130" s="20"/>
      <c r="H130" s="20"/>
      <c r="I130" s="27" t="n">
        <v>3742.44</v>
      </c>
      <c r="J130" s="20"/>
      <c r="K130" s="20"/>
      <c r="L130" s="20"/>
      <c r="M130" s="20"/>
      <c r="N130" s="20"/>
      <c r="O130" s="20"/>
      <c r="P130" s="20"/>
      <c r="Q130" s="20"/>
      <c r="R130" s="21" t="n">
        <f aca="false">SUM(F130:Q130)</f>
        <v>3742.44</v>
      </c>
      <c r="S130" s="18"/>
      <c r="T130" s="18"/>
      <c r="U130" s="18"/>
      <c r="V130" s="28" t="n">
        <v>1</v>
      </c>
      <c r="W130" s="18"/>
      <c r="X130" s="18"/>
      <c r="Y130" s="18"/>
      <c r="Z130" s="18"/>
      <c r="AA130" s="18"/>
      <c r="AB130" s="18"/>
      <c r="AC130" s="18"/>
      <c r="AD130" s="18"/>
      <c r="AE130" s="22" t="n">
        <f aca="false">SUM(S130:AD130)</f>
        <v>1</v>
      </c>
      <c r="AF130" s="22"/>
      <c r="AG130" s="22"/>
      <c r="AH130" s="22"/>
      <c r="AI130" s="19" t="s">
        <v>50</v>
      </c>
      <c r="AJ130" s="22"/>
      <c r="AK130" s="22"/>
      <c r="AL130" s="22"/>
      <c r="AM130" s="22"/>
      <c r="AN130" s="22"/>
      <c r="AO130" s="22"/>
      <c r="AP130" s="22"/>
      <c r="AQ130" s="22"/>
      <c r="AR130" s="19" t="s">
        <v>50</v>
      </c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22" t="n">
        <f aca="false">SUM(AS130:BD130)</f>
        <v>0</v>
      </c>
      <c r="BF130" s="23"/>
      <c r="BG130" s="24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22" t="n">
        <f aca="false">SUM(BH130:BS130)</f>
        <v>0</v>
      </c>
      <c r="BU130" s="26"/>
      <c r="BV130" s="17"/>
      <c r="BW130" s="17"/>
      <c r="BX130" s="23" t="n">
        <f aca="false">IFERROR(R130/AE130,0)</f>
        <v>3742.44</v>
      </c>
      <c r="BY130" s="23" t="n">
        <f aca="false">IFERROR(R130/12,0)</f>
        <v>311.87</v>
      </c>
      <c r="BZ130" s="18" t="n">
        <v>0</v>
      </c>
      <c r="CA130" s="22" t="str">
        <f aca="false">IF(AE130=0,"PROSPECT",IF(AE130=1,"NOVO",IF(AE130&lt;=3,"EM DESENV.",IF(AE130&lt;=6,"RECORRENTE","FIDELIZADO"))))</f>
        <v>NOVO</v>
      </c>
      <c r="CB130" s="22" t="n">
        <f aca="false">IF((P130+Q130)&gt;0,1,0)+IF((BR130+BS130)&gt;0,1,0)+IF(BE130&gt;0,1,0)</f>
        <v>0</v>
      </c>
    </row>
    <row r="131" customFormat="false" ht="15" hidden="false" customHeight="true" outlineLevel="0" collapsed="false">
      <c r="A131" s="16" t="s">
        <v>432</v>
      </c>
      <c r="B131" s="17" t="s">
        <v>433</v>
      </c>
      <c r="C131" s="18" t="s">
        <v>61</v>
      </c>
      <c r="D131" s="17" t="s">
        <v>218</v>
      </c>
      <c r="E131" s="29" t="s">
        <v>365</v>
      </c>
      <c r="F131" s="20"/>
      <c r="G131" s="20"/>
      <c r="H131" s="20"/>
      <c r="I131" s="20"/>
      <c r="J131" s="27" t="n">
        <v>1137.84</v>
      </c>
      <c r="K131" s="20"/>
      <c r="L131" s="20"/>
      <c r="M131" s="27" t="n">
        <v>2491.65</v>
      </c>
      <c r="N131" s="20"/>
      <c r="O131" s="27" t="n">
        <v>1919.52</v>
      </c>
      <c r="P131" s="20"/>
      <c r="Q131" s="20"/>
      <c r="R131" s="21" t="n">
        <f aca="false">SUM(F131:Q131)</f>
        <v>5549.01</v>
      </c>
      <c r="S131" s="18"/>
      <c r="T131" s="18"/>
      <c r="U131" s="18"/>
      <c r="V131" s="18"/>
      <c r="W131" s="28" t="n">
        <v>1</v>
      </c>
      <c r="X131" s="18"/>
      <c r="Y131" s="18"/>
      <c r="Z131" s="28" t="n">
        <v>1</v>
      </c>
      <c r="AA131" s="18"/>
      <c r="AB131" s="28" t="n">
        <v>1</v>
      </c>
      <c r="AC131" s="18"/>
      <c r="AD131" s="18"/>
      <c r="AE131" s="22" t="n">
        <f aca="false">SUM(S131:AD131)</f>
        <v>3</v>
      </c>
      <c r="AF131" s="22"/>
      <c r="AG131" s="22"/>
      <c r="AH131" s="22"/>
      <c r="AI131" s="22"/>
      <c r="AJ131" s="30" t="s">
        <v>49</v>
      </c>
      <c r="AK131" s="22"/>
      <c r="AL131" s="22"/>
      <c r="AM131" s="19" t="s">
        <v>50</v>
      </c>
      <c r="AN131" s="22"/>
      <c r="AO131" s="19" t="s">
        <v>50</v>
      </c>
      <c r="AP131" s="22"/>
      <c r="AQ131" s="22"/>
      <c r="AR131" s="19" t="s">
        <v>50</v>
      </c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22" t="n">
        <f aca="false">SUM(AS131:BD131)</f>
        <v>0</v>
      </c>
      <c r="BF131" s="23"/>
      <c r="BG131" s="24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22" t="n">
        <f aca="false">SUM(BH131:BS131)</f>
        <v>0</v>
      </c>
      <c r="BU131" s="26"/>
      <c r="BV131" s="17"/>
      <c r="BW131" s="17"/>
      <c r="BX131" s="23" t="n">
        <f aca="false">IFERROR(R131/AE131,0)</f>
        <v>1849.67</v>
      </c>
      <c r="BY131" s="23" t="n">
        <f aca="false">IFERROR(R131/12,0)</f>
        <v>462.4175</v>
      </c>
      <c r="BZ131" s="18" t="n">
        <v>70.5</v>
      </c>
      <c r="CA131" s="22" t="str">
        <f aca="false">IF(AE131=0,"PROSPECT",IF(AE131=1,"NOVO",IF(AE131&lt;=3,"EM DESENV.",IF(AE131&lt;=6,"RECORRENTE","FIDELIZADO"))))</f>
        <v>EM DESENV.</v>
      </c>
      <c r="CB131" s="22" t="n">
        <f aca="false">IF((P131+Q131)&gt;0,1,0)+IF((BR131+BS131)&gt;0,1,0)+IF(BE131&gt;0,1,0)</f>
        <v>0</v>
      </c>
    </row>
    <row r="132" customFormat="false" ht="15" hidden="false" customHeight="true" outlineLevel="0" collapsed="false">
      <c r="A132" s="16" t="s">
        <v>434</v>
      </c>
      <c r="B132" s="17" t="s">
        <v>435</v>
      </c>
      <c r="C132" s="18" t="s">
        <v>61</v>
      </c>
      <c r="D132" s="17" t="s">
        <v>248</v>
      </c>
      <c r="E132" s="29" t="s">
        <v>365</v>
      </c>
      <c r="F132" s="20"/>
      <c r="G132" s="20"/>
      <c r="H132" s="20"/>
      <c r="I132" s="27" t="n">
        <v>1213.9</v>
      </c>
      <c r="J132" s="20"/>
      <c r="K132" s="20"/>
      <c r="L132" s="20"/>
      <c r="M132" s="20"/>
      <c r="N132" s="20"/>
      <c r="O132" s="20"/>
      <c r="P132" s="20"/>
      <c r="Q132" s="20"/>
      <c r="R132" s="21" t="n">
        <f aca="false">SUM(F132:Q132)</f>
        <v>1213.9</v>
      </c>
      <c r="S132" s="18"/>
      <c r="T132" s="18"/>
      <c r="U132" s="18"/>
      <c r="V132" s="28" t="n">
        <v>1</v>
      </c>
      <c r="W132" s="18"/>
      <c r="X132" s="18"/>
      <c r="Y132" s="18"/>
      <c r="Z132" s="18"/>
      <c r="AA132" s="18"/>
      <c r="AB132" s="18"/>
      <c r="AC132" s="18"/>
      <c r="AD132" s="18"/>
      <c r="AE132" s="22" t="n">
        <f aca="false">SUM(S132:AD132)</f>
        <v>1</v>
      </c>
      <c r="AF132" s="22"/>
      <c r="AG132" s="22"/>
      <c r="AH132" s="22"/>
      <c r="AI132" s="30" t="s">
        <v>49</v>
      </c>
      <c r="AJ132" s="22"/>
      <c r="AK132" s="22"/>
      <c r="AL132" s="22"/>
      <c r="AM132" s="22"/>
      <c r="AN132" s="22"/>
      <c r="AO132" s="22"/>
      <c r="AP132" s="22"/>
      <c r="AQ132" s="22"/>
      <c r="AR132" s="30" t="s">
        <v>49</v>
      </c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22" t="n">
        <f aca="false">SUM(AS132:BD132)</f>
        <v>0</v>
      </c>
      <c r="BF132" s="23"/>
      <c r="BG132" s="24"/>
      <c r="BH132" s="25" t="n">
        <v>1</v>
      </c>
      <c r="BI132" s="18"/>
      <c r="BJ132" s="18"/>
      <c r="BK132" s="18"/>
      <c r="BL132" s="25" t="n">
        <v>1</v>
      </c>
      <c r="BM132" s="18"/>
      <c r="BN132" s="18"/>
      <c r="BO132" s="18"/>
      <c r="BP132" s="18"/>
      <c r="BQ132" s="18"/>
      <c r="BR132" s="18"/>
      <c r="BS132" s="18"/>
      <c r="BT132" s="22" t="n">
        <f aca="false">SUM(BH132:BS132)</f>
        <v>2</v>
      </c>
      <c r="BU132" s="26" t="n">
        <v>45855.6566898148</v>
      </c>
      <c r="BV132" s="17"/>
      <c r="BW132" s="17" t="s">
        <v>44</v>
      </c>
      <c r="BX132" s="23" t="n">
        <f aca="false">IFERROR(R132/AE132,0)</f>
        <v>1213.9</v>
      </c>
      <c r="BY132" s="23" t="n">
        <f aca="false">IFERROR(R132/12,0)</f>
        <v>101.158333333333</v>
      </c>
      <c r="BZ132" s="18" t="n">
        <v>0</v>
      </c>
      <c r="CA132" s="22" t="str">
        <f aca="false">IF(AE132=0,"PROSPECT",IF(AE132=1,"NOVO",IF(AE132&lt;=3,"EM DESENV.",IF(AE132&lt;=6,"RECORRENTE","FIDELIZADO"))))</f>
        <v>NOVO</v>
      </c>
      <c r="CB132" s="22" t="n">
        <f aca="false">IF((P132+Q132)&gt;0,1,0)+IF((BR132+BS132)&gt;0,1,0)+IF(BE132&gt;0,1,0)</f>
        <v>0</v>
      </c>
    </row>
    <row r="133" customFormat="false" ht="15" hidden="false" customHeight="true" outlineLevel="0" collapsed="false">
      <c r="A133" s="16" t="s">
        <v>436</v>
      </c>
      <c r="B133" s="17" t="s">
        <v>437</v>
      </c>
      <c r="C133" s="18" t="s">
        <v>53</v>
      </c>
      <c r="D133" s="17" t="s">
        <v>438</v>
      </c>
      <c r="E133" s="29" t="s">
        <v>365</v>
      </c>
      <c r="F133" s="20"/>
      <c r="G133" s="20"/>
      <c r="H133" s="20"/>
      <c r="I133" s="20"/>
      <c r="J133" s="20"/>
      <c r="K133" s="20"/>
      <c r="L133" s="20"/>
      <c r="M133" s="27" t="n">
        <v>1979.11</v>
      </c>
      <c r="N133" s="20"/>
      <c r="O133" s="20"/>
      <c r="P133" s="20"/>
      <c r="Q133" s="20"/>
      <c r="R133" s="21" t="n">
        <f aca="false">SUM(F133:Q133)</f>
        <v>1979.11</v>
      </c>
      <c r="S133" s="18"/>
      <c r="T133" s="18"/>
      <c r="U133" s="18"/>
      <c r="V133" s="18"/>
      <c r="W133" s="18"/>
      <c r="X133" s="18"/>
      <c r="Y133" s="18"/>
      <c r="Z133" s="28" t="n">
        <v>1</v>
      </c>
      <c r="AA133" s="18"/>
      <c r="AB133" s="18"/>
      <c r="AC133" s="18"/>
      <c r="AD133" s="18"/>
      <c r="AE133" s="22" t="n">
        <f aca="false">SUM(S133:AD133)</f>
        <v>1</v>
      </c>
      <c r="AF133" s="22"/>
      <c r="AG133" s="22"/>
      <c r="AH133" s="22"/>
      <c r="AI133" s="22"/>
      <c r="AJ133" s="22"/>
      <c r="AK133" s="22"/>
      <c r="AL133" s="22"/>
      <c r="AM133" s="19" t="s">
        <v>50</v>
      </c>
      <c r="AN133" s="22"/>
      <c r="AO133" s="22"/>
      <c r="AP133" s="22"/>
      <c r="AQ133" s="22"/>
      <c r="AR133" s="30" t="s">
        <v>49</v>
      </c>
      <c r="AS133" s="18"/>
      <c r="AT133" s="18"/>
      <c r="AU133" s="18"/>
      <c r="AV133" s="18"/>
      <c r="AW133" s="18"/>
      <c r="AX133" s="18"/>
      <c r="AY133" s="18"/>
      <c r="AZ133" s="18"/>
      <c r="BA133" s="25" t="n">
        <v>1</v>
      </c>
      <c r="BB133" s="18"/>
      <c r="BC133" s="18"/>
      <c r="BD133" s="18"/>
      <c r="BE133" s="22" t="n">
        <f aca="false">SUM(AS133:BD133)</f>
        <v>1</v>
      </c>
      <c r="BF133" s="23"/>
      <c r="BG133" s="31" t="s">
        <v>93</v>
      </c>
      <c r="BH133" s="18"/>
      <c r="BI133" s="18"/>
      <c r="BJ133" s="18"/>
      <c r="BK133" s="18"/>
      <c r="BL133" s="18"/>
      <c r="BM133" s="18"/>
      <c r="BN133" s="18"/>
      <c r="BO133" s="25" t="n">
        <v>1</v>
      </c>
      <c r="BP133" s="25" t="n">
        <v>3</v>
      </c>
      <c r="BQ133" s="18"/>
      <c r="BR133" s="25" t="n">
        <v>2</v>
      </c>
      <c r="BS133" s="18"/>
      <c r="BT133" s="22" t="n">
        <f aca="false">SUM(BH133:BS133)</f>
        <v>6</v>
      </c>
      <c r="BU133" s="26" t="n">
        <v>46036.3854166667</v>
      </c>
      <c r="BV133" s="17" t="s">
        <v>243</v>
      </c>
      <c r="BW133" s="17" t="s">
        <v>44</v>
      </c>
      <c r="BX133" s="23" t="n">
        <f aca="false">IFERROR(R133/AE133,0)</f>
        <v>1979.11</v>
      </c>
      <c r="BY133" s="23" t="n">
        <f aca="false">IFERROR(R133/12,0)</f>
        <v>164.925833333333</v>
      </c>
      <c r="BZ133" s="18" t="n">
        <v>0</v>
      </c>
      <c r="CA133" s="22" t="str">
        <f aca="false">IF(AE133=0,"PROSPECT",IF(AE133=1,"NOVO",IF(AE133&lt;=3,"EM DESENV.",IF(AE133&lt;=6,"RECORRENTE","FIDELIZADO"))))</f>
        <v>NOVO</v>
      </c>
      <c r="CB133" s="22" t="n">
        <f aca="false">IF((P133+Q133)&gt;0,1,0)+IF((BR133+BS133)&gt;0,1,0)+IF(BE133&gt;0,1,0)</f>
        <v>2</v>
      </c>
    </row>
    <row r="134" customFormat="false" ht="15" hidden="false" customHeight="true" outlineLevel="0" collapsed="false">
      <c r="A134" s="16" t="s">
        <v>439</v>
      </c>
      <c r="B134" s="17" t="s">
        <v>440</v>
      </c>
      <c r="C134" s="18" t="s">
        <v>155</v>
      </c>
      <c r="D134" s="17" t="s">
        <v>441</v>
      </c>
      <c r="E134" s="29" t="s">
        <v>365</v>
      </c>
      <c r="F134" s="20"/>
      <c r="G134" s="20"/>
      <c r="H134" s="20"/>
      <c r="I134" s="27" t="n">
        <v>1999.78</v>
      </c>
      <c r="J134" s="20"/>
      <c r="K134" s="20"/>
      <c r="L134" s="27" t="n">
        <v>2873.11</v>
      </c>
      <c r="M134" s="20"/>
      <c r="N134" s="20"/>
      <c r="O134" s="20"/>
      <c r="P134" s="20"/>
      <c r="Q134" s="20"/>
      <c r="R134" s="21" t="n">
        <f aca="false">SUM(F134:Q134)</f>
        <v>4872.89</v>
      </c>
      <c r="S134" s="18"/>
      <c r="T134" s="18"/>
      <c r="U134" s="18"/>
      <c r="V134" s="28" t="n">
        <v>1</v>
      </c>
      <c r="W134" s="18"/>
      <c r="X134" s="18"/>
      <c r="Y134" s="28" t="n">
        <v>1</v>
      </c>
      <c r="Z134" s="18"/>
      <c r="AA134" s="18"/>
      <c r="AB134" s="18"/>
      <c r="AC134" s="18"/>
      <c r="AD134" s="18"/>
      <c r="AE134" s="22" t="n">
        <f aca="false">SUM(S134:AD134)</f>
        <v>2</v>
      </c>
      <c r="AF134" s="22"/>
      <c r="AG134" s="22"/>
      <c r="AH134" s="22"/>
      <c r="AI134" s="19" t="s">
        <v>50</v>
      </c>
      <c r="AJ134" s="22"/>
      <c r="AK134" s="22"/>
      <c r="AL134" s="19" t="s">
        <v>50</v>
      </c>
      <c r="AM134" s="22"/>
      <c r="AN134" s="22"/>
      <c r="AO134" s="22"/>
      <c r="AP134" s="22"/>
      <c r="AQ134" s="22"/>
      <c r="AR134" s="19" t="s">
        <v>50</v>
      </c>
      <c r="AS134" s="18"/>
      <c r="AT134" s="18"/>
      <c r="AU134" s="18"/>
      <c r="AV134" s="25" t="n">
        <v>1</v>
      </c>
      <c r="AW134" s="18"/>
      <c r="AX134" s="18"/>
      <c r="AY134" s="25" t="n">
        <v>1</v>
      </c>
      <c r="AZ134" s="18"/>
      <c r="BA134" s="18"/>
      <c r="BB134" s="18"/>
      <c r="BC134" s="18"/>
      <c r="BD134" s="18"/>
      <c r="BE134" s="22" t="n">
        <f aca="false">SUM(AS134:BD134)</f>
        <v>2</v>
      </c>
      <c r="BF134" s="23" t="n">
        <v>4872.89</v>
      </c>
      <c r="BG134" s="19" t="s">
        <v>55</v>
      </c>
      <c r="BH134" s="25" t="n">
        <v>1</v>
      </c>
      <c r="BI134" s="18"/>
      <c r="BJ134" s="25" t="n">
        <v>2</v>
      </c>
      <c r="BK134" s="25" t="n">
        <v>1</v>
      </c>
      <c r="BL134" s="25" t="n">
        <v>1</v>
      </c>
      <c r="BM134" s="18"/>
      <c r="BN134" s="18"/>
      <c r="BO134" s="25" t="n">
        <v>2</v>
      </c>
      <c r="BP134" s="18"/>
      <c r="BQ134" s="18"/>
      <c r="BR134" s="25" t="n">
        <v>2</v>
      </c>
      <c r="BS134" s="18"/>
      <c r="BT134" s="22" t="n">
        <f aca="false">SUM(BH134:BS134)</f>
        <v>9</v>
      </c>
      <c r="BU134" s="26" t="n">
        <v>46036.5784722222</v>
      </c>
      <c r="BV134" s="17" t="s">
        <v>378</v>
      </c>
      <c r="BW134" s="17" t="s">
        <v>44</v>
      </c>
      <c r="BX134" s="23" t="n">
        <f aca="false">IFERROR(R134/AE134,0)</f>
        <v>2436.445</v>
      </c>
      <c r="BY134" s="23" t="n">
        <f aca="false">IFERROR(R134/12,0)</f>
        <v>406.074166666667</v>
      </c>
      <c r="BZ134" s="18" t="n">
        <v>90</v>
      </c>
      <c r="CA134" s="22" t="str">
        <f aca="false">IF(AE134=0,"PROSPECT",IF(AE134=1,"NOVO",IF(AE134&lt;=3,"EM DESENV.",IF(AE134&lt;=6,"RECORRENTE","FIDELIZADO"))))</f>
        <v>EM DESENV.</v>
      </c>
      <c r="CB134" s="22" t="n">
        <f aca="false">IF((P134+Q134)&gt;0,1,0)+IF((BR134+BS134)&gt;0,1,0)+IF(BE134&gt;0,1,0)</f>
        <v>2</v>
      </c>
    </row>
    <row r="135" customFormat="false" ht="15" hidden="false" customHeight="true" outlineLevel="0" collapsed="false">
      <c r="A135" s="16" t="s">
        <v>442</v>
      </c>
      <c r="B135" s="17" t="s">
        <v>443</v>
      </c>
      <c r="C135" s="18" t="s">
        <v>254</v>
      </c>
      <c r="D135" s="17" t="s">
        <v>444</v>
      </c>
      <c r="E135" s="29" t="s">
        <v>365</v>
      </c>
      <c r="F135" s="20"/>
      <c r="G135" s="20"/>
      <c r="H135" s="20"/>
      <c r="I135" s="20"/>
      <c r="J135" s="20"/>
      <c r="K135" s="20"/>
      <c r="L135" s="20"/>
      <c r="M135" s="27" t="n">
        <v>2586.2</v>
      </c>
      <c r="N135" s="20"/>
      <c r="O135" s="20"/>
      <c r="P135" s="20"/>
      <c r="Q135" s="20"/>
      <c r="R135" s="21" t="n">
        <f aca="false">SUM(F135:Q135)</f>
        <v>2586.2</v>
      </c>
      <c r="S135" s="18"/>
      <c r="T135" s="18"/>
      <c r="U135" s="18"/>
      <c r="V135" s="18"/>
      <c r="W135" s="18"/>
      <c r="X135" s="18"/>
      <c r="Y135" s="18"/>
      <c r="Z135" s="28" t="n">
        <v>1</v>
      </c>
      <c r="AA135" s="18"/>
      <c r="AB135" s="18"/>
      <c r="AC135" s="18"/>
      <c r="AD135" s="18"/>
      <c r="AE135" s="22" t="n">
        <f aca="false">SUM(S135:AD135)</f>
        <v>1</v>
      </c>
      <c r="AF135" s="22"/>
      <c r="AG135" s="22"/>
      <c r="AH135" s="22"/>
      <c r="AI135" s="22"/>
      <c r="AJ135" s="22"/>
      <c r="AK135" s="22"/>
      <c r="AL135" s="22"/>
      <c r="AM135" s="19" t="s">
        <v>50</v>
      </c>
      <c r="AN135" s="22"/>
      <c r="AO135" s="22"/>
      <c r="AP135" s="22"/>
      <c r="AQ135" s="22"/>
      <c r="AR135" s="19" t="s">
        <v>50</v>
      </c>
      <c r="AS135" s="18"/>
      <c r="AT135" s="18"/>
      <c r="AU135" s="18"/>
      <c r="AV135" s="18"/>
      <c r="AW135" s="18"/>
      <c r="AX135" s="18"/>
      <c r="AY135" s="18"/>
      <c r="AZ135" s="18"/>
      <c r="BA135" s="25" t="n">
        <v>2</v>
      </c>
      <c r="BB135" s="25" t="n">
        <v>2</v>
      </c>
      <c r="BC135" s="18"/>
      <c r="BD135" s="18"/>
      <c r="BE135" s="22" t="n">
        <f aca="false">SUM(AS135:BD135)</f>
        <v>4</v>
      </c>
      <c r="BF135" s="23"/>
      <c r="BG135" s="31" t="s">
        <v>93</v>
      </c>
      <c r="BH135" s="18"/>
      <c r="BI135" s="18"/>
      <c r="BJ135" s="18"/>
      <c r="BK135" s="18"/>
      <c r="BL135" s="18"/>
      <c r="BM135" s="18"/>
      <c r="BN135" s="18"/>
      <c r="BO135" s="25" t="n">
        <v>1</v>
      </c>
      <c r="BP135" s="18"/>
      <c r="BQ135" s="25" t="n">
        <v>2</v>
      </c>
      <c r="BR135" s="25" t="n">
        <v>3</v>
      </c>
      <c r="BS135" s="18"/>
      <c r="BT135" s="22" t="n">
        <f aca="false">SUM(BH135:BS135)</f>
        <v>6</v>
      </c>
      <c r="BU135" s="26" t="n">
        <v>46035.4791666667</v>
      </c>
      <c r="BV135" s="17" t="s">
        <v>243</v>
      </c>
      <c r="BW135" s="17" t="s">
        <v>44</v>
      </c>
      <c r="BX135" s="23" t="n">
        <f aca="false">IFERROR(R135/AE135,0)</f>
        <v>2586.2</v>
      </c>
      <c r="BY135" s="23" t="n">
        <f aca="false">IFERROR(R135/12,0)</f>
        <v>215.516666666667</v>
      </c>
      <c r="BZ135" s="18" t="n">
        <v>0</v>
      </c>
      <c r="CA135" s="22" t="str">
        <f aca="false">IF(AE135=0,"PROSPECT",IF(AE135=1,"NOVO",IF(AE135&lt;=3,"EM DESENV.",IF(AE135&lt;=6,"RECORRENTE","FIDELIZADO"))))</f>
        <v>NOVO</v>
      </c>
      <c r="CB135" s="22" t="n">
        <f aca="false">IF((P135+Q135)&gt;0,1,0)+IF((BR135+BS135)&gt;0,1,0)+IF(BE135&gt;0,1,0)</f>
        <v>2</v>
      </c>
    </row>
    <row r="136" customFormat="false" ht="15" hidden="false" customHeight="true" outlineLevel="0" collapsed="false">
      <c r="A136" s="16" t="s">
        <v>445</v>
      </c>
      <c r="B136" s="17" t="s">
        <v>446</v>
      </c>
      <c r="C136" s="18" t="s">
        <v>254</v>
      </c>
      <c r="D136" s="17" t="s">
        <v>447</v>
      </c>
      <c r="E136" s="29" t="s">
        <v>365</v>
      </c>
      <c r="F136" s="20"/>
      <c r="G136" s="20"/>
      <c r="H136" s="20"/>
      <c r="I136" s="27" t="n">
        <v>2170.59</v>
      </c>
      <c r="J136" s="20"/>
      <c r="K136" s="20"/>
      <c r="L136" s="20"/>
      <c r="M136" s="20"/>
      <c r="N136" s="20"/>
      <c r="O136" s="20"/>
      <c r="P136" s="20"/>
      <c r="Q136" s="20"/>
      <c r="R136" s="21" t="n">
        <f aca="false">SUM(F136:Q136)</f>
        <v>2170.59</v>
      </c>
      <c r="S136" s="18"/>
      <c r="T136" s="18"/>
      <c r="U136" s="18"/>
      <c r="V136" s="28" t="n">
        <v>1</v>
      </c>
      <c r="W136" s="18"/>
      <c r="X136" s="18"/>
      <c r="Y136" s="18"/>
      <c r="Z136" s="18"/>
      <c r="AA136" s="18"/>
      <c r="AB136" s="18"/>
      <c r="AC136" s="18"/>
      <c r="AD136" s="18"/>
      <c r="AE136" s="22" t="n">
        <f aca="false">SUM(S136:AD136)</f>
        <v>1</v>
      </c>
      <c r="AF136" s="22"/>
      <c r="AG136" s="22"/>
      <c r="AH136" s="22"/>
      <c r="AI136" s="19" t="s">
        <v>50</v>
      </c>
      <c r="AJ136" s="22"/>
      <c r="AK136" s="22"/>
      <c r="AL136" s="22"/>
      <c r="AM136" s="22"/>
      <c r="AN136" s="22"/>
      <c r="AO136" s="22"/>
      <c r="AP136" s="22"/>
      <c r="AQ136" s="22"/>
      <c r="AR136" s="30" t="s">
        <v>49</v>
      </c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22" t="n">
        <f aca="false">SUM(AS136:BD136)</f>
        <v>0</v>
      </c>
      <c r="BF136" s="23"/>
      <c r="BG136" s="24"/>
      <c r="BH136" s="18"/>
      <c r="BI136" s="18"/>
      <c r="BJ136" s="18"/>
      <c r="BK136" s="18"/>
      <c r="BL136" s="18"/>
      <c r="BM136" s="18"/>
      <c r="BN136" s="25" t="n">
        <v>1</v>
      </c>
      <c r="BO136" s="18"/>
      <c r="BP136" s="18"/>
      <c r="BQ136" s="25" t="n">
        <v>2</v>
      </c>
      <c r="BR136" s="25" t="n">
        <v>2</v>
      </c>
      <c r="BS136" s="18"/>
      <c r="BT136" s="22" t="n">
        <f aca="false">SUM(BH136:BS136)</f>
        <v>5</v>
      </c>
      <c r="BU136" s="26" t="n">
        <v>46036.6652777778</v>
      </c>
      <c r="BV136" s="17" t="s">
        <v>378</v>
      </c>
      <c r="BW136" s="17" t="s">
        <v>44</v>
      </c>
      <c r="BX136" s="23" t="n">
        <f aca="false">IFERROR(R136/AE136,0)</f>
        <v>2170.59</v>
      </c>
      <c r="BY136" s="23" t="n">
        <f aca="false">IFERROR(R136/12,0)</f>
        <v>180.8825</v>
      </c>
      <c r="BZ136" s="18" t="n">
        <v>0</v>
      </c>
      <c r="CA136" s="22" t="str">
        <f aca="false">IF(AE136=0,"PROSPECT",IF(AE136=1,"NOVO",IF(AE136&lt;=3,"EM DESENV.",IF(AE136&lt;=6,"RECORRENTE","FIDELIZADO"))))</f>
        <v>NOVO</v>
      </c>
      <c r="CB136" s="22" t="n">
        <f aca="false">IF((P136+Q136)&gt;0,1,0)+IF((BR136+BS136)&gt;0,1,0)+IF(BE136&gt;0,1,0)</f>
        <v>1</v>
      </c>
    </row>
    <row r="137" customFormat="false" ht="15" hidden="false" customHeight="true" outlineLevel="0" collapsed="false">
      <c r="A137" s="16" t="s">
        <v>448</v>
      </c>
      <c r="B137" s="17" t="s">
        <v>449</v>
      </c>
      <c r="C137" s="18" t="s">
        <v>53</v>
      </c>
      <c r="D137" s="17" t="s">
        <v>450</v>
      </c>
      <c r="E137" s="29" t="s">
        <v>365</v>
      </c>
      <c r="F137" s="20"/>
      <c r="G137" s="20"/>
      <c r="H137" s="20"/>
      <c r="I137" s="20"/>
      <c r="J137" s="27" t="n">
        <v>2287.64</v>
      </c>
      <c r="K137" s="20"/>
      <c r="L137" s="20"/>
      <c r="M137" s="20"/>
      <c r="N137" s="20"/>
      <c r="O137" s="27" t="n">
        <v>926.96</v>
      </c>
      <c r="P137" s="20"/>
      <c r="Q137" s="20"/>
      <c r="R137" s="21" t="n">
        <f aca="false">SUM(F137:Q137)</f>
        <v>3214.6</v>
      </c>
      <c r="S137" s="18"/>
      <c r="T137" s="18"/>
      <c r="U137" s="18"/>
      <c r="V137" s="18"/>
      <c r="W137" s="28" t="n">
        <v>1</v>
      </c>
      <c r="X137" s="18"/>
      <c r="Y137" s="18"/>
      <c r="Z137" s="18"/>
      <c r="AA137" s="18"/>
      <c r="AB137" s="28" t="n">
        <v>1</v>
      </c>
      <c r="AC137" s="18"/>
      <c r="AD137" s="18"/>
      <c r="AE137" s="22" t="n">
        <f aca="false">SUM(S137:AD137)</f>
        <v>2</v>
      </c>
      <c r="AF137" s="22"/>
      <c r="AG137" s="22"/>
      <c r="AH137" s="22"/>
      <c r="AI137" s="22"/>
      <c r="AJ137" s="19" t="s">
        <v>50</v>
      </c>
      <c r="AK137" s="22"/>
      <c r="AL137" s="22"/>
      <c r="AM137" s="22"/>
      <c r="AN137" s="22"/>
      <c r="AO137" s="30" t="s">
        <v>49</v>
      </c>
      <c r="AP137" s="22"/>
      <c r="AQ137" s="22"/>
      <c r="AR137" s="19" t="s">
        <v>50</v>
      </c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22" t="n">
        <f aca="false">SUM(AS137:BD137)</f>
        <v>0</v>
      </c>
      <c r="BF137" s="23"/>
      <c r="BG137" s="24"/>
      <c r="BH137" s="18"/>
      <c r="BI137" s="18"/>
      <c r="BJ137" s="25" t="n">
        <v>1</v>
      </c>
      <c r="BK137" s="18"/>
      <c r="BL137" s="25" t="n">
        <v>2</v>
      </c>
      <c r="BM137" s="18"/>
      <c r="BN137" s="18"/>
      <c r="BO137" s="18"/>
      <c r="BP137" s="18"/>
      <c r="BQ137" s="25" t="n">
        <v>1</v>
      </c>
      <c r="BR137" s="25" t="n">
        <v>4</v>
      </c>
      <c r="BS137" s="25" t="n">
        <v>3</v>
      </c>
      <c r="BT137" s="22" t="n">
        <f aca="false">SUM(BH137:BS137)</f>
        <v>11</v>
      </c>
      <c r="BU137" s="26" t="n">
        <v>46057.4756944445</v>
      </c>
      <c r="BV137" s="17" t="s">
        <v>243</v>
      </c>
      <c r="BW137" s="17" t="s">
        <v>44</v>
      </c>
      <c r="BX137" s="23" t="n">
        <f aca="false">IFERROR(R137/AE137,0)</f>
        <v>1607.3</v>
      </c>
      <c r="BY137" s="23" t="n">
        <f aca="false">IFERROR(R137/12,0)</f>
        <v>267.883333333333</v>
      </c>
      <c r="BZ137" s="18" t="n">
        <v>140</v>
      </c>
      <c r="CA137" s="22" t="str">
        <f aca="false">IF(AE137=0,"PROSPECT",IF(AE137=1,"NOVO",IF(AE137&lt;=3,"EM DESENV.",IF(AE137&lt;=6,"RECORRENTE","FIDELIZADO"))))</f>
        <v>EM DESENV.</v>
      </c>
      <c r="CB137" s="22" t="n">
        <f aca="false">IF((P137+Q137)&gt;0,1,0)+IF((BR137+BS137)&gt;0,1,0)+IF(BE137&gt;0,1,0)</f>
        <v>1</v>
      </c>
    </row>
    <row r="138" customFormat="false" ht="15" hidden="false" customHeight="true" outlineLevel="0" collapsed="false">
      <c r="A138" s="16" t="s">
        <v>451</v>
      </c>
      <c r="B138" s="17" t="s">
        <v>452</v>
      </c>
      <c r="C138" s="18" t="s">
        <v>53</v>
      </c>
      <c r="D138" s="17" t="s">
        <v>234</v>
      </c>
      <c r="E138" s="29" t="s">
        <v>365</v>
      </c>
      <c r="F138" s="20"/>
      <c r="G138" s="20"/>
      <c r="H138" s="27" t="n">
        <v>1734</v>
      </c>
      <c r="I138" s="20"/>
      <c r="J138" s="20"/>
      <c r="K138" s="27" t="n">
        <v>2040.89</v>
      </c>
      <c r="L138" s="20"/>
      <c r="M138" s="27" t="n">
        <v>1200</v>
      </c>
      <c r="N138" s="20"/>
      <c r="O138" s="27" t="n">
        <v>997.5</v>
      </c>
      <c r="P138" s="20"/>
      <c r="Q138" s="20"/>
      <c r="R138" s="21" t="n">
        <f aca="false">SUM(F138:Q138)</f>
        <v>5972.39</v>
      </c>
      <c r="S138" s="18"/>
      <c r="T138" s="18"/>
      <c r="U138" s="28" t="n">
        <v>1</v>
      </c>
      <c r="V138" s="18"/>
      <c r="W138" s="18"/>
      <c r="X138" s="28" t="n">
        <v>1</v>
      </c>
      <c r="Y138" s="18"/>
      <c r="Z138" s="28" t="n">
        <v>1</v>
      </c>
      <c r="AA138" s="18"/>
      <c r="AB138" s="28" t="n">
        <v>1</v>
      </c>
      <c r="AC138" s="18"/>
      <c r="AD138" s="18"/>
      <c r="AE138" s="22" t="n">
        <f aca="false">SUM(S138:AD138)</f>
        <v>4</v>
      </c>
      <c r="AF138" s="22"/>
      <c r="AG138" s="22"/>
      <c r="AH138" s="19" t="s">
        <v>50</v>
      </c>
      <c r="AI138" s="22"/>
      <c r="AJ138" s="22"/>
      <c r="AK138" s="19" t="s">
        <v>50</v>
      </c>
      <c r="AL138" s="22"/>
      <c r="AM138" s="30" t="s">
        <v>49</v>
      </c>
      <c r="AN138" s="22"/>
      <c r="AO138" s="30" t="s">
        <v>49</v>
      </c>
      <c r="AP138" s="22"/>
      <c r="AQ138" s="22"/>
      <c r="AR138" s="19" t="s">
        <v>50</v>
      </c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22" t="n">
        <f aca="false">SUM(AS138:BD138)</f>
        <v>0</v>
      </c>
      <c r="BF138" s="23"/>
      <c r="BG138" s="24"/>
      <c r="BH138" s="18"/>
      <c r="BI138" s="18"/>
      <c r="BJ138" s="18"/>
      <c r="BK138" s="18"/>
      <c r="BL138" s="18"/>
      <c r="BM138" s="18"/>
      <c r="BN138" s="18"/>
      <c r="BO138" s="18"/>
      <c r="BP138" s="18"/>
      <c r="BQ138" s="25" t="n">
        <v>1</v>
      </c>
      <c r="BR138" s="25" t="n">
        <v>1</v>
      </c>
      <c r="BS138" s="18"/>
      <c r="BT138" s="22" t="n">
        <f aca="false">SUM(BH138:BS138)</f>
        <v>2</v>
      </c>
      <c r="BU138" s="26" t="n">
        <v>46029.5972222222</v>
      </c>
      <c r="BV138" s="17" t="s">
        <v>107</v>
      </c>
      <c r="BW138" s="17" t="s">
        <v>44</v>
      </c>
      <c r="BX138" s="23" t="n">
        <f aca="false">IFERROR(R138/AE138,0)</f>
        <v>1493.0975</v>
      </c>
      <c r="BY138" s="23" t="n">
        <f aca="false">IFERROR(R138/12,0)</f>
        <v>497.699166666667</v>
      </c>
      <c r="BZ138" s="18" t="n">
        <v>69.6667</v>
      </c>
      <c r="CA138" s="22" t="str">
        <f aca="false">IF(AE138=0,"PROSPECT",IF(AE138=1,"NOVO",IF(AE138&lt;=3,"EM DESENV.",IF(AE138&lt;=6,"RECORRENTE","FIDELIZADO"))))</f>
        <v>RECORRENTE</v>
      </c>
      <c r="CB138" s="22" t="n">
        <f aca="false">IF((P138+Q138)&gt;0,1,0)+IF((BR138+BS138)&gt;0,1,0)+IF(BE138&gt;0,1,0)</f>
        <v>1</v>
      </c>
    </row>
    <row r="139" customFormat="false" ht="15" hidden="false" customHeight="true" outlineLevel="0" collapsed="false">
      <c r="A139" s="16" t="s">
        <v>453</v>
      </c>
      <c r="B139" s="17" t="s">
        <v>454</v>
      </c>
      <c r="C139" s="18" t="s">
        <v>53</v>
      </c>
      <c r="D139" s="17" t="s">
        <v>234</v>
      </c>
      <c r="E139" s="29" t="s">
        <v>365</v>
      </c>
      <c r="F139" s="20"/>
      <c r="G139" s="20"/>
      <c r="H139" s="20"/>
      <c r="I139" s="27" t="n">
        <v>3510.38</v>
      </c>
      <c r="J139" s="20"/>
      <c r="K139" s="20"/>
      <c r="L139" s="20"/>
      <c r="M139" s="20"/>
      <c r="N139" s="20"/>
      <c r="O139" s="20"/>
      <c r="P139" s="20"/>
      <c r="Q139" s="20"/>
      <c r="R139" s="21" t="n">
        <f aca="false">SUM(F139:Q139)</f>
        <v>3510.38</v>
      </c>
      <c r="S139" s="18"/>
      <c r="T139" s="18"/>
      <c r="U139" s="18"/>
      <c r="V139" s="28" t="n">
        <v>1</v>
      </c>
      <c r="W139" s="18"/>
      <c r="X139" s="18"/>
      <c r="Y139" s="18"/>
      <c r="Z139" s="18"/>
      <c r="AA139" s="18"/>
      <c r="AB139" s="18"/>
      <c r="AC139" s="18"/>
      <c r="AD139" s="18"/>
      <c r="AE139" s="22" t="n">
        <f aca="false">SUM(S139:AD139)</f>
        <v>1</v>
      </c>
      <c r="AF139" s="22"/>
      <c r="AG139" s="22"/>
      <c r="AH139" s="22"/>
      <c r="AI139" s="19" t="s">
        <v>50</v>
      </c>
      <c r="AJ139" s="22"/>
      <c r="AK139" s="22"/>
      <c r="AL139" s="22"/>
      <c r="AM139" s="22"/>
      <c r="AN139" s="22"/>
      <c r="AO139" s="22"/>
      <c r="AP139" s="22"/>
      <c r="AQ139" s="22"/>
      <c r="AR139" s="19" t="s">
        <v>50</v>
      </c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22" t="n">
        <f aca="false">SUM(AS139:BD139)</f>
        <v>0</v>
      </c>
      <c r="BF139" s="23"/>
      <c r="BG139" s="24"/>
      <c r="BH139" s="18"/>
      <c r="BI139" s="18"/>
      <c r="BJ139" s="18"/>
      <c r="BK139" s="18"/>
      <c r="BL139" s="25" t="n">
        <v>1</v>
      </c>
      <c r="BM139" s="18"/>
      <c r="BN139" s="25" t="n">
        <v>1</v>
      </c>
      <c r="BO139" s="18"/>
      <c r="BP139" s="18"/>
      <c r="BQ139" s="25" t="n">
        <v>1</v>
      </c>
      <c r="BR139" s="25" t="n">
        <v>2</v>
      </c>
      <c r="BS139" s="18"/>
      <c r="BT139" s="22" t="n">
        <f aca="false">SUM(BH139:BS139)</f>
        <v>5</v>
      </c>
      <c r="BU139" s="26" t="n">
        <v>46036.6729166667</v>
      </c>
      <c r="BV139" s="17" t="s">
        <v>378</v>
      </c>
      <c r="BW139" s="17" t="s">
        <v>44</v>
      </c>
      <c r="BX139" s="23" t="n">
        <f aca="false">IFERROR(R139/AE139,0)</f>
        <v>3510.38</v>
      </c>
      <c r="BY139" s="23" t="n">
        <f aca="false">IFERROR(R139/12,0)</f>
        <v>292.531666666667</v>
      </c>
      <c r="BZ139" s="18" t="n">
        <v>0</v>
      </c>
      <c r="CA139" s="22" t="str">
        <f aca="false">IF(AE139=0,"PROSPECT",IF(AE139=1,"NOVO",IF(AE139&lt;=3,"EM DESENV.",IF(AE139&lt;=6,"RECORRENTE","FIDELIZADO"))))</f>
        <v>NOVO</v>
      </c>
      <c r="CB139" s="22" t="n">
        <f aca="false">IF((P139+Q139)&gt;0,1,0)+IF((BR139+BS139)&gt;0,1,0)+IF(BE139&gt;0,1,0)</f>
        <v>1</v>
      </c>
    </row>
    <row r="140" customFormat="false" ht="15" hidden="false" customHeight="true" outlineLevel="0" collapsed="false">
      <c r="A140" s="16" t="s">
        <v>455</v>
      </c>
      <c r="B140" s="17" t="s">
        <v>456</v>
      </c>
      <c r="C140" s="18" t="s">
        <v>41</v>
      </c>
      <c r="D140" s="17" t="s">
        <v>42</v>
      </c>
      <c r="E140" s="29" t="s">
        <v>365</v>
      </c>
      <c r="F140" s="20"/>
      <c r="G140" s="20"/>
      <c r="H140" s="27" t="n">
        <v>810.36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1" t="n">
        <f aca="false">SUM(F140:Q140)</f>
        <v>810.36</v>
      </c>
      <c r="S140" s="18"/>
      <c r="T140" s="18"/>
      <c r="U140" s="28" t="n">
        <v>1</v>
      </c>
      <c r="V140" s="18"/>
      <c r="W140" s="18"/>
      <c r="X140" s="18"/>
      <c r="Y140" s="18"/>
      <c r="Z140" s="18"/>
      <c r="AA140" s="18"/>
      <c r="AB140" s="18"/>
      <c r="AC140" s="18"/>
      <c r="AD140" s="18"/>
      <c r="AE140" s="22" t="n">
        <f aca="false">SUM(S140:AD140)</f>
        <v>1</v>
      </c>
      <c r="AF140" s="22"/>
      <c r="AG140" s="22"/>
      <c r="AH140" s="30" t="s">
        <v>49</v>
      </c>
      <c r="AI140" s="22"/>
      <c r="AJ140" s="22"/>
      <c r="AK140" s="22"/>
      <c r="AL140" s="22"/>
      <c r="AM140" s="22"/>
      <c r="AN140" s="22"/>
      <c r="AO140" s="22"/>
      <c r="AP140" s="22"/>
      <c r="AQ140" s="22"/>
      <c r="AR140" s="29" t="s">
        <v>48</v>
      </c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22" t="n">
        <f aca="false">SUM(AS140:BD140)</f>
        <v>0</v>
      </c>
      <c r="BF140" s="23"/>
      <c r="BG140" s="24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22" t="n">
        <f aca="false">SUM(BH140:BS140)</f>
        <v>0</v>
      </c>
      <c r="BU140" s="26"/>
      <c r="BV140" s="17"/>
      <c r="BW140" s="17"/>
      <c r="BX140" s="23" t="n">
        <f aca="false">IFERROR(R140/AE140,0)</f>
        <v>810.36</v>
      </c>
      <c r="BY140" s="23" t="n">
        <f aca="false">IFERROR(R140/12,0)</f>
        <v>67.53</v>
      </c>
      <c r="BZ140" s="18" t="n">
        <v>0</v>
      </c>
      <c r="CA140" s="22" t="str">
        <f aca="false">IF(AE140=0,"PROSPECT",IF(AE140=1,"NOVO",IF(AE140&lt;=3,"EM DESENV.",IF(AE140&lt;=6,"RECORRENTE","FIDELIZADO"))))</f>
        <v>NOVO</v>
      </c>
      <c r="CB140" s="22" t="n">
        <f aca="false">IF((P140+Q140)&gt;0,1,0)+IF((BR140+BS140)&gt;0,1,0)+IF(BE140&gt;0,1,0)</f>
        <v>0</v>
      </c>
    </row>
    <row r="141" customFormat="false" ht="15" hidden="false" customHeight="true" outlineLevel="0" collapsed="false">
      <c r="A141" s="16" t="s">
        <v>457</v>
      </c>
      <c r="B141" s="17" t="s">
        <v>458</v>
      </c>
      <c r="C141" s="18" t="s">
        <v>61</v>
      </c>
      <c r="D141" s="17" t="s">
        <v>459</v>
      </c>
      <c r="E141" s="29" t="s">
        <v>365</v>
      </c>
      <c r="F141" s="20"/>
      <c r="G141" s="20"/>
      <c r="H141" s="20"/>
      <c r="I141" s="20"/>
      <c r="J141" s="20"/>
      <c r="K141" s="20"/>
      <c r="L141" s="20"/>
      <c r="M141" s="27" t="n">
        <v>986.32</v>
      </c>
      <c r="N141" s="20"/>
      <c r="O141" s="20"/>
      <c r="P141" s="20"/>
      <c r="Q141" s="20"/>
      <c r="R141" s="21" t="n">
        <f aca="false">SUM(F141:Q141)</f>
        <v>986.32</v>
      </c>
      <c r="S141" s="18"/>
      <c r="T141" s="18"/>
      <c r="U141" s="18"/>
      <c r="V141" s="18"/>
      <c r="W141" s="18"/>
      <c r="X141" s="18"/>
      <c r="Y141" s="18"/>
      <c r="Z141" s="28" t="n">
        <v>1</v>
      </c>
      <c r="AA141" s="18"/>
      <c r="AB141" s="18"/>
      <c r="AC141" s="18"/>
      <c r="AD141" s="18"/>
      <c r="AE141" s="22" t="n">
        <f aca="false">SUM(S141:AD141)</f>
        <v>1</v>
      </c>
      <c r="AF141" s="22"/>
      <c r="AG141" s="22"/>
      <c r="AH141" s="22"/>
      <c r="AI141" s="22"/>
      <c r="AJ141" s="22"/>
      <c r="AK141" s="22"/>
      <c r="AL141" s="22"/>
      <c r="AM141" s="30" t="s">
        <v>49</v>
      </c>
      <c r="AN141" s="22"/>
      <c r="AO141" s="22"/>
      <c r="AP141" s="22"/>
      <c r="AQ141" s="22"/>
      <c r="AR141" s="29" t="s">
        <v>48</v>
      </c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22" t="n">
        <f aca="false">SUM(AS141:BD141)</f>
        <v>0</v>
      </c>
      <c r="BF141" s="23"/>
      <c r="BG141" s="24"/>
      <c r="BH141" s="25" t="n">
        <v>1</v>
      </c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22" t="n">
        <f aca="false">SUM(BH141:BS141)</f>
        <v>1</v>
      </c>
      <c r="BU141" s="26" t="n">
        <v>45719.468900463</v>
      </c>
      <c r="BV141" s="17"/>
      <c r="BW141" s="17" t="s">
        <v>44</v>
      </c>
      <c r="BX141" s="23" t="n">
        <f aca="false">IFERROR(R141/AE141,0)</f>
        <v>986.32</v>
      </c>
      <c r="BY141" s="23" t="n">
        <f aca="false">IFERROR(R141/12,0)</f>
        <v>82.1933333333333</v>
      </c>
      <c r="BZ141" s="18" t="n">
        <v>0</v>
      </c>
      <c r="CA141" s="22" t="str">
        <f aca="false">IF(AE141=0,"PROSPECT",IF(AE141=1,"NOVO",IF(AE141&lt;=3,"EM DESENV.",IF(AE141&lt;=6,"RECORRENTE","FIDELIZADO"))))</f>
        <v>NOVO</v>
      </c>
      <c r="CB141" s="22" t="n">
        <f aca="false">IF((P141+Q141)&gt;0,1,0)+IF((BR141+BS141)&gt;0,1,0)+IF(BE141&gt;0,1,0)</f>
        <v>0</v>
      </c>
    </row>
    <row r="142" customFormat="false" ht="15" hidden="false" customHeight="true" outlineLevel="0" collapsed="false">
      <c r="A142" s="16" t="s">
        <v>460</v>
      </c>
      <c r="B142" s="17" t="s">
        <v>461</v>
      </c>
      <c r="C142" s="18" t="s">
        <v>61</v>
      </c>
      <c r="D142" s="17" t="s">
        <v>459</v>
      </c>
      <c r="E142" s="29" t="s">
        <v>365</v>
      </c>
      <c r="F142" s="20"/>
      <c r="G142" s="20"/>
      <c r="H142" s="20"/>
      <c r="I142" s="20"/>
      <c r="J142" s="20"/>
      <c r="K142" s="20"/>
      <c r="L142" s="27" t="n">
        <v>678</v>
      </c>
      <c r="M142" s="20"/>
      <c r="N142" s="20"/>
      <c r="O142" s="20"/>
      <c r="P142" s="20"/>
      <c r="Q142" s="20"/>
      <c r="R142" s="21" t="n">
        <f aca="false">SUM(F142:Q142)</f>
        <v>678</v>
      </c>
      <c r="S142" s="18"/>
      <c r="T142" s="18"/>
      <c r="U142" s="18"/>
      <c r="V142" s="18"/>
      <c r="W142" s="18"/>
      <c r="X142" s="18"/>
      <c r="Y142" s="28" t="n">
        <v>1</v>
      </c>
      <c r="Z142" s="18"/>
      <c r="AA142" s="18"/>
      <c r="AB142" s="18"/>
      <c r="AC142" s="18"/>
      <c r="AD142" s="18"/>
      <c r="AE142" s="22" t="n">
        <f aca="false">SUM(S142:AD142)</f>
        <v>1</v>
      </c>
      <c r="AF142" s="22"/>
      <c r="AG142" s="22"/>
      <c r="AH142" s="22"/>
      <c r="AI142" s="22"/>
      <c r="AJ142" s="22"/>
      <c r="AK142" s="22"/>
      <c r="AL142" s="29" t="s">
        <v>48</v>
      </c>
      <c r="AM142" s="22"/>
      <c r="AN142" s="22"/>
      <c r="AO142" s="22"/>
      <c r="AP142" s="22"/>
      <c r="AQ142" s="22"/>
      <c r="AR142" s="29" t="s">
        <v>48</v>
      </c>
      <c r="AS142" s="18"/>
      <c r="AT142" s="18"/>
      <c r="AU142" s="18"/>
      <c r="AV142" s="18"/>
      <c r="AW142" s="18"/>
      <c r="AX142" s="18"/>
      <c r="AY142" s="25" t="n">
        <v>4</v>
      </c>
      <c r="AZ142" s="18"/>
      <c r="BA142" s="25" t="n">
        <v>10</v>
      </c>
      <c r="BB142" s="18"/>
      <c r="BC142" s="18"/>
      <c r="BD142" s="18"/>
      <c r="BE142" s="22" t="n">
        <f aca="false">SUM(AS142:BD142)</f>
        <v>14</v>
      </c>
      <c r="BF142" s="23" t="n">
        <v>678</v>
      </c>
      <c r="BG142" s="19" t="s">
        <v>55</v>
      </c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25" t="n">
        <v>2</v>
      </c>
      <c r="BS142" s="18"/>
      <c r="BT142" s="22" t="n">
        <f aca="false">SUM(BH142:BS142)</f>
        <v>2</v>
      </c>
      <c r="BU142" s="26" t="n">
        <v>46042.406099537</v>
      </c>
      <c r="BV142" s="17"/>
      <c r="BW142" s="17" t="s">
        <v>44</v>
      </c>
      <c r="BX142" s="23" t="n">
        <f aca="false">IFERROR(R142/AE142,0)</f>
        <v>678</v>
      </c>
      <c r="BY142" s="23" t="n">
        <f aca="false">IFERROR(R142/12,0)</f>
        <v>56.5</v>
      </c>
      <c r="BZ142" s="18" t="n">
        <v>0</v>
      </c>
      <c r="CA142" s="22" t="str">
        <f aca="false">IF(AE142=0,"PROSPECT",IF(AE142=1,"NOVO",IF(AE142&lt;=3,"EM DESENV.",IF(AE142&lt;=6,"RECORRENTE","FIDELIZADO"))))</f>
        <v>NOVO</v>
      </c>
      <c r="CB142" s="22" t="n">
        <f aca="false">IF((P142+Q142)&gt;0,1,0)+IF((BR142+BS142)&gt;0,1,0)+IF(BE142&gt;0,1,0)</f>
        <v>2</v>
      </c>
    </row>
    <row r="143" customFormat="false" ht="15" hidden="false" customHeight="true" outlineLevel="0" collapsed="false">
      <c r="A143" s="16" t="s">
        <v>462</v>
      </c>
      <c r="B143" s="17" t="s">
        <v>463</v>
      </c>
      <c r="C143" s="18" t="s">
        <v>61</v>
      </c>
      <c r="D143" s="17" t="s">
        <v>459</v>
      </c>
      <c r="E143" s="29" t="s">
        <v>365</v>
      </c>
      <c r="F143" s="20"/>
      <c r="G143" s="20"/>
      <c r="H143" s="20"/>
      <c r="I143" s="20"/>
      <c r="J143" s="20"/>
      <c r="K143" s="20"/>
      <c r="L143" s="20"/>
      <c r="M143" s="20"/>
      <c r="N143" s="27" t="n">
        <v>784.09</v>
      </c>
      <c r="O143" s="20"/>
      <c r="P143" s="20"/>
      <c r="Q143" s="20"/>
      <c r="R143" s="21" t="n">
        <f aca="false">SUM(F143:Q143)</f>
        <v>784.09</v>
      </c>
      <c r="S143" s="18"/>
      <c r="T143" s="18"/>
      <c r="U143" s="18"/>
      <c r="V143" s="18"/>
      <c r="W143" s="18"/>
      <c r="X143" s="18"/>
      <c r="Y143" s="18"/>
      <c r="Z143" s="18"/>
      <c r="AA143" s="28" t="n">
        <v>1</v>
      </c>
      <c r="AB143" s="18"/>
      <c r="AC143" s="18"/>
      <c r="AD143" s="18"/>
      <c r="AE143" s="22" t="n">
        <f aca="false">SUM(S143:AD143)</f>
        <v>1</v>
      </c>
      <c r="AF143" s="22"/>
      <c r="AG143" s="22"/>
      <c r="AH143" s="22"/>
      <c r="AI143" s="22"/>
      <c r="AJ143" s="22"/>
      <c r="AK143" s="22"/>
      <c r="AL143" s="22"/>
      <c r="AM143" s="22"/>
      <c r="AN143" s="30" t="s">
        <v>49</v>
      </c>
      <c r="AO143" s="22"/>
      <c r="AP143" s="22"/>
      <c r="AQ143" s="22"/>
      <c r="AR143" s="29" t="s">
        <v>48</v>
      </c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22" t="n">
        <f aca="false">SUM(AS143:BD143)</f>
        <v>0</v>
      </c>
      <c r="BF143" s="23"/>
      <c r="BG143" s="24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22" t="n">
        <f aca="false">SUM(BH143:BS143)</f>
        <v>0</v>
      </c>
      <c r="BU143" s="26"/>
      <c r="BV143" s="17"/>
      <c r="BW143" s="17"/>
      <c r="BX143" s="23" t="n">
        <f aca="false">IFERROR(R143/AE143,0)</f>
        <v>784.09</v>
      </c>
      <c r="BY143" s="23" t="n">
        <f aca="false">IFERROR(R143/12,0)</f>
        <v>65.3408333333333</v>
      </c>
      <c r="BZ143" s="18" t="n">
        <v>0</v>
      </c>
      <c r="CA143" s="22" t="str">
        <f aca="false">IF(AE143=0,"PROSPECT",IF(AE143=1,"NOVO",IF(AE143&lt;=3,"EM DESENV.",IF(AE143&lt;=6,"RECORRENTE","FIDELIZADO"))))</f>
        <v>NOVO</v>
      </c>
      <c r="CB143" s="22" t="n">
        <f aca="false">IF((P143+Q143)&gt;0,1,0)+IF((BR143+BS143)&gt;0,1,0)+IF(BE143&gt;0,1,0)</f>
        <v>0</v>
      </c>
    </row>
    <row r="144" customFormat="false" ht="15" hidden="false" customHeight="true" outlineLevel="0" collapsed="false">
      <c r="A144" s="16" t="s">
        <v>464</v>
      </c>
      <c r="B144" s="17" t="s">
        <v>465</v>
      </c>
      <c r="C144" s="18" t="s">
        <v>41</v>
      </c>
      <c r="D144" s="17" t="s">
        <v>42</v>
      </c>
      <c r="E144" s="29" t="s">
        <v>365</v>
      </c>
      <c r="F144" s="20"/>
      <c r="G144" s="20"/>
      <c r="H144" s="20"/>
      <c r="I144" s="20"/>
      <c r="J144" s="20"/>
      <c r="K144" s="20"/>
      <c r="L144" s="20"/>
      <c r="M144" s="20"/>
      <c r="N144" s="27" t="n">
        <v>662.57</v>
      </c>
      <c r="O144" s="20"/>
      <c r="P144" s="20"/>
      <c r="Q144" s="20"/>
      <c r="R144" s="21" t="n">
        <f aca="false">SUM(F144:Q144)</f>
        <v>662.57</v>
      </c>
      <c r="S144" s="18"/>
      <c r="T144" s="18"/>
      <c r="U144" s="18"/>
      <c r="V144" s="18"/>
      <c r="W144" s="18"/>
      <c r="X144" s="18"/>
      <c r="Y144" s="18"/>
      <c r="Z144" s="18"/>
      <c r="AA144" s="28" t="n">
        <v>1</v>
      </c>
      <c r="AB144" s="18"/>
      <c r="AC144" s="18"/>
      <c r="AD144" s="18"/>
      <c r="AE144" s="22" t="n">
        <f aca="false">SUM(S144:AD144)</f>
        <v>1</v>
      </c>
      <c r="AF144" s="22"/>
      <c r="AG144" s="22"/>
      <c r="AH144" s="22"/>
      <c r="AI144" s="22"/>
      <c r="AJ144" s="22"/>
      <c r="AK144" s="22"/>
      <c r="AL144" s="22"/>
      <c r="AM144" s="22"/>
      <c r="AN144" s="29" t="s">
        <v>48</v>
      </c>
      <c r="AO144" s="22"/>
      <c r="AP144" s="22"/>
      <c r="AQ144" s="22"/>
      <c r="AR144" s="29" t="s">
        <v>48</v>
      </c>
      <c r="AS144" s="18"/>
      <c r="AT144" s="18"/>
      <c r="AU144" s="18"/>
      <c r="AV144" s="18"/>
      <c r="AW144" s="18"/>
      <c r="AX144" s="18"/>
      <c r="AY144" s="18"/>
      <c r="AZ144" s="18"/>
      <c r="BA144" s="25" t="n">
        <v>16</v>
      </c>
      <c r="BB144" s="18"/>
      <c r="BC144" s="18"/>
      <c r="BD144" s="18"/>
      <c r="BE144" s="22" t="n">
        <f aca="false">SUM(AS144:BD144)</f>
        <v>16</v>
      </c>
      <c r="BF144" s="23" t="n">
        <v>662.57</v>
      </c>
      <c r="BG144" s="19" t="s">
        <v>55</v>
      </c>
      <c r="BH144" s="18"/>
      <c r="BI144" s="18"/>
      <c r="BJ144" s="18"/>
      <c r="BK144" s="18"/>
      <c r="BL144" s="18"/>
      <c r="BM144" s="18"/>
      <c r="BN144" s="18"/>
      <c r="BO144" s="18"/>
      <c r="BP144" s="25" t="n">
        <v>2</v>
      </c>
      <c r="BQ144" s="18"/>
      <c r="BR144" s="18"/>
      <c r="BS144" s="25" t="n">
        <v>2</v>
      </c>
      <c r="BT144" s="22" t="n">
        <f aca="false">SUM(BH144:BS144)</f>
        <v>4</v>
      </c>
      <c r="BU144" s="26" t="n">
        <v>46056.7229166667</v>
      </c>
      <c r="BV144" s="17"/>
      <c r="BW144" s="17" t="s">
        <v>117</v>
      </c>
      <c r="BX144" s="23" t="n">
        <f aca="false">IFERROR(R144/AE144,0)</f>
        <v>662.57</v>
      </c>
      <c r="BY144" s="23" t="n">
        <f aca="false">IFERROR(R144/12,0)</f>
        <v>55.2141666666667</v>
      </c>
      <c r="BZ144" s="18" t="n">
        <v>0</v>
      </c>
      <c r="CA144" s="22" t="str">
        <f aca="false">IF(AE144=0,"PROSPECT",IF(AE144=1,"NOVO",IF(AE144&lt;=3,"EM DESENV.",IF(AE144&lt;=6,"RECORRENTE","FIDELIZADO"))))</f>
        <v>NOVO</v>
      </c>
      <c r="CB144" s="22" t="n">
        <f aca="false">IF((P144+Q144)&gt;0,1,0)+IF((BR144+BS144)&gt;0,1,0)+IF(BE144&gt;0,1,0)</f>
        <v>2</v>
      </c>
    </row>
    <row r="145" customFormat="false" ht="15" hidden="false" customHeight="true" outlineLevel="0" collapsed="false">
      <c r="A145" s="16" t="s">
        <v>466</v>
      </c>
      <c r="B145" s="17" t="s">
        <v>467</v>
      </c>
      <c r="C145" s="18" t="s">
        <v>72</v>
      </c>
      <c r="D145" s="17" t="s">
        <v>73</v>
      </c>
      <c r="E145" s="29" t="s">
        <v>365</v>
      </c>
      <c r="F145" s="20"/>
      <c r="G145" s="20"/>
      <c r="H145" s="20"/>
      <c r="I145" s="20"/>
      <c r="J145" s="20"/>
      <c r="K145" s="20"/>
      <c r="L145" s="20"/>
      <c r="M145" s="27" t="n">
        <v>2075.26</v>
      </c>
      <c r="N145" s="20"/>
      <c r="O145" s="20"/>
      <c r="P145" s="20"/>
      <c r="Q145" s="20"/>
      <c r="R145" s="21" t="n">
        <f aca="false">SUM(F145:Q145)</f>
        <v>2075.26</v>
      </c>
      <c r="S145" s="18"/>
      <c r="T145" s="18"/>
      <c r="U145" s="18"/>
      <c r="V145" s="18"/>
      <c r="W145" s="18"/>
      <c r="X145" s="18"/>
      <c r="Y145" s="18"/>
      <c r="Z145" s="28" t="n">
        <v>1</v>
      </c>
      <c r="AA145" s="18"/>
      <c r="AB145" s="18"/>
      <c r="AC145" s="18"/>
      <c r="AD145" s="18"/>
      <c r="AE145" s="22" t="n">
        <f aca="false">SUM(S145:AD145)</f>
        <v>1</v>
      </c>
      <c r="AF145" s="22"/>
      <c r="AG145" s="22"/>
      <c r="AH145" s="22"/>
      <c r="AI145" s="22"/>
      <c r="AJ145" s="22"/>
      <c r="AK145" s="22"/>
      <c r="AL145" s="22"/>
      <c r="AM145" s="19" t="s">
        <v>50</v>
      </c>
      <c r="AN145" s="22"/>
      <c r="AO145" s="22"/>
      <c r="AP145" s="22"/>
      <c r="AQ145" s="22"/>
      <c r="AR145" s="30" t="s">
        <v>49</v>
      </c>
      <c r="AS145" s="18"/>
      <c r="AT145" s="18"/>
      <c r="AU145" s="18"/>
      <c r="AV145" s="18"/>
      <c r="AW145" s="18"/>
      <c r="AX145" s="18"/>
      <c r="AY145" s="18"/>
      <c r="AZ145" s="18"/>
      <c r="BA145" s="25" t="n">
        <v>5</v>
      </c>
      <c r="BB145" s="18"/>
      <c r="BC145" s="18"/>
      <c r="BD145" s="18"/>
      <c r="BE145" s="22" t="n">
        <f aca="false">SUM(AS145:BD145)</f>
        <v>5</v>
      </c>
      <c r="BF145" s="23"/>
      <c r="BG145" s="31" t="s">
        <v>93</v>
      </c>
      <c r="BH145" s="18"/>
      <c r="BI145" s="18"/>
      <c r="BJ145" s="18"/>
      <c r="BK145" s="18"/>
      <c r="BL145" s="18"/>
      <c r="BM145" s="18"/>
      <c r="BN145" s="18"/>
      <c r="BO145" s="25" t="n">
        <v>1</v>
      </c>
      <c r="BP145" s="25" t="n">
        <v>2</v>
      </c>
      <c r="BQ145" s="18"/>
      <c r="BR145" s="18"/>
      <c r="BS145" s="18"/>
      <c r="BT145" s="22" t="n">
        <f aca="false">SUM(BH145:BS145)</f>
        <v>3</v>
      </c>
      <c r="BU145" s="26" t="n">
        <v>45973.475</v>
      </c>
      <c r="BV145" s="17"/>
      <c r="BW145" s="17" t="s">
        <v>117</v>
      </c>
      <c r="BX145" s="23" t="n">
        <f aca="false">IFERROR(R145/AE145,0)</f>
        <v>2075.26</v>
      </c>
      <c r="BY145" s="23" t="n">
        <f aca="false">IFERROR(R145/12,0)</f>
        <v>172.938333333333</v>
      </c>
      <c r="BZ145" s="18" t="n">
        <v>0</v>
      </c>
      <c r="CA145" s="22" t="str">
        <f aca="false">IF(AE145=0,"PROSPECT",IF(AE145=1,"NOVO",IF(AE145&lt;=3,"EM DESENV.",IF(AE145&lt;=6,"RECORRENTE","FIDELIZADO"))))</f>
        <v>NOVO</v>
      </c>
      <c r="CB145" s="22" t="n">
        <f aca="false">IF((P145+Q145)&gt;0,1,0)+IF((BR145+BS145)&gt;0,1,0)+IF(BE145&gt;0,1,0)</f>
        <v>1</v>
      </c>
    </row>
    <row r="146" customFormat="false" ht="15" hidden="false" customHeight="true" outlineLevel="0" collapsed="false">
      <c r="A146" s="16" t="s">
        <v>468</v>
      </c>
      <c r="B146" s="17" t="s">
        <v>469</v>
      </c>
      <c r="C146" s="18" t="s">
        <v>61</v>
      </c>
      <c r="D146" s="17" t="s">
        <v>319</v>
      </c>
      <c r="E146" s="29" t="s">
        <v>365</v>
      </c>
      <c r="F146" s="20"/>
      <c r="G146" s="20"/>
      <c r="H146" s="20"/>
      <c r="I146" s="20"/>
      <c r="J146" s="20"/>
      <c r="K146" s="20"/>
      <c r="L146" s="20"/>
      <c r="M146" s="20"/>
      <c r="N146" s="27" t="n">
        <v>2111.62</v>
      </c>
      <c r="O146" s="20"/>
      <c r="P146" s="20"/>
      <c r="Q146" s="20"/>
      <c r="R146" s="21" t="n">
        <f aca="false">SUM(F146:Q146)</f>
        <v>2111.62</v>
      </c>
      <c r="S146" s="18"/>
      <c r="T146" s="18"/>
      <c r="U146" s="18"/>
      <c r="V146" s="18"/>
      <c r="W146" s="18"/>
      <c r="X146" s="18"/>
      <c r="Y146" s="18"/>
      <c r="Z146" s="18"/>
      <c r="AA146" s="28" t="n">
        <v>1</v>
      </c>
      <c r="AB146" s="18"/>
      <c r="AC146" s="18"/>
      <c r="AD146" s="18"/>
      <c r="AE146" s="22" t="n">
        <f aca="false">SUM(S146:AD146)</f>
        <v>1</v>
      </c>
      <c r="AF146" s="22"/>
      <c r="AG146" s="22"/>
      <c r="AH146" s="22"/>
      <c r="AI146" s="22"/>
      <c r="AJ146" s="22"/>
      <c r="AK146" s="22"/>
      <c r="AL146" s="22"/>
      <c r="AM146" s="22"/>
      <c r="AN146" s="19" t="s">
        <v>50</v>
      </c>
      <c r="AO146" s="22"/>
      <c r="AP146" s="22"/>
      <c r="AQ146" s="22"/>
      <c r="AR146" s="30" t="s">
        <v>49</v>
      </c>
      <c r="AS146" s="18"/>
      <c r="AT146" s="18"/>
      <c r="AU146" s="18"/>
      <c r="AV146" s="18"/>
      <c r="AW146" s="18"/>
      <c r="AX146" s="18"/>
      <c r="AY146" s="18"/>
      <c r="AZ146" s="18"/>
      <c r="BA146" s="25" t="n">
        <v>1</v>
      </c>
      <c r="BB146" s="18"/>
      <c r="BC146" s="18"/>
      <c r="BD146" s="18"/>
      <c r="BE146" s="22" t="n">
        <f aca="false">SUM(AS146:BD146)</f>
        <v>1</v>
      </c>
      <c r="BF146" s="23"/>
      <c r="BG146" s="31" t="s">
        <v>93</v>
      </c>
      <c r="BH146" s="18"/>
      <c r="BI146" s="18"/>
      <c r="BJ146" s="18"/>
      <c r="BK146" s="18"/>
      <c r="BL146" s="18"/>
      <c r="BM146" s="18"/>
      <c r="BN146" s="18"/>
      <c r="BO146" s="18"/>
      <c r="BP146" s="25" t="n">
        <v>2</v>
      </c>
      <c r="BQ146" s="18"/>
      <c r="BR146" s="18"/>
      <c r="BS146" s="18"/>
      <c r="BT146" s="22" t="n">
        <f aca="false">SUM(BH146:BS146)</f>
        <v>2</v>
      </c>
      <c r="BU146" s="26" t="n">
        <v>45972.7041666667</v>
      </c>
      <c r="BV146" s="17"/>
      <c r="BW146" s="17" t="s">
        <v>44</v>
      </c>
      <c r="BX146" s="23" t="n">
        <f aca="false">IFERROR(R146/AE146,0)</f>
        <v>2111.62</v>
      </c>
      <c r="BY146" s="23" t="n">
        <f aca="false">IFERROR(R146/12,0)</f>
        <v>175.968333333333</v>
      </c>
      <c r="BZ146" s="18" t="n">
        <v>0</v>
      </c>
      <c r="CA146" s="22" t="str">
        <f aca="false">IF(AE146=0,"PROSPECT",IF(AE146=1,"NOVO",IF(AE146&lt;=3,"EM DESENV.",IF(AE146&lt;=6,"RECORRENTE","FIDELIZADO"))))</f>
        <v>NOVO</v>
      </c>
      <c r="CB146" s="22" t="n">
        <f aca="false">IF((P146+Q146)&gt;0,1,0)+IF((BR146+BS146)&gt;0,1,0)+IF(BE146&gt;0,1,0)</f>
        <v>1</v>
      </c>
    </row>
    <row r="147" customFormat="false" ht="15" hidden="false" customHeight="true" outlineLevel="0" collapsed="false">
      <c r="A147" s="16" t="s">
        <v>470</v>
      </c>
      <c r="B147" s="17" t="s">
        <v>471</v>
      </c>
      <c r="C147" s="18" t="s">
        <v>41</v>
      </c>
      <c r="D147" s="17" t="s">
        <v>42</v>
      </c>
      <c r="E147" s="29" t="s">
        <v>365</v>
      </c>
      <c r="F147" s="20"/>
      <c r="G147" s="27" t="n">
        <v>3522.82</v>
      </c>
      <c r="H147" s="20"/>
      <c r="I147" s="27" t="n">
        <v>757.99</v>
      </c>
      <c r="J147" s="27" t="n">
        <v>1624.59</v>
      </c>
      <c r="K147" s="20"/>
      <c r="L147" s="20"/>
      <c r="M147" s="27" t="n">
        <v>3666.91</v>
      </c>
      <c r="N147" s="20"/>
      <c r="O147" s="20"/>
      <c r="P147" s="20"/>
      <c r="Q147" s="20"/>
      <c r="R147" s="21" t="n">
        <f aca="false">SUM(F147:Q147)</f>
        <v>9572.31</v>
      </c>
      <c r="S147" s="18"/>
      <c r="T147" s="28" t="n">
        <v>1</v>
      </c>
      <c r="U147" s="18"/>
      <c r="V147" s="28" t="n">
        <v>1</v>
      </c>
      <c r="W147" s="28" t="n">
        <v>1</v>
      </c>
      <c r="X147" s="18"/>
      <c r="Y147" s="18"/>
      <c r="Z147" s="28" t="n">
        <v>1</v>
      </c>
      <c r="AA147" s="18"/>
      <c r="AB147" s="18"/>
      <c r="AC147" s="18"/>
      <c r="AD147" s="18"/>
      <c r="AE147" s="22" t="n">
        <f aca="false">SUM(S147:AD147)</f>
        <v>4</v>
      </c>
      <c r="AF147" s="22"/>
      <c r="AG147" s="19" t="s">
        <v>50</v>
      </c>
      <c r="AH147" s="22"/>
      <c r="AI147" s="29" t="s">
        <v>48</v>
      </c>
      <c r="AJ147" s="19" t="s">
        <v>50</v>
      </c>
      <c r="AK147" s="22"/>
      <c r="AL147" s="22"/>
      <c r="AM147" s="19" t="s">
        <v>50</v>
      </c>
      <c r="AN147" s="22"/>
      <c r="AO147" s="22"/>
      <c r="AP147" s="22"/>
      <c r="AQ147" s="22"/>
      <c r="AR147" s="19" t="s">
        <v>50</v>
      </c>
      <c r="AS147" s="18"/>
      <c r="AT147" s="25" t="n">
        <v>3</v>
      </c>
      <c r="AU147" s="25" t="n">
        <v>3</v>
      </c>
      <c r="AV147" s="25" t="n">
        <v>5</v>
      </c>
      <c r="AW147" s="25" t="n">
        <v>3</v>
      </c>
      <c r="AX147" s="18"/>
      <c r="AY147" s="18"/>
      <c r="AZ147" s="18"/>
      <c r="BA147" s="18"/>
      <c r="BB147" s="18"/>
      <c r="BC147" s="18"/>
      <c r="BD147" s="18"/>
      <c r="BE147" s="22" t="n">
        <f aca="false">SUM(AS147:BD147)</f>
        <v>14</v>
      </c>
      <c r="BF147" s="23" t="n">
        <v>7803.63</v>
      </c>
      <c r="BG147" s="19" t="s">
        <v>55</v>
      </c>
      <c r="BH147" s="18"/>
      <c r="BI147" s="25" t="n">
        <v>1</v>
      </c>
      <c r="BJ147" s="25" t="n">
        <v>1</v>
      </c>
      <c r="BK147" s="18"/>
      <c r="BL147" s="18"/>
      <c r="BM147" s="18"/>
      <c r="BN147" s="18"/>
      <c r="BO147" s="25" t="n">
        <v>2</v>
      </c>
      <c r="BP147" s="25" t="n">
        <v>1</v>
      </c>
      <c r="BQ147" s="18"/>
      <c r="BR147" s="18"/>
      <c r="BS147" s="18"/>
      <c r="BT147" s="22" t="n">
        <f aca="false">SUM(BH147:BS147)</f>
        <v>5</v>
      </c>
      <c r="BU147" s="26" t="n">
        <v>45986.6815046296</v>
      </c>
      <c r="BV147" s="17"/>
      <c r="BW147" s="17" t="s">
        <v>44</v>
      </c>
      <c r="BX147" s="23" t="n">
        <f aca="false">IFERROR(R147/AE147,0)</f>
        <v>2393.0775</v>
      </c>
      <c r="BY147" s="23" t="n">
        <f aca="false">IFERROR(R147/12,0)</f>
        <v>797.6925</v>
      </c>
      <c r="BZ147" s="18" t="n">
        <v>47.5</v>
      </c>
      <c r="CA147" s="22" t="str">
        <f aca="false">IF(AE147=0,"PROSPECT",IF(AE147=1,"NOVO",IF(AE147&lt;=3,"EM DESENV.",IF(AE147&lt;=6,"RECORRENTE","FIDELIZADO"))))</f>
        <v>RECORRENTE</v>
      </c>
      <c r="CB147" s="22" t="n">
        <f aca="false">IF((P147+Q147)&gt;0,1,0)+IF((BR147+BS147)&gt;0,1,0)+IF(BE147&gt;0,1,0)</f>
        <v>1</v>
      </c>
    </row>
    <row r="148" customFormat="false" ht="15" hidden="false" customHeight="true" outlineLevel="0" collapsed="false">
      <c r="A148" s="16" t="s">
        <v>472</v>
      </c>
      <c r="B148" s="17" t="s">
        <v>473</v>
      </c>
      <c r="C148" s="18" t="s">
        <v>41</v>
      </c>
      <c r="D148" s="17" t="s">
        <v>474</v>
      </c>
      <c r="E148" s="29" t="s">
        <v>365</v>
      </c>
      <c r="F148" s="20"/>
      <c r="G148" s="20"/>
      <c r="H148" s="27" t="n">
        <v>6050.52</v>
      </c>
      <c r="I148" s="20"/>
      <c r="J148" s="27" t="n">
        <v>6491.55</v>
      </c>
      <c r="K148" s="20"/>
      <c r="L148" s="20"/>
      <c r="M148" s="20"/>
      <c r="N148" s="20"/>
      <c r="O148" s="20"/>
      <c r="P148" s="20"/>
      <c r="Q148" s="20"/>
      <c r="R148" s="21" t="n">
        <f aca="false">SUM(F148:Q148)</f>
        <v>12542.07</v>
      </c>
      <c r="S148" s="18"/>
      <c r="T148" s="18"/>
      <c r="U148" s="28" t="n">
        <v>1</v>
      </c>
      <c r="V148" s="18"/>
      <c r="W148" s="28" t="n">
        <v>1</v>
      </c>
      <c r="X148" s="18"/>
      <c r="Y148" s="18"/>
      <c r="Z148" s="18"/>
      <c r="AA148" s="18"/>
      <c r="AB148" s="18"/>
      <c r="AC148" s="18"/>
      <c r="AD148" s="18"/>
      <c r="AE148" s="22" t="n">
        <f aca="false">SUM(S148:AD148)</f>
        <v>2</v>
      </c>
      <c r="AF148" s="22"/>
      <c r="AG148" s="22"/>
      <c r="AH148" s="19" t="s">
        <v>50</v>
      </c>
      <c r="AI148" s="22"/>
      <c r="AJ148" s="19" t="s">
        <v>50</v>
      </c>
      <c r="AK148" s="22"/>
      <c r="AL148" s="22"/>
      <c r="AM148" s="22"/>
      <c r="AN148" s="22"/>
      <c r="AO148" s="22"/>
      <c r="AP148" s="22"/>
      <c r="AQ148" s="22"/>
      <c r="AR148" s="19" t="s">
        <v>50</v>
      </c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22" t="n">
        <f aca="false">SUM(AS148:BD148)</f>
        <v>0</v>
      </c>
      <c r="BF148" s="23"/>
      <c r="BG148" s="24"/>
      <c r="BH148" s="18"/>
      <c r="BI148" s="18"/>
      <c r="BJ148" s="25" t="n">
        <v>4</v>
      </c>
      <c r="BK148" s="25" t="n">
        <v>2</v>
      </c>
      <c r="BL148" s="18"/>
      <c r="BM148" s="18"/>
      <c r="BN148" s="18"/>
      <c r="BO148" s="18"/>
      <c r="BP148" s="25" t="n">
        <v>1</v>
      </c>
      <c r="BQ148" s="18"/>
      <c r="BR148" s="18"/>
      <c r="BS148" s="25" t="n">
        <v>2</v>
      </c>
      <c r="BT148" s="22" t="n">
        <f aca="false">SUM(BH148:BS148)</f>
        <v>9</v>
      </c>
      <c r="BU148" s="26" t="n">
        <v>46057.4840277778</v>
      </c>
      <c r="BV148" s="17"/>
      <c r="BW148" s="17" t="s">
        <v>44</v>
      </c>
      <c r="BX148" s="23" t="n">
        <f aca="false">IFERROR(R148/AE148,0)</f>
        <v>6271.035</v>
      </c>
      <c r="BY148" s="23" t="n">
        <f aca="false">IFERROR(R148/12,0)</f>
        <v>1045.1725</v>
      </c>
      <c r="BZ148" s="18" t="n">
        <v>62</v>
      </c>
      <c r="CA148" s="22" t="str">
        <f aca="false">IF(AE148=0,"PROSPECT",IF(AE148=1,"NOVO",IF(AE148&lt;=3,"EM DESENV.",IF(AE148&lt;=6,"RECORRENTE","FIDELIZADO"))))</f>
        <v>EM DESENV.</v>
      </c>
      <c r="CB148" s="22" t="n">
        <f aca="false">IF((P148+Q148)&gt;0,1,0)+IF((BR148+BS148)&gt;0,1,0)+IF(BE148&gt;0,1,0)</f>
        <v>1</v>
      </c>
    </row>
    <row r="149" customFormat="false" ht="15" hidden="false" customHeight="true" outlineLevel="0" collapsed="false">
      <c r="A149" s="16" t="s">
        <v>475</v>
      </c>
      <c r="B149" s="17" t="s">
        <v>476</v>
      </c>
      <c r="C149" s="18" t="s">
        <v>144</v>
      </c>
      <c r="D149" s="17" t="s">
        <v>477</v>
      </c>
      <c r="E149" s="29" t="s">
        <v>365</v>
      </c>
      <c r="F149" s="20"/>
      <c r="G149" s="20"/>
      <c r="H149" s="20"/>
      <c r="I149" s="20"/>
      <c r="J149" s="20"/>
      <c r="K149" s="20"/>
      <c r="L149" s="20"/>
      <c r="M149" s="27" t="n">
        <v>1069.9</v>
      </c>
      <c r="N149" s="20"/>
      <c r="O149" s="20"/>
      <c r="P149" s="20"/>
      <c r="Q149" s="20"/>
      <c r="R149" s="21" t="n">
        <f aca="false">SUM(F149:Q149)</f>
        <v>1069.9</v>
      </c>
      <c r="S149" s="18"/>
      <c r="T149" s="18"/>
      <c r="U149" s="18"/>
      <c r="V149" s="18"/>
      <c r="W149" s="18"/>
      <c r="X149" s="18"/>
      <c r="Y149" s="18"/>
      <c r="Z149" s="28" t="n">
        <v>1</v>
      </c>
      <c r="AA149" s="18"/>
      <c r="AB149" s="18"/>
      <c r="AC149" s="18"/>
      <c r="AD149" s="18"/>
      <c r="AE149" s="22" t="n">
        <f aca="false">SUM(S149:AD149)</f>
        <v>1</v>
      </c>
      <c r="AF149" s="22"/>
      <c r="AG149" s="22"/>
      <c r="AH149" s="22"/>
      <c r="AI149" s="22"/>
      <c r="AJ149" s="22"/>
      <c r="AK149" s="22"/>
      <c r="AL149" s="22"/>
      <c r="AM149" s="30" t="s">
        <v>49</v>
      </c>
      <c r="AN149" s="22"/>
      <c r="AO149" s="22"/>
      <c r="AP149" s="22"/>
      <c r="AQ149" s="22"/>
      <c r="AR149" s="29" t="s">
        <v>48</v>
      </c>
      <c r="AS149" s="18"/>
      <c r="AT149" s="18"/>
      <c r="AU149" s="18"/>
      <c r="AV149" s="18"/>
      <c r="AW149" s="18"/>
      <c r="AX149" s="18"/>
      <c r="AY149" s="18"/>
      <c r="AZ149" s="18"/>
      <c r="BA149" s="25" t="n">
        <v>1</v>
      </c>
      <c r="BB149" s="18"/>
      <c r="BC149" s="18"/>
      <c r="BD149" s="18"/>
      <c r="BE149" s="22" t="n">
        <f aca="false">SUM(AS149:BD149)</f>
        <v>1</v>
      </c>
      <c r="BF149" s="23"/>
      <c r="BG149" s="31" t="s">
        <v>93</v>
      </c>
      <c r="BH149" s="18"/>
      <c r="BI149" s="18"/>
      <c r="BJ149" s="18"/>
      <c r="BK149" s="18"/>
      <c r="BL149" s="18"/>
      <c r="BM149" s="18"/>
      <c r="BN149" s="18"/>
      <c r="BO149" s="25" t="n">
        <v>2</v>
      </c>
      <c r="BP149" s="25" t="n">
        <v>1</v>
      </c>
      <c r="BQ149" s="18"/>
      <c r="BR149" s="25" t="n">
        <v>4</v>
      </c>
      <c r="BS149" s="18"/>
      <c r="BT149" s="22" t="n">
        <f aca="false">SUM(BH149:BS149)</f>
        <v>7</v>
      </c>
      <c r="BU149" s="26" t="n">
        <v>46036.368900463</v>
      </c>
      <c r="BV149" s="17"/>
      <c r="BW149" s="17" t="s">
        <v>44</v>
      </c>
      <c r="BX149" s="23" t="n">
        <f aca="false">IFERROR(R149/AE149,0)</f>
        <v>1069.9</v>
      </c>
      <c r="BY149" s="23" t="n">
        <f aca="false">IFERROR(R149/12,0)</f>
        <v>89.1583333333334</v>
      </c>
      <c r="BZ149" s="18" t="n">
        <v>0</v>
      </c>
      <c r="CA149" s="22" t="str">
        <f aca="false">IF(AE149=0,"PROSPECT",IF(AE149=1,"NOVO",IF(AE149&lt;=3,"EM DESENV.",IF(AE149&lt;=6,"RECORRENTE","FIDELIZADO"))))</f>
        <v>NOVO</v>
      </c>
      <c r="CB149" s="22" t="n">
        <f aca="false">IF((P149+Q149)&gt;0,1,0)+IF((BR149+BS149)&gt;0,1,0)+IF(BE149&gt;0,1,0)</f>
        <v>2</v>
      </c>
    </row>
    <row r="150" customFormat="false" ht="15" hidden="false" customHeight="true" outlineLevel="0" collapsed="false">
      <c r="A150" s="16" t="s">
        <v>478</v>
      </c>
      <c r="B150" s="17" t="s">
        <v>479</v>
      </c>
      <c r="C150" s="18" t="s">
        <v>53</v>
      </c>
      <c r="D150" s="17" t="s">
        <v>234</v>
      </c>
      <c r="E150" s="29" t="s">
        <v>365</v>
      </c>
      <c r="F150" s="20"/>
      <c r="G150" s="20"/>
      <c r="H150" s="20"/>
      <c r="I150" s="20"/>
      <c r="J150" s="20"/>
      <c r="K150" s="20"/>
      <c r="L150" s="20"/>
      <c r="M150" s="20"/>
      <c r="N150" s="27" t="n">
        <v>1110.39</v>
      </c>
      <c r="O150" s="20"/>
      <c r="P150" s="20"/>
      <c r="Q150" s="20"/>
      <c r="R150" s="21" t="n">
        <f aca="false">SUM(F150:Q150)</f>
        <v>1110.39</v>
      </c>
      <c r="S150" s="18"/>
      <c r="T150" s="18"/>
      <c r="U150" s="18"/>
      <c r="V150" s="18"/>
      <c r="W150" s="18"/>
      <c r="X150" s="18"/>
      <c r="Y150" s="18"/>
      <c r="Z150" s="18"/>
      <c r="AA150" s="28" t="n">
        <v>1</v>
      </c>
      <c r="AB150" s="18"/>
      <c r="AC150" s="18"/>
      <c r="AD150" s="18"/>
      <c r="AE150" s="22" t="n">
        <f aca="false">SUM(S150:AD150)</f>
        <v>1</v>
      </c>
      <c r="AF150" s="22"/>
      <c r="AG150" s="22"/>
      <c r="AH150" s="22"/>
      <c r="AI150" s="22"/>
      <c r="AJ150" s="22"/>
      <c r="AK150" s="22"/>
      <c r="AL150" s="22"/>
      <c r="AM150" s="22"/>
      <c r="AN150" s="30" t="s">
        <v>49</v>
      </c>
      <c r="AO150" s="22"/>
      <c r="AP150" s="22"/>
      <c r="AQ150" s="22"/>
      <c r="AR150" s="29" t="s">
        <v>48</v>
      </c>
      <c r="AS150" s="18"/>
      <c r="AT150" s="18"/>
      <c r="AU150" s="18"/>
      <c r="AV150" s="18"/>
      <c r="AW150" s="18"/>
      <c r="AX150" s="18"/>
      <c r="AY150" s="18"/>
      <c r="AZ150" s="18"/>
      <c r="BA150" s="25" t="n">
        <v>3</v>
      </c>
      <c r="BB150" s="18"/>
      <c r="BC150" s="25" t="n">
        <v>2</v>
      </c>
      <c r="BD150" s="18"/>
      <c r="BE150" s="22" t="n">
        <f aca="false">SUM(AS150:BD150)</f>
        <v>5</v>
      </c>
      <c r="BF150" s="23" t="n">
        <v>1110.39</v>
      </c>
      <c r="BG150" s="19" t="s">
        <v>55</v>
      </c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22" t="n">
        <f aca="false">SUM(BH150:BS150)</f>
        <v>0</v>
      </c>
      <c r="BU150" s="26"/>
      <c r="BV150" s="17"/>
      <c r="BW150" s="17"/>
      <c r="BX150" s="23" t="n">
        <f aca="false">IFERROR(R150/AE150,0)</f>
        <v>1110.39</v>
      </c>
      <c r="BY150" s="23" t="n">
        <f aca="false">IFERROR(R150/12,0)</f>
        <v>92.5325</v>
      </c>
      <c r="BZ150" s="18" t="n">
        <v>0</v>
      </c>
      <c r="CA150" s="22" t="str">
        <f aca="false">IF(AE150=0,"PROSPECT",IF(AE150=1,"NOVO",IF(AE150&lt;=3,"EM DESENV.",IF(AE150&lt;=6,"RECORRENTE","FIDELIZADO"))))</f>
        <v>NOVO</v>
      </c>
      <c r="CB150" s="22" t="n">
        <f aca="false">IF((P150+Q150)&gt;0,1,0)+IF((BR150+BS150)&gt;0,1,0)+IF(BE150&gt;0,1,0)</f>
        <v>1</v>
      </c>
    </row>
    <row r="151" customFormat="false" ht="15" hidden="false" customHeight="true" outlineLevel="0" collapsed="false">
      <c r="A151" s="16" t="s">
        <v>480</v>
      </c>
      <c r="B151" s="17" t="s">
        <v>481</v>
      </c>
      <c r="C151" s="18" t="s">
        <v>168</v>
      </c>
      <c r="D151" s="17" t="s">
        <v>482</v>
      </c>
      <c r="E151" s="29" t="s">
        <v>365</v>
      </c>
      <c r="F151" s="20"/>
      <c r="G151" s="20"/>
      <c r="H151" s="20"/>
      <c r="I151" s="20"/>
      <c r="J151" s="20"/>
      <c r="K151" s="20"/>
      <c r="L151" s="20"/>
      <c r="M151" s="20"/>
      <c r="N151" s="27" t="n">
        <v>728.92</v>
      </c>
      <c r="O151" s="20"/>
      <c r="P151" s="20"/>
      <c r="Q151" s="20"/>
      <c r="R151" s="21" t="n">
        <f aca="false">SUM(F151:Q151)</f>
        <v>728.92</v>
      </c>
      <c r="S151" s="18"/>
      <c r="T151" s="18"/>
      <c r="U151" s="18"/>
      <c r="V151" s="18"/>
      <c r="W151" s="18"/>
      <c r="X151" s="18"/>
      <c r="Y151" s="18"/>
      <c r="Z151" s="18"/>
      <c r="AA151" s="28" t="n">
        <v>1</v>
      </c>
      <c r="AB151" s="18"/>
      <c r="AC151" s="18"/>
      <c r="AD151" s="18"/>
      <c r="AE151" s="22" t="n">
        <f aca="false">SUM(S151:AD151)</f>
        <v>1</v>
      </c>
      <c r="AF151" s="22"/>
      <c r="AG151" s="22"/>
      <c r="AH151" s="22"/>
      <c r="AI151" s="22"/>
      <c r="AJ151" s="22"/>
      <c r="AK151" s="22"/>
      <c r="AL151" s="22"/>
      <c r="AM151" s="22"/>
      <c r="AN151" s="29" t="s">
        <v>48</v>
      </c>
      <c r="AO151" s="22"/>
      <c r="AP151" s="22"/>
      <c r="AQ151" s="22"/>
      <c r="AR151" s="29" t="s">
        <v>48</v>
      </c>
      <c r="AS151" s="18"/>
      <c r="AT151" s="18"/>
      <c r="AU151" s="18"/>
      <c r="AV151" s="18"/>
      <c r="AW151" s="18"/>
      <c r="AX151" s="18"/>
      <c r="AY151" s="18"/>
      <c r="AZ151" s="18"/>
      <c r="BA151" s="25" t="n">
        <v>3</v>
      </c>
      <c r="BB151" s="18"/>
      <c r="BC151" s="18"/>
      <c r="BD151" s="18"/>
      <c r="BE151" s="22" t="n">
        <f aca="false">SUM(AS151:BD151)</f>
        <v>3</v>
      </c>
      <c r="BF151" s="23" t="n">
        <v>728.92</v>
      </c>
      <c r="BG151" s="19" t="s">
        <v>55</v>
      </c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22" t="n">
        <f aca="false">SUM(BH151:BS151)</f>
        <v>0</v>
      </c>
      <c r="BU151" s="26"/>
      <c r="BV151" s="17"/>
      <c r="BW151" s="17"/>
      <c r="BX151" s="23" t="n">
        <f aca="false">IFERROR(R151/AE151,0)</f>
        <v>728.92</v>
      </c>
      <c r="BY151" s="23" t="n">
        <f aca="false">IFERROR(R151/12,0)</f>
        <v>60.7433333333333</v>
      </c>
      <c r="BZ151" s="18" t="n">
        <v>0</v>
      </c>
      <c r="CA151" s="22" t="str">
        <f aca="false">IF(AE151=0,"PROSPECT",IF(AE151=1,"NOVO",IF(AE151&lt;=3,"EM DESENV.",IF(AE151&lt;=6,"RECORRENTE","FIDELIZADO"))))</f>
        <v>NOVO</v>
      </c>
      <c r="CB151" s="22" t="n">
        <f aca="false">IF((P151+Q151)&gt;0,1,0)+IF((BR151+BS151)&gt;0,1,0)+IF(BE151&gt;0,1,0)</f>
        <v>1</v>
      </c>
    </row>
    <row r="152" customFormat="false" ht="15" hidden="false" customHeight="true" outlineLevel="0" collapsed="false">
      <c r="A152" s="16" t="s">
        <v>483</v>
      </c>
      <c r="B152" s="17" t="s">
        <v>484</v>
      </c>
      <c r="C152" s="18" t="s">
        <v>53</v>
      </c>
      <c r="D152" s="17" t="s">
        <v>485</v>
      </c>
      <c r="E152" s="29" t="s">
        <v>365</v>
      </c>
      <c r="F152" s="20"/>
      <c r="G152" s="20"/>
      <c r="H152" s="20"/>
      <c r="I152" s="20"/>
      <c r="J152" s="20"/>
      <c r="K152" s="20"/>
      <c r="L152" s="20"/>
      <c r="M152" s="20"/>
      <c r="N152" s="27" t="n">
        <v>780.29</v>
      </c>
      <c r="O152" s="20"/>
      <c r="P152" s="20"/>
      <c r="Q152" s="20"/>
      <c r="R152" s="21" t="n">
        <f aca="false">SUM(F152:Q152)</f>
        <v>780.29</v>
      </c>
      <c r="S152" s="18"/>
      <c r="T152" s="18"/>
      <c r="U152" s="18"/>
      <c r="V152" s="18"/>
      <c r="W152" s="18"/>
      <c r="X152" s="18"/>
      <c r="Y152" s="18"/>
      <c r="Z152" s="18"/>
      <c r="AA152" s="28" t="n">
        <v>1</v>
      </c>
      <c r="AB152" s="18"/>
      <c r="AC152" s="18"/>
      <c r="AD152" s="18"/>
      <c r="AE152" s="22" t="n">
        <f aca="false">SUM(S152:AD152)</f>
        <v>1</v>
      </c>
      <c r="AF152" s="22"/>
      <c r="AG152" s="22"/>
      <c r="AH152" s="22"/>
      <c r="AI152" s="22"/>
      <c r="AJ152" s="22"/>
      <c r="AK152" s="22"/>
      <c r="AL152" s="22"/>
      <c r="AM152" s="22"/>
      <c r="AN152" s="29" t="s">
        <v>48</v>
      </c>
      <c r="AO152" s="22"/>
      <c r="AP152" s="22"/>
      <c r="AQ152" s="22"/>
      <c r="AR152" s="29" t="s">
        <v>48</v>
      </c>
      <c r="AS152" s="18"/>
      <c r="AT152" s="18"/>
      <c r="AU152" s="18"/>
      <c r="AV152" s="18"/>
      <c r="AW152" s="18"/>
      <c r="AX152" s="18"/>
      <c r="AY152" s="18"/>
      <c r="AZ152" s="18"/>
      <c r="BA152" s="25" t="n">
        <v>4</v>
      </c>
      <c r="BB152" s="18"/>
      <c r="BC152" s="18"/>
      <c r="BD152" s="18"/>
      <c r="BE152" s="22" t="n">
        <f aca="false">SUM(AS152:BD152)</f>
        <v>4</v>
      </c>
      <c r="BF152" s="23" t="n">
        <v>780.29</v>
      </c>
      <c r="BG152" s="19" t="s">
        <v>55</v>
      </c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22" t="n">
        <f aca="false">SUM(BH152:BS152)</f>
        <v>0</v>
      </c>
      <c r="BU152" s="26"/>
      <c r="BV152" s="17"/>
      <c r="BW152" s="17"/>
      <c r="BX152" s="23" t="n">
        <f aca="false">IFERROR(R152/AE152,0)</f>
        <v>780.29</v>
      </c>
      <c r="BY152" s="23" t="n">
        <f aca="false">IFERROR(R152/12,0)</f>
        <v>65.0241666666667</v>
      </c>
      <c r="BZ152" s="18" t="n">
        <v>0</v>
      </c>
      <c r="CA152" s="22" t="str">
        <f aca="false">IF(AE152=0,"PROSPECT",IF(AE152=1,"NOVO",IF(AE152&lt;=3,"EM DESENV.",IF(AE152&lt;=6,"RECORRENTE","FIDELIZADO"))))</f>
        <v>NOVO</v>
      </c>
      <c r="CB152" s="22" t="n">
        <f aca="false">IF((P152+Q152)&gt;0,1,0)+IF((BR152+BS152)&gt;0,1,0)+IF(BE152&gt;0,1,0)</f>
        <v>1</v>
      </c>
    </row>
    <row r="153" customFormat="false" ht="15" hidden="false" customHeight="true" outlineLevel="0" collapsed="false">
      <c r="A153" s="16" t="s">
        <v>486</v>
      </c>
      <c r="B153" s="17" t="s">
        <v>487</v>
      </c>
      <c r="C153" s="18" t="s">
        <v>41</v>
      </c>
      <c r="D153" s="17" t="s">
        <v>488</v>
      </c>
      <c r="E153" s="29" t="s">
        <v>365</v>
      </c>
      <c r="F153" s="20"/>
      <c r="G153" s="20"/>
      <c r="H153" s="20"/>
      <c r="I153" s="20"/>
      <c r="J153" s="27" t="n">
        <v>2102.89</v>
      </c>
      <c r="K153" s="20"/>
      <c r="L153" s="20"/>
      <c r="M153" s="27" t="n">
        <v>1882.58</v>
      </c>
      <c r="N153" s="20"/>
      <c r="O153" s="27" t="n">
        <v>1458.94</v>
      </c>
      <c r="P153" s="20"/>
      <c r="Q153" s="20"/>
      <c r="R153" s="21" t="n">
        <f aca="false">SUM(F153:Q153)</f>
        <v>5444.41</v>
      </c>
      <c r="S153" s="18"/>
      <c r="T153" s="18"/>
      <c r="U153" s="18"/>
      <c r="V153" s="18"/>
      <c r="W153" s="28" t="n">
        <v>1</v>
      </c>
      <c r="X153" s="18"/>
      <c r="Y153" s="18"/>
      <c r="Z153" s="28" t="n">
        <v>1</v>
      </c>
      <c r="AA153" s="18"/>
      <c r="AB153" s="28" t="n">
        <v>1</v>
      </c>
      <c r="AC153" s="18"/>
      <c r="AD153" s="18"/>
      <c r="AE153" s="22" t="n">
        <f aca="false">SUM(S153:AD153)</f>
        <v>3</v>
      </c>
      <c r="AF153" s="22"/>
      <c r="AG153" s="22"/>
      <c r="AH153" s="22"/>
      <c r="AI153" s="22"/>
      <c r="AJ153" s="19" t="s">
        <v>50</v>
      </c>
      <c r="AK153" s="22"/>
      <c r="AL153" s="22"/>
      <c r="AM153" s="19" t="s">
        <v>50</v>
      </c>
      <c r="AN153" s="19" t="s">
        <v>50</v>
      </c>
      <c r="AO153" s="19" t="s">
        <v>50</v>
      </c>
      <c r="AP153" s="22"/>
      <c r="AQ153" s="22"/>
      <c r="AR153" s="19" t="s">
        <v>50</v>
      </c>
      <c r="AS153" s="18"/>
      <c r="AT153" s="18"/>
      <c r="AU153" s="18"/>
      <c r="AV153" s="18"/>
      <c r="AW153" s="18"/>
      <c r="AX153" s="25" t="n">
        <v>1</v>
      </c>
      <c r="AY153" s="18"/>
      <c r="AZ153" s="18"/>
      <c r="BA153" s="25" t="n">
        <v>1</v>
      </c>
      <c r="BB153" s="18"/>
      <c r="BC153" s="18"/>
      <c r="BD153" s="18"/>
      <c r="BE153" s="22" t="n">
        <f aca="false">SUM(AS153:BD153)</f>
        <v>2</v>
      </c>
      <c r="BF153" s="23" t="n">
        <v>2917.88</v>
      </c>
      <c r="BG153" s="19" t="s">
        <v>55</v>
      </c>
      <c r="BH153" s="18"/>
      <c r="BI153" s="18"/>
      <c r="BJ153" s="25" t="n">
        <v>2</v>
      </c>
      <c r="BK153" s="18"/>
      <c r="BL153" s="18"/>
      <c r="BM153" s="18"/>
      <c r="BN153" s="18"/>
      <c r="BO153" s="18"/>
      <c r="BP153" s="25" t="n">
        <v>1</v>
      </c>
      <c r="BQ153" s="18"/>
      <c r="BR153" s="18"/>
      <c r="BS153" s="25" t="n">
        <v>2</v>
      </c>
      <c r="BT153" s="22" t="n">
        <f aca="false">SUM(BH153:BS153)</f>
        <v>5</v>
      </c>
      <c r="BU153" s="26" t="n">
        <v>46057.3840277778</v>
      </c>
      <c r="BV153" s="17"/>
      <c r="BW153" s="17" t="s">
        <v>44</v>
      </c>
      <c r="BX153" s="23" t="n">
        <f aca="false">IFERROR(R153/AE153,0)</f>
        <v>1814.80333333333</v>
      </c>
      <c r="BY153" s="23" t="n">
        <f aca="false">IFERROR(R153/12,0)</f>
        <v>453.700833333333</v>
      </c>
      <c r="BZ153" s="18" t="n">
        <v>65</v>
      </c>
      <c r="CA153" s="22" t="str">
        <f aca="false">IF(AE153=0,"PROSPECT",IF(AE153=1,"NOVO",IF(AE153&lt;=3,"EM DESENV.",IF(AE153&lt;=6,"RECORRENTE","FIDELIZADO"))))</f>
        <v>EM DESENV.</v>
      </c>
      <c r="CB153" s="22" t="n">
        <f aca="false">IF((P153+Q153)&gt;0,1,0)+IF((BR153+BS153)&gt;0,1,0)+IF(BE153&gt;0,1,0)</f>
        <v>2</v>
      </c>
    </row>
    <row r="154" customFormat="false" ht="15" hidden="false" customHeight="true" outlineLevel="0" collapsed="false">
      <c r="A154" s="16" t="s">
        <v>489</v>
      </c>
      <c r="B154" s="17" t="s">
        <v>490</v>
      </c>
      <c r="C154" s="18" t="s">
        <v>61</v>
      </c>
      <c r="D154" s="17" t="s">
        <v>248</v>
      </c>
      <c r="E154" s="29" t="s">
        <v>365</v>
      </c>
      <c r="F154" s="20"/>
      <c r="G154" s="27" t="n">
        <v>2651.31</v>
      </c>
      <c r="H154" s="20"/>
      <c r="I154" s="20"/>
      <c r="J154" s="20"/>
      <c r="K154" s="20"/>
      <c r="L154" s="20"/>
      <c r="M154" s="20"/>
      <c r="N154" s="27" t="n">
        <v>1029.55</v>
      </c>
      <c r="O154" s="20"/>
      <c r="P154" s="20"/>
      <c r="Q154" s="20"/>
      <c r="R154" s="21" t="n">
        <f aca="false">SUM(F154:Q154)</f>
        <v>3680.86</v>
      </c>
      <c r="S154" s="18"/>
      <c r="T154" s="28" t="n">
        <v>1</v>
      </c>
      <c r="U154" s="18"/>
      <c r="V154" s="18"/>
      <c r="W154" s="18"/>
      <c r="X154" s="18"/>
      <c r="Y154" s="18"/>
      <c r="Z154" s="18"/>
      <c r="AA154" s="28" t="n">
        <v>1</v>
      </c>
      <c r="AB154" s="18"/>
      <c r="AC154" s="18"/>
      <c r="AD154" s="18"/>
      <c r="AE154" s="22" t="n">
        <f aca="false">SUM(S154:AD154)</f>
        <v>2</v>
      </c>
      <c r="AF154" s="19" t="s">
        <v>50</v>
      </c>
      <c r="AG154" s="19" t="s">
        <v>50</v>
      </c>
      <c r="AH154" s="22"/>
      <c r="AI154" s="22"/>
      <c r="AJ154" s="22"/>
      <c r="AK154" s="22"/>
      <c r="AL154" s="22"/>
      <c r="AM154" s="22"/>
      <c r="AN154" s="30" t="s">
        <v>49</v>
      </c>
      <c r="AO154" s="22"/>
      <c r="AP154" s="22"/>
      <c r="AQ154" s="22"/>
      <c r="AR154" s="19" t="s">
        <v>50</v>
      </c>
      <c r="AS154" s="25" t="n">
        <v>4</v>
      </c>
      <c r="AT154" s="25" t="n">
        <v>1</v>
      </c>
      <c r="AU154" s="25" t="n">
        <v>1</v>
      </c>
      <c r="AV154" s="18"/>
      <c r="AW154" s="25" t="n">
        <v>3</v>
      </c>
      <c r="AX154" s="18"/>
      <c r="AY154" s="18"/>
      <c r="AZ154" s="18"/>
      <c r="BA154" s="25" t="n">
        <v>4</v>
      </c>
      <c r="BB154" s="25" t="n">
        <v>1</v>
      </c>
      <c r="BC154" s="18"/>
      <c r="BD154" s="18"/>
      <c r="BE154" s="22" t="n">
        <f aca="false">SUM(AS154:BD154)</f>
        <v>14</v>
      </c>
      <c r="BF154" s="23" t="n">
        <v>1029.55</v>
      </c>
      <c r="BG154" s="19" t="s">
        <v>55</v>
      </c>
      <c r="BH154" s="25" t="n">
        <v>1</v>
      </c>
      <c r="BI154" s="25" t="n">
        <v>1</v>
      </c>
      <c r="BJ154" s="25" t="n">
        <v>1</v>
      </c>
      <c r="BK154" s="18"/>
      <c r="BL154" s="18"/>
      <c r="BM154" s="18"/>
      <c r="BN154" s="18"/>
      <c r="BO154" s="18"/>
      <c r="BP154" s="25" t="n">
        <v>1</v>
      </c>
      <c r="BQ154" s="18"/>
      <c r="BR154" s="18"/>
      <c r="BS154" s="18"/>
      <c r="BT154" s="22" t="n">
        <f aca="false">SUM(BH154:BS154)</f>
        <v>4</v>
      </c>
      <c r="BU154" s="26" t="n">
        <v>45973.475</v>
      </c>
      <c r="BV154" s="17"/>
      <c r="BW154" s="17" t="s">
        <v>117</v>
      </c>
      <c r="BX154" s="23" t="n">
        <f aca="false">IFERROR(R154/AE154,0)</f>
        <v>1840.43</v>
      </c>
      <c r="BY154" s="23" t="n">
        <f aca="false">IFERROR(R154/12,0)</f>
        <v>306.738333333333</v>
      </c>
      <c r="BZ154" s="18" t="n">
        <v>225</v>
      </c>
      <c r="CA154" s="22" t="str">
        <f aca="false">IF(AE154=0,"PROSPECT",IF(AE154=1,"NOVO",IF(AE154&lt;=3,"EM DESENV.",IF(AE154&lt;=6,"RECORRENTE","FIDELIZADO"))))</f>
        <v>EM DESENV.</v>
      </c>
      <c r="CB154" s="22" t="n">
        <f aca="false">IF((P154+Q154)&gt;0,1,0)+IF((BR154+BS154)&gt;0,1,0)+IF(BE154&gt;0,1,0)</f>
        <v>1</v>
      </c>
    </row>
    <row r="155" customFormat="false" ht="15" hidden="false" customHeight="true" outlineLevel="0" collapsed="false">
      <c r="A155" s="16" t="s">
        <v>491</v>
      </c>
      <c r="B155" s="17" t="s">
        <v>492</v>
      </c>
      <c r="C155" s="18" t="s">
        <v>72</v>
      </c>
      <c r="D155" s="17" t="s">
        <v>493</v>
      </c>
      <c r="E155" s="29" t="s">
        <v>365</v>
      </c>
      <c r="F155" s="20"/>
      <c r="G155" s="20"/>
      <c r="H155" s="20"/>
      <c r="I155" s="20"/>
      <c r="J155" s="20"/>
      <c r="K155" s="20"/>
      <c r="L155" s="20"/>
      <c r="M155" s="27" t="n">
        <v>2127.96</v>
      </c>
      <c r="N155" s="20"/>
      <c r="O155" s="20"/>
      <c r="P155" s="20"/>
      <c r="Q155" s="20"/>
      <c r="R155" s="21" t="n">
        <f aca="false">SUM(F155:Q155)</f>
        <v>2127.96</v>
      </c>
      <c r="S155" s="18"/>
      <c r="T155" s="18"/>
      <c r="U155" s="18"/>
      <c r="V155" s="18"/>
      <c r="W155" s="18"/>
      <c r="X155" s="18"/>
      <c r="Y155" s="18"/>
      <c r="Z155" s="28" t="n">
        <v>1</v>
      </c>
      <c r="AA155" s="18"/>
      <c r="AB155" s="18"/>
      <c r="AC155" s="18"/>
      <c r="AD155" s="18"/>
      <c r="AE155" s="22" t="n">
        <f aca="false">SUM(S155:AD155)</f>
        <v>1</v>
      </c>
      <c r="AF155" s="22"/>
      <c r="AG155" s="22"/>
      <c r="AH155" s="22"/>
      <c r="AI155" s="22"/>
      <c r="AJ155" s="22"/>
      <c r="AK155" s="22"/>
      <c r="AL155" s="22"/>
      <c r="AM155" s="19" t="s">
        <v>50</v>
      </c>
      <c r="AN155" s="22"/>
      <c r="AO155" s="22"/>
      <c r="AP155" s="22"/>
      <c r="AQ155" s="22"/>
      <c r="AR155" s="30" t="s">
        <v>49</v>
      </c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22" t="n">
        <f aca="false">SUM(AS155:BD155)</f>
        <v>0</v>
      </c>
      <c r="BF155" s="23"/>
      <c r="BG155" s="24"/>
      <c r="BH155" s="25" t="n">
        <v>2</v>
      </c>
      <c r="BI155" s="25" t="n">
        <v>1</v>
      </c>
      <c r="BJ155" s="18"/>
      <c r="BK155" s="18"/>
      <c r="BL155" s="18"/>
      <c r="BM155" s="25" t="n">
        <v>2</v>
      </c>
      <c r="BN155" s="25" t="n">
        <v>1</v>
      </c>
      <c r="BO155" s="25" t="n">
        <v>1</v>
      </c>
      <c r="BP155" s="18"/>
      <c r="BQ155" s="25" t="n">
        <v>2</v>
      </c>
      <c r="BR155" s="25" t="n">
        <v>4</v>
      </c>
      <c r="BS155" s="25" t="n">
        <v>1</v>
      </c>
      <c r="BT155" s="22" t="n">
        <f aca="false">SUM(BH155:BS155)</f>
        <v>14</v>
      </c>
      <c r="BU155" s="26" t="n">
        <v>46056.4012962963</v>
      </c>
      <c r="BV155" s="17"/>
      <c r="BW155" s="17" t="s">
        <v>44</v>
      </c>
      <c r="BX155" s="23" t="n">
        <f aca="false">IFERROR(R155/AE155,0)</f>
        <v>2127.96</v>
      </c>
      <c r="BY155" s="23" t="n">
        <f aca="false">IFERROR(R155/12,0)</f>
        <v>177.33</v>
      </c>
      <c r="BZ155" s="18" t="n">
        <v>0</v>
      </c>
      <c r="CA155" s="22" t="str">
        <f aca="false">IF(AE155=0,"PROSPECT",IF(AE155=1,"NOVO",IF(AE155&lt;=3,"EM DESENV.",IF(AE155&lt;=6,"RECORRENTE","FIDELIZADO"))))</f>
        <v>NOVO</v>
      </c>
      <c r="CB155" s="22" t="n">
        <f aca="false">IF((P155+Q155)&gt;0,1,0)+IF((BR155+BS155)&gt;0,1,0)+IF(BE155&gt;0,1,0)</f>
        <v>1</v>
      </c>
    </row>
    <row r="156" customFormat="false" ht="15" hidden="false" customHeight="true" outlineLevel="0" collapsed="false">
      <c r="A156" s="16" t="s">
        <v>494</v>
      </c>
      <c r="B156" s="17" t="s">
        <v>495</v>
      </c>
      <c r="C156" s="18" t="s">
        <v>61</v>
      </c>
      <c r="D156" s="17" t="s">
        <v>496</v>
      </c>
      <c r="E156" s="29" t="s">
        <v>365</v>
      </c>
      <c r="F156" s="20"/>
      <c r="G156" s="20"/>
      <c r="H156" s="27" t="n">
        <v>8607.14</v>
      </c>
      <c r="I156" s="27" t="n">
        <v>12740.35</v>
      </c>
      <c r="J156" s="20"/>
      <c r="K156" s="20"/>
      <c r="L156" s="20"/>
      <c r="M156" s="20"/>
      <c r="N156" s="20"/>
      <c r="O156" s="20"/>
      <c r="P156" s="20"/>
      <c r="Q156" s="20"/>
      <c r="R156" s="21" t="n">
        <f aca="false">SUM(F156:Q156)</f>
        <v>21347.49</v>
      </c>
      <c r="S156" s="18"/>
      <c r="T156" s="18"/>
      <c r="U156" s="28" t="n">
        <v>1</v>
      </c>
      <c r="V156" s="28" t="n">
        <v>1</v>
      </c>
      <c r="W156" s="18"/>
      <c r="X156" s="18"/>
      <c r="Y156" s="18"/>
      <c r="Z156" s="18"/>
      <c r="AA156" s="18"/>
      <c r="AB156" s="18"/>
      <c r="AC156" s="18"/>
      <c r="AD156" s="18"/>
      <c r="AE156" s="22" t="n">
        <f aca="false">SUM(S156:AD156)</f>
        <v>2</v>
      </c>
      <c r="AF156" s="22"/>
      <c r="AG156" s="22"/>
      <c r="AH156" s="19" t="s">
        <v>50</v>
      </c>
      <c r="AI156" s="19" t="s">
        <v>50</v>
      </c>
      <c r="AJ156" s="22"/>
      <c r="AK156" s="22"/>
      <c r="AL156" s="22"/>
      <c r="AM156" s="22"/>
      <c r="AN156" s="22"/>
      <c r="AO156" s="22"/>
      <c r="AP156" s="22"/>
      <c r="AQ156" s="22"/>
      <c r="AR156" s="19" t="s">
        <v>50</v>
      </c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22" t="n">
        <f aca="false">SUM(AS156:BD156)</f>
        <v>0</v>
      </c>
      <c r="BF156" s="23"/>
      <c r="BG156" s="24"/>
      <c r="BH156" s="18"/>
      <c r="BI156" s="18"/>
      <c r="BJ156" s="18"/>
      <c r="BK156" s="25" t="n">
        <v>1</v>
      </c>
      <c r="BL156" s="25" t="n">
        <v>1</v>
      </c>
      <c r="BM156" s="18"/>
      <c r="BN156" s="18"/>
      <c r="BO156" s="18"/>
      <c r="BP156" s="18"/>
      <c r="BQ156" s="18"/>
      <c r="BR156" s="18"/>
      <c r="BS156" s="18"/>
      <c r="BT156" s="22" t="n">
        <f aca="false">SUM(BH156:BS156)</f>
        <v>2</v>
      </c>
      <c r="BU156" s="26" t="n">
        <v>45845.4146180556</v>
      </c>
      <c r="BV156" s="17"/>
      <c r="BW156" s="17" t="s">
        <v>44</v>
      </c>
      <c r="BX156" s="23" t="n">
        <f aca="false">IFERROR(R156/AE156,0)</f>
        <v>10673.745</v>
      </c>
      <c r="BY156" s="23" t="n">
        <f aca="false">IFERROR(R156/12,0)</f>
        <v>1778.9575</v>
      </c>
      <c r="BZ156" s="18" t="n">
        <v>11</v>
      </c>
      <c r="CA156" s="22" t="str">
        <f aca="false">IF(AE156=0,"PROSPECT",IF(AE156=1,"NOVO",IF(AE156&lt;=3,"EM DESENV.",IF(AE156&lt;=6,"RECORRENTE","FIDELIZADO"))))</f>
        <v>EM DESENV.</v>
      </c>
      <c r="CB156" s="22" t="n">
        <f aca="false">IF((P156+Q156)&gt;0,1,0)+IF((BR156+BS156)&gt;0,1,0)+IF(BE156&gt;0,1,0)</f>
        <v>0</v>
      </c>
    </row>
    <row r="157" customFormat="false" ht="15" hidden="false" customHeight="true" outlineLevel="0" collapsed="false">
      <c r="A157" s="16" t="s">
        <v>497</v>
      </c>
      <c r="B157" s="17" t="s">
        <v>498</v>
      </c>
      <c r="C157" s="18" t="s">
        <v>168</v>
      </c>
      <c r="D157" s="17" t="s">
        <v>499</v>
      </c>
      <c r="E157" s="29" t="s">
        <v>365</v>
      </c>
      <c r="F157" s="20"/>
      <c r="G157" s="27" t="n">
        <v>10984.56</v>
      </c>
      <c r="H157" s="27" t="n">
        <v>40838.05</v>
      </c>
      <c r="I157" s="20"/>
      <c r="J157" s="20"/>
      <c r="K157" s="27" t="n">
        <v>9180</v>
      </c>
      <c r="L157" s="20"/>
      <c r="M157" s="20"/>
      <c r="N157" s="20"/>
      <c r="O157" s="20"/>
      <c r="P157" s="20"/>
      <c r="Q157" s="20"/>
      <c r="R157" s="21" t="n">
        <f aca="false">SUM(F157:Q157)</f>
        <v>61002.61</v>
      </c>
      <c r="S157" s="18"/>
      <c r="T157" s="28" t="n">
        <v>1</v>
      </c>
      <c r="U157" s="28" t="n">
        <v>1</v>
      </c>
      <c r="V157" s="18"/>
      <c r="W157" s="18"/>
      <c r="X157" s="28" t="n">
        <v>1</v>
      </c>
      <c r="Y157" s="18"/>
      <c r="Z157" s="18"/>
      <c r="AA157" s="18"/>
      <c r="AB157" s="18"/>
      <c r="AC157" s="18"/>
      <c r="AD157" s="18"/>
      <c r="AE157" s="22" t="n">
        <f aca="false">SUM(S157:AD157)</f>
        <v>3</v>
      </c>
      <c r="AF157" s="22"/>
      <c r="AG157" s="19" t="s">
        <v>50</v>
      </c>
      <c r="AH157" s="19" t="s">
        <v>50</v>
      </c>
      <c r="AI157" s="22"/>
      <c r="AJ157" s="22"/>
      <c r="AK157" s="19" t="s">
        <v>50</v>
      </c>
      <c r="AL157" s="22"/>
      <c r="AM157" s="22"/>
      <c r="AN157" s="22"/>
      <c r="AO157" s="22"/>
      <c r="AP157" s="22"/>
      <c r="AQ157" s="22"/>
      <c r="AR157" s="19" t="s">
        <v>50</v>
      </c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22" t="n">
        <f aca="false">SUM(AS157:BD157)</f>
        <v>0</v>
      </c>
      <c r="BF157" s="23"/>
      <c r="BG157" s="24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25" t="n">
        <v>2</v>
      </c>
      <c r="BS157" s="18"/>
      <c r="BT157" s="22" t="n">
        <f aca="false">SUM(BH157:BS157)</f>
        <v>2</v>
      </c>
      <c r="BU157" s="26" t="n">
        <v>46036.6256944445</v>
      </c>
      <c r="BV157" s="17" t="s">
        <v>378</v>
      </c>
      <c r="BW157" s="17" t="s">
        <v>44</v>
      </c>
      <c r="BX157" s="23" t="n">
        <f aca="false">IFERROR(R157/AE157,0)</f>
        <v>20334.2033333333</v>
      </c>
      <c r="BY157" s="23" t="n">
        <f aca="false">IFERROR(R157/12,0)</f>
        <v>5083.55083333333</v>
      </c>
      <c r="BZ157" s="18" t="n">
        <v>63</v>
      </c>
      <c r="CA157" s="22" t="str">
        <f aca="false">IF(AE157=0,"PROSPECT",IF(AE157=1,"NOVO",IF(AE157&lt;=3,"EM DESENV.",IF(AE157&lt;=6,"RECORRENTE","FIDELIZADO"))))</f>
        <v>EM DESENV.</v>
      </c>
      <c r="CB157" s="22" t="n">
        <f aca="false">IF((P157+Q157)&gt;0,1,0)+IF((BR157+BS157)&gt;0,1,0)+IF(BE157&gt;0,1,0)</f>
        <v>1</v>
      </c>
    </row>
    <row r="158" customFormat="false" ht="15" hidden="false" customHeight="true" outlineLevel="0" collapsed="false">
      <c r="A158" s="16" t="s">
        <v>500</v>
      </c>
      <c r="B158" s="17" t="s">
        <v>501</v>
      </c>
      <c r="C158" s="18" t="s">
        <v>72</v>
      </c>
      <c r="D158" s="17" t="s">
        <v>502</v>
      </c>
      <c r="E158" s="29" t="s">
        <v>365</v>
      </c>
      <c r="F158" s="20"/>
      <c r="G158" s="27" t="n">
        <v>3390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1" t="n">
        <f aca="false">SUM(F158:Q158)</f>
        <v>3390</v>
      </c>
      <c r="S158" s="18"/>
      <c r="T158" s="28" t="n">
        <v>1</v>
      </c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22" t="n">
        <f aca="false">SUM(S158:AD158)</f>
        <v>1</v>
      </c>
      <c r="AF158" s="19" t="s">
        <v>50</v>
      </c>
      <c r="AG158" s="19" t="s">
        <v>50</v>
      </c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19" t="s">
        <v>50</v>
      </c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22" t="n">
        <f aca="false">SUM(AS158:BD158)</f>
        <v>0</v>
      </c>
      <c r="BF158" s="23"/>
      <c r="BG158" s="24"/>
      <c r="BH158" s="25" t="n">
        <v>1</v>
      </c>
      <c r="BI158" s="18"/>
      <c r="BJ158" s="25" t="n">
        <v>1</v>
      </c>
      <c r="BK158" s="18"/>
      <c r="BL158" s="25" t="n">
        <v>2</v>
      </c>
      <c r="BM158" s="18"/>
      <c r="BN158" s="18"/>
      <c r="BO158" s="18"/>
      <c r="BP158" s="25" t="n">
        <v>3</v>
      </c>
      <c r="BQ158" s="18"/>
      <c r="BR158" s="25" t="n">
        <v>3</v>
      </c>
      <c r="BS158" s="25" t="n">
        <v>1</v>
      </c>
      <c r="BT158" s="22" t="n">
        <f aca="false">SUM(BH158:BS158)</f>
        <v>11</v>
      </c>
      <c r="BU158" s="26" t="n">
        <v>46059.412662037</v>
      </c>
      <c r="BV158" s="17"/>
      <c r="BW158" s="17" t="s">
        <v>44</v>
      </c>
      <c r="BX158" s="23" t="n">
        <f aca="false">IFERROR(R158/AE158,0)</f>
        <v>3390</v>
      </c>
      <c r="BY158" s="23" t="n">
        <f aca="false">IFERROR(R158/12,0)</f>
        <v>282.5</v>
      </c>
      <c r="BZ158" s="18" t="n">
        <v>13</v>
      </c>
      <c r="CA158" s="22" t="str">
        <f aca="false">IF(AE158=0,"PROSPECT",IF(AE158=1,"NOVO",IF(AE158&lt;=3,"EM DESENV.",IF(AE158&lt;=6,"RECORRENTE","FIDELIZADO"))))</f>
        <v>NOVO</v>
      </c>
      <c r="CB158" s="22" t="n">
        <f aca="false">IF((P158+Q158)&gt;0,1,0)+IF((BR158+BS158)&gt;0,1,0)+IF(BE158&gt;0,1,0)</f>
        <v>1</v>
      </c>
    </row>
    <row r="159" customFormat="false" ht="15" hidden="false" customHeight="true" outlineLevel="0" collapsed="false">
      <c r="A159" s="16" t="s">
        <v>503</v>
      </c>
      <c r="B159" s="17" t="s">
        <v>504</v>
      </c>
      <c r="C159" s="18" t="s">
        <v>65</v>
      </c>
      <c r="D159" s="17" t="s">
        <v>66</v>
      </c>
      <c r="E159" s="29" t="s">
        <v>365</v>
      </c>
      <c r="F159" s="20"/>
      <c r="G159" s="27" t="n">
        <v>3021.22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1" t="n">
        <f aca="false">SUM(F159:Q159)</f>
        <v>3021.22</v>
      </c>
      <c r="S159" s="18"/>
      <c r="T159" s="28" t="n">
        <v>1</v>
      </c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22" t="n">
        <f aca="false">SUM(S159:AD159)</f>
        <v>1</v>
      </c>
      <c r="AF159" s="22"/>
      <c r="AG159" s="19" t="s">
        <v>50</v>
      </c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19" t="s">
        <v>50</v>
      </c>
      <c r="AS159" s="18"/>
      <c r="AT159" s="25" t="n">
        <v>3</v>
      </c>
      <c r="AU159" s="25" t="n">
        <v>3</v>
      </c>
      <c r="AV159" s="18"/>
      <c r="AW159" s="18"/>
      <c r="AX159" s="18"/>
      <c r="AY159" s="18"/>
      <c r="AZ159" s="18"/>
      <c r="BA159" s="18"/>
      <c r="BB159" s="18"/>
      <c r="BC159" s="18"/>
      <c r="BD159" s="18"/>
      <c r="BE159" s="22" t="n">
        <f aca="false">SUM(AS159:BD159)</f>
        <v>6</v>
      </c>
      <c r="BF159" s="23" t="n">
        <v>3104.22</v>
      </c>
      <c r="BG159" s="19" t="s">
        <v>55</v>
      </c>
      <c r="BH159" s="18"/>
      <c r="BI159" s="18"/>
      <c r="BJ159" s="18"/>
      <c r="BK159" s="25" t="n">
        <v>1</v>
      </c>
      <c r="BL159" s="18"/>
      <c r="BM159" s="18"/>
      <c r="BN159" s="18"/>
      <c r="BO159" s="18"/>
      <c r="BP159" s="18"/>
      <c r="BQ159" s="18"/>
      <c r="BR159" s="18"/>
      <c r="BS159" s="25" t="n">
        <v>2</v>
      </c>
      <c r="BT159" s="22" t="n">
        <f aca="false">SUM(BH159:BS159)</f>
        <v>3</v>
      </c>
      <c r="BU159" s="26" t="n">
        <v>46057.6409722222</v>
      </c>
      <c r="BV159" s="17"/>
      <c r="BW159" s="17" t="s">
        <v>117</v>
      </c>
      <c r="BX159" s="23" t="n">
        <f aca="false">IFERROR(R159/AE159,0)</f>
        <v>3021.22</v>
      </c>
      <c r="BY159" s="23" t="n">
        <f aca="false">IFERROR(R159/12,0)</f>
        <v>251.768333333333</v>
      </c>
      <c r="BZ159" s="18" t="n">
        <v>5</v>
      </c>
      <c r="CA159" s="22" t="str">
        <f aca="false">IF(AE159=0,"PROSPECT",IF(AE159=1,"NOVO",IF(AE159&lt;=3,"EM DESENV.",IF(AE159&lt;=6,"RECORRENTE","FIDELIZADO"))))</f>
        <v>NOVO</v>
      </c>
      <c r="CB159" s="22" t="n">
        <f aca="false">IF((P159+Q159)&gt;0,1,0)+IF((BR159+BS159)&gt;0,1,0)+IF(BE159&gt;0,1,0)</f>
        <v>2</v>
      </c>
    </row>
    <row r="160" customFormat="false" ht="15" hidden="false" customHeight="true" outlineLevel="0" collapsed="false">
      <c r="A160" s="16" t="s">
        <v>505</v>
      </c>
      <c r="B160" s="17" t="s">
        <v>295</v>
      </c>
      <c r="C160" s="18" t="s">
        <v>65</v>
      </c>
      <c r="D160" s="17" t="s">
        <v>66</v>
      </c>
      <c r="E160" s="29" t="s">
        <v>365</v>
      </c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1" t="n">
        <f aca="false">SUM(F160:Q160)</f>
        <v>0</v>
      </c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22" t="n">
        <f aca="false">SUM(S160:AD160)</f>
        <v>0</v>
      </c>
      <c r="AF160" s="22"/>
      <c r="AG160" s="30" t="s">
        <v>49</v>
      </c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30" t="s">
        <v>49</v>
      </c>
      <c r="AS160" s="18"/>
      <c r="AT160" s="25" t="n">
        <v>2</v>
      </c>
      <c r="AU160" s="25" t="n">
        <v>2</v>
      </c>
      <c r="AV160" s="18"/>
      <c r="AW160" s="18"/>
      <c r="AX160" s="18"/>
      <c r="AY160" s="18"/>
      <c r="AZ160" s="18"/>
      <c r="BA160" s="18"/>
      <c r="BB160" s="18"/>
      <c r="BC160" s="18"/>
      <c r="BD160" s="18"/>
      <c r="BE160" s="22" t="n">
        <f aca="false">SUM(AS160:BD160)</f>
        <v>4</v>
      </c>
      <c r="BF160" s="23" t="n">
        <v>3052</v>
      </c>
      <c r="BG160" s="19" t="s">
        <v>55</v>
      </c>
      <c r="BH160" s="18"/>
      <c r="BI160" s="25" t="n">
        <v>1</v>
      </c>
      <c r="BJ160" s="18"/>
      <c r="BK160" s="25" t="n">
        <v>1</v>
      </c>
      <c r="BL160" s="18"/>
      <c r="BM160" s="18"/>
      <c r="BN160" s="18"/>
      <c r="BO160" s="18"/>
      <c r="BP160" s="18"/>
      <c r="BQ160" s="25" t="n">
        <v>1</v>
      </c>
      <c r="BR160" s="18"/>
      <c r="BS160" s="18"/>
      <c r="BT160" s="22" t="n">
        <f aca="false">SUM(BH160:BS160)</f>
        <v>3</v>
      </c>
      <c r="BU160" s="26" t="n">
        <v>46002.3944444444</v>
      </c>
      <c r="BV160" s="17" t="s">
        <v>124</v>
      </c>
      <c r="BW160" s="17" t="s">
        <v>44</v>
      </c>
      <c r="BX160" s="23" t="n">
        <f aca="false">IFERROR(R160/AE160,0)</f>
        <v>0</v>
      </c>
      <c r="BY160" s="23" t="n">
        <f aca="false">IFERROR(R160/12,0)</f>
        <v>0</v>
      </c>
      <c r="BZ160" s="18" t="n">
        <v>0</v>
      </c>
      <c r="CA160" s="22" t="str">
        <f aca="false">IF(AE160=0,"PROSPECT",IF(AE160=1,"NOVO",IF(AE160&lt;=3,"EM DESENV.",IF(AE160&lt;=6,"RECORRENTE","FIDELIZADO"))))</f>
        <v>PROSPECT</v>
      </c>
      <c r="CB160" s="22" t="n">
        <f aca="false">IF((P160+Q160)&gt;0,1,0)+IF((BR160+BS160)&gt;0,1,0)+IF(BE160&gt;0,1,0)</f>
        <v>1</v>
      </c>
    </row>
    <row r="161" customFormat="false" ht="15" hidden="false" customHeight="true" outlineLevel="0" collapsed="false">
      <c r="A161" s="16" t="s">
        <v>506</v>
      </c>
      <c r="B161" s="17" t="s">
        <v>295</v>
      </c>
      <c r="C161" s="18" t="s">
        <v>65</v>
      </c>
      <c r="D161" s="17" t="s">
        <v>66</v>
      </c>
      <c r="E161" s="29" t="s">
        <v>365</v>
      </c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1" t="n">
        <f aca="false">SUM(F161:Q161)</f>
        <v>0</v>
      </c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22" t="n">
        <f aca="false">SUM(S161:AD161)</f>
        <v>0</v>
      </c>
      <c r="AF161" s="22"/>
      <c r="AG161" s="30" t="s">
        <v>49</v>
      </c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9" t="s">
        <v>48</v>
      </c>
      <c r="AS161" s="18"/>
      <c r="AT161" s="25" t="n">
        <v>4</v>
      </c>
      <c r="AU161" s="25" t="n">
        <v>4</v>
      </c>
      <c r="AV161" s="18"/>
      <c r="AW161" s="18"/>
      <c r="AX161" s="18"/>
      <c r="AY161" s="18"/>
      <c r="AZ161" s="18"/>
      <c r="BA161" s="18"/>
      <c r="BB161" s="18"/>
      <c r="BC161" s="18"/>
      <c r="BD161" s="18"/>
      <c r="BE161" s="22" t="n">
        <f aca="false">SUM(AS161:BD161)</f>
        <v>8</v>
      </c>
      <c r="BF161" s="23" t="n">
        <v>2180.1</v>
      </c>
      <c r="BG161" s="19" t="s">
        <v>55</v>
      </c>
      <c r="BH161" s="18"/>
      <c r="BI161" s="18"/>
      <c r="BJ161" s="18"/>
      <c r="BK161" s="25" t="n">
        <v>1</v>
      </c>
      <c r="BL161" s="18"/>
      <c r="BM161" s="18"/>
      <c r="BN161" s="25" t="n">
        <v>2</v>
      </c>
      <c r="BO161" s="18"/>
      <c r="BP161" s="18"/>
      <c r="BQ161" s="18"/>
      <c r="BR161" s="18"/>
      <c r="BS161" s="25" t="n">
        <v>2</v>
      </c>
      <c r="BT161" s="22" t="n">
        <f aca="false">SUM(BH161:BS161)</f>
        <v>5</v>
      </c>
      <c r="BU161" s="26" t="n">
        <v>46057.6368055556</v>
      </c>
      <c r="BV161" s="17"/>
      <c r="BW161" s="17" t="s">
        <v>117</v>
      </c>
      <c r="BX161" s="23" t="n">
        <f aca="false">IFERROR(R161/AE161,0)</f>
        <v>0</v>
      </c>
      <c r="BY161" s="23" t="n">
        <f aca="false">IFERROR(R161/12,0)</f>
        <v>0</v>
      </c>
      <c r="BZ161" s="18" t="n">
        <v>0</v>
      </c>
      <c r="CA161" s="22" t="str">
        <f aca="false">IF(AE161=0,"PROSPECT",IF(AE161=1,"NOVO",IF(AE161&lt;=3,"EM DESENV.",IF(AE161&lt;=6,"RECORRENTE","FIDELIZADO"))))</f>
        <v>PROSPECT</v>
      </c>
      <c r="CB161" s="22" t="n">
        <f aca="false">IF((P161+Q161)&gt;0,1,0)+IF((BR161+BS161)&gt;0,1,0)+IF(BE161&gt;0,1,0)</f>
        <v>2</v>
      </c>
    </row>
    <row r="162" customFormat="false" ht="15" hidden="false" customHeight="true" outlineLevel="0" collapsed="false">
      <c r="A162" s="16" t="s">
        <v>507</v>
      </c>
      <c r="B162" s="17" t="s">
        <v>508</v>
      </c>
      <c r="C162" s="18" t="s">
        <v>87</v>
      </c>
      <c r="D162" s="17" t="s">
        <v>304</v>
      </c>
      <c r="E162" s="29" t="s">
        <v>365</v>
      </c>
      <c r="F162" s="20"/>
      <c r="G162" s="20"/>
      <c r="H162" s="27" t="n">
        <v>2355.61</v>
      </c>
      <c r="I162" s="20"/>
      <c r="J162" s="20"/>
      <c r="K162" s="20"/>
      <c r="L162" s="20"/>
      <c r="M162" s="20"/>
      <c r="N162" s="20"/>
      <c r="O162" s="20"/>
      <c r="P162" s="20"/>
      <c r="Q162" s="20"/>
      <c r="R162" s="21" t="n">
        <f aca="false">SUM(F162:Q162)</f>
        <v>2355.61</v>
      </c>
      <c r="S162" s="18"/>
      <c r="T162" s="18"/>
      <c r="U162" s="28" t="n">
        <v>1</v>
      </c>
      <c r="V162" s="18"/>
      <c r="W162" s="18"/>
      <c r="X162" s="18"/>
      <c r="Y162" s="18"/>
      <c r="Z162" s="18"/>
      <c r="AA162" s="18"/>
      <c r="AB162" s="18"/>
      <c r="AC162" s="18"/>
      <c r="AD162" s="18"/>
      <c r="AE162" s="22" t="n">
        <f aca="false">SUM(S162:AD162)</f>
        <v>1</v>
      </c>
      <c r="AF162" s="22"/>
      <c r="AG162" s="22"/>
      <c r="AH162" s="19" t="s">
        <v>50</v>
      </c>
      <c r="AI162" s="22"/>
      <c r="AJ162" s="22"/>
      <c r="AK162" s="22"/>
      <c r="AL162" s="22"/>
      <c r="AM162" s="22"/>
      <c r="AN162" s="22"/>
      <c r="AO162" s="22"/>
      <c r="AP162" s="22"/>
      <c r="AQ162" s="22"/>
      <c r="AR162" s="30" t="s">
        <v>49</v>
      </c>
      <c r="AS162" s="18"/>
      <c r="AT162" s="18"/>
      <c r="AU162" s="18"/>
      <c r="AV162" s="18"/>
      <c r="AW162" s="25" t="n">
        <v>1</v>
      </c>
      <c r="AX162" s="18"/>
      <c r="AY162" s="18"/>
      <c r="AZ162" s="18"/>
      <c r="BA162" s="18"/>
      <c r="BB162" s="18"/>
      <c r="BC162" s="18"/>
      <c r="BD162" s="18"/>
      <c r="BE162" s="22" t="n">
        <f aca="false">SUM(AS162:BD162)</f>
        <v>1</v>
      </c>
      <c r="BF162" s="23" t="n">
        <v>2355.61</v>
      </c>
      <c r="BG162" s="19" t="s">
        <v>55</v>
      </c>
      <c r="BH162" s="18"/>
      <c r="BI162" s="18"/>
      <c r="BJ162" s="25" t="n">
        <v>1</v>
      </c>
      <c r="BK162" s="25" t="n">
        <v>1</v>
      </c>
      <c r="BL162" s="18"/>
      <c r="BM162" s="18"/>
      <c r="BN162" s="18"/>
      <c r="BO162" s="18"/>
      <c r="BP162" s="18"/>
      <c r="BQ162" s="18"/>
      <c r="BR162" s="18"/>
      <c r="BS162" s="18"/>
      <c r="BT162" s="22" t="n">
        <f aca="false">SUM(BH162:BS162)</f>
        <v>2</v>
      </c>
      <c r="BU162" s="26" t="n">
        <v>45813.6180555556</v>
      </c>
      <c r="BV162" s="17" t="s">
        <v>243</v>
      </c>
      <c r="BW162" s="17" t="s">
        <v>44</v>
      </c>
      <c r="BX162" s="23" t="n">
        <f aca="false">IFERROR(R162/AE162,0)</f>
        <v>2355.61</v>
      </c>
      <c r="BY162" s="23" t="n">
        <f aca="false">IFERROR(R162/12,0)</f>
        <v>196.300833333333</v>
      </c>
      <c r="BZ162" s="18" t="n">
        <v>0</v>
      </c>
      <c r="CA162" s="22" t="str">
        <f aca="false">IF(AE162=0,"PROSPECT",IF(AE162=1,"NOVO",IF(AE162&lt;=3,"EM DESENV.",IF(AE162&lt;=6,"RECORRENTE","FIDELIZADO"))))</f>
        <v>NOVO</v>
      </c>
      <c r="CB162" s="22" t="n">
        <f aca="false">IF((P162+Q162)&gt;0,1,0)+IF((BR162+BS162)&gt;0,1,0)+IF(BE162&gt;0,1,0)</f>
        <v>1</v>
      </c>
    </row>
    <row r="163" customFormat="false" ht="15" hidden="false" customHeight="true" outlineLevel="0" collapsed="false">
      <c r="A163" s="16" t="s">
        <v>509</v>
      </c>
      <c r="B163" s="17" t="s">
        <v>510</v>
      </c>
      <c r="C163" s="18" t="s">
        <v>87</v>
      </c>
      <c r="D163" s="17" t="s">
        <v>511</v>
      </c>
      <c r="E163" s="29" t="s">
        <v>365</v>
      </c>
      <c r="F163" s="20"/>
      <c r="G163" s="20"/>
      <c r="H163" s="20"/>
      <c r="I163" s="20"/>
      <c r="J163" s="20"/>
      <c r="K163" s="20"/>
      <c r="L163" s="27" t="n">
        <v>675.96</v>
      </c>
      <c r="M163" s="20"/>
      <c r="N163" s="20"/>
      <c r="O163" s="20"/>
      <c r="P163" s="20"/>
      <c r="Q163" s="20"/>
      <c r="R163" s="21" t="n">
        <f aca="false">SUM(F163:Q163)</f>
        <v>675.96</v>
      </c>
      <c r="S163" s="18"/>
      <c r="T163" s="18"/>
      <c r="U163" s="18"/>
      <c r="V163" s="18"/>
      <c r="W163" s="18"/>
      <c r="X163" s="18"/>
      <c r="Y163" s="28" t="n">
        <v>1</v>
      </c>
      <c r="Z163" s="18"/>
      <c r="AA163" s="18"/>
      <c r="AB163" s="18"/>
      <c r="AC163" s="18"/>
      <c r="AD163" s="18"/>
      <c r="AE163" s="22" t="n">
        <f aca="false">SUM(S163:AD163)</f>
        <v>1</v>
      </c>
      <c r="AF163" s="22"/>
      <c r="AG163" s="22"/>
      <c r="AH163" s="22"/>
      <c r="AI163" s="22"/>
      <c r="AJ163" s="22"/>
      <c r="AK163" s="22"/>
      <c r="AL163" s="29" t="s">
        <v>48</v>
      </c>
      <c r="AM163" s="22"/>
      <c r="AN163" s="22"/>
      <c r="AO163" s="22"/>
      <c r="AP163" s="22"/>
      <c r="AQ163" s="22"/>
      <c r="AR163" s="29" t="s">
        <v>48</v>
      </c>
      <c r="AS163" s="18"/>
      <c r="AT163" s="18"/>
      <c r="AU163" s="18"/>
      <c r="AV163" s="18"/>
      <c r="AW163" s="18"/>
      <c r="AX163" s="25" t="n">
        <v>2</v>
      </c>
      <c r="AY163" s="25" t="n">
        <v>6</v>
      </c>
      <c r="AZ163" s="18"/>
      <c r="BA163" s="18"/>
      <c r="BB163" s="18"/>
      <c r="BC163" s="18"/>
      <c r="BD163" s="18"/>
      <c r="BE163" s="22" t="n">
        <f aca="false">SUM(AS163:BD163)</f>
        <v>8</v>
      </c>
      <c r="BF163" s="23" t="n">
        <v>675.96</v>
      </c>
      <c r="BG163" s="19" t="s">
        <v>55</v>
      </c>
      <c r="BH163" s="18"/>
      <c r="BI163" s="18"/>
      <c r="BJ163" s="18"/>
      <c r="BK163" s="18"/>
      <c r="BL163" s="25" t="n">
        <v>1</v>
      </c>
      <c r="BM163" s="18"/>
      <c r="BN163" s="18"/>
      <c r="BO163" s="25" t="n">
        <v>1</v>
      </c>
      <c r="BP163" s="18"/>
      <c r="BQ163" s="18"/>
      <c r="BR163" s="25" t="n">
        <v>1</v>
      </c>
      <c r="BS163" s="25" t="n">
        <v>4</v>
      </c>
      <c r="BT163" s="22" t="n">
        <f aca="false">SUM(BH163:BS163)</f>
        <v>7</v>
      </c>
      <c r="BU163" s="26" t="n">
        <v>46057.7225810185</v>
      </c>
      <c r="BV163" s="17"/>
      <c r="BW163" s="17" t="s">
        <v>44</v>
      </c>
      <c r="BX163" s="23" t="n">
        <f aca="false">IFERROR(R163/AE163,0)</f>
        <v>675.96</v>
      </c>
      <c r="BY163" s="23" t="n">
        <f aca="false">IFERROR(R163/12,0)</f>
        <v>56.33</v>
      </c>
      <c r="BZ163" s="18" t="n">
        <v>0</v>
      </c>
      <c r="CA163" s="22" t="str">
        <f aca="false">IF(AE163=0,"PROSPECT",IF(AE163=1,"NOVO",IF(AE163&lt;=3,"EM DESENV.",IF(AE163&lt;=6,"RECORRENTE","FIDELIZADO"))))</f>
        <v>NOVO</v>
      </c>
      <c r="CB163" s="22" t="n">
        <f aca="false">IF((P163+Q163)&gt;0,1,0)+IF((BR163+BS163)&gt;0,1,0)+IF(BE163&gt;0,1,0)</f>
        <v>2</v>
      </c>
    </row>
    <row r="164" customFormat="false" ht="15" hidden="false" customHeight="true" outlineLevel="0" collapsed="false">
      <c r="A164" s="16" t="s">
        <v>512</v>
      </c>
      <c r="B164" s="17" t="s">
        <v>513</v>
      </c>
      <c r="C164" s="18" t="s">
        <v>61</v>
      </c>
      <c r="D164" s="17" t="s">
        <v>210</v>
      </c>
      <c r="E164" s="29" t="s">
        <v>365</v>
      </c>
      <c r="F164" s="20"/>
      <c r="G164" s="27" t="n">
        <v>1514.31</v>
      </c>
      <c r="H164" s="20"/>
      <c r="I164" s="27" t="n">
        <v>1273.09</v>
      </c>
      <c r="J164" s="20"/>
      <c r="K164" s="27" t="n">
        <v>1377.68</v>
      </c>
      <c r="L164" s="20"/>
      <c r="M164" s="27" t="n">
        <v>2664.61</v>
      </c>
      <c r="N164" s="20"/>
      <c r="O164" s="20"/>
      <c r="P164" s="20"/>
      <c r="Q164" s="20"/>
      <c r="R164" s="21" t="n">
        <f aca="false">SUM(F164:Q164)</f>
        <v>6829.69</v>
      </c>
      <c r="S164" s="18"/>
      <c r="T164" s="28" t="n">
        <v>1</v>
      </c>
      <c r="U164" s="18"/>
      <c r="V164" s="28" t="n">
        <v>1</v>
      </c>
      <c r="W164" s="18"/>
      <c r="X164" s="28" t="n">
        <v>1</v>
      </c>
      <c r="Y164" s="18"/>
      <c r="Z164" s="28" t="n">
        <v>1</v>
      </c>
      <c r="AA164" s="18"/>
      <c r="AB164" s="18"/>
      <c r="AC164" s="18"/>
      <c r="AD164" s="18"/>
      <c r="AE164" s="22" t="n">
        <f aca="false">SUM(S164:AD164)</f>
        <v>4</v>
      </c>
      <c r="AF164" s="22"/>
      <c r="AG164" s="30" t="s">
        <v>49</v>
      </c>
      <c r="AH164" s="22"/>
      <c r="AI164" s="30" t="s">
        <v>49</v>
      </c>
      <c r="AJ164" s="22"/>
      <c r="AK164" s="19" t="s">
        <v>50</v>
      </c>
      <c r="AL164" s="22"/>
      <c r="AM164" s="19" t="s">
        <v>50</v>
      </c>
      <c r="AN164" s="22"/>
      <c r="AO164" s="22"/>
      <c r="AP164" s="22"/>
      <c r="AQ164" s="22"/>
      <c r="AR164" s="19" t="s">
        <v>50</v>
      </c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22" t="n">
        <f aca="false">SUM(AS164:BD164)</f>
        <v>0</v>
      </c>
      <c r="BF164" s="23"/>
      <c r="BG164" s="24"/>
      <c r="BH164" s="18"/>
      <c r="BI164" s="18"/>
      <c r="BJ164" s="25" t="n">
        <v>1</v>
      </c>
      <c r="BK164" s="25" t="n">
        <v>3</v>
      </c>
      <c r="BL164" s="25" t="n">
        <v>1</v>
      </c>
      <c r="BM164" s="18"/>
      <c r="BN164" s="18"/>
      <c r="BO164" s="25" t="n">
        <v>2</v>
      </c>
      <c r="BP164" s="18"/>
      <c r="BQ164" s="25" t="n">
        <v>1</v>
      </c>
      <c r="BR164" s="25" t="n">
        <v>2</v>
      </c>
      <c r="BS164" s="18"/>
      <c r="BT164" s="22" t="n">
        <f aca="false">SUM(BH164:BS164)</f>
        <v>10</v>
      </c>
      <c r="BU164" s="26" t="n">
        <v>46048.5676967593</v>
      </c>
      <c r="BV164" s="17"/>
      <c r="BW164" s="17" t="s">
        <v>44</v>
      </c>
      <c r="BX164" s="23" t="n">
        <f aca="false">IFERROR(R164/AE164,0)</f>
        <v>1707.4225</v>
      </c>
      <c r="BY164" s="23" t="n">
        <f aca="false">IFERROR(R164/12,0)</f>
        <v>569.140833333333</v>
      </c>
      <c r="BZ164" s="18" t="n">
        <v>60.6667</v>
      </c>
      <c r="CA164" s="22" t="str">
        <f aca="false">IF(AE164=0,"PROSPECT",IF(AE164=1,"NOVO",IF(AE164&lt;=3,"EM DESENV.",IF(AE164&lt;=6,"RECORRENTE","FIDELIZADO"))))</f>
        <v>RECORRENTE</v>
      </c>
      <c r="CB164" s="22" t="n">
        <f aca="false">IF((P164+Q164)&gt;0,1,0)+IF((BR164+BS164)&gt;0,1,0)+IF(BE164&gt;0,1,0)</f>
        <v>1</v>
      </c>
    </row>
    <row r="165" customFormat="false" ht="15" hidden="false" customHeight="true" outlineLevel="0" collapsed="false">
      <c r="A165" s="16" t="s">
        <v>514</v>
      </c>
      <c r="B165" s="17" t="s">
        <v>515</v>
      </c>
      <c r="C165" s="18" t="s">
        <v>53</v>
      </c>
      <c r="D165" s="17" t="s">
        <v>377</v>
      </c>
      <c r="E165" s="29" t="s">
        <v>365</v>
      </c>
      <c r="F165" s="20"/>
      <c r="G165" s="20"/>
      <c r="H165" s="20"/>
      <c r="I165" s="20"/>
      <c r="J165" s="20"/>
      <c r="K165" s="27" t="n">
        <v>658.02</v>
      </c>
      <c r="L165" s="20"/>
      <c r="M165" s="20"/>
      <c r="N165" s="20"/>
      <c r="O165" s="20"/>
      <c r="P165" s="20"/>
      <c r="Q165" s="20"/>
      <c r="R165" s="21" t="n">
        <f aca="false">SUM(F165:Q165)</f>
        <v>658.02</v>
      </c>
      <c r="S165" s="18"/>
      <c r="T165" s="18"/>
      <c r="U165" s="18"/>
      <c r="V165" s="18"/>
      <c r="W165" s="18"/>
      <c r="X165" s="28" t="n">
        <v>1</v>
      </c>
      <c r="Y165" s="18"/>
      <c r="Z165" s="18"/>
      <c r="AA165" s="18"/>
      <c r="AB165" s="18"/>
      <c r="AC165" s="18"/>
      <c r="AD165" s="18"/>
      <c r="AE165" s="22" t="n">
        <f aca="false">SUM(S165:AD165)</f>
        <v>1</v>
      </c>
      <c r="AF165" s="22"/>
      <c r="AG165" s="22"/>
      <c r="AH165" s="22"/>
      <c r="AI165" s="22"/>
      <c r="AJ165" s="22"/>
      <c r="AK165" s="29" t="s">
        <v>48</v>
      </c>
      <c r="AL165" s="22"/>
      <c r="AM165" s="22"/>
      <c r="AN165" s="22"/>
      <c r="AO165" s="22"/>
      <c r="AP165" s="22"/>
      <c r="AQ165" s="22"/>
      <c r="AR165" s="29" t="s">
        <v>48</v>
      </c>
      <c r="AS165" s="18"/>
      <c r="AT165" s="18"/>
      <c r="AU165" s="18"/>
      <c r="AV165" s="18"/>
      <c r="AW165" s="18"/>
      <c r="AX165" s="25" t="n">
        <v>2</v>
      </c>
      <c r="AY165" s="18"/>
      <c r="AZ165" s="18"/>
      <c r="BA165" s="18"/>
      <c r="BB165" s="18"/>
      <c r="BC165" s="18"/>
      <c r="BD165" s="18"/>
      <c r="BE165" s="22" t="n">
        <f aca="false">SUM(AS165:BD165)</f>
        <v>2</v>
      </c>
      <c r="BF165" s="23"/>
      <c r="BG165" s="31" t="s">
        <v>93</v>
      </c>
      <c r="BH165" s="18"/>
      <c r="BI165" s="18"/>
      <c r="BJ165" s="18"/>
      <c r="BK165" s="18"/>
      <c r="BL165" s="18"/>
      <c r="BM165" s="25" t="n">
        <v>1</v>
      </c>
      <c r="BN165" s="18"/>
      <c r="BO165" s="25" t="n">
        <v>2</v>
      </c>
      <c r="BP165" s="18"/>
      <c r="BQ165" s="18"/>
      <c r="BR165" s="25" t="n">
        <v>2</v>
      </c>
      <c r="BS165" s="18"/>
      <c r="BT165" s="22" t="n">
        <f aca="false">SUM(BH165:BS165)</f>
        <v>5</v>
      </c>
      <c r="BU165" s="26" t="n">
        <v>46036.6208333333</v>
      </c>
      <c r="BV165" s="17" t="s">
        <v>378</v>
      </c>
      <c r="BW165" s="17" t="s">
        <v>44</v>
      </c>
      <c r="BX165" s="23" t="n">
        <f aca="false">IFERROR(R165/AE165,0)</f>
        <v>658.02</v>
      </c>
      <c r="BY165" s="23" t="n">
        <f aca="false">IFERROR(R165/12,0)</f>
        <v>54.835</v>
      </c>
      <c r="BZ165" s="18" t="n">
        <v>0</v>
      </c>
      <c r="CA165" s="22" t="str">
        <f aca="false">IF(AE165=0,"PROSPECT",IF(AE165=1,"NOVO",IF(AE165&lt;=3,"EM DESENV.",IF(AE165&lt;=6,"RECORRENTE","FIDELIZADO"))))</f>
        <v>NOVO</v>
      </c>
      <c r="CB165" s="22" t="n">
        <f aca="false">IF((P165+Q165)&gt;0,1,0)+IF((BR165+BS165)&gt;0,1,0)+IF(BE165&gt;0,1,0)</f>
        <v>2</v>
      </c>
    </row>
    <row r="166" customFormat="false" ht="15" hidden="false" customHeight="true" outlineLevel="0" collapsed="false">
      <c r="A166" s="16" t="s">
        <v>516</v>
      </c>
      <c r="B166" s="17" t="s">
        <v>517</v>
      </c>
      <c r="C166" s="18" t="s">
        <v>41</v>
      </c>
      <c r="D166" s="17" t="s">
        <v>42</v>
      </c>
      <c r="E166" s="29" t="s">
        <v>365</v>
      </c>
      <c r="F166" s="20"/>
      <c r="G166" s="20"/>
      <c r="H166" s="27" t="n">
        <v>990.28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1" t="n">
        <f aca="false">SUM(F166:Q166)</f>
        <v>990.28</v>
      </c>
      <c r="S166" s="18"/>
      <c r="T166" s="18"/>
      <c r="U166" s="28" t="n">
        <v>1</v>
      </c>
      <c r="V166" s="18"/>
      <c r="W166" s="18"/>
      <c r="X166" s="18"/>
      <c r="Y166" s="18"/>
      <c r="Z166" s="18"/>
      <c r="AA166" s="18"/>
      <c r="AB166" s="18"/>
      <c r="AC166" s="18"/>
      <c r="AD166" s="18"/>
      <c r="AE166" s="22" t="n">
        <f aca="false">SUM(S166:AD166)</f>
        <v>1</v>
      </c>
      <c r="AF166" s="22"/>
      <c r="AG166" s="22"/>
      <c r="AH166" s="30" t="s">
        <v>49</v>
      </c>
      <c r="AI166" s="22"/>
      <c r="AJ166" s="22"/>
      <c r="AK166" s="22"/>
      <c r="AL166" s="22"/>
      <c r="AM166" s="22"/>
      <c r="AN166" s="22"/>
      <c r="AO166" s="22"/>
      <c r="AP166" s="22"/>
      <c r="AQ166" s="22"/>
      <c r="AR166" s="29" t="s">
        <v>48</v>
      </c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22" t="n">
        <f aca="false">SUM(AS166:BD166)</f>
        <v>0</v>
      </c>
      <c r="BF166" s="23"/>
      <c r="BG166" s="24"/>
      <c r="BH166" s="18"/>
      <c r="BI166" s="18"/>
      <c r="BJ166" s="25" t="n">
        <v>1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22" t="n">
        <f aca="false">SUM(BH166:BS166)</f>
        <v>1</v>
      </c>
      <c r="BU166" s="26" t="n">
        <v>45782.7423611111</v>
      </c>
      <c r="BV166" s="17" t="s">
        <v>107</v>
      </c>
      <c r="BW166" s="17" t="s">
        <v>111</v>
      </c>
      <c r="BX166" s="23" t="n">
        <f aca="false">IFERROR(R166/AE166,0)</f>
        <v>990.28</v>
      </c>
      <c r="BY166" s="23" t="n">
        <f aca="false">IFERROR(R166/12,0)</f>
        <v>82.5233333333333</v>
      </c>
      <c r="BZ166" s="18" t="n">
        <v>0</v>
      </c>
      <c r="CA166" s="22" t="str">
        <f aca="false">IF(AE166=0,"PROSPECT",IF(AE166=1,"NOVO",IF(AE166&lt;=3,"EM DESENV.",IF(AE166&lt;=6,"RECORRENTE","FIDELIZADO"))))</f>
        <v>NOVO</v>
      </c>
      <c r="CB166" s="22" t="n">
        <f aca="false">IF((P166+Q166)&gt;0,1,0)+IF((BR166+BS166)&gt;0,1,0)+IF(BE166&gt;0,1,0)</f>
        <v>0</v>
      </c>
    </row>
    <row r="167" customFormat="false" ht="15" hidden="false" customHeight="true" outlineLevel="0" collapsed="false">
      <c r="A167" s="16" t="s">
        <v>518</v>
      </c>
      <c r="B167" s="17" t="s">
        <v>519</v>
      </c>
      <c r="C167" s="18" t="s">
        <v>61</v>
      </c>
      <c r="D167" s="17" t="s">
        <v>123</v>
      </c>
      <c r="E167" s="29" t="s">
        <v>365</v>
      </c>
      <c r="F167" s="20"/>
      <c r="G167" s="20"/>
      <c r="H167" s="20"/>
      <c r="I167" s="20"/>
      <c r="J167" s="27" t="n">
        <v>761.48</v>
      </c>
      <c r="K167" s="20"/>
      <c r="L167" s="20"/>
      <c r="M167" s="20"/>
      <c r="N167" s="20"/>
      <c r="O167" s="20"/>
      <c r="P167" s="20"/>
      <c r="Q167" s="20"/>
      <c r="R167" s="21" t="n">
        <f aca="false">SUM(F167:Q167)</f>
        <v>761.48</v>
      </c>
      <c r="S167" s="18"/>
      <c r="T167" s="18"/>
      <c r="U167" s="18"/>
      <c r="V167" s="18"/>
      <c r="W167" s="28" t="n">
        <v>1</v>
      </c>
      <c r="X167" s="18"/>
      <c r="Y167" s="18"/>
      <c r="Z167" s="18"/>
      <c r="AA167" s="18"/>
      <c r="AB167" s="18"/>
      <c r="AC167" s="18"/>
      <c r="AD167" s="18"/>
      <c r="AE167" s="22" t="n">
        <f aca="false">SUM(S167:AD167)</f>
        <v>1</v>
      </c>
      <c r="AF167" s="22"/>
      <c r="AG167" s="22"/>
      <c r="AH167" s="22"/>
      <c r="AI167" s="22"/>
      <c r="AJ167" s="29" t="s">
        <v>48</v>
      </c>
      <c r="AK167" s="22"/>
      <c r="AL167" s="22"/>
      <c r="AM167" s="22"/>
      <c r="AN167" s="22"/>
      <c r="AO167" s="22"/>
      <c r="AP167" s="22"/>
      <c r="AQ167" s="22"/>
      <c r="AR167" s="29" t="s">
        <v>48</v>
      </c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22" t="n">
        <f aca="false">SUM(AS167:BD167)</f>
        <v>0</v>
      </c>
      <c r="BF167" s="23"/>
      <c r="BG167" s="24"/>
      <c r="BH167" s="18"/>
      <c r="BI167" s="18"/>
      <c r="BJ167" s="18"/>
      <c r="BK167" s="25" t="n">
        <v>1</v>
      </c>
      <c r="BL167" s="25" t="n">
        <v>2</v>
      </c>
      <c r="BM167" s="25" t="n">
        <v>1</v>
      </c>
      <c r="BN167" s="18"/>
      <c r="BO167" s="18"/>
      <c r="BP167" s="25" t="n">
        <v>2</v>
      </c>
      <c r="BQ167" s="18"/>
      <c r="BR167" s="18"/>
      <c r="BS167" s="25" t="n">
        <v>3</v>
      </c>
      <c r="BT167" s="22" t="n">
        <f aca="false">SUM(BH167:BS167)</f>
        <v>9</v>
      </c>
      <c r="BU167" s="26" t="n">
        <v>46057.4826388889</v>
      </c>
      <c r="BV167" s="17"/>
      <c r="BW167" s="17" t="s">
        <v>44</v>
      </c>
      <c r="BX167" s="23" t="n">
        <f aca="false">IFERROR(R167/AE167,0)</f>
        <v>761.48</v>
      </c>
      <c r="BY167" s="23" t="n">
        <f aca="false">IFERROR(R167/12,0)</f>
        <v>63.4566666666667</v>
      </c>
      <c r="BZ167" s="18" t="n">
        <v>0</v>
      </c>
      <c r="CA167" s="22" t="str">
        <f aca="false">IF(AE167=0,"PROSPECT",IF(AE167=1,"NOVO",IF(AE167&lt;=3,"EM DESENV.",IF(AE167&lt;=6,"RECORRENTE","FIDELIZADO"))))</f>
        <v>NOVO</v>
      </c>
      <c r="CB167" s="22" t="n">
        <f aca="false">IF((P167+Q167)&gt;0,1,0)+IF((BR167+BS167)&gt;0,1,0)+IF(BE167&gt;0,1,0)</f>
        <v>1</v>
      </c>
    </row>
    <row r="168" customFormat="false" ht="15" hidden="false" customHeight="true" outlineLevel="0" collapsed="false">
      <c r="A168" s="16" t="s">
        <v>520</v>
      </c>
      <c r="B168" s="17" t="s">
        <v>521</v>
      </c>
      <c r="C168" s="18" t="s">
        <v>168</v>
      </c>
      <c r="D168" s="17" t="s">
        <v>522</v>
      </c>
      <c r="E168" s="29" t="s">
        <v>365</v>
      </c>
      <c r="F168" s="20"/>
      <c r="G168" s="20"/>
      <c r="H168" s="20"/>
      <c r="I168" s="20"/>
      <c r="J168" s="20"/>
      <c r="K168" s="20"/>
      <c r="L168" s="27" t="n">
        <v>16230.4</v>
      </c>
      <c r="M168" s="20"/>
      <c r="N168" s="20"/>
      <c r="O168" s="20"/>
      <c r="P168" s="20"/>
      <c r="Q168" s="20"/>
      <c r="R168" s="21" t="n">
        <f aca="false">SUM(F168:Q168)</f>
        <v>16230.4</v>
      </c>
      <c r="S168" s="18"/>
      <c r="T168" s="18"/>
      <c r="U168" s="18"/>
      <c r="V168" s="18"/>
      <c r="W168" s="18"/>
      <c r="X168" s="18"/>
      <c r="Y168" s="28" t="n">
        <v>1</v>
      </c>
      <c r="Z168" s="18"/>
      <c r="AA168" s="18"/>
      <c r="AB168" s="18"/>
      <c r="AC168" s="18"/>
      <c r="AD168" s="18"/>
      <c r="AE168" s="22" t="n">
        <f aca="false">SUM(S168:AD168)</f>
        <v>1</v>
      </c>
      <c r="AF168" s="22"/>
      <c r="AG168" s="22"/>
      <c r="AH168" s="22"/>
      <c r="AI168" s="22"/>
      <c r="AJ168" s="22"/>
      <c r="AK168" s="22"/>
      <c r="AL168" s="19" t="s">
        <v>50</v>
      </c>
      <c r="AM168" s="22"/>
      <c r="AN168" s="22"/>
      <c r="AO168" s="22"/>
      <c r="AP168" s="22"/>
      <c r="AQ168" s="22"/>
      <c r="AR168" s="19" t="s">
        <v>50</v>
      </c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22" t="n">
        <f aca="false">SUM(AS168:BD168)</f>
        <v>0</v>
      </c>
      <c r="BF168" s="23"/>
      <c r="BG168" s="24"/>
      <c r="BH168" s="18"/>
      <c r="BI168" s="18"/>
      <c r="BJ168" s="18"/>
      <c r="BK168" s="18"/>
      <c r="BL168" s="25" t="n">
        <v>3</v>
      </c>
      <c r="BM168" s="18"/>
      <c r="BN168" s="18"/>
      <c r="BO168" s="25" t="n">
        <v>1</v>
      </c>
      <c r="BP168" s="18"/>
      <c r="BQ168" s="18"/>
      <c r="BR168" s="25" t="n">
        <v>2</v>
      </c>
      <c r="BS168" s="18"/>
      <c r="BT168" s="22" t="n">
        <f aca="false">SUM(BH168:BS168)</f>
        <v>6</v>
      </c>
      <c r="BU168" s="26" t="n">
        <v>46036.575</v>
      </c>
      <c r="BV168" s="17" t="s">
        <v>378</v>
      </c>
      <c r="BW168" s="17" t="s">
        <v>44</v>
      </c>
      <c r="BX168" s="23" t="n">
        <f aca="false">IFERROR(R168/AE168,0)</f>
        <v>16230.4</v>
      </c>
      <c r="BY168" s="23" t="n">
        <f aca="false">IFERROR(R168/12,0)</f>
        <v>1352.53333333333</v>
      </c>
      <c r="BZ168" s="18" t="n">
        <v>0</v>
      </c>
      <c r="CA168" s="22" t="str">
        <f aca="false">IF(AE168=0,"PROSPECT",IF(AE168=1,"NOVO",IF(AE168&lt;=3,"EM DESENV.",IF(AE168&lt;=6,"RECORRENTE","FIDELIZADO"))))</f>
        <v>NOVO</v>
      </c>
      <c r="CB168" s="22" t="n">
        <f aca="false">IF((P168+Q168)&gt;0,1,0)+IF((BR168+BS168)&gt;0,1,0)+IF(BE168&gt;0,1,0)</f>
        <v>1</v>
      </c>
    </row>
    <row r="169" customFormat="false" ht="15" hidden="false" customHeight="true" outlineLevel="0" collapsed="false">
      <c r="A169" s="16" t="s">
        <v>523</v>
      </c>
      <c r="B169" s="17" t="s">
        <v>524</v>
      </c>
      <c r="C169" s="18" t="s">
        <v>41</v>
      </c>
      <c r="D169" s="17" t="s">
        <v>525</v>
      </c>
      <c r="E169" s="29" t="s">
        <v>365</v>
      </c>
      <c r="F169" s="20"/>
      <c r="G169" s="20"/>
      <c r="H169" s="20"/>
      <c r="I169" s="20"/>
      <c r="J169" s="20"/>
      <c r="K169" s="20"/>
      <c r="L169" s="27" t="n">
        <v>1618.97</v>
      </c>
      <c r="M169" s="20"/>
      <c r="N169" s="20"/>
      <c r="O169" s="20"/>
      <c r="P169" s="20"/>
      <c r="Q169" s="20"/>
      <c r="R169" s="21" t="n">
        <f aca="false">SUM(F169:Q169)</f>
        <v>1618.97</v>
      </c>
      <c r="S169" s="18"/>
      <c r="T169" s="18"/>
      <c r="U169" s="18"/>
      <c r="V169" s="18"/>
      <c r="W169" s="18"/>
      <c r="X169" s="18"/>
      <c r="Y169" s="28" t="n">
        <v>1</v>
      </c>
      <c r="Z169" s="18"/>
      <c r="AA169" s="18"/>
      <c r="AB169" s="18"/>
      <c r="AC169" s="18"/>
      <c r="AD169" s="18"/>
      <c r="AE169" s="22" t="n">
        <f aca="false">SUM(S169:AD169)</f>
        <v>1</v>
      </c>
      <c r="AF169" s="22"/>
      <c r="AG169" s="22"/>
      <c r="AH169" s="22"/>
      <c r="AI169" s="22"/>
      <c r="AJ169" s="22"/>
      <c r="AK169" s="22"/>
      <c r="AL169" s="19" t="s">
        <v>50</v>
      </c>
      <c r="AM169" s="22"/>
      <c r="AN169" s="22"/>
      <c r="AO169" s="22"/>
      <c r="AP169" s="22"/>
      <c r="AQ169" s="22"/>
      <c r="AR169" s="30" t="s">
        <v>49</v>
      </c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22" t="n">
        <f aca="false">SUM(AS169:BD169)</f>
        <v>0</v>
      </c>
      <c r="BF169" s="23"/>
      <c r="BG169" s="24"/>
      <c r="BH169" s="18"/>
      <c r="BI169" s="18"/>
      <c r="BJ169" s="18"/>
      <c r="BK169" s="18"/>
      <c r="BL169" s="18"/>
      <c r="BM169" s="18"/>
      <c r="BN169" s="25" t="n">
        <v>1</v>
      </c>
      <c r="BO169" s="18"/>
      <c r="BP169" s="18"/>
      <c r="BQ169" s="18"/>
      <c r="BR169" s="18"/>
      <c r="BS169" s="18"/>
      <c r="BT169" s="22" t="n">
        <f aca="false">SUM(BH169:BS169)</f>
        <v>1</v>
      </c>
      <c r="BU169" s="26" t="n">
        <v>45930.3916666667</v>
      </c>
      <c r="BV169" s="17" t="s">
        <v>526</v>
      </c>
      <c r="BW169" s="17" t="s">
        <v>44</v>
      </c>
      <c r="BX169" s="23" t="n">
        <f aca="false">IFERROR(R169/AE169,0)</f>
        <v>1618.97</v>
      </c>
      <c r="BY169" s="23" t="n">
        <f aca="false">IFERROR(R169/12,0)</f>
        <v>134.914166666667</v>
      </c>
      <c r="BZ169" s="18" t="n">
        <v>0</v>
      </c>
      <c r="CA169" s="22" t="str">
        <f aca="false">IF(AE169=0,"PROSPECT",IF(AE169=1,"NOVO",IF(AE169&lt;=3,"EM DESENV.",IF(AE169&lt;=6,"RECORRENTE","FIDELIZADO"))))</f>
        <v>NOVO</v>
      </c>
      <c r="CB169" s="22" t="n">
        <f aca="false">IF((P169+Q169)&gt;0,1,0)+IF((BR169+BS169)&gt;0,1,0)+IF(BE169&gt;0,1,0)</f>
        <v>0</v>
      </c>
    </row>
    <row r="170" customFormat="false" ht="15" hidden="false" customHeight="true" outlineLevel="0" collapsed="false">
      <c r="A170" s="16" t="s">
        <v>527</v>
      </c>
      <c r="B170" s="17" t="s">
        <v>528</v>
      </c>
      <c r="C170" s="18" t="s">
        <v>61</v>
      </c>
      <c r="D170" s="17" t="s">
        <v>210</v>
      </c>
      <c r="E170" s="29" t="s">
        <v>365</v>
      </c>
      <c r="F170" s="20"/>
      <c r="G170" s="20"/>
      <c r="H170" s="20"/>
      <c r="I170" s="20"/>
      <c r="J170" s="27" t="n">
        <v>960.27</v>
      </c>
      <c r="K170" s="20"/>
      <c r="L170" s="20"/>
      <c r="M170" s="20"/>
      <c r="N170" s="20"/>
      <c r="O170" s="20"/>
      <c r="P170" s="20"/>
      <c r="Q170" s="20"/>
      <c r="R170" s="21" t="n">
        <f aca="false">SUM(F170:Q170)</f>
        <v>960.27</v>
      </c>
      <c r="S170" s="18"/>
      <c r="T170" s="18"/>
      <c r="U170" s="18"/>
      <c r="V170" s="18"/>
      <c r="W170" s="28" t="n">
        <v>1</v>
      </c>
      <c r="X170" s="18"/>
      <c r="Y170" s="18"/>
      <c r="Z170" s="18"/>
      <c r="AA170" s="18"/>
      <c r="AB170" s="18"/>
      <c r="AC170" s="18"/>
      <c r="AD170" s="18"/>
      <c r="AE170" s="22" t="n">
        <f aca="false">SUM(S170:AD170)</f>
        <v>1</v>
      </c>
      <c r="AF170" s="22"/>
      <c r="AG170" s="22"/>
      <c r="AH170" s="22"/>
      <c r="AI170" s="22"/>
      <c r="AJ170" s="30" t="s">
        <v>49</v>
      </c>
      <c r="AK170" s="22"/>
      <c r="AL170" s="22"/>
      <c r="AM170" s="22"/>
      <c r="AN170" s="22"/>
      <c r="AO170" s="22"/>
      <c r="AP170" s="22"/>
      <c r="AQ170" s="22"/>
      <c r="AR170" s="29" t="s">
        <v>48</v>
      </c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22" t="n">
        <f aca="false">SUM(AS170:BD170)</f>
        <v>0</v>
      </c>
      <c r="BF170" s="23"/>
      <c r="BG170" s="24"/>
      <c r="BH170" s="18"/>
      <c r="BI170" s="18"/>
      <c r="BJ170" s="25" t="n">
        <v>1</v>
      </c>
      <c r="BK170" s="18"/>
      <c r="BL170" s="25" t="n">
        <v>1</v>
      </c>
      <c r="BM170" s="18"/>
      <c r="BN170" s="18"/>
      <c r="BO170" s="25" t="n">
        <v>1</v>
      </c>
      <c r="BP170" s="25" t="n">
        <v>1</v>
      </c>
      <c r="BQ170" s="18"/>
      <c r="BR170" s="18"/>
      <c r="BS170" s="25" t="n">
        <v>2</v>
      </c>
      <c r="BT170" s="22" t="n">
        <f aca="false">SUM(BH170:BS170)</f>
        <v>6</v>
      </c>
      <c r="BU170" s="26" t="n">
        <v>46057.4847222222</v>
      </c>
      <c r="BV170" s="17"/>
      <c r="BW170" s="17" t="s">
        <v>111</v>
      </c>
      <c r="BX170" s="23" t="n">
        <f aca="false">IFERROR(R170/AE170,0)</f>
        <v>960.27</v>
      </c>
      <c r="BY170" s="23" t="n">
        <f aca="false">IFERROR(R170/12,0)</f>
        <v>80.0225</v>
      </c>
      <c r="BZ170" s="18" t="n">
        <v>0</v>
      </c>
      <c r="CA170" s="22" t="str">
        <f aca="false">IF(AE170=0,"PROSPECT",IF(AE170=1,"NOVO",IF(AE170&lt;=3,"EM DESENV.",IF(AE170&lt;=6,"RECORRENTE","FIDELIZADO"))))</f>
        <v>NOVO</v>
      </c>
      <c r="CB170" s="22" t="n">
        <f aca="false">IF((P170+Q170)&gt;0,1,0)+IF((BR170+BS170)&gt;0,1,0)+IF(BE170&gt;0,1,0)</f>
        <v>1</v>
      </c>
    </row>
    <row r="171" customFormat="false" ht="15" hidden="false" customHeight="true" outlineLevel="0" collapsed="false">
      <c r="A171" s="16" t="s">
        <v>529</v>
      </c>
      <c r="B171" s="17" t="s">
        <v>530</v>
      </c>
      <c r="C171" s="18" t="s">
        <v>41</v>
      </c>
      <c r="D171" s="17" t="s">
        <v>531</v>
      </c>
      <c r="E171" s="29" t="s">
        <v>365</v>
      </c>
      <c r="F171" s="20"/>
      <c r="G171" s="20"/>
      <c r="H171" s="20"/>
      <c r="I171" s="27" t="n">
        <v>678.53</v>
      </c>
      <c r="J171" s="20"/>
      <c r="K171" s="20"/>
      <c r="L171" s="20"/>
      <c r="M171" s="20"/>
      <c r="N171" s="20"/>
      <c r="O171" s="20"/>
      <c r="P171" s="20"/>
      <c r="Q171" s="20"/>
      <c r="R171" s="21" t="n">
        <f aca="false">SUM(F171:Q171)</f>
        <v>678.53</v>
      </c>
      <c r="S171" s="18"/>
      <c r="T171" s="18"/>
      <c r="U171" s="18"/>
      <c r="V171" s="28" t="n">
        <v>1</v>
      </c>
      <c r="W171" s="18"/>
      <c r="X171" s="18"/>
      <c r="Y171" s="18"/>
      <c r="Z171" s="18"/>
      <c r="AA171" s="18"/>
      <c r="AB171" s="18"/>
      <c r="AC171" s="18"/>
      <c r="AD171" s="18"/>
      <c r="AE171" s="22" t="n">
        <f aca="false">SUM(S171:AD171)</f>
        <v>1</v>
      </c>
      <c r="AF171" s="22"/>
      <c r="AG171" s="22"/>
      <c r="AH171" s="22"/>
      <c r="AI171" s="29" t="s">
        <v>48</v>
      </c>
      <c r="AJ171" s="22"/>
      <c r="AK171" s="22"/>
      <c r="AL171" s="22"/>
      <c r="AM171" s="22"/>
      <c r="AN171" s="22"/>
      <c r="AO171" s="22"/>
      <c r="AP171" s="22"/>
      <c r="AQ171" s="22"/>
      <c r="AR171" s="29" t="s">
        <v>48</v>
      </c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22" t="n">
        <f aca="false">SUM(AS171:BD171)</f>
        <v>0</v>
      </c>
      <c r="BF171" s="23"/>
      <c r="BG171" s="24"/>
      <c r="BH171" s="18"/>
      <c r="BI171" s="18"/>
      <c r="BJ171" s="18"/>
      <c r="BK171" s="25" t="n">
        <v>3</v>
      </c>
      <c r="BL171" s="25" t="n">
        <v>1</v>
      </c>
      <c r="BM171" s="18"/>
      <c r="BN171" s="18"/>
      <c r="BO171" s="18"/>
      <c r="BP171" s="25" t="n">
        <v>1</v>
      </c>
      <c r="BQ171" s="18"/>
      <c r="BR171" s="18"/>
      <c r="BS171" s="25" t="n">
        <v>2</v>
      </c>
      <c r="BT171" s="22" t="n">
        <f aca="false">SUM(BH171:BS171)</f>
        <v>7</v>
      </c>
      <c r="BU171" s="26" t="n">
        <v>46057.4805555556</v>
      </c>
      <c r="BV171" s="17"/>
      <c r="BW171" s="17" t="s">
        <v>44</v>
      </c>
      <c r="BX171" s="23" t="n">
        <f aca="false">IFERROR(R171/AE171,0)</f>
        <v>678.53</v>
      </c>
      <c r="BY171" s="23" t="n">
        <f aca="false">IFERROR(R171/12,0)</f>
        <v>56.5441666666667</v>
      </c>
      <c r="BZ171" s="18" t="n">
        <v>0</v>
      </c>
      <c r="CA171" s="22" t="str">
        <f aca="false">IF(AE171=0,"PROSPECT",IF(AE171=1,"NOVO",IF(AE171&lt;=3,"EM DESENV.",IF(AE171&lt;=6,"RECORRENTE","FIDELIZADO"))))</f>
        <v>NOVO</v>
      </c>
      <c r="CB171" s="22" t="n">
        <f aca="false">IF((P171+Q171)&gt;0,1,0)+IF((BR171+BS171)&gt;0,1,0)+IF(BE171&gt;0,1,0)</f>
        <v>1</v>
      </c>
    </row>
    <row r="172" customFormat="false" ht="15" hidden="false" customHeight="true" outlineLevel="0" collapsed="false">
      <c r="A172" s="16" t="s">
        <v>532</v>
      </c>
      <c r="B172" s="17" t="s">
        <v>533</v>
      </c>
      <c r="C172" s="18" t="s">
        <v>168</v>
      </c>
      <c r="D172" s="17" t="s">
        <v>288</v>
      </c>
      <c r="E172" s="29" t="s">
        <v>365</v>
      </c>
      <c r="F172" s="20"/>
      <c r="G172" s="20"/>
      <c r="H172" s="20"/>
      <c r="I172" s="20"/>
      <c r="J172" s="20"/>
      <c r="K172" s="27" t="n">
        <v>658.55</v>
      </c>
      <c r="L172" s="20"/>
      <c r="M172" s="20"/>
      <c r="N172" s="20"/>
      <c r="O172" s="20"/>
      <c r="P172" s="20"/>
      <c r="Q172" s="20"/>
      <c r="R172" s="21" t="n">
        <f aca="false">SUM(F172:Q172)</f>
        <v>658.55</v>
      </c>
      <c r="S172" s="18"/>
      <c r="T172" s="18"/>
      <c r="U172" s="18"/>
      <c r="V172" s="18"/>
      <c r="W172" s="18"/>
      <c r="X172" s="28" t="n">
        <v>1</v>
      </c>
      <c r="Y172" s="18"/>
      <c r="Z172" s="18"/>
      <c r="AA172" s="18"/>
      <c r="AB172" s="18"/>
      <c r="AC172" s="18"/>
      <c r="AD172" s="18"/>
      <c r="AE172" s="22" t="n">
        <f aca="false">SUM(S172:AD172)</f>
        <v>1</v>
      </c>
      <c r="AF172" s="22"/>
      <c r="AG172" s="22"/>
      <c r="AH172" s="22"/>
      <c r="AI172" s="22"/>
      <c r="AJ172" s="22"/>
      <c r="AK172" s="29" t="s">
        <v>48</v>
      </c>
      <c r="AL172" s="22"/>
      <c r="AM172" s="22"/>
      <c r="AN172" s="22"/>
      <c r="AO172" s="22"/>
      <c r="AP172" s="22"/>
      <c r="AQ172" s="22"/>
      <c r="AR172" s="29" t="s">
        <v>48</v>
      </c>
      <c r="AS172" s="18"/>
      <c r="AT172" s="18"/>
      <c r="AU172" s="18"/>
      <c r="AV172" s="18"/>
      <c r="AW172" s="18"/>
      <c r="AX172" s="25" t="n">
        <v>8</v>
      </c>
      <c r="AY172" s="18"/>
      <c r="AZ172" s="18"/>
      <c r="BA172" s="18"/>
      <c r="BB172" s="18"/>
      <c r="BC172" s="18"/>
      <c r="BD172" s="18"/>
      <c r="BE172" s="22" t="n">
        <f aca="false">SUM(AS172:BD172)</f>
        <v>8</v>
      </c>
      <c r="BF172" s="23" t="n">
        <v>658.55</v>
      </c>
      <c r="BG172" s="19" t="s">
        <v>55</v>
      </c>
      <c r="BH172" s="18"/>
      <c r="BI172" s="18"/>
      <c r="BJ172" s="18"/>
      <c r="BK172" s="18"/>
      <c r="BL172" s="25" t="n">
        <v>3</v>
      </c>
      <c r="BM172" s="18"/>
      <c r="BN172" s="18"/>
      <c r="BO172" s="25" t="n">
        <v>2</v>
      </c>
      <c r="BP172" s="18"/>
      <c r="BQ172" s="18"/>
      <c r="BR172" s="25" t="n">
        <v>2</v>
      </c>
      <c r="BS172" s="18"/>
      <c r="BT172" s="22" t="n">
        <f aca="false">SUM(BH172:BS172)</f>
        <v>7</v>
      </c>
      <c r="BU172" s="26" t="n">
        <v>46036.6291666667</v>
      </c>
      <c r="BV172" s="17" t="s">
        <v>378</v>
      </c>
      <c r="BW172" s="17" t="s">
        <v>44</v>
      </c>
      <c r="BX172" s="23" t="n">
        <f aca="false">IFERROR(R172/AE172,0)</f>
        <v>658.55</v>
      </c>
      <c r="BY172" s="23" t="n">
        <f aca="false">IFERROR(R172/12,0)</f>
        <v>54.8791666666667</v>
      </c>
      <c r="BZ172" s="18" t="n">
        <v>0</v>
      </c>
      <c r="CA172" s="22" t="str">
        <f aca="false">IF(AE172=0,"PROSPECT",IF(AE172=1,"NOVO",IF(AE172&lt;=3,"EM DESENV.",IF(AE172&lt;=6,"RECORRENTE","FIDELIZADO"))))</f>
        <v>NOVO</v>
      </c>
      <c r="CB172" s="22" t="n">
        <f aca="false">IF((P172+Q172)&gt;0,1,0)+IF((BR172+BS172)&gt;0,1,0)+IF(BE172&gt;0,1,0)</f>
        <v>2</v>
      </c>
    </row>
    <row r="173" customFormat="false" ht="15" hidden="false" customHeight="true" outlineLevel="0" collapsed="false">
      <c r="A173" s="16" t="s">
        <v>534</v>
      </c>
      <c r="B173" s="17" t="s">
        <v>535</v>
      </c>
      <c r="C173" s="18" t="s">
        <v>53</v>
      </c>
      <c r="D173" s="17" t="s">
        <v>536</v>
      </c>
      <c r="E173" s="29" t="s">
        <v>365</v>
      </c>
      <c r="F173" s="20"/>
      <c r="G173" s="20"/>
      <c r="H173" s="27" t="n">
        <v>5621.77</v>
      </c>
      <c r="I173" s="20"/>
      <c r="J173" s="20"/>
      <c r="K173" s="27" t="n">
        <v>2571.82</v>
      </c>
      <c r="L173" s="20"/>
      <c r="M173" s="27" t="n">
        <v>4770.31</v>
      </c>
      <c r="N173" s="27" t="n">
        <v>3060.88</v>
      </c>
      <c r="O173" s="20"/>
      <c r="P173" s="20"/>
      <c r="Q173" s="20"/>
      <c r="R173" s="21" t="n">
        <f aca="false">SUM(F173:Q173)</f>
        <v>16024.78</v>
      </c>
      <c r="S173" s="18"/>
      <c r="T173" s="18"/>
      <c r="U173" s="28" t="n">
        <v>1</v>
      </c>
      <c r="V173" s="18"/>
      <c r="W173" s="18"/>
      <c r="X173" s="28" t="n">
        <v>1</v>
      </c>
      <c r="Y173" s="18"/>
      <c r="Z173" s="28" t="n">
        <v>1</v>
      </c>
      <c r="AA173" s="28" t="n">
        <v>1</v>
      </c>
      <c r="AB173" s="18"/>
      <c r="AC173" s="18"/>
      <c r="AD173" s="18"/>
      <c r="AE173" s="22" t="n">
        <f aca="false">SUM(S173:AD173)</f>
        <v>4</v>
      </c>
      <c r="AF173" s="22"/>
      <c r="AG173" s="22"/>
      <c r="AH173" s="19" t="s">
        <v>50</v>
      </c>
      <c r="AI173" s="22"/>
      <c r="AJ173" s="22"/>
      <c r="AK173" s="19" t="s">
        <v>50</v>
      </c>
      <c r="AL173" s="22"/>
      <c r="AM173" s="19" t="s">
        <v>50</v>
      </c>
      <c r="AN173" s="19" t="s">
        <v>50</v>
      </c>
      <c r="AO173" s="22"/>
      <c r="AP173" s="22"/>
      <c r="AQ173" s="22"/>
      <c r="AR173" s="19" t="s">
        <v>50</v>
      </c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22" t="n">
        <f aca="false">SUM(AS173:BD173)</f>
        <v>0</v>
      </c>
      <c r="BF173" s="23"/>
      <c r="BG173" s="24"/>
      <c r="BH173" s="18"/>
      <c r="BI173" s="18"/>
      <c r="BJ173" s="25" t="n">
        <v>1</v>
      </c>
      <c r="BK173" s="18"/>
      <c r="BL173" s="25" t="n">
        <v>1</v>
      </c>
      <c r="BM173" s="18"/>
      <c r="BN173" s="18"/>
      <c r="BO173" s="18"/>
      <c r="BP173" s="25" t="n">
        <v>1</v>
      </c>
      <c r="BQ173" s="18"/>
      <c r="BR173" s="25" t="n">
        <v>1</v>
      </c>
      <c r="BS173" s="25" t="n">
        <v>6</v>
      </c>
      <c r="BT173" s="22" t="n">
        <f aca="false">SUM(BH173:BS173)</f>
        <v>10</v>
      </c>
      <c r="BU173" s="26" t="n">
        <v>46056.7208333333</v>
      </c>
      <c r="BV173" s="17"/>
      <c r="BW173" s="17" t="s">
        <v>44</v>
      </c>
      <c r="BX173" s="23" t="n">
        <f aca="false">IFERROR(R173/AE173,0)</f>
        <v>4006.195</v>
      </c>
      <c r="BY173" s="23" t="n">
        <f aca="false">IFERROR(R173/12,0)</f>
        <v>1335.39833333333</v>
      </c>
      <c r="BZ173" s="18" t="n">
        <v>56.6667</v>
      </c>
      <c r="CA173" s="22" t="str">
        <f aca="false">IF(AE173=0,"PROSPECT",IF(AE173=1,"NOVO",IF(AE173&lt;=3,"EM DESENV.",IF(AE173&lt;=6,"RECORRENTE","FIDELIZADO"))))</f>
        <v>RECORRENTE</v>
      </c>
      <c r="CB173" s="22" t="n">
        <f aca="false">IF((P173+Q173)&gt;0,1,0)+IF((BR173+BS173)&gt;0,1,0)+IF(BE173&gt;0,1,0)</f>
        <v>1</v>
      </c>
    </row>
    <row r="174" customFormat="false" ht="15" hidden="false" customHeight="true" outlineLevel="0" collapsed="false">
      <c r="A174" s="16" t="s">
        <v>537</v>
      </c>
      <c r="B174" s="17" t="s">
        <v>538</v>
      </c>
      <c r="C174" s="18" t="s">
        <v>65</v>
      </c>
      <c r="D174" s="17" t="s">
        <v>66</v>
      </c>
      <c r="E174" s="29" t="s">
        <v>365</v>
      </c>
      <c r="F174" s="20"/>
      <c r="G174" s="20"/>
      <c r="H174" s="20"/>
      <c r="I174" s="20"/>
      <c r="J174" s="20"/>
      <c r="K174" s="20"/>
      <c r="L174" s="20"/>
      <c r="M174" s="20"/>
      <c r="N174" s="27" t="n">
        <v>3830.17</v>
      </c>
      <c r="O174" s="20"/>
      <c r="P174" s="20"/>
      <c r="Q174" s="20"/>
      <c r="R174" s="21" t="n">
        <f aca="false">SUM(F174:Q174)</f>
        <v>3830.17</v>
      </c>
      <c r="S174" s="18"/>
      <c r="T174" s="18"/>
      <c r="U174" s="18"/>
      <c r="V174" s="18"/>
      <c r="W174" s="18"/>
      <c r="X174" s="18"/>
      <c r="Y174" s="18"/>
      <c r="Z174" s="18"/>
      <c r="AA174" s="28" t="n">
        <v>1</v>
      </c>
      <c r="AB174" s="18"/>
      <c r="AC174" s="18"/>
      <c r="AD174" s="18"/>
      <c r="AE174" s="22" t="n">
        <f aca="false">SUM(S174:AD174)</f>
        <v>1</v>
      </c>
      <c r="AF174" s="22"/>
      <c r="AG174" s="22"/>
      <c r="AH174" s="22"/>
      <c r="AI174" s="22"/>
      <c r="AJ174" s="22"/>
      <c r="AK174" s="22"/>
      <c r="AL174" s="22"/>
      <c r="AM174" s="22"/>
      <c r="AN174" s="19" t="s">
        <v>50</v>
      </c>
      <c r="AO174" s="22"/>
      <c r="AP174" s="22"/>
      <c r="AQ174" s="22"/>
      <c r="AR174" s="19" t="s">
        <v>50</v>
      </c>
      <c r="AS174" s="18"/>
      <c r="AT174" s="18"/>
      <c r="AU174" s="18"/>
      <c r="AV174" s="18"/>
      <c r="AW174" s="18"/>
      <c r="AX174" s="18"/>
      <c r="AY174" s="18"/>
      <c r="AZ174" s="18"/>
      <c r="BA174" s="25" t="n">
        <v>1</v>
      </c>
      <c r="BB174" s="18"/>
      <c r="BC174" s="25" t="n">
        <v>1</v>
      </c>
      <c r="BD174" s="18"/>
      <c r="BE174" s="22" t="n">
        <f aca="false">SUM(AS174:BD174)</f>
        <v>2</v>
      </c>
      <c r="BF174" s="23" t="n">
        <v>3830.17</v>
      </c>
      <c r="BG174" s="19" t="s">
        <v>55</v>
      </c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22" t="n">
        <f aca="false">SUM(BH174:BS174)</f>
        <v>0</v>
      </c>
      <c r="BU174" s="26"/>
      <c r="BV174" s="17"/>
      <c r="BW174" s="17"/>
      <c r="BX174" s="23" t="n">
        <f aca="false">IFERROR(R174/AE174,0)</f>
        <v>3830.17</v>
      </c>
      <c r="BY174" s="23" t="n">
        <f aca="false">IFERROR(R174/12,0)</f>
        <v>319.180833333333</v>
      </c>
      <c r="BZ174" s="18" t="n">
        <v>0</v>
      </c>
      <c r="CA174" s="22" t="str">
        <f aca="false">IF(AE174=0,"PROSPECT",IF(AE174=1,"NOVO",IF(AE174&lt;=3,"EM DESENV.",IF(AE174&lt;=6,"RECORRENTE","FIDELIZADO"))))</f>
        <v>NOVO</v>
      </c>
      <c r="CB174" s="22" t="n">
        <f aca="false">IF((P174+Q174)&gt;0,1,0)+IF((BR174+BS174)&gt;0,1,0)+IF(BE174&gt;0,1,0)</f>
        <v>1</v>
      </c>
    </row>
    <row r="175" customFormat="false" ht="15" hidden="false" customHeight="true" outlineLevel="0" collapsed="false">
      <c r="A175" s="16" t="s">
        <v>539</v>
      </c>
      <c r="B175" s="17" t="s">
        <v>540</v>
      </c>
      <c r="C175" s="18" t="s">
        <v>155</v>
      </c>
      <c r="D175" s="17" t="s">
        <v>341</v>
      </c>
      <c r="E175" s="29" t="s">
        <v>365</v>
      </c>
      <c r="F175" s="20"/>
      <c r="G175" s="20"/>
      <c r="H175" s="20"/>
      <c r="I175" s="20"/>
      <c r="J175" s="20"/>
      <c r="K175" s="20"/>
      <c r="L175" s="27" t="n">
        <v>655.21</v>
      </c>
      <c r="M175" s="27" t="n">
        <v>565.37</v>
      </c>
      <c r="N175" s="20"/>
      <c r="O175" s="20"/>
      <c r="P175" s="20"/>
      <c r="Q175" s="20"/>
      <c r="R175" s="21" t="n">
        <f aca="false">SUM(F175:Q175)</f>
        <v>1220.58</v>
      </c>
      <c r="S175" s="18"/>
      <c r="T175" s="18"/>
      <c r="U175" s="18"/>
      <c r="V175" s="18"/>
      <c r="W175" s="18"/>
      <c r="X175" s="18"/>
      <c r="Y175" s="28" t="n">
        <v>1</v>
      </c>
      <c r="Z175" s="28" t="n">
        <v>1</v>
      </c>
      <c r="AA175" s="18"/>
      <c r="AB175" s="18"/>
      <c r="AC175" s="18"/>
      <c r="AD175" s="18"/>
      <c r="AE175" s="22" t="n">
        <f aca="false">SUM(S175:AD175)</f>
        <v>2</v>
      </c>
      <c r="AF175" s="22"/>
      <c r="AG175" s="22"/>
      <c r="AH175" s="22"/>
      <c r="AI175" s="22"/>
      <c r="AJ175" s="22"/>
      <c r="AK175" s="22"/>
      <c r="AL175" s="29" t="s">
        <v>48</v>
      </c>
      <c r="AM175" s="29" t="s">
        <v>48</v>
      </c>
      <c r="AN175" s="22"/>
      <c r="AO175" s="22"/>
      <c r="AP175" s="22"/>
      <c r="AQ175" s="22"/>
      <c r="AR175" s="30" t="s">
        <v>49</v>
      </c>
      <c r="AS175" s="18"/>
      <c r="AT175" s="18"/>
      <c r="AU175" s="18"/>
      <c r="AV175" s="18"/>
      <c r="AW175" s="18"/>
      <c r="AX175" s="18"/>
      <c r="AY175" s="25" t="n">
        <v>4</v>
      </c>
      <c r="AZ175" s="18"/>
      <c r="BA175" s="18"/>
      <c r="BB175" s="18"/>
      <c r="BC175" s="18"/>
      <c r="BD175" s="18"/>
      <c r="BE175" s="22" t="n">
        <f aca="false">SUM(AS175:BD175)</f>
        <v>4</v>
      </c>
      <c r="BF175" s="23" t="n">
        <v>655.21</v>
      </c>
      <c r="BG175" s="19" t="s">
        <v>55</v>
      </c>
      <c r="BH175" s="18"/>
      <c r="BI175" s="18"/>
      <c r="BJ175" s="18"/>
      <c r="BK175" s="18"/>
      <c r="BL175" s="18"/>
      <c r="BM175" s="18"/>
      <c r="BN175" s="18"/>
      <c r="BO175" s="25" t="n">
        <v>4</v>
      </c>
      <c r="BP175" s="25" t="n">
        <v>1</v>
      </c>
      <c r="BQ175" s="18"/>
      <c r="BR175" s="25" t="n">
        <v>3</v>
      </c>
      <c r="BS175" s="18"/>
      <c r="BT175" s="22" t="n">
        <f aca="false">SUM(BH175:BS175)</f>
        <v>8</v>
      </c>
      <c r="BU175" s="26" t="n">
        <v>46035.4909953704</v>
      </c>
      <c r="BV175" s="17"/>
      <c r="BW175" s="17" t="s">
        <v>44</v>
      </c>
      <c r="BX175" s="23" t="n">
        <f aca="false">IFERROR(R175/AE175,0)</f>
        <v>610.29</v>
      </c>
      <c r="BY175" s="23" t="n">
        <f aca="false">IFERROR(R175/12,0)</f>
        <v>101.715</v>
      </c>
      <c r="BZ175" s="18" t="n">
        <v>39</v>
      </c>
      <c r="CA175" s="22" t="str">
        <f aca="false">IF(AE175=0,"PROSPECT",IF(AE175=1,"NOVO",IF(AE175&lt;=3,"EM DESENV.",IF(AE175&lt;=6,"RECORRENTE","FIDELIZADO"))))</f>
        <v>EM DESENV.</v>
      </c>
      <c r="CB175" s="22" t="n">
        <f aca="false">IF((P175+Q175)&gt;0,1,0)+IF((BR175+BS175)&gt;0,1,0)+IF(BE175&gt;0,1,0)</f>
        <v>2</v>
      </c>
    </row>
    <row r="176" customFormat="false" ht="15" hidden="false" customHeight="true" outlineLevel="0" collapsed="false">
      <c r="A176" s="16" t="s">
        <v>541</v>
      </c>
      <c r="B176" s="17" t="s">
        <v>542</v>
      </c>
      <c r="C176" s="18" t="s">
        <v>53</v>
      </c>
      <c r="D176" s="17" t="s">
        <v>278</v>
      </c>
      <c r="E176" s="29" t="s">
        <v>365</v>
      </c>
      <c r="F176" s="20"/>
      <c r="G176" s="20"/>
      <c r="H176" s="20"/>
      <c r="I176" s="20"/>
      <c r="J176" s="20"/>
      <c r="K176" s="20"/>
      <c r="L176" s="20"/>
      <c r="M176" s="20"/>
      <c r="N176" s="27" t="n">
        <v>1747.96</v>
      </c>
      <c r="O176" s="20"/>
      <c r="P176" s="20"/>
      <c r="Q176" s="20"/>
      <c r="R176" s="21" t="n">
        <f aca="false">SUM(F176:Q176)</f>
        <v>1747.96</v>
      </c>
      <c r="S176" s="18"/>
      <c r="T176" s="18"/>
      <c r="U176" s="18"/>
      <c r="V176" s="18"/>
      <c r="W176" s="18"/>
      <c r="X176" s="18"/>
      <c r="Y176" s="18"/>
      <c r="Z176" s="18"/>
      <c r="AA176" s="28" t="n">
        <v>1</v>
      </c>
      <c r="AB176" s="18"/>
      <c r="AC176" s="18"/>
      <c r="AD176" s="18"/>
      <c r="AE176" s="22" t="n">
        <f aca="false">SUM(S176:AD176)</f>
        <v>1</v>
      </c>
      <c r="AF176" s="22"/>
      <c r="AG176" s="22"/>
      <c r="AH176" s="22"/>
      <c r="AI176" s="22"/>
      <c r="AJ176" s="22"/>
      <c r="AK176" s="22"/>
      <c r="AL176" s="22"/>
      <c r="AM176" s="22"/>
      <c r="AN176" s="19" t="s">
        <v>50</v>
      </c>
      <c r="AO176" s="22"/>
      <c r="AP176" s="22"/>
      <c r="AQ176" s="22"/>
      <c r="AR176" s="30" t="s">
        <v>49</v>
      </c>
      <c r="AS176" s="18"/>
      <c r="AT176" s="18"/>
      <c r="AU176" s="18"/>
      <c r="AV176" s="18"/>
      <c r="AW176" s="18"/>
      <c r="AX176" s="18"/>
      <c r="AY176" s="18"/>
      <c r="AZ176" s="18"/>
      <c r="BA176" s="25" t="n">
        <v>1</v>
      </c>
      <c r="BB176" s="18"/>
      <c r="BC176" s="18"/>
      <c r="BD176" s="18"/>
      <c r="BE176" s="22" t="n">
        <f aca="false">SUM(AS176:BD176)</f>
        <v>1</v>
      </c>
      <c r="BF176" s="23"/>
      <c r="BG176" s="31" t="s">
        <v>93</v>
      </c>
      <c r="BH176" s="18"/>
      <c r="BI176" s="18"/>
      <c r="BJ176" s="18"/>
      <c r="BK176" s="18"/>
      <c r="BL176" s="18"/>
      <c r="BM176" s="18"/>
      <c r="BN176" s="18"/>
      <c r="BO176" s="18"/>
      <c r="BP176" s="25" t="n">
        <v>2</v>
      </c>
      <c r="BQ176" s="18"/>
      <c r="BR176" s="25" t="n">
        <v>5</v>
      </c>
      <c r="BS176" s="25" t="n">
        <v>3</v>
      </c>
      <c r="BT176" s="22" t="n">
        <f aca="false">SUM(BH176:BS176)</f>
        <v>10</v>
      </c>
      <c r="BU176" s="26" t="n">
        <v>46058.6668287037</v>
      </c>
      <c r="BV176" s="17"/>
      <c r="BW176" s="17" t="s">
        <v>44</v>
      </c>
      <c r="BX176" s="23" t="n">
        <f aca="false">IFERROR(R176/AE176,0)</f>
        <v>1747.96</v>
      </c>
      <c r="BY176" s="23" t="n">
        <f aca="false">IFERROR(R176/12,0)</f>
        <v>145.663333333333</v>
      </c>
      <c r="BZ176" s="18" t="n">
        <v>0</v>
      </c>
      <c r="CA176" s="22" t="str">
        <f aca="false">IF(AE176=0,"PROSPECT",IF(AE176=1,"NOVO",IF(AE176&lt;=3,"EM DESENV.",IF(AE176&lt;=6,"RECORRENTE","FIDELIZADO"))))</f>
        <v>NOVO</v>
      </c>
      <c r="CB176" s="22" t="n">
        <f aca="false">IF((P176+Q176)&gt;0,1,0)+IF((BR176+BS176)&gt;0,1,0)+IF(BE176&gt;0,1,0)</f>
        <v>2</v>
      </c>
    </row>
    <row r="177" customFormat="false" ht="15" hidden="false" customHeight="true" outlineLevel="0" collapsed="false">
      <c r="A177" s="16" t="s">
        <v>543</v>
      </c>
      <c r="B177" s="17" t="s">
        <v>544</v>
      </c>
      <c r="C177" s="18" t="s">
        <v>53</v>
      </c>
      <c r="D177" s="17" t="s">
        <v>234</v>
      </c>
      <c r="E177" s="29" t="s">
        <v>365</v>
      </c>
      <c r="F177" s="20"/>
      <c r="G177" s="20"/>
      <c r="H177" s="20"/>
      <c r="I177" s="20"/>
      <c r="J177" s="20"/>
      <c r="K177" s="20"/>
      <c r="L177" s="27" t="n">
        <v>681.48</v>
      </c>
      <c r="M177" s="20"/>
      <c r="N177" s="20"/>
      <c r="O177" s="20"/>
      <c r="P177" s="20"/>
      <c r="Q177" s="20"/>
      <c r="R177" s="21" t="n">
        <f aca="false">SUM(F177:Q177)</f>
        <v>681.48</v>
      </c>
      <c r="S177" s="18"/>
      <c r="T177" s="18"/>
      <c r="U177" s="18"/>
      <c r="V177" s="18"/>
      <c r="W177" s="18"/>
      <c r="X177" s="18"/>
      <c r="Y177" s="28" t="n">
        <v>1</v>
      </c>
      <c r="Z177" s="18"/>
      <c r="AA177" s="18"/>
      <c r="AB177" s="18"/>
      <c r="AC177" s="18"/>
      <c r="AD177" s="18"/>
      <c r="AE177" s="22" t="n">
        <f aca="false">SUM(S177:AD177)</f>
        <v>1</v>
      </c>
      <c r="AF177" s="22"/>
      <c r="AG177" s="22"/>
      <c r="AH177" s="22"/>
      <c r="AI177" s="22"/>
      <c r="AJ177" s="22"/>
      <c r="AK177" s="22"/>
      <c r="AL177" s="29" t="s">
        <v>48</v>
      </c>
      <c r="AM177" s="22"/>
      <c r="AN177" s="22"/>
      <c r="AO177" s="22"/>
      <c r="AP177" s="22"/>
      <c r="AQ177" s="22"/>
      <c r="AR177" s="29" t="s">
        <v>48</v>
      </c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22" t="n">
        <f aca="false">SUM(AS177:BD177)</f>
        <v>0</v>
      </c>
      <c r="BF177" s="23"/>
      <c r="BG177" s="24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25" t="n">
        <v>1</v>
      </c>
      <c r="BS177" s="18"/>
      <c r="BT177" s="22" t="n">
        <f aca="false">SUM(BH177:BS177)</f>
        <v>1</v>
      </c>
      <c r="BU177" s="26" t="n">
        <v>46036.3972222222</v>
      </c>
      <c r="BV177" s="17" t="s">
        <v>243</v>
      </c>
      <c r="BW177" s="17" t="s">
        <v>44</v>
      </c>
      <c r="BX177" s="23" t="n">
        <f aca="false">IFERROR(R177/AE177,0)</f>
        <v>681.48</v>
      </c>
      <c r="BY177" s="23" t="n">
        <f aca="false">IFERROR(R177/12,0)</f>
        <v>56.79</v>
      </c>
      <c r="BZ177" s="18" t="n">
        <v>0</v>
      </c>
      <c r="CA177" s="22" t="str">
        <f aca="false">IF(AE177=0,"PROSPECT",IF(AE177=1,"NOVO",IF(AE177&lt;=3,"EM DESENV.",IF(AE177&lt;=6,"RECORRENTE","FIDELIZADO"))))</f>
        <v>NOVO</v>
      </c>
      <c r="CB177" s="22" t="n">
        <f aca="false">IF((P177+Q177)&gt;0,1,0)+IF((BR177+BS177)&gt;0,1,0)+IF(BE177&gt;0,1,0)</f>
        <v>1</v>
      </c>
    </row>
    <row r="178" customFormat="false" ht="15" hidden="false" customHeight="true" outlineLevel="0" collapsed="false">
      <c r="A178" s="16" t="s">
        <v>545</v>
      </c>
      <c r="B178" s="17" t="s">
        <v>546</v>
      </c>
      <c r="C178" s="18" t="s">
        <v>61</v>
      </c>
      <c r="D178" s="17" t="s">
        <v>547</v>
      </c>
      <c r="E178" s="29" t="s">
        <v>365</v>
      </c>
      <c r="F178" s="20"/>
      <c r="G178" s="20"/>
      <c r="H178" s="27" t="n">
        <v>659.3</v>
      </c>
      <c r="I178" s="20"/>
      <c r="J178" s="20"/>
      <c r="K178" s="20"/>
      <c r="L178" s="20"/>
      <c r="M178" s="20"/>
      <c r="N178" s="20"/>
      <c r="O178" s="20"/>
      <c r="P178" s="20"/>
      <c r="Q178" s="20"/>
      <c r="R178" s="21" t="n">
        <f aca="false">SUM(F178:Q178)</f>
        <v>659.3</v>
      </c>
      <c r="S178" s="18"/>
      <c r="T178" s="18"/>
      <c r="U178" s="28" t="n">
        <v>1</v>
      </c>
      <c r="V178" s="18"/>
      <c r="W178" s="18"/>
      <c r="X178" s="18"/>
      <c r="Y178" s="18"/>
      <c r="Z178" s="18"/>
      <c r="AA178" s="18"/>
      <c r="AB178" s="18"/>
      <c r="AC178" s="18"/>
      <c r="AD178" s="18"/>
      <c r="AE178" s="22" t="n">
        <f aca="false">SUM(S178:AD178)</f>
        <v>1</v>
      </c>
      <c r="AF178" s="22"/>
      <c r="AG178" s="22"/>
      <c r="AH178" s="29" t="s">
        <v>48</v>
      </c>
      <c r="AI178" s="22"/>
      <c r="AJ178" s="22"/>
      <c r="AK178" s="22"/>
      <c r="AL178" s="22"/>
      <c r="AM178" s="22"/>
      <c r="AN178" s="22"/>
      <c r="AO178" s="22"/>
      <c r="AP178" s="22"/>
      <c r="AQ178" s="22"/>
      <c r="AR178" s="29" t="s">
        <v>48</v>
      </c>
      <c r="AS178" s="18"/>
      <c r="AT178" s="18"/>
      <c r="AU178" s="18"/>
      <c r="AV178" s="18"/>
      <c r="AW178" s="25" t="n">
        <v>11</v>
      </c>
      <c r="AX178" s="25" t="n">
        <v>2</v>
      </c>
      <c r="AY178" s="25" t="n">
        <v>1</v>
      </c>
      <c r="AZ178" s="18"/>
      <c r="BA178" s="18"/>
      <c r="BB178" s="18"/>
      <c r="BC178" s="18"/>
      <c r="BD178" s="18"/>
      <c r="BE178" s="22" t="n">
        <f aca="false">SUM(AS178:BD178)</f>
        <v>14</v>
      </c>
      <c r="BF178" s="23" t="n">
        <v>659.3</v>
      </c>
      <c r="BG178" s="19" t="s">
        <v>55</v>
      </c>
      <c r="BH178" s="18"/>
      <c r="BI178" s="18"/>
      <c r="BJ178" s="18"/>
      <c r="BK178" s="18"/>
      <c r="BL178" s="25" t="n">
        <v>1</v>
      </c>
      <c r="BM178" s="18"/>
      <c r="BN178" s="18"/>
      <c r="BO178" s="18"/>
      <c r="BP178" s="25" t="n">
        <v>1</v>
      </c>
      <c r="BQ178" s="18"/>
      <c r="BR178" s="18"/>
      <c r="BS178" s="25" t="n">
        <v>2</v>
      </c>
      <c r="BT178" s="22" t="n">
        <f aca="false">SUM(BH178:BS178)</f>
        <v>4</v>
      </c>
      <c r="BU178" s="26" t="n">
        <v>46056.7236111111</v>
      </c>
      <c r="BV178" s="17"/>
      <c r="BW178" s="17" t="s">
        <v>117</v>
      </c>
      <c r="BX178" s="23" t="n">
        <f aca="false">IFERROR(R178/AE178,0)</f>
        <v>659.3</v>
      </c>
      <c r="BY178" s="23" t="n">
        <f aca="false">IFERROR(R178/12,0)</f>
        <v>54.9416666666667</v>
      </c>
      <c r="BZ178" s="18" t="n">
        <v>0</v>
      </c>
      <c r="CA178" s="22" t="str">
        <f aca="false">IF(AE178=0,"PROSPECT",IF(AE178=1,"NOVO",IF(AE178&lt;=3,"EM DESENV.",IF(AE178&lt;=6,"RECORRENTE","FIDELIZADO"))))</f>
        <v>NOVO</v>
      </c>
      <c r="CB178" s="22" t="n">
        <f aca="false">IF((P178+Q178)&gt;0,1,0)+IF((BR178+BS178)&gt;0,1,0)+IF(BE178&gt;0,1,0)</f>
        <v>2</v>
      </c>
    </row>
    <row r="179" customFormat="false" ht="15" hidden="false" customHeight="true" outlineLevel="0" collapsed="false">
      <c r="A179" s="16" t="s">
        <v>548</v>
      </c>
      <c r="B179" s="17" t="s">
        <v>549</v>
      </c>
      <c r="C179" s="18" t="s">
        <v>53</v>
      </c>
      <c r="D179" s="17" t="s">
        <v>387</v>
      </c>
      <c r="E179" s="29" t="s">
        <v>365</v>
      </c>
      <c r="F179" s="20"/>
      <c r="G179" s="20"/>
      <c r="H179" s="20"/>
      <c r="I179" s="20"/>
      <c r="J179" s="27" t="n">
        <v>1395.95</v>
      </c>
      <c r="K179" s="27" t="n">
        <v>784.65</v>
      </c>
      <c r="L179" s="20"/>
      <c r="M179" s="20"/>
      <c r="N179" s="20"/>
      <c r="O179" s="20"/>
      <c r="P179" s="20"/>
      <c r="Q179" s="20"/>
      <c r="R179" s="21" t="n">
        <f aca="false">SUM(F179:Q179)</f>
        <v>2180.6</v>
      </c>
      <c r="S179" s="18"/>
      <c r="T179" s="18"/>
      <c r="U179" s="18"/>
      <c r="V179" s="18"/>
      <c r="W179" s="28" t="n">
        <v>1</v>
      </c>
      <c r="X179" s="28" t="n">
        <v>1</v>
      </c>
      <c r="Y179" s="18"/>
      <c r="Z179" s="18"/>
      <c r="AA179" s="18"/>
      <c r="AB179" s="18"/>
      <c r="AC179" s="18"/>
      <c r="AD179" s="18"/>
      <c r="AE179" s="22" t="n">
        <f aca="false">SUM(S179:AD179)</f>
        <v>2</v>
      </c>
      <c r="AF179" s="22"/>
      <c r="AG179" s="22"/>
      <c r="AH179" s="22"/>
      <c r="AI179" s="22"/>
      <c r="AJ179" s="30" t="s">
        <v>49</v>
      </c>
      <c r="AK179" s="30" t="s">
        <v>49</v>
      </c>
      <c r="AL179" s="22"/>
      <c r="AM179" s="22"/>
      <c r="AN179" s="22"/>
      <c r="AO179" s="22"/>
      <c r="AP179" s="22"/>
      <c r="AQ179" s="22"/>
      <c r="AR179" s="30" t="s">
        <v>49</v>
      </c>
      <c r="AS179" s="18"/>
      <c r="AT179" s="18"/>
      <c r="AU179" s="18"/>
      <c r="AV179" s="25" t="n">
        <v>2</v>
      </c>
      <c r="AW179" s="18"/>
      <c r="AX179" s="18"/>
      <c r="AY179" s="18"/>
      <c r="AZ179" s="18"/>
      <c r="BA179" s="18"/>
      <c r="BB179" s="18"/>
      <c r="BC179" s="18"/>
      <c r="BD179" s="18"/>
      <c r="BE179" s="22" t="n">
        <f aca="false">SUM(AS179:BD179)</f>
        <v>2</v>
      </c>
      <c r="BF179" s="23"/>
      <c r="BG179" s="31" t="s">
        <v>93</v>
      </c>
      <c r="BH179" s="18"/>
      <c r="BI179" s="18"/>
      <c r="BJ179" s="25" t="n">
        <v>2</v>
      </c>
      <c r="BK179" s="25" t="n">
        <v>3</v>
      </c>
      <c r="BL179" s="25" t="n">
        <v>1</v>
      </c>
      <c r="BM179" s="18"/>
      <c r="BN179" s="18"/>
      <c r="BO179" s="18"/>
      <c r="BP179" s="18"/>
      <c r="BQ179" s="18"/>
      <c r="BR179" s="18"/>
      <c r="BS179" s="18"/>
      <c r="BT179" s="22" t="n">
        <f aca="false">SUM(BH179:BS179)</f>
        <v>6</v>
      </c>
      <c r="BU179" s="26" t="n">
        <v>45867.4201967593</v>
      </c>
      <c r="BV179" s="17"/>
      <c r="BW179" s="17" t="s">
        <v>44</v>
      </c>
      <c r="BX179" s="23" t="n">
        <f aca="false">IFERROR(R179/AE179,0)</f>
        <v>1090.3</v>
      </c>
      <c r="BY179" s="23" t="n">
        <f aca="false">IFERROR(R179/12,0)</f>
        <v>181.716666666667</v>
      </c>
      <c r="BZ179" s="18" t="n">
        <v>24</v>
      </c>
      <c r="CA179" s="22" t="str">
        <f aca="false">IF(AE179=0,"PROSPECT",IF(AE179=1,"NOVO",IF(AE179&lt;=3,"EM DESENV.",IF(AE179&lt;=6,"RECORRENTE","FIDELIZADO"))))</f>
        <v>EM DESENV.</v>
      </c>
      <c r="CB179" s="22" t="n">
        <f aca="false">IF((P179+Q179)&gt;0,1,0)+IF((BR179+BS179)&gt;0,1,0)+IF(BE179&gt;0,1,0)</f>
        <v>1</v>
      </c>
    </row>
    <row r="180" customFormat="false" ht="15" hidden="false" customHeight="true" outlineLevel="0" collapsed="false">
      <c r="A180" s="16" t="s">
        <v>550</v>
      </c>
      <c r="B180" s="17" t="s">
        <v>551</v>
      </c>
      <c r="C180" s="18" t="s">
        <v>65</v>
      </c>
      <c r="D180" s="17" t="s">
        <v>552</v>
      </c>
      <c r="E180" s="29" t="s">
        <v>365</v>
      </c>
      <c r="F180" s="20"/>
      <c r="G180" s="20"/>
      <c r="H180" s="20"/>
      <c r="I180" s="20"/>
      <c r="J180" s="20"/>
      <c r="K180" s="20"/>
      <c r="L180" s="20"/>
      <c r="M180" s="20"/>
      <c r="N180" s="27" t="n">
        <v>1118.88</v>
      </c>
      <c r="O180" s="20"/>
      <c r="P180" s="20"/>
      <c r="Q180" s="20"/>
      <c r="R180" s="21" t="n">
        <f aca="false">SUM(F180:Q180)</f>
        <v>1118.88</v>
      </c>
      <c r="S180" s="18"/>
      <c r="T180" s="18"/>
      <c r="U180" s="18"/>
      <c r="V180" s="18"/>
      <c r="W180" s="18"/>
      <c r="X180" s="18"/>
      <c r="Y180" s="18"/>
      <c r="Z180" s="18"/>
      <c r="AA180" s="28" t="n">
        <v>1</v>
      </c>
      <c r="AB180" s="18"/>
      <c r="AC180" s="18"/>
      <c r="AD180" s="18"/>
      <c r="AE180" s="22" t="n">
        <f aca="false">SUM(S180:AD180)</f>
        <v>1</v>
      </c>
      <c r="AF180" s="22"/>
      <c r="AG180" s="22"/>
      <c r="AH180" s="22"/>
      <c r="AI180" s="22"/>
      <c r="AJ180" s="22"/>
      <c r="AK180" s="22"/>
      <c r="AL180" s="22"/>
      <c r="AM180" s="22"/>
      <c r="AN180" s="30" t="s">
        <v>49</v>
      </c>
      <c r="AO180" s="22"/>
      <c r="AP180" s="22"/>
      <c r="AQ180" s="22"/>
      <c r="AR180" s="30" t="s">
        <v>49</v>
      </c>
      <c r="AS180" s="18"/>
      <c r="AT180" s="18"/>
      <c r="AU180" s="18"/>
      <c r="AV180" s="18"/>
      <c r="AW180" s="18"/>
      <c r="AX180" s="18"/>
      <c r="AY180" s="18"/>
      <c r="AZ180" s="18"/>
      <c r="BA180" s="25" t="n">
        <v>4</v>
      </c>
      <c r="BB180" s="18"/>
      <c r="BC180" s="18"/>
      <c r="BD180" s="18"/>
      <c r="BE180" s="22" t="n">
        <f aca="false">SUM(AS180:BD180)</f>
        <v>4</v>
      </c>
      <c r="BF180" s="23" t="n">
        <v>1118.88</v>
      </c>
      <c r="BG180" s="19" t="s">
        <v>55</v>
      </c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22" t="n">
        <f aca="false">SUM(BH180:BS180)</f>
        <v>0</v>
      </c>
      <c r="BU180" s="26"/>
      <c r="BV180" s="17"/>
      <c r="BW180" s="17"/>
      <c r="BX180" s="23" t="n">
        <f aca="false">IFERROR(R180/AE180,0)</f>
        <v>1118.88</v>
      </c>
      <c r="BY180" s="23" t="n">
        <f aca="false">IFERROR(R180/12,0)</f>
        <v>93.24</v>
      </c>
      <c r="BZ180" s="18" t="n">
        <v>0</v>
      </c>
      <c r="CA180" s="22" t="str">
        <f aca="false">IF(AE180=0,"PROSPECT",IF(AE180=1,"NOVO",IF(AE180&lt;=3,"EM DESENV.",IF(AE180&lt;=6,"RECORRENTE","FIDELIZADO"))))</f>
        <v>NOVO</v>
      </c>
      <c r="CB180" s="22" t="n">
        <f aca="false">IF((P180+Q180)&gt;0,1,0)+IF((BR180+BS180)&gt;0,1,0)+IF(BE180&gt;0,1,0)</f>
        <v>1</v>
      </c>
    </row>
    <row r="181" customFormat="false" ht="15" hidden="false" customHeight="true" outlineLevel="0" collapsed="false">
      <c r="A181" s="16" t="s">
        <v>553</v>
      </c>
      <c r="B181" s="17" t="s">
        <v>554</v>
      </c>
      <c r="C181" s="18" t="s">
        <v>555</v>
      </c>
      <c r="D181" s="17" t="s">
        <v>556</v>
      </c>
      <c r="E181" s="29" t="s">
        <v>365</v>
      </c>
      <c r="F181" s="20"/>
      <c r="G181" s="20"/>
      <c r="H181" s="20"/>
      <c r="I181" s="20"/>
      <c r="J181" s="20"/>
      <c r="K181" s="27" t="n">
        <v>3912.71</v>
      </c>
      <c r="L181" s="20"/>
      <c r="M181" s="20"/>
      <c r="N181" s="20"/>
      <c r="O181" s="20"/>
      <c r="P181" s="20"/>
      <c r="Q181" s="20"/>
      <c r="R181" s="21" t="n">
        <f aca="false">SUM(F181:Q181)</f>
        <v>3912.71</v>
      </c>
      <c r="S181" s="18"/>
      <c r="T181" s="18"/>
      <c r="U181" s="18"/>
      <c r="V181" s="18"/>
      <c r="W181" s="18"/>
      <c r="X181" s="28" t="n">
        <v>1</v>
      </c>
      <c r="Y181" s="18"/>
      <c r="Z181" s="18"/>
      <c r="AA181" s="18"/>
      <c r="AB181" s="18"/>
      <c r="AC181" s="18"/>
      <c r="AD181" s="18"/>
      <c r="AE181" s="22" t="n">
        <f aca="false">SUM(S181:AD181)</f>
        <v>1</v>
      </c>
      <c r="AF181" s="22"/>
      <c r="AG181" s="22"/>
      <c r="AH181" s="22"/>
      <c r="AI181" s="22"/>
      <c r="AJ181" s="22"/>
      <c r="AK181" s="19" t="s">
        <v>50</v>
      </c>
      <c r="AL181" s="22"/>
      <c r="AM181" s="22"/>
      <c r="AN181" s="22"/>
      <c r="AO181" s="22"/>
      <c r="AP181" s="22"/>
      <c r="AQ181" s="22"/>
      <c r="AR181" s="19" t="s">
        <v>50</v>
      </c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22" t="n">
        <f aca="false">SUM(AS181:BD181)</f>
        <v>0</v>
      </c>
      <c r="BF181" s="23"/>
      <c r="BG181" s="24"/>
      <c r="BH181" s="18"/>
      <c r="BI181" s="18"/>
      <c r="BJ181" s="18"/>
      <c r="BK181" s="18"/>
      <c r="BL181" s="18"/>
      <c r="BM181" s="18"/>
      <c r="BN181" s="18"/>
      <c r="BO181" s="25" t="n">
        <v>1</v>
      </c>
      <c r="BP181" s="18"/>
      <c r="BQ181" s="18"/>
      <c r="BR181" s="18"/>
      <c r="BS181" s="18"/>
      <c r="BT181" s="22" t="n">
        <f aca="false">SUM(BH181:BS181)</f>
        <v>1</v>
      </c>
      <c r="BU181" s="26" t="n">
        <v>45951.4854166667</v>
      </c>
      <c r="BV181" s="17"/>
      <c r="BW181" s="17" t="s">
        <v>117</v>
      </c>
      <c r="BX181" s="23" t="n">
        <f aca="false">IFERROR(R181/AE181,0)</f>
        <v>3912.71</v>
      </c>
      <c r="BY181" s="23" t="n">
        <f aca="false">IFERROR(R181/12,0)</f>
        <v>326.059166666667</v>
      </c>
      <c r="BZ181" s="18" t="n">
        <v>0</v>
      </c>
      <c r="CA181" s="22" t="str">
        <f aca="false">IF(AE181=0,"PROSPECT",IF(AE181=1,"NOVO",IF(AE181&lt;=3,"EM DESENV.",IF(AE181&lt;=6,"RECORRENTE","FIDELIZADO"))))</f>
        <v>NOVO</v>
      </c>
      <c r="CB181" s="22" t="n">
        <f aca="false">IF((P181+Q181)&gt;0,1,0)+IF((BR181+BS181)&gt;0,1,0)+IF(BE181&gt;0,1,0)</f>
        <v>0</v>
      </c>
    </row>
    <row r="182" customFormat="false" ht="15" hidden="false" customHeight="true" outlineLevel="0" collapsed="false">
      <c r="A182" s="16" t="s">
        <v>557</v>
      </c>
      <c r="B182" s="17" t="s">
        <v>558</v>
      </c>
      <c r="C182" s="18" t="s">
        <v>53</v>
      </c>
      <c r="D182" s="17" t="s">
        <v>559</v>
      </c>
      <c r="E182" s="29" t="s">
        <v>365</v>
      </c>
      <c r="F182" s="20"/>
      <c r="G182" s="20"/>
      <c r="H182" s="20"/>
      <c r="I182" s="27" t="n">
        <v>963.58</v>
      </c>
      <c r="J182" s="20"/>
      <c r="K182" s="20"/>
      <c r="L182" s="20"/>
      <c r="M182" s="20"/>
      <c r="N182" s="20"/>
      <c r="O182" s="20"/>
      <c r="P182" s="20"/>
      <c r="Q182" s="20"/>
      <c r="R182" s="21" t="n">
        <f aca="false">SUM(F182:Q182)</f>
        <v>963.58</v>
      </c>
      <c r="S182" s="18"/>
      <c r="T182" s="18"/>
      <c r="U182" s="18"/>
      <c r="V182" s="28" t="n">
        <v>1</v>
      </c>
      <c r="W182" s="18"/>
      <c r="X182" s="18"/>
      <c r="Y182" s="18"/>
      <c r="Z182" s="18"/>
      <c r="AA182" s="18"/>
      <c r="AB182" s="18"/>
      <c r="AC182" s="18"/>
      <c r="AD182" s="18"/>
      <c r="AE182" s="22" t="n">
        <f aca="false">SUM(S182:AD182)</f>
        <v>1</v>
      </c>
      <c r="AF182" s="22"/>
      <c r="AG182" s="22"/>
      <c r="AH182" s="22"/>
      <c r="AI182" s="30" t="s">
        <v>49</v>
      </c>
      <c r="AJ182" s="22"/>
      <c r="AK182" s="22"/>
      <c r="AL182" s="22"/>
      <c r="AM182" s="22"/>
      <c r="AN182" s="22"/>
      <c r="AO182" s="22"/>
      <c r="AP182" s="22"/>
      <c r="AQ182" s="22"/>
      <c r="AR182" s="29" t="s">
        <v>48</v>
      </c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22" t="n">
        <f aca="false">SUM(AS182:BD182)</f>
        <v>0</v>
      </c>
      <c r="BF182" s="23"/>
      <c r="BG182" s="24"/>
      <c r="BH182" s="18"/>
      <c r="BI182" s="18"/>
      <c r="BJ182" s="18"/>
      <c r="BK182" s="25" t="n">
        <v>1</v>
      </c>
      <c r="BL182" s="25" t="n">
        <v>1</v>
      </c>
      <c r="BM182" s="18"/>
      <c r="BN182" s="18"/>
      <c r="BO182" s="25" t="n">
        <v>1</v>
      </c>
      <c r="BP182" s="18"/>
      <c r="BQ182" s="18"/>
      <c r="BR182" s="18"/>
      <c r="BS182" s="18"/>
      <c r="BT182" s="22" t="n">
        <f aca="false">SUM(BH182:BS182)</f>
        <v>3</v>
      </c>
      <c r="BU182" s="26" t="n">
        <v>45943.3784722222</v>
      </c>
      <c r="BV182" s="17"/>
      <c r="BW182" s="17" t="s">
        <v>111</v>
      </c>
      <c r="BX182" s="23" t="n">
        <f aca="false">IFERROR(R182/AE182,0)</f>
        <v>963.58</v>
      </c>
      <c r="BY182" s="23" t="n">
        <f aca="false">IFERROR(R182/12,0)</f>
        <v>80.2983333333333</v>
      </c>
      <c r="BZ182" s="18" t="n">
        <v>0</v>
      </c>
      <c r="CA182" s="22" t="str">
        <f aca="false">IF(AE182=0,"PROSPECT",IF(AE182=1,"NOVO",IF(AE182&lt;=3,"EM DESENV.",IF(AE182&lt;=6,"RECORRENTE","FIDELIZADO"))))</f>
        <v>NOVO</v>
      </c>
      <c r="CB182" s="22" t="n">
        <f aca="false">IF((P182+Q182)&gt;0,1,0)+IF((BR182+BS182)&gt;0,1,0)+IF(BE182&gt;0,1,0)</f>
        <v>0</v>
      </c>
    </row>
    <row r="183" customFormat="false" ht="15" hidden="false" customHeight="true" outlineLevel="0" collapsed="false">
      <c r="A183" s="16" t="s">
        <v>560</v>
      </c>
      <c r="B183" s="17" t="s">
        <v>561</v>
      </c>
      <c r="C183" s="18" t="s">
        <v>41</v>
      </c>
      <c r="D183" s="17" t="s">
        <v>42</v>
      </c>
      <c r="E183" s="29" t="s">
        <v>365</v>
      </c>
      <c r="F183" s="20"/>
      <c r="G183" s="27" t="n">
        <v>2296.8</v>
      </c>
      <c r="H183" s="27" t="n">
        <v>2297.22</v>
      </c>
      <c r="I183" s="27" t="n">
        <v>2006.01</v>
      </c>
      <c r="J183" s="27" t="n">
        <v>2006.01</v>
      </c>
      <c r="K183" s="27" t="n">
        <v>2072.25</v>
      </c>
      <c r="L183" s="20"/>
      <c r="M183" s="27" t="n">
        <v>3325.96</v>
      </c>
      <c r="N183" s="20"/>
      <c r="O183" s="20"/>
      <c r="P183" s="20"/>
      <c r="Q183" s="20"/>
      <c r="R183" s="21" t="n">
        <f aca="false">SUM(F183:Q183)</f>
        <v>14004.25</v>
      </c>
      <c r="S183" s="18"/>
      <c r="T183" s="28" t="n">
        <v>1</v>
      </c>
      <c r="U183" s="28" t="n">
        <v>1</v>
      </c>
      <c r="V183" s="28" t="n">
        <v>1</v>
      </c>
      <c r="W183" s="28" t="n">
        <v>1</v>
      </c>
      <c r="X183" s="28" t="n">
        <v>1</v>
      </c>
      <c r="Y183" s="18"/>
      <c r="Z183" s="28" t="n">
        <v>1</v>
      </c>
      <c r="AA183" s="18"/>
      <c r="AB183" s="18"/>
      <c r="AC183" s="18"/>
      <c r="AD183" s="18"/>
      <c r="AE183" s="22" t="n">
        <f aca="false">SUM(S183:AD183)</f>
        <v>6</v>
      </c>
      <c r="AF183" s="22"/>
      <c r="AG183" s="19" t="s">
        <v>50</v>
      </c>
      <c r="AH183" s="19" t="s">
        <v>50</v>
      </c>
      <c r="AI183" s="19" t="s">
        <v>50</v>
      </c>
      <c r="AJ183" s="19" t="s">
        <v>50</v>
      </c>
      <c r="AK183" s="19" t="s">
        <v>50</v>
      </c>
      <c r="AL183" s="22"/>
      <c r="AM183" s="19" t="s">
        <v>50</v>
      </c>
      <c r="AN183" s="22"/>
      <c r="AO183" s="22"/>
      <c r="AP183" s="22"/>
      <c r="AQ183" s="22"/>
      <c r="AR183" s="19" t="s">
        <v>50</v>
      </c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22" t="n">
        <f aca="false">SUM(AS183:BD183)</f>
        <v>0</v>
      </c>
      <c r="BF183" s="23"/>
      <c r="BG183" s="24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22" t="n">
        <f aca="false">SUM(BH183:BS183)</f>
        <v>0</v>
      </c>
      <c r="BU183" s="26"/>
      <c r="BV183" s="17"/>
      <c r="BW183" s="17"/>
      <c r="BX183" s="23" t="n">
        <f aca="false">IFERROR(R183/AE183,0)</f>
        <v>2334.04166666667</v>
      </c>
      <c r="BY183" s="23" t="n">
        <f aca="false">IFERROR(R183/12,0)</f>
        <v>1167.02083333333</v>
      </c>
      <c r="BZ183" s="18" t="n">
        <v>47</v>
      </c>
      <c r="CA183" s="22" t="str">
        <f aca="false">IF(AE183=0,"PROSPECT",IF(AE183=1,"NOVO",IF(AE183&lt;=3,"EM DESENV.",IF(AE183&lt;=6,"RECORRENTE","FIDELIZADO"))))</f>
        <v>RECORRENTE</v>
      </c>
      <c r="CB183" s="22" t="n">
        <f aca="false">IF((P183+Q183)&gt;0,1,0)+IF((BR183+BS183)&gt;0,1,0)+IF(BE183&gt;0,1,0)</f>
        <v>0</v>
      </c>
    </row>
    <row r="184" customFormat="false" ht="15" hidden="false" customHeight="true" outlineLevel="0" collapsed="false">
      <c r="A184" s="16" t="s">
        <v>562</v>
      </c>
      <c r="B184" s="17" t="s">
        <v>563</v>
      </c>
      <c r="C184" s="18" t="s">
        <v>65</v>
      </c>
      <c r="D184" s="17" t="s">
        <v>564</v>
      </c>
      <c r="E184" s="29" t="s">
        <v>365</v>
      </c>
      <c r="F184" s="20"/>
      <c r="G184" s="20"/>
      <c r="H184" s="20"/>
      <c r="I184" s="20"/>
      <c r="J184" s="20"/>
      <c r="K184" s="27" t="n">
        <v>2308.6</v>
      </c>
      <c r="L184" s="27" t="n">
        <v>1442.87</v>
      </c>
      <c r="M184" s="20"/>
      <c r="N184" s="20"/>
      <c r="O184" s="20"/>
      <c r="P184" s="20"/>
      <c r="Q184" s="20"/>
      <c r="R184" s="21" t="n">
        <f aca="false">SUM(F184:Q184)</f>
        <v>3751.47</v>
      </c>
      <c r="S184" s="18"/>
      <c r="T184" s="18"/>
      <c r="U184" s="18"/>
      <c r="V184" s="18"/>
      <c r="W184" s="18"/>
      <c r="X184" s="28" t="n">
        <v>1</v>
      </c>
      <c r="Y184" s="28" t="n">
        <v>1</v>
      </c>
      <c r="Z184" s="18"/>
      <c r="AA184" s="18"/>
      <c r="AB184" s="18"/>
      <c r="AC184" s="18"/>
      <c r="AD184" s="18"/>
      <c r="AE184" s="22" t="n">
        <f aca="false">SUM(S184:AD184)</f>
        <v>2</v>
      </c>
      <c r="AF184" s="22"/>
      <c r="AG184" s="22"/>
      <c r="AH184" s="22"/>
      <c r="AI184" s="22"/>
      <c r="AJ184" s="22"/>
      <c r="AK184" s="19" t="s">
        <v>50</v>
      </c>
      <c r="AL184" s="19" t="s">
        <v>50</v>
      </c>
      <c r="AM184" s="22"/>
      <c r="AN184" s="22"/>
      <c r="AO184" s="22"/>
      <c r="AP184" s="22"/>
      <c r="AQ184" s="22"/>
      <c r="AR184" s="19" t="s">
        <v>50</v>
      </c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22" t="n">
        <f aca="false">SUM(AS184:BD184)</f>
        <v>0</v>
      </c>
      <c r="BF184" s="23"/>
      <c r="BG184" s="24"/>
      <c r="BH184" s="18"/>
      <c r="BI184" s="18"/>
      <c r="BJ184" s="18"/>
      <c r="BK184" s="18"/>
      <c r="BL184" s="25" t="n">
        <v>1</v>
      </c>
      <c r="BM184" s="25" t="n">
        <v>1</v>
      </c>
      <c r="BN184" s="18"/>
      <c r="BO184" s="18"/>
      <c r="BP184" s="25" t="n">
        <v>2</v>
      </c>
      <c r="BQ184" s="18"/>
      <c r="BR184" s="25" t="n">
        <v>2</v>
      </c>
      <c r="BS184" s="18"/>
      <c r="BT184" s="22" t="n">
        <f aca="false">SUM(BH184:BS184)</f>
        <v>6</v>
      </c>
      <c r="BU184" s="26" t="n">
        <v>46036.4257291667</v>
      </c>
      <c r="BV184" s="17"/>
      <c r="BW184" s="17" t="s">
        <v>44</v>
      </c>
      <c r="BX184" s="23" t="n">
        <f aca="false">IFERROR(R184/AE184,0)</f>
        <v>1875.735</v>
      </c>
      <c r="BY184" s="23" t="n">
        <f aca="false">IFERROR(R184/12,0)</f>
        <v>312.6225</v>
      </c>
      <c r="BZ184" s="18" t="n">
        <v>40</v>
      </c>
      <c r="CA184" s="22" t="str">
        <f aca="false">IF(AE184=0,"PROSPECT",IF(AE184=1,"NOVO",IF(AE184&lt;=3,"EM DESENV.",IF(AE184&lt;=6,"RECORRENTE","FIDELIZADO"))))</f>
        <v>EM DESENV.</v>
      </c>
      <c r="CB184" s="22" t="n">
        <f aca="false">IF((P184+Q184)&gt;0,1,0)+IF((BR184+BS184)&gt;0,1,0)+IF(BE184&gt;0,1,0)</f>
        <v>1</v>
      </c>
    </row>
    <row r="185" customFormat="false" ht="15" hidden="false" customHeight="true" outlineLevel="0" collapsed="false">
      <c r="A185" s="16" t="s">
        <v>565</v>
      </c>
      <c r="B185" s="17" t="s">
        <v>566</v>
      </c>
      <c r="C185" s="18" t="s">
        <v>61</v>
      </c>
      <c r="D185" s="17" t="s">
        <v>567</v>
      </c>
      <c r="E185" s="29" t="s">
        <v>365</v>
      </c>
      <c r="F185" s="20"/>
      <c r="G185" s="20"/>
      <c r="H185" s="20"/>
      <c r="I185" s="27" t="n">
        <v>683.54</v>
      </c>
      <c r="J185" s="20"/>
      <c r="K185" s="20"/>
      <c r="L185" s="20"/>
      <c r="M185" s="27" t="n">
        <v>785.29</v>
      </c>
      <c r="N185" s="20"/>
      <c r="O185" s="20"/>
      <c r="P185" s="20"/>
      <c r="Q185" s="20"/>
      <c r="R185" s="21" t="n">
        <f aca="false">SUM(F185:Q185)</f>
        <v>1468.83</v>
      </c>
      <c r="S185" s="18"/>
      <c r="T185" s="18"/>
      <c r="U185" s="18"/>
      <c r="V185" s="28" t="n">
        <v>1</v>
      </c>
      <c r="W185" s="18"/>
      <c r="X185" s="18"/>
      <c r="Y185" s="18"/>
      <c r="Z185" s="28" t="n">
        <v>1</v>
      </c>
      <c r="AA185" s="18"/>
      <c r="AB185" s="18"/>
      <c r="AC185" s="18"/>
      <c r="AD185" s="18"/>
      <c r="AE185" s="22" t="n">
        <f aca="false">SUM(S185:AD185)</f>
        <v>2</v>
      </c>
      <c r="AF185" s="22"/>
      <c r="AG185" s="22"/>
      <c r="AH185" s="22"/>
      <c r="AI185" s="29" t="s">
        <v>48</v>
      </c>
      <c r="AJ185" s="22"/>
      <c r="AK185" s="22"/>
      <c r="AL185" s="22"/>
      <c r="AM185" s="29" t="s">
        <v>48</v>
      </c>
      <c r="AN185" s="22"/>
      <c r="AO185" s="22"/>
      <c r="AP185" s="22"/>
      <c r="AQ185" s="22"/>
      <c r="AR185" s="30" t="s">
        <v>49</v>
      </c>
      <c r="AS185" s="18"/>
      <c r="AT185" s="18"/>
      <c r="AU185" s="18"/>
      <c r="AV185" s="18"/>
      <c r="AW185" s="18"/>
      <c r="AX185" s="18"/>
      <c r="AY185" s="18"/>
      <c r="AZ185" s="18"/>
      <c r="BA185" s="25" t="n">
        <v>1</v>
      </c>
      <c r="BB185" s="18"/>
      <c r="BC185" s="18"/>
      <c r="BD185" s="18"/>
      <c r="BE185" s="22" t="n">
        <f aca="false">SUM(AS185:BD185)</f>
        <v>1</v>
      </c>
      <c r="BF185" s="23"/>
      <c r="BG185" s="31" t="s">
        <v>93</v>
      </c>
      <c r="BH185" s="18"/>
      <c r="BI185" s="18"/>
      <c r="BJ185" s="18"/>
      <c r="BK185" s="25" t="n">
        <v>1</v>
      </c>
      <c r="BL185" s="25" t="n">
        <v>1</v>
      </c>
      <c r="BM185" s="18"/>
      <c r="BN185" s="18"/>
      <c r="BO185" s="25" t="n">
        <v>2</v>
      </c>
      <c r="BP185" s="18"/>
      <c r="BQ185" s="18"/>
      <c r="BR185" s="18"/>
      <c r="BS185" s="18"/>
      <c r="BT185" s="22" t="n">
        <f aca="false">SUM(BH185:BS185)</f>
        <v>4</v>
      </c>
      <c r="BU185" s="26" t="n">
        <v>45961.597662037</v>
      </c>
      <c r="BV185" s="17"/>
      <c r="BW185" s="17" t="s">
        <v>44</v>
      </c>
      <c r="BX185" s="23" t="n">
        <f aca="false">IFERROR(R185/AE185,0)</f>
        <v>734.415</v>
      </c>
      <c r="BY185" s="23" t="n">
        <f aca="false">IFERROR(R185/12,0)</f>
        <v>122.4025</v>
      </c>
      <c r="BZ185" s="18" t="n">
        <v>137</v>
      </c>
      <c r="CA185" s="22" t="str">
        <f aca="false">IF(AE185=0,"PROSPECT",IF(AE185=1,"NOVO",IF(AE185&lt;=3,"EM DESENV.",IF(AE185&lt;=6,"RECORRENTE","FIDELIZADO"))))</f>
        <v>EM DESENV.</v>
      </c>
      <c r="CB185" s="22" t="n">
        <f aca="false">IF((P185+Q185)&gt;0,1,0)+IF((BR185+BS185)&gt;0,1,0)+IF(BE185&gt;0,1,0)</f>
        <v>1</v>
      </c>
    </row>
    <row r="186" customFormat="false" ht="15" hidden="false" customHeight="true" outlineLevel="0" collapsed="false">
      <c r="A186" s="16" t="s">
        <v>568</v>
      </c>
      <c r="B186" s="17" t="s">
        <v>569</v>
      </c>
      <c r="C186" s="18" t="s">
        <v>61</v>
      </c>
      <c r="D186" s="17" t="s">
        <v>210</v>
      </c>
      <c r="E186" s="29" t="s">
        <v>365</v>
      </c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1" t="n">
        <f aca="false">SUM(F186:Q186)</f>
        <v>0</v>
      </c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22" t="n">
        <f aca="false">SUM(S186:AD186)</f>
        <v>0</v>
      </c>
      <c r="AF186" s="22"/>
      <c r="AG186" s="22"/>
      <c r="AH186" s="22"/>
      <c r="AI186" s="22"/>
      <c r="AJ186" s="22"/>
      <c r="AK186" s="22"/>
      <c r="AL186" s="22"/>
      <c r="AM186" s="30" t="s">
        <v>49</v>
      </c>
      <c r="AN186" s="22"/>
      <c r="AO186" s="22"/>
      <c r="AP186" s="22"/>
      <c r="AQ186" s="22"/>
      <c r="AR186" s="29" t="s">
        <v>48</v>
      </c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22" t="n">
        <f aca="false">SUM(AS186:BD186)</f>
        <v>0</v>
      </c>
      <c r="BF186" s="23"/>
      <c r="BG186" s="24"/>
      <c r="BH186" s="18"/>
      <c r="BI186" s="18"/>
      <c r="BJ186" s="18"/>
      <c r="BK186" s="18"/>
      <c r="BL186" s="18"/>
      <c r="BM186" s="18"/>
      <c r="BN186" s="18"/>
      <c r="BO186" s="25" t="n">
        <v>1</v>
      </c>
      <c r="BP186" s="18"/>
      <c r="BQ186" s="18"/>
      <c r="BR186" s="18"/>
      <c r="BS186" s="18"/>
      <c r="BT186" s="22" t="n">
        <f aca="false">SUM(BH186:BS186)</f>
        <v>1</v>
      </c>
      <c r="BU186" s="26" t="n">
        <v>45959.3541666667</v>
      </c>
      <c r="BV186" s="17" t="s">
        <v>173</v>
      </c>
      <c r="BW186" s="17" t="s">
        <v>44</v>
      </c>
      <c r="BX186" s="23" t="n">
        <f aca="false">IFERROR(R186/AE186,0)</f>
        <v>0</v>
      </c>
      <c r="BY186" s="23" t="n">
        <f aca="false">IFERROR(R186/12,0)</f>
        <v>0</v>
      </c>
      <c r="BZ186" s="18" t="n">
        <v>0</v>
      </c>
      <c r="CA186" s="22" t="str">
        <f aca="false">IF(AE186=0,"PROSPECT",IF(AE186=1,"NOVO",IF(AE186&lt;=3,"EM DESENV.",IF(AE186&lt;=6,"RECORRENTE","FIDELIZADO"))))</f>
        <v>PROSPECT</v>
      </c>
      <c r="CB186" s="22" t="n">
        <f aca="false">IF((P186+Q186)&gt;0,1,0)+IF((BR186+BS186)&gt;0,1,0)+IF(BE186&gt;0,1,0)</f>
        <v>0</v>
      </c>
    </row>
    <row r="187" customFormat="false" ht="15" hidden="false" customHeight="true" outlineLevel="0" collapsed="false">
      <c r="A187" s="16" t="s">
        <v>570</v>
      </c>
      <c r="B187" s="17" t="s">
        <v>569</v>
      </c>
      <c r="C187" s="18" t="s">
        <v>61</v>
      </c>
      <c r="D187" s="17" t="s">
        <v>248</v>
      </c>
      <c r="E187" s="29" t="s">
        <v>365</v>
      </c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1" t="n">
        <f aca="false">SUM(F187:Q187)</f>
        <v>0</v>
      </c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22" t="n">
        <f aca="false">SUM(S187:AD187)</f>
        <v>0</v>
      </c>
      <c r="AF187" s="22"/>
      <c r="AG187" s="22"/>
      <c r="AH187" s="22"/>
      <c r="AI187" s="22"/>
      <c r="AJ187" s="22"/>
      <c r="AK187" s="22"/>
      <c r="AL187" s="22"/>
      <c r="AM187" s="30" t="s">
        <v>49</v>
      </c>
      <c r="AN187" s="22"/>
      <c r="AO187" s="22"/>
      <c r="AP187" s="22"/>
      <c r="AQ187" s="22"/>
      <c r="AR187" s="29" t="s">
        <v>48</v>
      </c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22" t="n">
        <f aca="false">SUM(AS187:BD187)</f>
        <v>0</v>
      </c>
      <c r="BF187" s="23"/>
      <c r="BG187" s="24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22" t="n">
        <f aca="false">SUM(BH187:BS187)</f>
        <v>0</v>
      </c>
      <c r="BU187" s="26"/>
      <c r="BV187" s="17"/>
      <c r="BW187" s="17"/>
      <c r="BX187" s="23" t="n">
        <f aca="false">IFERROR(R187/AE187,0)</f>
        <v>0</v>
      </c>
      <c r="BY187" s="23" t="n">
        <f aca="false">IFERROR(R187/12,0)</f>
        <v>0</v>
      </c>
      <c r="BZ187" s="18" t="n">
        <v>0</v>
      </c>
      <c r="CA187" s="22" t="str">
        <f aca="false">IF(AE187=0,"PROSPECT",IF(AE187=1,"NOVO",IF(AE187&lt;=3,"EM DESENV.",IF(AE187&lt;=6,"RECORRENTE","FIDELIZADO"))))</f>
        <v>PROSPECT</v>
      </c>
      <c r="CB187" s="22" t="n">
        <f aca="false">IF((P187+Q187)&gt;0,1,0)+IF((BR187+BS187)&gt;0,1,0)+IF(BE187&gt;0,1,0)</f>
        <v>0</v>
      </c>
    </row>
    <row r="188" customFormat="false" ht="15" hidden="false" customHeight="true" outlineLevel="0" collapsed="false">
      <c r="A188" s="16" t="s">
        <v>571</v>
      </c>
      <c r="B188" s="17" t="s">
        <v>569</v>
      </c>
      <c r="C188" s="18" t="s">
        <v>61</v>
      </c>
      <c r="D188" s="17" t="s">
        <v>248</v>
      </c>
      <c r="E188" s="29" t="s">
        <v>365</v>
      </c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1" t="n">
        <f aca="false">SUM(F188:Q188)</f>
        <v>0</v>
      </c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22" t="n">
        <f aca="false">SUM(S188:AD188)</f>
        <v>0</v>
      </c>
      <c r="AF188" s="22"/>
      <c r="AG188" s="22"/>
      <c r="AH188" s="22"/>
      <c r="AI188" s="22"/>
      <c r="AJ188" s="22"/>
      <c r="AK188" s="22"/>
      <c r="AL188" s="22"/>
      <c r="AM188" s="30" t="s">
        <v>49</v>
      </c>
      <c r="AN188" s="22"/>
      <c r="AO188" s="22"/>
      <c r="AP188" s="22"/>
      <c r="AQ188" s="22"/>
      <c r="AR188" s="29" t="s">
        <v>48</v>
      </c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22" t="n">
        <f aca="false">SUM(AS188:BD188)</f>
        <v>0</v>
      </c>
      <c r="BF188" s="23"/>
      <c r="BG188" s="24"/>
      <c r="BH188" s="18"/>
      <c r="BI188" s="18"/>
      <c r="BJ188" s="18"/>
      <c r="BK188" s="18"/>
      <c r="BL188" s="18"/>
      <c r="BM188" s="18"/>
      <c r="BN188" s="18"/>
      <c r="BO188" s="25" t="n">
        <v>1</v>
      </c>
      <c r="BP188" s="18"/>
      <c r="BQ188" s="25" t="n">
        <v>1</v>
      </c>
      <c r="BR188" s="18"/>
      <c r="BS188" s="18"/>
      <c r="BT188" s="22" t="n">
        <f aca="false">SUM(BH188:BS188)</f>
        <v>2</v>
      </c>
      <c r="BU188" s="26" t="n">
        <v>46002.3958333333</v>
      </c>
      <c r="BV188" s="17"/>
      <c r="BW188" s="17" t="s">
        <v>44</v>
      </c>
      <c r="BX188" s="23" t="n">
        <f aca="false">IFERROR(R188/AE188,0)</f>
        <v>0</v>
      </c>
      <c r="BY188" s="23" t="n">
        <f aca="false">IFERROR(R188/12,0)</f>
        <v>0</v>
      </c>
      <c r="BZ188" s="18" t="n">
        <v>0</v>
      </c>
      <c r="CA188" s="22" t="str">
        <f aca="false">IF(AE188=0,"PROSPECT",IF(AE188=1,"NOVO",IF(AE188&lt;=3,"EM DESENV.",IF(AE188&lt;=6,"RECORRENTE","FIDELIZADO"))))</f>
        <v>PROSPECT</v>
      </c>
      <c r="CB188" s="22" t="n">
        <f aca="false">IF((P188+Q188)&gt;0,1,0)+IF((BR188+BS188)&gt;0,1,0)+IF(BE188&gt;0,1,0)</f>
        <v>0</v>
      </c>
    </row>
    <row r="189" customFormat="false" ht="15" hidden="false" customHeight="true" outlineLevel="0" collapsed="false">
      <c r="A189" s="16" t="s">
        <v>572</v>
      </c>
      <c r="B189" s="17" t="s">
        <v>569</v>
      </c>
      <c r="C189" s="18" t="s">
        <v>61</v>
      </c>
      <c r="D189" s="17" t="s">
        <v>123</v>
      </c>
      <c r="E189" s="29" t="s">
        <v>365</v>
      </c>
      <c r="F189" s="20"/>
      <c r="G189" s="20"/>
      <c r="H189" s="20"/>
      <c r="I189" s="20"/>
      <c r="J189" s="20"/>
      <c r="K189" s="20"/>
      <c r="L189" s="20"/>
      <c r="M189" s="27" t="n">
        <v>5629.28</v>
      </c>
      <c r="N189" s="20"/>
      <c r="O189" s="20"/>
      <c r="P189" s="20"/>
      <c r="Q189" s="20"/>
      <c r="R189" s="21" t="n">
        <f aca="false">SUM(F189:Q189)</f>
        <v>5629.28</v>
      </c>
      <c r="S189" s="18"/>
      <c r="T189" s="18"/>
      <c r="U189" s="18"/>
      <c r="V189" s="18"/>
      <c r="W189" s="18"/>
      <c r="X189" s="18"/>
      <c r="Y189" s="18"/>
      <c r="Z189" s="28" t="n">
        <v>1</v>
      </c>
      <c r="AA189" s="18"/>
      <c r="AB189" s="18"/>
      <c r="AC189" s="18"/>
      <c r="AD189" s="18"/>
      <c r="AE189" s="22" t="n">
        <f aca="false">SUM(S189:AD189)</f>
        <v>1</v>
      </c>
      <c r="AF189" s="22"/>
      <c r="AG189" s="22"/>
      <c r="AH189" s="22"/>
      <c r="AI189" s="22"/>
      <c r="AJ189" s="22"/>
      <c r="AK189" s="22"/>
      <c r="AL189" s="22"/>
      <c r="AM189" s="30" t="s">
        <v>49</v>
      </c>
      <c r="AN189" s="22"/>
      <c r="AO189" s="22"/>
      <c r="AP189" s="22"/>
      <c r="AQ189" s="22"/>
      <c r="AR189" s="30" t="s">
        <v>49</v>
      </c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22" t="n">
        <f aca="false">SUM(AS189:BD189)</f>
        <v>0</v>
      </c>
      <c r="BF189" s="23"/>
      <c r="BG189" s="24"/>
      <c r="BH189" s="18"/>
      <c r="BI189" s="18"/>
      <c r="BJ189" s="18"/>
      <c r="BK189" s="18"/>
      <c r="BL189" s="18"/>
      <c r="BM189" s="18"/>
      <c r="BN189" s="18"/>
      <c r="BO189" s="25" t="n">
        <v>1</v>
      </c>
      <c r="BP189" s="18"/>
      <c r="BQ189" s="25" t="n">
        <v>1</v>
      </c>
      <c r="BR189" s="18"/>
      <c r="BS189" s="18"/>
      <c r="BT189" s="22" t="n">
        <f aca="false">SUM(BH189:BS189)</f>
        <v>2</v>
      </c>
      <c r="BU189" s="26" t="n">
        <v>46002.4041666667</v>
      </c>
      <c r="BV189" s="17"/>
      <c r="BW189" s="17" t="s">
        <v>117</v>
      </c>
      <c r="BX189" s="23" t="n">
        <f aca="false">IFERROR(R189/AE189,0)</f>
        <v>5629.28</v>
      </c>
      <c r="BY189" s="23" t="n">
        <f aca="false">IFERROR(R189/12,0)</f>
        <v>469.106666666667</v>
      </c>
      <c r="BZ189" s="18" t="n">
        <v>0</v>
      </c>
      <c r="CA189" s="22" t="str">
        <f aca="false">IF(AE189=0,"PROSPECT",IF(AE189=1,"NOVO",IF(AE189&lt;=3,"EM DESENV.",IF(AE189&lt;=6,"RECORRENTE","FIDELIZADO"))))</f>
        <v>NOVO</v>
      </c>
      <c r="CB189" s="22" t="n">
        <f aca="false">IF((P189+Q189)&gt;0,1,0)+IF((BR189+BS189)&gt;0,1,0)+IF(BE189&gt;0,1,0)</f>
        <v>0</v>
      </c>
    </row>
    <row r="190" customFormat="false" ht="15" hidden="false" customHeight="true" outlineLevel="0" collapsed="false">
      <c r="A190" s="16" t="s">
        <v>573</v>
      </c>
      <c r="B190" s="17" t="s">
        <v>569</v>
      </c>
      <c r="C190" s="18" t="s">
        <v>61</v>
      </c>
      <c r="D190" s="17" t="s">
        <v>123</v>
      </c>
      <c r="E190" s="29" t="s">
        <v>365</v>
      </c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1" t="n">
        <f aca="false">SUM(F190:Q190)</f>
        <v>0</v>
      </c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22" t="n">
        <f aca="false">SUM(S190:AD190)</f>
        <v>0</v>
      </c>
      <c r="AF190" s="22"/>
      <c r="AG190" s="22"/>
      <c r="AH190" s="22"/>
      <c r="AI190" s="22"/>
      <c r="AJ190" s="22"/>
      <c r="AK190" s="22"/>
      <c r="AL190" s="22"/>
      <c r="AM190" s="30" t="s">
        <v>49</v>
      </c>
      <c r="AN190" s="22"/>
      <c r="AO190" s="22"/>
      <c r="AP190" s="22"/>
      <c r="AQ190" s="22"/>
      <c r="AR190" s="30" t="s">
        <v>49</v>
      </c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22" t="n">
        <f aca="false">SUM(AS190:BD190)</f>
        <v>0</v>
      </c>
      <c r="BF190" s="23"/>
      <c r="BG190" s="24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22" t="n">
        <f aca="false">SUM(BH190:BS190)</f>
        <v>0</v>
      </c>
      <c r="BU190" s="26"/>
      <c r="BV190" s="17"/>
      <c r="BW190" s="17"/>
      <c r="BX190" s="23" t="n">
        <f aca="false">IFERROR(R190/AE190,0)</f>
        <v>0</v>
      </c>
      <c r="BY190" s="23" t="n">
        <f aca="false">IFERROR(R190/12,0)</f>
        <v>0</v>
      </c>
      <c r="BZ190" s="18" t="n">
        <v>0</v>
      </c>
      <c r="CA190" s="22" t="str">
        <f aca="false">IF(AE190=0,"PROSPECT",IF(AE190=1,"NOVO",IF(AE190&lt;=3,"EM DESENV.",IF(AE190&lt;=6,"RECORRENTE","FIDELIZADO"))))</f>
        <v>PROSPECT</v>
      </c>
      <c r="CB190" s="22" t="n">
        <f aca="false">IF((P190+Q190)&gt;0,1,0)+IF((BR190+BS190)&gt;0,1,0)+IF(BE190&gt;0,1,0)</f>
        <v>0</v>
      </c>
    </row>
    <row r="191" customFormat="false" ht="15" hidden="false" customHeight="true" outlineLevel="0" collapsed="false">
      <c r="A191" s="16" t="s">
        <v>574</v>
      </c>
      <c r="B191" s="17" t="s">
        <v>575</v>
      </c>
      <c r="C191" s="18" t="s">
        <v>72</v>
      </c>
      <c r="D191" s="17" t="s">
        <v>576</v>
      </c>
      <c r="E191" s="29" t="s">
        <v>365</v>
      </c>
      <c r="F191" s="20"/>
      <c r="G191" s="20"/>
      <c r="H191" s="27" t="n">
        <v>652.68</v>
      </c>
      <c r="I191" s="20"/>
      <c r="J191" s="20"/>
      <c r="K191" s="20"/>
      <c r="L191" s="20"/>
      <c r="M191" s="20"/>
      <c r="N191" s="20"/>
      <c r="O191" s="20"/>
      <c r="P191" s="20"/>
      <c r="Q191" s="20"/>
      <c r="R191" s="21" t="n">
        <f aca="false">SUM(F191:Q191)</f>
        <v>652.68</v>
      </c>
      <c r="S191" s="18"/>
      <c r="T191" s="18"/>
      <c r="U191" s="28" t="n">
        <v>1</v>
      </c>
      <c r="V191" s="18"/>
      <c r="W191" s="18"/>
      <c r="X191" s="18"/>
      <c r="Y191" s="18"/>
      <c r="Z191" s="18"/>
      <c r="AA191" s="18"/>
      <c r="AB191" s="18"/>
      <c r="AC191" s="18"/>
      <c r="AD191" s="18"/>
      <c r="AE191" s="22" t="n">
        <f aca="false">SUM(S191:AD191)</f>
        <v>1</v>
      </c>
      <c r="AF191" s="22"/>
      <c r="AG191" s="22"/>
      <c r="AH191" s="29" t="s">
        <v>48</v>
      </c>
      <c r="AI191" s="22"/>
      <c r="AJ191" s="22"/>
      <c r="AK191" s="22"/>
      <c r="AL191" s="22"/>
      <c r="AM191" s="22"/>
      <c r="AN191" s="22"/>
      <c r="AO191" s="22"/>
      <c r="AP191" s="22"/>
      <c r="AQ191" s="22"/>
      <c r="AR191" s="29" t="s">
        <v>48</v>
      </c>
      <c r="AS191" s="18"/>
      <c r="AT191" s="18"/>
      <c r="AU191" s="18"/>
      <c r="AV191" s="18"/>
      <c r="AW191" s="25" t="n">
        <v>3</v>
      </c>
      <c r="AX191" s="18"/>
      <c r="AY191" s="18"/>
      <c r="AZ191" s="18"/>
      <c r="BA191" s="18"/>
      <c r="BB191" s="18"/>
      <c r="BC191" s="18"/>
      <c r="BD191" s="18"/>
      <c r="BE191" s="22" t="n">
        <f aca="false">SUM(AS191:BD191)</f>
        <v>3</v>
      </c>
      <c r="BF191" s="23" t="n">
        <v>652.68</v>
      </c>
      <c r="BG191" s="19" t="s">
        <v>55</v>
      </c>
      <c r="BH191" s="25" t="n">
        <v>1</v>
      </c>
      <c r="BI191" s="18"/>
      <c r="BJ191" s="25" t="n">
        <v>3</v>
      </c>
      <c r="BK191" s="25" t="n">
        <v>2</v>
      </c>
      <c r="BL191" s="25" t="n">
        <v>5</v>
      </c>
      <c r="BM191" s="25" t="n">
        <v>1</v>
      </c>
      <c r="BN191" s="18"/>
      <c r="BO191" s="25" t="n">
        <v>1</v>
      </c>
      <c r="BP191" s="18"/>
      <c r="BQ191" s="18"/>
      <c r="BR191" s="25" t="n">
        <v>2</v>
      </c>
      <c r="BS191" s="25" t="n">
        <v>1</v>
      </c>
      <c r="BT191" s="22" t="n">
        <f aca="false">SUM(BH191:BS191)</f>
        <v>16</v>
      </c>
      <c r="BU191" s="26" t="n">
        <v>46057.3465972222</v>
      </c>
      <c r="BV191" s="17"/>
      <c r="BW191" s="17" t="s">
        <v>44</v>
      </c>
      <c r="BX191" s="23" t="n">
        <f aca="false">IFERROR(R191/AE191,0)</f>
        <v>652.68</v>
      </c>
      <c r="BY191" s="23" t="n">
        <f aca="false">IFERROR(R191/12,0)</f>
        <v>54.39</v>
      </c>
      <c r="BZ191" s="18" t="n">
        <v>0</v>
      </c>
      <c r="CA191" s="22" t="str">
        <f aca="false">IF(AE191=0,"PROSPECT",IF(AE191=1,"NOVO",IF(AE191&lt;=3,"EM DESENV.",IF(AE191&lt;=6,"RECORRENTE","FIDELIZADO"))))</f>
        <v>NOVO</v>
      </c>
      <c r="CB191" s="22" t="n">
        <f aca="false">IF((P191+Q191)&gt;0,1,0)+IF((BR191+BS191)&gt;0,1,0)+IF(BE191&gt;0,1,0)</f>
        <v>2</v>
      </c>
    </row>
    <row r="192" customFormat="false" ht="15" hidden="false" customHeight="true" outlineLevel="0" collapsed="false">
      <c r="A192" s="16" t="s">
        <v>577</v>
      </c>
      <c r="B192" s="17" t="s">
        <v>578</v>
      </c>
      <c r="C192" s="18" t="s">
        <v>61</v>
      </c>
      <c r="D192" s="17" t="s">
        <v>159</v>
      </c>
      <c r="E192" s="29" t="s">
        <v>365</v>
      </c>
      <c r="F192" s="20"/>
      <c r="G192" s="27" t="n">
        <v>696.5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1" t="n">
        <f aca="false">SUM(F192:Q192)</f>
        <v>696.5</v>
      </c>
      <c r="S192" s="18"/>
      <c r="T192" s="28" t="n">
        <v>1</v>
      </c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22" t="n">
        <f aca="false">SUM(S192:AD192)</f>
        <v>1</v>
      </c>
      <c r="AF192" s="29" t="s">
        <v>48</v>
      </c>
      <c r="AG192" s="30" t="s">
        <v>49</v>
      </c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9" t="s">
        <v>48</v>
      </c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22" t="n">
        <f aca="false">SUM(AS192:BD192)</f>
        <v>0</v>
      </c>
      <c r="BF192" s="23"/>
      <c r="BG192" s="24"/>
      <c r="BH192" s="25" t="n">
        <v>1</v>
      </c>
      <c r="BI192" s="18"/>
      <c r="BJ192" s="25" t="n">
        <v>3</v>
      </c>
      <c r="BK192" s="25" t="n">
        <v>3</v>
      </c>
      <c r="BL192" s="25" t="n">
        <v>2</v>
      </c>
      <c r="BM192" s="18"/>
      <c r="BN192" s="18"/>
      <c r="BO192" s="18"/>
      <c r="BP192" s="25" t="n">
        <v>1</v>
      </c>
      <c r="BQ192" s="18"/>
      <c r="BR192" s="18"/>
      <c r="BS192" s="25" t="n">
        <v>1</v>
      </c>
      <c r="BT192" s="22" t="n">
        <f aca="false">SUM(BH192:BS192)</f>
        <v>11</v>
      </c>
      <c r="BU192" s="26" t="n">
        <v>46058.5248611111</v>
      </c>
      <c r="BV192" s="17"/>
      <c r="BW192" s="17" t="s">
        <v>44</v>
      </c>
      <c r="BX192" s="23" t="n">
        <f aca="false">IFERROR(R192/AE192,0)</f>
        <v>696.5</v>
      </c>
      <c r="BY192" s="23" t="n">
        <f aca="false">IFERROR(R192/12,0)</f>
        <v>58.0416666666667</v>
      </c>
      <c r="BZ192" s="18" t="n">
        <v>0</v>
      </c>
      <c r="CA192" s="22" t="str">
        <f aca="false">IF(AE192=0,"PROSPECT",IF(AE192=1,"NOVO",IF(AE192&lt;=3,"EM DESENV.",IF(AE192&lt;=6,"RECORRENTE","FIDELIZADO"))))</f>
        <v>NOVO</v>
      </c>
      <c r="CB192" s="22" t="n">
        <f aca="false">IF((P192+Q192)&gt;0,1,0)+IF((BR192+BS192)&gt;0,1,0)+IF(BE192&gt;0,1,0)</f>
        <v>1</v>
      </c>
    </row>
    <row r="193" customFormat="false" ht="15" hidden="false" customHeight="true" outlineLevel="0" collapsed="false">
      <c r="A193" s="16" t="s">
        <v>579</v>
      </c>
      <c r="B193" s="17" t="s">
        <v>580</v>
      </c>
      <c r="C193" s="18" t="s">
        <v>61</v>
      </c>
      <c r="D193" s="17" t="s">
        <v>581</v>
      </c>
      <c r="E193" s="29" t="s">
        <v>365</v>
      </c>
      <c r="F193" s="20"/>
      <c r="G193" s="27" t="n">
        <v>4544.43</v>
      </c>
      <c r="H193" s="20"/>
      <c r="I193" s="27" t="n">
        <v>912.37</v>
      </c>
      <c r="J193" s="27" t="n">
        <v>6306.96</v>
      </c>
      <c r="K193" s="20"/>
      <c r="L193" s="20"/>
      <c r="M193" s="20"/>
      <c r="N193" s="20"/>
      <c r="O193" s="20"/>
      <c r="P193" s="20"/>
      <c r="Q193" s="20"/>
      <c r="R193" s="21" t="n">
        <f aca="false">SUM(F193:Q193)</f>
        <v>11763.76</v>
      </c>
      <c r="S193" s="18"/>
      <c r="T193" s="28" t="n">
        <v>1</v>
      </c>
      <c r="U193" s="18"/>
      <c r="V193" s="28" t="n">
        <v>1</v>
      </c>
      <c r="W193" s="28" t="n">
        <v>1</v>
      </c>
      <c r="X193" s="18"/>
      <c r="Y193" s="18"/>
      <c r="Z193" s="18"/>
      <c r="AA193" s="18"/>
      <c r="AB193" s="18"/>
      <c r="AC193" s="18"/>
      <c r="AD193" s="18"/>
      <c r="AE193" s="22" t="n">
        <f aca="false">SUM(S193:AD193)</f>
        <v>3</v>
      </c>
      <c r="AF193" s="22"/>
      <c r="AG193" s="19" t="s">
        <v>50</v>
      </c>
      <c r="AH193" s="22"/>
      <c r="AI193" s="30" t="s">
        <v>49</v>
      </c>
      <c r="AJ193" s="19" t="s">
        <v>50</v>
      </c>
      <c r="AK193" s="22"/>
      <c r="AL193" s="22"/>
      <c r="AM193" s="22"/>
      <c r="AN193" s="22"/>
      <c r="AO193" s="22"/>
      <c r="AP193" s="22"/>
      <c r="AQ193" s="22"/>
      <c r="AR193" s="19" t="s">
        <v>50</v>
      </c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22" t="n">
        <f aca="false">SUM(AS193:BD193)</f>
        <v>0</v>
      </c>
      <c r="BF193" s="23"/>
      <c r="BG193" s="24"/>
      <c r="BH193" s="18"/>
      <c r="BI193" s="18"/>
      <c r="BJ193" s="18"/>
      <c r="BK193" s="25" t="n">
        <v>1</v>
      </c>
      <c r="BL193" s="25" t="n">
        <v>2</v>
      </c>
      <c r="BM193" s="18"/>
      <c r="BN193" s="18"/>
      <c r="BO193" s="18"/>
      <c r="BP193" s="25" t="n">
        <v>2</v>
      </c>
      <c r="BQ193" s="18"/>
      <c r="BR193" s="18"/>
      <c r="BS193" s="18"/>
      <c r="BT193" s="22" t="n">
        <f aca="false">SUM(BH193:BS193)</f>
        <v>5</v>
      </c>
      <c r="BU193" s="26" t="n">
        <v>45989.3634375</v>
      </c>
      <c r="BV193" s="17"/>
      <c r="BW193" s="17" t="s">
        <v>44</v>
      </c>
      <c r="BX193" s="23" t="n">
        <f aca="false">IFERROR(R193/AE193,0)</f>
        <v>3921.25333333333</v>
      </c>
      <c r="BY193" s="23" t="n">
        <f aca="false">IFERROR(R193/12,0)</f>
        <v>980.313333333333</v>
      </c>
      <c r="BZ193" s="18" t="n">
        <v>53.5</v>
      </c>
      <c r="CA193" s="22" t="str">
        <f aca="false">IF(AE193=0,"PROSPECT",IF(AE193=1,"NOVO",IF(AE193&lt;=3,"EM DESENV.",IF(AE193&lt;=6,"RECORRENTE","FIDELIZADO"))))</f>
        <v>EM DESENV.</v>
      </c>
      <c r="CB193" s="22" t="n">
        <f aca="false">IF((P193+Q193)&gt;0,1,0)+IF((BR193+BS193)&gt;0,1,0)+IF(BE193&gt;0,1,0)</f>
        <v>0</v>
      </c>
    </row>
    <row r="194" customFormat="false" ht="15" hidden="false" customHeight="true" outlineLevel="0" collapsed="false">
      <c r="A194" s="16" t="s">
        <v>582</v>
      </c>
      <c r="B194" s="17" t="s">
        <v>583</v>
      </c>
      <c r="C194" s="18" t="s">
        <v>72</v>
      </c>
      <c r="D194" s="17" t="s">
        <v>584</v>
      </c>
      <c r="E194" s="29" t="s">
        <v>365</v>
      </c>
      <c r="F194" s="20"/>
      <c r="G194" s="20"/>
      <c r="H194" s="20"/>
      <c r="I194" s="27" t="n">
        <v>9404.71</v>
      </c>
      <c r="J194" s="20"/>
      <c r="K194" s="20"/>
      <c r="L194" s="20"/>
      <c r="M194" s="20"/>
      <c r="N194" s="20"/>
      <c r="O194" s="20"/>
      <c r="P194" s="20"/>
      <c r="Q194" s="20"/>
      <c r="R194" s="21" t="n">
        <f aca="false">SUM(F194:Q194)</f>
        <v>9404.71</v>
      </c>
      <c r="S194" s="18"/>
      <c r="T194" s="18"/>
      <c r="U194" s="18"/>
      <c r="V194" s="28" t="n">
        <v>1</v>
      </c>
      <c r="W194" s="18"/>
      <c r="X194" s="18"/>
      <c r="Y194" s="18"/>
      <c r="Z194" s="18"/>
      <c r="AA194" s="18"/>
      <c r="AB194" s="18"/>
      <c r="AC194" s="18"/>
      <c r="AD194" s="18"/>
      <c r="AE194" s="22" t="n">
        <f aca="false">SUM(S194:AD194)</f>
        <v>1</v>
      </c>
      <c r="AF194" s="22"/>
      <c r="AG194" s="22"/>
      <c r="AH194" s="22"/>
      <c r="AI194" s="19" t="s">
        <v>50</v>
      </c>
      <c r="AJ194" s="22"/>
      <c r="AK194" s="22"/>
      <c r="AL194" s="22"/>
      <c r="AM194" s="22"/>
      <c r="AN194" s="22"/>
      <c r="AO194" s="22"/>
      <c r="AP194" s="22"/>
      <c r="AQ194" s="22"/>
      <c r="AR194" s="19" t="s">
        <v>50</v>
      </c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22" t="n">
        <f aca="false">SUM(AS194:BD194)</f>
        <v>0</v>
      </c>
      <c r="BF194" s="23"/>
      <c r="BG194" s="24"/>
      <c r="BH194" s="18"/>
      <c r="BI194" s="18"/>
      <c r="BJ194" s="18"/>
      <c r="BK194" s="25" t="n">
        <v>2</v>
      </c>
      <c r="BL194" s="18"/>
      <c r="BM194" s="18"/>
      <c r="BN194" s="18"/>
      <c r="BO194" s="18"/>
      <c r="BP194" s="18"/>
      <c r="BQ194" s="18"/>
      <c r="BR194" s="18"/>
      <c r="BS194" s="18"/>
      <c r="BT194" s="22" t="n">
        <f aca="false">SUM(BH194:BS194)</f>
        <v>2</v>
      </c>
      <c r="BU194" s="26" t="n">
        <v>45835.4296643519</v>
      </c>
      <c r="BV194" s="17"/>
      <c r="BW194" s="17" t="s">
        <v>44</v>
      </c>
      <c r="BX194" s="23" t="n">
        <f aca="false">IFERROR(R194/AE194,0)</f>
        <v>9404.71</v>
      </c>
      <c r="BY194" s="23" t="n">
        <f aca="false">IFERROR(R194/12,0)</f>
        <v>783.725833333333</v>
      </c>
      <c r="BZ194" s="18" t="n">
        <v>0</v>
      </c>
      <c r="CA194" s="22" t="str">
        <f aca="false">IF(AE194=0,"PROSPECT",IF(AE194=1,"NOVO",IF(AE194&lt;=3,"EM DESENV.",IF(AE194&lt;=6,"RECORRENTE","FIDELIZADO"))))</f>
        <v>NOVO</v>
      </c>
      <c r="CB194" s="22" t="n">
        <f aca="false">IF((P194+Q194)&gt;0,1,0)+IF((BR194+BS194)&gt;0,1,0)+IF(BE194&gt;0,1,0)</f>
        <v>0</v>
      </c>
    </row>
    <row r="195" customFormat="false" ht="15" hidden="false" customHeight="true" outlineLevel="0" collapsed="false">
      <c r="A195" s="16" t="s">
        <v>585</v>
      </c>
      <c r="B195" s="17" t="s">
        <v>586</v>
      </c>
      <c r="C195" s="18" t="s">
        <v>72</v>
      </c>
      <c r="D195" s="17" t="s">
        <v>587</v>
      </c>
      <c r="E195" s="29" t="s">
        <v>365</v>
      </c>
      <c r="F195" s="20"/>
      <c r="G195" s="20"/>
      <c r="H195" s="20"/>
      <c r="I195" s="20"/>
      <c r="J195" s="20"/>
      <c r="K195" s="27" t="n">
        <v>801.51</v>
      </c>
      <c r="L195" s="20"/>
      <c r="M195" s="20"/>
      <c r="N195" s="20"/>
      <c r="O195" s="20"/>
      <c r="P195" s="20"/>
      <c r="Q195" s="20"/>
      <c r="R195" s="21" t="n">
        <f aca="false">SUM(F195:Q195)</f>
        <v>801.51</v>
      </c>
      <c r="S195" s="18"/>
      <c r="T195" s="18"/>
      <c r="U195" s="18"/>
      <c r="V195" s="18"/>
      <c r="W195" s="18"/>
      <c r="X195" s="28" t="n">
        <v>1</v>
      </c>
      <c r="Y195" s="18"/>
      <c r="Z195" s="18"/>
      <c r="AA195" s="18"/>
      <c r="AB195" s="18"/>
      <c r="AC195" s="18"/>
      <c r="AD195" s="18"/>
      <c r="AE195" s="22" t="n">
        <f aca="false">SUM(S195:AD195)</f>
        <v>1</v>
      </c>
      <c r="AF195" s="22"/>
      <c r="AG195" s="22"/>
      <c r="AH195" s="22"/>
      <c r="AI195" s="22"/>
      <c r="AJ195" s="22"/>
      <c r="AK195" s="30" t="s">
        <v>49</v>
      </c>
      <c r="AL195" s="22"/>
      <c r="AM195" s="22"/>
      <c r="AN195" s="22"/>
      <c r="AO195" s="22"/>
      <c r="AP195" s="22"/>
      <c r="AQ195" s="22"/>
      <c r="AR195" s="29" t="s">
        <v>48</v>
      </c>
      <c r="AS195" s="18"/>
      <c r="AT195" s="18"/>
      <c r="AU195" s="18"/>
      <c r="AV195" s="18"/>
      <c r="AW195" s="18"/>
      <c r="AX195" s="25" t="n">
        <v>3</v>
      </c>
      <c r="AY195" s="18"/>
      <c r="AZ195" s="18"/>
      <c r="BA195" s="18"/>
      <c r="BB195" s="18"/>
      <c r="BC195" s="18"/>
      <c r="BD195" s="18"/>
      <c r="BE195" s="22" t="n">
        <f aca="false">SUM(AS195:BD195)</f>
        <v>3</v>
      </c>
      <c r="BF195" s="23" t="n">
        <v>801.51</v>
      </c>
      <c r="BG195" s="19" t="s">
        <v>55</v>
      </c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25" t="n">
        <v>2</v>
      </c>
      <c r="BT195" s="22" t="n">
        <f aca="false">SUM(BH195:BS195)</f>
        <v>2</v>
      </c>
      <c r="BU195" s="26" t="n">
        <v>46058.4659722222</v>
      </c>
      <c r="BV195" s="17"/>
      <c r="BW195" s="17" t="s">
        <v>44</v>
      </c>
      <c r="BX195" s="23" t="n">
        <f aca="false">IFERROR(R195/AE195,0)</f>
        <v>801.51</v>
      </c>
      <c r="BY195" s="23" t="n">
        <f aca="false">IFERROR(R195/12,0)</f>
        <v>66.7925</v>
      </c>
      <c r="BZ195" s="18" t="n">
        <v>0</v>
      </c>
      <c r="CA195" s="22" t="str">
        <f aca="false">IF(AE195=0,"PROSPECT",IF(AE195=1,"NOVO",IF(AE195&lt;=3,"EM DESENV.",IF(AE195&lt;=6,"RECORRENTE","FIDELIZADO"))))</f>
        <v>NOVO</v>
      </c>
      <c r="CB195" s="22" t="n">
        <f aca="false">IF((P195+Q195)&gt;0,1,0)+IF((BR195+BS195)&gt;0,1,0)+IF(BE195&gt;0,1,0)</f>
        <v>2</v>
      </c>
    </row>
    <row r="196" customFormat="false" ht="15" hidden="false" customHeight="true" outlineLevel="0" collapsed="false">
      <c r="A196" s="16" t="s">
        <v>588</v>
      </c>
      <c r="B196" s="17" t="s">
        <v>589</v>
      </c>
      <c r="C196" s="18" t="s">
        <v>53</v>
      </c>
      <c r="D196" s="17" t="s">
        <v>590</v>
      </c>
      <c r="E196" s="29" t="s">
        <v>365</v>
      </c>
      <c r="F196" s="20"/>
      <c r="G196" s="20"/>
      <c r="H196" s="20"/>
      <c r="I196" s="20"/>
      <c r="J196" s="20"/>
      <c r="K196" s="27" t="n">
        <v>901.53</v>
      </c>
      <c r="L196" s="20"/>
      <c r="M196" s="20"/>
      <c r="N196" s="20"/>
      <c r="O196" s="20"/>
      <c r="P196" s="20"/>
      <c r="Q196" s="20"/>
      <c r="R196" s="21" t="n">
        <f aca="false">SUM(F196:Q196)</f>
        <v>901.53</v>
      </c>
      <c r="S196" s="18"/>
      <c r="T196" s="18"/>
      <c r="U196" s="18"/>
      <c r="V196" s="18"/>
      <c r="W196" s="18"/>
      <c r="X196" s="28" t="n">
        <v>1</v>
      </c>
      <c r="Y196" s="18"/>
      <c r="Z196" s="18"/>
      <c r="AA196" s="18"/>
      <c r="AB196" s="18"/>
      <c r="AC196" s="18"/>
      <c r="AD196" s="18"/>
      <c r="AE196" s="22" t="n">
        <f aca="false">SUM(S196:AD196)</f>
        <v>1</v>
      </c>
      <c r="AF196" s="22"/>
      <c r="AG196" s="22"/>
      <c r="AH196" s="22"/>
      <c r="AI196" s="22"/>
      <c r="AJ196" s="22"/>
      <c r="AK196" s="30" t="s">
        <v>49</v>
      </c>
      <c r="AL196" s="22"/>
      <c r="AM196" s="22"/>
      <c r="AN196" s="22"/>
      <c r="AO196" s="22"/>
      <c r="AP196" s="22"/>
      <c r="AQ196" s="22"/>
      <c r="AR196" s="29" t="s">
        <v>48</v>
      </c>
      <c r="AS196" s="18"/>
      <c r="AT196" s="18"/>
      <c r="AU196" s="18"/>
      <c r="AV196" s="18"/>
      <c r="AW196" s="18"/>
      <c r="AX196" s="25" t="n">
        <v>4</v>
      </c>
      <c r="AY196" s="18"/>
      <c r="AZ196" s="18"/>
      <c r="BA196" s="18"/>
      <c r="BB196" s="18"/>
      <c r="BC196" s="18"/>
      <c r="BD196" s="18"/>
      <c r="BE196" s="22" t="n">
        <f aca="false">SUM(AS196:BD196)</f>
        <v>4</v>
      </c>
      <c r="BF196" s="23" t="n">
        <v>901.53</v>
      </c>
      <c r="BG196" s="19" t="s">
        <v>55</v>
      </c>
      <c r="BH196" s="18"/>
      <c r="BI196" s="18"/>
      <c r="BJ196" s="18"/>
      <c r="BK196" s="18"/>
      <c r="BL196" s="18"/>
      <c r="BM196" s="25" t="n">
        <v>1</v>
      </c>
      <c r="BN196" s="18"/>
      <c r="BO196" s="25" t="n">
        <v>1</v>
      </c>
      <c r="BP196" s="18"/>
      <c r="BQ196" s="18"/>
      <c r="BR196" s="25" t="n">
        <v>2</v>
      </c>
      <c r="BS196" s="18"/>
      <c r="BT196" s="22" t="n">
        <f aca="false">SUM(BH196:BS196)</f>
        <v>4</v>
      </c>
      <c r="BU196" s="26" t="n">
        <v>46036.5861111111</v>
      </c>
      <c r="BV196" s="17" t="s">
        <v>378</v>
      </c>
      <c r="BW196" s="17" t="s">
        <v>44</v>
      </c>
      <c r="BX196" s="23" t="n">
        <f aca="false">IFERROR(R196/AE196,0)</f>
        <v>901.53</v>
      </c>
      <c r="BY196" s="23" t="n">
        <f aca="false">IFERROR(R196/12,0)</f>
        <v>75.1275</v>
      </c>
      <c r="BZ196" s="18" t="n">
        <v>0</v>
      </c>
      <c r="CA196" s="22" t="str">
        <f aca="false">IF(AE196=0,"PROSPECT",IF(AE196=1,"NOVO",IF(AE196&lt;=3,"EM DESENV.",IF(AE196&lt;=6,"RECORRENTE","FIDELIZADO"))))</f>
        <v>NOVO</v>
      </c>
      <c r="CB196" s="22" t="n">
        <f aca="false">IF((P196+Q196)&gt;0,1,0)+IF((BR196+BS196)&gt;0,1,0)+IF(BE196&gt;0,1,0)</f>
        <v>2</v>
      </c>
    </row>
    <row r="197" customFormat="false" ht="15" hidden="false" customHeight="true" outlineLevel="0" collapsed="false">
      <c r="A197" s="16" t="s">
        <v>591</v>
      </c>
      <c r="B197" s="17" t="s">
        <v>592</v>
      </c>
      <c r="C197" s="18" t="s">
        <v>53</v>
      </c>
      <c r="D197" s="17" t="s">
        <v>593</v>
      </c>
      <c r="E197" s="29" t="s">
        <v>365</v>
      </c>
      <c r="F197" s="20"/>
      <c r="G197" s="20"/>
      <c r="H197" s="20"/>
      <c r="I197" s="20"/>
      <c r="J197" s="20"/>
      <c r="K197" s="20"/>
      <c r="L197" s="27" t="n">
        <v>1809</v>
      </c>
      <c r="M197" s="20"/>
      <c r="N197" s="20"/>
      <c r="O197" s="20"/>
      <c r="P197" s="20"/>
      <c r="Q197" s="20"/>
      <c r="R197" s="21" t="n">
        <f aca="false">SUM(F197:Q197)</f>
        <v>1809</v>
      </c>
      <c r="S197" s="18"/>
      <c r="T197" s="18"/>
      <c r="U197" s="18"/>
      <c r="V197" s="18"/>
      <c r="W197" s="18"/>
      <c r="X197" s="18"/>
      <c r="Y197" s="28" t="n">
        <v>1</v>
      </c>
      <c r="Z197" s="18"/>
      <c r="AA197" s="18"/>
      <c r="AB197" s="18"/>
      <c r="AC197" s="18"/>
      <c r="AD197" s="18"/>
      <c r="AE197" s="22" t="n">
        <f aca="false">SUM(S197:AD197)</f>
        <v>1</v>
      </c>
      <c r="AF197" s="22"/>
      <c r="AG197" s="22"/>
      <c r="AH197" s="22"/>
      <c r="AI197" s="22"/>
      <c r="AJ197" s="22"/>
      <c r="AK197" s="22"/>
      <c r="AL197" s="19" t="s">
        <v>50</v>
      </c>
      <c r="AM197" s="22"/>
      <c r="AN197" s="22"/>
      <c r="AO197" s="22"/>
      <c r="AP197" s="22"/>
      <c r="AQ197" s="22"/>
      <c r="AR197" s="30" t="s">
        <v>49</v>
      </c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22" t="n">
        <f aca="false">SUM(AS197:BD197)</f>
        <v>0</v>
      </c>
      <c r="BF197" s="23"/>
      <c r="BG197" s="24"/>
      <c r="BH197" s="18"/>
      <c r="BI197" s="18"/>
      <c r="BJ197" s="18"/>
      <c r="BK197" s="18"/>
      <c r="BL197" s="18"/>
      <c r="BM197" s="18"/>
      <c r="BN197" s="25" t="n">
        <v>1</v>
      </c>
      <c r="BO197" s="18"/>
      <c r="BP197" s="18"/>
      <c r="BQ197" s="18"/>
      <c r="BR197" s="25" t="n">
        <v>2</v>
      </c>
      <c r="BS197" s="18"/>
      <c r="BT197" s="22" t="n">
        <f aca="false">SUM(BH197:BS197)</f>
        <v>3</v>
      </c>
      <c r="BU197" s="26" t="n">
        <v>46036.3951388889</v>
      </c>
      <c r="BV197" s="17" t="s">
        <v>243</v>
      </c>
      <c r="BW197" s="17" t="s">
        <v>44</v>
      </c>
      <c r="BX197" s="23" t="n">
        <f aca="false">IFERROR(R197/AE197,0)</f>
        <v>1809</v>
      </c>
      <c r="BY197" s="23" t="n">
        <f aca="false">IFERROR(R197/12,0)</f>
        <v>150.75</v>
      </c>
      <c r="BZ197" s="18" t="n">
        <v>0</v>
      </c>
      <c r="CA197" s="22" t="str">
        <f aca="false">IF(AE197=0,"PROSPECT",IF(AE197=1,"NOVO",IF(AE197&lt;=3,"EM DESENV.",IF(AE197&lt;=6,"RECORRENTE","FIDELIZADO"))))</f>
        <v>NOVO</v>
      </c>
      <c r="CB197" s="22" t="n">
        <f aca="false">IF((P197+Q197)&gt;0,1,0)+IF((BR197+BS197)&gt;0,1,0)+IF(BE197&gt;0,1,0)</f>
        <v>1</v>
      </c>
    </row>
    <row r="198" customFormat="false" ht="15" hidden="false" customHeight="true" outlineLevel="0" collapsed="false">
      <c r="A198" s="16" t="s">
        <v>594</v>
      </c>
      <c r="B198" s="17" t="s">
        <v>595</v>
      </c>
      <c r="C198" s="18" t="s">
        <v>309</v>
      </c>
      <c r="D198" s="17" t="s">
        <v>596</v>
      </c>
      <c r="E198" s="29" t="s">
        <v>365</v>
      </c>
      <c r="F198" s="20"/>
      <c r="G198" s="20"/>
      <c r="H198" s="20"/>
      <c r="I198" s="27" t="n">
        <v>3469.32</v>
      </c>
      <c r="J198" s="20"/>
      <c r="K198" s="20"/>
      <c r="L198" s="20"/>
      <c r="M198" s="20"/>
      <c r="N198" s="20"/>
      <c r="O198" s="20"/>
      <c r="P198" s="20"/>
      <c r="Q198" s="20"/>
      <c r="R198" s="21" t="n">
        <f aca="false">SUM(F198:Q198)</f>
        <v>3469.32</v>
      </c>
      <c r="S198" s="18"/>
      <c r="T198" s="18"/>
      <c r="U198" s="18"/>
      <c r="V198" s="28" t="n">
        <v>1</v>
      </c>
      <c r="W198" s="18"/>
      <c r="X198" s="18"/>
      <c r="Y198" s="18"/>
      <c r="Z198" s="18"/>
      <c r="AA198" s="18"/>
      <c r="AB198" s="18"/>
      <c r="AC198" s="18"/>
      <c r="AD198" s="18"/>
      <c r="AE198" s="22" t="n">
        <f aca="false">SUM(S198:AD198)</f>
        <v>1</v>
      </c>
      <c r="AF198" s="22"/>
      <c r="AG198" s="22"/>
      <c r="AH198" s="22"/>
      <c r="AI198" s="19" t="s">
        <v>50</v>
      </c>
      <c r="AJ198" s="22"/>
      <c r="AK198" s="22"/>
      <c r="AL198" s="22"/>
      <c r="AM198" s="22"/>
      <c r="AN198" s="22"/>
      <c r="AO198" s="22"/>
      <c r="AP198" s="22"/>
      <c r="AQ198" s="22"/>
      <c r="AR198" s="19" t="s">
        <v>50</v>
      </c>
      <c r="AS198" s="18"/>
      <c r="AT198" s="18"/>
      <c r="AU198" s="18"/>
      <c r="AV198" s="25" t="n">
        <v>2</v>
      </c>
      <c r="AW198" s="18"/>
      <c r="AX198" s="18"/>
      <c r="AY198" s="18"/>
      <c r="AZ198" s="18"/>
      <c r="BA198" s="18"/>
      <c r="BB198" s="18"/>
      <c r="BC198" s="18"/>
      <c r="BD198" s="18"/>
      <c r="BE198" s="22" t="n">
        <f aca="false">SUM(AS198:BD198)</f>
        <v>2</v>
      </c>
      <c r="BF198" s="23" t="n">
        <v>3469.32</v>
      </c>
      <c r="BG198" s="19" t="s">
        <v>55</v>
      </c>
      <c r="BH198" s="18"/>
      <c r="BI198" s="18"/>
      <c r="BJ198" s="18"/>
      <c r="BK198" s="25" t="n">
        <v>2</v>
      </c>
      <c r="BL198" s="25" t="n">
        <v>1</v>
      </c>
      <c r="BM198" s="18"/>
      <c r="BN198" s="25" t="n">
        <v>2</v>
      </c>
      <c r="BO198" s="25" t="n">
        <v>1</v>
      </c>
      <c r="BP198" s="18"/>
      <c r="BQ198" s="25" t="n">
        <v>2</v>
      </c>
      <c r="BR198" s="25" t="n">
        <v>3</v>
      </c>
      <c r="BS198" s="18"/>
      <c r="BT198" s="22" t="n">
        <f aca="false">SUM(BH198:BS198)</f>
        <v>11</v>
      </c>
      <c r="BU198" s="26" t="n">
        <v>46036.6708333333</v>
      </c>
      <c r="BV198" s="17" t="s">
        <v>378</v>
      </c>
      <c r="BW198" s="17" t="s">
        <v>44</v>
      </c>
      <c r="BX198" s="23" t="n">
        <f aca="false">IFERROR(R198/AE198,0)</f>
        <v>3469.32</v>
      </c>
      <c r="BY198" s="23" t="n">
        <f aca="false">IFERROR(R198/12,0)</f>
        <v>289.11</v>
      </c>
      <c r="BZ198" s="18" t="n">
        <v>0</v>
      </c>
      <c r="CA198" s="22" t="str">
        <f aca="false">IF(AE198=0,"PROSPECT",IF(AE198=1,"NOVO",IF(AE198&lt;=3,"EM DESENV.",IF(AE198&lt;=6,"RECORRENTE","FIDELIZADO"))))</f>
        <v>NOVO</v>
      </c>
      <c r="CB198" s="22" t="n">
        <f aca="false">IF((P198+Q198)&gt;0,1,0)+IF((BR198+BS198)&gt;0,1,0)+IF(BE198&gt;0,1,0)</f>
        <v>2</v>
      </c>
    </row>
    <row r="199" customFormat="false" ht="15" hidden="false" customHeight="true" outlineLevel="0" collapsed="false">
      <c r="A199" s="16" t="s">
        <v>597</v>
      </c>
      <c r="B199" s="17" t="s">
        <v>598</v>
      </c>
      <c r="C199" s="18" t="s">
        <v>61</v>
      </c>
      <c r="D199" s="17" t="s">
        <v>248</v>
      </c>
      <c r="E199" s="29" t="s">
        <v>365</v>
      </c>
      <c r="F199" s="20"/>
      <c r="G199" s="20"/>
      <c r="H199" s="20"/>
      <c r="I199" s="20"/>
      <c r="J199" s="20"/>
      <c r="K199" s="20"/>
      <c r="L199" s="27" t="n">
        <v>2710.89</v>
      </c>
      <c r="M199" s="27" t="n">
        <v>1330.13</v>
      </c>
      <c r="N199" s="20"/>
      <c r="O199" s="20"/>
      <c r="P199" s="20"/>
      <c r="Q199" s="20"/>
      <c r="R199" s="21" t="n">
        <f aca="false">SUM(F199:Q199)</f>
        <v>4041.02</v>
      </c>
      <c r="S199" s="18"/>
      <c r="T199" s="18"/>
      <c r="U199" s="18"/>
      <c r="V199" s="18"/>
      <c r="W199" s="18"/>
      <c r="X199" s="18"/>
      <c r="Y199" s="28" t="n">
        <v>1</v>
      </c>
      <c r="Z199" s="28" t="n">
        <v>1</v>
      </c>
      <c r="AA199" s="18"/>
      <c r="AB199" s="18"/>
      <c r="AC199" s="18"/>
      <c r="AD199" s="18"/>
      <c r="AE199" s="22" t="n">
        <f aca="false">SUM(S199:AD199)</f>
        <v>2</v>
      </c>
      <c r="AF199" s="22"/>
      <c r="AG199" s="22"/>
      <c r="AH199" s="22"/>
      <c r="AI199" s="22"/>
      <c r="AJ199" s="22"/>
      <c r="AK199" s="22"/>
      <c r="AL199" s="19" t="s">
        <v>50</v>
      </c>
      <c r="AM199" s="30" t="s">
        <v>49</v>
      </c>
      <c r="AN199" s="22"/>
      <c r="AO199" s="22"/>
      <c r="AP199" s="22"/>
      <c r="AQ199" s="22"/>
      <c r="AR199" s="19" t="s">
        <v>50</v>
      </c>
      <c r="AS199" s="18"/>
      <c r="AT199" s="25" t="n">
        <v>1</v>
      </c>
      <c r="AU199" s="25" t="n">
        <v>1</v>
      </c>
      <c r="AV199" s="18"/>
      <c r="AW199" s="18"/>
      <c r="AX199" s="18"/>
      <c r="AY199" s="25" t="n">
        <v>1</v>
      </c>
      <c r="AZ199" s="18"/>
      <c r="BA199" s="18"/>
      <c r="BB199" s="18"/>
      <c r="BC199" s="18"/>
      <c r="BD199" s="18"/>
      <c r="BE199" s="22" t="n">
        <f aca="false">SUM(AS199:BD199)</f>
        <v>3</v>
      </c>
      <c r="BF199" s="23"/>
      <c r="BG199" s="31" t="s">
        <v>93</v>
      </c>
      <c r="BH199" s="18"/>
      <c r="BI199" s="25" t="n">
        <v>1</v>
      </c>
      <c r="BJ199" s="18"/>
      <c r="BK199" s="18"/>
      <c r="BL199" s="25" t="n">
        <v>1</v>
      </c>
      <c r="BM199" s="18"/>
      <c r="BN199" s="18"/>
      <c r="BO199" s="18"/>
      <c r="BP199" s="18"/>
      <c r="BQ199" s="18"/>
      <c r="BR199" s="18"/>
      <c r="BS199" s="18"/>
      <c r="BT199" s="22" t="n">
        <f aca="false">SUM(BH199:BS199)</f>
        <v>2</v>
      </c>
      <c r="BU199" s="26" t="n">
        <v>45849.4243402778</v>
      </c>
      <c r="BV199" s="17"/>
      <c r="BW199" s="17" t="s">
        <v>44</v>
      </c>
      <c r="BX199" s="23" t="n">
        <f aca="false">IFERROR(R199/AE199,0)</f>
        <v>2020.51</v>
      </c>
      <c r="BY199" s="23" t="n">
        <f aca="false">IFERROR(R199/12,0)</f>
        <v>336.751666666667</v>
      </c>
      <c r="BZ199" s="18" t="n">
        <v>31</v>
      </c>
      <c r="CA199" s="22" t="str">
        <f aca="false">IF(AE199=0,"PROSPECT",IF(AE199=1,"NOVO",IF(AE199&lt;=3,"EM DESENV.",IF(AE199&lt;=6,"RECORRENTE","FIDELIZADO"))))</f>
        <v>EM DESENV.</v>
      </c>
      <c r="CB199" s="22" t="n">
        <f aca="false">IF((P199+Q199)&gt;0,1,0)+IF((BR199+BS199)&gt;0,1,0)+IF(BE199&gt;0,1,0)</f>
        <v>1</v>
      </c>
    </row>
    <row r="200" customFormat="false" ht="15" hidden="false" customHeight="true" outlineLevel="0" collapsed="false">
      <c r="A200" s="16" t="s">
        <v>599</v>
      </c>
      <c r="B200" s="17" t="s">
        <v>600</v>
      </c>
      <c r="C200" s="18" t="s">
        <v>65</v>
      </c>
      <c r="D200" s="17" t="s">
        <v>601</v>
      </c>
      <c r="E200" s="29" t="s">
        <v>365</v>
      </c>
      <c r="F200" s="20"/>
      <c r="G200" s="27" t="n">
        <v>2713.86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1" t="n">
        <f aca="false">SUM(F200:Q200)</f>
        <v>2713.86</v>
      </c>
      <c r="S200" s="18"/>
      <c r="T200" s="28" t="n">
        <v>1</v>
      </c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22" t="n">
        <f aca="false">SUM(S200:AD200)</f>
        <v>1</v>
      </c>
      <c r="AF200" s="22"/>
      <c r="AG200" s="19" t="s">
        <v>50</v>
      </c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19" t="s">
        <v>50</v>
      </c>
      <c r="AS200" s="18"/>
      <c r="AT200" s="25" t="n">
        <v>2</v>
      </c>
      <c r="AU200" s="25" t="n">
        <v>2</v>
      </c>
      <c r="AV200" s="18"/>
      <c r="AW200" s="18"/>
      <c r="AX200" s="18"/>
      <c r="AY200" s="18"/>
      <c r="AZ200" s="18"/>
      <c r="BA200" s="18"/>
      <c r="BB200" s="18"/>
      <c r="BC200" s="18"/>
      <c r="BD200" s="18"/>
      <c r="BE200" s="22" t="n">
        <f aca="false">SUM(AS200:BD200)</f>
        <v>4</v>
      </c>
      <c r="BF200" s="23" t="n">
        <v>5427.72</v>
      </c>
      <c r="BG200" s="19" t="s">
        <v>55</v>
      </c>
      <c r="BH200" s="18"/>
      <c r="BI200" s="18"/>
      <c r="BJ200" s="18"/>
      <c r="BK200" s="25" t="n">
        <v>1</v>
      </c>
      <c r="BL200" s="25" t="n">
        <v>1</v>
      </c>
      <c r="BM200" s="18"/>
      <c r="BN200" s="25" t="n">
        <v>2</v>
      </c>
      <c r="BO200" s="18"/>
      <c r="BP200" s="18"/>
      <c r="BQ200" s="25" t="n">
        <v>2</v>
      </c>
      <c r="BR200" s="25" t="n">
        <v>2</v>
      </c>
      <c r="BS200" s="18"/>
      <c r="BT200" s="22" t="n">
        <f aca="false">SUM(BH200:BS200)</f>
        <v>8</v>
      </c>
      <c r="BU200" s="26" t="n">
        <v>46036.7024189815</v>
      </c>
      <c r="BV200" s="17"/>
      <c r="BW200" s="17" t="s">
        <v>44</v>
      </c>
      <c r="BX200" s="23" t="n">
        <f aca="false">IFERROR(R200/AE200,0)</f>
        <v>2713.86</v>
      </c>
      <c r="BY200" s="23" t="n">
        <f aca="false">IFERROR(R200/12,0)</f>
        <v>226.155</v>
      </c>
      <c r="BZ200" s="18" t="n">
        <v>0</v>
      </c>
      <c r="CA200" s="22" t="str">
        <f aca="false">IF(AE200=0,"PROSPECT",IF(AE200=1,"NOVO",IF(AE200&lt;=3,"EM DESENV.",IF(AE200&lt;=6,"RECORRENTE","FIDELIZADO"))))</f>
        <v>NOVO</v>
      </c>
      <c r="CB200" s="22" t="n">
        <f aca="false">IF((P200+Q200)&gt;0,1,0)+IF((BR200+BS200)&gt;0,1,0)+IF(BE200&gt;0,1,0)</f>
        <v>2</v>
      </c>
    </row>
    <row r="201" customFormat="false" ht="15" hidden="false" customHeight="true" outlineLevel="0" collapsed="false">
      <c r="A201" s="16" t="s">
        <v>602</v>
      </c>
      <c r="B201" s="17" t="s">
        <v>603</v>
      </c>
      <c r="C201" s="18" t="s">
        <v>83</v>
      </c>
      <c r="D201" s="17" t="s">
        <v>84</v>
      </c>
      <c r="E201" s="29" t="s">
        <v>365</v>
      </c>
      <c r="F201" s="20"/>
      <c r="G201" s="20"/>
      <c r="H201" s="20"/>
      <c r="I201" s="20"/>
      <c r="J201" s="20"/>
      <c r="K201" s="20"/>
      <c r="L201" s="20"/>
      <c r="M201" s="27" t="n">
        <v>1453.07</v>
      </c>
      <c r="N201" s="20"/>
      <c r="O201" s="20"/>
      <c r="P201" s="20"/>
      <c r="Q201" s="20"/>
      <c r="R201" s="21" t="n">
        <f aca="false">SUM(F201:Q201)</f>
        <v>1453.07</v>
      </c>
      <c r="S201" s="18"/>
      <c r="T201" s="18"/>
      <c r="U201" s="18"/>
      <c r="V201" s="18"/>
      <c r="W201" s="18"/>
      <c r="X201" s="18"/>
      <c r="Y201" s="18"/>
      <c r="Z201" s="28" t="n">
        <v>1</v>
      </c>
      <c r="AA201" s="18"/>
      <c r="AB201" s="18"/>
      <c r="AC201" s="18"/>
      <c r="AD201" s="18"/>
      <c r="AE201" s="22" t="n">
        <f aca="false">SUM(S201:AD201)</f>
        <v>1</v>
      </c>
      <c r="AF201" s="22"/>
      <c r="AG201" s="22"/>
      <c r="AH201" s="22"/>
      <c r="AI201" s="22"/>
      <c r="AJ201" s="22"/>
      <c r="AK201" s="22"/>
      <c r="AL201" s="22"/>
      <c r="AM201" s="30" t="s">
        <v>49</v>
      </c>
      <c r="AN201" s="22"/>
      <c r="AO201" s="22"/>
      <c r="AP201" s="22"/>
      <c r="AQ201" s="22"/>
      <c r="AR201" s="30" t="s">
        <v>49</v>
      </c>
      <c r="AS201" s="18"/>
      <c r="AT201" s="18"/>
      <c r="AU201" s="18"/>
      <c r="AV201" s="18"/>
      <c r="AW201" s="18"/>
      <c r="AX201" s="18"/>
      <c r="AY201" s="18"/>
      <c r="AZ201" s="18"/>
      <c r="BA201" s="25" t="n">
        <v>3</v>
      </c>
      <c r="BB201" s="18"/>
      <c r="BC201" s="18"/>
      <c r="BD201" s="18"/>
      <c r="BE201" s="22" t="n">
        <f aca="false">SUM(AS201:BD201)</f>
        <v>3</v>
      </c>
      <c r="BF201" s="23"/>
      <c r="BG201" s="31" t="s">
        <v>93</v>
      </c>
      <c r="BH201" s="18"/>
      <c r="BI201" s="18"/>
      <c r="BJ201" s="18"/>
      <c r="BK201" s="18"/>
      <c r="BL201" s="25" t="n">
        <v>2</v>
      </c>
      <c r="BM201" s="18"/>
      <c r="BN201" s="18"/>
      <c r="BO201" s="25" t="n">
        <v>1</v>
      </c>
      <c r="BP201" s="18"/>
      <c r="BQ201" s="18"/>
      <c r="BR201" s="25" t="n">
        <v>3</v>
      </c>
      <c r="BS201" s="18"/>
      <c r="BT201" s="22" t="n">
        <f aca="false">SUM(BH201:BS201)</f>
        <v>6</v>
      </c>
      <c r="BU201" s="26" t="n">
        <v>46050.375</v>
      </c>
      <c r="BV201" s="17"/>
      <c r="BW201" s="17" t="s">
        <v>44</v>
      </c>
      <c r="BX201" s="23" t="n">
        <f aca="false">IFERROR(R201/AE201,0)</f>
        <v>1453.07</v>
      </c>
      <c r="BY201" s="23" t="n">
        <f aca="false">IFERROR(R201/12,0)</f>
        <v>121.089166666667</v>
      </c>
      <c r="BZ201" s="18" t="n">
        <v>0</v>
      </c>
      <c r="CA201" s="22" t="str">
        <f aca="false">IF(AE201=0,"PROSPECT",IF(AE201=1,"NOVO",IF(AE201&lt;=3,"EM DESENV.",IF(AE201&lt;=6,"RECORRENTE","FIDELIZADO"))))</f>
        <v>NOVO</v>
      </c>
      <c r="CB201" s="22" t="n">
        <f aca="false">IF((P201+Q201)&gt;0,1,0)+IF((BR201+BS201)&gt;0,1,0)+IF(BE201&gt;0,1,0)</f>
        <v>2</v>
      </c>
    </row>
    <row r="202" customFormat="false" ht="15" hidden="false" customHeight="true" outlineLevel="0" collapsed="false">
      <c r="A202" s="16" t="s">
        <v>604</v>
      </c>
      <c r="B202" s="17" t="s">
        <v>605</v>
      </c>
      <c r="C202" s="18" t="s">
        <v>41</v>
      </c>
      <c r="D202" s="17" t="s">
        <v>606</v>
      </c>
      <c r="E202" s="29" t="s">
        <v>365</v>
      </c>
      <c r="F202" s="20"/>
      <c r="G202" s="20"/>
      <c r="H202" s="27" t="n">
        <v>1145.41</v>
      </c>
      <c r="I202" s="27" t="n">
        <v>847.93</v>
      </c>
      <c r="J202" s="20"/>
      <c r="K202" s="27" t="n">
        <v>767.84</v>
      </c>
      <c r="L202" s="20"/>
      <c r="M202" s="27" t="n">
        <v>784.88</v>
      </c>
      <c r="N202" s="20"/>
      <c r="O202" s="20"/>
      <c r="P202" s="20"/>
      <c r="Q202" s="20"/>
      <c r="R202" s="21" t="n">
        <f aca="false">SUM(F202:Q202)</f>
        <v>3546.06</v>
      </c>
      <c r="S202" s="18"/>
      <c r="T202" s="18"/>
      <c r="U202" s="28" t="n">
        <v>1</v>
      </c>
      <c r="V202" s="28" t="n">
        <v>1</v>
      </c>
      <c r="W202" s="18"/>
      <c r="X202" s="28" t="n">
        <v>1</v>
      </c>
      <c r="Y202" s="18"/>
      <c r="Z202" s="28" t="n">
        <v>1</v>
      </c>
      <c r="AA202" s="18"/>
      <c r="AB202" s="18"/>
      <c r="AC202" s="18"/>
      <c r="AD202" s="18"/>
      <c r="AE202" s="22" t="n">
        <f aca="false">SUM(S202:AD202)</f>
        <v>4</v>
      </c>
      <c r="AF202" s="22"/>
      <c r="AG202" s="22"/>
      <c r="AH202" s="30" t="s">
        <v>49</v>
      </c>
      <c r="AI202" s="30" t="s">
        <v>49</v>
      </c>
      <c r="AJ202" s="22"/>
      <c r="AK202" s="30" t="s">
        <v>49</v>
      </c>
      <c r="AL202" s="22"/>
      <c r="AM202" s="29" t="s">
        <v>48</v>
      </c>
      <c r="AN202" s="22"/>
      <c r="AO202" s="22"/>
      <c r="AP202" s="22"/>
      <c r="AQ202" s="22"/>
      <c r="AR202" s="19" t="s">
        <v>50</v>
      </c>
      <c r="AS202" s="18"/>
      <c r="AT202" s="18"/>
      <c r="AU202" s="18"/>
      <c r="AV202" s="25" t="n">
        <v>2</v>
      </c>
      <c r="AW202" s="25" t="n">
        <v>6</v>
      </c>
      <c r="AX202" s="18"/>
      <c r="AY202" s="18"/>
      <c r="AZ202" s="18"/>
      <c r="BA202" s="18"/>
      <c r="BB202" s="18"/>
      <c r="BC202" s="18"/>
      <c r="BD202" s="18"/>
      <c r="BE202" s="22" t="n">
        <f aca="false">SUM(AS202:BD202)</f>
        <v>8</v>
      </c>
      <c r="BF202" s="23" t="n">
        <v>1993.34</v>
      </c>
      <c r="BG202" s="19" t="s">
        <v>55</v>
      </c>
      <c r="BH202" s="25" t="n">
        <v>1</v>
      </c>
      <c r="BI202" s="18"/>
      <c r="BJ202" s="25" t="n">
        <v>2</v>
      </c>
      <c r="BK202" s="18"/>
      <c r="BL202" s="18"/>
      <c r="BM202" s="18"/>
      <c r="BN202" s="18"/>
      <c r="BO202" s="25" t="n">
        <v>2</v>
      </c>
      <c r="BP202" s="18"/>
      <c r="BQ202" s="25" t="n">
        <v>1</v>
      </c>
      <c r="BR202" s="18"/>
      <c r="BS202" s="18"/>
      <c r="BT202" s="22" t="n">
        <f aca="false">SUM(BH202:BS202)</f>
        <v>6</v>
      </c>
      <c r="BU202" s="26" t="n">
        <v>46002.3923611111</v>
      </c>
      <c r="BV202" s="17"/>
      <c r="BW202" s="17" t="s">
        <v>117</v>
      </c>
      <c r="BX202" s="23" t="n">
        <f aca="false">IFERROR(R202/AE202,0)</f>
        <v>886.515</v>
      </c>
      <c r="BY202" s="23" t="n">
        <f aca="false">IFERROR(R202/12,0)</f>
        <v>295.505</v>
      </c>
      <c r="BZ202" s="18" t="n">
        <v>52.6667</v>
      </c>
      <c r="CA202" s="22" t="str">
        <f aca="false">IF(AE202=0,"PROSPECT",IF(AE202=1,"NOVO",IF(AE202&lt;=3,"EM DESENV.",IF(AE202&lt;=6,"RECORRENTE","FIDELIZADO"))))</f>
        <v>RECORRENTE</v>
      </c>
      <c r="CB202" s="22" t="n">
        <f aca="false">IF((P202+Q202)&gt;0,1,0)+IF((BR202+BS202)&gt;0,1,0)+IF(BE202&gt;0,1,0)</f>
        <v>1</v>
      </c>
    </row>
    <row r="203" customFormat="false" ht="15" hidden="false" customHeight="true" outlineLevel="0" collapsed="false">
      <c r="A203" s="16" t="s">
        <v>607</v>
      </c>
      <c r="B203" s="17" t="s">
        <v>608</v>
      </c>
      <c r="C203" s="18" t="s">
        <v>61</v>
      </c>
      <c r="D203" s="17" t="s">
        <v>609</v>
      </c>
      <c r="E203" s="29" t="s">
        <v>365</v>
      </c>
      <c r="F203" s="20"/>
      <c r="G203" s="20"/>
      <c r="H203" s="20"/>
      <c r="I203" s="27" t="n">
        <v>1223.11</v>
      </c>
      <c r="J203" s="20"/>
      <c r="K203" s="27" t="n">
        <v>876.13</v>
      </c>
      <c r="L203" s="20"/>
      <c r="M203" s="27" t="n">
        <v>2489.93</v>
      </c>
      <c r="N203" s="27" t="n">
        <v>1637.88</v>
      </c>
      <c r="O203" s="20"/>
      <c r="P203" s="20"/>
      <c r="Q203" s="20"/>
      <c r="R203" s="21" t="n">
        <f aca="false">SUM(F203:Q203)</f>
        <v>6227.05</v>
      </c>
      <c r="S203" s="18"/>
      <c r="T203" s="18"/>
      <c r="U203" s="18"/>
      <c r="V203" s="28" t="n">
        <v>1</v>
      </c>
      <c r="W203" s="18"/>
      <c r="X203" s="28" t="n">
        <v>1</v>
      </c>
      <c r="Y203" s="18"/>
      <c r="Z203" s="28" t="n">
        <v>1</v>
      </c>
      <c r="AA203" s="28" t="n">
        <v>1</v>
      </c>
      <c r="AB203" s="18"/>
      <c r="AC203" s="18"/>
      <c r="AD203" s="18"/>
      <c r="AE203" s="22" t="n">
        <f aca="false">SUM(S203:AD203)</f>
        <v>4</v>
      </c>
      <c r="AF203" s="22"/>
      <c r="AG203" s="22"/>
      <c r="AH203" s="22"/>
      <c r="AI203" s="30" t="s">
        <v>49</v>
      </c>
      <c r="AJ203" s="22"/>
      <c r="AK203" s="30" t="s">
        <v>49</v>
      </c>
      <c r="AL203" s="22"/>
      <c r="AM203" s="19" t="s">
        <v>50</v>
      </c>
      <c r="AN203" s="19" t="s">
        <v>50</v>
      </c>
      <c r="AO203" s="22"/>
      <c r="AP203" s="22"/>
      <c r="AQ203" s="22"/>
      <c r="AR203" s="19" t="s">
        <v>50</v>
      </c>
      <c r="AS203" s="18"/>
      <c r="AT203" s="18"/>
      <c r="AU203" s="18"/>
      <c r="AV203" s="18"/>
      <c r="AW203" s="18"/>
      <c r="AX203" s="18"/>
      <c r="AY203" s="18"/>
      <c r="AZ203" s="18"/>
      <c r="BA203" s="25" t="n">
        <v>3</v>
      </c>
      <c r="BB203" s="18"/>
      <c r="BC203" s="18"/>
      <c r="BD203" s="18"/>
      <c r="BE203" s="22" t="n">
        <f aca="false">SUM(AS203:BD203)</f>
        <v>3</v>
      </c>
      <c r="BF203" s="23" t="n">
        <v>1637.88</v>
      </c>
      <c r="BG203" s="19" t="s">
        <v>55</v>
      </c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22" t="n">
        <f aca="false">SUM(BH203:BS203)</f>
        <v>0</v>
      </c>
      <c r="BU203" s="26"/>
      <c r="BV203" s="17"/>
      <c r="BW203" s="17"/>
      <c r="BX203" s="23" t="n">
        <f aca="false">IFERROR(R203/AE203,0)</f>
        <v>1556.7625</v>
      </c>
      <c r="BY203" s="23" t="n">
        <f aca="false">IFERROR(R203/12,0)</f>
        <v>518.920833333333</v>
      </c>
      <c r="BZ203" s="18" t="n">
        <v>51.6667</v>
      </c>
      <c r="CA203" s="22" t="str">
        <f aca="false">IF(AE203=0,"PROSPECT",IF(AE203=1,"NOVO",IF(AE203&lt;=3,"EM DESENV.",IF(AE203&lt;=6,"RECORRENTE","FIDELIZADO"))))</f>
        <v>RECORRENTE</v>
      </c>
      <c r="CB203" s="22" t="n">
        <f aca="false">IF((P203+Q203)&gt;0,1,0)+IF((BR203+BS203)&gt;0,1,0)+IF(BE203&gt;0,1,0)</f>
        <v>1</v>
      </c>
    </row>
    <row r="204" customFormat="false" ht="15" hidden="false" customHeight="true" outlineLevel="0" collapsed="false">
      <c r="A204" s="16" t="s">
        <v>610</v>
      </c>
      <c r="B204" s="17" t="s">
        <v>611</v>
      </c>
      <c r="C204" s="18" t="s">
        <v>61</v>
      </c>
      <c r="D204" s="17" t="s">
        <v>612</v>
      </c>
      <c r="E204" s="29" t="s">
        <v>365</v>
      </c>
      <c r="F204" s="20"/>
      <c r="G204" s="20"/>
      <c r="H204" s="20"/>
      <c r="I204" s="20"/>
      <c r="J204" s="20"/>
      <c r="K204" s="20"/>
      <c r="L204" s="20"/>
      <c r="M204" s="27" t="n">
        <v>1948.22</v>
      </c>
      <c r="N204" s="27" t="n">
        <v>1069.97</v>
      </c>
      <c r="O204" s="20"/>
      <c r="P204" s="20"/>
      <c r="Q204" s="20"/>
      <c r="R204" s="21" t="n">
        <f aca="false">SUM(F204:Q204)</f>
        <v>3018.19</v>
      </c>
      <c r="S204" s="18"/>
      <c r="T204" s="18"/>
      <c r="U204" s="18"/>
      <c r="V204" s="18"/>
      <c r="W204" s="18"/>
      <c r="X204" s="18"/>
      <c r="Y204" s="18"/>
      <c r="Z204" s="28" t="n">
        <v>1</v>
      </c>
      <c r="AA204" s="28" t="n">
        <v>1</v>
      </c>
      <c r="AB204" s="18"/>
      <c r="AC204" s="18"/>
      <c r="AD204" s="18"/>
      <c r="AE204" s="22" t="n">
        <f aca="false">SUM(S204:AD204)</f>
        <v>2</v>
      </c>
      <c r="AF204" s="22"/>
      <c r="AG204" s="22"/>
      <c r="AH204" s="22"/>
      <c r="AI204" s="22"/>
      <c r="AJ204" s="22"/>
      <c r="AK204" s="22"/>
      <c r="AL204" s="22"/>
      <c r="AM204" s="19" t="s">
        <v>50</v>
      </c>
      <c r="AN204" s="30" t="s">
        <v>49</v>
      </c>
      <c r="AO204" s="22"/>
      <c r="AP204" s="22"/>
      <c r="AQ204" s="22"/>
      <c r="AR204" s="19" t="s">
        <v>50</v>
      </c>
      <c r="AS204" s="18"/>
      <c r="AT204" s="18"/>
      <c r="AU204" s="18"/>
      <c r="AV204" s="18"/>
      <c r="AW204" s="18"/>
      <c r="AX204" s="18"/>
      <c r="AY204" s="18"/>
      <c r="AZ204" s="18"/>
      <c r="BA204" s="25" t="n">
        <v>1</v>
      </c>
      <c r="BB204" s="18"/>
      <c r="BC204" s="18"/>
      <c r="BD204" s="18"/>
      <c r="BE204" s="22" t="n">
        <f aca="false">SUM(AS204:BD204)</f>
        <v>1</v>
      </c>
      <c r="BF204" s="23" t="n">
        <v>1069.97</v>
      </c>
      <c r="BG204" s="19" t="s">
        <v>55</v>
      </c>
      <c r="BH204" s="18"/>
      <c r="BI204" s="18"/>
      <c r="BJ204" s="18"/>
      <c r="BK204" s="18"/>
      <c r="BL204" s="18"/>
      <c r="BM204" s="18"/>
      <c r="BN204" s="18"/>
      <c r="BO204" s="25" t="n">
        <v>1</v>
      </c>
      <c r="BP204" s="18"/>
      <c r="BQ204" s="18"/>
      <c r="BR204" s="18"/>
      <c r="BS204" s="18"/>
      <c r="BT204" s="22" t="n">
        <f aca="false">SUM(BH204:BS204)</f>
        <v>1</v>
      </c>
      <c r="BU204" s="26" t="n">
        <v>45946.4576388889</v>
      </c>
      <c r="BV204" s="17" t="s">
        <v>173</v>
      </c>
      <c r="BW204" s="17" t="s">
        <v>44</v>
      </c>
      <c r="BX204" s="23" t="n">
        <f aca="false">IFERROR(R204/AE204,0)</f>
        <v>1509.095</v>
      </c>
      <c r="BY204" s="23" t="n">
        <f aca="false">IFERROR(R204/12,0)</f>
        <v>251.515833333333</v>
      </c>
      <c r="BZ204" s="18" t="n">
        <v>42</v>
      </c>
      <c r="CA204" s="22" t="str">
        <f aca="false">IF(AE204=0,"PROSPECT",IF(AE204=1,"NOVO",IF(AE204&lt;=3,"EM DESENV.",IF(AE204&lt;=6,"RECORRENTE","FIDELIZADO"))))</f>
        <v>EM DESENV.</v>
      </c>
      <c r="CB204" s="22" t="n">
        <f aca="false">IF((P204+Q204)&gt;0,1,0)+IF((BR204+BS204)&gt;0,1,0)+IF(BE204&gt;0,1,0)</f>
        <v>1</v>
      </c>
    </row>
    <row r="205" customFormat="false" ht="15" hidden="false" customHeight="true" outlineLevel="0" collapsed="false">
      <c r="A205" s="16" t="s">
        <v>613</v>
      </c>
      <c r="B205" s="17" t="s">
        <v>614</v>
      </c>
      <c r="C205" s="18" t="s">
        <v>61</v>
      </c>
      <c r="D205" s="17" t="s">
        <v>123</v>
      </c>
      <c r="E205" s="29" t="s">
        <v>365</v>
      </c>
      <c r="F205" s="20"/>
      <c r="G205" s="20"/>
      <c r="H205" s="20"/>
      <c r="I205" s="20"/>
      <c r="J205" s="20"/>
      <c r="K205" s="20"/>
      <c r="L205" s="20"/>
      <c r="M205" s="27" t="n">
        <v>3492.27</v>
      </c>
      <c r="N205" s="27" t="n">
        <v>3451.19</v>
      </c>
      <c r="O205" s="20"/>
      <c r="P205" s="20"/>
      <c r="Q205" s="20"/>
      <c r="R205" s="21" t="n">
        <f aca="false">SUM(F205:Q205)</f>
        <v>6943.46</v>
      </c>
      <c r="S205" s="18"/>
      <c r="T205" s="18"/>
      <c r="U205" s="18"/>
      <c r="V205" s="18"/>
      <c r="W205" s="18"/>
      <c r="X205" s="18"/>
      <c r="Y205" s="18"/>
      <c r="Z205" s="28" t="n">
        <v>1</v>
      </c>
      <c r="AA205" s="28" t="n">
        <v>1</v>
      </c>
      <c r="AB205" s="18"/>
      <c r="AC205" s="18"/>
      <c r="AD205" s="18"/>
      <c r="AE205" s="22" t="n">
        <f aca="false">SUM(S205:AD205)</f>
        <v>2</v>
      </c>
      <c r="AF205" s="22"/>
      <c r="AG205" s="22"/>
      <c r="AH205" s="22"/>
      <c r="AI205" s="22"/>
      <c r="AJ205" s="22"/>
      <c r="AK205" s="22"/>
      <c r="AL205" s="22"/>
      <c r="AM205" s="19" t="s">
        <v>50</v>
      </c>
      <c r="AN205" s="19" t="s">
        <v>50</v>
      </c>
      <c r="AO205" s="22"/>
      <c r="AP205" s="22"/>
      <c r="AQ205" s="22"/>
      <c r="AR205" s="19" t="s">
        <v>50</v>
      </c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22" t="n">
        <f aca="false">SUM(AS205:BD205)</f>
        <v>0</v>
      </c>
      <c r="BF205" s="23"/>
      <c r="BG205" s="24"/>
      <c r="BH205" s="18"/>
      <c r="BI205" s="18"/>
      <c r="BJ205" s="18"/>
      <c r="BK205" s="18"/>
      <c r="BL205" s="18"/>
      <c r="BM205" s="18"/>
      <c r="BN205" s="18"/>
      <c r="BO205" s="25" t="n">
        <v>1</v>
      </c>
      <c r="BP205" s="18"/>
      <c r="BQ205" s="18"/>
      <c r="BR205" s="18"/>
      <c r="BS205" s="25" t="n">
        <v>2</v>
      </c>
      <c r="BT205" s="22" t="n">
        <f aca="false">SUM(BH205:BS205)</f>
        <v>3</v>
      </c>
      <c r="BU205" s="26" t="n">
        <v>46056.7222222222</v>
      </c>
      <c r="BV205" s="17"/>
      <c r="BW205" s="17" t="s">
        <v>44</v>
      </c>
      <c r="BX205" s="23" t="n">
        <f aca="false">IFERROR(R205/AE205,0)</f>
        <v>3471.73</v>
      </c>
      <c r="BY205" s="23" t="n">
        <f aca="false">IFERROR(R205/12,0)</f>
        <v>578.621666666667</v>
      </c>
      <c r="BZ205" s="18" t="n">
        <v>22</v>
      </c>
      <c r="CA205" s="22" t="str">
        <f aca="false">IF(AE205=0,"PROSPECT",IF(AE205=1,"NOVO",IF(AE205&lt;=3,"EM DESENV.",IF(AE205&lt;=6,"RECORRENTE","FIDELIZADO"))))</f>
        <v>EM DESENV.</v>
      </c>
      <c r="CB205" s="22" t="n">
        <f aca="false">IF((P205+Q205)&gt;0,1,0)+IF((BR205+BS205)&gt;0,1,0)+IF(BE205&gt;0,1,0)</f>
        <v>1</v>
      </c>
    </row>
    <row r="206" customFormat="false" ht="15" hidden="false" customHeight="true" outlineLevel="0" collapsed="false">
      <c r="A206" s="16" t="s">
        <v>615</v>
      </c>
      <c r="B206" s="17" t="s">
        <v>300</v>
      </c>
      <c r="C206" s="18" t="s">
        <v>41</v>
      </c>
      <c r="D206" s="17" t="s">
        <v>616</v>
      </c>
      <c r="E206" s="29" t="s">
        <v>365</v>
      </c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1" t="n">
        <f aca="false">SUM(F206:Q206)</f>
        <v>0</v>
      </c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22" t="n">
        <f aca="false">SUM(S206:AD206)</f>
        <v>0</v>
      </c>
      <c r="AF206" s="22"/>
      <c r="AG206" s="22"/>
      <c r="AH206" s="22"/>
      <c r="AI206" s="22"/>
      <c r="AJ206" s="22"/>
      <c r="AK206" s="30" t="s">
        <v>49</v>
      </c>
      <c r="AL206" s="22"/>
      <c r="AM206" s="22"/>
      <c r="AN206" s="22"/>
      <c r="AO206" s="22"/>
      <c r="AP206" s="22"/>
      <c r="AQ206" s="22"/>
      <c r="AR206" s="29" t="s">
        <v>48</v>
      </c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22" t="n">
        <f aca="false">SUM(AS206:BD206)</f>
        <v>0</v>
      </c>
      <c r="BF206" s="23"/>
      <c r="BG206" s="24"/>
      <c r="BH206" s="25" t="n">
        <v>2</v>
      </c>
      <c r="BI206" s="18"/>
      <c r="BJ206" s="25" t="n">
        <v>2</v>
      </c>
      <c r="BK206" s="18"/>
      <c r="BL206" s="18"/>
      <c r="BM206" s="25" t="n">
        <v>1</v>
      </c>
      <c r="BN206" s="18"/>
      <c r="BO206" s="25" t="n">
        <v>1</v>
      </c>
      <c r="BP206" s="18"/>
      <c r="BQ206" s="18"/>
      <c r="BR206" s="25" t="n">
        <v>2</v>
      </c>
      <c r="BS206" s="18"/>
      <c r="BT206" s="22" t="n">
        <f aca="false">SUM(BH206:BS206)</f>
        <v>8</v>
      </c>
      <c r="BU206" s="26" t="n">
        <v>46044.7247916667</v>
      </c>
      <c r="BV206" s="17"/>
      <c r="BW206" s="17" t="s">
        <v>44</v>
      </c>
      <c r="BX206" s="23" t="n">
        <f aca="false">IFERROR(R206/AE206,0)</f>
        <v>0</v>
      </c>
      <c r="BY206" s="23" t="n">
        <f aca="false">IFERROR(R206/12,0)</f>
        <v>0</v>
      </c>
      <c r="BZ206" s="18" t="n">
        <v>0</v>
      </c>
      <c r="CA206" s="22" t="str">
        <f aca="false">IF(AE206=0,"PROSPECT",IF(AE206=1,"NOVO",IF(AE206&lt;=3,"EM DESENV.",IF(AE206&lt;=6,"RECORRENTE","FIDELIZADO"))))</f>
        <v>PROSPECT</v>
      </c>
      <c r="CB206" s="22" t="n">
        <f aca="false">IF((P206+Q206)&gt;0,1,0)+IF((BR206+BS206)&gt;0,1,0)+IF(BE206&gt;0,1,0)</f>
        <v>1</v>
      </c>
    </row>
    <row r="207" customFormat="false" ht="15" hidden="false" customHeight="true" outlineLevel="0" collapsed="false">
      <c r="A207" s="16" t="s">
        <v>617</v>
      </c>
      <c r="B207" s="17" t="s">
        <v>618</v>
      </c>
      <c r="C207" s="18" t="s">
        <v>61</v>
      </c>
      <c r="D207" s="17" t="s">
        <v>134</v>
      </c>
      <c r="E207" s="29" t="s">
        <v>365</v>
      </c>
      <c r="F207" s="20"/>
      <c r="G207" s="20"/>
      <c r="H207" s="20"/>
      <c r="I207" s="20"/>
      <c r="J207" s="20"/>
      <c r="K207" s="20"/>
      <c r="L207" s="27" t="n">
        <v>1204.22</v>
      </c>
      <c r="M207" s="20"/>
      <c r="N207" s="20"/>
      <c r="O207" s="20"/>
      <c r="P207" s="20"/>
      <c r="Q207" s="20"/>
      <c r="R207" s="21" t="n">
        <f aca="false">SUM(F207:Q207)</f>
        <v>1204.22</v>
      </c>
      <c r="S207" s="18"/>
      <c r="T207" s="18"/>
      <c r="U207" s="18"/>
      <c r="V207" s="18"/>
      <c r="W207" s="18"/>
      <c r="X207" s="18"/>
      <c r="Y207" s="28" t="n">
        <v>1</v>
      </c>
      <c r="Z207" s="18"/>
      <c r="AA207" s="18"/>
      <c r="AB207" s="18"/>
      <c r="AC207" s="18"/>
      <c r="AD207" s="18"/>
      <c r="AE207" s="22" t="n">
        <f aca="false">SUM(S207:AD207)</f>
        <v>1</v>
      </c>
      <c r="AF207" s="22"/>
      <c r="AG207" s="22"/>
      <c r="AH207" s="22"/>
      <c r="AI207" s="22"/>
      <c r="AJ207" s="22"/>
      <c r="AK207" s="22"/>
      <c r="AL207" s="30" t="s">
        <v>49</v>
      </c>
      <c r="AM207" s="22"/>
      <c r="AN207" s="22"/>
      <c r="AO207" s="22"/>
      <c r="AP207" s="22"/>
      <c r="AQ207" s="22"/>
      <c r="AR207" s="30" t="s">
        <v>49</v>
      </c>
      <c r="AS207" s="18"/>
      <c r="AT207" s="18"/>
      <c r="AU207" s="18"/>
      <c r="AV207" s="18"/>
      <c r="AW207" s="18"/>
      <c r="AX207" s="18"/>
      <c r="AY207" s="25" t="n">
        <v>1</v>
      </c>
      <c r="AZ207" s="18"/>
      <c r="BA207" s="18"/>
      <c r="BB207" s="18"/>
      <c r="BC207" s="18"/>
      <c r="BD207" s="18"/>
      <c r="BE207" s="22" t="n">
        <f aca="false">SUM(AS207:BD207)</f>
        <v>1</v>
      </c>
      <c r="BF207" s="23" t="n">
        <v>1204.22</v>
      </c>
      <c r="BG207" s="19" t="s">
        <v>55</v>
      </c>
      <c r="BH207" s="18"/>
      <c r="BI207" s="18"/>
      <c r="BJ207" s="18"/>
      <c r="BK207" s="18"/>
      <c r="BL207" s="18"/>
      <c r="BM207" s="18"/>
      <c r="BN207" s="25" t="n">
        <v>1</v>
      </c>
      <c r="BO207" s="25" t="n">
        <v>1</v>
      </c>
      <c r="BP207" s="18"/>
      <c r="BQ207" s="25" t="n">
        <v>2</v>
      </c>
      <c r="BR207" s="25" t="n">
        <v>1</v>
      </c>
      <c r="BS207" s="25" t="n">
        <v>2</v>
      </c>
      <c r="BT207" s="22" t="n">
        <f aca="false">SUM(BH207:BS207)</f>
        <v>7</v>
      </c>
      <c r="BU207" s="26" t="n">
        <v>46057.4583333333</v>
      </c>
      <c r="BV207" s="17"/>
      <c r="BW207" s="17" t="s">
        <v>117</v>
      </c>
      <c r="BX207" s="23" t="n">
        <f aca="false">IFERROR(R207/AE207,0)</f>
        <v>1204.22</v>
      </c>
      <c r="BY207" s="23" t="n">
        <f aca="false">IFERROR(R207/12,0)</f>
        <v>100.351666666667</v>
      </c>
      <c r="BZ207" s="18" t="n">
        <v>0</v>
      </c>
      <c r="CA207" s="22" t="str">
        <f aca="false">IF(AE207=0,"PROSPECT",IF(AE207=1,"NOVO",IF(AE207&lt;=3,"EM DESENV.",IF(AE207&lt;=6,"RECORRENTE","FIDELIZADO"))))</f>
        <v>NOVO</v>
      </c>
      <c r="CB207" s="22" t="n">
        <f aca="false">IF((P207+Q207)&gt;0,1,0)+IF((BR207+BS207)&gt;0,1,0)+IF(BE207&gt;0,1,0)</f>
        <v>2</v>
      </c>
    </row>
    <row r="208" customFormat="false" ht="15" hidden="false" customHeight="true" outlineLevel="0" collapsed="false">
      <c r="A208" s="16" t="s">
        <v>619</v>
      </c>
      <c r="B208" s="17" t="s">
        <v>620</v>
      </c>
      <c r="C208" s="18" t="s">
        <v>79</v>
      </c>
      <c r="D208" s="17" t="s">
        <v>621</v>
      </c>
      <c r="E208" s="29" t="s">
        <v>365</v>
      </c>
      <c r="F208" s="20"/>
      <c r="G208" s="20"/>
      <c r="H208" s="20"/>
      <c r="I208" s="20"/>
      <c r="J208" s="20"/>
      <c r="K208" s="27" t="n">
        <v>1322.32</v>
      </c>
      <c r="L208" s="20"/>
      <c r="M208" s="20"/>
      <c r="N208" s="20"/>
      <c r="O208" s="20"/>
      <c r="P208" s="20"/>
      <c r="Q208" s="20"/>
      <c r="R208" s="21" t="n">
        <f aca="false">SUM(F208:Q208)</f>
        <v>1322.32</v>
      </c>
      <c r="S208" s="18"/>
      <c r="T208" s="18"/>
      <c r="U208" s="18"/>
      <c r="V208" s="18"/>
      <c r="W208" s="18"/>
      <c r="X208" s="28" t="n">
        <v>1</v>
      </c>
      <c r="Y208" s="18"/>
      <c r="Z208" s="18"/>
      <c r="AA208" s="18"/>
      <c r="AB208" s="18"/>
      <c r="AC208" s="18"/>
      <c r="AD208" s="18"/>
      <c r="AE208" s="22" t="n">
        <f aca="false">SUM(S208:AD208)</f>
        <v>1</v>
      </c>
      <c r="AF208" s="22"/>
      <c r="AG208" s="22"/>
      <c r="AH208" s="22"/>
      <c r="AI208" s="22"/>
      <c r="AJ208" s="22"/>
      <c r="AK208" s="19" t="s">
        <v>50</v>
      </c>
      <c r="AL208" s="22"/>
      <c r="AM208" s="22"/>
      <c r="AN208" s="22"/>
      <c r="AO208" s="22"/>
      <c r="AP208" s="22"/>
      <c r="AQ208" s="22"/>
      <c r="AR208" s="30" t="s">
        <v>49</v>
      </c>
      <c r="AS208" s="18"/>
      <c r="AT208" s="18"/>
      <c r="AU208" s="18"/>
      <c r="AV208" s="18"/>
      <c r="AW208" s="18"/>
      <c r="AX208" s="25" t="n">
        <v>1</v>
      </c>
      <c r="AY208" s="18"/>
      <c r="AZ208" s="18"/>
      <c r="BA208" s="18"/>
      <c r="BB208" s="18"/>
      <c r="BC208" s="18"/>
      <c r="BD208" s="18"/>
      <c r="BE208" s="22" t="n">
        <f aca="false">SUM(AS208:BD208)</f>
        <v>1</v>
      </c>
      <c r="BF208" s="23" t="n">
        <v>1322.32</v>
      </c>
      <c r="BG208" s="19" t="s">
        <v>55</v>
      </c>
      <c r="BH208" s="18"/>
      <c r="BI208" s="18"/>
      <c r="BJ208" s="18"/>
      <c r="BK208" s="18"/>
      <c r="BL208" s="18"/>
      <c r="BM208" s="25" t="n">
        <v>1</v>
      </c>
      <c r="BN208" s="18"/>
      <c r="BO208" s="18"/>
      <c r="BP208" s="18"/>
      <c r="BQ208" s="18"/>
      <c r="BR208" s="25" t="n">
        <v>1</v>
      </c>
      <c r="BS208" s="18"/>
      <c r="BT208" s="22" t="n">
        <f aca="false">SUM(BH208:BS208)</f>
        <v>2</v>
      </c>
      <c r="BU208" s="26" t="n">
        <v>46048.6836574074</v>
      </c>
      <c r="BV208" s="17"/>
      <c r="BW208" s="17" t="s">
        <v>44</v>
      </c>
      <c r="BX208" s="23" t="n">
        <f aca="false">IFERROR(R208/AE208,0)</f>
        <v>1322.32</v>
      </c>
      <c r="BY208" s="23" t="n">
        <f aca="false">IFERROR(R208/12,0)</f>
        <v>110.193333333333</v>
      </c>
      <c r="BZ208" s="18" t="n">
        <v>0</v>
      </c>
      <c r="CA208" s="22" t="str">
        <f aca="false">IF(AE208=0,"PROSPECT",IF(AE208=1,"NOVO",IF(AE208&lt;=3,"EM DESENV.",IF(AE208&lt;=6,"RECORRENTE","FIDELIZADO"))))</f>
        <v>NOVO</v>
      </c>
      <c r="CB208" s="22" t="n">
        <f aca="false">IF((P208+Q208)&gt;0,1,0)+IF((BR208+BS208)&gt;0,1,0)+IF(BE208&gt;0,1,0)</f>
        <v>2</v>
      </c>
    </row>
    <row r="209" customFormat="false" ht="15" hidden="false" customHeight="true" outlineLevel="0" collapsed="false">
      <c r="A209" s="16" t="s">
        <v>622</v>
      </c>
      <c r="B209" s="17" t="s">
        <v>623</v>
      </c>
      <c r="C209" s="18" t="s">
        <v>65</v>
      </c>
      <c r="D209" s="17" t="s">
        <v>66</v>
      </c>
      <c r="E209" s="29" t="s">
        <v>365</v>
      </c>
      <c r="F209" s="20"/>
      <c r="G209" s="20"/>
      <c r="H209" s="20"/>
      <c r="I209" s="20"/>
      <c r="J209" s="20"/>
      <c r="K209" s="20"/>
      <c r="L209" s="27" t="n">
        <v>1648.08</v>
      </c>
      <c r="M209" s="20"/>
      <c r="N209" s="20"/>
      <c r="O209" s="20"/>
      <c r="P209" s="20"/>
      <c r="Q209" s="20"/>
      <c r="R209" s="21" t="n">
        <f aca="false">SUM(F209:Q209)</f>
        <v>1648.08</v>
      </c>
      <c r="S209" s="18"/>
      <c r="T209" s="18"/>
      <c r="U209" s="18"/>
      <c r="V209" s="18"/>
      <c r="W209" s="18"/>
      <c r="X209" s="18"/>
      <c r="Y209" s="28" t="n">
        <v>1</v>
      </c>
      <c r="Z209" s="18"/>
      <c r="AA209" s="18"/>
      <c r="AB209" s="18"/>
      <c r="AC209" s="18"/>
      <c r="AD209" s="18"/>
      <c r="AE209" s="22" t="n">
        <f aca="false">SUM(S209:AD209)</f>
        <v>1</v>
      </c>
      <c r="AF209" s="22"/>
      <c r="AG209" s="22"/>
      <c r="AH209" s="22"/>
      <c r="AI209" s="22"/>
      <c r="AJ209" s="22"/>
      <c r="AK209" s="22"/>
      <c r="AL209" s="19" t="s">
        <v>50</v>
      </c>
      <c r="AM209" s="22"/>
      <c r="AN209" s="22"/>
      <c r="AO209" s="22"/>
      <c r="AP209" s="22"/>
      <c r="AQ209" s="22"/>
      <c r="AR209" s="30" t="s">
        <v>49</v>
      </c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22" t="n">
        <f aca="false">SUM(AS209:BD209)</f>
        <v>0</v>
      </c>
      <c r="BF209" s="23"/>
      <c r="BG209" s="24"/>
      <c r="BH209" s="18"/>
      <c r="BI209" s="18"/>
      <c r="BJ209" s="18"/>
      <c r="BK209" s="18"/>
      <c r="BL209" s="18"/>
      <c r="BM209" s="18"/>
      <c r="BN209" s="18"/>
      <c r="BO209" s="18"/>
      <c r="BP209" s="25" t="n">
        <v>2</v>
      </c>
      <c r="BQ209" s="18"/>
      <c r="BR209" s="18"/>
      <c r="BS209" s="18"/>
      <c r="BT209" s="22" t="n">
        <f aca="false">SUM(BH209:BS209)</f>
        <v>2</v>
      </c>
      <c r="BU209" s="26" t="n">
        <v>45978.6541666667</v>
      </c>
      <c r="BV209" s="17" t="s">
        <v>107</v>
      </c>
      <c r="BW209" s="17" t="s">
        <v>44</v>
      </c>
      <c r="BX209" s="23" t="n">
        <f aca="false">IFERROR(R209/AE209,0)</f>
        <v>1648.08</v>
      </c>
      <c r="BY209" s="23" t="n">
        <f aca="false">IFERROR(R209/12,0)</f>
        <v>137.34</v>
      </c>
      <c r="BZ209" s="18" t="n">
        <v>0</v>
      </c>
      <c r="CA209" s="22" t="str">
        <f aca="false">IF(AE209=0,"PROSPECT",IF(AE209=1,"NOVO",IF(AE209&lt;=3,"EM DESENV.",IF(AE209&lt;=6,"RECORRENTE","FIDELIZADO"))))</f>
        <v>NOVO</v>
      </c>
      <c r="CB209" s="22" t="n">
        <f aca="false">IF((P209+Q209)&gt;0,1,0)+IF((BR209+BS209)&gt;0,1,0)+IF(BE209&gt;0,1,0)</f>
        <v>0</v>
      </c>
    </row>
    <row r="210" customFormat="false" ht="15" hidden="false" customHeight="true" outlineLevel="0" collapsed="false">
      <c r="A210" s="16" t="s">
        <v>624</v>
      </c>
      <c r="B210" s="17" t="s">
        <v>625</v>
      </c>
      <c r="C210" s="18" t="s">
        <v>41</v>
      </c>
      <c r="D210" s="17" t="s">
        <v>42</v>
      </c>
      <c r="E210" s="29" t="s">
        <v>365</v>
      </c>
      <c r="F210" s="20"/>
      <c r="G210" s="20"/>
      <c r="H210" s="20"/>
      <c r="I210" s="20"/>
      <c r="J210" s="20"/>
      <c r="K210" s="20"/>
      <c r="L210" s="20"/>
      <c r="M210" s="27" t="n">
        <v>1418.16</v>
      </c>
      <c r="N210" s="20"/>
      <c r="O210" s="20"/>
      <c r="P210" s="20"/>
      <c r="Q210" s="20"/>
      <c r="R210" s="21" t="n">
        <f aca="false">SUM(F210:Q210)</f>
        <v>1418.16</v>
      </c>
      <c r="S210" s="18"/>
      <c r="T210" s="18"/>
      <c r="U210" s="18"/>
      <c r="V210" s="18"/>
      <c r="W210" s="18"/>
      <c r="X210" s="18"/>
      <c r="Y210" s="18"/>
      <c r="Z210" s="28" t="n">
        <v>1</v>
      </c>
      <c r="AA210" s="18"/>
      <c r="AB210" s="18"/>
      <c r="AC210" s="18"/>
      <c r="AD210" s="18"/>
      <c r="AE210" s="22" t="n">
        <f aca="false">SUM(S210:AD210)</f>
        <v>1</v>
      </c>
      <c r="AF210" s="22"/>
      <c r="AG210" s="22"/>
      <c r="AH210" s="22"/>
      <c r="AI210" s="22"/>
      <c r="AJ210" s="22"/>
      <c r="AK210" s="22"/>
      <c r="AL210" s="22"/>
      <c r="AM210" s="30" t="s">
        <v>49</v>
      </c>
      <c r="AN210" s="22"/>
      <c r="AO210" s="22"/>
      <c r="AP210" s="22"/>
      <c r="AQ210" s="22"/>
      <c r="AR210" s="30" t="s">
        <v>49</v>
      </c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22" t="n">
        <f aca="false">SUM(AS210:BD210)</f>
        <v>0</v>
      </c>
      <c r="BF210" s="23"/>
      <c r="BG210" s="24"/>
      <c r="BH210" s="18"/>
      <c r="BI210" s="18"/>
      <c r="BJ210" s="18"/>
      <c r="BK210" s="18"/>
      <c r="BL210" s="18"/>
      <c r="BM210" s="18"/>
      <c r="BN210" s="18"/>
      <c r="BO210" s="18"/>
      <c r="BP210" s="18"/>
      <c r="BQ210" s="25" t="n">
        <v>1</v>
      </c>
      <c r="BR210" s="18"/>
      <c r="BS210" s="18"/>
      <c r="BT210" s="22" t="n">
        <f aca="false">SUM(BH210:BS210)</f>
        <v>1</v>
      </c>
      <c r="BU210" s="26" t="n">
        <v>45995.3881944444</v>
      </c>
      <c r="BV210" s="17"/>
      <c r="BW210" s="17" t="s">
        <v>117</v>
      </c>
      <c r="BX210" s="23" t="n">
        <f aca="false">IFERROR(R210/AE210,0)</f>
        <v>1418.16</v>
      </c>
      <c r="BY210" s="23" t="n">
        <f aca="false">IFERROR(R210/12,0)</f>
        <v>118.18</v>
      </c>
      <c r="BZ210" s="18" t="n">
        <v>0</v>
      </c>
      <c r="CA210" s="22" t="str">
        <f aca="false">IF(AE210=0,"PROSPECT",IF(AE210=1,"NOVO",IF(AE210&lt;=3,"EM DESENV.",IF(AE210&lt;=6,"RECORRENTE","FIDELIZADO"))))</f>
        <v>NOVO</v>
      </c>
      <c r="CB210" s="22" t="n">
        <f aca="false">IF((P210+Q210)&gt;0,1,0)+IF((BR210+BS210)&gt;0,1,0)+IF(BE210&gt;0,1,0)</f>
        <v>0</v>
      </c>
    </row>
    <row r="211" customFormat="false" ht="15" hidden="false" customHeight="true" outlineLevel="0" collapsed="false">
      <c r="A211" s="16" t="s">
        <v>626</v>
      </c>
      <c r="B211" s="17" t="s">
        <v>627</v>
      </c>
      <c r="C211" s="18" t="s">
        <v>168</v>
      </c>
      <c r="D211" s="17" t="s">
        <v>628</v>
      </c>
      <c r="E211" s="29" t="s">
        <v>365</v>
      </c>
      <c r="F211" s="20"/>
      <c r="G211" s="20"/>
      <c r="H211" s="20"/>
      <c r="I211" s="27" t="n">
        <v>1130.72</v>
      </c>
      <c r="J211" s="20"/>
      <c r="K211" s="20"/>
      <c r="L211" s="20"/>
      <c r="M211" s="20"/>
      <c r="N211" s="20"/>
      <c r="O211" s="20"/>
      <c r="P211" s="20"/>
      <c r="Q211" s="20"/>
      <c r="R211" s="21" t="n">
        <f aca="false">SUM(F211:Q211)</f>
        <v>1130.72</v>
      </c>
      <c r="S211" s="18"/>
      <c r="T211" s="18"/>
      <c r="U211" s="18"/>
      <c r="V211" s="28" t="n">
        <v>1</v>
      </c>
      <c r="W211" s="18"/>
      <c r="X211" s="18"/>
      <c r="Y211" s="18"/>
      <c r="Z211" s="18"/>
      <c r="AA211" s="18"/>
      <c r="AB211" s="18"/>
      <c r="AC211" s="18"/>
      <c r="AD211" s="18"/>
      <c r="AE211" s="22" t="n">
        <f aca="false">SUM(S211:AD211)</f>
        <v>1</v>
      </c>
      <c r="AF211" s="22"/>
      <c r="AG211" s="22"/>
      <c r="AH211" s="22"/>
      <c r="AI211" s="30" t="s">
        <v>49</v>
      </c>
      <c r="AJ211" s="22"/>
      <c r="AK211" s="22"/>
      <c r="AL211" s="22"/>
      <c r="AM211" s="22"/>
      <c r="AN211" s="22"/>
      <c r="AO211" s="22"/>
      <c r="AP211" s="22"/>
      <c r="AQ211" s="22"/>
      <c r="AR211" s="30" t="s">
        <v>49</v>
      </c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22" t="n">
        <f aca="false">SUM(AS211:BD211)</f>
        <v>0</v>
      </c>
      <c r="BF211" s="23"/>
      <c r="BG211" s="24"/>
      <c r="BH211" s="18"/>
      <c r="BI211" s="18"/>
      <c r="BJ211" s="18"/>
      <c r="BK211" s="25" t="n">
        <v>3</v>
      </c>
      <c r="BL211" s="25" t="n">
        <v>1</v>
      </c>
      <c r="BM211" s="18"/>
      <c r="BN211" s="25" t="n">
        <v>1</v>
      </c>
      <c r="BO211" s="18"/>
      <c r="BP211" s="18"/>
      <c r="BQ211" s="18"/>
      <c r="BR211" s="25" t="n">
        <v>2</v>
      </c>
      <c r="BS211" s="18"/>
      <c r="BT211" s="22" t="n">
        <f aca="false">SUM(BH211:BS211)</f>
        <v>7</v>
      </c>
      <c r="BU211" s="26" t="n">
        <v>46036.675</v>
      </c>
      <c r="BV211" s="17" t="s">
        <v>378</v>
      </c>
      <c r="BW211" s="17" t="s">
        <v>44</v>
      </c>
      <c r="BX211" s="23" t="n">
        <f aca="false">IFERROR(R211/AE211,0)</f>
        <v>1130.72</v>
      </c>
      <c r="BY211" s="23" t="n">
        <f aca="false">IFERROR(R211/12,0)</f>
        <v>94.2266666666667</v>
      </c>
      <c r="BZ211" s="18" t="n">
        <v>0</v>
      </c>
      <c r="CA211" s="22" t="str">
        <f aca="false">IF(AE211=0,"PROSPECT",IF(AE211=1,"NOVO",IF(AE211&lt;=3,"EM DESENV.",IF(AE211&lt;=6,"RECORRENTE","FIDELIZADO"))))</f>
        <v>NOVO</v>
      </c>
      <c r="CB211" s="22" t="n">
        <f aca="false">IF((P211+Q211)&gt;0,1,0)+IF((BR211+BS211)&gt;0,1,0)+IF(BE211&gt;0,1,0)</f>
        <v>1</v>
      </c>
    </row>
    <row r="212" customFormat="false" ht="15" hidden="false" customHeight="true" outlineLevel="0" collapsed="false">
      <c r="A212" s="16" t="s">
        <v>629</v>
      </c>
      <c r="B212" s="17" t="s">
        <v>630</v>
      </c>
      <c r="C212" s="18" t="s">
        <v>53</v>
      </c>
      <c r="D212" s="17" t="s">
        <v>631</v>
      </c>
      <c r="E212" s="29" t="s">
        <v>365</v>
      </c>
      <c r="F212" s="20"/>
      <c r="G212" s="20"/>
      <c r="H212" s="20"/>
      <c r="I212" s="20"/>
      <c r="J212" s="20"/>
      <c r="K212" s="20"/>
      <c r="L212" s="20"/>
      <c r="M212" s="20"/>
      <c r="N212" s="27" t="n">
        <v>1180.52</v>
      </c>
      <c r="O212" s="20"/>
      <c r="P212" s="20"/>
      <c r="Q212" s="20"/>
      <c r="R212" s="21" t="n">
        <f aca="false">SUM(F212:Q212)</f>
        <v>1180.52</v>
      </c>
      <c r="S212" s="18"/>
      <c r="T212" s="18"/>
      <c r="U212" s="18"/>
      <c r="V212" s="18"/>
      <c r="W212" s="18"/>
      <c r="X212" s="18"/>
      <c r="Y212" s="18"/>
      <c r="Z212" s="18"/>
      <c r="AA212" s="28" t="n">
        <v>1</v>
      </c>
      <c r="AB212" s="18"/>
      <c r="AC212" s="18"/>
      <c r="AD212" s="18"/>
      <c r="AE212" s="22" t="n">
        <f aca="false">SUM(S212:AD212)</f>
        <v>1</v>
      </c>
      <c r="AF212" s="22"/>
      <c r="AG212" s="22"/>
      <c r="AH212" s="22"/>
      <c r="AI212" s="22"/>
      <c r="AJ212" s="22"/>
      <c r="AK212" s="22"/>
      <c r="AL212" s="22"/>
      <c r="AM212" s="22"/>
      <c r="AN212" s="30" t="s">
        <v>49</v>
      </c>
      <c r="AO212" s="22"/>
      <c r="AP212" s="22"/>
      <c r="AQ212" s="22"/>
      <c r="AR212" s="30" t="s">
        <v>49</v>
      </c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22" t="n">
        <f aca="false">SUM(AS212:BD212)</f>
        <v>0</v>
      </c>
      <c r="BF212" s="23"/>
      <c r="BG212" s="24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25" t="n">
        <v>1</v>
      </c>
      <c r="BT212" s="22" t="n">
        <f aca="false">SUM(BH212:BS212)</f>
        <v>1</v>
      </c>
      <c r="BU212" s="26" t="n">
        <v>46055.4559375</v>
      </c>
      <c r="BV212" s="17"/>
      <c r="BW212" s="17" t="s">
        <v>44</v>
      </c>
      <c r="BX212" s="23" t="n">
        <f aca="false">IFERROR(R212/AE212,0)</f>
        <v>1180.52</v>
      </c>
      <c r="BY212" s="23" t="n">
        <f aca="false">IFERROR(R212/12,0)</f>
        <v>98.3766666666667</v>
      </c>
      <c r="BZ212" s="18" t="n">
        <v>0</v>
      </c>
      <c r="CA212" s="22" t="str">
        <f aca="false">IF(AE212=0,"PROSPECT",IF(AE212=1,"NOVO",IF(AE212&lt;=3,"EM DESENV.",IF(AE212&lt;=6,"RECORRENTE","FIDELIZADO"))))</f>
        <v>NOVO</v>
      </c>
      <c r="CB212" s="22" t="n">
        <f aca="false">IF((P212+Q212)&gt;0,1,0)+IF((BR212+BS212)&gt;0,1,0)+IF(BE212&gt;0,1,0)</f>
        <v>1</v>
      </c>
    </row>
    <row r="213" customFormat="false" ht="15" hidden="false" customHeight="true" outlineLevel="0" collapsed="false">
      <c r="A213" s="16" t="s">
        <v>632</v>
      </c>
      <c r="B213" s="17" t="s">
        <v>122</v>
      </c>
      <c r="C213" s="18" t="s">
        <v>61</v>
      </c>
      <c r="D213" s="17" t="s">
        <v>633</v>
      </c>
      <c r="E213" s="29" t="s">
        <v>365</v>
      </c>
      <c r="F213" s="20"/>
      <c r="G213" s="20"/>
      <c r="H213" s="20"/>
      <c r="I213" s="27" t="n">
        <v>2432.34</v>
      </c>
      <c r="J213" s="27" t="n">
        <v>1649.94</v>
      </c>
      <c r="K213" s="20"/>
      <c r="L213" s="20"/>
      <c r="M213" s="20"/>
      <c r="N213" s="20"/>
      <c r="O213" s="20"/>
      <c r="P213" s="27" t="n">
        <v>669.61</v>
      </c>
      <c r="Q213" s="20"/>
      <c r="R213" s="21" t="n">
        <f aca="false">SUM(F213:Q213)</f>
        <v>4751.89</v>
      </c>
      <c r="S213" s="18"/>
      <c r="T213" s="18"/>
      <c r="U213" s="18"/>
      <c r="V213" s="28" t="n">
        <v>1</v>
      </c>
      <c r="W213" s="28" t="n">
        <v>1</v>
      </c>
      <c r="X213" s="18"/>
      <c r="Y213" s="18"/>
      <c r="Z213" s="18"/>
      <c r="AA213" s="18"/>
      <c r="AB213" s="18"/>
      <c r="AC213" s="28" t="n">
        <v>1</v>
      </c>
      <c r="AD213" s="18"/>
      <c r="AE213" s="22" t="n">
        <f aca="false">SUM(S213:AD213)</f>
        <v>3</v>
      </c>
      <c r="AF213" s="22"/>
      <c r="AG213" s="22"/>
      <c r="AH213" s="22"/>
      <c r="AI213" s="30" t="s">
        <v>49</v>
      </c>
      <c r="AJ213" s="19" t="s">
        <v>50</v>
      </c>
      <c r="AK213" s="22"/>
      <c r="AL213" s="22"/>
      <c r="AM213" s="22"/>
      <c r="AN213" s="22"/>
      <c r="AO213" s="22"/>
      <c r="AP213" s="22"/>
      <c r="AQ213" s="22"/>
      <c r="AR213" s="19" t="s">
        <v>50</v>
      </c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22" t="n">
        <f aca="false">SUM(AS213:BD213)</f>
        <v>0</v>
      </c>
      <c r="BF213" s="23"/>
      <c r="BG213" s="24"/>
      <c r="BH213" s="25" t="n">
        <v>1</v>
      </c>
      <c r="BI213" s="18"/>
      <c r="BJ213" s="25" t="n">
        <v>1</v>
      </c>
      <c r="BK213" s="25" t="n">
        <v>1</v>
      </c>
      <c r="BL213" s="25" t="n">
        <v>2</v>
      </c>
      <c r="BM213" s="25" t="n">
        <v>1</v>
      </c>
      <c r="BN213" s="18"/>
      <c r="BO213" s="18"/>
      <c r="BP213" s="18"/>
      <c r="BQ213" s="25" t="n">
        <v>2</v>
      </c>
      <c r="BR213" s="25" t="n">
        <v>2</v>
      </c>
      <c r="BS213" s="18"/>
      <c r="BT213" s="22" t="n">
        <f aca="false">SUM(BH213:BS213)</f>
        <v>10</v>
      </c>
      <c r="BU213" s="26" t="n">
        <v>46034.3958912037</v>
      </c>
      <c r="BV213" s="17"/>
      <c r="BW213" s="17" t="s">
        <v>44</v>
      </c>
      <c r="BX213" s="23" t="n">
        <f aca="false">IFERROR(R213/AE213,0)</f>
        <v>1583.96333333333</v>
      </c>
      <c r="BY213" s="23" t="n">
        <f aca="false">IFERROR(R213/12,0)</f>
        <v>395.990833333333</v>
      </c>
      <c r="BZ213" s="18" t="n">
        <v>29</v>
      </c>
      <c r="CA213" s="22" t="str">
        <f aca="false">IF(AE213=0,"PROSPECT",IF(AE213=1,"NOVO",IF(AE213&lt;=3,"EM DESENV.",IF(AE213&lt;=6,"RECORRENTE","FIDELIZADO"))))</f>
        <v>EM DESENV.</v>
      </c>
      <c r="CB213" s="22" t="n">
        <f aca="false">IF((P213+Q213)&gt;0,1,0)+IF((BR213+BS213)&gt;0,1,0)+IF(BE213&gt;0,1,0)</f>
        <v>2</v>
      </c>
    </row>
    <row r="214" customFormat="false" ht="15" hidden="false" customHeight="true" outlineLevel="0" collapsed="false">
      <c r="A214" s="16" t="s">
        <v>634</v>
      </c>
      <c r="B214" s="17" t="s">
        <v>635</v>
      </c>
      <c r="C214" s="18" t="s">
        <v>61</v>
      </c>
      <c r="D214" s="17" t="s">
        <v>496</v>
      </c>
      <c r="E214" s="29" t="s">
        <v>365</v>
      </c>
      <c r="F214" s="20"/>
      <c r="G214" s="20"/>
      <c r="H214" s="20"/>
      <c r="I214" s="20"/>
      <c r="J214" s="20"/>
      <c r="K214" s="20"/>
      <c r="L214" s="20"/>
      <c r="M214" s="20"/>
      <c r="N214" s="27" t="n">
        <v>1131.79</v>
      </c>
      <c r="O214" s="20"/>
      <c r="P214" s="20"/>
      <c r="Q214" s="20"/>
      <c r="R214" s="21" t="n">
        <f aca="false">SUM(F214:Q214)</f>
        <v>1131.79</v>
      </c>
      <c r="S214" s="18"/>
      <c r="T214" s="18"/>
      <c r="U214" s="18"/>
      <c r="V214" s="18"/>
      <c r="W214" s="18"/>
      <c r="X214" s="18"/>
      <c r="Y214" s="18"/>
      <c r="Z214" s="18"/>
      <c r="AA214" s="28" t="n">
        <v>1</v>
      </c>
      <c r="AB214" s="18"/>
      <c r="AC214" s="18"/>
      <c r="AD214" s="18"/>
      <c r="AE214" s="22" t="n">
        <f aca="false">SUM(S214:AD214)</f>
        <v>1</v>
      </c>
      <c r="AF214" s="22"/>
      <c r="AG214" s="22"/>
      <c r="AH214" s="22"/>
      <c r="AI214" s="22"/>
      <c r="AJ214" s="22"/>
      <c r="AK214" s="22"/>
      <c r="AL214" s="22"/>
      <c r="AM214" s="22"/>
      <c r="AN214" s="30" t="s">
        <v>49</v>
      </c>
      <c r="AO214" s="22"/>
      <c r="AP214" s="22"/>
      <c r="AQ214" s="22"/>
      <c r="AR214" s="30" t="s">
        <v>49</v>
      </c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22" t="n">
        <f aca="false">SUM(AS214:BD214)</f>
        <v>0</v>
      </c>
      <c r="BF214" s="23"/>
      <c r="BG214" s="24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22" t="n">
        <f aca="false">SUM(BH214:BS214)</f>
        <v>0</v>
      </c>
      <c r="BU214" s="26"/>
      <c r="BV214" s="17"/>
      <c r="BW214" s="17"/>
      <c r="BX214" s="23" t="n">
        <f aca="false">IFERROR(R214/AE214,0)</f>
        <v>1131.79</v>
      </c>
      <c r="BY214" s="23" t="n">
        <f aca="false">IFERROR(R214/12,0)</f>
        <v>94.3158333333333</v>
      </c>
      <c r="BZ214" s="18" t="n">
        <v>0</v>
      </c>
      <c r="CA214" s="22" t="str">
        <f aca="false">IF(AE214=0,"PROSPECT",IF(AE214=1,"NOVO",IF(AE214&lt;=3,"EM DESENV.",IF(AE214&lt;=6,"RECORRENTE","FIDELIZADO"))))</f>
        <v>NOVO</v>
      </c>
      <c r="CB214" s="22" t="n">
        <f aca="false">IF((P214+Q214)&gt;0,1,0)+IF((BR214+BS214)&gt;0,1,0)+IF(BE214&gt;0,1,0)</f>
        <v>0</v>
      </c>
    </row>
    <row r="215" customFormat="false" ht="15" hidden="false" customHeight="true" outlineLevel="0" collapsed="false">
      <c r="A215" s="16" t="s">
        <v>636</v>
      </c>
      <c r="B215" s="17" t="s">
        <v>637</v>
      </c>
      <c r="C215" s="18" t="s">
        <v>61</v>
      </c>
      <c r="D215" s="17" t="s">
        <v>638</v>
      </c>
      <c r="E215" s="29" t="s">
        <v>365</v>
      </c>
      <c r="F215" s="20"/>
      <c r="G215" s="20"/>
      <c r="H215" s="20"/>
      <c r="I215" s="20"/>
      <c r="J215" s="20"/>
      <c r="K215" s="20"/>
      <c r="L215" s="20"/>
      <c r="M215" s="20"/>
      <c r="N215" s="27" t="n">
        <v>1134.92</v>
      </c>
      <c r="O215" s="20"/>
      <c r="P215" s="20"/>
      <c r="Q215" s="20"/>
      <c r="R215" s="21" t="n">
        <f aca="false">SUM(F215:Q215)</f>
        <v>1134.92</v>
      </c>
      <c r="S215" s="18"/>
      <c r="T215" s="18"/>
      <c r="U215" s="18"/>
      <c r="V215" s="18"/>
      <c r="W215" s="18"/>
      <c r="X215" s="18"/>
      <c r="Y215" s="18"/>
      <c r="Z215" s="18"/>
      <c r="AA215" s="28" t="n">
        <v>1</v>
      </c>
      <c r="AB215" s="18"/>
      <c r="AC215" s="18"/>
      <c r="AD215" s="18"/>
      <c r="AE215" s="22" t="n">
        <f aca="false">SUM(S215:AD215)</f>
        <v>1</v>
      </c>
      <c r="AF215" s="22"/>
      <c r="AG215" s="22"/>
      <c r="AH215" s="22"/>
      <c r="AI215" s="22"/>
      <c r="AJ215" s="22"/>
      <c r="AK215" s="22"/>
      <c r="AL215" s="22"/>
      <c r="AM215" s="22"/>
      <c r="AN215" s="30" t="s">
        <v>49</v>
      </c>
      <c r="AO215" s="22"/>
      <c r="AP215" s="22"/>
      <c r="AQ215" s="22"/>
      <c r="AR215" s="30" t="s">
        <v>49</v>
      </c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22" t="n">
        <f aca="false">SUM(AS215:BD215)</f>
        <v>0</v>
      </c>
      <c r="BF215" s="23"/>
      <c r="BG215" s="24"/>
      <c r="BH215" s="18"/>
      <c r="BI215" s="25" t="n">
        <v>1</v>
      </c>
      <c r="BJ215" s="18"/>
      <c r="BK215" s="18"/>
      <c r="BL215" s="18"/>
      <c r="BM215" s="18"/>
      <c r="BN215" s="18"/>
      <c r="BO215" s="18"/>
      <c r="BP215" s="25" t="n">
        <v>1</v>
      </c>
      <c r="BQ215" s="18"/>
      <c r="BR215" s="25" t="n">
        <v>1</v>
      </c>
      <c r="BS215" s="25" t="n">
        <v>2</v>
      </c>
      <c r="BT215" s="22" t="n">
        <f aca="false">SUM(BH215:BS215)</f>
        <v>5</v>
      </c>
      <c r="BU215" s="26" t="n">
        <v>46057.4638888889</v>
      </c>
      <c r="BV215" s="17"/>
      <c r="BW215" s="17" t="s">
        <v>44</v>
      </c>
      <c r="BX215" s="23" t="n">
        <f aca="false">IFERROR(R215/AE215,0)</f>
        <v>1134.92</v>
      </c>
      <c r="BY215" s="23" t="n">
        <f aca="false">IFERROR(R215/12,0)</f>
        <v>94.5766666666667</v>
      </c>
      <c r="BZ215" s="18" t="n">
        <v>0</v>
      </c>
      <c r="CA215" s="22" t="str">
        <f aca="false">IF(AE215=0,"PROSPECT",IF(AE215=1,"NOVO",IF(AE215&lt;=3,"EM DESENV.",IF(AE215&lt;=6,"RECORRENTE","FIDELIZADO"))))</f>
        <v>NOVO</v>
      </c>
      <c r="CB215" s="22" t="n">
        <f aca="false">IF((P215+Q215)&gt;0,1,0)+IF((BR215+BS215)&gt;0,1,0)+IF(BE215&gt;0,1,0)</f>
        <v>1</v>
      </c>
    </row>
    <row r="216" customFormat="false" ht="15" hidden="false" customHeight="true" outlineLevel="0" collapsed="false">
      <c r="A216" s="16" t="s">
        <v>639</v>
      </c>
      <c r="B216" s="17" t="s">
        <v>640</v>
      </c>
      <c r="C216" s="18" t="s">
        <v>72</v>
      </c>
      <c r="D216" s="17" t="s">
        <v>576</v>
      </c>
      <c r="E216" s="29" t="s">
        <v>365</v>
      </c>
      <c r="F216" s="20"/>
      <c r="G216" s="20"/>
      <c r="H216" s="20"/>
      <c r="I216" s="20"/>
      <c r="J216" s="20"/>
      <c r="K216" s="20"/>
      <c r="L216" s="27" t="n">
        <v>4972.49</v>
      </c>
      <c r="M216" s="27" t="n">
        <v>7929.84</v>
      </c>
      <c r="N216" s="20"/>
      <c r="O216" s="20"/>
      <c r="P216" s="20"/>
      <c r="Q216" s="20"/>
      <c r="R216" s="21" t="n">
        <f aca="false">SUM(F216:Q216)</f>
        <v>12902.33</v>
      </c>
      <c r="S216" s="18"/>
      <c r="T216" s="18"/>
      <c r="U216" s="18"/>
      <c r="V216" s="18"/>
      <c r="W216" s="18"/>
      <c r="X216" s="18"/>
      <c r="Y216" s="28" t="n">
        <v>1</v>
      </c>
      <c r="Z216" s="28" t="n">
        <v>1</v>
      </c>
      <c r="AA216" s="18"/>
      <c r="AB216" s="18"/>
      <c r="AC216" s="18"/>
      <c r="AD216" s="18"/>
      <c r="AE216" s="22" t="n">
        <f aca="false">SUM(S216:AD216)</f>
        <v>2</v>
      </c>
      <c r="AF216" s="22"/>
      <c r="AG216" s="22"/>
      <c r="AH216" s="22"/>
      <c r="AI216" s="22"/>
      <c r="AJ216" s="22"/>
      <c r="AK216" s="22"/>
      <c r="AL216" s="19" t="s">
        <v>50</v>
      </c>
      <c r="AM216" s="19" t="s">
        <v>50</v>
      </c>
      <c r="AN216" s="22"/>
      <c r="AO216" s="22"/>
      <c r="AP216" s="22"/>
      <c r="AQ216" s="22"/>
      <c r="AR216" s="19" t="s">
        <v>50</v>
      </c>
      <c r="AS216" s="18"/>
      <c r="AT216" s="18"/>
      <c r="AU216" s="18"/>
      <c r="AV216" s="18"/>
      <c r="AW216" s="18"/>
      <c r="AX216" s="18"/>
      <c r="AY216" s="25" t="n">
        <v>4</v>
      </c>
      <c r="AZ216" s="18"/>
      <c r="BA216" s="18"/>
      <c r="BB216" s="18"/>
      <c r="BC216" s="18"/>
      <c r="BD216" s="18"/>
      <c r="BE216" s="22" t="n">
        <f aca="false">SUM(AS216:BD216)</f>
        <v>4</v>
      </c>
      <c r="BF216" s="23" t="n">
        <v>4972.49</v>
      </c>
      <c r="BG216" s="19" t="s">
        <v>55</v>
      </c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22" t="n">
        <f aca="false">SUM(BH216:BS216)</f>
        <v>0</v>
      </c>
      <c r="BU216" s="26"/>
      <c r="BV216" s="17"/>
      <c r="BW216" s="17"/>
      <c r="BX216" s="23" t="n">
        <f aca="false">IFERROR(R216/AE216,0)</f>
        <v>6451.165</v>
      </c>
      <c r="BY216" s="23" t="n">
        <f aca="false">IFERROR(R216/12,0)</f>
        <v>1075.19416666667</v>
      </c>
      <c r="BZ216" s="18" t="n">
        <v>42</v>
      </c>
      <c r="CA216" s="22" t="str">
        <f aca="false">IF(AE216=0,"PROSPECT",IF(AE216=1,"NOVO",IF(AE216&lt;=3,"EM DESENV.",IF(AE216&lt;=6,"RECORRENTE","FIDELIZADO"))))</f>
        <v>EM DESENV.</v>
      </c>
      <c r="CB216" s="22" t="n">
        <f aca="false">IF((P216+Q216)&gt;0,1,0)+IF((BR216+BS216)&gt;0,1,0)+IF(BE216&gt;0,1,0)</f>
        <v>1</v>
      </c>
    </row>
    <row r="217" customFormat="false" ht="15" hidden="false" customHeight="true" outlineLevel="0" collapsed="false">
      <c r="A217" s="16" t="s">
        <v>641</v>
      </c>
      <c r="B217" s="17" t="s">
        <v>642</v>
      </c>
      <c r="C217" s="18" t="s">
        <v>61</v>
      </c>
      <c r="D217" s="17" t="s">
        <v>643</v>
      </c>
      <c r="E217" s="29" t="s">
        <v>365</v>
      </c>
      <c r="F217" s="20"/>
      <c r="G217" s="27" t="n">
        <v>929.57</v>
      </c>
      <c r="H217" s="20"/>
      <c r="I217" s="27" t="n">
        <v>6483.44</v>
      </c>
      <c r="J217" s="20"/>
      <c r="K217" s="27" t="n">
        <v>7838.86</v>
      </c>
      <c r="L217" s="20"/>
      <c r="M217" s="20"/>
      <c r="N217" s="20"/>
      <c r="O217" s="20"/>
      <c r="P217" s="20"/>
      <c r="Q217" s="20"/>
      <c r="R217" s="21" t="n">
        <f aca="false">SUM(F217:Q217)</f>
        <v>15251.87</v>
      </c>
      <c r="S217" s="18"/>
      <c r="T217" s="28" t="n">
        <v>1</v>
      </c>
      <c r="U217" s="18"/>
      <c r="V217" s="28" t="n">
        <v>1</v>
      </c>
      <c r="W217" s="18"/>
      <c r="X217" s="28" t="n">
        <v>1</v>
      </c>
      <c r="Y217" s="18"/>
      <c r="Z217" s="18"/>
      <c r="AA217" s="18"/>
      <c r="AB217" s="18"/>
      <c r="AC217" s="18"/>
      <c r="AD217" s="18"/>
      <c r="AE217" s="22" t="n">
        <f aca="false">SUM(S217:AD217)</f>
        <v>3</v>
      </c>
      <c r="AF217" s="22"/>
      <c r="AG217" s="30" t="s">
        <v>49</v>
      </c>
      <c r="AH217" s="22"/>
      <c r="AI217" s="19" t="s">
        <v>50</v>
      </c>
      <c r="AJ217" s="22"/>
      <c r="AK217" s="19" t="s">
        <v>50</v>
      </c>
      <c r="AL217" s="22"/>
      <c r="AM217" s="22"/>
      <c r="AN217" s="22"/>
      <c r="AO217" s="22"/>
      <c r="AP217" s="22"/>
      <c r="AQ217" s="22"/>
      <c r="AR217" s="19" t="s">
        <v>50</v>
      </c>
      <c r="AS217" s="18"/>
      <c r="AT217" s="25" t="n">
        <v>2</v>
      </c>
      <c r="AU217" s="25" t="n">
        <v>2</v>
      </c>
      <c r="AV217" s="25" t="n">
        <v>7</v>
      </c>
      <c r="AW217" s="25" t="n">
        <v>1</v>
      </c>
      <c r="AX217" s="25" t="n">
        <v>3</v>
      </c>
      <c r="AY217" s="25" t="n">
        <v>1</v>
      </c>
      <c r="AZ217" s="18"/>
      <c r="BA217" s="18"/>
      <c r="BB217" s="18"/>
      <c r="BC217" s="18"/>
      <c r="BD217" s="18"/>
      <c r="BE217" s="22" t="n">
        <f aca="false">SUM(AS217:BD217)</f>
        <v>16</v>
      </c>
      <c r="BF217" s="23" t="n">
        <v>3279.98</v>
      </c>
      <c r="BG217" s="19" t="s">
        <v>55</v>
      </c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25" t="n">
        <v>2</v>
      </c>
      <c r="BT217" s="22" t="n">
        <f aca="false">SUM(BH217:BS217)</f>
        <v>2</v>
      </c>
      <c r="BU217" s="26" t="n">
        <v>46058.4645833333</v>
      </c>
      <c r="BV217" s="17"/>
      <c r="BW217" s="17" t="s">
        <v>117</v>
      </c>
      <c r="BX217" s="23" t="n">
        <f aca="false">IFERROR(R217/AE217,0)</f>
        <v>5083.95666666667</v>
      </c>
      <c r="BY217" s="23" t="n">
        <f aca="false">IFERROR(R217/12,0)</f>
        <v>1270.98916666667</v>
      </c>
      <c r="BZ217" s="18" t="n">
        <v>33.3333</v>
      </c>
      <c r="CA217" s="22" t="str">
        <f aca="false">IF(AE217=0,"PROSPECT",IF(AE217=1,"NOVO",IF(AE217&lt;=3,"EM DESENV.",IF(AE217&lt;=6,"RECORRENTE","FIDELIZADO"))))</f>
        <v>EM DESENV.</v>
      </c>
      <c r="CB217" s="22" t="n">
        <f aca="false">IF((P217+Q217)&gt;0,1,0)+IF((BR217+BS217)&gt;0,1,0)+IF(BE217&gt;0,1,0)</f>
        <v>2</v>
      </c>
    </row>
    <row r="218" customFormat="false" ht="15" hidden="false" customHeight="true" outlineLevel="0" collapsed="false">
      <c r="A218" s="16" t="s">
        <v>644</v>
      </c>
      <c r="B218" s="17" t="s">
        <v>645</v>
      </c>
      <c r="C218" s="18" t="s">
        <v>41</v>
      </c>
      <c r="D218" s="17" t="s">
        <v>531</v>
      </c>
      <c r="E218" s="29" t="s">
        <v>365</v>
      </c>
      <c r="F218" s="20"/>
      <c r="G218" s="20"/>
      <c r="H218" s="20"/>
      <c r="I218" s="20"/>
      <c r="J218" s="20"/>
      <c r="K218" s="20"/>
      <c r="L218" s="20"/>
      <c r="M218" s="20"/>
      <c r="N218" s="20"/>
      <c r="O218" s="27" t="n">
        <v>361.23</v>
      </c>
      <c r="P218" s="20"/>
      <c r="Q218" s="20"/>
      <c r="R218" s="21" t="n">
        <f aca="false">SUM(F218:Q218)</f>
        <v>361.23</v>
      </c>
      <c r="S218" s="18"/>
      <c r="T218" s="18"/>
      <c r="U218" s="18"/>
      <c r="V218" s="18"/>
      <c r="W218" s="18"/>
      <c r="X218" s="18"/>
      <c r="Y218" s="18"/>
      <c r="Z218" s="18"/>
      <c r="AA218" s="18"/>
      <c r="AB218" s="28" t="n">
        <v>1</v>
      </c>
      <c r="AC218" s="18"/>
      <c r="AD218" s="18"/>
      <c r="AE218" s="22" t="n">
        <f aca="false">SUM(S218:AD218)</f>
        <v>1</v>
      </c>
      <c r="AF218" s="22"/>
      <c r="AG218" s="22"/>
      <c r="AH218" s="22"/>
      <c r="AI218" s="22"/>
      <c r="AJ218" s="22"/>
      <c r="AK218" s="22"/>
      <c r="AL218" s="22"/>
      <c r="AM218" s="22"/>
      <c r="AN218" s="22"/>
      <c r="AO218" s="29" t="s">
        <v>48</v>
      </c>
      <c r="AP218" s="22"/>
      <c r="AQ218" s="22"/>
      <c r="AR218" s="29" t="s">
        <v>48</v>
      </c>
      <c r="AS218" s="18"/>
      <c r="AT218" s="18"/>
      <c r="AU218" s="18"/>
      <c r="AV218" s="18"/>
      <c r="AW218" s="18"/>
      <c r="AX218" s="18"/>
      <c r="AY218" s="18"/>
      <c r="AZ218" s="18"/>
      <c r="BA218" s="25" t="n">
        <v>4</v>
      </c>
      <c r="BB218" s="25" t="n">
        <v>7</v>
      </c>
      <c r="BC218" s="25" t="n">
        <v>16</v>
      </c>
      <c r="BD218" s="18"/>
      <c r="BE218" s="22" t="n">
        <f aca="false">SUM(AS218:BD218)</f>
        <v>27</v>
      </c>
      <c r="BF218" s="23" t="n">
        <v>361.23</v>
      </c>
      <c r="BG218" s="19" t="s">
        <v>55</v>
      </c>
      <c r="BH218" s="18"/>
      <c r="BI218" s="18"/>
      <c r="BJ218" s="18"/>
      <c r="BK218" s="18"/>
      <c r="BL218" s="18"/>
      <c r="BM218" s="18"/>
      <c r="BN218" s="18"/>
      <c r="BO218" s="18"/>
      <c r="BP218" s="25" t="n">
        <v>3</v>
      </c>
      <c r="BQ218" s="18"/>
      <c r="BR218" s="18"/>
      <c r="BS218" s="25" t="n">
        <v>2</v>
      </c>
      <c r="BT218" s="22" t="n">
        <f aca="false">SUM(BH218:BS218)</f>
        <v>5</v>
      </c>
      <c r="BU218" s="26" t="n">
        <v>46056.4034722222</v>
      </c>
      <c r="BV218" s="17"/>
      <c r="BW218" s="17" t="s">
        <v>117</v>
      </c>
      <c r="BX218" s="23" t="n">
        <f aca="false">IFERROR(R218/AE218,0)</f>
        <v>361.23</v>
      </c>
      <c r="BY218" s="23" t="n">
        <f aca="false">IFERROR(R218/12,0)</f>
        <v>30.1025</v>
      </c>
      <c r="BZ218" s="18" t="n">
        <v>0</v>
      </c>
      <c r="CA218" s="22" t="str">
        <f aca="false">IF(AE218=0,"PROSPECT",IF(AE218=1,"NOVO",IF(AE218&lt;=3,"EM DESENV.",IF(AE218&lt;=6,"RECORRENTE","FIDELIZADO"))))</f>
        <v>NOVO</v>
      </c>
      <c r="CB218" s="22" t="n">
        <f aca="false">IF((P218+Q218)&gt;0,1,0)+IF((BR218+BS218)&gt;0,1,0)+IF(BE218&gt;0,1,0)</f>
        <v>2</v>
      </c>
    </row>
    <row r="219" customFormat="false" ht="15" hidden="false" customHeight="true" outlineLevel="0" collapsed="false">
      <c r="A219" s="16" t="s">
        <v>646</v>
      </c>
      <c r="B219" s="17" t="s">
        <v>647</v>
      </c>
      <c r="C219" s="18" t="s">
        <v>168</v>
      </c>
      <c r="D219" s="17" t="s">
        <v>482</v>
      </c>
      <c r="E219" s="29" t="s">
        <v>365</v>
      </c>
      <c r="F219" s="20"/>
      <c r="G219" s="20"/>
      <c r="H219" s="20"/>
      <c r="I219" s="27" t="n">
        <v>2314.17</v>
      </c>
      <c r="J219" s="20"/>
      <c r="K219" s="20"/>
      <c r="L219" s="20"/>
      <c r="M219" s="20"/>
      <c r="N219" s="20"/>
      <c r="O219" s="20"/>
      <c r="P219" s="20"/>
      <c r="Q219" s="20"/>
      <c r="R219" s="21" t="n">
        <f aca="false">SUM(F219:Q219)</f>
        <v>2314.17</v>
      </c>
      <c r="S219" s="18"/>
      <c r="T219" s="18"/>
      <c r="U219" s="18"/>
      <c r="V219" s="28" t="n">
        <v>1</v>
      </c>
      <c r="W219" s="18"/>
      <c r="X219" s="18"/>
      <c r="Y219" s="18"/>
      <c r="Z219" s="18"/>
      <c r="AA219" s="18"/>
      <c r="AB219" s="18"/>
      <c r="AC219" s="18"/>
      <c r="AD219" s="18"/>
      <c r="AE219" s="22" t="n">
        <f aca="false">SUM(S219:AD219)</f>
        <v>1</v>
      </c>
      <c r="AF219" s="22"/>
      <c r="AG219" s="22"/>
      <c r="AH219" s="22"/>
      <c r="AI219" s="19" t="s">
        <v>50</v>
      </c>
      <c r="AJ219" s="22"/>
      <c r="AK219" s="22"/>
      <c r="AL219" s="22"/>
      <c r="AM219" s="22"/>
      <c r="AN219" s="22"/>
      <c r="AO219" s="22"/>
      <c r="AP219" s="22"/>
      <c r="AQ219" s="22"/>
      <c r="AR219" s="30" t="s">
        <v>49</v>
      </c>
      <c r="AS219" s="18"/>
      <c r="AT219" s="18"/>
      <c r="AU219" s="18"/>
      <c r="AV219" s="25" t="n">
        <v>4</v>
      </c>
      <c r="AW219" s="18"/>
      <c r="AX219" s="25" t="n">
        <v>1</v>
      </c>
      <c r="AY219" s="25" t="n">
        <v>3</v>
      </c>
      <c r="AZ219" s="18"/>
      <c r="BA219" s="25" t="n">
        <v>4</v>
      </c>
      <c r="BB219" s="25" t="n">
        <v>3</v>
      </c>
      <c r="BC219" s="25" t="n">
        <v>2</v>
      </c>
      <c r="BD219" s="18"/>
      <c r="BE219" s="22" t="n">
        <f aca="false">SUM(AS219:BD219)</f>
        <v>17</v>
      </c>
      <c r="BF219" s="23" t="n">
        <v>2314.17</v>
      </c>
      <c r="BG219" s="19" t="s">
        <v>55</v>
      </c>
      <c r="BH219" s="18"/>
      <c r="BI219" s="18"/>
      <c r="BJ219" s="18"/>
      <c r="BK219" s="25" t="n">
        <v>2</v>
      </c>
      <c r="BL219" s="25" t="n">
        <v>1</v>
      </c>
      <c r="BM219" s="18"/>
      <c r="BN219" s="18"/>
      <c r="BO219" s="18"/>
      <c r="BP219" s="18"/>
      <c r="BQ219" s="25" t="n">
        <v>2</v>
      </c>
      <c r="BR219" s="25" t="n">
        <v>2</v>
      </c>
      <c r="BS219" s="18"/>
      <c r="BT219" s="22" t="n">
        <f aca="false">SUM(BH219:BS219)</f>
        <v>7</v>
      </c>
      <c r="BU219" s="26" t="n">
        <v>46036.6717939815</v>
      </c>
      <c r="BV219" s="17"/>
      <c r="BW219" s="17" t="s">
        <v>44</v>
      </c>
      <c r="BX219" s="23" t="n">
        <f aca="false">IFERROR(R219/AE219,0)</f>
        <v>2314.17</v>
      </c>
      <c r="BY219" s="23" t="n">
        <f aca="false">IFERROR(R219/12,0)</f>
        <v>192.8475</v>
      </c>
      <c r="BZ219" s="18" t="n">
        <v>0</v>
      </c>
      <c r="CA219" s="22" t="str">
        <f aca="false">IF(AE219=0,"PROSPECT",IF(AE219=1,"NOVO",IF(AE219&lt;=3,"EM DESENV.",IF(AE219&lt;=6,"RECORRENTE","FIDELIZADO"))))</f>
        <v>NOVO</v>
      </c>
      <c r="CB219" s="22" t="n">
        <f aca="false">IF((P219+Q219)&gt;0,1,0)+IF((BR219+BS219)&gt;0,1,0)+IF(BE219&gt;0,1,0)</f>
        <v>2</v>
      </c>
    </row>
    <row r="220" customFormat="false" ht="15" hidden="false" customHeight="true" outlineLevel="0" collapsed="false">
      <c r="A220" s="16" t="s">
        <v>648</v>
      </c>
      <c r="B220" s="17" t="s">
        <v>649</v>
      </c>
      <c r="C220" s="18" t="s">
        <v>53</v>
      </c>
      <c r="D220" s="17" t="s">
        <v>650</v>
      </c>
      <c r="E220" s="29" t="s">
        <v>365</v>
      </c>
      <c r="F220" s="20"/>
      <c r="G220" s="27" t="n">
        <v>677.7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1" t="n">
        <f aca="false">SUM(F220:Q220)</f>
        <v>677.7</v>
      </c>
      <c r="S220" s="18"/>
      <c r="T220" s="28" t="n">
        <v>1</v>
      </c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22" t="n">
        <f aca="false">SUM(S220:AD220)</f>
        <v>1</v>
      </c>
      <c r="AF220" s="22"/>
      <c r="AG220" s="29" t="s">
        <v>48</v>
      </c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9" t="s">
        <v>48</v>
      </c>
      <c r="AS220" s="18"/>
      <c r="AT220" s="25" t="n">
        <v>2</v>
      </c>
      <c r="AU220" s="25" t="n">
        <v>2</v>
      </c>
      <c r="AV220" s="18"/>
      <c r="AW220" s="18"/>
      <c r="AX220" s="18"/>
      <c r="AY220" s="18"/>
      <c r="AZ220" s="18"/>
      <c r="BA220" s="18"/>
      <c r="BB220" s="18"/>
      <c r="BC220" s="18"/>
      <c r="BD220" s="18"/>
      <c r="BE220" s="22" t="n">
        <f aca="false">SUM(AS220:BD220)</f>
        <v>4</v>
      </c>
      <c r="BF220" s="23" t="n">
        <v>1355.4</v>
      </c>
      <c r="BG220" s="19" t="s">
        <v>55</v>
      </c>
      <c r="BH220" s="25" t="n">
        <v>1</v>
      </c>
      <c r="BI220" s="25" t="n">
        <v>1</v>
      </c>
      <c r="BJ220" s="18"/>
      <c r="BK220" s="25" t="n">
        <v>1</v>
      </c>
      <c r="BL220" s="25" t="n">
        <v>6</v>
      </c>
      <c r="BM220" s="18"/>
      <c r="BN220" s="25" t="n">
        <v>2</v>
      </c>
      <c r="BO220" s="25" t="n">
        <v>1</v>
      </c>
      <c r="BP220" s="18"/>
      <c r="BQ220" s="25" t="n">
        <v>2</v>
      </c>
      <c r="BR220" s="25" t="n">
        <v>4</v>
      </c>
      <c r="BS220" s="18"/>
      <c r="BT220" s="22" t="n">
        <f aca="false">SUM(BH220:BS220)</f>
        <v>18</v>
      </c>
      <c r="BU220" s="26" t="n">
        <v>46036.725</v>
      </c>
      <c r="BV220" s="17" t="s">
        <v>89</v>
      </c>
      <c r="BW220" s="17" t="s">
        <v>44</v>
      </c>
      <c r="BX220" s="23" t="n">
        <f aca="false">IFERROR(R220/AE220,0)</f>
        <v>677.7</v>
      </c>
      <c r="BY220" s="23" t="n">
        <f aca="false">IFERROR(R220/12,0)</f>
        <v>56.475</v>
      </c>
      <c r="BZ220" s="18" t="n">
        <v>0</v>
      </c>
      <c r="CA220" s="22" t="str">
        <f aca="false">IF(AE220=0,"PROSPECT",IF(AE220=1,"NOVO",IF(AE220&lt;=3,"EM DESENV.",IF(AE220&lt;=6,"RECORRENTE","FIDELIZADO"))))</f>
        <v>NOVO</v>
      </c>
      <c r="CB220" s="22" t="n">
        <f aca="false">IF((P220+Q220)&gt;0,1,0)+IF((BR220+BS220)&gt;0,1,0)+IF(BE220&gt;0,1,0)</f>
        <v>2</v>
      </c>
    </row>
    <row r="221" customFormat="false" ht="15" hidden="false" customHeight="true" outlineLevel="0" collapsed="false">
      <c r="A221" s="16" t="s">
        <v>651</v>
      </c>
      <c r="B221" s="17" t="s">
        <v>652</v>
      </c>
      <c r="C221" s="18" t="s">
        <v>83</v>
      </c>
      <c r="D221" s="17" t="s">
        <v>653</v>
      </c>
      <c r="E221" s="29" t="s">
        <v>365</v>
      </c>
      <c r="F221" s="20"/>
      <c r="G221" s="20"/>
      <c r="H221" s="20"/>
      <c r="I221" s="20"/>
      <c r="J221" s="20"/>
      <c r="K221" s="20"/>
      <c r="L221" s="20"/>
      <c r="M221" s="20"/>
      <c r="N221" s="27" t="n">
        <v>7721.81</v>
      </c>
      <c r="O221" s="20"/>
      <c r="P221" s="20"/>
      <c r="Q221" s="20"/>
      <c r="R221" s="21" t="n">
        <f aca="false">SUM(F221:Q221)</f>
        <v>7721.81</v>
      </c>
      <c r="S221" s="18"/>
      <c r="T221" s="18"/>
      <c r="U221" s="18"/>
      <c r="V221" s="18"/>
      <c r="W221" s="18"/>
      <c r="X221" s="18"/>
      <c r="Y221" s="18"/>
      <c r="Z221" s="18"/>
      <c r="AA221" s="28" t="n">
        <v>1</v>
      </c>
      <c r="AB221" s="18"/>
      <c r="AC221" s="18"/>
      <c r="AD221" s="18"/>
      <c r="AE221" s="22" t="n">
        <f aca="false">SUM(S221:AD221)</f>
        <v>1</v>
      </c>
      <c r="AF221" s="22"/>
      <c r="AG221" s="22"/>
      <c r="AH221" s="22"/>
      <c r="AI221" s="22"/>
      <c r="AJ221" s="22"/>
      <c r="AK221" s="22"/>
      <c r="AL221" s="22"/>
      <c r="AM221" s="22"/>
      <c r="AN221" s="19" t="s">
        <v>50</v>
      </c>
      <c r="AO221" s="22"/>
      <c r="AP221" s="22"/>
      <c r="AQ221" s="22"/>
      <c r="AR221" s="19" t="s">
        <v>50</v>
      </c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25" t="n">
        <v>2</v>
      </c>
      <c r="BD221" s="18"/>
      <c r="BE221" s="22" t="n">
        <f aca="false">SUM(AS221:BD221)</f>
        <v>2</v>
      </c>
      <c r="BF221" s="23"/>
      <c r="BG221" s="31" t="s">
        <v>93</v>
      </c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25" t="n">
        <v>1</v>
      </c>
      <c r="BS221" s="18"/>
      <c r="BT221" s="22" t="n">
        <f aca="false">SUM(BH221:BS221)</f>
        <v>1</v>
      </c>
      <c r="BU221" s="26" t="n">
        <v>46036.575</v>
      </c>
      <c r="BV221" s="17"/>
      <c r="BW221" s="17" t="s">
        <v>117</v>
      </c>
      <c r="BX221" s="23" t="n">
        <f aca="false">IFERROR(R221/AE221,0)</f>
        <v>7721.81</v>
      </c>
      <c r="BY221" s="23" t="n">
        <f aca="false">IFERROR(R221/12,0)</f>
        <v>643.484166666667</v>
      </c>
      <c r="BZ221" s="18" t="n">
        <v>0</v>
      </c>
      <c r="CA221" s="22" t="str">
        <f aca="false">IF(AE221=0,"PROSPECT",IF(AE221=1,"NOVO",IF(AE221&lt;=3,"EM DESENV.",IF(AE221&lt;=6,"RECORRENTE","FIDELIZADO"))))</f>
        <v>NOVO</v>
      </c>
      <c r="CB221" s="22" t="n">
        <f aca="false">IF((P221+Q221)&gt;0,1,0)+IF((BR221+BS221)&gt;0,1,0)+IF(BE221&gt;0,1,0)</f>
        <v>2</v>
      </c>
    </row>
    <row r="222" customFormat="false" ht="15" hidden="false" customHeight="true" outlineLevel="0" collapsed="false">
      <c r="A222" s="16" t="s">
        <v>654</v>
      </c>
      <c r="B222" s="17" t="s">
        <v>655</v>
      </c>
      <c r="C222" s="18" t="s">
        <v>79</v>
      </c>
      <c r="D222" s="17" t="s">
        <v>656</v>
      </c>
      <c r="E222" s="29" t="s">
        <v>365</v>
      </c>
      <c r="F222" s="20"/>
      <c r="G222" s="20"/>
      <c r="H222" s="27" t="n">
        <v>1775.34</v>
      </c>
      <c r="I222" s="20"/>
      <c r="J222" s="20"/>
      <c r="K222" s="20"/>
      <c r="L222" s="20"/>
      <c r="M222" s="20"/>
      <c r="N222" s="20"/>
      <c r="O222" s="20"/>
      <c r="P222" s="20"/>
      <c r="Q222" s="20"/>
      <c r="R222" s="21" t="n">
        <f aca="false">SUM(F222:Q222)</f>
        <v>1775.34</v>
      </c>
      <c r="S222" s="18"/>
      <c r="T222" s="18"/>
      <c r="U222" s="28" t="n">
        <v>1</v>
      </c>
      <c r="V222" s="18"/>
      <c r="W222" s="18"/>
      <c r="X222" s="18"/>
      <c r="Y222" s="18"/>
      <c r="Z222" s="18"/>
      <c r="AA222" s="18"/>
      <c r="AB222" s="18"/>
      <c r="AC222" s="18"/>
      <c r="AD222" s="18"/>
      <c r="AE222" s="22" t="n">
        <f aca="false">SUM(S222:AD222)</f>
        <v>1</v>
      </c>
      <c r="AF222" s="22"/>
      <c r="AG222" s="22"/>
      <c r="AH222" s="19" t="s">
        <v>50</v>
      </c>
      <c r="AI222" s="22"/>
      <c r="AJ222" s="22"/>
      <c r="AK222" s="22"/>
      <c r="AL222" s="22"/>
      <c r="AM222" s="22"/>
      <c r="AN222" s="22"/>
      <c r="AO222" s="22"/>
      <c r="AP222" s="22"/>
      <c r="AQ222" s="22"/>
      <c r="AR222" s="30" t="s">
        <v>49</v>
      </c>
      <c r="AS222" s="18"/>
      <c r="AT222" s="18"/>
      <c r="AU222" s="18"/>
      <c r="AV222" s="18"/>
      <c r="AW222" s="25" t="n">
        <v>8</v>
      </c>
      <c r="AX222" s="18"/>
      <c r="AY222" s="18"/>
      <c r="AZ222" s="18"/>
      <c r="BA222" s="18"/>
      <c r="BB222" s="18"/>
      <c r="BC222" s="18"/>
      <c r="BD222" s="18"/>
      <c r="BE222" s="22" t="n">
        <f aca="false">SUM(AS222:BD222)</f>
        <v>8</v>
      </c>
      <c r="BF222" s="23" t="n">
        <v>1775.34</v>
      </c>
      <c r="BG222" s="19" t="s">
        <v>55</v>
      </c>
      <c r="BH222" s="18"/>
      <c r="BI222" s="18"/>
      <c r="BJ222" s="25" t="n">
        <v>1</v>
      </c>
      <c r="BK222" s="18"/>
      <c r="BL222" s="25" t="n">
        <v>2</v>
      </c>
      <c r="BM222" s="18"/>
      <c r="BN222" s="25" t="n">
        <v>1</v>
      </c>
      <c r="BO222" s="25" t="n">
        <v>2</v>
      </c>
      <c r="BP222" s="18"/>
      <c r="BQ222" s="25" t="n">
        <v>2</v>
      </c>
      <c r="BR222" s="25" t="n">
        <v>2</v>
      </c>
      <c r="BS222" s="18"/>
      <c r="BT222" s="22" t="n">
        <f aca="false">SUM(BH222:BS222)</f>
        <v>10</v>
      </c>
      <c r="BU222" s="26" t="n">
        <v>46036.6819444444</v>
      </c>
      <c r="BV222" s="17" t="s">
        <v>378</v>
      </c>
      <c r="BW222" s="17" t="s">
        <v>44</v>
      </c>
      <c r="BX222" s="23" t="n">
        <f aca="false">IFERROR(R222/AE222,0)</f>
        <v>1775.34</v>
      </c>
      <c r="BY222" s="23" t="n">
        <f aca="false">IFERROR(R222/12,0)</f>
        <v>147.945</v>
      </c>
      <c r="BZ222" s="18" t="n">
        <v>0</v>
      </c>
      <c r="CA222" s="22" t="str">
        <f aca="false">IF(AE222=0,"PROSPECT",IF(AE222=1,"NOVO",IF(AE222&lt;=3,"EM DESENV.",IF(AE222&lt;=6,"RECORRENTE","FIDELIZADO"))))</f>
        <v>NOVO</v>
      </c>
      <c r="CB222" s="22" t="n">
        <f aca="false">IF((P222+Q222)&gt;0,1,0)+IF((BR222+BS222)&gt;0,1,0)+IF(BE222&gt;0,1,0)</f>
        <v>2</v>
      </c>
    </row>
    <row r="223" customFormat="false" ht="15" hidden="false" customHeight="true" outlineLevel="0" collapsed="false">
      <c r="A223" s="16" t="s">
        <v>657</v>
      </c>
      <c r="B223" s="17" t="s">
        <v>658</v>
      </c>
      <c r="C223" s="18" t="s">
        <v>83</v>
      </c>
      <c r="D223" s="17" t="s">
        <v>659</v>
      </c>
      <c r="E223" s="29" t="s">
        <v>365</v>
      </c>
      <c r="F223" s="20"/>
      <c r="G223" s="20"/>
      <c r="H223" s="20"/>
      <c r="I223" s="20"/>
      <c r="J223" s="20"/>
      <c r="K223" s="27" t="n">
        <v>1570.64</v>
      </c>
      <c r="L223" s="20"/>
      <c r="M223" s="27" t="n">
        <v>1606.83</v>
      </c>
      <c r="N223" s="20"/>
      <c r="O223" s="20"/>
      <c r="P223" s="20"/>
      <c r="Q223" s="20"/>
      <c r="R223" s="21" t="n">
        <f aca="false">SUM(F223:Q223)</f>
        <v>3177.47</v>
      </c>
      <c r="S223" s="18"/>
      <c r="T223" s="18"/>
      <c r="U223" s="18"/>
      <c r="V223" s="18"/>
      <c r="W223" s="18"/>
      <c r="X223" s="28" t="n">
        <v>1</v>
      </c>
      <c r="Y223" s="18"/>
      <c r="Z223" s="28" t="n">
        <v>1</v>
      </c>
      <c r="AA223" s="18"/>
      <c r="AB223" s="18"/>
      <c r="AC223" s="18"/>
      <c r="AD223" s="18"/>
      <c r="AE223" s="22" t="n">
        <f aca="false">SUM(S223:AD223)</f>
        <v>2</v>
      </c>
      <c r="AF223" s="22"/>
      <c r="AG223" s="22"/>
      <c r="AH223" s="22"/>
      <c r="AI223" s="22"/>
      <c r="AJ223" s="22"/>
      <c r="AK223" s="19" t="s">
        <v>50</v>
      </c>
      <c r="AL223" s="22"/>
      <c r="AM223" s="19" t="s">
        <v>50</v>
      </c>
      <c r="AN223" s="22"/>
      <c r="AO223" s="22"/>
      <c r="AP223" s="22"/>
      <c r="AQ223" s="22"/>
      <c r="AR223" s="19" t="s">
        <v>50</v>
      </c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22" t="n">
        <f aca="false">SUM(AS223:BD223)</f>
        <v>0</v>
      </c>
      <c r="BF223" s="23"/>
      <c r="BG223" s="24"/>
      <c r="BH223" s="18"/>
      <c r="BI223" s="18"/>
      <c r="BJ223" s="18"/>
      <c r="BK223" s="18"/>
      <c r="BL223" s="18"/>
      <c r="BM223" s="25" t="n">
        <v>1</v>
      </c>
      <c r="BN223" s="18"/>
      <c r="BO223" s="25" t="n">
        <v>4</v>
      </c>
      <c r="BP223" s="25" t="n">
        <v>3</v>
      </c>
      <c r="BQ223" s="25" t="n">
        <v>1</v>
      </c>
      <c r="BR223" s="25" t="n">
        <v>6</v>
      </c>
      <c r="BS223" s="18"/>
      <c r="BT223" s="22" t="n">
        <f aca="false">SUM(BH223:BS223)</f>
        <v>15</v>
      </c>
      <c r="BU223" s="26" t="n">
        <v>46045.4625</v>
      </c>
      <c r="BV223" s="17" t="s">
        <v>107</v>
      </c>
      <c r="BW223" s="17" t="s">
        <v>44</v>
      </c>
      <c r="BX223" s="23" t="n">
        <f aca="false">IFERROR(R223/AE223,0)</f>
        <v>1588.735</v>
      </c>
      <c r="BY223" s="23" t="n">
        <f aca="false">IFERROR(R223/12,0)</f>
        <v>264.789166666667</v>
      </c>
      <c r="BZ223" s="18" t="n">
        <v>57</v>
      </c>
      <c r="CA223" s="22" t="str">
        <f aca="false">IF(AE223=0,"PROSPECT",IF(AE223=1,"NOVO",IF(AE223&lt;=3,"EM DESENV.",IF(AE223&lt;=6,"RECORRENTE","FIDELIZADO"))))</f>
        <v>EM DESENV.</v>
      </c>
      <c r="CB223" s="22" t="n">
        <f aca="false">IF((P223+Q223)&gt;0,1,0)+IF((BR223+BS223)&gt;0,1,0)+IF(BE223&gt;0,1,0)</f>
        <v>1</v>
      </c>
    </row>
    <row r="224" customFormat="false" ht="15" hidden="false" customHeight="true" outlineLevel="0" collapsed="false">
      <c r="A224" s="16" t="s">
        <v>660</v>
      </c>
      <c r="B224" s="17" t="s">
        <v>661</v>
      </c>
      <c r="C224" s="18" t="s">
        <v>79</v>
      </c>
      <c r="D224" s="17" t="s">
        <v>359</v>
      </c>
      <c r="E224" s="29" t="s">
        <v>365</v>
      </c>
      <c r="F224" s="27" t="n">
        <v>1391.63</v>
      </c>
      <c r="G224" s="20"/>
      <c r="H224" s="20"/>
      <c r="I224" s="20"/>
      <c r="J224" s="20"/>
      <c r="K224" s="20"/>
      <c r="L224" s="20"/>
      <c r="M224" s="20"/>
      <c r="N224" s="20"/>
      <c r="O224" s="27" t="n">
        <v>656.45</v>
      </c>
      <c r="P224" s="20"/>
      <c r="Q224" s="20"/>
      <c r="R224" s="21" t="n">
        <f aca="false">SUM(F224:Q224)</f>
        <v>2048.08</v>
      </c>
      <c r="S224" s="28" t="n">
        <v>1</v>
      </c>
      <c r="T224" s="18"/>
      <c r="U224" s="18"/>
      <c r="V224" s="18"/>
      <c r="W224" s="18"/>
      <c r="X224" s="18"/>
      <c r="Y224" s="18"/>
      <c r="Z224" s="18"/>
      <c r="AA224" s="18"/>
      <c r="AB224" s="28" t="n">
        <v>1</v>
      </c>
      <c r="AC224" s="18"/>
      <c r="AD224" s="18"/>
      <c r="AE224" s="22" t="n">
        <f aca="false">SUM(S224:AD224)</f>
        <v>2</v>
      </c>
      <c r="AF224" s="19" t="s">
        <v>50</v>
      </c>
      <c r="AG224" s="22"/>
      <c r="AH224" s="22"/>
      <c r="AI224" s="22"/>
      <c r="AJ224" s="22"/>
      <c r="AK224" s="22"/>
      <c r="AL224" s="22"/>
      <c r="AM224" s="22"/>
      <c r="AN224" s="22"/>
      <c r="AO224" s="29" t="s">
        <v>48</v>
      </c>
      <c r="AP224" s="22"/>
      <c r="AQ224" s="22"/>
      <c r="AR224" s="30" t="s">
        <v>49</v>
      </c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22" t="n">
        <f aca="false">SUM(AS224:BD224)</f>
        <v>0</v>
      </c>
      <c r="BF224" s="23" t="n">
        <v>1391.63</v>
      </c>
      <c r="BG224" s="24"/>
      <c r="BH224" s="18"/>
      <c r="BI224" s="18"/>
      <c r="BJ224" s="18"/>
      <c r="BK224" s="25" t="n">
        <v>2</v>
      </c>
      <c r="BL224" s="18"/>
      <c r="BM224" s="18"/>
      <c r="BN224" s="18"/>
      <c r="BO224" s="18"/>
      <c r="BP224" s="18"/>
      <c r="BQ224" s="25" t="n">
        <v>2</v>
      </c>
      <c r="BR224" s="25" t="n">
        <v>2</v>
      </c>
      <c r="BS224" s="18"/>
      <c r="BT224" s="22" t="n">
        <f aca="false">SUM(BH224:BS224)</f>
        <v>6</v>
      </c>
      <c r="BU224" s="26" t="n">
        <v>46049.5930555556</v>
      </c>
      <c r="BV224" s="17"/>
      <c r="BW224" s="17" t="s">
        <v>44</v>
      </c>
      <c r="BX224" s="23" t="n">
        <f aca="false">IFERROR(R224/AE224,0)</f>
        <v>1024.04</v>
      </c>
      <c r="BY224" s="23" t="n">
        <f aca="false">IFERROR(R224/12,0)</f>
        <v>170.673333333333</v>
      </c>
      <c r="BZ224" s="18" t="n">
        <v>262</v>
      </c>
      <c r="CA224" s="22" t="str">
        <f aca="false">IF(AE224=0,"PROSPECT",IF(AE224=1,"NOVO",IF(AE224&lt;=3,"EM DESENV.",IF(AE224&lt;=6,"RECORRENTE","FIDELIZADO"))))</f>
        <v>EM DESENV.</v>
      </c>
      <c r="CB224" s="22" t="n">
        <f aca="false">IF((P224+Q224)&gt;0,1,0)+IF((BR224+BS224)&gt;0,1,0)+IF(BE224&gt;0,1,0)</f>
        <v>1</v>
      </c>
    </row>
    <row r="225" customFormat="false" ht="15" hidden="false" customHeight="true" outlineLevel="0" collapsed="false">
      <c r="A225" s="16" t="s">
        <v>662</v>
      </c>
      <c r="B225" s="17" t="s">
        <v>663</v>
      </c>
      <c r="C225" s="18" t="s">
        <v>53</v>
      </c>
      <c r="D225" s="17" t="s">
        <v>664</v>
      </c>
      <c r="E225" s="29" t="s">
        <v>365</v>
      </c>
      <c r="F225" s="20"/>
      <c r="G225" s="27" t="n">
        <v>1136.3</v>
      </c>
      <c r="H225" s="20"/>
      <c r="I225" s="27" t="n">
        <v>1643.35</v>
      </c>
      <c r="J225" s="20"/>
      <c r="K225" s="20"/>
      <c r="L225" s="20"/>
      <c r="M225" s="20"/>
      <c r="N225" s="27" t="n">
        <v>657.32</v>
      </c>
      <c r="O225" s="20"/>
      <c r="P225" s="20"/>
      <c r="Q225" s="20"/>
      <c r="R225" s="21" t="n">
        <f aca="false">SUM(F225:Q225)</f>
        <v>3436.97</v>
      </c>
      <c r="S225" s="18"/>
      <c r="T225" s="28" t="n">
        <v>1</v>
      </c>
      <c r="U225" s="18"/>
      <c r="V225" s="28" t="n">
        <v>1</v>
      </c>
      <c r="W225" s="18"/>
      <c r="X225" s="18"/>
      <c r="Y225" s="18"/>
      <c r="Z225" s="18"/>
      <c r="AA225" s="28" t="n">
        <v>1</v>
      </c>
      <c r="AB225" s="18"/>
      <c r="AC225" s="18"/>
      <c r="AD225" s="18"/>
      <c r="AE225" s="22" t="n">
        <f aca="false">SUM(S225:AD225)</f>
        <v>3</v>
      </c>
      <c r="AF225" s="22"/>
      <c r="AG225" s="30" t="s">
        <v>49</v>
      </c>
      <c r="AH225" s="22"/>
      <c r="AI225" s="19" t="s">
        <v>50</v>
      </c>
      <c r="AJ225" s="22"/>
      <c r="AK225" s="22"/>
      <c r="AL225" s="22"/>
      <c r="AM225" s="22"/>
      <c r="AN225" s="29" t="s">
        <v>48</v>
      </c>
      <c r="AO225" s="22"/>
      <c r="AP225" s="22"/>
      <c r="AQ225" s="22"/>
      <c r="AR225" s="19" t="s">
        <v>50</v>
      </c>
      <c r="AS225" s="18"/>
      <c r="AT225" s="25" t="n">
        <v>5</v>
      </c>
      <c r="AU225" s="25" t="n">
        <v>5</v>
      </c>
      <c r="AV225" s="25" t="n">
        <v>7</v>
      </c>
      <c r="AW225" s="18"/>
      <c r="AX225" s="25" t="n">
        <v>1</v>
      </c>
      <c r="AY225" s="18"/>
      <c r="AZ225" s="18"/>
      <c r="BA225" s="25" t="n">
        <v>2</v>
      </c>
      <c r="BB225" s="18"/>
      <c r="BC225" s="25" t="n">
        <v>4</v>
      </c>
      <c r="BD225" s="18"/>
      <c r="BE225" s="22" t="n">
        <f aca="false">SUM(AS225:BD225)</f>
        <v>24</v>
      </c>
      <c r="BF225" s="23" t="n">
        <v>4573.27</v>
      </c>
      <c r="BG225" s="19" t="s">
        <v>55</v>
      </c>
      <c r="BH225" s="25" t="n">
        <v>1</v>
      </c>
      <c r="BI225" s="18"/>
      <c r="BJ225" s="18"/>
      <c r="BK225" s="25" t="n">
        <v>2</v>
      </c>
      <c r="BL225" s="25" t="n">
        <v>2</v>
      </c>
      <c r="BM225" s="18"/>
      <c r="BN225" s="25" t="n">
        <v>1</v>
      </c>
      <c r="BO225" s="18"/>
      <c r="BP225" s="25" t="n">
        <v>1</v>
      </c>
      <c r="BQ225" s="25" t="n">
        <v>1</v>
      </c>
      <c r="BR225" s="25" t="n">
        <v>3</v>
      </c>
      <c r="BS225" s="25" t="n">
        <v>3</v>
      </c>
      <c r="BT225" s="22" t="n">
        <f aca="false">SUM(BH225:BS225)</f>
        <v>14</v>
      </c>
      <c r="BU225" s="26" t="n">
        <v>46058.671724537</v>
      </c>
      <c r="BV225" s="17"/>
      <c r="BW225" s="17" t="s">
        <v>44</v>
      </c>
      <c r="BX225" s="23" t="n">
        <f aca="false">IFERROR(R225/AE225,0)</f>
        <v>1145.65666666667</v>
      </c>
      <c r="BY225" s="23" t="n">
        <f aca="false">IFERROR(R225/12,0)</f>
        <v>286.414166666667</v>
      </c>
      <c r="BZ225" s="18" t="n">
        <v>108</v>
      </c>
      <c r="CA225" s="22" t="str">
        <f aca="false">IF(AE225=0,"PROSPECT",IF(AE225=1,"NOVO",IF(AE225&lt;=3,"EM DESENV.",IF(AE225&lt;=6,"RECORRENTE","FIDELIZADO"))))</f>
        <v>EM DESENV.</v>
      </c>
      <c r="CB225" s="22" t="n">
        <f aca="false">IF((P225+Q225)&gt;0,1,0)+IF((BR225+BS225)&gt;0,1,0)+IF(BE225&gt;0,1,0)</f>
        <v>2</v>
      </c>
    </row>
    <row r="226" customFormat="false" ht="15" hidden="false" customHeight="true" outlineLevel="0" collapsed="false">
      <c r="A226" s="16" t="s">
        <v>665</v>
      </c>
      <c r="B226" s="17" t="s">
        <v>666</v>
      </c>
      <c r="C226" s="18" t="s">
        <v>168</v>
      </c>
      <c r="D226" s="17" t="s">
        <v>667</v>
      </c>
      <c r="E226" s="29" t="s">
        <v>365</v>
      </c>
      <c r="F226" s="20"/>
      <c r="G226" s="20"/>
      <c r="H226" s="20"/>
      <c r="I226" s="27" t="n">
        <v>1543.95</v>
      </c>
      <c r="J226" s="20"/>
      <c r="K226" s="20"/>
      <c r="L226" s="20"/>
      <c r="M226" s="20"/>
      <c r="N226" s="20"/>
      <c r="O226" s="20"/>
      <c r="P226" s="20"/>
      <c r="Q226" s="20"/>
      <c r="R226" s="21" t="n">
        <f aca="false">SUM(F226:Q226)</f>
        <v>1543.95</v>
      </c>
      <c r="S226" s="18"/>
      <c r="T226" s="18"/>
      <c r="U226" s="18"/>
      <c r="V226" s="28" t="n">
        <v>1</v>
      </c>
      <c r="W226" s="18"/>
      <c r="X226" s="18"/>
      <c r="Y226" s="18"/>
      <c r="Z226" s="18"/>
      <c r="AA226" s="18"/>
      <c r="AB226" s="18"/>
      <c r="AC226" s="18"/>
      <c r="AD226" s="18"/>
      <c r="AE226" s="22" t="n">
        <f aca="false">SUM(S226:AD226)</f>
        <v>1</v>
      </c>
      <c r="AF226" s="22"/>
      <c r="AG226" s="22"/>
      <c r="AH226" s="22"/>
      <c r="AI226" s="19" t="s">
        <v>50</v>
      </c>
      <c r="AJ226" s="22"/>
      <c r="AK226" s="22"/>
      <c r="AL226" s="22"/>
      <c r="AM226" s="22"/>
      <c r="AN226" s="22"/>
      <c r="AO226" s="22"/>
      <c r="AP226" s="22"/>
      <c r="AQ226" s="22"/>
      <c r="AR226" s="30" t="s">
        <v>49</v>
      </c>
      <c r="AS226" s="18"/>
      <c r="AT226" s="18"/>
      <c r="AU226" s="18"/>
      <c r="AV226" s="25" t="n">
        <v>2</v>
      </c>
      <c r="AW226" s="18"/>
      <c r="AX226" s="25" t="n">
        <v>3</v>
      </c>
      <c r="AY226" s="18"/>
      <c r="AZ226" s="18"/>
      <c r="BA226" s="25" t="n">
        <v>1</v>
      </c>
      <c r="BB226" s="18"/>
      <c r="BC226" s="18"/>
      <c r="BD226" s="18"/>
      <c r="BE226" s="22" t="n">
        <f aca="false">SUM(AS226:BD226)</f>
        <v>6</v>
      </c>
      <c r="BF226" s="23" t="n">
        <v>1543.95</v>
      </c>
      <c r="BG226" s="19" t="s">
        <v>55</v>
      </c>
      <c r="BH226" s="18"/>
      <c r="BI226" s="18"/>
      <c r="BJ226" s="25" t="n">
        <v>1</v>
      </c>
      <c r="BK226" s="25" t="n">
        <v>3</v>
      </c>
      <c r="BL226" s="25" t="n">
        <v>3</v>
      </c>
      <c r="BM226" s="25" t="n">
        <v>1</v>
      </c>
      <c r="BN226" s="25" t="n">
        <v>1</v>
      </c>
      <c r="BO226" s="18"/>
      <c r="BP226" s="25" t="n">
        <v>1</v>
      </c>
      <c r="BQ226" s="25" t="n">
        <v>2</v>
      </c>
      <c r="BR226" s="25" t="n">
        <v>2</v>
      </c>
      <c r="BS226" s="18"/>
      <c r="BT226" s="22" t="n">
        <f aca="false">SUM(BH226:BS226)</f>
        <v>14</v>
      </c>
      <c r="BU226" s="26" t="n">
        <v>46036.66875</v>
      </c>
      <c r="BV226" s="17" t="s">
        <v>378</v>
      </c>
      <c r="BW226" s="17" t="s">
        <v>44</v>
      </c>
      <c r="BX226" s="23" t="n">
        <f aca="false">IFERROR(R226/AE226,0)</f>
        <v>1543.95</v>
      </c>
      <c r="BY226" s="23" t="n">
        <f aca="false">IFERROR(R226/12,0)</f>
        <v>128.6625</v>
      </c>
      <c r="BZ226" s="18" t="n">
        <v>0</v>
      </c>
      <c r="CA226" s="22" t="str">
        <f aca="false">IF(AE226=0,"PROSPECT",IF(AE226=1,"NOVO",IF(AE226&lt;=3,"EM DESENV.",IF(AE226&lt;=6,"RECORRENTE","FIDELIZADO"))))</f>
        <v>NOVO</v>
      </c>
      <c r="CB226" s="22" t="n">
        <f aca="false">IF((P226+Q226)&gt;0,1,0)+IF((BR226+BS226)&gt;0,1,0)+IF(BE226&gt;0,1,0)</f>
        <v>2</v>
      </c>
    </row>
    <row r="227" customFormat="false" ht="15" hidden="false" customHeight="true" outlineLevel="0" collapsed="false">
      <c r="A227" s="16" t="s">
        <v>668</v>
      </c>
      <c r="B227" s="17" t="s">
        <v>669</v>
      </c>
      <c r="C227" s="18" t="s">
        <v>79</v>
      </c>
      <c r="D227" s="17" t="s">
        <v>670</v>
      </c>
      <c r="E227" s="29" t="s">
        <v>365</v>
      </c>
      <c r="F227" s="20"/>
      <c r="G227" s="27" t="n">
        <v>1439.93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1" t="n">
        <f aca="false">SUM(F227:Q227)</f>
        <v>1439.93</v>
      </c>
      <c r="S227" s="18"/>
      <c r="T227" s="28" t="n">
        <v>1</v>
      </c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22" t="n">
        <f aca="false">SUM(S227:AD227)</f>
        <v>1</v>
      </c>
      <c r="AF227" s="22"/>
      <c r="AG227" s="30" t="s">
        <v>49</v>
      </c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30" t="s">
        <v>49</v>
      </c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22" t="n">
        <f aca="false">SUM(AS227:BD227)</f>
        <v>0</v>
      </c>
      <c r="BF227" s="23"/>
      <c r="BG227" s="24"/>
      <c r="BH227" s="18"/>
      <c r="BI227" s="25" t="n">
        <v>1</v>
      </c>
      <c r="BJ227" s="18"/>
      <c r="BK227" s="18"/>
      <c r="BL227" s="18"/>
      <c r="BM227" s="18"/>
      <c r="BN227" s="25" t="n">
        <v>1</v>
      </c>
      <c r="BO227" s="18"/>
      <c r="BP227" s="18"/>
      <c r="BQ227" s="25" t="n">
        <v>2</v>
      </c>
      <c r="BR227" s="25" t="n">
        <v>2</v>
      </c>
      <c r="BS227" s="25" t="n">
        <v>3</v>
      </c>
      <c r="BT227" s="22" t="n">
        <f aca="false">SUM(BH227:BS227)</f>
        <v>9</v>
      </c>
      <c r="BU227" s="26" t="n">
        <v>46056.6306481482</v>
      </c>
      <c r="BV227" s="17"/>
      <c r="BW227" s="17" t="s">
        <v>44</v>
      </c>
      <c r="BX227" s="23" t="n">
        <f aca="false">IFERROR(R227/AE227,0)</f>
        <v>1439.93</v>
      </c>
      <c r="BY227" s="23" t="n">
        <f aca="false">IFERROR(R227/12,0)</f>
        <v>119.994166666667</v>
      </c>
      <c r="BZ227" s="18" t="n">
        <v>0</v>
      </c>
      <c r="CA227" s="22" t="str">
        <f aca="false">IF(AE227=0,"PROSPECT",IF(AE227=1,"NOVO",IF(AE227&lt;=3,"EM DESENV.",IF(AE227&lt;=6,"RECORRENTE","FIDELIZADO"))))</f>
        <v>NOVO</v>
      </c>
      <c r="CB227" s="22" t="n">
        <f aca="false">IF((P227+Q227)&gt;0,1,0)+IF((BR227+BS227)&gt;0,1,0)+IF(BE227&gt;0,1,0)</f>
        <v>1</v>
      </c>
    </row>
    <row r="228" customFormat="false" ht="15" hidden="false" customHeight="true" outlineLevel="0" collapsed="false">
      <c r="A228" s="16" t="s">
        <v>671</v>
      </c>
      <c r="B228" s="17" t="s">
        <v>672</v>
      </c>
      <c r="C228" s="18" t="s">
        <v>555</v>
      </c>
      <c r="D228" s="17" t="s">
        <v>556</v>
      </c>
      <c r="E228" s="29" t="s">
        <v>365</v>
      </c>
      <c r="F228" s="20"/>
      <c r="G228" s="20"/>
      <c r="H228" s="20"/>
      <c r="I228" s="20"/>
      <c r="J228" s="20"/>
      <c r="K228" s="27" t="n">
        <v>1215.54</v>
      </c>
      <c r="L228" s="20"/>
      <c r="M228" s="20"/>
      <c r="N228" s="20"/>
      <c r="O228" s="20"/>
      <c r="P228" s="20"/>
      <c r="Q228" s="20"/>
      <c r="R228" s="21" t="n">
        <f aca="false">SUM(F228:Q228)</f>
        <v>1215.54</v>
      </c>
      <c r="S228" s="18"/>
      <c r="T228" s="18"/>
      <c r="U228" s="18"/>
      <c r="V228" s="18"/>
      <c r="W228" s="18"/>
      <c r="X228" s="28" t="n">
        <v>1</v>
      </c>
      <c r="Y228" s="18"/>
      <c r="Z228" s="18"/>
      <c r="AA228" s="18"/>
      <c r="AB228" s="18"/>
      <c r="AC228" s="18"/>
      <c r="AD228" s="18"/>
      <c r="AE228" s="22" t="n">
        <f aca="false">SUM(S228:AD228)</f>
        <v>1</v>
      </c>
      <c r="AF228" s="22"/>
      <c r="AG228" s="22"/>
      <c r="AH228" s="22"/>
      <c r="AI228" s="22"/>
      <c r="AJ228" s="22"/>
      <c r="AK228" s="30" t="s">
        <v>49</v>
      </c>
      <c r="AL228" s="22"/>
      <c r="AM228" s="22"/>
      <c r="AN228" s="22"/>
      <c r="AO228" s="22"/>
      <c r="AP228" s="22"/>
      <c r="AQ228" s="22"/>
      <c r="AR228" s="30" t="s">
        <v>49</v>
      </c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22" t="n">
        <f aca="false">SUM(AS228:BD228)</f>
        <v>0</v>
      </c>
      <c r="BF228" s="23"/>
      <c r="BG228" s="24"/>
      <c r="BH228" s="18"/>
      <c r="BI228" s="18"/>
      <c r="BJ228" s="18"/>
      <c r="BK228" s="25" t="n">
        <v>2</v>
      </c>
      <c r="BL228" s="25" t="n">
        <v>1</v>
      </c>
      <c r="BM228" s="25" t="n">
        <v>1</v>
      </c>
      <c r="BN228" s="25" t="n">
        <v>2</v>
      </c>
      <c r="BO228" s="25" t="n">
        <v>2</v>
      </c>
      <c r="BP228" s="18"/>
      <c r="BQ228" s="18"/>
      <c r="BR228" s="25" t="n">
        <v>2</v>
      </c>
      <c r="BS228" s="18"/>
      <c r="BT228" s="22" t="n">
        <f aca="false">SUM(BH228:BS228)</f>
        <v>10</v>
      </c>
      <c r="BU228" s="26" t="n">
        <v>46036.6266435185</v>
      </c>
      <c r="BV228" s="17"/>
      <c r="BW228" s="17" t="s">
        <v>44</v>
      </c>
      <c r="BX228" s="23" t="n">
        <f aca="false">IFERROR(R228/AE228,0)</f>
        <v>1215.54</v>
      </c>
      <c r="BY228" s="23" t="n">
        <f aca="false">IFERROR(R228/12,0)</f>
        <v>101.295</v>
      </c>
      <c r="BZ228" s="18" t="n">
        <v>0</v>
      </c>
      <c r="CA228" s="22" t="str">
        <f aca="false">IF(AE228=0,"PROSPECT",IF(AE228=1,"NOVO",IF(AE228&lt;=3,"EM DESENV.",IF(AE228&lt;=6,"RECORRENTE","FIDELIZADO"))))</f>
        <v>NOVO</v>
      </c>
      <c r="CB228" s="22" t="n">
        <f aca="false">IF((P228+Q228)&gt;0,1,0)+IF((BR228+BS228)&gt;0,1,0)+IF(BE228&gt;0,1,0)</f>
        <v>1</v>
      </c>
    </row>
    <row r="229" customFormat="false" ht="15" hidden="false" customHeight="true" outlineLevel="0" collapsed="false">
      <c r="A229" s="16" t="s">
        <v>673</v>
      </c>
      <c r="B229" s="17" t="s">
        <v>674</v>
      </c>
      <c r="C229" s="18" t="s">
        <v>53</v>
      </c>
      <c r="D229" s="17" t="s">
        <v>301</v>
      </c>
      <c r="E229" s="29" t="s">
        <v>365</v>
      </c>
      <c r="F229" s="20"/>
      <c r="G229" s="20"/>
      <c r="H229" s="20"/>
      <c r="I229" s="27" t="n">
        <v>701.58</v>
      </c>
      <c r="J229" s="20"/>
      <c r="K229" s="20"/>
      <c r="L229" s="20"/>
      <c r="M229" s="27" t="n">
        <v>712.46</v>
      </c>
      <c r="N229" s="20"/>
      <c r="O229" s="20"/>
      <c r="P229" s="20"/>
      <c r="Q229" s="20"/>
      <c r="R229" s="21" t="n">
        <f aca="false">SUM(F229:Q229)</f>
        <v>1414.04</v>
      </c>
      <c r="S229" s="18"/>
      <c r="T229" s="18"/>
      <c r="U229" s="18"/>
      <c r="V229" s="28" t="n">
        <v>1</v>
      </c>
      <c r="W229" s="18"/>
      <c r="X229" s="18"/>
      <c r="Y229" s="18"/>
      <c r="Z229" s="28" t="n">
        <v>1</v>
      </c>
      <c r="AA229" s="18"/>
      <c r="AB229" s="18"/>
      <c r="AC229" s="18"/>
      <c r="AD229" s="18"/>
      <c r="AE229" s="22" t="n">
        <f aca="false">SUM(S229:AD229)</f>
        <v>2</v>
      </c>
      <c r="AF229" s="22"/>
      <c r="AG229" s="22"/>
      <c r="AH229" s="22"/>
      <c r="AI229" s="29" t="s">
        <v>48</v>
      </c>
      <c r="AJ229" s="22"/>
      <c r="AK229" s="22"/>
      <c r="AL229" s="22"/>
      <c r="AM229" s="29" t="s">
        <v>48</v>
      </c>
      <c r="AN229" s="22"/>
      <c r="AO229" s="22"/>
      <c r="AP229" s="22"/>
      <c r="AQ229" s="22"/>
      <c r="AR229" s="30" t="s">
        <v>49</v>
      </c>
      <c r="AS229" s="18"/>
      <c r="AT229" s="18"/>
      <c r="AU229" s="18"/>
      <c r="AV229" s="25" t="n">
        <v>3</v>
      </c>
      <c r="AW229" s="18"/>
      <c r="AX229" s="18"/>
      <c r="AY229" s="18"/>
      <c r="AZ229" s="18"/>
      <c r="BA229" s="18"/>
      <c r="BB229" s="18"/>
      <c r="BC229" s="18"/>
      <c r="BD229" s="18"/>
      <c r="BE229" s="22" t="n">
        <f aca="false">SUM(AS229:BD229)</f>
        <v>3</v>
      </c>
      <c r="BF229" s="23" t="n">
        <v>701.58</v>
      </c>
      <c r="BG229" s="19" t="s">
        <v>55</v>
      </c>
      <c r="BH229" s="25" t="n">
        <v>1</v>
      </c>
      <c r="BI229" s="18"/>
      <c r="BJ229" s="25" t="n">
        <v>1</v>
      </c>
      <c r="BK229" s="25" t="n">
        <v>2</v>
      </c>
      <c r="BL229" s="25" t="n">
        <v>1</v>
      </c>
      <c r="BM229" s="18"/>
      <c r="BN229" s="25" t="n">
        <v>2</v>
      </c>
      <c r="BO229" s="25" t="n">
        <v>2</v>
      </c>
      <c r="BP229" s="25" t="n">
        <v>2</v>
      </c>
      <c r="BQ229" s="18"/>
      <c r="BR229" s="25" t="n">
        <v>5</v>
      </c>
      <c r="BS229" s="18"/>
      <c r="BT229" s="22" t="n">
        <f aca="false">SUM(BH229:BS229)</f>
        <v>16</v>
      </c>
      <c r="BU229" s="26" t="n">
        <v>46036.7108796296</v>
      </c>
      <c r="BV229" s="17"/>
      <c r="BW229" s="17" t="s">
        <v>44</v>
      </c>
      <c r="BX229" s="23" t="n">
        <f aca="false">IFERROR(R229/AE229,0)</f>
        <v>707.02</v>
      </c>
      <c r="BY229" s="23" t="n">
        <f aca="false">IFERROR(R229/12,0)</f>
        <v>117.836666666667</v>
      </c>
      <c r="BZ229" s="18" t="n">
        <v>119</v>
      </c>
      <c r="CA229" s="22" t="str">
        <f aca="false">IF(AE229=0,"PROSPECT",IF(AE229=1,"NOVO",IF(AE229&lt;=3,"EM DESENV.",IF(AE229&lt;=6,"RECORRENTE","FIDELIZADO"))))</f>
        <v>EM DESENV.</v>
      </c>
      <c r="CB229" s="22" t="n">
        <f aca="false">IF((P229+Q229)&gt;0,1,0)+IF((BR229+BS229)&gt;0,1,0)+IF(BE229&gt;0,1,0)</f>
        <v>2</v>
      </c>
    </row>
    <row r="230" customFormat="false" ht="15" hidden="false" customHeight="true" outlineLevel="0" collapsed="false">
      <c r="A230" s="16" t="s">
        <v>675</v>
      </c>
      <c r="B230" s="17" t="s">
        <v>676</v>
      </c>
      <c r="C230" s="18" t="s">
        <v>61</v>
      </c>
      <c r="D230" s="17" t="s">
        <v>137</v>
      </c>
      <c r="E230" s="29" t="s">
        <v>365</v>
      </c>
      <c r="F230" s="20"/>
      <c r="G230" s="20"/>
      <c r="H230" s="20"/>
      <c r="I230" s="20"/>
      <c r="J230" s="20"/>
      <c r="K230" s="27" t="n">
        <v>674.68</v>
      </c>
      <c r="L230" s="27" t="n">
        <v>1354.15</v>
      </c>
      <c r="M230" s="27" t="n">
        <v>2191.25</v>
      </c>
      <c r="N230" s="27" t="n">
        <v>619.08</v>
      </c>
      <c r="O230" s="20"/>
      <c r="P230" s="20"/>
      <c r="Q230" s="20"/>
      <c r="R230" s="21" t="n">
        <f aca="false">SUM(F230:Q230)</f>
        <v>4839.16</v>
      </c>
      <c r="S230" s="18"/>
      <c r="T230" s="18"/>
      <c r="U230" s="18"/>
      <c r="V230" s="18"/>
      <c r="W230" s="18"/>
      <c r="X230" s="28" t="n">
        <v>1</v>
      </c>
      <c r="Y230" s="28" t="n">
        <v>1</v>
      </c>
      <c r="Z230" s="28" t="n">
        <v>1</v>
      </c>
      <c r="AA230" s="28" t="n">
        <v>1</v>
      </c>
      <c r="AB230" s="18"/>
      <c r="AC230" s="18"/>
      <c r="AD230" s="18"/>
      <c r="AE230" s="22" t="n">
        <f aca="false">SUM(S230:AD230)</f>
        <v>4</v>
      </c>
      <c r="AF230" s="22"/>
      <c r="AG230" s="22"/>
      <c r="AH230" s="22"/>
      <c r="AI230" s="22"/>
      <c r="AJ230" s="22"/>
      <c r="AK230" s="29" t="s">
        <v>48</v>
      </c>
      <c r="AL230" s="19" t="s">
        <v>50</v>
      </c>
      <c r="AM230" s="19" t="s">
        <v>50</v>
      </c>
      <c r="AN230" s="19" t="s">
        <v>50</v>
      </c>
      <c r="AO230" s="22"/>
      <c r="AP230" s="22"/>
      <c r="AQ230" s="22"/>
      <c r="AR230" s="19" t="s">
        <v>50</v>
      </c>
      <c r="AS230" s="18"/>
      <c r="AT230" s="18"/>
      <c r="AU230" s="18"/>
      <c r="AV230" s="18"/>
      <c r="AW230" s="18"/>
      <c r="AX230" s="25" t="n">
        <v>4</v>
      </c>
      <c r="AY230" s="25" t="n">
        <v>3</v>
      </c>
      <c r="AZ230" s="18"/>
      <c r="BA230" s="25" t="n">
        <v>1</v>
      </c>
      <c r="BB230" s="18"/>
      <c r="BC230" s="18"/>
      <c r="BD230" s="18"/>
      <c r="BE230" s="22" t="n">
        <f aca="false">SUM(AS230:BD230)</f>
        <v>8</v>
      </c>
      <c r="BF230" s="23" t="n">
        <v>5772.73</v>
      </c>
      <c r="BG230" s="19" t="s">
        <v>55</v>
      </c>
      <c r="BH230" s="25" t="n">
        <v>1</v>
      </c>
      <c r="BI230" s="18"/>
      <c r="BJ230" s="25" t="n">
        <v>2</v>
      </c>
      <c r="BK230" s="18"/>
      <c r="BL230" s="25" t="n">
        <v>2</v>
      </c>
      <c r="BM230" s="18"/>
      <c r="BN230" s="18"/>
      <c r="BO230" s="25" t="n">
        <v>2</v>
      </c>
      <c r="BP230" s="18"/>
      <c r="BQ230" s="18"/>
      <c r="BR230" s="18"/>
      <c r="BS230" s="18"/>
      <c r="BT230" s="22" t="n">
        <f aca="false">SUM(BH230:BS230)</f>
        <v>7</v>
      </c>
      <c r="BU230" s="26" t="n">
        <v>45960.7646643519</v>
      </c>
      <c r="BV230" s="17"/>
      <c r="BW230" s="17" t="s">
        <v>44</v>
      </c>
      <c r="BX230" s="23" t="n">
        <f aca="false">IFERROR(R230/AE230,0)</f>
        <v>1209.79</v>
      </c>
      <c r="BY230" s="23" t="n">
        <f aca="false">IFERROR(R230/12,0)</f>
        <v>403.263333333333</v>
      </c>
      <c r="BZ230" s="18" t="n">
        <v>22.25</v>
      </c>
      <c r="CA230" s="22" t="str">
        <f aca="false">IF(AE230=0,"PROSPECT",IF(AE230=1,"NOVO",IF(AE230&lt;=3,"EM DESENV.",IF(AE230&lt;=6,"RECORRENTE","FIDELIZADO"))))</f>
        <v>RECORRENTE</v>
      </c>
      <c r="CB230" s="22" t="n">
        <f aca="false">IF((P230+Q230)&gt;0,1,0)+IF((BR230+BS230)&gt;0,1,0)+IF(BE230&gt;0,1,0)</f>
        <v>1</v>
      </c>
    </row>
    <row r="231" customFormat="false" ht="15" hidden="false" customHeight="true" outlineLevel="0" collapsed="false">
      <c r="A231" s="16" t="s">
        <v>677</v>
      </c>
      <c r="B231" s="17" t="s">
        <v>678</v>
      </c>
      <c r="C231" s="18" t="s">
        <v>65</v>
      </c>
      <c r="D231" s="17" t="s">
        <v>679</v>
      </c>
      <c r="E231" s="29" t="s">
        <v>365</v>
      </c>
      <c r="F231" s="20"/>
      <c r="G231" s="20"/>
      <c r="H231" s="20"/>
      <c r="I231" s="20"/>
      <c r="J231" s="20"/>
      <c r="K231" s="20"/>
      <c r="L231" s="27" t="n">
        <v>2021.53</v>
      </c>
      <c r="M231" s="20"/>
      <c r="N231" s="27" t="n">
        <v>2019.12</v>
      </c>
      <c r="O231" s="20"/>
      <c r="P231" s="20"/>
      <c r="Q231" s="20"/>
      <c r="R231" s="21" t="n">
        <f aca="false">SUM(F231:Q231)</f>
        <v>4040.65</v>
      </c>
      <c r="S231" s="18"/>
      <c r="T231" s="18"/>
      <c r="U231" s="18"/>
      <c r="V231" s="18"/>
      <c r="W231" s="18"/>
      <c r="X231" s="18"/>
      <c r="Y231" s="28" t="n">
        <v>1</v>
      </c>
      <c r="Z231" s="18"/>
      <c r="AA231" s="28" t="n">
        <v>1</v>
      </c>
      <c r="AB231" s="18"/>
      <c r="AC231" s="18"/>
      <c r="AD231" s="18"/>
      <c r="AE231" s="22" t="n">
        <f aca="false">SUM(S231:AD231)</f>
        <v>2</v>
      </c>
      <c r="AF231" s="22"/>
      <c r="AG231" s="22"/>
      <c r="AH231" s="22"/>
      <c r="AI231" s="22"/>
      <c r="AJ231" s="22"/>
      <c r="AK231" s="22"/>
      <c r="AL231" s="19" t="s">
        <v>50</v>
      </c>
      <c r="AM231" s="22"/>
      <c r="AN231" s="19" t="s">
        <v>50</v>
      </c>
      <c r="AO231" s="22"/>
      <c r="AP231" s="22"/>
      <c r="AQ231" s="22"/>
      <c r="AR231" s="19" t="s">
        <v>50</v>
      </c>
      <c r="AS231" s="18"/>
      <c r="AT231" s="18"/>
      <c r="AU231" s="18"/>
      <c r="AV231" s="18"/>
      <c r="AW231" s="18"/>
      <c r="AX231" s="25" t="n">
        <v>2</v>
      </c>
      <c r="AY231" s="25" t="n">
        <v>2</v>
      </c>
      <c r="AZ231" s="18"/>
      <c r="BA231" s="25" t="n">
        <v>2</v>
      </c>
      <c r="BB231" s="18"/>
      <c r="BC231" s="18"/>
      <c r="BD231" s="18"/>
      <c r="BE231" s="22" t="n">
        <f aca="false">SUM(AS231:BD231)</f>
        <v>6</v>
      </c>
      <c r="BF231" s="23" t="n">
        <v>4040.65</v>
      </c>
      <c r="BG231" s="19" t="s">
        <v>55</v>
      </c>
      <c r="BH231" s="18"/>
      <c r="BI231" s="18"/>
      <c r="BJ231" s="18"/>
      <c r="BK231" s="18"/>
      <c r="BL231" s="18"/>
      <c r="BM231" s="18"/>
      <c r="BN231" s="18"/>
      <c r="BO231" s="25" t="n">
        <v>1</v>
      </c>
      <c r="BP231" s="25" t="n">
        <v>2</v>
      </c>
      <c r="BQ231" s="18"/>
      <c r="BR231" s="25" t="n">
        <v>1</v>
      </c>
      <c r="BS231" s="25" t="n">
        <v>3</v>
      </c>
      <c r="BT231" s="22" t="n">
        <f aca="false">SUM(BH231:BS231)</f>
        <v>7</v>
      </c>
      <c r="BU231" s="26" t="n">
        <v>46058.6631944445</v>
      </c>
      <c r="BV231" s="17" t="s">
        <v>124</v>
      </c>
      <c r="BW231" s="17" t="s">
        <v>44</v>
      </c>
      <c r="BX231" s="23" t="n">
        <f aca="false">IFERROR(R231/AE231,0)</f>
        <v>2020.325</v>
      </c>
      <c r="BY231" s="23" t="n">
        <f aca="false">IFERROR(R231/12,0)</f>
        <v>336.720833333333</v>
      </c>
      <c r="BZ231" s="18" t="n">
        <v>77</v>
      </c>
      <c r="CA231" s="22" t="str">
        <f aca="false">IF(AE231=0,"PROSPECT",IF(AE231=1,"NOVO",IF(AE231&lt;=3,"EM DESENV.",IF(AE231&lt;=6,"RECORRENTE","FIDELIZADO"))))</f>
        <v>EM DESENV.</v>
      </c>
      <c r="CB231" s="22" t="n">
        <f aca="false">IF((P231+Q231)&gt;0,1,0)+IF((BR231+BS231)&gt;0,1,0)+IF(BE231&gt;0,1,0)</f>
        <v>2</v>
      </c>
    </row>
    <row r="232" customFormat="false" ht="15" hidden="false" customHeight="true" outlineLevel="0" collapsed="false">
      <c r="A232" s="16" t="s">
        <v>680</v>
      </c>
      <c r="B232" s="17" t="s">
        <v>681</v>
      </c>
      <c r="C232" s="18" t="s">
        <v>41</v>
      </c>
      <c r="D232" s="17" t="s">
        <v>606</v>
      </c>
      <c r="E232" s="29" t="s">
        <v>365</v>
      </c>
      <c r="F232" s="20"/>
      <c r="G232" s="20"/>
      <c r="H232" s="20"/>
      <c r="I232" s="20"/>
      <c r="J232" s="20"/>
      <c r="K232" s="27" t="n">
        <v>684.92</v>
      </c>
      <c r="L232" s="20"/>
      <c r="M232" s="20"/>
      <c r="N232" s="20"/>
      <c r="O232" s="20"/>
      <c r="P232" s="20"/>
      <c r="Q232" s="20"/>
      <c r="R232" s="21" t="n">
        <f aca="false">SUM(F232:Q232)</f>
        <v>684.92</v>
      </c>
      <c r="S232" s="18"/>
      <c r="T232" s="18"/>
      <c r="U232" s="18"/>
      <c r="V232" s="18"/>
      <c r="W232" s="18"/>
      <c r="X232" s="28" t="n">
        <v>1</v>
      </c>
      <c r="Y232" s="18"/>
      <c r="Z232" s="18"/>
      <c r="AA232" s="18"/>
      <c r="AB232" s="18"/>
      <c r="AC232" s="18"/>
      <c r="AD232" s="18"/>
      <c r="AE232" s="22" t="n">
        <f aca="false">SUM(S232:AD232)</f>
        <v>1</v>
      </c>
      <c r="AF232" s="22"/>
      <c r="AG232" s="22"/>
      <c r="AH232" s="22"/>
      <c r="AI232" s="22"/>
      <c r="AJ232" s="22"/>
      <c r="AK232" s="29" t="s">
        <v>48</v>
      </c>
      <c r="AL232" s="22"/>
      <c r="AM232" s="22"/>
      <c r="AN232" s="22"/>
      <c r="AO232" s="22"/>
      <c r="AP232" s="22"/>
      <c r="AQ232" s="22"/>
      <c r="AR232" s="29" t="s">
        <v>48</v>
      </c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22" t="n">
        <f aca="false">SUM(AS232:BD232)</f>
        <v>0</v>
      </c>
      <c r="BF232" s="23"/>
      <c r="BG232" s="24"/>
      <c r="BH232" s="18"/>
      <c r="BI232" s="18"/>
      <c r="BJ232" s="18"/>
      <c r="BK232" s="18"/>
      <c r="BL232" s="18"/>
      <c r="BM232" s="18"/>
      <c r="BN232" s="18"/>
      <c r="BO232" s="18"/>
      <c r="BP232" s="25" t="n">
        <v>1</v>
      </c>
      <c r="BQ232" s="18"/>
      <c r="BR232" s="18"/>
      <c r="BS232" s="25" t="n">
        <v>2</v>
      </c>
      <c r="BT232" s="22" t="n">
        <f aca="false">SUM(BH232:BS232)</f>
        <v>3</v>
      </c>
      <c r="BU232" s="26" t="n">
        <v>46058.4756944445</v>
      </c>
      <c r="BV232" s="17"/>
      <c r="BW232" s="17" t="s">
        <v>117</v>
      </c>
      <c r="BX232" s="23" t="n">
        <f aca="false">IFERROR(R232/AE232,0)</f>
        <v>684.92</v>
      </c>
      <c r="BY232" s="23" t="n">
        <f aca="false">IFERROR(R232/12,0)</f>
        <v>57.0766666666667</v>
      </c>
      <c r="BZ232" s="18" t="n">
        <v>0</v>
      </c>
      <c r="CA232" s="22" t="str">
        <f aca="false">IF(AE232=0,"PROSPECT",IF(AE232=1,"NOVO",IF(AE232&lt;=3,"EM DESENV.",IF(AE232&lt;=6,"RECORRENTE","FIDELIZADO"))))</f>
        <v>NOVO</v>
      </c>
      <c r="CB232" s="22" t="n">
        <f aca="false">IF((P232+Q232)&gt;0,1,0)+IF((BR232+BS232)&gt;0,1,0)+IF(BE232&gt;0,1,0)</f>
        <v>1</v>
      </c>
    </row>
    <row r="233" customFormat="false" ht="15" hidden="false" customHeight="true" outlineLevel="0" collapsed="false">
      <c r="A233" s="16" t="s">
        <v>682</v>
      </c>
      <c r="B233" s="17" t="s">
        <v>683</v>
      </c>
      <c r="C233" s="18" t="s">
        <v>41</v>
      </c>
      <c r="D233" s="17" t="s">
        <v>42</v>
      </c>
      <c r="E233" s="29" t="s">
        <v>365</v>
      </c>
      <c r="F233" s="20"/>
      <c r="G233" s="20"/>
      <c r="H233" s="20"/>
      <c r="I233" s="20"/>
      <c r="J233" s="20"/>
      <c r="K233" s="20"/>
      <c r="L233" s="20"/>
      <c r="M233" s="20"/>
      <c r="N233" s="27" t="n">
        <v>725.91</v>
      </c>
      <c r="O233" s="20"/>
      <c r="P233" s="20"/>
      <c r="Q233" s="20"/>
      <c r="R233" s="21" t="n">
        <f aca="false">SUM(F233:Q233)</f>
        <v>725.91</v>
      </c>
      <c r="S233" s="18"/>
      <c r="T233" s="18"/>
      <c r="U233" s="18"/>
      <c r="V233" s="18"/>
      <c r="W233" s="18"/>
      <c r="X233" s="18"/>
      <c r="Y233" s="18"/>
      <c r="Z233" s="18"/>
      <c r="AA233" s="28" t="n">
        <v>1</v>
      </c>
      <c r="AB233" s="18"/>
      <c r="AC233" s="18"/>
      <c r="AD233" s="18"/>
      <c r="AE233" s="22" t="n">
        <f aca="false">SUM(S233:AD233)</f>
        <v>1</v>
      </c>
      <c r="AF233" s="22"/>
      <c r="AG233" s="22"/>
      <c r="AH233" s="22"/>
      <c r="AI233" s="22"/>
      <c r="AJ233" s="22"/>
      <c r="AK233" s="22"/>
      <c r="AL233" s="22"/>
      <c r="AM233" s="22"/>
      <c r="AN233" s="29" t="s">
        <v>48</v>
      </c>
      <c r="AO233" s="22"/>
      <c r="AP233" s="22"/>
      <c r="AQ233" s="22"/>
      <c r="AR233" s="29" t="s">
        <v>48</v>
      </c>
      <c r="AS233" s="18"/>
      <c r="AT233" s="18"/>
      <c r="AU233" s="18"/>
      <c r="AV233" s="25" t="n">
        <v>1</v>
      </c>
      <c r="AW233" s="25" t="n">
        <v>15</v>
      </c>
      <c r="AX233" s="18"/>
      <c r="AY233" s="18"/>
      <c r="AZ233" s="18"/>
      <c r="BA233" s="25" t="n">
        <v>1</v>
      </c>
      <c r="BB233" s="18"/>
      <c r="BC233" s="18"/>
      <c r="BD233" s="18"/>
      <c r="BE233" s="22" t="n">
        <f aca="false">SUM(AS233:BD233)</f>
        <v>17</v>
      </c>
      <c r="BF233" s="23" t="n">
        <v>725.91</v>
      </c>
      <c r="BG233" s="19" t="s">
        <v>55</v>
      </c>
      <c r="BH233" s="25" t="n">
        <v>1</v>
      </c>
      <c r="BI233" s="18"/>
      <c r="BJ233" s="25" t="n">
        <v>2</v>
      </c>
      <c r="BK233" s="25" t="n">
        <v>1</v>
      </c>
      <c r="BL233" s="18"/>
      <c r="BM233" s="18"/>
      <c r="BN233" s="18"/>
      <c r="BO233" s="18"/>
      <c r="BP233" s="25" t="n">
        <v>2</v>
      </c>
      <c r="BQ233" s="25" t="n">
        <v>1</v>
      </c>
      <c r="BR233" s="18"/>
      <c r="BS233" s="18"/>
      <c r="BT233" s="22" t="n">
        <f aca="false">SUM(BH233:BS233)</f>
        <v>7</v>
      </c>
      <c r="BU233" s="26" t="n">
        <v>46001.4194444444</v>
      </c>
      <c r="BV233" s="17"/>
      <c r="BW233" s="17" t="s">
        <v>117</v>
      </c>
      <c r="BX233" s="23" t="n">
        <f aca="false">IFERROR(R233/AE233,0)</f>
        <v>725.91</v>
      </c>
      <c r="BY233" s="23" t="n">
        <f aca="false">IFERROR(R233/12,0)</f>
        <v>60.4925</v>
      </c>
      <c r="BZ233" s="18" t="n">
        <v>0</v>
      </c>
      <c r="CA233" s="22" t="str">
        <f aca="false">IF(AE233=0,"PROSPECT",IF(AE233=1,"NOVO",IF(AE233&lt;=3,"EM DESENV.",IF(AE233&lt;=6,"RECORRENTE","FIDELIZADO"))))</f>
        <v>NOVO</v>
      </c>
      <c r="CB233" s="22" t="n">
        <f aca="false">IF((P233+Q233)&gt;0,1,0)+IF((BR233+BS233)&gt;0,1,0)+IF(BE233&gt;0,1,0)</f>
        <v>1</v>
      </c>
    </row>
    <row r="234" customFormat="false" ht="15" hidden="false" customHeight="true" outlineLevel="0" collapsed="false">
      <c r="A234" s="16" t="s">
        <v>684</v>
      </c>
      <c r="B234" s="17" t="s">
        <v>685</v>
      </c>
      <c r="C234" s="18" t="s">
        <v>53</v>
      </c>
      <c r="D234" s="17" t="s">
        <v>260</v>
      </c>
      <c r="E234" s="29" t="s">
        <v>365</v>
      </c>
      <c r="F234" s="20"/>
      <c r="G234" s="20"/>
      <c r="H234" s="20"/>
      <c r="I234" s="20"/>
      <c r="J234" s="20"/>
      <c r="K234" s="20"/>
      <c r="L234" s="20"/>
      <c r="M234" s="20"/>
      <c r="N234" s="27" t="n">
        <v>1092.69</v>
      </c>
      <c r="O234" s="20"/>
      <c r="P234" s="20"/>
      <c r="Q234" s="20"/>
      <c r="R234" s="21" t="n">
        <f aca="false">SUM(F234:Q234)</f>
        <v>1092.69</v>
      </c>
      <c r="S234" s="18"/>
      <c r="T234" s="18"/>
      <c r="U234" s="18"/>
      <c r="V234" s="18"/>
      <c r="W234" s="18"/>
      <c r="X234" s="18"/>
      <c r="Y234" s="18"/>
      <c r="Z234" s="18"/>
      <c r="AA234" s="28" t="n">
        <v>1</v>
      </c>
      <c r="AB234" s="18"/>
      <c r="AC234" s="18"/>
      <c r="AD234" s="18"/>
      <c r="AE234" s="22" t="n">
        <f aca="false">SUM(S234:AD234)</f>
        <v>1</v>
      </c>
      <c r="AF234" s="22"/>
      <c r="AG234" s="22"/>
      <c r="AH234" s="22"/>
      <c r="AI234" s="22"/>
      <c r="AJ234" s="22"/>
      <c r="AK234" s="22"/>
      <c r="AL234" s="22"/>
      <c r="AM234" s="22"/>
      <c r="AN234" s="30" t="s">
        <v>49</v>
      </c>
      <c r="AO234" s="22"/>
      <c r="AP234" s="22"/>
      <c r="AQ234" s="22"/>
      <c r="AR234" s="29" t="s">
        <v>48</v>
      </c>
      <c r="AS234" s="18"/>
      <c r="AT234" s="18"/>
      <c r="AU234" s="18"/>
      <c r="AV234" s="18"/>
      <c r="AW234" s="18"/>
      <c r="AX234" s="18"/>
      <c r="AY234" s="18"/>
      <c r="AZ234" s="18"/>
      <c r="BA234" s="25" t="n">
        <v>3</v>
      </c>
      <c r="BB234" s="18"/>
      <c r="BC234" s="18"/>
      <c r="BD234" s="18"/>
      <c r="BE234" s="22" t="n">
        <f aca="false">SUM(AS234:BD234)</f>
        <v>3</v>
      </c>
      <c r="BF234" s="23" t="n">
        <v>1092.69</v>
      </c>
      <c r="BG234" s="19" t="s">
        <v>55</v>
      </c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22" t="n">
        <f aca="false">SUM(BH234:BS234)</f>
        <v>0</v>
      </c>
      <c r="BU234" s="26"/>
      <c r="BV234" s="17"/>
      <c r="BW234" s="17"/>
      <c r="BX234" s="23" t="n">
        <f aca="false">IFERROR(R234/AE234,0)</f>
        <v>1092.69</v>
      </c>
      <c r="BY234" s="23" t="n">
        <f aca="false">IFERROR(R234/12,0)</f>
        <v>91.0575</v>
      </c>
      <c r="BZ234" s="18" t="n">
        <v>0</v>
      </c>
      <c r="CA234" s="22" t="str">
        <f aca="false">IF(AE234=0,"PROSPECT",IF(AE234=1,"NOVO",IF(AE234&lt;=3,"EM DESENV.",IF(AE234&lt;=6,"RECORRENTE","FIDELIZADO"))))</f>
        <v>NOVO</v>
      </c>
      <c r="CB234" s="22" t="n">
        <f aca="false">IF((P234+Q234)&gt;0,1,0)+IF((BR234+BS234)&gt;0,1,0)+IF(BE234&gt;0,1,0)</f>
        <v>1</v>
      </c>
    </row>
    <row r="235" customFormat="false" ht="15" hidden="false" customHeight="true" outlineLevel="0" collapsed="false">
      <c r="A235" s="16" t="s">
        <v>686</v>
      </c>
      <c r="B235" s="17" t="s">
        <v>687</v>
      </c>
      <c r="C235" s="18" t="s">
        <v>61</v>
      </c>
      <c r="D235" s="17" t="s">
        <v>688</v>
      </c>
      <c r="E235" s="29" t="s">
        <v>365</v>
      </c>
      <c r="F235" s="20"/>
      <c r="G235" s="20"/>
      <c r="H235" s="27" t="n">
        <v>898.66</v>
      </c>
      <c r="I235" s="20"/>
      <c r="J235" s="20"/>
      <c r="K235" s="20"/>
      <c r="L235" s="20"/>
      <c r="M235" s="20"/>
      <c r="N235" s="20"/>
      <c r="O235" s="20"/>
      <c r="P235" s="20"/>
      <c r="Q235" s="20"/>
      <c r="R235" s="21" t="n">
        <f aca="false">SUM(F235:Q235)</f>
        <v>898.66</v>
      </c>
      <c r="S235" s="18"/>
      <c r="T235" s="18"/>
      <c r="U235" s="28" t="n">
        <v>1</v>
      </c>
      <c r="V235" s="18"/>
      <c r="W235" s="18"/>
      <c r="X235" s="18"/>
      <c r="Y235" s="18"/>
      <c r="Z235" s="18"/>
      <c r="AA235" s="18"/>
      <c r="AB235" s="18"/>
      <c r="AC235" s="18"/>
      <c r="AD235" s="18"/>
      <c r="AE235" s="22" t="n">
        <f aca="false">SUM(S235:AD235)</f>
        <v>1</v>
      </c>
      <c r="AF235" s="22"/>
      <c r="AG235" s="22"/>
      <c r="AH235" s="30" t="s">
        <v>49</v>
      </c>
      <c r="AI235" s="22"/>
      <c r="AJ235" s="22"/>
      <c r="AK235" s="22"/>
      <c r="AL235" s="22"/>
      <c r="AM235" s="22"/>
      <c r="AN235" s="22"/>
      <c r="AO235" s="22"/>
      <c r="AP235" s="22"/>
      <c r="AQ235" s="22"/>
      <c r="AR235" s="29" t="s">
        <v>48</v>
      </c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22" t="n">
        <f aca="false">SUM(AS235:BD235)</f>
        <v>0</v>
      </c>
      <c r="BF235" s="23"/>
      <c r="BG235" s="24"/>
      <c r="BH235" s="25" t="n">
        <v>1</v>
      </c>
      <c r="BI235" s="18"/>
      <c r="BJ235" s="25" t="n">
        <v>3</v>
      </c>
      <c r="BK235" s="25" t="n">
        <v>1</v>
      </c>
      <c r="BL235" s="18"/>
      <c r="BM235" s="18"/>
      <c r="BN235" s="18"/>
      <c r="BO235" s="25" t="n">
        <v>1</v>
      </c>
      <c r="BP235" s="18"/>
      <c r="BQ235" s="18"/>
      <c r="BR235" s="25" t="n">
        <v>1</v>
      </c>
      <c r="BS235" s="18"/>
      <c r="BT235" s="22" t="n">
        <f aca="false">SUM(BH235:BS235)</f>
        <v>7</v>
      </c>
      <c r="BU235" s="26" t="n">
        <v>46037.475150463</v>
      </c>
      <c r="BV235" s="17"/>
      <c r="BW235" s="17" t="s">
        <v>44</v>
      </c>
      <c r="BX235" s="23" t="n">
        <f aca="false">IFERROR(R235/AE235,0)</f>
        <v>898.66</v>
      </c>
      <c r="BY235" s="23" t="n">
        <f aca="false">IFERROR(R235/12,0)</f>
        <v>74.8883333333333</v>
      </c>
      <c r="BZ235" s="18" t="n">
        <v>0</v>
      </c>
      <c r="CA235" s="22" t="str">
        <f aca="false">IF(AE235=0,"PROSPECT",IF(AE235=1,"NOVO",IF(AE235&lt;=3,"EM DESENV.",IF(AE235&lt;=6,"RECORRENTE","FIDELIZADO"))))</f>
        <v>NOVO</v>
      </c>
      <c r="CB235" s="22" t="n">
        <f aca="false">IF((P235+Q235)&gt;0,1,0)+IF((BR235+BS235)&gt;0,1,0)+IF(BE235&gt;0,1,0)</f>
        <v>1</v>
      </c>
    </row>
    <row r="236" customFormat="false" ht="15" hidden="false" customHeight="true" outlineLevel="0" collapsed="false">
      <c r="A236" s="16" t="s">
        <v>689</v>
      </c>
      <c r="B236" s="17" t="s">
        <v>690</v>
      </c>
      <c r="C236" s="18" t="s">
        <v>230</v>
      </c>
      <c r="D236" s="17" t="s">
        <v>691</v>
      </c>
      <c r="E236" s="29" t="s">
        <v>365</v>
      </c>
      <c r="F236" s="20"/>
      <c r="G236" s="20"/>
      <c r="H236" s="20"/>
      <c r="I236" s="20"/>
      <c r="J236" s="20"/>
      <c r="K236" s="20"/>
      <c r="L236" s="20"/>
      <c r="M236" s="20"/>
      <c r="N236" s="27" t="n">
        <v>1409.45</v>
      </c>
      <c r="O236" s="20"/>
      <c r="P236" s="20"/>
      <c r="Q236" s="20"/>
      <c r="R236" s="21" t="n">
        <f aca="false">SUM(F236:Q236)</f>
        <v>1409.45</v>
      </c>
      <c r="S236" s="18"/>
      <c r="T236" s="18"/>
      <c r="U236" s="18"/>
      <c r="V236" s="18"/>
      <c r="W236" s="18"/>
      <c r="X236" s="18"/>
      <c r="Y236" s="18"/>
      <c r="Z236" s="18"/>
      <c r="AA236" s="28" t="n">
        <v>1</v>
      </c>
      <c r="AB236" s="18"/>
      <c r="AC236" s="18"/>
      <c r="AD236" s="18"/>
      <c r="AE236" s="22" t="n">
        <f aca="false">SUM(S236:AD236)</f>
        <v>1</v>
      </c>
      <c r="AF236" s="22"/>
      <c r="AG236" s="22"/>
      <c r="AH236" s="22"/>
      <c r="AI236" s="22"/>
      <c r="AJ236" s="22"/>
      <c r="AK236" s="22"/>
      <c r="AL236" s="22"/>
      <c r="AM236" s="22"/>
      <c r="AN236" s="19" t="s">
        <v>50</v>
      </c>
      <c r="AO236" s="22"/>
      <c r="AP236" s="22"/>
      <c r="AQ236" s="22"/>
      <c r="AR236" s="30" t="s">
        <v>49</v>
      </c>
      <c r="AS236" s="18"/>
      <c r="AT236" s="18"/>
      <c r="AU236" s="18"/>
      <c r="AV236" s="18"/>
      <c r="AW236" s="18"/>
      <c r="AX236" s="18"/>
      <c r="AY236" s="18"/>
      <c r="AZ236" s="18"/>
      <c r="BA236" s="25" t="n">
        <v>5</v>
      </c>
      <c r="BB236" s="18"/>
      <c r="BC236" s="18"/>
      <c r="BD236" s="18"/>
      <c r="BE236" s="22" t="n">
        <f aca="false">SUM(AS236:BD236)</f>
        <v>5</v>
      </c>
      <c r="BF236" s="23" t="n">
        <v>1409.45</v>
      </c>
      <c r="BG236" s="19" t="s">
        <v>55</v>
      </c>
      <c r="BH236" s="25" t="n">
        <v>1</v>
      </c>
      <c r="BI236" s="18"/>
      <c r="BJ236" s="25" t="n">
        <v>3</v>
      </c>
      <c r="BK236" s="25" t="n">
        <v>2</v>
      </c>
      <c r="BL236" s="25" t="n">
        <v>4</v>
      </c>
      <c r="BM236" s="25" t="n">
        <v>1</v>
      </c>
      <c r="BN236" s="25" t="n">
        <v>1</v>
      </c>
      <c r="BO236" s="25" t="n">
        <v>2</v>
      </c>
      <c r="BP236" s="25" t="n">
        <v>1</v>
      </c>
      <c r="BQ236" s="18"/>
      <c r="BR236" s="25" t="n">
        <v>6</v>
      </c>
      <c r="BS236" s="25" t="n">
        <v>3</v>
      </c>
      <c r="BT236" s="22" t="n">
        <f aca="false">SUM(BH236:BS236)</f>
        <v>24</v>
      </c>
      <c r="BU236" s="26" t="n">
        <v>46058.6593171296</v>
      </c>
      <c r="BV236" s="17"/>
      <c r="BW236" s="17" t="s">
        <v>44</v>
      </c>
      <c r="BX236" s="23" t="n">
        <f aca="false">IFERROR(R236/AE236,0)</f>
        <v>1409.45</v>
      </c>
      <c r="BY236" s="23" t="n">
        <f aca="false">IFERROR(R236/12,0)</f>
        <v>117.454166666667</v>
      </c>
      <c r="BZ236" s="18" t="n">
        <v>0</v>
      </c>
      <c r="CA236" s="22" t="str">
        <f aca="false">IF(AE236=0,"PROSPECT",IF(AE236=1,"NOVO",IF(AE236&lt;=3,"EM DESENV.",IF(AE236&lt;=6,"RECORRENTE","FIDELIZADO"))))</f>
        <v>NOVO</v>
      </c>
      <c r="CB236" s="22" t="n">
        <f aca="false">IF((P236+Q236)&gt;0,1,0)+IF((BR236+BS236)&gt;0,1,0)+IF(BE236&gt;0,1,0)</f>
        <v>2</v>
      </c>
    </row>
    <row r="237" customFormat="false" ht="15" hidden="false" customHeight="true" outlineLevel="0" collapsed="false">
      <c r="A237" s="16" t="s">
        <v>692</v>
      </c>
      <c r="B237" s="17" t="s">
        <v>693</v>
      </c>
      <c r="C237" s="18" t="s">
        <v>72</v>
      </c>
      <c r="D237" s="17" t="s">
        <v>694</v>
      </c>
      <c r="E237" s="29" t="s">
        <v>365</v>
      </c>
      <c r="F237" s="20"/>
      <c r="G237" s="20"/>
      <c r="H237" s="20"/>
      <c r="I237" s="27" t="n">
        <v>670.51</v>
      </c>
      <c r="J237" s="20"/>
      <c r="K237" s="20"/>
      <c r="L237" s="27" t="n">
        <v>658.4</v>
      </c>
      <c r="M237" s="20"/>
      <c r="N237" s="20"/>
      <c r="O237" s="20"/>
      <c r="P237" s="20"/>
      <c r="Q237" s="20"/>
      <c r="R237" s="21" t="n">
        <f aca="false">SUM(F237:Q237)</f>
        <v>1328.91</v>
      </c>
      <c r="S237" s="18"/>
      <c r="T237" s="18"/>
      <c r="U237" s="18"/>
      <c r="V237" s="28" t="n">
        <v>1</v>
      </c>
      <c r="W237" s="18"/>
      <c r="X237" s="18"/>
      <c r="Y237" s="28" t="n">
        <v>1</v>
      </c>
      <c r="Z237" s="18"/>
      <c r="AA237" s="18"/>
      <c r="AB237" s="18"/>
      <c r="AC237" s="18"/>
      <c r="AD237" s="18"/>
      <c r="AE237" s="22" t="n">
        <f aca="false">SUM(S237:AD237)</f>
        <v>2</v>
      </c>
      <c r="AF237" s="22"/>
      <c r="AG237" s="22"/>
      <c r="AH237" s="22"/>
      <c r="AI237" s="29" t="s">
        <v>48</v>
      </c>
      <c r="AJ237" s="22"/>
      <c r="AK237" s="22"/>
      <c r="AL237" s="29" t="s">
        <v>48</v>
      </c>
      <c r="AM237" s="22"/>
      <c r="AN237" s="22"/>
      <c r="AO237" s="22"/>
      <c r="AP237" s="22"/>
      <c r="AQ237" s="22"/>
      <c r="AR237" s="30" t="s">
        <v>49</v>
      </c>
      <c r="AS237" s="18"/>
      <c r="AT237" s="18"/>
      <c r="AU237" s="18"/>
      <c r="AV237" s="25" t="n">
        <v>1</v>
      </c>
      <c r="AW237" s="18"/>
      <c r="AX237" s="25" t="n">
        <v>1</v>
      </c>
      <c r="AY237" s="25" t="n">
        <v>2</v>
      </c>
      <c r="AZ237" s="18"/>
      <c r="BA237" s="18"/>
      <c r="BB237" s="18"/>
      <c r="BC237" s="18"/>
      <c r="BD237" s="18"/>
      <c r="BE237" s="22" t="n">
        <f aca="false">SUM(AS237:BD237)</f>
        <v>4</v>
      </c>
      <c r="BF237" s="23"/>
      <c r="BG237" s="31" t="s">
        <v>93</v>
      </c>
      <c r="BH237" s="18"/>
      <c r="BI237" s="18"/>
      <c r="BJ237" s="18"/>
      <c r="BK237" s="25" t="n">
        <v>3</v>
      </c>
      <c r="BL237" s="18"/>
      <c r="BM237" s="18"/>
      <c r="BN237" s="18"/>
      <c r="BO237" s="18"/>
      <c r="BP237" s="25" t="n">
        <v>1</v>
      </c>
      <c r="BQ237" s="18"/>
      <c r="BR237" s="25" t="n">
        <v>1</v>
      </c>
      <c r="BS237" s="18"/>
      <c r="BT237" s="22" t="n">
        <f aca="false">SUM(BH237:BS237)</f>
        <v>5</v>
      </c>
      <c r="BU237" s="26" t="n">
        <v>46050.3759837963</v>
      </c>
      <c r="BV237" s="17"/>
      <c r="BW237" s="17" t="s">
        <v>44</v>
      </c>
      <c r="BX237" s="23" t="n">
        <f aca="false">IFERROR(R237/AE237,0)</f>
        <v>664.455</v>
      </c>
      <c r="BY237" s="23" t="n">
        <f aca="false">IFERROR(R237/12,0)</f>
        <v>110.7425</v>
      </c>
      <c r="BZ237" s="18" t="n">
        <v>85</v>
      </c>
      <c r="CA237" s="22" t="str">
        <f aca="false">IF(AE237=0,"PROSPECT",IF(AE237=1,"NOVO",IF(AE237&lt;=3,"EM DESENV.",IF(AE237&lt;=6,"RECORRENTE","FIDELIZADO"))))</f>
        <v>EM DESENV.</v>
      </c>
      <c r="CB237" s="22" t="n">
        <f aca="false">IF((P237+Q237)&gt;0,1,0)+IF((BR237+BS237)&gt;0,1,0)+IF(BE237&gt;0,1,0)</f>
        <v>2</v>
      </c>
    </row>
    <row r="238" customFormat="false" ht="15" hidden="false" customHeight="true" outlineLevel="0" collapsed="false">
      <c r="A238" s="16" t="s">
        <v>695</v>
      </c>
      <c r="B238" s="17" t="s">
        <v>696</v>
      </c>
      <c r="C238" s="18" t="s">
        <v>41</v>
      </c>
      <c r="D238" s="17" t="s">
        <v>42</v>
      </c>
      <c r="E238" s="29" t="s">
        <v>365</v>
      </c>
      <c r="F238" s="20"/>
      <c r="G238" s="20"/>
      <c r="H238" s="27" t="n">
        <v>1650.9</v>
      </c>
      <c r="I238" s="20"/>
      <c r="J238" s="20"/>
      <c r="K238" s="20"/>
      <c r="L238" s="20"/>
      <c r="M238" s="20"/>
      <c r="N238" s="20"/>
      <c r="O238" s="20"/>
      <c r="P238" s="20"/>
      <c r="Q238" s="20"/>
      <c r="R238" s="21" t="n">
        <f aca="false">SUM(F238:Q238)</f>
        <v>1650.9</v>
      </c>
      <c r="S238" s="18"/>
      <c r="T238" s="18"/>
      <c r="U238" s="28" t="n">
        <v>1</v>
      </c>
      <c r="V238" s="18"/>
      <c r="W238" s="18"/>
      <c r="X238" s="18"/>
      <c r="Y238" s="18"/>
      <c r="Z238" s="18"/>
      <c r="AA238" s="18"/>
      <c r="AB238" s="18"/>
      <c r="AC238" s="18"/>
      <c r="AD238" s="18"/>
      <c r="AE238" s="22" t="n">
        <f aca="false">SUM(S238:AD238)</f>
        <v>1</v>
      </c>
      <c r="AF238" s="22"/>
      <c r="AG238" s="22"/>
      <c r="AH238" s="19" t="s">
        <v>50</v>
      </c>
      <c r="AI238" s="22"/>
      <c r="AJ238" s="22"/>
      <c r="AK238" s="22"/>
      <c r="AL238" s="22"/>
      <c r="AM238" s="22"/>
      <c r="AN238" s="22"/>
      <c r="AO238" s="22"/>
      <c r="AP238" s="22"/>
      <c r="AQ238" s="22"/>
      <c r="AR238" s="30" t="s">
        <v>49</v>
      </c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22" t="n">
        <f aca="false">SUM(AS238:BD238)</f>
        <v>0</v>
      </c>
      <c r="BF238" s="23"/>
      <c r="BG238" s="24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25" t="n">
        <v>3</v>
      </c>
      <c r="BT238" s="22" t="n">
        <f aca="false">SUM(BH238:BS238)</f>
        <v>3</v>
      </c>
      <c r="BU238" s="26" t="n">
        <v>46056.7243055556</v>
      </c>
      <c r="BV238" s="17"/>
      <c r="BW238" s="17" t="s">
        <v>117</v>
      </c>
      <c r="BX238" s="23" t="n">
        <f aca="false">IFERROR(R238/AE238,0)</f>
        <v>1650.9</v>
      </c>
      <c r="BY238" s="23" t="n">
        <f aca="false">IFERROR(R238/12,0)</f>
        <v>137.575</v>
      </c>
      <c r="BZ238" s="18" t="n">
        <v>0</v>
      </c>
      <c r="CA238" s="22" t="str">
        <f aca="false">IF(AE238=0,"PROSPECT",IF(AE238=1,"NOVO",IF(AE238&lt;=3,"EM DESENV.",IF(AE238&lt;=6,"RECORRENTE","FIDELIZADO"))))</f>
        <v>NOVO</v>
      </c>
      <c r="CB238" s="22" t="n">
        <f aca="false">IF((P238+Q238)&gt;0,1,0)+IF((BR238+BS238)&gt;0,1,0)+IF(BE238&gt;0,1,0)</f>
        <v>1</v>
      </c>
    </row>
    <row r="239" customFormat="false" ht="15" hidden="false" customHeight="true" outlineLevel="0" collapsed="false">
      <c r="A239" s="16" t="s">
        <v>697</v>
      </c>
      <c r="B239" s="17" t="s">
        <v>698</v>
      </c>
      <c r="C239" s="18" t="s">
        <v>72</v>
      </c>
      <c r="D239" s="17" t="s">
        <v>699</v>
      </c>
      <c r="E239" s="29" t="s">
        <v>365</v>
      </c>
      <c r="F239" s="27" t="n">
        <v>704</v>
      </c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1" t="n">
        <f aca="false">SUM(F239:Q239)</f>
        <v>704</v>
      </c>
      <c r="S239" s="28" t="n">
        <v>1</v>
      </c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22" t="n">
        <f aca="false">SUM(S239:AD239)</f>
        <v>1</v>
      </c>
      <c r="AF239" s="29" t="s">
        <v>48</v>
      </c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9" t="s">
        <v>48</v>
      </c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22" t="n">
        <f aca="false">SUM(AS239:BD239)</f>
        <v>0</v>
      </c>
      <c r="BF239" s="23"/>
      <c r="BG239" s="24"/>
      <c r="BH239" s="25" t="n">
        <v>2</v>
      </c>
      <c r="BI239" s="18"/>
      <c r="BJ239" s="18"/>
      <c r="BK239" s="18"/>
      <c r="BL239" s="25" t="n">
        <v>3</v>
      </c>
      <c r="BM239" s="18"/>
      <c r="BN239" s="25" t="n">
        <v>1</v>
      </c>
      <c r="BO239" s="25" t="n">
        <v>2</v>
      </c>
      <c r="BP239" s="18"/>
      <c r="BQ239" s="18"/>
      <c r="BR239" s="25" t="n">
        <v>1</v>
      </c>
      <c r="BS239" s="18"/>
      <c r="BT239" s="22" t="n">
        <f aca="false">SUM(BH239:BS239)</f>
        <v>9</v>
      </c>
      <c r="BU239" s="26" t="n">
        <v>46034.3990625</v>
      </c>
      <c r="BV239" s="17"/>
      <c r="BW239" s="17" t="s">
        <v>44</v>
      </c>
      <c r="BX239" s="23" t="n">
        <f aca="false">IFERROR(R239/AE239,0)</f>
        <v>704</v>
      </c>
      <c r="BY239" s="23" t="n">
        <f aca="false">IFERROR(R239/12,0)</f>
        <v>58.6666666666667</v>
      </c>
      <c r="BZ239" s="18" t="n">
        <v>0</v>
      </c>
      <c r="CA239" s="22" t="str">
        <f aca="false">IF(AE239=0,"PROSPECT",IF(AE239=1,"NOVO",IF(AE239&lt;=3,"EM DESENV.",IF(AE239&lt;=6,"RECORRENTE","FIDELIZADO"))))</f>
        <v>NOVO</v>
      </c>
      <c r="CB239" s="22" t="n">
        <f aca="false">IF((P239+Q239)&gt;0,1,0)+IF((BR239+BS239)&gt;0,1,0)+IF(BE239&gt;0,1,0)</f>
        <v>1</v>
      </c>
    </row>
    <row r="240" customFormat="false" ht="15" hidden="false" customHeight="true" outlineLevel="0" collapsed="false">
      <c r="A240" s="16" t="s">
        <v>700</v>
      </c>
      <c r="B240" s="17" t="s">
        <v>701</v>
      </c>
      <c r="C240" s="18" t="s">
        <v>702</v>
      </c>
      <c r="D240" s="17" t="s">
        <v>703</v>
      </c>
      <c r="E240" s="29" t="s">
        <v>365</v>
      </c>
      <c r="F240" s="20"/>
      <c r="G240" s="27" t="n">
        <v>701.72</v>
      </c>
      <c r="H240" s="20"/>
      <c r="I240" s="27" t="n">
        <v>2212.34</v>
      </c>
      <c r="J240" s="20"/>
      <c r="K240" s="20"/>
      <c r="L240" s="20"/>
      <c r="M240" s="20"/>
      <c r="N240" s="20"/>
      <c r="O240" s="20"/>
      <c r="P240" s="20"/>
      <c r="Q240" s="20"/>
      <c r="R240" s="21" t="n">
        <f aca="false">SUM(F240:Q240)</f>
        <v>2914.06</v>
      </c>
      <c r="S240" s="18"/>
      <c r="T240" s="28" t="n">
        <v>1</v>
      </c>
      <c r="U240" s="18"/>
      <c r="V240" s="28" t="n">
        <v>1</v>
      </c>
      <c r="W240" s="18"/>
      <c r="X240" s="18"/>
      <c r="Y240" s="18"/>
      <c r="Z240" s="18"/>
      <c r="AA240" s="18"/>
      <c r="AB240" s="18"/>
      <c r="AC240" s="18"/>
      <c r="AD240" s="18"/>
      <c r="AE240" s="22" t="n">
        <f aca="false">SUM(S240:AD240)</f>
        <v>2</v>
      </c>
      <c r="AF240" s="22"/>
      <c r="AG240" s="30" t="s">
        <v>49</v>
      </c>
      <c r="AH240" s="22"/>
      <c r="AI240" s="19" t="s">
        <v>50</v>
      </c>
      <c r="AJ240" s="22"/>
      <c r="AK240" s="22"/>
      <c r="AL240" s="22"/>
      <c r="AM240" s="22"/>
      <c r="AN240" s="22"/>
      <c r="AO240" s="22"/>
      <c r="AP240" s="22"/>
      <c r="AQ240" s="22"/>
      <c r="AR240" s="19" t="s">
        <v>50</v>
      </c>
      <c r="AS240" s="18"/>
      <c r="AT240" s="18"/>
      <c r="AU240" s="18"/>
      <c r="AV240" s="25" t="n">
        <v>1</v>
      </c>
      <c r="AW240" s="18"/>
      <c r="AX240" s="18"/>
      <c r="AY240" s="18"/>
      <c r="AZ240" s="18"/>
      <c r="BA240" s="18"/>
      <c r="BB240" s="18"/>
      <c r="BC240" s="18"/>
      <c r="BD240" s="18"/>
      <c r="BE240" s="22" t="n">
        <f aca="false">SUM(AS240:BD240)</f>
        <v>1</v>
      </c>
      <c r="BF240" s="23" t="n">
        <v>2212.34</v>
      </c>
      <c r="BG240" s="19" t="s">
        <v>55</v>
      </c>
      <c r="BH240" s="25" t="n">
        <v>1</v>
      </c>
      <c r="BI240" s="25" t="n">
        <v>1</v>
      </c>
      <c r="BJ240" s="25" t="n">
        <v>2</v>
      </c>
      <c r="BK240" s="25" t="n">
        <v>2</v>
      </c>
      <c r="BL240" s="25" t="n">
        <v>3</v>
      </c>
      <c r="BM240" s="25" t="n">
        <v>2</v>
      </c>
      <c r="BN240" s="25" t="n">
        <v>1</v>
      </c>
      <c r="BO240" s="18"/>
      <c r="BP240" s="25" t="n">
        <v>1</v>
      </c>
      <c r="BQ240" s="25" t="n">
        <v>2</v>
      </c>
      <c r="BR240" s="25" t="n">
        <v>3</v>
      </c>
      <c r="BS240" s="18"/>
      <c r="BT240" s="22" t="n">
        <f aca="false">SUM(BH240:BS240)</f>
        <v>18</v>
      </c>
      <c r="BU240" s="26" t="n">
        <v>46042.4279976852</v>
      </c>
      <c r="BV240" s="17"/>
      <c r="BW240" s="17" t="s">
        <v>44</v>
      </c>
      <c r="BX240" s="23" t="n">
        <f aca="false">IFERROR(R240/AE240,0)</f>
        <v>1457.03</v>
      </c>
      <c r="BY240" s="23" t="n">
        <f aca="false">IFERROR(R240/12,0)</f>
        <v>242.838333333333</v>
      </c>
      <c r="BZ240" s="18" t="n">
        <v>48</v>
      </c>
      <c r="CA240" s="22" t="str">
        <f aca="false">IF(AE240=0,"PROSPECT",IF(AE240=1,"NOVO",IF(AE240&lt;=3,"EM DESENV.",IF(AE240&lt;=6,"RECORRENTE","FIDELIZADO"))))</f>
        <v>EM DESENV.</v>
      </c>
      <c r="CB240" s="22" t="n">
        <f aca="false">IF((P240+Q240)&gt;0,1,0)+IF((BR240+BS240)&gt;0,1,0)+IF(BE240&gt;0,1,0)</f>
        <v>2</v>
      </c>
    </row>
    <row r="241" customFormat="false" ht="15" hidden="false" customHeight="true" outlineLevel="0" collapsed="false">
      <c r="A241" s="16" t="s">
        <v>704</v>
      </c>
      <c r="B241" s="17" t="s">
        <v>705</v>
      </c>
      <c r="C241" s="18" t="s">
        <v>41</v>
      </c>
      <c r="D241" s="17" t="s">
        <v>706</v>
      </c>
      <c r="E241" s="29" t="s">
        <v>365</v>
      </c>
      <c r="F241" s="20"/>
      <c r="G241" s="27" t="n">
        <v>1316.25</v>
      </c>
      <c r="H241" s="27" t="n">
        <v>2693.25</v>
      </c>
      <c r="I241" s="20"/>
      <c r="J241" s="20"/>
      <c r="K241" s="20"/>
      <c r="L241" s="20"/>
      <c r="M241" s="20"/>
      <c r="N241" s="20"/>
      <c r="O241" s="20"/>
      <c r="P241" s="20"/>
      <c r="Q241" s="20"/>
      <c r="R241" s="21" t="n">
        <f aca="false">SUM(F241:Q241)</f>
        <v>4009.5</v>
      </c>
      <c r="S241" s="18"/>
      <c r="T241" s="28" t="n">
        <v>1</v>
      </c>
      <c r="U241" s="28" t="n">
        <v>1</v>
      </c>
      <c r="V241" s="18"/>
      <c r="W241" s="18"/>
      <c r="X241" s="18"/>
      <c r="Y241" s="18"/>
      <c r="Z241" s="18"/>
      <c r="AA241" s="18"/>
      <c r="AB241" s="18"/>
      <c r="AC241" s="18"/>
      <c r="AD241" s="18"/>
      <c r="AE241" s="22" t="n">
        <f aca="false">SUM(S241:AD241)</f>
        <v>2</v>
      </c>
      <c r="AF241" s="22"/>
      <c r="AG241" s="29" t="s">
        <v>48</v>
      </c>
      <c r="AH241" s="19" t="s">
        <v>50</v>
      </c>
      <c r="AI241" s="22"/>
      <c r="AJ241" s="22"/>
      <c r="AK241" s="22"/>
      <c r="AL241" s="22"/>
      <c r="AM241" s="22"/>
      <c r="AN241" s="22"/>
      <c r="AO241" s="22"/>
      <c r="AP241" s="22"/>
      <c r="AQ241" s="22"/>
      <c r="AR241" s="19" t="s">
        <v>50</v>
      </c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22" t="n">
        <f aca="false">SUM(AS241:BD241)</f>
        <v>0</v>
      </c>
      <c r="BF241" s="23"/>
      <c r="BG241" s="24"/>
      <c r="BH241" s="18"/>
      <c r="BI241" s="25" t="n">
        <v>2</v>
      </c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22" t="n">
        <f aca="false">SUM(BH241:BS241)</f>
        <v>2</v>
      </c>
      <c r="BU241" s="26" t="n">
        <v>45776.8152777778</v>
      </c>
      <c r="BV241" s="17"/>
      <c r="BW241" s="17" t="s">
        <v>111</v>
      </c>
      <c r="BX241" s="23" t="n">
        <f aca="false">IFERROR(R241/AE241,0)</f>
        <v>2004.75</v>
      </c>
      <c r="BY241" s="23" t="n">
        <f aca="false">IFERROR(R241/12,0)</f>
        <v>334.125</v>
      </c>
      <c r="BZ241" s="18" t="n">
        <v>20</v>
      </c>
      <c r="CA241" s="22" t="str">
        <f aca="false">IF(AE241=0,"PROSPECT",IF(AE241=1,"NOVO",IF(AE241&lt;=3,"EM DESENV.",IF(AE241&lt;=6,"RECORRENTE","FIDELIZADO"))))</f>
        <v>EM DESENV.</v>
      </c>
      <c r="CB241" s="22" t="n">
        <f aca="false">IF((P241+Q241)&gt;0,1,0)+IF((BR241+BS241)&gt;0,1,0)+IF(BE241&gt;0,1,0)</f>
        <v>0</v>
      </c>
    </row>
    <row r="242" customFormat="false" ht="15" hidden="false" customHeight="true" outlineLevel="0" collapsed="false">
      <c r="A242" s="16" t="s">
        <v>707</v>
      </c>
      <c r="B242" s="17" t="s">
        <v>708</v>
      </c>
      <c r="C242" s="18" t="s">
        <v>72</v>
      </c>
      <c r="D242" s="17" t="s">
        <v>709</v>
      </c>
      <c r="E242" s="29" t="s">
        <v>365</v>
      </c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1" t="n">
        <f aca="false">SUM(F242:Q242)</f>
        <v>0</v>
      </c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22" t="n">
        <f aca="false">SUM(S242:AD242)</f>
        <v>0</v>
      </c>
      <c r="AF242" s="22"/>
      <c r="AG242" s="29" t="s">
        <v>48</v>
      </c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9" t="s">
        <v>48</v>
      </c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22" t="n">
        <f aca="false">SUM(AS242:BD242)</f>
        <v>0</v>
      </c>
      <c r="BF242" s="23"/>
      <c r="BG242" s="24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22" t="n">
        <f aca="false">SUM(BH242:BS242)</f>
        <v>0</v>
      </c>
      <c r="BU242" s="26"/>
      <c r="BV242" s="17"/>
      <c r="BW242" s="17"/>
      <c r="BX242" s="23" t="n">
        <f aca="false">IFERROR(R242/AE242,0)</f>
        <v>0</v>
      </c>
      <c r="BY242" s="23" t="n">
        <f aca="false">IFERROR(R242/12,0)</f>
        <v>0</v>
      </c>
      <c r="BZ242" s="18" t="n">
        <v>0</v>
      </c>
      <c r="CA242" s="22" t="str">
        <f aca="false">IF(AE242=0,"PROSPECT",IF(AE242=1,"NOVO",IF(AE242&lt;=3,"EM DESENV.",IF(AE242&lt;=6,"RECORRENTE","FIDELIZADO"))))</f>
        <v>PROSPECT</v>
      </c>
      <c r="CB242" s="22" t="n">
        <f aca="false">IF((P242+Q242)&gt;0,1,0)+IF((BR242+BS242)&gt;0,1,0)+IF(BE242&gt;0,1,0)</f>
        <v>0</v>
      </c>
    </row>
    <row r="243" customFormat="false" ht="15" hidden="false" customHeight="true" outlineLevel="0" collapsed="false">
      <c r="A243" s="16" t="s">
        <v>710</v>
      </c>
      <c r="B243" s="17" t="s">
        <v>711</v>
      </c>
      <c r="C243" s="18" t="s">
        <v>41</v>
      </c>
      <c r="D243" s="17" t="s">
        <v>706</v>
      </c>
      <c r="E243" s="29" t="s">
        <v>365</v>
      </c>
      <c r="F243" s="20"/>
      <c r="G243" s="27" t="n">
        <v>658.35</v>
      </c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1" t="n">
        <f aca="false">SUM(F243:Q243)</f>
        <v>658.35</v>
      </c>
      <c r="S243" s="18"/>
      <c r="T243" s="28" t="n">
        <v>1</v>
      </c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22" t="n">
        <f aca="false">SUM(S243:AD243)</f>
        <v>1</v>
      </c>
      <c r="AF243" s="22"/>
      <c r="AG243" s="29" t="s">
        <v>48</v>
      </c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9" t="s">
        <v>48</v>
      </c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22" t="n">
        <f aca="false">SUM(AS243:BD243)</f>
        <v>0</v>
      </c>
      <c r="BF243" s="23"/>
      <c r="BG243" s="24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22" t="n">
        <f aca="false">SUM(BH243:BS243)</f>
        <v>0</v>
      </c>
      <c r="BU243" s="26"/>
      <c r="BV243" s="17"/>
      <c r="BW243" s="17"/>
      <c r="BX243" s="23" t="n">
        <f aca="false">IFERROR(R243/AE243,0)</f>
        <v>658.35</v>
      </c>
      <c r="BY243" s="23" t="n">
        <f aca="false">IFERROR(R243/12,0)</f>
        <v>54.8625</v>
      </c>
      <c r="BZ243" s="18" t="n">
        <v>0</v>
      </c>
      <c r="CA243" s="22" t="str">
        <f aca="false">IF(AE243=0,"PROSPECT",IF(AE243=1,"NOVO",IF(AE243&lt;=3,"EM DESENV.",IF(AE243&lt;=6,"RECORRENTE","FIDELIZADO"))))</f>
        <v>NOVO</v>
      </c>
      <c r="CB243" s="22" t="n">
        <f aca="false">IF((P243+Q243)&gt;0,1,0)+IF((BR243+BS243)&gt;0,1,0)+IF(BE243&gt;0,1,0)</f>
        <v>0</v>
      </c>
    </row>
    <row r="244" customFormat="false" ht="15" hidden="false" customHeight="true" outlineLevel="0" collapsed="false">
      <c r="A244" s="16" t="s">
        <v>712</v>
      </c>
      <c r="B244" s="17" t="s">
        <v>713</v>
      </c>
      <c r="C244" s="18" t="s">
        <v>41</v>
      </c>
      <c r="D244" s="17" t="s">
        <v>714</v>
      </c>
      <c r="E244" s="29" t="s">
        <v>365</v>
      </c>
      <c r="F244" s="20"/>
      <c r="G244" s="27" t="n">
        <v>658.35</v>
      </c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1" t="n">
        <f aca="false">SUM(F244:Q244)</f>
        <v>658.35</v>
      </c>
      <c r="S244" s="18"/>
      <c r="T244" s="28" t="n">
        <v>1</v>
      </c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22" t="n">
        <f aca="false">SUM(S244:AD244)</f>
        <v>1</v>
      </c>
      <c r="AF244" s="22"/>
      <c r="AG244" s="29" t="s">
        <v>48</v>
      </c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9" t="s">
        <v>48</v>
      </c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22" t="n">
        <f aca="false">SUM(AS244:BD244)</f>
        <v>0</v>
      </c>
      <c r="BF244" s="23"/>
      <c r="BG244" s="24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22" t="n">
        <f aca="false">SUM(BH244:BS244)</f>
        <v>0</v>
      </c>
      <c r="BU244" s="26"/>
      <c r="BV244" s="17"/>
      <c r="BW244" s="17"/>
      <c r="BX244" s="23" t="n">
        <f aca="false">IFERROR(R244/AE244,0)</f>
        <v>658.35</v>
      </c>
      <c r="BY244" s="23" t="n">
        <f aca="false">IFERROR(R244/12,0)</f>
        <v>54.8625</v>
      </c>
      <c r="BZ244" s="18" t="n">
        <v>0</v>
      </c>
      <c r="CA244" s="22" t="str">
        <f aca="false">IF(AE244=0,"PROSPECT",IF(AE244=1,"NOVO",IF(AE244&lt;=3,"EM DESENV.",IF(AE244&lt;=6,"RECORRENTE","FIDELIZADO"))))</f>
        <v>NOVO</v>
      </c>
      <c r="CB244" s="22" t="n">
        <f aca="false">IF((P244+Q244)&gt;0,1,0)+IF((BR244+BS244)&gt;0,1,0)+IF(BE244&gt;0,1,0)</f>
        <v>0</v>
      </c>
    </row>
    <row r="245" customFormat="false" ht="15" hidden="false" customHeight="true" outlineLevel="0" collapsed="false">
      <c r="A245" s="16" t="s">
        <v>715</v>
      </c>
      <c r="B245" s="17" t="s">
        <v>716</v>
      </c>
      <c r="C245" s="18" t="s">
        <v>72</v>
      </c>
      <c r="D245" s="17" t="s">
        <v>709</v>
      </c>
      <c r="E245" s="29" t="s">
        <v>365</v>
      </c>
      <c r="F245" s="20"/>
      <c r="G245" s="27" t="n">
        <v>657.9</v>
      </c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1" t="n">
        <f aca="false">SUM(F245:Q245)</f>
        <v>657.9</v>
      </c>
      <c r="S245" s="18"/>
      <c r="T245" s="28" t="n">
        <v>1</v>
      </c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22" t="n">
        <f aca="false">SUM(S245:AD245)</f>
        <v>1</v>
      </c>
      <c r="AF245" s="22"/>
      <c r="AG245" s="29" t="s">
        <v>48</v>
      </c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9" t="s">
        <v>48</v>
      </c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22" t="n">
        <f aca="false">SUM(AS245:BD245)</f>
        <v>0</v>
      </c>
      <c r="BF245" s="23"/>
      <c r="BG245" s="24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22" t="n">
        <f aca="false">SUM(BH245:BS245)</f>
        <v>0</v>
      </c>
      <c r="BU245" s="26"/>
      <c r="BV245" s="17"/>
      <c r="BW245" s="17"/>
      <c r="BX245" s="23" t="n">
        <f aca="false">IFERROR(R245/AE245,0)</f>
        <v>657.9</v>
      </c>
      <c r="BY245" s="23" t="n">
        <f aca="false">IFERROR(R245/12,0)</f>
        <v>54.825</v>
      </c>
      <c r="BZ245" s="18" t="n">
        <v>0</v>
      </c>
      <c r="CA245" s="22" t="str">
        <f aca="false">IF(AE245=0,"PROSPECT",IF(AE245=1,"NOVO",IF(AE245&lt;=3,"EM DESENV.",IF(AE245&lt;=6,"RECORRENTE","FIDELIZADO"))))</f>
        <v>NOVO</v>
      </c>
      <c r="CB245" s="22" t="n">
        <f aca="false">IF((P245+Q245)&gt;0,1,0)+IF((BR245+BS245)&gt;0,1,0)+IF(BE245&gt;0,1,0)</f>
        <v>0</v>
      </c>
    </row>
    <row r="246" customFormat="false" ht="15" hidden="false" customHeight="true" outlineLevel="0" collapsed="false">
      <c r="A246" s="16" t="s">
        <v>717</v>
      </c>
      <c r="B246" s="17" t="s">
        <v>718</v>
      </c>
      <c r="C246" s="18" t="s">
        <v>41</v>
      </c>
      <c r="D246" s="17" t="s">
        <v>706</v>
      </c>
      <c r="E246" s="29" t="s">
        <v>365</v>
      </c>
      <c r="F246" s="20"/>
      <c r="G246" s="27" t="n">
        <v>658.35</v>
      </c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1" t="n">
        <f aca="false">SUM(F246:Q246)</f>
        <v>658.35</v>
      </c>
      <c r="S246" s="18"/>
      <c r="T246" s="28" t="n">
        <v>1</v>
      </c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22" t="n">
        <f aca="false">SUM(S246:AD246)</f>
        <v>1</v>
      </c>
      <c r="AF246" s="22"/>
      <c r="AG246" s="29" t="s">
        <v>48</v>
      </c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9" t="s">
        <v>48</v>
      </c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22" t="n">
        <f aca="false">SUM(AS246:BD246)</f>
        <v>0</v>
      </c>
      <c r="BF246" s="23"/>
      <c r="BG246" s="24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22" t="n">
        <f aca="false">SUM(BH246:BS246)</f>
        <v>0</v>
      </c>
      <c r="BU246" s="26"/>
      <c r="BV246" s="17"/>
      <c r="BW246" s="17"/>
      <c r="BX246" s="23" t="n">
        <f aca="false">IFERROR(R246/AE246,0)</f>
        <v>658.35</v>
      </c>
      <c r="BY246" s="23" t="n">
        <f aca="false">IFERROR(R246/12,0)</f>
        <v>54.8625</v>
      </c>
      <c r="BZ246" s="18" t="n">
        <v>0</v>
      </c>
      <c r="CA246" s="22" t="str">
        <f aca="false">IF(AE246=0,"PROSPECT",IF(AE246=1,"NOVO",IF(AE246&lt;=3,"EM DESENV.",IF(AE246&lt;=6,"RECORRENTE","FIDELIZADO"))))</f>
        <v>NOVO</v>
      </c>
      <c r="CB246" s="22" t="n">
        <f aca="false">IF((P246+Q246)&gt;0,1,0)+IF((BR246+BS246)&gt;0,1,0)+IF(BE246&gt;0,1,0)</f>
        <v>0</v>
      </c>
    </row>
    <row r="247" customFormat="false" ht="15" hidden="false" customHeight="true" outlineLevel="0" collapsed="false">
      <c r="A247" s="16" t="s">
        <v>719</v>
      </c>
      <c r="B247" s="17" t="s">
        <v>720</v>
      </c>
      <c r="C247" s="18" t="s">
        <v>41</v>
      </c>
      <c r="D247" s="17" t="s">
        <v>721</v>
      </c>
      <c r="E247" s="29" t="s">
        <v>365</v>
      </c>
      <c r="F247" s="20"/>
      <c r="G247" s="27" t="n">
        <v>658.35</v>
      </c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1" t="n">
        <f aca="false">SUM(F247:Q247)</f>
        <v>658.35</v>
      </c>
      <c r="S247" s="18"/>
      <c r="T247" s="28" t="n">
        <v>1</v>
      </c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22" t="n">
        <f aca="false">SUM(S247:AD247)</f>
        <v>1</v>
      </c>
      <c r="AF247" s="22"/>
      <c r="AG247" s="29" t="s">
        <v>48</v>
      </c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9" t="s">
        <v>48</v>
      </c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22" t="n">
        <f aca="false">SUM(AS247:BD247)</f>
        <v>0</v>
      </c>
      <c r="BF247" s="23"/>
      <c r="BG247" s="24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22" t="n">
        <f aca="false">SUM(BH247:BS247)</f>
        <v>0</v>
      </c>
      <c r="BU247" s="26"/>
      <c r="BV247" s="17"/>
      <c r="BW247" s="17"/>
      <c r="BX247" s="23" t="n">
        <f aca="false">IFERROR(R247/AE247,0)</f>
        <v>658.35</v>
      </c>
      <c r="BY247" s="23" t="n">
        <f aca="false">IFERROR(R247/12,0)</f>
        <v>54.8625</v>
      </c>
      <c r="BZ247" s="18" t="n">
        <v>0</v>
      </c>
      <c r="CA247" s="22" t="str">
        <f aca="false">IF(AE247=0,"PROSPECT",IF(AE247=1,"NOVO",IF(AE247&lt;=3,"EM DESENV.",IF(AE247&lt;=6,"RECORRENTE","FIDELIZADO"))))</f>
        <v>NOVO</v>
      </c>
      <c r="CB247" s="22" t="n">
        <f aca="false">IF((P247+Q247)&gt;0,1,0)+IF((BR247+BS247)&gt;0,1,0)+IF(BE247&gt;0,1,0)</f>
        <v>0</v>
      </c>
    </row>
    <row r="248" customFormat="false" ht="15" hidden="false" customHeight="true" outlineLevel="0" collapsed="false">
      <c r="A248" s="16" t="s">
        <v>722</v>
      </c>
      <c r="B248" s="17" t="s">
        <v>723</v>
      </c>
      <c r="C248" s="18" t="s">
        <v>53</v>
      </c>
      <c r="D248" s="17" t="s">
        <v>724</v>
      </c>
      <c r="E248" s="29" t="s">
        <v>365</v>
      </c>
      <c r="F248" s="20"/>
      <c r="G248" s="20"/>
      <c r="H248" s="20"/>
      <c r="I248" s="20"/>
      <c r="J248" s="20"/>
      <c r="K248" s="20"/>
      <c r="L248" s="20"/>
      <c r="M248" s="20"/>
      <c r="N248" s="27" t="n">
        <v>1932.83</v>
      </c>
      <c r="O248" s="20"/>
      <c r="P248" s="20"/>
      <c r="Q248" s="20"/>
      <c r="R248" s="21" t="n">
        <f aca="false">SUM(F248:Q248)</f>
        <v>1932.83</v>
      </c>
      <c r="S248" s="18"/>
      <c r="T248" s="18"/>
      <c r="U248" s="18"/>
      <c r="V248" s="18"/>
      <c r="W248" s="18"/>
      <c r="X248" s="18"/>
      <c r="Y248" s="18"/>
      <c r="Z248" s="18"/>
      <c r="AA248" s="28" t="n">
        <v>1</v>
      </c>
      <c r="AB248" s="18"/>
      <c r="AC248" s="18"/>
      <c r="AD248" s="18"/>
      <c r="AE248" s="22" t="n">
        <f aca="false">SUM(S248:AD248)</f>
        <v>1</v>
      </c>
      <c r="AF248" s="22"/>
      <c r="AG248" s="22"/>
      <c r="AH248" s="22"/>
      <c r="AI248" s="22"/>
      <c r="AJ248" s="22"/>
      <c r="AK248" s="22"/>
      <c r="AL248" s="22"/>
      <c r="AM248" s="22"/>
      <c r="AN248" s="19" t="s">
        <v>50</v>
      </c>
      <c r="AO248" s="22"/>
      <c r="AP248" s="22"/>
      <c r="AQ248" s="22"/>
      <c r="AR248" s="30" t="s">
        <v>49</v>
      </c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22" t="n">
        <f aca="false">SUM(AS248:BD248)</f>
        <v>0</v>
      </c>
      <c r="BF248" s="23"/>
      <c r="BG248" s="24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22" t="n">
        <f aca="false">SUM(BH248:BS248)</f>
        <v>0</v>
      </c>
      <c r="BU248" s="26"/>
      <c r="BV248" s="17"/>
      <c r="BW248" s="17"/>
      <c r="BX248" s="23" t="n">
        <f aca="false">IFERROR(R248/AE248,0)</f>
        <v>1932.83</v>
      </c>
      <c r="BY248" s="23" t="n">
        <f aca="false">IFERROR(R248/12,0)</f>
        <v>161.069166666667</v>
      </c>
      <c r="BZ248" s="18" t="n">
        <v>0</v>
      </c>
      <c r="CA248" s="22" t="str">
        <f aca="false">IF(AE248=0,"PROSPECT",IF(AE248=1,"NOVO",IF(AE248&lt;=3,"EM DESENV.",IF(AE248&lt;=6,"RECORRENTE","FIDELIZADO"))))</f>
        <v>NOVO</v>
      </c>
      <c r="CB248" s="22" t="n">
        <f aca="false">IF((P248+Q248)&gt;0,1,0)+IF((BR248+BS248)&gt;0,1,0)+IF(BE248&gt;0,1,0)</f>
        <v>0</v>
      </c>
    </row>
    <row r="249" customFormat="false" ht="15" hidden="false" customHeight="true" outlineLevel="0" collapsed="false">
      <c r="A249" s="16" t="s">
        <v>725</v>
      </c>
      <c r="B249" s="17" t="s">
        <v>726</v>
      </c>
      <c r="C249" s="18" t="s">
        <v>727</v>
      </c>
      <c r="D249" s="17" t="s">
        <v>728</v>
      </c>
      <c r="E249" s="29" t="s">
        <v>365</v>
      </c>
      <c r="F249" s="20"/>
      <c r="G249" s="20"/>
      <c r="H249" s="20"/>
      <c r="I249" s="20"/>
      <c r="J249" s="20"/>
      <c r="K249" s="20"/>
      <c r="L249" s="27" t="n">
        <v>2682.5</v>
      </c>
      <c r="M249" s="20"/>
      <c r="N249" s="20"/>
      <c r="O249" s="20"/>
      <c r="P249" s="20"/>
      <c r="Q249" s="20"/>
      <c r="R249" s="21" t="n">
        <f aca="false">SUM(F249:Q249)</f>
        <v>2682.5</v>
      </c>
      <c r="S249" s="18"/>
      <c r="T249" s="18"/>
      <c r="U249" s="18"/>
      <c r="V249" s="18"/>
      <c r="W249" s="18"/>
      <c r="X249" s="18"/>
      <c r="Y249" s="28" t="n">
        <v>1</v>
      </c>
      <c r="Z249" s="18"/>
      <c r="AA249" s="18"/>
      <c r="AB249" s="18"/>
      <c r="AC249" s="18"/>
      <c r="AD249" s="18"/>
      <c r="AE249" s="22" t="n">
        <f aca="false">SUM(S249:AD249)</f>
        <v>1</v>
      </c>
      <c r="AF249" s="22"/>
      <c r="AG249" s="22"/>
      <c r="AH249" s="22"/>
      <c r="AI249" s="22"/>
      <c r="AJ249" s="22"/>
      <c r="AK249" s="22"/>
      <c r="AL249" s="19" t="s">
        <v>50</v>
      </c>
      <c r="AM249" s="22"/>
      <c r="AN249" s="22"/>
      <c r="AO249" s="22"/>
      <c r="AP249" s="22"/>
      <c r="AQ249" s="22"/>
      <c r="AR249" s="19" t="s">
        <v>50</v>
      </c>
      <c r="AS249" s="18"/>
      <c r="AT249" s="18"/>
      <c r="AU249" s="18"/>
      <c r="AV249" s="18"/>
      <c r="AW249" s="18"/>
      <c r="AX249" s="18"/>
      <c r="AY249" s="25" t="n">
        <v>8</v>
      </c>
      <c r="AZ249" s="18"/>
      <c r="BA249" s="18"/>
      <c r="BB249" s="18"/>
      <c r="BC249" s="18"/>
      <c r="BD249" s="18"/>
      <c r="BE249" s="22" t="n">
        <f aca="false">SUM(AS249:BD249)</f>
        <v>8</v>
      </c>
      <c r="BF249" s="23" t="n">
        <v>2682.5</v>
      </c>
      <c r="BG249" s="19" t="s">
        <v>55</v>
      </c>
      <c r="BH249" s="18"/>
      <c r="BI249" s="18"/>
      <c r="BJ249" s="18"/>
      <c r="BK249" s="18"/>
      <c r="BL249" s="18"/>
      <c r="BM249" s="18"/>
      <c r="BN249" s="18"/>
      <c r="BO249" s="25" t="n">
        <v>4</v>
      </c>
      <c r="BP249" s="18"/>
      <c r="BQ249" s="18"/>
      <c r="BR249" s="25" t="n">
        <v>1</v>
      </c>
      <c r="BS249" s="18"/>
      <c r="BT249" s="22" t="n">
        <f aca="false">SUM(BH249:BS249)</f>
        <v>5</v>
      </c>
      <c r="BU249" s="26" t="n">
        <v>46036.43125</v>
      </c>
      <c r="BV249" s="17" t="s">
        <v>243</v>
      </c>
      <c r="BW249" s="17" t="s">
        <v>44</v>
      </c>
      <c r="BX249" s="23" t="n">
        <f aca="false">IFERROR(R249/AE249,0)</f>
        <v>2682.5</v>
      </c>
      <c r="BY249" s="23" t="n">
        <f aca="false">IFERROR(R249/12,0)</f>
        <v>223.541666666667</v>
      </c>
      <c r="BZ249" s="18" t="n">
        <v>0</v>
      </c>
      <c r="CA249" s="22" t="str">
        <f aca="false">IF(AE249=0,"PROSPECT",IF(AE249=1,"NOVO",IF(AE249&lt;=3,"EM DESENV.",IF(AE249&lt;=6,"RECORRENTE","FIDELIZADO"))))</f>
        <v>NOVO</v>
      </c>
      <c r="CB249" s="22" t="n">
        <f aca="false">IF((P249+Q249)&gt;0,1,0)+IF((BR249+BS249)&gt;0,1,0)+IF(BE249&gt;0,1,0)</f>
        <v>2</v>
      </c>
    </row>
    <row r="250" customFormat="false" ht="15" hidden="false" customHeight="true" outlineLevel="0" collapsed="false">
      <c r="A250" s="16" t="s">
        <v>729</v>
      </c>
      <c r="B250" s="17" t="s">
        <v>730</v>
      </c>
      <c r="C250" s="18" t="s">
        <v>41</v>
      </c>
      <c r="D250" s="17" t="s">
        <v>731</v>
      </c>
      <c r="E250" s="29" t="s">
        <v>365</v>
      </c>
      <c r="F250" s="20"/>
      <c r="G250" s="20"/>
      <c r="H250" s="20"/>
      <c r="I250" s="20"/>
      <c r="J250" s="20"/>
      <c r="K250" s="20"/>
      <c r="L250" s="27" t="n">
        <v>1025.66</v>
      </c>
      <c r="M250" s="20"/>
      <c r="N250" s="27" t="n">
        <v>1406.71</v>
      </c>
      <c r="O250" s="20"/>
      <c r="P250" s="20"/>
      <c r="Q250" s="20"/>
      <c r="R250" s="21" t="n">
        <f aca="false">SUM(F250:Q250)</f>
        <v>2432.37</v>
      </c>
      <c r="S250" s="18"/>
      <c r="T250" s="18"/>
      <c r="U250" s="18"/>
      <c r="V250" s="18"/>
      <c r="W250" s="18"/>
      <c r="X250" s="18"/>
      <c r="Y250" s="28" t="n">
        <v>1</v>
      </c>
      <c r="Z250" s="18"/>
      <c r="AA250" s="28" t="n">
        <v>1</v>
      </c>
      <c r="AB250" s="18"/>
      <c r="AC250" s="18"/>
      <c r="AD250" s="18"/>
      <c r="AE250" s="22" t="n">
        <f aca="false">SUM(S250:AD250)</f>
        <v>2</v>
      </c>
      <c r="AF250" s="22"/>
      <c r="AG250" s="22"/>
      <c r="AH250" s="22"/>
      <c r="AI250" s="22"/>
      <c r="AJ250" s="22"/>
      <c r="AK250" s="22"/>
      <c r="AL250" s="30" t="s">
        <v>49</v>
      </c>
      <c r="AM250" s="22"/>
      <c r="AN250" s="19" t="s">
        <v>50</v>
      </c>
      <c r="AO250" s="22"/>
      <c r="AP250" s="22"/>
      <c r="AQ250" s="22"/>
      <c r="AR250" s="19" t="s">
        <v>50</v>
      </c>
      <c r="AS250" s="18"/>
      <c r="AT250" s="18"/>
      <c r="AU250" s="18"/>
      <c r="AV250" s="18"/>
      <c r="AW250" s="18"/>
      <c r="AX250" s="18"/>
      <c r="AY250" s="18"/>
      <c r="AZ250" s="18"/>
      <c r="BA250" s="25" t="n">
        <v>2</v>
      </c>
      <c r="BB250" s="18"/>
      <c r="BC250" s="18"/>
      <c r="BD250" s="18"/>
      <c r="BE250" s="22" t="n">
        <f aca="false">SUM(AS250:BD250)</f>
        <v>2</v>
      </c>
      <c r="BF250" s="23" t="n">
        <v>1406.71</v>
      </c>
      <c r="BG250" s="19" t="s">
        <v>55</v>
      </c>
      <c r="BH250" s="18"/>
      <c r="BI250" s="18"/>
      <c r="BJ250" s="18"/>
      <c r="BK250" s="18"/>
      <c r="BL250" s="18"/>
      <c r="BM250" s="18"/>
      <c r="BN250" s="25" t="n">
        <v>1</v>
      </c>
      <c r="BO250" s="18"/>
      <c r="BP250" s="25" t="n">
        <v>1</v>
      </c>
      <c r="BQ250" s="18"/>
      <c r="BR250" s="18"/>
      <c r="BS250" s="18"/>
      <c r="BT250" s="22" t="n">
        <f aca="false">SUM(BH250:BS250)</f>
        <v>2</v>
      </c>
      <c r="BU250" s="26" t="n">
        <v>45989.3719444444</v>
      </c>
      <c r="BV250" s="17"/>
      <c r="BW250" s="17" t="s">
        <v>44</v>
      </c>
      <c r="BX250" s="23" t="n">
        <f aca="false">IFERROR(R250/AE250,0)</f>
        <v>1216.185</v>
      </c>
      <c r="BY250" s="23" t="n">
        <f aca="false">IFERROR(R250/12,0)</f>
        <v>202.6975</v>
      </c>
      <c r="BZ250" s="18" t="n">
        <v>59</v>
      </c>
      <c r="CA250" s="22" t="str">
        <f aca="false">IF(AE250=0,"PROSPECT",IF(AE250=1,"NOVO",IF(AE250&lt;=3,"EM DESENV.",IF(AE250&lt;=6,"RECORRENTE","FIDELIZADO"))))</f>
        <v>EM DESENV.</v>
      </c>
      <c r="CB250" s="22" t="n">
        <f aca="false">IF((P250+Q250)&gt;0,1,0)+IF((BR250+BS250)&gt;0,1,0)+IF(BE250&gt;0,1,0)</f>
        <v>1</v>
      </c>
    </row>
    <row r="251" customFormat="false" ht="15" hidden="false" customHeight="true" outlineLevel="0" collapsed="false">
      <c r="A251" s="16" t="s">
        <v>732</v>
      </c>
      <c r="B251" s="17" t="s">
        <v>733</v>
      </c>
      <c r="C251" s="18" t="s">
        <v>65</v>
      </c>
      <c r="D251" s="17" t="s">
        <v>66</v>
      </c>
      <c r="E251" s="29" t="s">
        <v>365</v>
      </c>
      <c r="F251" s="20"/>
      <c r="G251" s="20"/>
      <c r="H251" s="20"/>
      <c r="I251" s="20"/>
      <c r="J251" s="20"/>
      <c r="K251" s="20"/>
      <c r="L251" s="20"/>
      <c r="M251" s="20"/>
      <c r="N251" s="27" t="n">
        <v>5107.1</v>
      </c>
      <c r="O251" s="20"/>
      <c r="P251" s="20"/>
      <c r="Q251" s="20"/>
      <c r="R251" s="21" t="n">
        <f aca="false">SUM(F251:Q251)</f>
        <v>5107.1</v>
      </c>
      <c r="S251" s="18"/>
      <c r="T251" s="18"/>
      <c r="U251" s="18"/>
      <c r="V251" s="18"/>
      <c r="W251" s="18"/>
      <c r="X251" s="18"/>
      <c r="Y251" s="18"/>
      <c r="Z251" s="18"/>
      <c r="AA251" s="28" t="n">
        <v>1</v>
      </c>
      <c r="AB251" s="18"/>
      <c r="AC251" s="18"/>
      <c r="AD251" s="18"/>
      <c r="AE251" s="22" t="n">
        <f aca="false">SUM(S251:AD251)</f>
        <v>1</v>
      </c>
      <c r="AF251" s="22"/>
      <c r="AG251" s="22"/>
      <c r="AH251" s="22"/>
      <c r="AI251" s="22"/>
      <c r="AJ251" s="22"/>
      <c r="AK251" s="22"/>
      <c r="AL251" s="22"/>
      <c r="AM251" s="22"/>
      <c r="AN251" s="19" t="s">
        <v>50</v>
      </c>
      <c r="AO251" s="22"/>
      <c r="AP251" s="22"/>
      <c r="AQ251" s="22"/>
      <c r="AR251" s="19" t="s">
        <v>50</v>
      </c>
      <c r="AS251" s="18"/>
      <c r="AT251" s="18"/>
      <c r="AU251" s="18"/>
      <c r="AV251" s="18"/>
      <c r="AW251" s="18"/>
      <c r="AX251" s="18"/>
      <c r="AY251" s="18"/>
      <c r="AZ251" s="18"/>
      <c r="BA251" s="25" t="n">
        <v>2</v>
      </c>
      <c r="BB251" s="25" t="n">
        <v>2</v>
      </c>
      <c r="BC251" s="18"/>
      <c r="BD251" s="18"/>
      <c r="BE251" s="22" t="n">
        <f aca="false">SUM(AS251:BD251)</f>
        <v>4</v>
      </c>
      <c r="BF251" s="23" t="n">
        <v>5107.1</v>
      </c>
      <c r="BG251" s="19" t="s">
        <v>55</v>
      </c>
      <c r="BH251" s="18"/>
      <c r="BI251" s="18"/>
      <c r="BJ251" s="18"/>
      <c r="BK251" s="18"/>
      <c r="BL251" s="18"/>
      <c r="BM251" s="18"/>
      <c r="BN251" s="18"/>
      <c r="BO251" s="18"/>
      <c r="BP251" s="25" t="n">
        <v>2</v>
      </c>
      <c r="BQ251" s="18"/>
      <c r="BR251" s="25" t="n">
        <v>3</v>
      </c>
      <c r="BS251" s="25" t="n">
        <v>3</v>
      </c>
      <c r="BT251" s="22" t="n">
        <f aca="false">SUM(BH251:BS251)</f>
        <v>8</v>
      </c>
      <c r="BU251" s="26" t="n">
        <v>46056.6284722222</v>
      </c>
      <c r="BV251" s="17" t="s">
        <v>124</v>
      </c>
      <c r="BW251" s="17" t="s">
        <v>44</v>
      </c>
      <c r="BX251" s="23" t="n">
        <f aca="false">IFERROR(R251/AE251,0)</f>
        <v>5107.1</v>
      </c>
      <c r="BY251" s="23" t="n">
        <f aca="false">IFERROR(R251/12,0)</f>
        <v>425.591666666667</v>
      </c>
      <c r="BZ251" s="18" t="n">
        <v>0</v>
      </c>
      <c r="CA251" s="22" t="str">
        <f aca="false">IF(AE251=0,"PROSPECT",IF(AE251=1,"NOVO",IF(AE251&lt;=3,"EM DESENV.",IF(AE251&lt;=6,"RECORRENTE","FIDELIZADO"))))</f>
        <v>NOVO</v>
      </c>
      <c r="CB251" s="22" t="n">
        <f aca="false">IF((P251+Q251)&gt;0,1,0)+IF((BR251+BS251)&gt;0,1,0)+IF(BE251&gt;0,1,0)</f>
        <v>2</v>
      </c>
    </row>
    <row r="252" customFormat="false" ht="15" hidden="false" customHeight="true" outlineLevel="0" collapsed="false">
      <c r="A252" s="16" t="s">
        <v>734</v>
      </c>
      <c r="B252" s="17" t="s">
        <v>735</v>
      </c>
      <c r="C252" s="18" t="s">
        <v>155</v>
      </c>
      <c r="D252" s="17" t="s">
        <v>736</v>
      </c>
      <c r="E252" s="29" t="s">
        <v>365</v>
      </c>
      <c r="F252" s="20"/>
      <c r="G252" s="20"/>
      <c r="H252" s="27" t="n">
        <v>2995.76</v>
      </c>
      <c r="I252" s="20"/>
      <c r="J252" s="27" t="n">
        <v>2925.82</v>
      </c>
      <c r="K252" s="20"/>
      <c r="L252" s="27" t="n">
        <v>2174.72</v>
      </c>
      <c r="M252" s="20"/>
      <c r="N252" s="20"/>
      <c r="O252" s="20"/>
      <c r="P252" s="20"/>
      <c r="Q252" s="20"/>
      <c r="R252" s="21" t="n">
        <f aca="false">SUM(F252:Q252)</f>
        <v>8096.3</v>
      </c>
      <c r="S252" s="18"/>
      <c r="T252" s="18"/>
      <c r="U252" s="28" t="n">
        <v>1</v>
      </c>
      <c r="V252" s="18"/>
      <c r="W252" s="28" t="n">
        <v>1</v>
      </c>
      <c r="X252" s="18"/>
      <c r="Y252" s="28" t="n">
        <v>1</v>
      </c>
      <c r="Z252" s="18"/>
      <c r="AA252" s="18"/>
      <c r="AB252" s="18"/>
      <c r="AC252" s="18"/>
      <c r="AD252" s="18"/>
      <c r="AE252" s="22" t="n">
        <f aca="false">SUM(S252:AD252)</f>
        <v>3</v>
      </c>
      <c r="AF252" s="22"/>
      <c r="AG252" s="22"/>
      <c r="AH252" s="19" t="s">
        <v>50</v>
      </c>
      <c r="AI252" s="22"/>
      <c r="AJ252" s="19" t="s">
        <v>50</v>
      </c>
      <c r="AK252" s="22"/>
      <c r="AL252" s="19" t="s">
        <v>50</v>
      </c>
      <c r="AM252" s="22"/>
      <c r="AN252" s="22"/>
      <c r="AO252" s="22"/>
      <c r="AP252" s="22"/>
      <c r="AQ252" s="22"/>
      <c r="AR252" s="19" t="s">
        <v>50</v>
      </c>
      <c r="AS252" s="18"/>
      <c r="AT252" s="25" t="n">
        <v>3</v>
      </c>
      <c r="AU252" s="25" t="n">
        <v>3</v>
      </c>
      <c r="AV252" s="18"/>
      <c r="AW252" s="25" t="n">
        <v>7</v>
      </c>
      <c r="AX252" s="18"/>
      <c r="AY252" s="25" t="n">
        <v>15</v>
      </c>
      <c r="AZ252" s="18"/>
      <c r="BA252" s="18"/>
      <c r="BB252" s="18"/>
      <c r="BC252" s="18"/>
      <c r="BD252" s="18"/>
      <c r="BE252" s="22" t="n">
        <f aca="false">SUM(AS252:BD252)</f>
        <v>28</v>
      </c>
      <c r="BF252" s="23" t="n">
        <v>5170.48</v>
      </c>
      <c r="BG252" s="19" t="s">
        <v>55</v>
      </c>
      <c r="BH252" s="18"/>
      <c r="BI252" s="25" t="n">
        <v>1</v>
      </c>
      <c r="BJ252" s="25" t="n">
        <v>1</v>
      </c>
      <c r="BK252" s="25" t="n">
        <v>3</v>
      </c>
      <c r="BL252" s="25" t="n">
        <v>3</v>
      </c>
      <c r="BM252" s="18"/>
      <c r="BN252" s="25" t="n">
        <v>2</v>
      </c>
      <c r="BO252" s="18"/>
      <c r="BP252" s="18"/>
      <c r="BQ252" s="25" t="n">
        <v>2</v>
      </c>
      <c r="BR252" s="25" t="n">
        <v>3</v>
      </c>
      <c r="BS252" s="18"/>
      <c r="BT252" s="22" t="n">
        <f aca="false">SUM(BH252:BS252)</f>
        <v>15</v>
      </c>
      <c r="BU252" s="26" t="n">
        <v>46038.4386689815</v>
      </c>
      <c r="BV252" s="17"/>
      <c r="BW252" s="17" t="s">
        <v>44</v>
      </c>
      <c r="BX252" s="23" t="n">
        <f aca="false">IFERROR(R252/AE252,0)</f>
        <v>2698.76666666667</v>
      </c>
      <c r="BY252" s="23" t="n">
        <f aca="false">IFERROR(R252/12,0)</f>
        <v>674.691666666667</v>
      </c>
      <c r="BZ252" s="18" t="n">
        <v>69.5</v>
      </c>
      <c r="CA252" s="22" t="str">
        <f aca="false">IF(AE252=0,"PROSPECT",IF(AE252=1,"NOVO",IF(AE252&lt;=3,"EM DESENV.",IF(AE252&lt;=6,"RECORRENTE","FIDELIZADO"))))</f>
        <v>EM DESENV.</v>
      </c>
      <c r="CB252" s="22" t="n">
        <f aca="false">IF((P252+Q252)&gt;0,1,0)+IF((BR252+BS252)&gt;0,1,0)+IF(BE252&gt;0,1,0)</f>
        <v>2</v>
      </c>
    </row>
    <row r="253" customFormat="false" ht="15" hidden="false" customHeight="true" outlineLevel="0" collapsed="false">
      <c r="A253" s="16" t="s">
        <v>737</v>
      </c>
      <c r="B253" s="17" t="s">
        <v>738</v>
      </c>
      <c r="C253" s="18" t="s">
        <v>739</v>
      </c>
      <c r="D253" s="17" t="s">
        <v>740</v>
      </c>
      <c r="E253" s="29" t="s">
        <v>365</v>
      </c>
      <c r="F253" s="20"/>
      <c r="G253" s="20"/>
      <c r="H253" s="20"/>
      <c r="I253" s="27" t="n">
        <v>1355.9</v>
      </c>
      <c r="J253" s="20"/>
      <c r="K253" s="20"/>
      <c r="L253" s="20"/>
      <c r="M253" s="20"/>
      <c r="N253" s="20"/>
      <c r="O253" s="20"/>
      <c r="P253" s="20"/>
      <c r="Q253" s="20"/>
      <c r="R253" s="21" t="n">
        <f aca="false">SUM(F253:Q253)</f>
        <v>1355.9</v>
      </c>
      <c r="S253" s="18"/>
      <c r="T253" s="18"/>
      <c r="U253" s="18"/>
      <c r="V253" s="28" t="n">
        <v>1</v>
      </c>
      <c r="W253" s="18"/>
      <c r="X253" s="18"/>
      <c r="Y253" s="18"/>
      <c r="Z253" s="18"/>
      <c r="AA253" s="18"/>
      <c r="AB253" s="18"/>
      <c r="AC253" s="18"/>
      <c r="AD253" s="18"/>
      <c r="AE253" s="22" t="n">
        <f aca="false">SUM(S253:AD253)</f>
        <v>1</v>
      </c>
      <c r="AF253" s="22"/>
      <c r="AG253" s="22"/>
      <c r="AH253" s="22"/>
      <c r="AI253" s="30" t="s">
        <v>49</v>
      </c>
      <c r="AJ253" s="22"/>
      <c r="AK253" s="22"/>
      <c r="AL253" s="22"/>
      <c r="AM253" s="22"/>
      <c r="AN253" s="22"/>
      <c r="AO253" s="22"/>
      <c r="AP253" s="22"/>
      <c r="AQ253" s="22"/>
      <c r="AR253" s="30" t="s">
        <v>49</v>
      </c>
      <c r="AS253" s="18"/>
      <c r="AT253" s="18"/>
      <c r="AU253" s="18"/>
      <c r="AV253" s="25" t="n">
        <v>1</v>
      </c>
      <c r="AW253" s="18"/>
      <c r="AX253" s="18"/>
      <c r="AY253" s="18"/>
      <c r="AZ253" s="18"/>
      <c r="BA253" s="18"/>
      <c r="BB253" s="18"/>
      <c r="BC253" s="18"/>
      <c r="BD253" s="18"/>
      <c r="BE253" s="22" t="n">
        <f aca="false">SUM(AS253:BD253)</f>
        <v>1</v>
      </c>
      <c r="BF253" s="23"/>
      <c r="BG253" s="31" t="s">
        <v>93</v>
      </c>
      <c r="BH253" s="25" t="n">
        <v>1</v>
      </c>
      <c r="BI253" s="18"/>
      <c r="BJ253" s="25" t="n">
        <v>1</v>
      </c>
      <c r="BK253" s="25" t="n">
        <v>2</v>
      </c>
      <c r="BL253" s="25" t="n">
        <v>1</v>
      </c>
      <c r="BM253" s="18"/>
      <c r="BN253" s="18"/>
      <c r="BO253" s="18"/>
      <c r="BP253" s="25" t="n">
        <v>1</v>
      </c>
      <c r="BQ253" s="18"/>
      <c r="BR253" s="25" t="n">
        <v>3</v>
      </c>
      <c r="BS253" s="25" t="n">
        <v>2</v>
      </c>
      <c r="BT253" s="22" t="n">
        <f aca="false">SUM(BH253:BS253)</f>
        <v>11</v>
      </c>
      <c r="BU253" s="26" t="n">
        <v>46056.6875</v>
      </c>
      <c r="BV253" s="17"/>
      <c r="BW253" s="17" t="s">
        <v>117</v>
      </c>
      <c r="BX253" s="23" t="n">
        <f aca="false">IFERROR(R253/AE253,0)</f>
        <v>1355.9</v>
      </c>
      <c r="BY253" s="23" t="n">
        <f aca="false">IFERROR(R253/12,0)</f>
        <v>112.991666666667</v>
      </c>
      <c r="BZ253" s="18" t="n">
        <v>0</v>
      </c>
      <c r="CA253" s="22" t="str">
        <f aca="false">IF(AE253=0,"PROSPECT",IF(AE253=1,"NOVO",IF(AE253&lt;=3,"EM DESENV.",IF(AE253&lt;=6,"RECORRENTE","FIDELIZADO"))))</f>
        <v>NOVO</v>
      </c>
      <c r="CB253" s="22" t="n">
        <f aca="false">IF((P253+Q253)&gt;0,1,0)+IF((BR253+BS253)&gt;0,1,0)+IF(BE253&gt;0,1,0)</f>
        <v>2</v>
      </c>
    </row>
    <row r="254" customFormat="false" ht="15" hidden="false" customHeight="true" outlineLevel="0" collapsed="false">
      <c r="A254" s="16" t="s">
        <v>741</v>
      </c>
      <c r="B254" s="17" t="s">
        <v>742</v>
      </c>
      <c r="C254" s="18" t="s">
        <v>61</v>
      </c>
      <c r="D254" s="17" t="s">
        <v>123</v>
      </c>
      <c r="E254" s="29" t="s">
        <v>365</v>
      </c>
      <c r="F254" s="20"/>
      <c r="G254" s="20"/>
      <c r="H254" s="20"/>
      <c r="I254" s="20"/>
      <c r="J254" s="27" t="n">
        <v>671.86</v>
      </c>
      <c r="K254" s="20"/>
      <c r="L254" s="20"/>
      <c r="M254" s="20"/>
      <c r="N254" s="20"/>
      <c r="O254" s="20"/>
      <c r="P254" s="20"/>
      <c r="Q254" s="20"/>
      <c r="R254" s="21" t="n">
        <f aca="false">SUM(F254:Q254)</f>
        <v>671.86</v>
      </c>
      <c r="S254" s="18"/>
      <c r="T254" s="18"/>
      <c r="U254" s="18"/>
      <c r="V254" s="18"/>
      <c r="W254" s="28" t="n">
        <v>1</v>
      </c>
      <c r="X254" s="18"/>
      <c r="Y254" s="18"/>
      <c r="Z254" s="18"/>
      <c r="AA254" s="18"/>
      <c r="AB254" s="18"/>
      <c r="AC254" s="18"/>
      <c r="AD254" s="18"/>
      <c r="AE254" s="22" t="n">
        <f aca="false">SUM(S254:AD254)</f>
        <v>1</v>
      </c>
      <c r="AF254" s="22"/>
      <c r="AG254" s="22"/>
      <c r="AH254" s="22"/>
      <c r="AI254" s="22"/>
      <c r="AJ254" s="29" t="s">
        <v>48</v>
      </c>
      <c r="AK254" s="22"/>
      <c r="AL254" s="22"/>
      <c r="AM254" s="22"/>
      <c r="AN254" s="22"/>
      <c r="AO254" s="22"/>
      <c r="AP254" s="22"/>
      <c r="AQ254" s="22"/>
      <c r="AR254" s="29" t="s">
        <v>48</v>
      </c>
      <c r="AS254" s="25" t="n">
        <v>2</v>
      </c>
      <c r="AT254" s="18"/>
      <c r="AU254" s="18"/>
      <c r="AV254" s="18"/>
      <c r="AW254" s="18"/>
      <c r="AX254" s="18"/>
      <c r="AY254" s="18"/>
      <c r="AZ254" s="18"/>
      <c r="BA254" s="25" t="n">
        <v>1</v>
      </c>
      <c r="BB254" s="18"/>
      <c r="BC254" s="18"/>
      <c r="BD254" s="18"/>
      <c r="BE254" s="22" t="n">
        <f aca="false">SUM(AS254:BD254)</f>
        <v>3</v>
      </c>
      <c r="BF254" s="23"/>
      <c r="BG254" s="31" t="s">
        <v>93</v>
      </c>
      <c r="BH254" s="25" t="n">
        <v>1</v>
      </c>
      <c r="BI254" s="18"/>
      <c r="BJ254" s="25" t="n">
        <v>1</v>
      </c>
      <c r="BK254" s="25" t="n">
        <v>1</v>
      </c>
      <c r="BL254" s="18"/>
      <c r="BM254" s="18"/>
      <c r="BN254" s="18"/>
      <c r="BO254" s="18"/>
      <c r="BP254" s="25" t="n">
        <v>1</v>
      </c>
      <c r="BQ254" s="18"/>
      <c r="BR254" s="18"/>
      <c r="BS254" s="25" t="n">
        <v>2</v>
      </c>
      <c r="BT254" s="22" t="n">
        <f aca="false">SUM(BH254:BS254)</f>
        <v>6</v>
      </c>
      <c r="BU254" s="26" t="n">
        <v>46058.4513888889</v>
      </c>
      <c r="BV254" s="17"/>
      <c r="BW254" s="17" t="s">
        <v>44</v>
      </c>
      <c r="BX254" s="23" t="n">
        <f aca="false">IFERROR(R254/AE254,0)</f>
        <v>671.86</v>
      </c>
      <c r="BY254" s="23" t="n">
        <f aca="false">IFERROR(R254/12,0)</f>
        <v>55.9883333333333</v>
      </c>
      <c r="BZ254" s="18" t="n">
        <v>0</v>
      </c>
      <c r="CA254" s="22" t="str">
        <f aca="false">IF(AE254=0,"PROSPECT",IF(AE254=1,"NOVO",IF(AE254&lt;=3,"EM DESENV.",IF(AE254&lt;=6,"RECORRENTE","FIDELIZADO"))))</f>
        <v>NOVO</v>
      </c>
      <c r="CB254" s="22" t="n">
        <f aca="false">IF((P254+Q254)&gt;0,1,0)+IF((BR254+BS254)&gt;0,1,0)+IF(BE254&gt;0,1,0)</f>
        <v>2</v>
      </c>
    </row>
    <row r="255" customFormat="false" ht="15" hidden="false" customHeight="true" outlineLevel="0" collapsed="false">
      <c r="A255" s="16" t="s">
        <v>743</v>
      </c>
      <c r="B255" s="17" t="s">
        <v>744</v>
      </c>
      <c r="C255" s="18" t="s">
        <v>41</v>
      </c>
      <c r="D255" s="17" t="s">
        <v>313</v>
      </c>
      <c r="E255" s="29" t="s">
        <v>365</v>
      </c>
      <c r="F255" s="20"/>
      <c r="G255" s="20"/>
      <c r="H255" s="20"/>
      <c r="I255" s="27" t="n">
        <v>2526.1</v>
      </c>
      <c r="J255" s="27" t="n">
        <v>2490.01</v>
      </c>
      <c r="K255" s="20"/>
      <c r="L255" s="20"/>
      <c r="M255" s="20"/>
      <c r="N255" s="20"/>
      <c r="O255" s="20"/>
      <c r="P255" s="20"/>
      <c r="Q255" s="20"/>
      <c r="R255" s="21" t="n">
        <f aca="false">SUM(F255:Q255)</f>
        <v>5016.11</v>
      </c>
      <c r="S255" s="18"/>
      <c r="T255" s="18"/>
      <c r="U255" s="18"/>
      <c r="V255" s="28" t="n">
        <v>1</v>
      </c>
      <c r="W255" s="28" t="n">
        <v>1</v>
      </c>
      <c r="X255" s="18"/>
      <c r="Y255" s="18"/>
      <c r="Z255" s="18"/>
      <c r="AA255" s="18"/>
      <c r="AB255" s="18"/>
      <c r="AC255" s="18"/>
      <c r="AD255" s="18"/>
      <c r="AE255" s="22" t="n">
        <f aca="false">SUM(S255:AD255)</f>
        <v>2</v>
      </c>
      <c r="AF255" s="22"/>
      <c r="AG255" s="22"/>
      <c r="AH255" s="22"/>
      <c r="AI255" s="19" t="s">
        <v>50</v>
      </c>
      <c r="AJ255" s="19" t="s">
        <v>50</v>
      </c>
      <c r="AK255" s="22"/>
      <c r="AL255" s="22"/>
      <c r="AM255" s="22"/>
      <c r="AN255" s="22"/>
      <c r="AO255" s="22"/>
      <c r="AP255" s="22"/>
      <c r="AQ255" s="22"/>
      <c r="AR255" s="19" t="s">
        <v>50</v>
      </c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22" t="n">
        <f aca="false">SUM(AS255:BD255)</f>
        <v>0</v>
      </c>
      <c r="BF255" s="23"/>
      <c r="BG255" s="24"/>
      <c r="BH255" s="18"/>
      <c r="BI255" s="18"/>
      <c r="BJ255" s="18"/>
      <c r="BK255" s="18"/>
      <c r="BL255" s="18"/>
      <c r="BM255" s="18"/>
      <c r="BN255" s="18"/>
      <c r="BO255" s="18"/>
      <c r="BP255" s="25" t="n">
        <v>1</v>
      </c>
      <c r="BQ255" s="18"/>
      <c r="BR255" s="18"/>
      <c r="BS255" s="25" t="n">
        <v>2</v>
      </c>
      <c r="BT255" s="22" t="n">
        <f aca="false">SUM(BH255:BS255)</f>
        <v>3</v>
      </c>
      <c r="BU255" s="26" t="n">
        <v>46058.4479166667</v>
      </c>
      <c r="BV255" s="17"/>
      <c r="BW255" s="17" t="s">
        <v>117</v>
      </c>
      <c r="BX255" s="23" t="n">
        <f aca="false">IFERROR(R255/AE255,0)</f>
        <v>2508.055</v>
      </c>
      <c r="BY255" s="23" t="n">
        <f aca="false">IFERROR(R255/12,0)</f>
        <v>418.009166666667</v>
      </c>
      <c r="BZ255" s="18" t="n">
        <v>39</v>
      </c>
      <c r="CA255" s="22" t="str">
        <f aca="false">IF(AE255=0,"PROSPECT",IF(AE255=1,"NOVO",IF(AE255&lt;=3,"EM DESENV.",IF(AE255&lt;=6,"RECORRENTE","FIDELIZADO"))))</f>
        <v>EM DESENV.</v>
      </c>
      <c r="CB255" s="22" t="n">
        <f aca="false">IF((P255+Q255)&gt;0,1,0)+IF((BR255+BS255)&gt;0,1,0)+IF(BE255&gt;0,1,0)</f>
        <v>1</v>
      </c>
    </row>
    <row r="256" customFormat="false" ht="15" hidden="false" customHeight="true" outlineLevel="0" collapsed="false">
      <c r="A256" s="16" t="s">
        <v>745</v>
      </c>
      <c r="B256" s="17" t="s">
        <v>746</v>
      </c>
      <c r="C256" s="18" t="s">
        <v>168</v>
      </c>
      <c r="D256" s="17" t="s">
        <v>747</v>
      </c>
      <c r="E256" s="29" t="s">
        <v>365</v>
      </c>
      <c r="F256" s="20"/>
      <c r="G256" s="20"/>
      <c r="H256" s="27" t="n">
        <v>1769.43</v>
      </c>
      <c r="I256" s="20"/>
      <c r="J256" s="27" t="n">
        <v>3274.26</v>
      </c>
      <c r="K256" s="27" t="n">
        <v>2426.28</v>
      </c>
      <c r="L256" s="27" t="n">
        <v>1680.08</v>
      </c>
      <c r="M256" s="20"/>
      <c r="N256" s="27" t="n">
        <v>1982.29</v>
      </c>
      <c r="O256" s="20"/>
      <c r="P256" s="20"/>
      <c r="Q256" s="20"/>
      <c r="R256" s="21" t="n">
        <f aca="false">SUM(F256:Q256)</f>
        <v>11132.34</v>
      </c>
      <c r="S256" s="18"/>
      <c r="T256" s="18"/>
      <c r="U256" s="28" t="n">
        <v>1</v>
      </c>
      <c r="V256" s="18"/>
      <c r="W256" s="28" t="n">
        <v>1</v>
      </c>
      <c r="X256" s="28" t="n">
        <v>1</v>
      </c>
      <c r="Y256" s="28" t="n">
        <v>1</v>
      </c>
      <c r="Z256" s="18"/>
      <c r="AA256" s="28" t="n">
        <v>1</v>
      </c>
      <c r="AB256" s="18"/>
      <c r="AC256" s="18"/>
      <c r="AD256" s="18"/>
      <c r="AE256" s="22" t="n">
        <f aca="false">SUM(S256:AD256)</f>
        <v>5</v>
      </c>
      <c r="AF256" s="22"/>
      <c r="AG256" s="22"/>
      <c r="AH256" s="19" t="s">
        <v>50</v>
      </c>
      <c r="AI256" s="22"/>
      <c r="AJ256" s="19" t="s">
        <v>50</v>
      </c>
      <c r="AK256" s="19" t="s">
        <v>50</v>
      </c>
      <c r="AL256" s="19" t="s">
        <v>50</v>
      </c>
      <c r="AM256" s="22"/>
      <c r="AN256" s="19" t="s">
        <v>50</v>
      </c>
      <c r="AO256" s="22"/>
      <c r="AP256" s="22"/>
      <c r="AQ256" s="22"/>
      <c r="AR256" s="19" t="s">
        <v>50</v>
      </c>
      <c r="AS256" s="18"/>
      <c r="AT256" s="18"/>
      <c r="AU256" s="18"/>
      <c r="AV256" s="18"/>
      <c r="AW256" s="25" t="n">
        <v>1</v>
      </c>
      <c r="AX256" s="25" t="n">
        <v>1</v>
      </c>
      <c r="AY256" s="25" t="n">
        <v>4</v>
      </c>
      <c r="AZ256" s="18"/>
      <c r="BA256" s="25" t="n">
        <v>1</v>
      </c>
      <c r="BB256" s="18"/>
      <c r="BC256" s="18"/>
      <c r="BD256" s="18"/>
      <c r="BE256" s="22" t="n">
        <f aca="false">SUM(AS256:BD256)</f>
        <v>7</v>
      </c>
      <c r="BF256" s="23" t="n">
        <v>7858.08</v>
      </c>
      <c r="BG256" s="19" t="s">
        <v>55</v>
      </c>
      <c r="BH256" s="18"/>
      <c r="BI256" s="25" t="n">
        <v>1</v>
      </c>
      <c r="BJ256" s="25" t="n">
        <v>1</v>
      </c>
      <c r="BK256" s="18"/>
      <c r="BL256" s="25" t="n">
        <v>5</v>
      </c>
      <c r="BM256" s="18"/>
      <c r="BN256" s="18"/>
      <c r="BO256" s="18"/>
      <c r="BP256" s="25" t="n">
        <v>2</v>
      </c>
      <c r="BQ256" s="25" t="n">
        <v>1</v>
      </c>
      <c r="BR256" s="25" t="n">
        <v>4</v>
      </c>
      <c r="BS256" s="25" t="n">
        <v>3</v>
      </c>
      <c r="BT256" s="22" t="n">
        <f aca="false">SUM(BH256:BS256)</f>
        <v>17</v>
      </c>
      <c r="BU256" s="26" t="n">
        <v>46058.6163773148</v>
      </c>
      <c r="BV256" s="17"/>
      <c r="BW256" s="17" t="s">
        <v>44</v>
      </c>
      <c r="BX256" s="23" t="n">
        <f aca="false">IFERROR(R256/AE256,0)</f>
        <v>2226.468</v>
      </c>
      <c r="BY256" s="23" t="n">
        <f aca="false">IFERROR(R256/12,0)</f>
        <v>927.695</v>
      </c>
      <c r="BZ256" s="18" t="n">
        <v>36.6</v>
      </c>
      <c r="CA256" s="22" t="str">
        <f aca="false">IF(AE256=0,"PROSPECT",IF(AE256=1,"NOVO",IF(AE256&lt;=3,"EM DESENV.",IF(AE256&lt;=6,"RECORRENTE","FIDELIZADO"))))</f>
        <v>RECORRENTE</v>
      </c>
      <c r="CB256" s="22" t="n">
        <f aca="false">IF((P256+Q256)&gt;0,1,0)+IF((BR256+BS256)&gt;0,1,0)+IF(BE256&gt;0,1,0)</f>
        <v>2</v>
      </c>
    </row>
    <row r="257" customFormat="false" ht="15" hidden="false" customHeight="true" outlineLevel="0" collapsed="false">
      <c r="A257" s="16" t="s">
        <v>748</v>
      </c>
      <c r="B257" s="17" t="s">
        <v>749</v>
      </c>
      <c r="C257" s="18" t="s">
        <v>61</v>
      </c>
      <c r="D257" s="17" t="s">
        <v>750</v>
      </c>
      <c r="E257" s="29" t="s">
        <v>365</v>
      </c>
      <c r="F257" s="20"/>
      <c r="G257" s="20"/>
      <c r="H257" s="20"/>
      <c r="I257" s="20"/>
      <c r="J257" s="20"/>
      <c r="K257" s="27" t="n">
        <v>1990.59</v>
      </c>
      <c r="L257" s="27" t="n">
        <v>774.24</v>
      </c>
      <c r="M257" s="20"/>
      <c r="N257" s="27" t="n">
        <v>1152</v>
      </c>
      <c r="O257" s="20"/>
      <c r="P257" s="20"/>
      <c r="Q257" s="20"/>
      <c r="R257" s="21" t="n">
        <f aca="false">SUM(F257:Q257)</f>
        <v>3916.83</v>
      </c>
      <c r="S257" s="18"/>
      <c r="T257" s="18"/>
      <c r="U257" s="18"/>
      <c r="V257" s="18"/>
      <c r="W257" s="18"/>
      <c r="X257" s="28" t="n">
        <v>1</v>
      </c>
      <c r="Y257" s="28" t="n">
        <v>1</v>
      </c>
      <c r="Z257" s="18"/>
      <c r="AA257" s="28" t="n">
        <v>1</v>
      </c>
      <c r="AB257" s="18"/>
      <c r="AC257" s="18"/>
      <c r="AD257" s="18"/>
      <c r="AE257" s="22" t="n">
        <f aca="false">SUM(S257:AD257)</f>
        <v>3</v>
      </c>
      <c r="AF257" s="22"/>
      <c r="AG257" s="22"/>
      <c r="AH257" s="22"/>
      <c r="AI257" s="22"/>
      <c r="AJ257" s="22"/>
      <c r="AK257" s="19" t="s">
        <v>50</v>
      </c>
      <c r="AL257" s="30" t="s">
        <v>49</v>
      </c>
      <c r="AM257" s="22"/>
      <c r="AN257" s="30" t="s">
        <v>49</v>
      </c>
      <c r="AO257" s="22"/>
      <c r="AP257" s="22"/>
      <c r="AQ257" s="22"/>
      <c r="AR257" s="19" t="s">
        <v>50</v>
      </c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22" t="n">
        <f aca="false">SUM(AS257:BD257)</f>
        <v>0</v>
      </c>
      <c r="BF257" s="23"/>
      <c r="BG257" s="24"/>
      <c r="BH257" s="18"/>
      <c r="BI257" s="18"/>
      <c r="BJ257" s="18"/>
      <c r="BK257" s="25" t="n">
        <v>2</v>
      </c>
      <c r="BL257" s="25" t="n">
        <v>4</v>
      </c>
      <c r="BM257" s="25" t="n">
        <v>1</v>
      </c>
      <c r="BN257" s="18"/>
      <c r="BO257" s="25" t="n">
        <v>1</v>
      </c>
      <c r="BP257" s="18"/>
      <c r="BQ257" s="25" t="n">
        <v>1</v>
      </c>
      <c r="BR257" s="18"/>
      <c r="BS257" s="18"/>
      <c r="BT257" s="22" t="n">
        <f aca="false">SUM(BH257:BS257)</f>
        <v>9</v>
      </c>
      <c r="BU257" s="26" t="n">
        <v>45999.4519560185</v>
      </c>
      <c r="BV257" s="17"/>
      <c r="BW257" s="17" t="s">
        <v>44</v>
      </c>
      <c r="BX257" s="23" t="n">
        <f aca="false">IFERROR(R257/AE257,0)</f>
        <v>1305.61</v>
      </c>
      <c r="BY257" s="23" t="n">
        <f aca="false">IFERROR(R257/12,0)</f>
        <v>326.4025</v>
      </c>
      <c r="BZ257" s="18" t="n">
        <v>45.5</v>
      </c>
      <c r="CA257" s="22" t="str">
        <f aca="false">IF(AE257=0,"PROSPECT",IF(AE257=1,"NOVO",IF(AE257&lt;=3,"EM DESENV.",IF(AE257&lt;=6,"RECORRENTE","FIDELIZADO"))))</f>
        <v>EM DESENV.</v>
      </c>
      <c r="CB257" s="22" t="n">
        <f aca="false">IF((P257+Q257)&gt;0,1,0)+IF((BR257+BS257)&gt;0,1,0)+IF(BE257&gt;0,1,0)</f>
        <v>0</v>
      </c>
    </row>
    <row r="258" customFormat="false" ht="15" hidden="false" customHeight="true" outlineLevel="0" collapsed="false">
      <c r="A258" s="16" t="s">
        <v>751</v>
      </c>
      <c r="B258" s="17" t="s">
        <v>130</v>
      </c>
      <c r="C258" s="18" t="s">
        <v>61</v>
      </c>
      <c r="D258" s="17" t="s">
        <v>612</v>
      </c>
      <c r="E258" s="29" t="s">
        <v>365</v>
      </c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1" t="n">
        <f aca="false">SUM(F258:Q258)</f>
        <v>0</v>
      </c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22" t="n">
        <f aca="false">SUM(S258:AD258)</f>
        <v>0</v>
      </c>
      <c r="AF258" s="22"/>
      <c r="AG258" s="22"/>
      <c r="AH258" s="22"/>
      <c r="AI258" s="30" t="s">
        <v>49</v>
      </c>
      <c r="AJ258" s="22"/>
      <c r="AK258" s="22"/>
      <c r="AL258" s="22"/>
      <c r="AM258" s="22"/>
      <c r="AN258" s="22"/>
      <c r="AO258" s="22"/>
      <c r="AP258" s="22"/>
      <c r="AQ258" s="22"/>
      <c r="AR258" s="30" t="s">
        <v>49</v>
      </c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22" t="n">
        <f aca="false">SUM(AS258:BD258)</f>
        <v>0</v>
      </c>
      <c r="BF258" s="23"/>
      <c r="BG258" s="24"/>
      <c r="BH258" s="25" t="n">
        <v>1</v>
      </c>
      <c r="BI258" s="25" t="n">
        <v>2</v>
      </c>
      <c r="BJ258" s="25" t="n">
        <v>1</v>
      </c>
      <c r="BK258" s="25" t="n">
        <v>1</v>
      </c>
      <c r="BL258" s="25" t="n">
        <v>3</v>
      </c>
      <c r="BM258" s="25" t="n">
        <v>1</v>
      </c>
      <c r="BN258" s="18"/>
      <c r="BO258" s="18"/>
      <c r="BP258" s="18"/>
      <c r="BQ258" s="18"/>
      <c r="BR258" s="18"/>
      <c r="BS258" s="18"/>
      <c r="BT258" s="22" t="n">
        <f aca="false">SUM(BH258:BS258)</f>
        <v>9</v>
      </c>
      <c r="BU258" s="26" t="n">
        <v>45898.4701388889</v>
      </c>
      <c r="BV258" s="17" t="s">
        <v>124</v>
      </c>
      <c r="BW258" s="17" t="s">
        <v>44</v>
      </c>
      <c r="BX258" s="23" t="n">
        <f aca="false">IFERROR(R258/AE258,0)</f>
        <v>0</v>
      </c>
      <c r="BY258" s="23" t="n">
        <f aca="false">IFERROR(R258/12,0)</f>
        <v>0</v>
      </c>
      <c r="BZ258" s="18" t="n">
        <v>0</v>
      </c>
      <c r="CA258" s="22" t="str">
        <f aca="false">IF(AE258=0,"PROSPECT",IF(AE258=1,"NOVO",IF(AE258&lt;=3,"EM DESENV.",IF(AE258&lt;=6,"RECORRENTE","FIDELIZADO"))))</f>
        <v>PROSPECT</v>
      </c>
      <c r="CB258" s="22" t="n">
        <f aca="false">IF((P258+Q258)&gt;0,1,0)+IF((BR258+BS258)&gt;0,1,0)+IF(BE258&gt;0,1,0)</f>
        <v>0</v>
      </c>
    </row>
    <row r="259" customFormat="false" ht="15" hidden="false" customHeight="true" outlineLevel="0" collapsed="false">
      <c r="A259" s="16" t="s">
        <v>752</v>
      </c>
      <c r="B259" s="17" t="s">
        <v>130</v>
      </c>
      <c r="C259" s="18" t="s">
        <v>61</v>
      </c>
      <c r="D259" s="17" t="s">
        <v>753</v>
      </c>
      <c r="E259" s="29" t="s">
        <v>365</v>
      </c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1" t="n">
        <f aca="false">SUM(F259:Q259)</f>
        <v>0</v>
      </c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22" t="n">
        <f aca="false">SUM(S259:AD259)</f>
        <v>0</v>
      </c>
      <c r="AF259" s="22"/>
      <c r="AG259" s="22"/>
      <c r="AH259" s="30" t="s">
        <v>49</v>
      </c>
      <c r="AI259" s="22"/>
      <c r="AJ259" s="22"/>
      <c r="AK259" s="22"/>
      <c r="AL259" s="22"/>
      <c r="AM259" s="22"/>
      <c r="AN259" s="22"/>
      <c r="AO259" s="22"/>
      <c r="AP259" s="22"/>
      <c r="AQ259" s="22"/>
      <c r="AR259" s="29" t="s">
        <v>48</v>
      </c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22" t="n">
        <f aca="false">SUM(AS259:BD259)</f>
        <v>0</v>
      </c>
      <c r="BF259" s="23"/>
      <c r="BG259" s="24"/>
      <c r="BH259" s="25" t="n">
        <v>1</v>
      </c>
      <c r="BI259" s="18"/>
      <c r="BJ259" s="25" t="n">
        <v>2</v>
      </c>
      <c r="BK259" s="25" t="n">
        <v>3</v>
      </c>
      <c r="BL259" s="25" t="n">
        <v>3</v>
      </c>
      <c r="BM259" s="18"/>
      <c r="BN259" s="18"/>
      <c r="BO259" s="18"/>
      <c r="BP259" s="25" t="n">
        <v>1</v>
      </c>
      <c r="BQ259" s="18"/>
      <c r="BR259" s="25" t="n">
        <v>3</v>
      </c>
      <c r="BS259" s="18"/>
      <c r="BT259" s="22" t="n">
        <f aca="false">SUM(BH259:BS259)</f>
        <v>13</v>
      </c>
      <c r="BU259" s="26" t="n">
        <v>46051.489224537</v>
      </c>
      <c r="BV259" s="17"/>
      <c r="BW259" s="17" t="s">
        <v>44</v>
      </c>
      <c r="BX259" s="23" t="n">
        <f aca="false">IFERROR(R259/AE259,0)</f>
        <v>0</v>
      </c>
      <c r="BY259" s="23" t="n">
        <f aca="false">IFERROR(R259/12,0)</f>
        <v>0</v>
      </c>
      <c r="BZ259" s="18" t="n">
        <v>0</v>
      </c>
      <c r="CA259" s="22" t="str">
        <f aca="false">IF(AE259=0,"PROSPECT",IF(AE259=1,"NOVO",IF(AE259&lt;=3,"EM DESENV.",IF(AE259&lt;=6,"RECORRENTE","FIDELIZADO"))))</f>
        <v>PROSPECT</v>
      </c>
      <c r="CB259" s="22" t="n">
        <f aca="false">IF((P259+Q259)&gt;0,1,0)+IF((BR259+BS259)&gt;0,1,0)+IF(BE259&gt;0,1,0)</f>
        <v>1</v>
      </c>
    </row>
    <row r="260" customFormat="false" ht="15" hidden="false" customHeight="true" outlineLevel="0" collapsed="false">
      <c r="A260" s="16" t="s">
        <v>754</v>
      </c>
      <c r="B260" s="17" t="s">
        <v>755</v>
      </c>
      <c r="C260" s="18" t="s">
        <v>61</v>
      </c>
      <c r="D260" s="17" t="s">
        <v>753</v>
      </c>
      <c r="E260" s="29" t="s">
        <v>365</v>
      </c>
      <c r="F260" s="20"/>
      <c r="G260" s="20"/>
      <c r="H260" s="20"/>
      <c r="I260" s="27" t="n">
        <v>2272.6</v>
      </c>
      <c r="J260" s="20"/>
      <c r="K260" s="20"/>
      <c r="L260" s="27" t="n">
        <v>1016.3</v>
      </c>
      <c r="M260" s="20"/>
      <c r="N260" s="20"/>
      <c r="O260" s="20"/>
      <c r="P260" s="20"/>
      <c r="Q260" s="20"/>
      <c r="R260" s="21" t="n">
        <f aca="false">SUM(F260:Q260)</f>
        <v>3288.9</v>
      </c>
      <c r="S260" s="18"/>
      <c r="T260" s="18"/>
      <c r="U260" s="18"/>
      <c r="V260" s="28" t="n">
        <v>1</v>
      </c>
      <c r="W260" s="18"/>
      <c r="X260" s="18"/>
      <c r="Y260" s="28" t="n">
        <v>1</v>
      </c>
      <c r="Z260" s="18"/>
      <c r="AA260" s="18"/>
      <c r="AB260" s="18"/>
      <c r="AC260" s="18"/>
      <c r="AD260" s="18"/>
      <c r="AE260" s="22" t="n">
        <f aca="false">SUM(S260:AD260)</f>
        <v>2</v>
      </c>
      <c r="AF260" s="22"/>
      <c r="AG260" s="22"/>
      <c r="AH260" s="22"/>
      <c r="AI260" s="19" t="s">
        <v>50</v>
      </c>
      <c r="AJ260" s="22"/>
      <c r="AK260" s="22"/>
      <c r="AL260" s="30" t="s">
        <v>49</v>
      </c>
      <c r="AM260" s="22"/>
      <c r="AN260" s="22"/>
      <c r="AO260" s="22"/>
      <c r="AP260" s="22"/>
      <c r="AQ260" s="22"/>
      <c r="AR260" s="19" t="s">
        <v>50</v>
      </c>
      <c r="AS260" s="18"/>
      <c r="AT260" s="18"/>
      <c r="AU260" s="18"/>
      <c r="AV260" s="18"/>
      <c r="AW260" s="18"/>
      <c r="AX260" s="18"/>
      <c r="AY260" s="25" t="n">
        <v>3</v>
      </c>
      <c r="AZ260" s="18"/>
      <c r="BA260" s="18"/>
      <c r="BB260" s="18"/>
      <c r="BC260" s="18"/>
      <c r="BD260" s="18"/>
      <c r="BE260" s="22" t="n">
        <f aca="false">SUM(AS260:BD260)</f>
        <v>3</v>
      </c>
      <c r="BF260" s="23"/>
      <c r="BG260" s="31" t="s">
        <v>93</v>
      </c>
      <c r="BH260" s="18"/>
      <c r="BI260" s="18"/>
      <c r="BJ260" s="18"/>
      <c r="BK260" s="18"/>
      <c r="BL260" s="18"/>
      <c r="BM260" s="18"/>
      <c r="BN260" s="25" t="n">
        <v>1</v>
      </c>
      <c r="BO260" s="18"/>
      <c r="BP260" s="18"/>
      <c r="BQ260" s="18"/>
      <c r="BR260" s="18"/>
      <c r="BS260" s="18"/>
      <c r="BT260" s="22" t="n">
        <f aca="false">SUM(BH260:BS260)</f>
        <v>1</v>
      </c>
      <c r="BU260" s="26" t="n">
        <v>45902.375</v>
      </c>
      <c r="BV260" s="17" t="s">
        <v>89</v>
      </c>
      <c r="BW260" s="17" t="s">
        <v>44</v>
      </c>
      <c r="BX260" s="23" t="n">
        <f aca="false">IFERROR(R260/AE260,0)</f>
        <v>1644.45</v>
      </c>
      <c r="BY260" s="23" t="n">
        <f aca="false">IFERROR(R260/12,0)</f>
        <v>274.075</v>
      </c>
      <c r="BZ260" s="18" t="n">
        <v>109</v>
      </c>
      <c r="CA260" s="22" t="str">
        <f aca="false">IF(AE260=0,"PROSPECT",IF(AE260=1,"NOVO",IF(AE260&lt;=3,"EM DESENV.",IF(AE260&lt;=6,"RECORRENTE","FIDELIZADO"))))</f>
        <v>EM DESENV.</v>
      </c>
      <c r="CB260" s="22" t="n">
        <f aca="false">IF((P260+Q260)&gt;0,1,0)+IF((BR260+BS260)&gt;0,1,0)+IF(BE260&gt;0,1,0)</f>
        <v>1</v>
      </c>
    </row>
    <row r="261" customFormat="false" ht="15" hidden="false" customHeight="true" outlineLevel="0" collapsed="false">
      <c r="A261" s="16" t="s">
        <v>756</v>
      </c>
      <c r="B261" s="17" t="s">
        <v>757</v>
      </c>
      <c r="C261" s="18" t="s">
        <v>72</v>
      </c>
      <c r="D261" s="17" t="s">
        <v>493</v>
      </c>
      <c r="E261" s="29" t="s">
        <v>365</v>
      </c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1" t="n">
        <f aca="false">SUM(F261:Q261)</f>
        <v>0</v>
      </c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22" t="n">
        <f aca="false">SUM(S261:AD261)</f>
        <v>0</v>
      </c>
      <c r="AF261" s="22"/>
      <c r="AG261" s="22"/>
      <c r="AH261" s="22"/>
      <c r="AI261" s="22"/>
      <c r="AJ261" s="29" t="s">
        <v>48</v>
      </c>
      <c r="AK261" s="22"/>
      <c r="AL261" s="22"/>
      <c r="AM261" s="29" t="s">
        <v>48</v>
      </c>
      <c r="AN261" s="22"/>
      <c r="AO261" s="22"/>
      <c r="AP261" s="22"/>
      <c r="AQ261" s="22"/>
      <c r="AR261" s="30" t="s">
        <v>49</v>
      </c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22" t="n">
        <f aca="false">SUM(AS261:BD261)</f>
        <v>0</v>
      </c>
      <c r="BF261" s="23"/>
      <c r="BG261" s="24"/>
      <c r="BH261" s="18"/>
      <c r="BI261" s="18"/>
      <c r="BJ261" s="18"/>
      <c r="BK261" s="25" t="n">
        <v>1</v>
      </c>
      <c r="BL261" s="25" t="n">
        <v>3</v>
      </c>
      <c r="BM261" s="25" t="n">
        <v>1</v>
      </c>
      <c r="BN261" s="18"/>
      <c r="BO261" s="18"/>
      <c r="BP261" s="18"/>
      <c r="BQ261" s="18"/>
      <c r="BR261" s="18"/>
      <c r="BS261" s="18"/>
      <c r="BT261" s="22" t="n">
        <f aca="false">SUM(BH261:BS261)</f>
        <v>5</v>
      </c>
      <c r="BU261" s="26" t="n">
        <v>45898.4180555556</v>
      </c>
      <c r="BV261" s="17" t="s">
        <v>243</v>
      </c>
      <c r="BW261" s="17" t="s">
        <v>44</v>
      </c>
      <c r="BX261" s="23" t="n">
        <f aca="false">IFERROR(R261/AE261,0)</f>
        <v>0</v>
      </c>
      <c r="BY261" s="23" t="n">
        <f aca="false">IFERROR(R261/12,0)</f>
        <v>0</v>
      </c>
      <c r="BZ261" s="18" t="n">
        <v>90</v>
      </c>
      <c r="CA261" s="22" t="str">
        <f aca="false">IF(AE261=0,"PROSPECT",IF(AE261=1,"NOVO",IF(AE261&lt;=3,"EM DESENV.",IF(AE261&lt;=6,"RECORRENTE","FIDELIZADO"))))</f>
        <v>PROSPECT</v>
      </c>
      <c r="CB261" s="22" t="n">
        <f aca="false">IF((P261+Q261)&gt;0,1,0)+IF((BR261+BS261)&gt;0,1,0)+IF(BE261&gt;0,1,0)</f>
        <v>0</v>
      </c>
    </row>
    <row r="262" customFormat="false" ht="15" hidden="false" customHeight="true" outlineLevel="0" collapsed="false">
      <c r="A262" s="16" t="s">
        <v>758</v>
      </c>
      <c r="B262" s="17" t="s">
        <v>757</v>
      </c>
      <c r="C262" s="18" t="s">
        <v>72</v>
      </c>
      <c r="D262" s="17" t="s">
        <v>493</v>
      </c>
      <c r="E262" s="29" t="s">
        <v>365</v>
      </c>
      <c r="F262" s="20"/>
      <c r="G262" s="20"/>
      <c r="H262" s="20"/>
      <c r="I262" s="27" t="n">
        <v>1445.07</v>
      </c>
      <c r="J262" s="27" t="n">
        <v>2126.66</v>
      </c>
      <c r="K262" s="20"/>
      <c r="L262" s="20"/>
      <c r="M262" s="27" t="n">
        <v>1411.25</v>
      </c>
      <c r="N262" s="20"/>
      <c r="O262" s="20"/>
      <c r="P262" s="20"/>
      <c r="Q262" s="20"/>
      <c r="R262" s="21" t="n">
        <f aca="false">SUM(F262:Q262)</f>
        <v>4982.98</v>
      </c>
      <c r="S262" s="18"/>
      <c r="T262" s="18"/>
      <c r="U262" s="18"/>
      <c r="V262" s="28" t="n">
        <v>1</v>
      </c>
      <c r="W262" s="28" t="n">
        <v>1</v>
      </c>
      <c r="X262" s="18"/>
      <c r="Y262" s="18"/>
      <c r="Z262" s="28" t="n">
        <v>1</v>
      </c>
      <c r="AA262" s="18"/>
      <c r="AB262" s="18"/>
      <c r="AC262" s="18"/>
      <c r="AD262" s="18"/>
      <c r="AE262" s="22" t="n">
        <f aca="false">SUM(S262:AD262)</f>
        <v>3</v>
      </c>
      <c r="AF262" s="22"/>
      <c r="AG262" s="22"/>
      <c r="AH262" s="22"/>
      <c r="AI262" s="19" t="s">
        <v>50</v>
      </c>
      <c r="AJ262" s="19" t="s">
        <v>50</v>
      </c>
      <c r="AK262" s="22"/>
      <c r="AL262" s="22"/>
      <c r="AM262" s="29" t="s">
        <v>48</v>
      </c>
      <c r="AN262" s="22"/>
      <c r="AO262" s="22"/>
      <c r="AP262" s="22"/>
      <c r="AQ262" s="22"/>
      <c r="AR262" s="19" t="s">
        <v>50</v>
      </c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22" t="n">
        <f aca="false">SUM(AS262:BD262)</f>
        <v>0</v>
      </c>
      <c r="BF262" s="23"/>
      <c r="BG262" s="24"/>
      <c r="BH262" s="18"/>
      <c r="BI262" s="18"/>
      <c r="BJ262" s="18"/>
      <c r="BK262" s="25" t="n">
        <v>1</v>
      </c>
      <c r="BL262" s="18"/>
      <c r="BM262" s="18"/>
      <c r="BN262" s="18"/>
      <c r="BO262" s="18"/>
      <c r="BP262" s="18"/>
      <c r="BQ262" s="18"/>
      <c r="BR262" s="18"/>
      <c r="BS262" s="18"/>
      <c r="BT262" s="22" t="n">
        <f aca="false">SUM(BH262:BS262)</f>
        <v>1</v>
      </c>
      <c r="BU262" s="26" t="n">
        <v>45813.7555555556</v>
      </c>
      <c r="BV262" s="17" t="s">
        <v>243</v>
      </c>
      <c r="BW262" s="17" t="s">
        <v>44</v>
      </c>
      <c r="BX262" s="23" t="n">
        <f aca="false">IFERROR(R262/AE262,0)</f>
        <v>1660.99333333333</v>
      </c>
      <c r="BY262" s="23" t="n">
        <f aca="false">IFERROR(R262/12,0)</f>
        <v>415.248333333333</v>
      </c>
      <c r="BZ262" s="18" t="n">
        <v>41.6667</v>
      </c>
      <c r="CA262" s="22" t="str">
        <f aca="false">IF(AE262=0,"PROSPECT",IF(AE262=1,"NOVO",IF(AE262&lt;=3,"EM DESENV.",IF(AE262&lt;=6,"RECORRENTE","FIDELIZADO"))))</f>
        <v>EM DESENV.</v>
      </c>
      <c r="CB262" s="22" t="n">
        <f aca="false">IF((P262+Q262)&gt;0,1,0)+IF((BR262+BS262)&gt;0,1,0)+IF(BE262&gt;0,1,0)</f>
        <v>0</v>
      </c>
    </row>
    <row r="263" customFormat="false" ht="15" hidden="false" customHeight="true" outlineLevel="0" collapsed="false">
      <c r="A263" s="16" t="s">
        <v>759</v>
      </c>
      <c r="B263" s="17" t="s">
        <v>760</v>
      </c>
      <c r="C263" s="18" t="s">
        <v>61</v>
      </c>
      <c r="D263" s="17" t="s">
        <v>237</v>
      </c>
      <c r="E263" s="29" t="s">
        <v>365</v>
      </c>
      <c r="F263" s="20"/>
      <c r="G263" s="20"/>
      <c r="H263" s="27" t="n">
        <v>693</v>
      </c>
      <c r="I263" s="27" t="n">
        <v>2345.4</v>
      </c>
      <c r="J263" s="20"/>
      <c r="K263" s="27" t="n">
        <v>1566.56</v>
      </c>
      <c r="L263" s="27" t="n">
        <v>1304.15</v>
      </c>
      <c r="M263" s="20"/>
      <c r="N263" s="20"/>
      <c r="O263" s="20"/>
      <c r="P263" s="20"/>
      <c r="Q263" s="20"/>
      <c r="R263" s="21" t="n">
        <f aca="false">SUM(F263:Q263)</f>
        <v>5909.11</v>
      </c>
      <c r="S263" s="18"/>
      <c r="T263" s="18"/>
      <c r="U263" s="28" t="n">
        <v>1</v>
      </c>
      <c r="V263" s="28" t="n">
        <v>1</v>
      </c>
      <c r="W263" s="18"/>
      <c r="X263" s="28" t="n">
        <v>1</v>
      </c>
      <c r="Y263" s="28" t="n">
        <v>1</v>
      </c>
      <c r="Z263" s="18"/>
      <c r="AA263" s="18"/>
      <c r="AB263" s="18"/>
      <c r="AC263" s="18"/>
      <c r="AD263" s="18"/>
      <c r="AE263" s="22" t="n">
        <f aca="false">SUM(S263:AD263)</f>
        <v>4</v>
      </c>
      <c r="AF263" s="22"/>
      <c r="AG263" s="22"/>
      <c r="AH263" s="30" t="s">
        <v>49</v>
      </c>
      <c r="AI263" s="19" t="s">
        <v>50</v>
      </c>
      <c r="AJ263" s="22"/>
      <c r="AK263" s="19" t="s">
        <v>50</v>
      </c>
      <c r="AL263" s="30" t="s">
        <v>49</v>
      </c>
      <c r="AM263" s="22"/>
      <c r="AN263" s="22"/>
      <c r="AO263" s="22"/>
      <c r="AP263" s="22"/>
      <c r="AQ263" s="22"/>
      <c r="AR263" s="19" t="s">
        <v>50</v>
      </c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22" t="n">
        <f aca="false">SUM(AS263:BD263)</f>
        <v>0</v>
      </c>
      <c r="BF263" s="23"/>
      <c r="BG263" s="24"/>
      <c r="BH263" s="25" t="n">
        <v>1</v>
      </c>
      <c r="BI263" s="18"/>
      <c r="BJ263" s="25" t="n">
        <v>1</v>
      </c>
      <c r="BK263" s="25" t="n">
        <v>3</v>
      </c>
      <c r="BL263" s="25" t="n">
        <v>3</v>
      </c>
      <c r="BM263" s="25" t="n">
        <v>2</v>
      </c>
      <c r="BN263" s="18"/>
      <c r="BO263" s="18"/>
      <c r="BP263" s="25" t="n">
        <v>1</v>
      </c>
      <c r="BQ263" s="18"/>
      <c r="BR263" s="18"/>
      <c r="BS263" s="18"/>
      <c r="BT263" s="22" t="n">
        <f aca="false">SUM(BH263:BS263)</f>
        <v>11</v>
      </c>
      <c r="BU263" s="26" t="n">
        <v>45971.5339467593</v>
      </c>
      <c r="BV263" s="17"/>
      <c r="BW263" s="17" t="s">
        <v>44</v>
      </c>
      <c r="BX263" s="23" t="n">
        <f aca="false">IFERROR(R263/AE263,0)</f>
        <v>1477.2775</v>
      </c>
      <c r="BY263" s="23" t="n">
        <f aca="false">IFERROR(R263/12,0)</f>
        <v>492.425833333333</v>
      </c>
      <c r="BZ263" s="18" t="n">
        <v>44.3333</v>
      </c>
      <c r="CA263" s="22" t="str">
        <f aca="false">IF(AE263=0,"PROSPECT",IF(AE263=1,"NOVO",IF(AE263&lt;=3,"EM DESENV.",IF(AE263&lt;=6,"RECORRENTE","FIDELIZADO"))))</f>
        <v>RECORRENTE</v>
      </c>
      <c r="CB263" s="22" t="n">
        <f aca="false">IF((P263+Q263)&gt;0,1,0)+IF((BR263+BS263)&gt;0,1,0)+IF(BE263&gt;0,1,0)</f>
        <v>0</v>
      </c>
    </row>
    <row r="264" customFormat="false" ht="15" hidden="false" customHeight="true" outlineLevel="0" collapsed="false">
      <c r="A264" s="16" t="s">
        <v>761</v>
      </c>
      <c r="B264" s="17" t="s">
        <v>762</v>
      </c>
      <c r="C264" s="18" t="s">
        <v>41</v>
      </c>
      <c r="D264" s="17" t="s">
        <v>763</v>
      </c>
      <c r="E264" s="29" t="s">
        <v>365</v>
      </c>
      <c r="F264" s="20"/>
      <c r="G264" s="20"/>
      <c r="H264" s="20"/>
      <c r="I264" s="27" t="n">
        <v>868.99</v>
      </c>
      <c r="J264" s="27" t="n">
        <v>720.13</v>
      </c>
      <c r="K264" s="20"/>
      <c r="L264" s="20"/>
      <c r="M264" s="20"/>
      <c r="N264" s="27" t="n">
        <v>585.55</v>
      </c>
      <c r="O264" s="20"/>
      <c r="P264" s="20"/>
      <c r="Q264" s="20"/>
      <c r="R264" s="21" t="n">
        <f aca="false">SUM(F264:Q264)</f>
        <v>2174.67</v>
      </c>
      <c r="S264" s="18"/>
      <c r="T264" s="18"/>
      <c r="U264" s="18"/>
      <c r="V264" s="28" t="n">
        <v>1</v>
      </c>
      <c r="W264" s="28" t="n">
        <v>1</v>
      </c>
      <c r="X264" s="18"/>
      <c r="Y264" s="18"/>
      <c r="Z264" s="18"/>
      <c r="AA264" s="28" t="n">
        <v>1</v>
      </c>
      <c r="AB264" s="18"/>
      <c r="AC264" s="18"/>
      <c r="AD264" s="18"/>
      <c r="AE264" s="22" t="n">
        <f aca="false">SUM(S264:AD264)</f>
        <v>3</v>
      </c>
      <c r="AF264" s="22"/>
      <c r="AG264" s="22"/>
      <c r="AH264" s="22"/>
      <c r="AI264" s="30" t="s">
        <v>49</v>
      </c>
      <c r="AJ264" s="29" t="s">
        <v>48</v>
      </c>
      <c r="AK264" s="22"/>
      <c r="AL264" s="22"/>
      <c r="AM264" s="22"/>
      <c r="AN264" s="29" t="s">
        <v>48</v>
      </c>
      <c r="AO264" s="22"/>
      <c r="AP264" s="22"/>
      <c r="AQ264" s="22"/>
      <c r="AR264" s="30" t="s">
        <v>49</v>
      </c>
      <c r="AS264" s="18"/>
      <c r="AT264" s="18"/>
      <c r="AU264" s="18"/>
      <c r="AV264" s="25" t="n">
        <v>15</v>
      </c>
      <c r="AW264" s="18"/>
      <c r="AX264" s="18"/>
      <c r="AY264" s="18"/>
      <c r="AZ264" s="18"/>
      <c r="BA264" s="25" t="n">
        <v>20</v>
      </c>
      <c r="BB264" s="18"/>
      <c r="BC264" s="18"/>
      <c r="BD264" s="18"/>
      <c r="BE264" s="22" t="n">
        <f aca="false">SUM(AS264:BD264)</f>
        <v>35</v>
      </c>
      <c r="BF264" s="23" t="n">
        <v>1454.54</v>
      </c>
      <c r="BG264" s="19" t="s">
        <v>55</v>
      </c>
      <c r="BH264" s="18"/>
      <c r="BI264" s="18"/>
      <c r="BJ264" s="18"/>
      <c r="BK264" s="25" t="n">
        <v>1</v>
      </c>
      <c r="BL264" s="25" t="n">
        <v>1</v>
      </c>
      <c r="BM264" s="18"/>
      <c r="BN264" s="18"/>
      <c r="BO264" s="25" t="n">
        <v>1</v>
      </c>
      <c r="BP264" s="25" t="n">
        <v>1</v>
      </c>
      <c r="BQ264" s="18"/>
      <c r="BR264" s="18"/>
      <c r="BS264" s="25" t="n">
        <v>3</v>
      </c>
      <c r="BT264" s="22" t="n">
        <f aca="false">SUM(BH264:BS264)</f>
        <v>7</v>
      </c>
      <c r="BU264" s="26" t="n">
        <v>46056.7208333333</v>
      </c>
      <c r="BV264" s="17"/>
      <c r="BW264" s="17" t="s">
        <v>44</v>
      </c>
      <c r="BX264" s="23" t="n">
        <f aca="false">IFERROR(R264/AE264,0)</f>
        <v>724.89</v>
      </c>
      <c r="BY264" s="23" t="n">
        <f aca="false">IFERROR(R264/12,0)</f>
        <v>181.2225</v>
      </c>
      <c r="BZ264" s="18" t="n">
        <v>73.5</v>
      </c>
      <c r="CA264" s="22" t="str">
        <f aca="false">IF(AE264=0,"PROSPECT",IF(AE264=1,"NOVO",IF(AE264&lt;=3,"EM DESENV.",IF(AE264&lt;=6,"RECORRENTE","FIDELIZADO"))))</f>
        <v>EM DESENV.</v>
      </c>
      <c r="CB264" s="22" t="n">
        <f aca="false">IF((P264+Q264)&gt;0,1,0)+IF((BR264+BS264)&gt;0,1,0)+IF(BE264&gt;0,1,0)</f>
        <v>2</v>
      </c>
    </row>
    <row r="265" customFormat="false" ht="15" hidden="false" customHeight="true" outlineLevel="0" collapsed="false">
      <c r="A265" s="16" t="s">
        <v>764</v>
      </c>
      <c r="B265" s="17" t="s">
        <v>765</v>
      </c>
      <c r="C265" s="18" t="s">
        <v>72</v>
      </c>
      <c r="D265" s="17" t="s">
        <v>73</v>
      </c>
      <c r="E265" s="29" t="s">
        <v>365</v>
      </c>
      <c r="F265" s="20"/>
      <c r="G265" s="20"/>
      <c r="H265" s="20"/>
      <c r="I265" s="20"/>
      <c r="J265" s="20"/>
      <c r="K265" s="20"/>
      <c r="L265" s="20"/>
      <c r="M265" s="20"/>
      <c r="N265" s="27" t="n">
        <v>665.51</v>
      </c>
      <c r="O265" s="20"/>
      <c r="P265" s="20"/>
      <c r="Q265" s="20"/>
      <c r="R265" s="21" t="n">
        <f aca="false">SUM(F265:Q265)</f>
        <v>665.51</v>
      </c>
      <c r="S265" s="18"/>
      <c r="T265" s="18"/>
      <c r="U265" s="18"/>
      <c r="V265" s="18"/>
      <c r="W265" s="18"/>
      <c r="X265" s="18"/>
      <c r="Y265" s="18"/>
      <c r="Z265" s="18"/>
      <c r="AA265" s="28" t="n">
        <v>1</v>
      </c>
      <c r="AB265" s="18"/>
      <c r="AC265" s="18"/>
      <c r="AD265" s="18"/>
      <c r="AE265" s="22" t="n">
        <f aca="false">SUM(S265:AD265)</f>
        <v>1</v>
      </c>
      <c r="AF265" s="22"/>
      <c r="AG265" s="22"/>
      <c r="AH265" s="22"/>
      <c r="AI265" s="22"/>
      <c r="AJ265" s="22"/>
      <c r="AK265" s="22"/>
      <c r="AL265" s="22"/>
      <c r="AM265" s="22"/>
      <c r="AN265" s="29" t="s">
        <v>48</v>
      </c>
      <c r="AO265" s="22"/>
      <c r="AP265" s="22"/>
      <c r="AQ265" s="22"/>
      <c r="AR265" s="29" t="s">
        <v>48</v>
      </c>
      <c r="AS265" s="18"/>
      <c r="AT265" s="18"/>
      <c r="AU265" s="18"/>
      <c r="AV265" s="18"/>
      <c r="AW265" s="18"/>
      <c r="AX265" s="18"/>
      <c r="AY265" s="18"/>
      <c r="AZ265" s="18"/>
      <c r="BA265" s="25" t="n">
        <v>1</v>
      </c>
      <c r="BB265" s="18"/>
      <c r="BC265" s="18"/>
      <c r="BD265" s="18"/>
      <c r="BE265" s="22" t="n">
        <f aca="false">SUM(AS265:BD265)</f>
        <v>1</v>
      </c>
      <c r="BF265" s="23" t="n">
        <v>665.51</v>
      </c>
      <c r="BG265" s="19" t="s">
        <v>55</v>
      </c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25" t="n">
        <v>1</v>
      </c>
      <c r="BS265" s="18"/>
      <c r="BT265" s="22" t="n">
        <f aca="false">SUM(BH265:BS265)</f>
        <v>1</v>
      </c>
      <c r="BU265" s="26" t="n">
        <v>46043.4847222222</v>
      </c>
      <c r="BV265" s="17"/>
      <c r="BW265" s="17" t="s">
        <v>117</v>
      </c>
      <c r="BX265" s="23" t="n">
        <f aca="false">IFERROR(R265/AE265,0)</f>
        <v>665.51</v>
      </c>
      <c r="BY265" s="23" t="n">
        <f aca="false">IFERROR(R265/12,0)</f>
        <v>55.4591666666667</v>
      </c>
      <c r="BZ265" s="18" t="n">
        <v>0</v>
      </c>
      <c r="CA265" s="22" t="str">
        <f aca="false">IF(AE265=0,"PROSPECT",IF(AE265=1,"NOVO",IF(AE265&lt;=3,"EM DESENV.",IF(AE265&lt;=6,"RECORRENTE","FIDELIZADO"))))</f>
        <v>NOVO</v>
      </c>
      <c r="CB265" s="22" t="n">
        <f aca="false">IF((P265+Q265)&gt;0,1,0)+IF((BR265+BS265)&gt;0,1,0)+IF(BE265&gt;0,1,0)</f>
        <v>2</v>
      </c>
    </row>
    <row r="266" customFormat="false" ht="15" hidden="false" customHeight="true" outlineLevel="0" collapsed="false">
      <c r="A266" s="16" t="s">
        <v>766</v>
      </c>
      <c r="B266" s="17" t="s">
        <v>767</v>
      </c>
      <c r="C266" s="18" t="s">
        <v>61</v>
      </c>
      <c r="D266" s="17" t="s">
        <v>768</v>
      </c>
      <c r="E266" s="29" t="s">
        <v>365</v>
      </c>
      <c r="F266" s="20"/>
      <c r="G266" s="20"/>
      <c r="H266" s="20"/>
      <c r="I266" s="27" t="n">
        <v>753.19</v>
      </c>
      <c r="J266" s="20"/>
      <c r="K266" s="20"/>
      <c r="L266" s="20"/>
      <c r="M266" s="20"/>
      <c r="N266" s="20"/>
      <c r="O266" s="20"/>
      <c r="P266" s="20"/>
      <c r="Q266" s="20"/>
      <c r="R266" s="21" t="n">
        <f aca="false">SUM(F266:Q266)</f>
        <v>753.19</v>
      </c>
      <c r="S266" s="18"/>
      <c r="T266" s="18"/>
      <c r="U266" s="18"/>
      <c r="V266" s="28" t="n">
        <v>1</v>
      </c>
      <c r="W266" s="18"/>
      <c r="X266" s="18"/>
      <c r="Y266" s="18"/>
      <c r="Z266" s="18"/>
      <c r="AA266" s="18"/>
      <c r="AB266" s="18"/>
      <c r="AC266" s="18"/>
      <c r="AD266" s="18"/>
      <c r="AE266" s="22" t="n">
        <f aca="false">SUM(S266:AD266)</f>
        <v>1</v>
      </c>
      <c r="AF266" s="22"/>
      <c r="AG266" s="22"/>
      <c r="AH266" s="22"/>
      <c r="AI266" s="29" t="s">
        <v>48</v>
      </c>
      <c r="AJ266" s="22"/>
      <c r="AK266" s="22"/>
      <c r="AL266" s="22"/>
      <c r="AM266" s="22"/>
      <c r="AN266" s="22"/>
      <c r="AO266" s="22"/>
      <c r="AP266" s="22"/>
      <c r="AQ266" s="22"/>
      <c r="AR266" s="29" t="s">
        <v>48</v>
      </c>
      <c r="AS266" s="18"/>
      <c r="AT266" s="18"/>
      <c r="AU266" s="18"/>
      <c r="AV266" s="25" t="n">
        <v>9</v>
      </c>
      <c r="AW266" s="25" t="n">
        <v>8</v>
      </c>
      <c r="AX266" s="25" t="n">
        <v>16</v>
      </c>
      <c r="AY266" s="18"/>
      <c r="AZ266" s="18"/>
      <c r="BA266" s="25" t="n">
        <v>2</v>
      </c>
      <c r="BB266" s="18"/>
      <c r="BC266" s="18"/>
      <c r="BD266" s="25" t="n">
        <v>2</v>
      </c>
      <c r="BE266" s="22" t="n">
        <f aca="false">SUM(AS266:BD266)</f>
        <v>37</v>
      </c>
      <c r="BF266" s="23" t="n">
        <v>753.19</v>
      </c>
      <c r="BG266" s="19" t="s">
        <v>55</v>
      </c>
      <c r="BH266" s="18"/>
      <c r="BI266" s="18"/>
      <c r="BJ266" s="25" t="n">
        <v>3</v>
      </c>
      <c r="BK266" s="18"/>
      <c r="BL266" s="25" t="n">
        <v>2</v>
      </c>
      <c r="BM266" s="18"/>
      <c r="BN266" s="18"/>
      <c r="BO266" s="25" t="n">
        <v>1</v>
      </c>
      <c r="BP266" s="25" t="n">
        <v>2</v>
      </c>
      <c r="BQ266" s="18"/>
      <c r="BR266" s="18"/>
      <c r="BS266" s="18"/>
      <c r="BT266" s="22" t="n">
        <f aca="false">SUM(BH266:BS266)</f>
        <v>8</v>
      </c>
      <c r="BU266" s="26" t="n">
        <v>45987.5659722222</v>
      </c>
      <c r="BV266" s="17"/>
      <c r="BW266" s="17" t="s">
        <v>44</v>
      </c>
      <c r="BX266" s="23" t="n">
        <f aca="false">IFERROR(R266/AE266,0)</f>
        <v>753.19</v>
      </c>
      <c r="BY266" s="23" t="n">
        <f aca="false">IFERROR(R266/12,0)</f>
        <v>62.7658333333333</v>
      </c>
      <c r="BZ266" s="18" t="n">
        <v>0</v>
      </c>
      <c r="CA266" s="22" t="str">
        <f aca="false">IF(AE266=0,"PROSPECT",IF(AE266=1,"NOVO",IF(AE266&lt;=3,"EM DESENV.",IF(AE266&lt;=6,"RECORRENTE","FIDELIZADO"))))</f>
        <v>NOVO</v>
      </c>
      <c r="CB266" s="22" t="n">
        <f aca="false">IF((P266+Q266)&gt;0,1,0)+IF((BR266+BS266)&gt;0,1,0)+IF(BE266&gt;0,1,0)</f>
        <v>1</v>
      </c>
    </row>
    <row r="267" customFormat="false" ht="15" hidden="false" customHeight="true" outlineLevel="0" collapsed="false">
      <c r="A267" s="16" t="s">
        <v>769</v>
      </c>
      <c r="B267" s="17" t="s">
        <v>770</v>
      </c>
      <c r="C267" s="18" t="s">
        <v>727</v>
      </c>
      <c r="D267" s="17" t="s">
        <v>771</v>
      </c>
      <c r="E267" s="29" t="s">
        <v>365</v>
      </c>
      <c r="F267" s="20"/>
      <c r="G267" s="20"/>
      <c r="H267" s="20"/>
      <c r="I267" s="20"/>
      <c r="J267" s="27" t="n">
        <v>4632.41</v>
      </c>
      <c r="K267" s="20"/>
      <c r="L267" s="20"/>
      <c r="M267" s="20"/>
      <c r="N267" s="20"/>
      <c r="O267" s="20"/>
      <c r="P267" s="20"/>
      <c r="Q267" s="20"/>
      <c r="R267" s="21" t="n">
        <f aca="false">SUM(F267:Q267)</f>
        <v>4632.41</v>
      </c>
      <c r="S267" s="18"/>
      <c r="T267" s="18"/>
      <c r="U267" s="18"/>
      <c r="V267" s="18"/>
      <c r="W267" s="28" t="n">
        <v>1</v>
      </c>
      <c r="X267" s="18"/>
      <c r="Y267" s="18"/>
      <c r="Z267" s="18"/>
      <c r="AA267" s="18"/>
      <c r="AB267" s="18"/>
      <c r="AC267" s="18"/>
      <c r="AD267" s="18"/>
      <c r="AE267" s="22" t="n">
        <f aca="false">SUM(S267:AD267)</f>
        <v>1</v>
      </c>
      <c r="AF267" s="22"/>
      <c r="AG267" s="22"/>
      <c r="AH267" s="22"/>
      <c r="AI267" s="22"/>
      <c r="AJ267" s="19" t="s">
        <v>50</v>
      </c>
      <c r="AK267" s="22"/>
      <c r="AL267" s="22"/>
      <c r="AM267" s="22"/>
      <c r="AN267" s="22"/>
      <c r="AO267" s="22"/>
      <c r="AP267" s="22"/>
      <c r="AQ267" s="22"/>
      <c r="AR267" s="19" t="s">
        <v>50</v>
      </c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22" t="n">
        <f aca="false">SUM(AS267:BD267)</f>
        <v>0</v>
      </c>
      <c r="BF267" s="23"/>
      <c r="BG267" s="24"/>
      <c r="BH267" s="18"/>
      <c r="BI267" s="18"/>
      <c r="BJ267" s="18"/>
      <c r="BK267" s="18"/>
      <c r="BL267" s="25" t="n">
        <v>1</v>
      </c>
      <c r="BM267" s="18"/>
      <c r="BN267" s="18"/>
      <c r="BO267" s="18"/>
      <c r="BP267" s="18"/>
      <c r="BQ267" s="18"/>
      <c r="BR267" s="25" t="n">
        <v>1</v>
      </c>
      <c r="BS267" s="18"/>
      <c r="BT267" s="22" t="n">
        <f aca="false">SUM(BH267:BS267)</f>
        <v>2</v>
      </c>
      <c r="BU267" s="26" t="n">
        <v>46036.6347222222</v>
      </c>
      <c r="BV267" s="17" t="s">
        <v>378</v>
      </c>
      <c r="BW267" s="17" t="s">
        <v>44</v>
      </c>
      <c r="BX267" s="23" t="n">
        <f aca="false">IFERROR(R267/AE267,0)</f>
        <v>4632.41</v>
      </c>
      <c r="BY267" s="23" t="n">
        <f aca="false">IFERROR(R267/12,0)</f>
        <v>386.034166666667</v>
      </c>
      <c r="BZ267" s="18" t="n">
        <v>0</v>
      </c>
      <c r="CA267" s="22" t="str">
        <f aca="false">IF(AE267=0,"PROSPECT",IF(AE267=1,"NOVO",IF(AE267&lt;=3,"EM DESENV.",IF(AE267&lt;=6,"RECORRENTE","FIDELIZADO"))))</f>
        <v>NOVO</v>
      </c>
      <c r="CB267" s="22" t="n">
        <f aca="false">IF((P267+Q267)&gt;0,1,0)+IF((BR267+BS267)&gt;0,1,0)+IF(BE267&gt;0,1,0)</f>
        <v>1</v>
      </c>
    </row>
    <row r="268" customFormat="false" ht="15" hidden="false" customHeight="true" outlineLevel="0" collapsed="false">
      <c r="A268" s="16" t="s">
        <v>772</v>
      </c>
      <c r="B268" s="17" t="s">
        <v>773</v>
      </c>
      <c r="C268" s="18" t="s">
        <v>61</v>
      </c>
      <c r="D268" s="17" t="s">
        <v>100</v>
      </c>
      <c r="E268" s="29" t="s">
        <v>365</v>
      </c>
      <c r="F268" s="20"/>
      <c r="G268" s="20"/>
      <c r="H268" s="20"/>
      <c r="I268" s="27" t="n">
        <v>1765.7</v>
      </c>
      <c r="J268" s="20"/>
      <c r="K268" s="27" t="n">
        <v>2303.38</v>
      </c>
      <c r="L268" s="20"/>
      <c r="M268" s="20"/>
      <c r="N268" s="27" t="n">
        <v>1681.06</v>
      </c>
      <c r="O268" s="20"/>
      <c r="P268" s="20"/>
      <c r="Q268" s="20"/>
      <c r="R268" s="21" t="n">
        <f aca="false">SUM(F268:Q268)</f>
        <v>5750.14</v>
      </c>
      <c r="S268" s="18"/>
      <c r="T268" s="18"/>
      <c r="U268" s="18"/>
      <c r="V268" s="28" t="n">
        <v>1</v>
      </c>
      <c r="W268" s="18"/>
      <c r="X268" s="28" t="n">
        <v>1</v>
      </c>
      <c r="Y268" s="18"/>
      <c r="Z268" s="18"/>
      <c r="AA268" s="28" t="n">
        <v>1</v>
      </c>
      <c r="AB268" s="18"/>
      <c r="AC268" s="18"/>
      <c r="AD268" s="18"/>
      <c r="AE268" s="22" t="n">
        <f aca="false">SUM(S268:AD268)</f>
        <v>3</v>
      </c>
      <c r="AF268" s="22"/>
      <c r="AG268" s="22"/>
      <c r="AH268" s="22"/>
      <c r="AI268" s="19" t="s">
        <v>50</v>
      </c>
      <c r="AJ268" s="22"/>
      <c r="AK268" s="19" t="s">
        <v>50</v>
      </c>
      <c r="AL268" s="22"/>
      <c r="AM268" s="22"/>
      <c r="AN268" s="19" t="s">
        <v>50</v>
      </c>
      <c r="AO268" s="22"/>
      <c r="AP268" s="22"/>
      <c r="AQ268" s="22"/>
      <c r="AR268" s="19" t="s">
        <v>50</v>
      </c>
      <c r="AS268" s="18"/>
      <c r="AT268" s="18"/>
      <c r="AU268" s="18"/>
      <c r="AV268" s="18"/>
      <c r="AW268" s="18"/>
      <c r="AX268" s="25" t="n">
        <v>8</v>
      </c>
      <c r="AY268" s="25" t="n">
        <v>2</v>
      </c>
      <c r="AZ268" s="18"/>
      <c r="BA268" s="25" t="n">
        <v>1</v>
      </c>
      <c r="BB268" s="18"/>
      <c r="BC268" s="18"/>
      <c r="BD268" s="18"/>
      <c r="BE268" s="22" t="n">
        <f aca="false">SUM(AS268:BD268)</f>
        <v>11</v>
      </c>
      <c r="BF268" s="23" t="n">
        <v>2303.38</v>
      </c>
      <c r="BG268" s="19" t="s">
        <v>55</v>
      </c>
      <c r="BH268" s="18"/>
      <c r="BI268" s="18"/>
      <c r="BJ268" s="25" t="n">
        <v>2</v>
      </c>
      <c r="BK268" s="25" t="n">
        <v>4</v>
      </c>
      <c r="BL268" s="25" t="n">
        <v>1</v>
      </c>
      <c r="BM268" s="25" t="n">
        <v>1</v>
      </c>
      <c r="BN268" s="18"/>
      <c r="BO268" s="25" t="n">
        <v>1</v>
      </c>
      <c r="BP268" s="18"/>
      <c r="BQ268" s="18"/>
      <c r="BR268" s="18"/>
      <c r="BS268" s="18"/>
      <c r="BT268" s="22" t="n">
        <f aca="false">SUM(BH268:BS268)</f>
        <v>9</v>
      </c>
      <c r="BU268" s="26" t="n">
        <v>45951.4259375</v>
      </c>
      <c r="BV268" s="17"/>
      <c r="BW268" s="17" t="s">
        <v>44</v>
      </c>
      <c r="BX268" s="23" t="n">
        <f aca="false">IFERROR(R268/AE268,0)</f>
        <v>1916.71333333333</v>
      </c>
      <c r="BY268" s="23" t="n">
        <f aca="false">IFERROR(R268/12,0)</f>
        <v>479.178333333333</v>
      </c>
      <c r="BZ268" s="18" t="n">
        <v>86</v>
      </c>
      <c r="CA268" s="22" t="str">
        <f aca="false">IF(AE268=0,"PROSPECT",IF(AE268=1,"NOVO",IF(AE268&lt;=3,"EM DESENV.",IF(AE268&lt;=6,"RECORRENTE","FIDELIZADO"))))</f>
        <v>EM DESENV.</v>
      </c>
      <c r="CB268" s="22" t="n">
        <f aca="false">IF((P268+Q268)&gt;0,1,0)+IF((BR268+BS268)&gt;0,1,0)+IF(BE268&gt;0,1,0)</f>
        <v>1</v>
      </c>
    </row>
    <row r="269" customFormat="false" ht="15" hidden="false" customHeight="true" outlineLevel="0" collapsed="false">
      <c r="A269" s="16" t="s">
        <v>774</v>
      </c>
      <c r="B269" s="17" t="s">
        <v>775</v>
      </c>
      <c r="C269" s="18" t="s">
        <v>61</v>
      </c>
      <c r="D269" s="17" t="s">
        <v>137</v>
      </c>
      <c r="E269" s="29" t="s">
        <v>365</v>
      </c>
      <c r="F269" s="20"/>
      <c r="G269" s="20"/>
      <c r="H269" s="20"/>
      <c r="I269" s="27" t="n">
        <v>2643.25</v>
      </c>
      <c r="J269" s="27" t="n">
        <v>3899.13</v>
      </c>
      <c r="K269" s="20"/>
      <c r="L269" s="20"/>
      <c r="M269" s="27" t="n">
        <v>1886.58</v>
      </c>
      <c r="N269" s="27" t="n">
        <v>1753.02</v>
      </c>
      <c r="O269" s="20"/>
      <c r="P269" s="20"/>
      <c r="Q269" s="20"/>
      <c r="R269" s="21" t="n">
        <f aca="false">SUM(F269:Q269)</f>
        <v>10181.98</v>
      </c>
      <c r="S269" s="18"/>
      <c r="T269" s="18"/>
      <c r="U269" s="18"/>
      <c r="V269" s="28" t="n">
        <v>1</v>
      </c>
      <c r="W269" s="28" t="n">
        <v>1</v>
      </c>
      <c r="X269" s="18"/>
      <c r="Y269" s="18"/>
      <c r="Z269" s="28" t="n">
        <v>1</v>
      </c>
      <c r="AA269" s="28" t="n">
        <v>1</v>
      </c>
      <c r="AB269" s="18"/>
      <c r="AC269" s="18"/>
      <c r="AD269" s="18"/>
      <c r="AE269" s="22" t="n">
        <f aca="false">SUM(S269:AD269)</f>
        <v>4</v>
      </c>
      <c r="AF269" s="22"/>
      <c r="AG269" s="22"/>
      <c r="AH269" s="22"/>
      <c r="AI269" s="19" t="s">
        <v>50</v>
      </c>
      <c r="AJ269" s="19" t="s">
        <v>50</v>
      </c>
      <c r="AK269" s="22"/>
      <c r="AL269" s="22"/>
      <c r="AM269" s="19" t="s">
        <v>50</v>
      </c>
      <c r="AN269" s="19" t="s">
        <v>50</v>
      </c>
      <c r="AO269" s="22"/>
      <c r="AP269" s="22"/>
      <c r="AQ269" s="22"/>
      <c r="AR269" s="19" t="s">
        <v>50</v>
      </c>
      <c r="AS269" s="18"/>
      <c r="AT269" s="18"/>
      <c r="AU269" s="18"/>
      <c r="AV269" s="25" t="n">
        <v>12</v>
      </c>
      <c r="AW269" s="18"/>
      <c r="AX269" s="18"/>
      <c r="AY269" s="25" t="n">
        <v>3</v>
      </c>
      <c r="AZ269" s="18"/>
      <c r="BA269" s="25" t="n">
        <v>2</v>
      </c>
      <c r="BB269" s="25" t="n">
        <v>4</v>
      </c>
      <c r="BC269" s="18"/>
      <c r="BD269" s="18"/>
      <c r="BE269" s="22" t="n">
        <f aca="false">SUM(AS269:BD269)</f>
        <v>21</v>
      </c>
      <c r="BF269" s="23" t="n">
        <v>4396.27</v>
      </c>
      <c r="BG269" s="19" t="s">
        <v>55</v>
      </c>
      <c r="BH269" s="18"/>
      <c r="BI269" s="18"/>
      <c r="BJ269" s="18"/>
      <c r="BK269" s="25" t="n">
        <v>3</v>
      </c>
      <c r="BL269" s="18"/>
      <c r="BM269" s="18"/>
      <c r="BN269" s="18"/>
      <c r="BO269" s="18"/>
      <c r="BP269" s="18"/>
      <c r="BQ269" s="18"/>
      <c r="BR269" s="18"/>
      <c r="BS269" s="18"/>
      <c r="BT269" s="22" t="n">
        <f aca="false">SUM(BH269:BS269)</f>
        <v>3</v>
      </c>
      <c r="BU269" s="26" t="n">
        <v>45833.71875</v>
      </c>
      <c r="BV269" s="17" t="s">
        <v>173</v>
      </c>
      <c r="BW269" s="17" t="s">
        <v>44</v>
      </c>
      <c r="BX269" s="23" t="n">
        <f aca="false">IFERROR(R269/AE269,0)</f>
        <v>2545.495</v>
      </c>
      <c r="BY269" s="23" t="n">
        <f aca="false">IFERROR(R269/12,0)</f>
        <v>848.498333333333</v>
      </c>
      <c r="BZ269" s="18" t="n">
        <v>33.8</v>
      </c>
      <c r="CA269" s="22" t="str">
        <f aca="false">IF(AE269=0,"PROSPECT",IF(AE269=1,"NOVO",IF(AE269&lt;=3,"EM DESENV.",IF(AE269&lt;=6,"RECORRENTE","FIDELIZADO"))))</f>
        <v>RECORRENTE</v>
      </c>
      <c r="CB269" s="22" t="n">
        <f aca="false">IF((P269+Q269)&gt;0,1,0)+IF((BR269+BS269)&gt;0,1,0)+IF(BE269&gt;0,1,0)</f>
        <v>1</v>
      </c>
    </row>
    <row r="270" customFormat="false" ht="15" hidden="false" customHeight="true" outlineLevel="0" collapsed="false">
      <c r="A270" s="16" t="s">
        <v>776</v>
      </c>
      <c r="B270" s="17" t="s">
        <v>777</v>
      </c>
      <c r="C270" s="18" t="s">
        <v>61</v>
      </c>
      <c r="D270" s="17" t="s">
        <v>778</v>
      </c>
      <c r="E270" s="29" t="s">
        <v>365</v>
      </c>
      <c r="F270" s="20"/>
      <c r="G270" s="20"/>
      <c r="H270" s="20"/>
      <c r="I270" s="20"/>
      <c r="J270" s="20"/>
      <c r="K270" s="20"/>
      <c r="L270" s="27" t="n">
        <v>1593.58</v>
      </c>
      <c r="M270" s="27" t="n">
        <v>1593.58</v>
      </c>
      <c r="N270" s="20"/>
      <c r="O270" s="20"/>
      <c r="P270" s="20"/>
      <c r="Q270" s="20"/>
      <c r="R270" s="21" t="n">
        <f aca="false">SUM(F270:Q270)</f>
        <v>3187.16</v>
      </c>
      <c r="S270" s="18"/>
      <c r="T270" s="18"/>
      <c r="U270" s="18"/>
      <c r="V270" s="18"/>
      <c r="W270" s="18"/>
      <c r="X270" s="18"/>
      <c r="Y270" s="28" t="n">
        <v>1</v>
      </c>
      <c r="Z270" s="28" t="n">
        <v>1</v>
      </c>
      <c r="AA270" s="18"/>
      <c r="AB270" s="18"/>
      <c r="AC270" s="18"/>
      <c r="AD270" s="18"/>
      <c r="AE270" s="22" t="n">
        <f aca="false">SUM(S270:AD270)</f>
        <v>2</v>
      </c>
      <c r="AF270" s="22"/>
      <c r="AG270" s="22"/>
      <c r="AH270" s="22"/>
      <c r="AI270" s="22"/>
      <c r="AJ270" s="22"/>
      <c r="AK270" s="22"/>
      <c r="AL270" s="19" t="s">
        <v>50</v>
      </c>
      <c r="AM270" s="19" t="s">
        <v>50</v>
      </c>
      <c r="AN270" s="22"/>
      <c r="AO270" s="22"/>
      <c r="AP270" s="22"/>
      <c r="AQ270" s="22"/>
      <c r="AR270" s="30" t="s">
        <v>49</v>
      </c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22" t="n">
        <f aca="false">SUM(AS270:BD270)</f>
        <v>0</v>
      </c>
      <c r="BF270" s="23"/>
      <c r="BG270" s="24"/>
      <c r="BH270" s="18"/>
      <c r="BI270" s="18"/>
      <c r="BJ270" s="18"/>
      <c r="BK270" s="18"/>
      <c r="BL270" s="18"/>
      <c r="BM270" s="18"/>
      <c r="BN270" s="18"/>
      <c r="BO270" s="18"/>
      <c r="BP270" s="25" t="n">
        <v>1</v>
      </c>
      <c r="BQ270" s="25" t="n">
        <v>1</v>
      </c>
      <c r="BR270" s="18"/>
      <c r="BS270" s="18"/>
      <c r="BT270" s="22" t="n">
        <f aca="false">SUM(BH270:BS270)</f>
        <v>2</v>
      </c>
      <c r="BU270" s="26" t="n">
        <v>45992.5031828704</v>
      </c>
      <c r="BV270" s="17"/>
      <c r="BW270" s="17" t="s">
        <v>44</v>
      </c>
      <c r="BX270" s="23" t="n">
        <f aca="false">IFERROR(R270/AE270,0)</f>
        <v>1593.58</v>
      </c>
      <c r="BY270" s="23" t="n">
        <f aca="false">IFERROR(R270/12,0)</f>
        <v>265.596666666667</v>
      </c>
      <c r="BZ270" s="18" t="n">
        <v>0</v>
      </c>
      <c r="CA270" s="22" t="str">
        <f aca="false">IF(AE270=0,"PROSPECT",IF(AE270=1,"NOVO",IF(AE270&lt;=3,"EM DESENV.",IF(AE270&lt;=6,"RECORRENTE","FIDELIZADO"))))</f>
        <v>EM DESENV.</v>
      </c>
      <c r="CB270" s="22" t="n">
        <f aca="false">IF((P270+Q270)&gt;0,1,0)+IF((BR270+BS270)&gt;0,1,0)+IF(BE270&gt;0,1,0)</f>
        <v>0</v>
      </c>
    </row>
    <row r="271" customFormat="false" ht="15" hidden="false" customHeight="true" outlineLevel="0" collapsed="false">
      <c r="A271" s="16" t="s">
        <v>779</v>
      </c>
      <c r="B271" s="17" t="s">
        <v>780</v>
      </c>
      <c r="C271" s="18" t="s">
        <v>61</v>
      </c>
      <c r="D271" s="17" t="s">
        <v>210</v>
      </c>
      <c r="E271" s="29" t="s">
        <v>365</v>
      </c>
      <c r="F271" s="20"/>
      <c r="G271" s="20"/>
      <c r="H271" s="27" t="n">
        <v>678.03</v>
      </c>
      <c r="I271" s="27" t="n">
        <v>1802.56</v>
      </c>
      <c r="J271" s="20"/>
      <c r="K271" s="20"/>
      <c r="L271" s="20"/>
      <c r="M271" s="20"/>
      <c r="N271" s="20"/>
      <c r="O271" s="20"/>
      <c r="P271" s="20"/>
      <c r="Q271" s="20"/>
      <c r="R271" s="21" t="n">
        <f aca="false">SUM(F271:Q271)</f>
        <v>2480.59</v>
      </c>
      <c r="S271" s="18"/>
      <c r="T271" s="18"/>
      <c r="U271" s="28" t="n">
        <v>1</v>
      </c>
      <c r="V271" s="28" t="n">
        <v>1</v>
      </c>
      <c r="W271" s="18"/>
      <c r="X271" s="18"/>
      <c r="Y271" s="18"/>
      <c r="Z271" s="18"/>
      <c r="AA271" s="18"/>
      <c r="AB271" s="18"/>
      <c r="AC271" s="18"/>
      <c r="AD271" s="18"/>
      <c r="AE271" s="22" t="n">
        <f aca="false">SUM(S271:AD271)</f>
        <v>2</v>
      </c>
      <c r="AF271" s="22"/>
      <c r="AG271" s="22"/>
      <c r="AH271" s="29" t="s">
        <v>48</v>
      </c>
      <c r="AI271" s="19" t="s">
        <v>50</v>
      </c>
      <c r="AJ271" s="22"/>
      <c r="AK271" s="22"/>
      <c r="AL271" s="22"/>
      <c r="AM271" s="22"/>
      <c r="AN271" s="22"/>
      <c r="AO271" s="22"/>
      <c r="AP271" s="22"/>
      <c r="AQ271" s="22"/>
      <c r="AR271" s="19" t="s">
        <v>50</v>
      </c>
      <c r="AS271" s="18"/>
      <c r="AT271" s="18"/>
      <c r="AU271" s="18"/>
      <c r="AV271" s="25" t="n">
        <v>1</v>
      </c>
      <c r="AW271" s="18"/>
      <c r="AX271" s="18"/>
      <c r="AY271" s="18"/>
      <c r="AZ271" s="18"/>
      <c r="BA271" s="18"/>
      <c r="BB271" s="18"/>
      <c r="BC271" s="18"/>
      <c r="BD271" s="18"/>
      <c r="BE271" s="22" t="n">
        <f aca="false">SUM(AS271:BD271)</f>
        <v>1</v>
      </c>
      <c r="BF271" s="23" t="n">
        <v>1802.56</v>
      </c>
      <c r="BG271" s="19" t="s">
        <v>55</v>
      </c>
      <c r="BH271" s="18"/>
      <c r="BI271" s="25" t="n">
        <v>1</v>
      </c>
      <c r="BJ271" s="25" t="n">
        <v>1</v>
      </c>
      <c r="BK271" s="25" t="n">
        <v>5</v>
      </c>
      <c r="BL271" s="25" t="n">
        <v>2</v>
      </c>
      <c r="BM271" s="25" t="n">
        <v>2</v>
      </c>
      <c r="BN271" s="18"/>
      <c r="BO271" s="25" t="n">
        <v>2</v>
      </c>
      <c r="BP271" s="18"/>
      <c r="BQ271" s="18"/>
      <c r="BR271" s="18"/>
      <c r="BS271" s="18"/>
      <c r="BT271" s="22" t="n">
        <f aca="false">SUM(BH271:BS271)</f>
        <v>13</v>
      </c>
      <c r="BU271" s="26" t="n">
        <v>45958.4256944444</v>
      </c>
      <c r="BV271" s="17" t="s">
        <v>124</v>
      </c>
      <c r="BW271" s="17" t="s">
        <v>44</v>
      </c>
      <c r="BX271" s="23" t="n">
        <f aca="false">IFERROR(R271/AE271,0)</f>
        <v>1240.295</v>
      </c>
      <c r="BY271" s="23" t="n">
        <f aca="false">IFERROR(R271/12,0)</f>
        <v>206.715833333333</v>
      </c>
      <c r="BZ271" s="18" t="n">
        <v>34</v>
      </c>
      <c r="CA271" s="22" t="str">
        <f aca="false">IF(AE271=0,"PROSPECT",IF(AE271=1,"NOVO",IF(AE271&lt;=3,"EM DESENV.",IF(AE271&lt;=6,"RECORRENTE","FIDELIZADO"))))</f>
        <v>EM DESENV.</v>
      </c>
      <c r="CB271" s="22" t="n">
        <f aca="false">IF((P271+Q271)&gt;0,1,0)+IF((BR271+BS271)&gt;0,1,0)+IF(BE271&gt;0,1,0)</f>
        <v>1</v>
      </c>
    </row>
    <row r="272" customFormat="false" ht="15" hidden="false" customHeight="true" outlineLevel="0" collapsed="false">
      <c r="A272" s="16" t="s">
        <v>781</v>
      </c>
      <c r="B272" s="17" t="s">
        <v>782</v>
      </c>
      <c r="C272" s="18" t="s">
        <v>309</v>
      </c>
      <c r="D272" s="17" t="s">
        <v>783</v>
      </c>
      <c r="E272" s="29" t="s">
        <v>365</v>
      </c>
      <c r="F272" s="27" t="n">
        <v>1377.03</v>
      </c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1" t="n">
        <f aca="false">SUM(F272:Q272)</f>
        <v>1377.03</v>
      </c>
      <c r="S272" s="28" t="n">
        <v>1</v>
      </c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22" t="n">
        <f aca="false">SUM(S272:AD272)</f>
        <v>1</v>
      </c>
      <c r="AF272" s="19" t="s">
        <v>50</v>
      </c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30" t="s">
        <v>49</v>
      </c>
      <c r="AS272" s="25" t="n">
        <v>17</v>
      </c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22" t="n">
        <f aca="false">SUM(AS272:BD272)</f>
        <v>17</v>
      </c>
      <c r="BF272" s="23" t="n">
        <v>1377.03</v>
      </c>
      <c r="BG272" s="19" t="s">
        <v>55</v>
      </c>
      <c r="BH272" s="25" t="n">
        <v>1</v>
      </c>
      <c r="BI272" s="18"/>
      <c r="BJ272" s="18"/>
      <c r="BK272" s="25" t="n">
        <v>2</v>
      </c>
      <c r="BL272" s="18"/>
      <c r="BM272" s="18"/>
      <c r="BN272" s="25" t="n">
        <v>2</v>
      </c>
      <c r="BO272" s="18"/>
      <c r="BP272" s="18"/>
      <c r="BQ272" s="25" t="n">
        <v>2</v>
      </c>
      <c r="BR272" s="25" t="n">
        <v>2</v>
      </c>
      <c r="BS272" s="18"/>
      <c r="BT272" s="22" t="n">
        <f aca="false">SUM(BH272:BS272)</f>
        <v>9</v>
      </c>
      <c r="BU272" s="26" t="n">
        <v>46036.7055555556</v>
      </c>
      <c r="BV272" s="17" t="s">
        <v>378</v>
      </c>
      <c r="BW272" s="17" t="s">
        <v>44</v>
      </c>
      <c r="BX272" s="23" t="n">
        <f aca="false">IFERROR(R272/AE272,0)</f>
        <v>1377.03</v>
      </c>
      <c r="BY272" s="23" t="n">
        <f aca="false">IFERROR(R272/12,0)</f>
        <v>114.7525</v>
      </c>
      <c r="BZ272" s="18" t="n">
        <v>0</v>
      </c>
      <c r="CA272" s="22" t="str">
        <f aca="false">IF(AE272=0,"PROSPECT",IF(AE272=1,"NOVO",IF(AE272&lt;=3,"EM DESENV.",IF(AE272&lt;=6,"RECORRENTE","FIDELIZADO"))))</f>
        <v>NOVO</v>
      </c>
      <c r="CB272" s="22" t="n">
        <f aca="false">IF((P272+Q272)&gt;0,1,0)+IF((BR272+BS272)&gt;0,1,0)+IF(BE272&gt;0,1,0)</f>
        <v>2</v>
      </c>
    </row>
    <row r="273" customFormat="false" ht="15" hidden="false" customHeight="true" outlineLevel="0" collapsed="false">
      <c r="A273" s="16" t="s">
        <v>784</v>
      </c>
      <c r="B273" s="17" t="s">
        <v>785</v>
      </c>
      <c r="C273" s="18" t="s">
        <v>41</v>
      </c>
      <c r="D273" s="17" t="s">
        <v>42</v>
      </c>
      <c r="E273" s="29" t="s">
        <v>365</v>
      </c>
      <c r="F273" s="20"/>
      <c r="G273" s="20"/>
      <c r="H273" s="20"/>
      <c r="I273" s="27" t="n">
        <v>674.11</v>
      </c>
      <c r="J273" s="20"/>
      <c r="K273" s="20"/>
      <c r="L273" s="20"/>
      <c r="M273" s="20"/>
      <c r="N273" s="20"/>
      <c r="O273" s="20"/>
      <c r="P273" s="20"/>
      <c r="Q273" s="20"/>
      <c r="R273" s="21" t="n">
        <f aca="false">SUM(F273:Q273)</f>
        <v>674.11</v>
      </c>
      <c r="S273" s="18"/>
      <c r="T273" s="18"/>
      <c r="U273" s="18"/>
      <c r="V273" s="28" t="n">
        <v>1</v>
      </c>
      <c r="W273" s="18"/>
      <c r="X273" s="18"/>
      <c r="Y273" s="18"/>
      <c r="Z273" s="18"/>
      <c r="AA273" s="18"/>
      <c r="AB273" s="18"/>
      <c r="AC273" s="18"/>
      <c r="AD273" s="18"/>
      <c r="AE273" s="22" t="n">
        <f aca="false">SUM(S273:AD273)</f>
        <v>1</v>
      </c>
      <c r="AF273" s="22"/>
      <c r="AG273" s="22"/>
      <c r="AH273" s="22"/>
      <c r="AI273" s="29" t="s">
        <v>48</v>
      </c>
      <c r="AJ273" s="22"/>
      <c r="AK273" s="22"/>
      <c r="AL273" s="22"/>
      <c r="AM273" s="22"/>
      <c r="AN273" s="22"/>
      <c r="AO273" s="22"/>
      <c r="AP273" s="22"/>
      <c r="AQ273" s="22"/>
      <c r="AR273" s="29" t="s">
        <v>48</v>
      </c>
      <c r="AS273" s="18"/>
      <c r="AT273" s="18"/>
      <c r="AU273" s="18"/>
      <c r="AV273" s="25" t="n">
        <v>3</v>
      </c>
      <c r="AW273" s="18"/>
      <c r="AX273" s="18"/>
      <c r="AY273" s="18"/>
      <c r="AZ273" s="18"/>
      <c r="BA273" s="18"/>
      <c r="BB273" s="18"/>
      <c r="BC273" s="18"/>
      <c r="BD273" s="18"/>
      <c r="BE273" s="22" t="n">
        <f aca="false">SUM(AS273:BD273)</f>
        <v>3</v>
      </c>
      <c r="BF273" s="23" t="n">
        <v>674.11</v>
      </c>
      <c r="BG273" s="19" t="s">
        <v>55</v>
      </c>
      <c r="BH273" s="18"/>
      <c r="BI273" s="25" t="n">
        <v>1</v>
      </c>
      <c r="BJ273" s="25" t="n">
        <v>2</v>
      </c>
      <c r="BK273" s="25" t="n">
        <v>3</v>
      </c>
      <c r="BL273" s="18"/>
      <c r="BM273" s="18"/>
      <c r="BN273" s="18"/>
      <c r="BO273" s="18"/>
      <c r="BP273" s="18"/>
      <c r="BQ273" s="18"/>
      <c r="BR273" s="18"/>
      <c r="BS273" s="18"/>
      <c r="BT273" s="22" t="n">
        <f aca="false">SUM(BH273:BS273)</f>
        <v>6</v>
      </c>
      <c r="BU273" s="26" t="n">
        <v>45834.7369328704</v>
      </c>
      <c r="BV273" s="17" t="s">
        <v>786</v>
      </c>
      <c r="BW273" s="17" t="s">
        <v>44</v>
      </c>
      <c r="BX273" s="23" t="n">
        <f aca="false">IFERROR(R273/AE273,0)</f>
        <v>674.11</v>
      </c>
      <c r="BY273" s="23" t="n">
        <f aca="false">IFERROR(R273/12,0)</f>
        <v>56.1758333333333</v>
      </c>
      <c r="BZ273" s="18" t="n">
        <v>0</v>
      </c>
      <c r="CA273" s="22" t="str">
        <f aca="false">IF(AE273=0,"PROSPECT",IF(AE273=1,"NOVO",IF(AE273&lt;=3,"EM DESENV.",IF(AE273&lt;=6,"RECORRENTE","FIDELIZADO"))))</f>
        <v>NOVO</v>
      </c>
      <c r="CB273" s="22" t="n">
        <f aca="false">IF((P273+Q273)&gt;0,1,0)+IF((BR273+BS273)&gt;0,1,0)+IF(BE273&gt;0,1,0)</f>
        <v>1</v>
      </c>
    </row>
    <row r="274" customFormat="false" ht="15" hidden="false" customHeight="true" outlineLevel="0" collapsed="false">
      <c r="A274" s="16" t="s">
        <v>787</v>
      </c>
      <c r="B274" s="17" t="s">
        <v>788</v>
      </c>
      <c r="C274" s="18" t="s">
        <v>53</v>
      </c>
      <c r="D274" s="17" t="s">
        <v>234</v>
      </c>
      <c r="E274" s="29" t="s">
        <v>365</v>
      </c>
      <c r="F274" s="20"/>
      <c r="G274" s="20"/>
      <c r="H274" s="20"/>
      <c r="I274" s="20"/>
      <c r="J274" s="20"/>
      <c r="K274" s="20"/>
      <c r="L274" s="27" t="n">
        <v>1134</v>
      </c>
      <c r="M274" s="20"/>
      <c r="N274" s="27" t="n">
        <v>774</v>
      </c>
      <c r="O274" s="20"/>
      <c r="P274" s="20"/>
      <c r="Q274" s="20"/>
      <c r="R274" s="21" t="n">
        <f aca="false">SUM(F274:Q274)</f>
        <v>1908</v>
      </c>
      <c r="S274" s="18"/>
      <c r="T274" s="18"/>
      <c r="U274" s="18"/>
      <c r="V274" s="18"/>
      <c r="W274" s="18"/>
      <c r="X274" s="18"/>
      <c r="Y274" s="28" t="n">
        <v>1</v>
      </c>
      <c r="Z274" s="18"/>
      <c r="AA274" s="28" t="n">
        <v>1</v>
      </c>
      <c r="AB274" s="18"/>
      <c r="AC274" s="18"/>
      <c r="AD274" s="18"/>
      <c r="AE274" s="22" t="n">
        <f aca="false">SUM(S274:AD274)</f>
        <v>2</v>
      </c>
      <c r="AF274" s="22"/>
      <c r="AG274" s="22"/>
      <c r="AH274" s="22"/>
      <c r="AI274" s="22"/>
      <c r="AJ274" s="22"/>
      <c r="AK274" s="22"/>
      <c r="AL274" s="30" t="s">
        <v>49</v>
      </c>
      <c r="AM274" s="22"/>
      <c r="AN274" s="29" t="s">
        <v>48</v>
      </c>
      <c r="AO274" s="22"/>
      <c r="AP274" s="22"/>
      <c r="AQ274" s="22"/>
      <c r="AR274" s="30" t="s">
        <v>49</v>
      </c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22" t="n">
        <f aca="false">SUM(AS274:BD274)</f>
        <v>0</v>
      </c>
      <c r="BF274" s="23"/>
      <c r="BG274" s="24"/>
      <c r="BH274" s="18"/>
      <c r="BI274" s="18"/>
      <c r="BJ274" s="18"/>
      <c r="BK274" s="18"/>
      <c r="BL274" s="18"/>
      <c r="BM274" s="25" t="n">
        <v>1</v>
      </c>
      <c r="BN274" s="18"/>
      <c r="BO274" s="25" t="n">
        <v>1</v>
      </c>
      <c r="BP274" s="18"/>
      <c r="BQ274" s="18"/>
      <c r="BR274" s="25" t="n">
        <v>2</v>
      </c>
      <c r="BS274" s="25" t="n">
        <v>2</v>
      </c>
      <c r="BT274" s="22" t="n">
        <f aca="false">SUM(BH274:BS274)</f>
        <v>6</v>
      </c>
      <c r="BU274" s="26" t="n">
        <v>46058.6618055556</v>
      </c>
      <c r="BV274" s="17" t="s">
        <v>107</v>
      </c>
      <c r="BW274" s="17" t="s">
        <v>44</v>
      </c>
      <c r="BX274" s="23" t="n">
        <f aca="false">IFERROR(R274/AE274,0)</f>
        <v>954</v>
      </c>
      <c r="BY274" s="23" t="n">
        <f aca="false">IFERROR(R274/12,0)</f>
        <v>159</v>
      </c>
      <c r="BZ274" s="18" t="n">
        <v>68</v>
      </c>
      <c r="CA274" s="22" t="str">
        <f aca="false">IF(AE274=0,"PROSPECT",IF(AE274=1,"NOVO",IF(AE274&lt;=3,"EM DESENV.",IF(AE274&lt;=6,"RECORRENTE","FIDELIZADO"))))</f>
        <v>EM DESENV.</v>
      </c>
      <c r="CB274" s="22" t="n">
        <f aca="false">IF((P274+Q274)&gt;0,1,0)+IF((BR274+BS274)&gt;0,1,0)+IF(BE274&gt;0,1,0)</f>
        <v>1</v>
      </c>
    </row>
    <row r="275" customFormat="false" ht="15" hidden="false" customHeight="true" outlineLevel="0" collapsed="false">
      <c r="A275" s="16" t="s">
        <v>789</v>
      </c>
      <c r="B275" s="17" t="s">
        <v>790</v>
      </c>
      <c r="C275" s="18" t="s">
        <v>168</v>
      </c>
      <c r="D275" s="17" t="s">
        <v>791</v>
      </c>
      <c r="E275" s="29" t="s">
        <v>365</v>
      </c>
      <c r="F275" s="20"/>
      <c r="G275" s="20"/>
      <c r="H275" s="20"/>
      <c r="I275" s="20"/>
      <c r="J275" s="20"/>
      <c r="K275" s="20"/>
      <c r="L275" s="20"/>
      <c r="M275" s="27" t="n">
        <v>3075.94</v>
      </c>
      <c r="N275" s="27" t="n">
        <v>3162.59</v>
      </c>
      <c r="O275" s="20"/>
      <c r="P275" s="20"/>
      <c r="Q275" s="20"/>
      <c r="R275" s="21" t="n">
        <f aca="false">SUM(F275:Q275)</f>
        <v>6238.53</v>
      </c>
      <c r="S275" s="18"/>
      <c r="T275" s="18"/>
      <c r="U275" s="18"/>
      <c r="V275" s="18"/>
      <c r="W275" s="18"/>
      <c r="X275" s="18"/>
      <c r="Y275" s="18"/>
      <c r="Z275" s="28" t="n">
        <v>1</v>
      </c>
      <c r="AA275" s="28" t="n">
        <v>1</v>
      </c>
      <c r="AB275" s="18"/>
      <c r="AC275" s="18"/>
      <c r="AD275" s="18"/>
      <c r="AE275" s="22" t="n">
        <f aca="false">SUM(S275:AD275)</f>
        <v>2</v>
      </c>
      <c r="AF275" s="22"/>
      <c r="AG275" s="22"/>
      <c r="AH275" s="22"/>
      <c r="AI275" s="22"/>
      <c r="AJ275" s="22"/>
      <c r="AK275" s="22"/>
      <c r="AL275" s="22"/>
      <c r="AM275" s="19" t="s">
        <v>50</v>
      </c>
      <c r="AN275" s="19" t="s">
        <v>50</v>
      </c>
      <c r="AO275" s="22"/>
      <c r="AP275" s="22"/>
      <c r="AQ275" s="22"/>
      <c r="AR275" s="19" t="s">
        <v>50</v>
      </c>
      <c r="AS275" s="18"/>
      <c r="AT275" s="18"/>
      <c r="AU275" s="18"/>
      <c r="AV275" s="18"/>
      <c r="AW275" s="18"/>
      <c r="AX275" s="18"/>
      <c r="AY275" s="18"/>
      <c r="AZ275" s="18"/>
      <c r="BA275" s="25" t="n">
        <v>4</v>
      </c>
      <c r="BB275" s="18"/>
      <c r="BC275" s="18"/>
      <c r="BD275" s="18"/>
      <c r="BE275" s="22" t="n">
        <f aca="false">SUM(AS275:BD275)</f>
        <v>4</v>
      </c>
      <c r="BF275" s="23" t="n">
        <v>3162.59</v>
      </c>
      <c r="BG275" s="19" t="s">
        <v>55</v>
      </c>
      <c r="BH275" s="18"/>
      <c r="BI275" s="18"/>
      <c r="BJ275" s="18"/>
      <c r="BK275" s="18"/>
      <c r="BL275" s="18"/>
      <c r="BM275" s="18"/>
      <c r="BN275" s="18"/>
      <c r="BO275" s="18"/>
      <c r="BP275" s="25" t="n">
        <v>2</v>
      </c>
      <c r="BQ275" s="18"/>
      <c r="BR275" s="25" t="n">
        <v>1</v>
      </c>
      <c r="BS275" s="25" t="n">
        <v>2</v>
      </c>
      <c r="BT275" s="22" t="n">
        <f aca="false">SUM(BH275:BS275)</f>
        <v>5</v>
      </c>
      <c r="BU275" s="26" t="n">
        <v>46058.6506944444</v>
      </c>
      <c r="BV275" s="17" t="s">
        <v>124</v>
      </c>
      <c r="BW275" s="17" t="s">
        <v>44</v>
      </c>
      <c r="BX275" s="23" t="n">
        <f aca="false">IFERROR(R275/AE275,0)</f>
        <v>3119.265</v>
      </c>
      <c r="BY275" s="23" t="n">
        <f aca="false">IFERROR(R275/12,0)</f>
        <v>519.8775</v>
      </c>
      <c r="BZ275" s="18" t="n">
        <v>50</v>
      </c>
      <c r="CA275" s="22" t="str">
        <f aca="false">IF(AE275=0,"PROSPECT",IF(AE275=1,"NOVO",IF(AE275&lt;=3,"EM DESENV.",IF(AE275&lt;=6,"RECORRENTE","FIDELIZADO"))))</f>
        <v>EM DESENV.</v>
      </c>
      <c r="CB275" s="22" t="n">
        <f aca="false">IF((P275+Q275)&gt;0,1,0)+IF((BR275+BS275)&gt;0,1,0)+IF(BE275&gt;0,1,0)</f>
        <v>2</v>
      </c>
    </row>
    <row r="276" customFormat="false" ht="15" hidden="false" customHeight="true" outlineLevel="0" collapsed="false">
      <c r="A276" s="16" t="s">
        <v>792</v>
      </c>
      <c r="B276" s="17" t="s">
        <v>793</v>
      </c>
      <c r="C276" s="18" t="s">
        <v>794</v>
      </c>
      <c r="D276" s="17" t="s">
        <v>795</v>
      </c>
      <c r="E276" s="29" t="s">
        <v>365</v>
      </c>
      <c r="F276" s="20"/>
      <c r="G276" s="20"/>
      <c r="H276" s="20"/>
      <c r="I276" s="20"/>
      <c r="J276" s="20"/>
      <c r="K276" s="27" t="n">
        <v>2217.02</v>
      </c>
      <c r="L276" s="20"/>
      <c r="M276" s="20"/>
      <c r="N276" s="27" t="n">
        <v>2031.71</v>
      </c>
      <c r="O276" s="20"/>
      <c r="P276" s="20"/>
      <c r="Q276" s="20"/>
      <c r="R276" s="21" t="n">
        <f aca="false">SUM(F276:Q276)</f>
        <v>4248.73</v>
      </c>
      <c r="S276" s="18"/>
      <c r="T276" s="18"/>
      <c r="U276" s="18"/>
      <c r="V276" s="18"/>
      <c r="W276" s="18"/>
      <c r="X276" s="28" t="n">
        <v>1</v>
      </c>
      <c r="Y276" s="18"/>
      <c r="Z276" s="18"/>
      <c r="AA276" s="28" t="n">
        <v>1</v>
      </c>
      <c r="AB276" s="18"/>
      <c r="AC276" s="18"/>
      <c r="AD276" s="18"/>
      <c r="AE276" s="22" t="n">
        <f aca="false">SUM(S276:AD276)</f>
        <v>2</v>
      </c>
      <c r="AF276" s="22"/>
      <c r="AG276" s="22"/>
      <c r="AH276" s="22"/>
      <c r="AI276" s="22"/>
      <c r="AJ276" s="22"/>
      <c r="AK276" s="19" t="s">
        <v>50</v>
      </c>
      <c r="AL276" s="22"/>
      <c r="AM276" s="22"/>
      <c r="AN276" s="19" t="s">
        <v>50</v>
      </c>
      <c r="AO276" s="22"/>
      <c r="AP276" s="22"/>
      <c r="AQ276" s="22"/>
      <c r="AR276" s="19" t="s">
        <v>50</v>
      </c>
      <c r="AS276" s="18"/>
      <c r="AT276" s="18"/>
      <c r="AU276" s="18"/>
      <c r="AV276" s="18"/>
      <c r="AW276" s="18"/>
      <c r="AX276" s="25" t="n">
        <v>4</v>
      </c>
      <c r="AY276" s="18"/>
      <c r="AZ276" s="18"/>
      <c r="BA276" s="25" t="n">
        <v>3</v>
      </c>
      <c r="BB276" s="18"/>
      <c r="BC276" s="18"/>
      <c r="BD276" s="18"/>
      <c r="BE276" s="22" t="n">
        <f aca="false">SUM(AS276:BD276)</f>
        <v>7</v>
      </c>
      <c r="BF276" s="23" t="n">
        <v>4248.73</v>
      </c>
      <c r="BG276" s="19" t="s">
        <v>55</v>
      </c>
      <c r="BH276" s="18"/>
      <c r="BI276" s="18"/>
      <c r="BJ276" s="25" t="n">
        <v>3</v>
      </c>
      <c r="BK276" s="18"/>
      <c r="BL276" s="18"/>
      <c r="BM276" s="25" t="n">
        <v>1</v>
      </c>
      <c r="BN276" s="18"/>
      <c r="BO276" s="25" t="n">
        <v>2</v>
      </c>
      <c r="BP276" s="18"/>
      <c r="BQ276" s="25" t="n">
        <v>1</v>
      </c>
      <c r="BR276" s="25" t="n">
        <v>4</v>
      </c>
      <c r="BS276" s="25" t="n">
        <v>1</v>
      </c>
      <c r="BT276" s="22" t="n">
        <f aca="false">SUM(BH276:BS276)</f>
        <v>12</v>
      </c>
      <c r="BU276" s="26" t="n">
        <v>46059.3980555556</v>
      </c>
      <c r="BV276" s="17"/>
      <c r="BW276" s="17" t="s">
        <v>44</v>
      </c>
      <c r="BX276" s="23" t="n">
        <f aca="false">IFERROR(R276/AE276,0)</f>
        <v>2124.365</v>
      </c>
      <c r="BY276" s="23" t="n">
        <f aca="false">IFERROR(R276/12,0)</f>
        <v>354.060833333333</v>
      </c>
      <c r="BZ276" s="18" t="n">
        <v>84</v>
      </c>
      <c r="CA276" s="22" t="str">
        <f aca="false">IF(AE276=0,"PROSPECT",IF(AE276=1,"NOVO",IF(AE276&lt;=3,"EM DESENV.",IF(AE276&lt;=6,"RECORRENTE","FIDELIZADO"))))</f>
        <v>EM DESENV.</v>
      </c>
      <c r="CB276" s="22" t="n">
        <f aca="false">IF((P276+Q276)&gt;0,1,0)+IF((BR276+BS276)&gt;0,1,0)+IF(BE276&gt;0,1,0)</f>
        <v>2</v>
      </c>
    </row>
    <row r="277" customFormat="false" ht="15" hidden="false" customHeight="true" outlineLevel="0" collapsed="false">
      <c r="A277" s="16" t="s">
        <v>796</v>
      </c>
      <c r="B277" s="17" t="s">
        <v>797</v>
      </c>
      <c r="C277" s="18" t="s">
        <v>53</v>
      </c>
      <c r="D277" s="17" t="s">
        <v>798</v>
      </c>
      <c r="E277" s="29" t="s">
        <v>365</v>
      </c>
      <c r="F277" s="20"/>
      <c r="G277" s="20"/>
      <c r="H277" s="27" t="n">
        <v>1710.88</v>
      </c>
      <c r="I277" s="27" t="n">
        <v>4099.8</v>
      </c>
      <c r="J277" s="27" t="n">
        <v>7115.96</v>
      </c>
      <c r="K277" s="20"/>
      <c r="L277" s="20"/>
      <c r="M277" s="27" t="n">
        <v>3508.11</v>
      </c>
      <c r="N277" s="27" t="n">
        <v>1870.8</v>
      </c>
      <c r="O277" s="20"/>
      <c r="P277" s="20"/>
      <c r="Q277" s="20"/>
      <c r="R277" s="21" t="n">
        <f aca="false">SUM(F277:Q277)</f>
        <v>18305.55</v>
      </c>
      <c r="S277" s="18"/>
      <c r="T277" s="18"/>
      <c r="U277" s="28" t="n">
        <v>1</v>
      </c>
      <c r="V277" s="28" t="n">
        <v>1</v>
      </c>
      <c r="W277" s="28" t="n">
        <v>1</v>
      </c>
      <c r="X277" s="18"/>
      <c r="Y277" s="18"/>
      <c r="Z277" s="28" t="n">
        <v>1</v>
      </c>
      <c r="AA277" s="28" t="n">
        <v>1</v>
      </c>
      <c r="AB277" s="18"/>
      <c r="AC277" s="18"/>
      <c r="AD277" s="18"/>
      <c r="AE277" s="22" t="n">
        <f aca="false">SUM(S277:AD277)</f>
        <v>5</v>
      </c>
      <c r="AF277" s="22"/>
      <c r="AG277" s="22"/>
      <c r="AH277" s="19" t="s">
        <v>50</v>
      </c>
      <c r="AI277" s="19" t="s">
        <v>50</v>
      </c>
      <c r="AJ277" s="19" t="s">
        <v>50</v>
      </c>
      <c r="AK277" s="22"/>
      <c r="AL277" s="22"/>
      <c r="AM277" s="19" t="s">
        <v>50</v>
      </c>
      <c r="AN277" s="19" t="s">
        <v>50</v>
      </c>
      <c r="AO277" s="22"/>
      <c r="AP277" s="22"/>
      <c r="AQ277" s="22"/>
      <c r="AR277" s="19" t="s">
        <v>50</v>
      </c>
      <c r="AS277" s="18"/>
      <c r="AT277" s="18"/>
      <c r="AU277" s="18"/>
      <c r="AV277" s="18"/>
      <c r="AW277" s="18"/>
      <c r="AX277" s="18"/>
      <c r="AY277" s="18"/>
      <c r="AZ277" s="18"/>
      <c r="BA277" s="25" t="n">
        <v>2</v>
      </c>
      <c r="BB277" s="18"/>
      <c r="BC277" s="18"/>
      <c r="BD277" s="18"/>
      <c r="BE277" s="22" t="n">
        <f aca="false">SUM(AS277:BD277)</f>
        <v>2</v>
      </c>
      <c r="BF277" s="23" t="n">
        <v>1870.8</v>
      </c>
      <c r="BG277" s="19" t="s">
        <v>55</v>
      </c>
      <c r="BH277" s="18"/>
      <c r="BI277" s="25" t="n">
        <v>1</v>
      </c>
      <c r="BJ277" s="25" t="n">
        <v>3</v>
      </c>
      <c r="BK277" s="25" t="n">
        <v>4</v>
      </c>
      <c r="BL277" s="25" t="n">
        <v>1</v>
      </c>
      <c r="BM277" s="18"/>
      <c r="BN277" s="25" t="n">
        <v>1</v>
      </c>
      <c r="BO277" s="18"/>
      <c r="BP277" s="25" t="n">
        <v>3</v>
      </c>
      <c r="BQ277" s="18"/>
      <c r="BR277" s="25" t="n">
        <v>6</v>
      </c>
      <c r="BS277" s="25" t="n">
        <v>3</v>
      </c>
      <c r="BT277" s="22" t="n">
        <f aca="false">SUM(BH277:BS277)</f>
        <v>22</v>
      </c>
      <c r="BU277" s="26" t="n">
        <v>46058.6194444444</v>
      </c>
      <c r="BV277" s="17" t="s">
        <v>124</v>
      </c>
      <c r="BW277" s="17" t="s">
        <v>44</v>
      </c>
      <c r="BX277" s="23" t="n">
        <f aca="false">IFERROR(R277/AE277,0)</f>
        <v>3661.11</v>
      </c>
      <c r="BY277" s="23" t="n">
        <f aca="false">IFERROR(R277/12,0)</f>
        <v>1525.4625</v>
      </c>
      <c r="BZ277" s="18" t="n">
        <v>47.5</v>
      </c>
      <c r="CA277" s="22" t="str">
        <f aca="false">IF(AE277=0,"PROSPECT",IF(AE277=1,"NOVO",IF(AE277&lt;=3,"EM DESENV.",IF(AE277&lt;=6,"RECORRENTE","FIDELIZADO"))))</f>
        <v>RECORRENTE</v>
      </c>
      <c r="CB277" s="22" t="n">
        <f aca="false">IF((P277+Q277)&gt;0,1,0)+IF((BR277+BS277)&gt;0,1,0)+IF(BE277&gt;0,1,0)</f>
        <v>2</v>
      </c>
    </row>
    <row r="278" customFormat="false" ht="15" hidden="false" customHeight="true" outlineLevel="0" collapsed="false">
      <c r="A278" s="16" t="s">
        <v>799</v>
      </c>
      <c r="B278" s="17" t="s">
        <v>800</v>
      </c>
      <c r="C278" s="18" t="s">
        <v>127</v>
      </c>
      <c r="D278" s="17" t="s">
        <v>801</v>
      </c>
      <c r="E278" s="29" t="s">
        <v>365</v>
      </c>
      <c r="F278" s="20"/>
      <c r="G278" s="20"/>
      <c r="H278" s="27" t="n">
        <v>670.83</v>
      </c>
      <c r="I278" s="20"/>
      <c r="J278" s="20"/>
      <c r="K278" s="20"/>
      <c r="L278" s="20"/>
      <c r="M278" s="20"/>
      <c r="N278" s="20"/>
      <c r="O278" s="20"/>
      <c r="P278" s="20"/>
      <c r="Q278" s="20"/>
      <c r="R278" s="21" t="n">
        <f aca="false">SUM(F278:Q278)</f>
        <v>670.83</v>
      </c>
      <c r="S278" s="18"/>
      <c r="T278" s="18"/>
      <c r="U278" s="28" t="n">
        <v>1</v>
      </c>
      <c r="V278" s="18"/>
      <c r="W278" s="18"/>
      <c r="X278" s="18"/>
      <c r="Y278" s="18"/>
      <c r="Z278" s="18"/>
      <c r="AA278" s="18"/>
      <c r="AB278" s="18"/>
      <c r="AC278" s="18"/>
      <c r="AD278" s="18"/>
      <c r="AE278" s="22" t="n">
        <f aca="false">SUM(S278:AD278)</f>
        <v>1</v>
      </c>
      <c r="AF278" s="22"/>
      <c r="AG278" s="22"/>
      <c r="AH278" s="29" t="s">
        <v>48</v>
      </c>
      <c r="AI278" s="22"/>
      <c r="AJ278" s="22"/>
      <c r="AK278" s="22"/>
      <c r="AL278" s="22"/>
      <c r="AM278" s="22"/>
      <c r="AN278" s="22"/>
      <c r="AO278" s="22"/>
      <c r="AP278" s="22"/>
      <c r="AQ278" s="22"/>
      <c r="AR278" s="29" t="s">
        <v>48</v>
      </c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22" t="n">
        <f aca="false">SUM(AS278:BD278)</f>
        <v>0</v>
      </c>
      <c r="BF278" s="23"/>
      <c r="BG278" s="24"/>
      <c r="BH278" s="18"/>
      <c r="BI278" s="18"/>
      <c r="BJ278" s="25" t="n">
        <v>1</v>
      </c>
      <c r="BK278" s="25" t="n">
        <v>1</v>
      </c>
      <c r="BL278" s="25" t="n">
        <v>1</v>
      </c>
      <c r="BM278" s="18"/>
      <c r="BN278" s="25" t="n">
        <v>1</v>
      </c>
      <c r="BO278" s="18"/>
      <c r="BP278" s="18"/>
      <c r="BQ278" s="25" t="n">
        <v>2</v>
      </c>
      <c r="BR278" s="25" t="n">
        <v>2</v>
      </c>
      <c r="BS278" s="18"/>
      <c r="BT278" s="22" t="n">
        <f aca="false">SUM(BH278:BS278)</f>
        <v>8</v>
      </c>
      <c r="BU278" s="26" t="n">
        <v>46036.6881944445</v>
      </c>
      <c r="BV278" s="17" t="s">
        <v>378</v>
      </c>
      <c r="BW278" s="17" t="s">
        <v>44</v>
      </c>
      <c r="BX278" s="23" t="n">
        <f aca="false">IFERROR(R278/AE278,0)</f>
        <v>670.83</v>
      </c>
      <c r="BY278" s="23" t="n">
        <f aca="false">IFERROR(R278/12,0)</f>
        <v>55.9025</v>
      </c>
      <c r="BZ278" s="18" t="n">
        <v>0</v>
      </c>
      <c r="CA278" s="22" t="str">
        <f aca="false">IF(AE278=0,"PROSPECT",IF(AE278=1,"NOVO",IF(AE278&lt;=3,"EM DESENV.",IF(AE278&lt;=6,"RECORRENTE","FIDELIZADO"))))</f>
        <v>NOVO</v>
      </c>
      <c r="CB278" s="22" t="n">
        <f aca="false">IF((P278+Q278)&gt;0,1,0)+IF((BR278+BS278)&gt;0,1,0)+IF(BE278&gt;0,1,0)</f>
        <v>1</v>
      </c>
    </row>
    <row r="279" customFormat="false" ht="15" hidden="false" customHeight="true" outlineLevel="0" collapsed="false">
      <c r="A279" s="16" t="s">
        <v>802</v>
      </c>
      <c r="B279" s="17" t="s">
        <v>803</v>
      </c>
      <c r="C279" s="18" t="s">
        <v>53</v>
      </c>
      <c r="D279" s="17" t="s">
        <v>172</v>
      </c>
      <c r="E279" s="29" t="s">
        <v>365</v>
      </c>
      <c r="F279" s="20"/>
      <c r="G279" s="20"/>
      <c r="H279" s="20"/>
      <c r="I279" s="20"/>
      <c r="J279" s="27" t="n">
        <v>2062.63</v>
      </c>
      <c r="K279" s="20"/>
      <c r="L279" s="20"/>
      <c r="M279" s="20"/>
      <c r="N279" s="20"/>
      <c r="O279" s="20"/>
      <c r="P279" s="20"/>
      <c r="Q279" s="20"/>
      <c r="R279" s="21" t="n">
        <f aca="false">SUM(F279:Q279)</f>
        <v>2062.63</v>
      </c>
      <c r="S279" s="18"/>
      <c r="T279" s="18"/>
      <c r="U279" s="18"/>
      <c r="V279" s="18"/>
      <c r="W279" s="28" t="n">
        <v>1</v>
      </c>
      <c r="X279" s="18"/>
      <c r="Y279" s="18"/>
      <c r="Z279" s="18"/>
      <c r="AA279" s="18"/>
      <c r="AB279" s="18"/>
      <c r="AC279" s="18"/>
      <c r="AD279" s="18"/>
      <c r="AE279" s="22" t="n">
        <f aca="false">SUM(S279:AD279)</f>
        <v>1</v>
      </c>
      <c r="AF279" s="22"/>
      <c r="AG279" s="22"/>
      <c r="AH279" s="22"/>
      <c r="AI279" s="22"/>
      <c r="AJ279" s="19" t="s">
        <v>50</v>
      </c>
      <c r="AK279" s="22"/>
      <c r="AL279" s="22"/>
      <c r="AM279" s="22"/>
      <c r="AN279" s="22"/>
      <c r="AO279" s="22"/>
      <c r="AP279" s="22"/>
      <c r="AQ279" s="22"/>
      <c r="AR279" s="30" t="s">
        <v>49</v>
      </c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22" t="n">
        <f aca="false">SUM(AS279:BD279)</f>
        <v>0</v>
      </c>
      <c r="BF279" s="23"/>
      <c r="BG279" s="24"/>
      <c r="BH279" s="18"/>
      <c r="BI279" s="18"/>
      <c r="BJ279" s="18"/>
      <c r="BK279" s="25" t="n">
        <v>2</v>
      </c>
      <c r="BL279" s="18"/>
      <c r="BM279" s="18"/>
      <c r="BN279" s="18"/>
      <c r="BO279" s="25" t="n">
        <v>2</v>
      </c>
      <c r="BP279" s="18"/>
      <c r="BQ279" s="18"/>
      <c r="BR279" s="25" t="n">
        <v>2</v>
      </c>
      <c r="BS279" s="18"/>
      <c r="BT279" s="22" t="n">
        <f aca="false">SUM(BH279:BS279)</f>
        <v>6</v>
      </c>
      <c r="BU279" s="26" t="n">
        <v>46036.6333333333</v>
      </c>
      <c r="BV279" s="17" t="s">
        <v>107</v>
      </c>
      <c r="BW279" s="17" t="s">
        <v>44</v>
      </c>
      <c r="BX279" s="23" t="n">
        <f aca="false">IFERROR(R279/AE279,0)</f>
        <v>2062.63</v>
      </c>
      <c r="BY279" s="23" t="n">
        <f aca="false">IFERROR(R279/12,0)</f>
        <v>171.885833333333</v>
      </c>
      <c r="BZ279" s="18" t="n">
        <v>0</v>
      </c>
      <c r="CA279" s="22" t="str">
        <f aca="false">IF(AE279=0,"PROSPECT",IF(AE279=1,"NOVO",IF(AE279&lt;=3,"EM DESENV.",IF(AE279&lt;=6,"RECORRENTE","FIDELIZADO"))))</f>
        <v>NOVO</v>
      </c>
      <c r="CB279" s="22" t="n">
        <f aca="false">IF((P279+Q279)&gt;0,1,0)+IF((BR279+BS279)&gt;0,1,0)+IF(BE279&gt;0,1,0)</f>
        <v>1</v>
      </c>
    </row>
    <row r="280" customFormat="false" ht="15" hidden="false" customHeight="true" outlineLevel="0" collapsed="false">
      <c r="A280" s="16" t="s">
        <v>804</v>
      </c>
      <c r="B280" s="17" t="s">
        <v>805</v>
      </c>
      <c r="C280" s="18" t="s">
        <v>72</v>
      </c>
      <c r="D280" s="17" t="s">
        <v>806</v>
      </c>
      <c r="E280" s="29" t="s">
        <v>365</v>
      </c>
      <c r="F280" s="20"/>
      <c r="G280" s="27" t="n">
        <v>838.45</v>
      </c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1" t="n">
        <f aca="false">SUM(F280:Q280)</f>
        <v>838.45</v>
      </c>
      <c r="S280" s="18"/>
      <c r="T280" s="28" t="n">
        <v>1</v>
      </c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22" t="n">
        <f aca="false">SUM(S280:AD280)</f>
        <v>1</v>
      </c>
      <c r="AF280" s="22"/>
      <c r="AG280" s="30" t="s">
        <v>49</v>
      </c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9" t="s">
        <v>48</v>
      </c>
      <c r="AS280" s="18"/>
      <c r="AT280" s="25" t="n">
        <v>10</v>
      </c>
      <c r="AU280" s="25" t="n">
        <v>10</v>
      </c>
      <c r="AV280" s="18"/>
      <c r="AW280" s="18"/>
      <c r="AX280" s="18"/>
      <c r="AY280" s="18"/>
      <c r="AZ280" s="18"/>
      <c r="BA280" s="25" t="n">
        <v>1</v>
      </c>
      <c r="BB280" s="18"/>
      <c r="BC280" s="18"/>
      <c r="BD280" s="18"/>
      <c r="BE280" s="22" t="n">
        <f aca="false">SUM(AS280:BD280)</f>
        <v>21</v>
      </c>
      <c r="BF280" s="23" t="n">
        <v>1676.9</v>
      </c>
      <c r="BG280" s="19" t="s">
        <v>55</v>
      </c>
      <c r="BH280" s="25" t="n">
        <v>1</v>
      </c>
      <c r="BI280" s="25" t="n">
        <v>1</v>
      </c>
      <c r="BJ280" s="25" t="n">
        <v>2</v>
      </c>
      <c r="BK280" s="25" t="n">
        <v>1</v>
      </c>
      <c r="BL280" s="25" t="n">
        <v>1</v>
      </c>
      <c r="BM280" s="25" t="n">
        <v>1</v>
      </c>
      <c r="BN280" s="18"/>
      <c r="BO280" s="25" t="n">
        <v>1</v>
      </c>
      <c r="BP280" s="25" t="n">
        <v>2</v>
      </c>
      <c r="BQ280" s="18"/>
      <c r="BR280" s="25" t="n">
        <v>2</v>
      </c>
      <c r="BS280" s="25" t="n">
        <v>2</v>
      </c>
      <c r="BT280" s="22" t="n">
        <f aca="false">SUM(BH280:BS280)</f>
        <v>14</v>
      </c>
      <c r="BU280" s="26" t="n">
        <v>46056.7236111111</v>
      </c>
      <c r="BV280" s="17"/>
      <c r="BW280" s="17" t="s">
        <v>117</v>
      </c>
      <c r="BX280" s="23" t="n">
        <f aca="false">IFERROR(R280/AE280,0)</f>
        <v>838.45</v>
      </c>
      <c r="BY280" s="23" t="n">
        <f aca="false">IFERROR(R280/12,0)</f>
        <v>69.8708333333333</v>
      </c>
      <c r="BZ280" s="18" t="n">
        <v>0</v>
      </c>
      <c r="CA280" s="22" t="str">
        <f aca="false">IF(AE280=0,"PROSPECT",IF(AE280=1,"NOVO",IF(AE280&lt;=3,"EM DESENV.",IF(AE280&lt;=6,"RECORRENTE","FIDELIZADO"))))</f>
        <v>NOVO</v>
      </c>
      <c r="CB280" s="22" t="n">
        <f aca="false">IF((P280+Q280)&gt;0,1,0)+IF((BR280+BS280)&gt;0,1,0)+IF(BE280&gt;0,1,0)</f>
        <v>2</v>
      </c>
    </row>
    <row r="281" customFormat="false" ht="15" hidden="false" customHeight="true" outlineLevel="0" collapsed="false">
      <c r="A281" s="16" t="s">
        <v>807</v>
      </c>
      <c r="B281" s="17" t="s">
        <v>808</v>
      </c>
      <c r="C281" s="18" t="s">
        <v>53</v>
      </c>
      <c r="D281" s="17" t="s">
        <v>234</v>
      </c>
      <c r="E281" s="29" t="s">
        <v>365</v>
      </c>
      <c r="F281" s="20"/>
      <c r="G281" s="20"/>
      <c r="H281" s="20"/>
      <c r="I281" s="20"/>
      <c r="J281" s="27" t="n">
        <v>1568.19</v>
      </c>
      <c r="K281" s="20"/>
      <c r="L281" s="20"/>
      <c r="M281" s="20"/>
      <c r="N281" s="20"/>
      <c r="O281" s="20"/>
      <c r="P281" s="20"/>
      <c r="Q281" s="20"/>
      <c r="R281" s="21" t="n">
        <f aca="false">SUM(F281:Q281)</f>
        <v>1568.19</v>
      </c>
      <c r="S281" s="18"/>
      <c r="T281" s="18"/>
      <c r="U281" s="18"/>
      <c r="V281" s="18"/>
      <c r="W281" s="28" t="n">
        <v>1</v>
      </c>
      <c r="X281" s="18"/>
      <c r="Y281" s="18"/>
      <c r="Z281" s="18"/>
      <c r="AA281" s="18"/>
      <c r="AB281" s="18"/>
      <c r="AC281" s="18"/>
      <c r="AD281" s="18"/>
      <c r="AE281" s="22" t="n">
        <f aca="false">SUM(S281:AD281)</f>
        <v>1</v>
      </c>
      <c r="AF281" s="22"/>
      <c r="AG281" s="22"/>
      <c r="AH281" s="22"/>
      <c r="AI281" s="22"/>
      <c r="AJ281" s="19" t="s">
        <v>50</v>
      </c>
      <c r="AK281" s="22"/>
      <c r="AL281" s="22"/>
      <c r="AM281" s="22"/>
      <c r="AN281" s="22"/>
      <c r="AO281" s="22"/>
      <c r="AP281" s="22"/>
      <c r="AQ281" s="22"/>
      <c r="AR281" s="30" t="s">
        <v>49</v>
      </c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22" t="n">
        <f aca="false">SUM(AS281:BD281)</f>
        <v>0</v>
      </c>
      <c r="BF281" s="23"/>
      <c r="BG281" s="24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25" t="n">
        <v>1</v>
      </c>
      <c r="BS281" s="18"/>
      <c r="BT281" s="22" t="n">
        <f aca="false">SUM(BH281:BS281)</f>
        <v>1</v>
      </c>
      <c r="BU281" s="26" t="n">
        <v>46036.6402777778</v>
      </c>
      <c r="BV281" s="17" t="s">
        <v>378</v>
      </c>
      <c r="BW281" s="17" t="s">
        <v>44</v>
      </c>
      <c r="BX281" s="23" t="n">
        <f aca="false">IFERROR(R281/AE281,0)</f>
        <v>1568.19</v>
      </c>
      <c r="BY281" s="23" t="n">
        <f aca="false">IFERROR(R281/12,0)</f>
        <v>130.6825</v>
      </c>
      <c r="BZ281" s="18" t="n">
        <v>0</v>
      </c>
      <c r="CA281" s="22" t="str">
        <f aca="false">IF(AE281=0,"PROSPECT",IF(AE281=1,"NOVO",IF(AE281&lt;=3,"EM DESENV.",IF(AE281&lt;=6,"RECORRENTE","FIDELIZADO"))))</f>
        <v>NOVO</v>
      </c>
      <c r="CB281" s="22" t="n">
        <f aca="false">IF((P281+Q281)&gt;0,1,0)+IF((BR281+BS281)&gt;0,1,0)+IF(BE281&gt;0,1,0)</f>
        <v>1</v>
      </c>
    </row>
    <row r="282" customFormat="false" ht="15" hidden="false" customHeight="true" outlineLevel="0" collapsed="false">
      <c r="A282" s="16" t="s">
        <v>809</v>
      </c>
      <c r="B282" s="17" t="s">
        <v>810</v>
      </c>
      <c r="C282" s="18" t="s">
        <v>72</v>
      </c>
      <c r="D282" s="17" t="s">
        <v>227</v>
      </c>
      <c r="E282" s="29" t="s">
        <v>365</v>
      </c>
      <c r="F282" s="20"/>
      <c r="G282" s="20"/>
      <c r="H282" s="20"/>
      <c r="I282" s="20"/>
      <c r="J282" s="20"/>
      <c r="K282" s="20"/>
      <c r="L282" s="27" t="n">
        <v>871.91</v>
      </c>
      <c r="M282" s="20"/>
      <c r="N282" s="20"/>
      <c r="O282" s="20"/>
      <c r="P282" s="20"/>
      <c r="Q282" s="20"/>
      <c r="R282" s="21" t="n">
        <f aca="false">SUM(F282:Q282)</f>
        <v>871.91</v>
      </c>
      <c r="S282" s="18"/>
      <c r="T282" s="18"/>
      <c r="U282" s="18"/>
      <c r="V282" s="18"/>
      <c r="W282" s="18"/>
      <c r="X282" s="18"/>
      <c r="Y282" s="28" t="n">
        <v>1</v>
      </c>
      <c r="Z282" s="18"/>
      <c r="AA282" s="18"/>
      <c r="AB282" s="18"/>
      <c r="AC282" s="18"/>
      <c r="AD282" s="18"/>
      <c r="AE282" s="22" t="n">
        <f aca="false">SUM(S282:AD282)</f>
        <v>1</v>
      </c>
      <c r="AF282" s="22"/>
      <c r="AG282" s="22"/>
      <c r="AH282" s="22"/>
      <c r="AI282" s="22"/>
      <c r="AJ282" s="22"/>
      <c r="AK282" s="22"/>
      <c r="AL282" s="30" t="s">
        <v>49</v>
      </c>
      <c r="AM282" s="22"/>
      <c r="AN282" s="22"/>
      <c r="AO282" s="22"/>
      <c r="AP282" s="22"/>
      <c r="AQ282" s="22"/>
      <c r="AR282" s="29" t="s">
        <v>48</v>
      </c>
      <c r="AS282" s="18"/>
      <c r="AT282" s="18"/>
      <c r="AU282" s="18"/>
      <c r="AV282" s="18"/>
      <c r="AW282" s="18"/>
      <c r="AX282" s="18"/>
      <c r="AY282" s="25" t="n">
        <v>1</v>
      </c>
      <c r="AZ282" s="18"/>
      <c r="BA282" s="25" t="n">
        <v>6</v>
      </c>
      <c r="BB282" s="25" t="n">
        <v>2</v>
      </c>
      <c r="BC282" s="18"/>
      <c r="BD282" s="18"/>
      <c r="BE282" s="22" t="n">
        <f aca="false">SUM(AS282:BD282)</f>
        <v>9</v>
      </c>
      <c r="BF282" s="23" t="n">
        <v>871.91</v>
      </c>
      <c r="BG282" s="19" t="s">
        <v>55</v>
      </c>
      <c r="BH282" s="18"/>
      <c r="BI282" s="18"/>
      <c r="BJ282" s="18"/>
      <c r="BK282" s="18"/>
      <c r="BL282" s="18"/>
      <c r="BM282" s="18"/>
      <c r="BN282" s="18"/>
      <c r="BO282" s="18"/>
      <c r="BP282" s="25" t="n">
        <v>2</v>
      </c>
      <c r="BQ282" s="18"/>
      <c r="BR282" s="18"/>
      <c r="BS282" s="18"/>
      <c r="BT282" s="22" t="n">
        <f aca="false">SUM(BH282:BS282)</f>
        <v>2</v>
      </c>
      <c r="BU282" s="26" t="n">
        <v>45972.6423611111</v>
      </c>
      <c r="BV282" s="17" t="s">
        <v>378</v>
      </c>
      <c r="BW282" s="17" t="s">
        <v>44</v>
      </c>
      <c r="BX282" s="23" t="n">
        <f aca="false">IFERROR(R282/AE282,0)</f>
        <v>871.91</v>
      </c>
      <c r="BY282" s="23" t="n">
        <f aca="false">IFERROR(R282/12,0)</f>
        <v>72.6591666666667</v>
      </c>
      <c r="BZ282" s="18" t="n">
        <v>0</v>
      </c>
      <c r="CA282" s="22" t="str">
        <f aca="false">IF(AE282=0,"PROSPECT",IF(AE282=1,"NOVO",IF(AE282&lt;=3,"EM DESENV.",IF(AE282&lt;=6,"RECORRENTE","FIDELIZADO"))))</f>
        <v>NOVO</v>
      </c>
      <c r="CB282" s="22" t="n">
        <f aca="false">IF((P282+Q282)&gt;0,1,0)+IF((BR282+BS282)&gt;0,1,0)+IF(BE282&gt;0,1,0)</f>
        <v>1</v>
      </c>
    </row>
    <row r="283" customFormat="false" ht="15" hidden="false" customHeight="true" outlineLevel="0" collapsed="false">
      <c r="A283" s="16" t="s">
        <v>811</v>
      </c>
      <c r="B283" s="17" t="s">
        <v>812</v>
      </c>
      <c r="C283" s="18" t="s">
        <v>72</v>
      </c>
      <c r="D283" s="17" t="s">
        <v>709</v>
      </c>
      <c r="E283" s="29" t="s">
        <v>365</v>
      </c>
      <c r="F283" s="20"/>
      <c r="G283" s="20"/>
      <c r="H283" s="20"/>
      <c r="I283" s="20"/>
      <c r="J283" s="20"/>
      <c r="K283" s="20"/>
      <c r="L283" s="27" t="n">
        <v>1387.75</v>
      </c>
      <c r="M283" s="20"/>
      <c r="N283" s="20"/>
      <c r="O283" s="20"/>
      <c r="P283" s="20"/>
      <c r="Q283" s="20"/>
      <c r="R283" s="21" t="n">
        <f aca="false">SUM(F283:Q283)</f>
        <v>1387.75</v>
      </c>
      <c r="S283" s="18"/>
      <c r="T283" s="18"/>
      <c r="U283" s="18"/>
      <c r="V283" s="18"/>
      <c r="W283" s="18"/>
      <c r="X283" s="18"/>
      <c r="Y283" s="28" t="n">
        <v>1</v>
      </c>
      <c r="Z283" s="18"/>
      <c r="AA283" s="18"/>
      <c r="AB283" s="18"/>
      <c r="AC283" s="18"/>
      <c r="AD283" s="18"/>
      <c r="AE283" s="22" t="n">
        <f aca="false">SUM(S283:AD283)</f>
        <v>1</v>
      </c>
      <c r="AF283" s="22"/>
      <c r="AG283" s="22"/>
      <c r="AH283" s="22"/>
      <c r="AI283" s="22"/>
      <c r="AJ283" s="22"/>
      <c r="AK283" s="22"/>
      <c r="AL283" s="19" t="s">
        <v>50</v>
      </c>
      <c r="AM283" s="22"/>
      <c r="AN283" s="22"/>
      <c r="AO283" s="22"/>
      <c r="AP283" s="22"/>
      <c r="AQ283" s="22"/>
      <c r="AR283" s="30" t="s">
        <v>49</v>
      </c>
      <c r="AS283" s="18"/>
      <c r="AT283" s="18"/>
      <c r="AU283" s="18"/>
      <c r="AV283" s="18"/>
      <c r="AW283" s="18"/>
      <c r="AX283" s="25" t="n">
        <v>34</v>
      </c>
      <c r="AY283" s="18"/>
      <c r="AZ283" s="18"/>
      <c r="BA283" s="18"/>
      <c r="BB283" s="18"/>
      <c r="BC283" s="18"/>
      <c r="BD283" s="18"/>
      <c r="BE283" s="22" t="n">
        <f aca="false">SUM(AS283:BD283)</f>
        <v>34</v>
      </c>
      <c r="BF283" s="23"/>
      <c r="BG283" s="31" t="s">
        <v>93</v>
      </c>
      <c r="BH283" s="18"/>
      <c r="BI283" s="18"/>
      <c r="BJ283" s="18"/>
      <c r="BK283" s="18"/>
      <c r="BL283" s="18"/>
      <c r="BM283" s="25" t="n">
        <v>1</v>
      </c>
      <c r="BN283" s="18"/>
      <c r="BO283" s="18"/>
      <c r="BP283" s="25" t="n">
        <v>1</v>
      </c>
      <c r="BQ283" s="18"/>
      <c r="BR283" s="18"/>
      <c r="BS283" s="25" t="n">
        <v>2</v>
      </c>
      <c r="BT283" s="22" t="n">
        <f aca="false">SUM(BH283:BS283)</f>
        <v>4</v>
      </c>
      <c r="BU283" s="26" t="n">
        <v>46059.4465277778</v>
      </c>
      <c r="BV283" s="17"/>
      <c r="BW283" s="17" t="s">
        <v>111</v>
      </c>
      <c r="BX283" s="23" t="n">
        <f aca="false">IFERROR(R283/AE283,0)</f>
        <v>1387.75</v>
      </c>
      <c r="BY283" s="23" t="n">
        <f aca="false">IFERROR(R283/12,0)</f>
        <v>115.645833333333</v>
      </c>
      <c r="BZ283" s="18" t="n">
        <v>0</v>
      </c>
      <c r="CA283" s="22" t="str">
        <f aca="false">IF(AE283=0,"PROSPECT",IF(AE283=1,"NOVO",IF(AE283&lt;=3,"EM DESENV.",IF(AE283&lt;=6,"RECORRENTE","FIDELIZADO"))))</f>
        <v>NOVO</v>
      </c>
      <c r="CB283" s="22" t="n">
        <f aca="false">IF((P283+Q283)&gt;0,1,0)+IF((BR283+BS283)&gt;0,1,0)+IF(BE283&gt;0,1,0)</f>
        <v>2</v>
      </c>
    </row>
    <row r="284" customFormat="false" ht="15" hidden="false" customHeight="true" outlineLevel="0" collapsed="false">
      <c r="A284" s="16" t="s">
        <v>813</v>
      </c>
      <c r="B284" s="17" t="s">
        <v>814</v>
      </c>
      <c r="C284" s="18" t="s">
        <v>83</v>
      </c>
      <c r="D284" s="17" t="s">
        <v>815</v>
      </c>
      <c r="E284" s="29" t="s">
        <v>365</v>
      </c>
      <c r="F284" s="20"/>
      <c r="G284" s="20"/>
      <c r="H284" s="20"/>
      <c r="I284" s="20"/>
      <c r="J284" s="27" t="n">
        <v>2015.4</v>
      </c>
      <c r="K284" s="27" t="n">
        <v>2046.8</v>
      </c>
      <c r="L284" s="20"/>
      <c r="M284" s="27" t="n">
        <v>2766.73</v>
      </c>
      <c r="N284" s="20"/>
      <c r="O284" s="20"/>
      <c r="P284" s="20"/>
      <c r="Q284" s="20"/>
      <c r="R284" s="21" t="n">
        <f aca="false">SUM(F284:Q284)</f>
        <v>6828.93</v>
      </c>
      <c r="S284" s="18"/>
      <c r="T284" s="18"/>
      <c r="U284" s="18"/>
      <c r="V284" s="18"/>
      <c r="W284" s="28" t="n">
        <v>1</v>
      </c>
      <c r="X284" s="28" t="n">
        <v>1</v>
      </c>
      <c r="Y284" s="18"/>
      <c r="Z284" s="28" t="n">
        <v>1</v>
      </c>
      <c r="AA284" s="18"/>
      <c r="AB284" s="18"/>
      <c r="AC284" s="18"/>
      <c r="AD284" s="18"/>
      <c r="AE284" s="22" t="n">
        <f aca="false">SUM(S284:AD284)</f>
        <v>3</v>
      </c>
      <c r="AF284" s="22"/>
      <c r="AG284" s="22"/>
      <c r="AH284" s="22"/>
      <c r="AI284" s="22"/>
      <c r="AJ284" s="19" t="s">
        <v>50</v>
      </c>
      <c r="AK284" s="19" t="s">
        <v>50</v>
      </c>
      <c r="AL284" s="22"/>
      <c r="AM284" s="19" t="s">
        <v>50</v>
      </c>
      <c r="AN284" s="22"/>
      <c r="AO284" s="22"/>
      <c r="AP284" s="22"/>
      <c r="AQ284" s="22"/>
      <c r="AR284" s="19" t="s">
        <v>50</v>
      </c>
      <c r="AS284" s="18"/>
      <c r="AT284" s="18"/>
      <c r="AU284" s="18"/>
      <c r="AV284" s="18"/>
      <c r="AW284" s="18"/>
      <c r="AX284" s="25" t="n">
        <v>3</v>
      </c>
      <c r="AY284" s="18"/>
      <c r="AZ284" s="18"/>
      <c r="BA284" s="18"/>
      <c r="BB284" s="18"/>
      <c r="BC284" s="18"/>
      <c r="BD284" s="25" t="n">
        <v>1</v>
      </c>
      <c r="BE284" s="22" t="n">
        <f aca="false">SUM(AS284:BD284)</f>
        <v>4</v>
      </c>
      <c r="BF284" s="23" t="n">
        <v>2046.8</v>
      </c>
      <c r="BG284" s="19" t="s">
        <v>55</v>
      </c>
      <c r="BH284" s="18"/>
      <c r="BI284" s="18"/>
      <c r="BJ284" s="18"/>
      <c r="BK284" s="18"/>
      <c r="BL284" s="25" t="n">
        <v>3</v>
      </c>
      <c r="BM284" s="25" t="n">
        <v>1</v>
      </c>
      <c r="BN284" s="18"/>
      <c r="BO284" s="18"/>
      <c r="BP284" s="25" t="n">
        <v>2</v>
      </c>
      <c r="BQ284" s="18"/>
      <c r="BR284" s="25" t="n">
        <v>4</v>
      </c>
      <c r="BS284" s="25" t="n">
        <v>1</v>
      </c>
      <c r="BT284" s="22" t="n">
        <f aca="false">SUM(BH284:BS284)</f>
        <v>11</v>
      </c>
      <c r="BU284" s="26" t="n">
        <v>46056.5337384259</v>
      </c>
      <c r="BV284" s="17"/>
      <c r="BW284" s="17" t="s">
        <v>44</v>
      </c>
      <c r="BX284" s="23" t="n">
        <f aca="false">IFERROR(R284/AE284,0)</f>
        <v>2276.31</v>
      </c>
      <c r="BY284" s="23" t="n">
        <f aca="false">IFERROR(R284/12,0)</f>
        <v>569.0775</v>
      </c>
      <c r="BZ284" s="18" t="n">
        <v>45.5</v>
      </c>
      <c r="CA284" s="22" t="str">
        <f aca="false">IF(AE284=0,"PROSPECT",IF(AE284=1,"NOVO",IF(AE284&lt;=3,"EM DESENV.",IF(AE284&lt;=6,"RECORRENTE","FIDELIZADO"))))</f>
        <v>EM DESENV.</v>
      </c>
      <c r="CB284" s="22" t="n">
        <f aca="false">IF((P284+Q284)&gt;0,1,0)+IF((BR284+BS284)&gt;0,1,0)+IF(BE284&gt;0,1,0)</f>
        <v>2</v>
      </c>
    </row>
    <row r="285" customFormat="false" ht="15" hidden="false" customHeight="true" outlineLevel="0" collapsed="false">
      <c r="A285" s="16" t="s">
        <v>816</v>
      </c>
      <c r="B285" s="17" t="s">
        <v>817</v>
      </c>
      <c r="C285" s="18" t="s">
        <v>155</v>
      </c>
      <c r="D285" s="17" t="s">
        <v>818</v>
      </c>
      <c r="E285" s="29" t="s">
        <v>365</v>
      </c>
      <c r="F285" s="20"/>
      <c r="G285" s="20"/>
      <c r="H285" s="27" t="n">
        <v>1574.78</v>
      </c>
      <c r="I285" s="20"/>
      <c r="J285" s="20"/>
      <c r="K285" s="20"/>
      <c r="L285" s="20"/>
      <c r="M285" s="20"/>
      <c r="N285" s="20"/>
      <c r="O285" s="20"/>
      <c r="P285" s="20"/>
      <c r="Q285" s="20"/>
      <c r="R285" s="21" t="n">
        <f aca="false">SUM(F285:Q285)</f>
        <v>1574.78</v>
      </c>
      <c r="S285" s="18"/>
      <c r="T285" s="18"/>
      <c r="U285" s="28" t="n">
        <v>1</v>
      </c>
      <c r="V285" s="18"/>
      <c r="W285" s="18"/>
      <c r="X285" s="18"/>
      <c r="Y285" s="18"/>
      <c r="Z285" s="18"/>
      <c r="AA285" s="18"/>
      <c r="AB285" s="18"/>
      <c r="AC285" s="18"/>
      <c r="AD285" s="18"/>
      <c r="AE285" s="22" t="n">
        <f aca="false">SUM(S285:AD285)</f>
        <v>1</v>
      </c>
      <c r="AF285" s="22"/>
      <c r="AG285" s="22"/>
      <c r="AH285" s="19" t="s">
        <v>50</v>
      </c>
      <c r="AI285" s="22"/>
      <c r="AJ285" s="22"/>
      <c r="AK285" s="22"/>
      <c r="AL285" s="22"/>
      <c r="AM285" s="22"/>
      <c r="AN285" s="22"/>
      <c r="AO285" s="22"/>
      <c r="AP285" s="22"/>
      <c r="AQ285" s="22"/>
      <c r="AR285" s="30" t="s">
        <v>49</v>
      </c>
      <c r="AS285" s="18"/>
      <c r="AT285" s="18"/>
      <c r="AU285" s="18"/>
      <c r="AV285" s="18"/>
      <c r="AW285" s="25" t="n">
        <v>4</v>
      </c>
      <c r="AX285" s="18"/>
      <c r="AY285" s="18"/>
      <c r="AZ285" s="18"/>
      <c r="BA285" s="18"/>
      <c r="BB285" s="18"/>
      <c r="BC285" s="18"/>
      <c r="BD285" s="18"/>
      <c r="BE285" s="22" t="n">
        <f aca="false">SUM(AS285:BD285)</f>
        <v>4</v>
      </c>
      <c r="BF285" s="23" t="n">
        <v>1574.78</v>
      </c>
      <c r="BG285" s="19" t="s">
        <v>55</v>
      </c>
      <c r="BH285" s="18"/>
      <c r="BI285" s="18"/>
      <c r="BJ285" s="18"/>
      <c r="BK285" s="18"/>
      <c r="BL285" s="18"/>
      <c r="BM285" s="18"/>
      <c r="BN285" s="25" t="n">
        <v>1</v>
      </c>
      <c r="BO285" s="18"/>
      <c r="BP285" s="18"/>
      <c r="BQ285" s="18"/>
      <c r="BR285" s="18"/>
      <c r="BS285" s="18"/>
      <c r="BT285" s="22" t="n">
        <f aca="false">SUM(BH285:BS285)</f>
        <v>1</v>
      </c>
      <c r="BU285" s="26" t="n">
        <v>45925.4715277778</v>
      </c>
      <c r="BV285" s="17" t="s">
        <v>173</v>
      </c>
      <c r="BW285" s="17" t="s">
        <v>44</v>
      </c>
      <c r="BX285" s="23" t="n">
        <f aca="false">IFERROR(R285/AE285,0)</f>
        <v>1574.78</v>
      </c>
      <c r="BY285" s="23" t="n">
        <f aca="false">IFERROR(R285/12,0)</f>
        <v>131.231666666667</v>
      </c>
      <c r="BZ285" s="18" t="n">
        <v>0</v>
      </c>
      <c r="CA285" s="22" t="str">
        <f aca="false">IF(AE285=0,"PROSPECT",IF(AE285=1,"NOVO",IF(AE285&lt;=3,"EM DESENV.",IF(AE285&lt;=6,"RECORRENTE","FIDELIZADO"))))</f>
        <v>NOVO</v>
      </c>
      <c r="CB285" s="22" t="n">
        <f aca="false">IF((P285+Q285)&gt;0,1,0)+IF((BR285+BS285)&gt;0,1,0)+IF(BE285&gt;0,1,0)</f>
        <v>1</v>
      </c>
    </row>
    <row r="286" customFormat="false" ht="15" hidden="false" customHeight="true" outlineLevel="0" collapsed="false">
      <c r="A286" s="16" t="s">
        <v>819</v>
      </c>
      <c r="B286" s="17" t="s">
        <v>820</v>
      </c>
      <c r="C286" s="18" t="s">
        <v>61</v>
      </c>
      <c r="D286" s="17" t="s">
        <v>821</v>
      </c>
      <c r="E286" s="29" t="s">
        <v>365</v>
      </c>
      <c r="F286" s="20"/>
      <c r="G286" s="20"/>
      <c r="H286" s="20"/>
      <c r="I286" s="20"/>
      <c r="J286" s="27" t="n">
        <v>690.8</v>
      </c>
      <c r="K286" s="20"/>
      <c r="L286" s="20"/>
      <c r="M286" s="20"/>
      <c r="N286" s="20"/>
      <c r="O286" s="20"/>
      <c r="P286" s="20"/>
      <c r="Q286" s="20"/>
      <c r="R286" s="21" t="n">
        <f aca="false">SUM(F286:Q286)</f>
        <v>690.8</v>
      </c>
      <c r="S286" s="18"/>
      <c r="T286" s="18"/>
      <c r="U286" s="18"/>
      <c r="V286" s="18"/>
      <c r="W286" s="28" t="n">
        <v>1</v>
      </c>
      <c r="X286" s="18"/>
      <c r="Y286" s="18"/>
      <c r="Z286" s="18"/>
      <c r="AA286" s="18"/>
      <c r="AB286" s="18"/>
      <c r="AC286" s="18"/>
      <c r="AD286" s="18"/>
      <c r="AE286" s="22" t="n">
        <f aca="false">SUM(S286:AD286)</f>
        <v>1</v>
      </c>
      <c r="AF286" s="22"/>
      <c r="AG286" s="22"/>
      <c r="AH286" s="22"/>
      <c r="AI286" s="22"/>
      <c r="AJ286" s="29" t="s">
        <v>48</v>
      </c>
      <c r="AK286" s="22"/>
      <c r="AL286" s="22"/>
      <c r="AM286" s="22"/>
      <c r="AN286" s="22"/>
      <c r="AO286" s="22"/>
      <c r="AP286" s="22"/>
      <c r="AQ286" s="22"/>
      <c r="AR286" s="29" t="s">
        <v>48</v>
      </c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22" t="n">
        <f aca="false">SUM(AS286:BD286)</f>
        <v>0</v>
      </c>
      <c r="BF286" s="23"/>
      <c r="BG286" s="24"/>
      <c r="BH286" s="18"/>
      <c r="BI286" s="18"/>
      <c r="BJ286" s="18"/>
      <c r="BK286" s="25" t="n">
        <v>1</v>
      </c>
      <c r="BL286" s="25" t="n">
        <v>2</v>
      </c>
      <c r="BM286" s="25" t="n">
        <v>2</v>
      </c>
      <c r="BN286" s="18"/>
      <c r="BO286" s="18"/>
      <c r="BP286" s="18"/>
      <c r="BQ286" s="18"/>
      <c r="BR286" s="25" t="n">
        <v>1</v>
      </c>
      <c r="BS286" s="18"/>
      <c r="BT286" s="22" t="n">
        <f aca="false">SUM(BH286:BS286)</f>
        <v>6</v>
      </c>
      <c r="BU286" s="26" t="n">
        <v>46034.4881365741</v>
      </c>
      <c r="BV286" s="17"/>
      <c r="BW286" s="17" t="s">
        <v>44</v>
      </c>
      <c r="BX286" s="23" t="n">
        <f aca="false">IFERROR(R286/AE286,0)</f>
        <v>690.8</v>
      </c>
      <c r="BY286" s="23" t="n">
        <f aca="false">IFERROR(R286/12,0)</f>
        <v>57.5666666666667</v>
      </c>
      <c r="BZ286" s="18" t="n">
        <v>0</v>
      </c>
      <c r="CA286" s="22" t="str">
        <f aca="false">IF(AE286=0,"PROSPECT",IF(AE286=1,"NOVO",IF(AE286&lt;=3,"EM DESENV.",IF(AE286&lt;=6,"RECORRENTE","FIDELIZADO"))))</f>
        <v>NOVO</v>
      </c>
      <c r="CB286" s="22" t="n">
        <f aca="false">IF((P286+Q286)&gt;0,1,0)+IF((BR286+BS286)&gt;0,1,0)+IF(BE286&gt;0,1,0)</f>
        <v>1</v>
      </c>
    </row>
    <row r="287" customFormat="false" ht="15" hidden="false" customHeight="true" outlineLevel="0" collapsed="false">
      <c r="A287" s="16" t="s">
        <v>822</v>
      </c>
      <c r="B287" s="17" t="s">
        <v>823</v>
      </c>
      <c r="C287" s="18" t="s">
        <v>230</v>
      </c>
      <c r="D287" s="17" t="s">
        <v>824</v>
      </c>
      <c r="E287" s="29" t="s">
        <v>365</v>
      </c>
      <c r="F287" s="20"/>
      <c r="G287" s="20"/>
      <c r="H287" s="27" t="n">
        <v>1735.25</v>
      </c>
      <c r="I287" s="20"/>
      <c r="J287" s="27" t="n">
        <v>1556.85</v>
      </c>
      <c r="K287" s="20"/>
      <c r="L287" s="20"/>
      <c r="M287" s="20"/>
      <c r="N287" s="20"/>
      <c r="O287" s="20"/>
      <c r="P287" s="20"/>
      <c r="Q287" s="20"/>
      <c r="R287" s="21" t="n">
        <f aca="false">SUM(F287:Q287)</f>
        <v>3292.1</v>
      </c>
      <c r="S287" s="18"/>
      <c r="T287" s="18"/>
      <c r="U287" s="28" t="n">
        <v>1</v>
      </c>
      <c r="V287" s="18"/>
      <c r="W287" s="28" t="n">
        <v>1</v>
      </c>
      <c r="X287" s="18"/>
      <c r="Y287" s="18"/>
      <c r="Z287" s="18"/>
      <c r="AA287" s="18"/>
      <c r="AB287" s="18"/>
      <c r="AC287" s="18"/>
      <c r="AD287" s="18"/>
      <c r="AE287" s="22" t="n">
        <f aca="false">SUM(S287:AD287)</f>
        <v>2</v>
      </c>
      <c r="AF287" s="22"/>
      <c r="AG287" s="22"/>
      <c r="AH287" s="19" t="s">
        <v>50</v>
      </c>
      <c r="AI287" s="22"/>
      <c r="AJ287" s="19" t="s">
        <v>50</v>
      </c>
      <c r="AK287" s="22"/>
      <c r="AL287" s="22"/>
      <c r="AM287" s="22"/>
      <c r="AN287" s="22"/>
      <c r="AO287" s="22"/>
      <c r="AP287" s="22"/>
      <c r="AQ287" s="22"/>
      <c r="AR287" s="19" t="s">
        <v>50</v>
      </c>
      <c r="AS287" s="18"/>
      <c r="AT287" s="18"/>
      <c r="AU287" s="18"/>
      <c r="AV287" s="25" t="n">
        <v>45</v>
      </c>
      <c r="AW287" s="25" t="n">
        <v>36</v>
      </c>
      <c r="AX287" s="18"/>
      <c r="AY287" s="25" t="n">
        <v>5</v>
      </c>
      <c r="AZ287" s="18"/>
      <c r="BA287" s="25" t="n">
        <v>2</v>
      </c>
      <c r="BB287" s="25" t="n">
        <v>7</v>
      </c>
      <c r="BC287" s="18"/>
      <c r="BD287" s="18"/>
      <c r="BE287" s="22" t="n">
        <f aca="false">SUM(AS287:BD287)</f>
        <v>95</v>
      </c>
      <c r="BF287" s="23" t="n">
        <v>1735.25</v>
      </c>
      <c r="BG287" s="19" t="s">
        <v>55</v>
      </c>
      <c r="BH287" s="18"/>
      <c r="BI287" s="18"/>
      <c r="BJ287" s="25" t="n">
        <v>2</v>
      </c>
      <c r="BK287" s="25" t="n">
        <v>1</v>
      </c>
      <c r="BL287" s="18"/>
      <c r="BM287" s="18"/>
      <c r="BN287" s="25" t="n">
        <v>1</v>
      </c>
      <c r="BO287" s="18"/>
      <c r="BP287" s="18"/>
      <c r="BQ287" s="18"/>
      <c r="BR287" s="25" t="n">
        <v>2</v>
      </c>
      <c r="BS287" s="18"/>
      <c r="BT287" s="22" t="n">
        <f aca="false">SUM(BH287:BS287)</f>
        <v>6</v>
      </c>
      <c r="BU287" s="26" t="n">
        <v>46036.6625</v>
      </c>
      <c r="BV287" s="17" t="s">
        <v>378</v>
      </c>
      <c r="BW287" s="17" t="s">
        <v>44</v>
      </c>
      <c r="BX287" s="23" t="n">
        <f aca="false">IFERROR(R287/AE287,0)</f>
        <v>1646.05</v>
      </c>
      <c r="BY287" s="23" t="n">
        <f aca="false">IFERROR(R287/12,0)</f>
        <v>274.341666666667</v>
      </c>
      <c r="BZ287" s="18" t="n">
        <v>42</v>
      </c>
      <c r="CA287" s="22" t="str">
        <f aca="false">IF(AE287=0,"PROSPECT",IF(AE287=1,"NOVO",IF(AE287&lt;=3,"EM DESENV.",IF(AE287&lt;=6,"RECORRENTE","FIDELIZADO"))))</f>
        <v>EM DESENV.</v>
      </c>
      <c r="CB287" s="22" t="n">
        <f aca="false">IF((P287+Q287)&gt;0,1,0)+IF((BR287+BS287)&gt;0,1,0)+IF(BE287&gt;0,1,0)</f>
        <v>2</v>
      </c>
    </row>
    <row r="288" customFormat="false" ht="15" hidden="false" customHeight="true" outlineLevel="0" collapsed="false">
      <c r="A288" s="16" t="s">
        <v>825</v>
      </c>
      <c r="B288" s="17" t="s">
        <v>826</v>
      </c>
      <c r="C288" s="18" t="s">
        <v>61</v>
      </c>
      <c r="D288" s="17" t="s">
        <v>827</v>
      </c>
      <c r="E288" s="29" t="s">
        <v>365</v>
      </c>
      <c r="F288" s="20"/>
      <c r="G288" s="27" t="n">
        <v>1072.09</v>
      </c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1" t="n">
        <f aca="false">SUM(F288:Q288)</f>
        <v>1072.09</v>
      </c>
      <c r="S288" s="18"/>
      <c r="T288" s="28" t="n">
        <v>1</v>
      </c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22" t="n">
        <f aca="false">SUM(S288:AD288)</f>
        <v>1</v>
      </c>
      <c r="AF288" s="22"/>
      <c r="AG288" s="30" t="s">
        <v>49</v>
      </c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9" t="s">
        <v>48</v>
      </c>
      <c r="AS288" s="18"/>
      <c r="AT288" s="25" t="n">
        <v>6</v>
      </c>
      <c r="AU288" s="25" t="n">
        <v>6</v>
      </c>
      <c r="AV288" s="25" t="n">
        <v>1</v>
      </c>
      <c r="AW288" s="18"/>
      <c r="AX288" s="18"/>
      <c r="AY288" s="18"/>
      <c r="AZ288" s="18"/>
      <c r="BA288" s="18"/>
      <c r="BB288" s="18"/>
      <c r="BC288" s="18"/>
      <c r="BD288" s="18"/>
      <c r="BE288" s="22" t="n">
        <f aca="false">SUM(AS288:BD288)</f>
        <v>13</v>
      </c>
      <c r="BF288" s="23" t="n">
        <v>2144.18</v>
      </c>
      <c r="BG288" s="19" t="s">
        <v>55</v>
      </c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22" t="n">
        <f aca="false">SUM(BH288:BS288)</f>
        <v>0</v>
      </c>
      <c r="BU288" s="26"/>
      <c r="BV288" s="17"/>
      <c r="BW288" s="17"/>
      <c r="BX288" s="23" t="n">
        <f aca="false">IFERROR(R288/AE288,0)</f>
        <v>1072.09</v>
      </c>
      <c r="BY288" s="23" t="n">
        <f aca="false">IFERROR(R288/12,0)</f>
        <v>89.3408333333333</v>
      </c>
      <c r="BZ288" s="18" t="n">
        <v>0</v>
      </c>
      <c r="CA288" s="22" t="str">
        <f aca="false">IF(AE288=0,"PROSPECT",IF(AE288=1,"NOVO",IF(AE288&lt;=3,"EM DESENV.",IF(AE288&lt;=6,"RECORRENTE","FIDELIZADO"))))</f>
        <v>NOVO</v>
      </c>
      <c r="CB288" s="22" t="n">
        <f aca="false">IF((P288+Q288)&gt;0,1,0)+IF((BR288+BS288)&gt;0,1,0)+IF(BE288&gt;0,1,0)</f>
        <v>1</v>
      </c>
    </row>
    <row r="289" customFormat="false" ht="15" hidden="false" customHeight="true" outlineLevel="0" collapsed="false">
      <c r="A289" s="16" t="s">
        <v>828</v>
      </c>
      <c r="B289" s="17" t="s">
        <v>829</v>
      </c>
      <c r="C289" s="18" t="s">
        <v>41</v>
      </c>
      <c r="D289" s="17" t="s">
        <v>830</v>
      </c>
      <c r="E289" s="29" t="s">
        <v>365</v>
      </c>
      <c r="F289" s="20"/>
      <c r="G289" s="27" t="n">
        <v>1279.51</v>
      </c>
      <c r="H289" s="20"/>
      <c r="I289" s="20"/>
      <c r="J289" s="20"/>
      <c r="K289" s="20"/>
      <c r="L289" s="27" t="n">
        <v>795.71</v>
      </c>
      <c r="M289" s="20"/>
      <c r="N289" s="20"/>
      <c r="O289" s="20"/>
      <c r="P289" s="20"/>
      <c r="Q289" s="20"/>
      <c r="R289" s="21" t="n">
        <f aca="false">SUM(F289:Q289)</f>
        <v>2075.22</v>
      </c>
      <c r="S289" s="18"/>
      <c r="T289" s="28" t="n">
        <v>1</v>
      </c>
      <c r="U289" s="18"/>
      <c r="V289" s="18"/>
      <c r="W289" s="18"/>
      <c r="X289" s="18"/>
      <c r="Y289" s="28" t="n">
        <v>1</v>
      </c>
      <c r="Z289" s="18"/>
      <c r="AA289" s="18"/>
      <c r="AB289" s="18"/>
      <c r="AC289" s="18"/>
      <c r="AD289" s="18"/>
      <c r="AE289" s="22" t="n">
        <f aca="false">SUM(S289:AD289)</f>
        <v>2</v>
      </c>
      <c r="AF289" s="22"/>
      <c r="AG289" s="30" t="s">
        <v>49</v>
      </c>
      <c r="AH289" s="22"/>
      <c r="AI289" s="22"/>
      <c r="AJ289" s="22"/>
      <c r="AK289" s="22"/>
      <c r="AL289" s="30" t="s">
        <v>49</v>
      </c>
      <c r="AM289" s="22"/>
      <c r="AN289" s="22"/>
      <c r="AO289" s="22"/>
      <c r="AP289" s="22"/>
      <c r="AQ289" s="22"/>
      <c r="AR289" s="30" t="s">
        <v>49</v>
      </c>
      <c r="AS289" s="18"/>
      <c r="AT289" s="25" t="n">
        <v>11</v>
      </c>
      <c r="AU289" s="25" t="n">
        <v>11</v>
      </c>
      <c r="AV289" s="25" t="n">
        <v>16</v>
      </c>
      <c r="AW289" s="25" t="n">
        <v>29</v>
      </c>
      <c r="AX289" s="25" t="n">
        <v>12</v>
      </c>
      <c r="AY289" s="25" t="n">
        <v>25</v>
      </c>
      <c r="AZ289" s="18"/>
      <c r="BA289" s="18"/>
      <c r="BB289" s="18"/>
      <c r="BC289" s="18"/>
      <c r="BD289" s="18"/>
      <c r="BE289" s="22" t="n">
        <f aca="false">SUM(AS289:BD289)</f>
        <v>104</v>
      </c>
      <c r="BF289" s="23" t="n">
        <v>3354.73</v>
      </c>
      <c r="BG289" s="19" t="s">
        <v>55</v>
      </c>
      <c r="BH289" s="18"/>
      <c r="BI289" s="18"/>
      <c r="BJ289" s="25" t="n">
        <v>2</v>
      </c>
      <c r="BK289" s="18"/>
      <c r="BL289" s="18"/>
      <c r="BM289" s="18"/>
      <c r="BN289" s="18"/>
      <c r="BO289" s="25" t="n">
        <v>1</v>
      </c>
      <c r="BP289" s="25" t="n">
        <v>1</v>
      </c>
      <c r="BQ289" s="25" t="n">
        <v>1</v>
      </c>
      <c r="BR289" s="18"/>
      <c r="BS289" s="18"/>
      <c r="BT289" s="22" t="n">
        <f aca="false">SUM(BH289:BS289)</f>
        <v>5</v>
      </c>
      <c r="BU289" s="26" t="n">
        <v>45994.48125</v>
      </c>
      <c r="BV289" s="17"/>
      <c r="BW289" s="17" t="s">
        <v>44</v>
      </c>
      <c r="BX289" s="23" t="n">
        <f aca="false">IFERROR(R289/AE289,0)</f>
        <v>1037.61</v>
      </c>
      <c r="BY289" s="23" t="n">
        <f aca="false">IFERROR(R289/12,0)</f>
        <v>172.935</v>
      </c>
      <c r="BZ289" s="18" t="n">
        <v>134</v>
      </c>
      <c r="CA289" s="22" t="str">
        <f aca="false">IF(AE289=0,"PROSPECT",IF(AE289=1,"NOVO",IF(AE289&lt;=3,"EM DESENV.",IF(AE289&lt;=6,"RECORRENTE","FIDELIZADO"))))</f>
        <v>EM DESENV.</v>
      </c>
      <c r="CB289" s="22" t="n">
        <f aca="false">IF((P289+Q289)&gt;0,1,0)+IF((BR289+BS289)&gt;0,1,0)+IF(BE289&gt;0,1,0)</f>
        <v>1</v>
      </c>
    </row>
    <row r="290" customFormat="false" ht="15" hidden="false" customHeight="true" outlineLevel="0" collapsed="false">
      <c r="A290" s="16" t="s">
        <v>831</v>
      </c>
      <c r="B290" s="17" t="s">
        <v>832</v>
      </c>
      <c r="C290" s="18" t="s">
        <v>72</v>
      </c>
      <c r="D290" s="17" t="s">
        <v>833</v>
      </c>
      <c r="E290" s="29" t="s">
        <v>365</v>
      </c>
      <c r="F290" s="20"/>
      <c r="G290" s="20"/>
      <c r="H290" s="20"/>
      <c r="I290" s="20"/>
      <c r="J290" s="20"/>
      <c r="K290" s="20"/>
      <c r="L290" s="27" t="n">
        <v>1560.86</v>
      </c>
      <c r="M290" s="27" t="n">
        <v>2779.45</v>
      </c>
      <c r="N290" s="20"/>
      <c r="O290" s="20"/>
      <c r="P290" s="20"/>
      <c r="Q290" s="20"/>
      <c r="R290" s="21" t="n">
        <f aca="false">SUM(F290:Q290)</f>
        <v>4340.31</v>
      </c>
      <c r="S290" s="18"/>
      <c r="T290" s="18"/>
      <c r="U290" s="18"/>
      <c r="V290" s="18"/>
      <c r="W290" s="18"/>
      <c r="X290" s="18"/>
      <c r="Y290" s="28" t="n">
        <v>1</v>
      </c>
      <c r="Z290" s="28" t="n">
        <v>1</v>
      </c>
      <c r="AA290" s="18"/>
      <c r="AB290" s="18"/>
      <c r="AC290" s="18"/>
      <c r="AD290" s="18"/>
      <c r="AE290" s="22" t="n">
        <f aca="false">SUM(S290:AD290)</f>
        <v>2</v>
      </c>
      <c r="AF290" s="22"/>
      <c r="AG290" s="22"/>
      <c r="AH290" s="22"/>
      <c r="AI290" s="22"/>
      <c r="AJ290" s="22"/>
      <c r="AK290" s="22"/>
      <c r="AL290" s="19" t="s">
        <v>50</v>
      </c>
      <c r="AM290" s="19" t="s">
        <v>50</v>
      </c>
      <c r="AN290" s="22"/>
      <c r="AO290" s="22"/>
      <c r="AP290" s="22"/>
      <c r="AQ290" s="22"/>
      <c r="AR290" s="19" t="s">
        <v>50</v>
      </c>
      <c r="AS290" s="18"/>
      <c r="AT290" s="18"/>
      <c r="AU290" s="18"/>
      <c r="AV290" s="18"/>
      <c r="AW290" s="18"/>
      <c r="AX290" s="25" t="n">
        <v>15</v>
      </c>
      <c r="AY290" s="25" t="n">
        <v>4</v>
      </c>
      <c r="AZ290" s="18"/>
      <c r="BA290" s="18"/>
      <c r="BB290" s="18"/>
      <c r="BC290" s="18"/>
      <c r="BD290" s="18"/>
      <c r="BE290" s="22" t="n">
        <f aca="false">SUM(AS290:BD290)</f>
        <v>19</v>
      </c>
      <c r="BF290" s="23" t="n">
        <v>1560.86</v>
      </c>
      <c r="BG290" s="19" t="s">
        <v>55</v>
      </c>
      <c r="BH290" s="18"/>
      <c r="BI290" s="18"/>
      <c r="BJ290" s="18"/>
      <c r="BK290" s="18"/>
      <c r="BL290" s="18"/>
      <c r="BM290" s="25" t="n">
        <v>1</v>
      </c>
      <c r="BN290" s="18"/>
      <c r="BO290" s="25" t="n">
        <v>1</v>
      </c>
      <c r="BP290" s="25" t="n">
        <v>1</v>
      </c>
      <c r="BQ290" s="18"/>
      <c r="BR290" s="18"/>
      <c r="BS290" s="18"/>
      <c r="BT290" s="22" t="n">
        <f aca="false">SUM(BH290:BS290)</f>
        <v>3</v>
      </c>
      <c r="BU290" s="26" t="n">
        <v>45975.5916782407</v>
      </c>
      <c r="BV290" s="17"/>
      <c r="BW290" s="17" t="s">
        <v>44</v>
      </c>
      <c r="BX290" s="23" t="n">
        <f aca="false">IFERROR(R290/AE290,0)</f>
        <v>2170.155</v>
      </c>
      <c r="BY290" s="23" t="n">
        <f aca="false">IFERROR(R290/12,0)</f>
        <v>361.6925</v>
      </c>
      <c r="BZ290" s="18" t="n">
        <v>41</v>
      </c>
      <c r="CA290" s="22" t="str">
        <f aca="false">IF(AE290=0,"PROSPECT",IF(AE290=1,"NOVO",IF(AE290&lt;=3,"EM DESENV.",IF(AE290&lt;=6,"RECORRENTE","FIDELIZADO"))))</f>
        <v>EM DESENV.</v>
      </c>
      <c r="CB290" s="22" t="n">
        <f aca="false">IF((P290+Q290)&gt;0,1,0)+IF((BR290+BS290)&gt;0,1,0)+IF(BE290&gt;0,1,0)</f>
        <v>1</v>
      </c>
    </row>
    <row r="291" customFormat="false" ht="15" hidden="false" customHeight="true" outlineLevel="0" collapsed="false">
      <c r="A291" s="16" t="s">
        <v>834</v>
      </c>
      <c r="B291" s="17" t="s">
        <v>835</v>
      </c>
      <c r="C291" s="18" t="s">
        <v>83</v>
      </c>
      <c r="D291" s="17" t="s">
        <v>84</v>
      </c>
      <c r="E291" s="29" t="s">
        <v>365</v>
      </c>
      <c r="F291" s="20"/>
      <c r="G291" s="20"/>
      <c r="H291" s="27" t="n">
        <v>3539.41</v>
      </c>
      <c r="I291" s="20"/>
      <c r="J291" s="20"/>
      <c r="K291" s="20"/>
      <c r="L291" s="20"/>
      <c r="M291" s="20"/>
      <c r="N291" s="20"/>
      <c r="O291" s="20"/>
      <c r="P291" s="20"/>
      <c r="Q291" s="20"/>
      <c r="R291" s="21" t="n">
        <f aca="false">SUM(F291:Q291)</f>
        <v>3539.41</v>
      </c>
      <c r="S291" s="18"/>
      <c r="T291" s="18"/>
      <c r="U291" s="28" t="n">
        <v>1</v>
      </c>
      <c r="V291" s="18"/>
      <c r="W291" s="18"/>
      <c r="X291" s="18"/>
      <c r="Y291" s="18"/>
      <c r="Z291" s="18"/>
      <c r="AA291" s="18"/>
      <c r="AB291" s="18"/>
      <c r="AC291" s="18"/>
      <c r="AD291" s="18"/>
      <c r="AE291" s="22" t="n">
        <f aca="false">SUM(S291:AD291)</f>
        <v>1</v>
      </c>
      <c r="AF291" s="22"/>
      <c r="AG291" s="22"/>
      <c r="AH291" s="19" t="s">
        <v>50</v>
      </c>
      <c r="AI291" s="22"/>
      <c r="AJ291" s="22"/>
      <c r="AK291" s="22"/>
      <c r="AL291" s="22"/>
      <c r="AM291" s="22"/>
      <c r="AN291" s="22"/>
      <c r="AO291" s="22"/>
      <c r="AP291" s="22"/>
      <c r="AQ291" s="22"/>
      <c r="AR291" s="19" t="s">
        <v>50</v>
      </c>
      <c r="AS291" s="18"/>
      <c r="AT291" s="18"/>
      <c r="AU291" s="18"/>
      <c r="AV291" s="18"/>
      <c r="AW291" s="25" t="n">
        <v>6</v>
      </c>
      <c r="AX291" s="18"/>
      <c r="AY291" s="18"/>
      <c r="AZ291" s="18"/>
      <c r="BA291" s="18"/>
      <c r="BB291" s="18"/>
      <c r="BC291" s="18"/>
      <c r="BD291" s="18"/>
      <c r="BE291" s="22" t="n">
        <f aca="false">SUM(AS291:BD291)</f>
        <v>6</v>
      </c>
      <c r="BF291" s="23" t="n">
        <v>3539.41</v>
      </c>
      <c r="BG291" s="19" t="s">
        <v>55</v>
      </c>
      <c r="BH291" s="18"/>
      <c r="BI291" s="18"/>
      <c r="BJ291" s="25" t="n">
        <v>1</v>
      </c>
      <c r="BK291" s="18"/>
      <c r="BL291" s="25" t="n">
        <v>1</v>
      </c>
      <c r="BM291" s="18"/>
      <c r="BN291" s="18"/>
      <c r="BO291" s="18"/>
      <c r="BP291" s="18"/>
      <c r="BQ291" s="18"/>
      <c r="BR291" s="18"/>
      <c r="BS291" s="18"/>
      <c r="BT291" s="22" t="n">
        <f aca="false">SUM(BH291:BS291)</f>
        <v>2</v>
      </c>
      <c r="BU291" s="26" t="n">
        <v>45846.4263888889</v>
      </c>
      <c r="BV291" s="17" t="s">
        <v>243</v>
      </c>
      <c r="BW291" s="17" t="s">
        <v>44</v>
      </c>
      <c r="BX291" s="23" t="n">
        <f aca="false">IFERROR(R291/AE291,0)</f>
        <v>3539.41</v>
      </c>
      <c r="BY291" s="23" t="n">
        <f aca="false">IFERROR(R291/12,0)</f>
        <v>294.950833333333</v>
      </c>
      <c r="BZ291" s="18" t="n">
        <v>0</v>
      </c>
      <c r="CA291" s="22" t="str">
        <f aca="false">IF(AE291=0,"PROSPECT",IF(AE291=1,"NOVO",IF(AE291&lt;=3,"EM DESENV.",IF(AE291&lt;=6,"RECORRENTE","FIDELIZADO"))))</f>
        <v>NOVO</v>
      </c>
      <c r="CB291" s="22" t="n">
        <f aca="false">IF((P291+Q291)&gt;0,1,0)+IF((BR291+BS291)&gt;0,1,0)+IF(BE291&gt;0,1,0)</f>
        <v>1</v>
      </c>
    </row>
    <row r="292" customFormat="false" ht="15" hidden="false" customHeight="true" outlineLevel="0" collapsed="false">
      <c r="A292" s="16" t="s">
        <v>836</v>
      </c>
      <c r="B292" s="17" t="s">
        <v>837</v>
      </c>
      <c r="C292" s="18" t="s">
        <v>61</v>
      </c>
      <c r="D292" s="17" t="s">
        <v>210</v>
      </c>
      <c r="E292" s="29" t="s">
        <v>365</v>
      </c>
      <c r="F292" s="20"/>
      <c r="G292" s="20"/>
      <c r="H292" s="20"/>
      <c r="I292" s="20"/>
      <c r="J292" s="20"/>
      <c r="K292" s="27" t="n">
        <v>1256.12</v>
      </c>
      <c r="L292" s="20"/>
      <c r="M292" s="20"/>
      <c r="N292" s="20"/>
      <c r="O292" s="20"/>
      <c r="P292" s="20"/>
      <c r="Q292" s="20"/>
      <c r="R292" s="21" t="n">
        <f aca="false">SUM(F292:Q292)</f>
        <v>1256.12</v>
      </c>
      <c r="S292" s="18"/>
      <c r="T292" s="18"/>
      <c r="U292" s="18"/>
      <c r="V292" s="18"/>
      <c r="W292" s="18"/>
      <c r="X292" s="28" t="n">
        <v>1</v>
      </c>
      <c r="Y292" s="18"/>
      <c r="Z292" s="18"/>
      <c r="AA292" s="18"/>
      <c r="AB292" s="18"/>
      <c r="AC292" s="18"/>
      <c r="AD292" s="18"/>
      <c r="AE292" s="22" t="n">
        <f aca="false">SUM(S292:AD292)</f>
        <v>1</v>
      </c>
      <c r="AF292" s="22"/>
      <c r="AG292" s="22"/>
      <c r="AH292" s="22"/>
      <c r="AI292" s="22"/>
      <c r="AJ292" s="22"/>
      <c r="AK292" s="30" t="s">
        <v>49</v>
      </c>
      <c r="AL292" s="22"/>
      <c r="AM292" s="22"/>
      <c r="AN292" s="22"/>
      <c r="AO292" s="22"/>
      <c r="AP292" s="22"/>
      <c r="AQ292" s="22"/>
      <c r="AR292" s="30" t="s">
        <v>49</v>
      </c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22" t="n">
        <f aca="false">SUM(AS292:BD292)</f>
        <v>0</v>
      </c>
      <c r="BF292" s="23"/>
      <c r="BG292" s="24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22" t="n">
        <f aca="false">SUM(BH292:BS292)</f>
        <v>0</v>
      </c>
      <c r="BU292" s="26"/>
      <c r="BV292" s="17"/>
      <c r="BW292" s="17"/>
      <c r="BX292" s="23" t="n">
        <f aca="false">IFERROR(R292/AE292,0)</f>
        <v>1256.12</v>
      </c>
      <c r="BY292" s="23" t="n">
        <f aca="false">IFERROR(R292/12,0)</f>
        <v>104.676666666667</v>
      </c>
      <c r="BZ292" s="18" t="n">
        <v>0</v>
      </c>
      <c r="CA292" s="22" t="str">
        <f aca="false">IF(AE292=0,"PROSPECT",IF(AE292=1,"NOVO",IF(AE292&lt;=3,"EM DESENV.",IF(AE292&lt;=6,"RECORRENTE","FIDELIZADO"))))</f>
        <v>NOVO</v>
      </c>
      <c r="CB292" s="22" t="n">
        <f aca="false">IF((P292+Q292)&gt;0,1,0)+IF((BR292+BS292)&gt;0,1,0)+IF(BE292&gt;0,1,0)</f>
        <v>0</v>
      </c>
    </row>
    <row r="293" customFormat="false" ht="15" hidden="false" customHeight="true" outlineLevel="0" collapsed="false">
      <c r="A293" s="16" t="s">
        <v>838</v>
      </c>
      <c r="B293" s="17" t="s">
        <v>839</v>
      </c>
      <c r="C293" s="18" t="s">
        <v>83</v>
      </c>
      <c r="D293" s="17" t="s">
        <v>840</v>
      </c>
      <c r="E293" s="29" t="s">
        <v>365</v>
      </c>
      <c r="F293" s="20"/>
      <c r="G293" s="20"/>
      <c r="H293" s="20"/>
      <c r="I293" s="20"/>
      <c r="J293" s="20"/>
      <c r="K293" s="20"/>
      <c r="L293" s="20"/>
      <c r="M293" s="20"/>
      <c r="N293" s="27" t="n">
        <v>791.12</v>
      </c>
      <c r="O293" s="27" t="n">
        <v>407.92</v>
      </c>
      <c r="P293" s="20"/>
      <c r="Q293" s="20"/>
      <c r="R293" s="21" t="n">
        <f aca="false">SUM(F293:Q293)</f>
        <v>1199.04</v>
      </c>
      <c r="S293" s="18"/>
      <c r="T293" s="18"/>
      <c r="U293" s="18"/>
      <c r="V293" s="18"/>
      <c r="W293" s="18"/>
      <c r="X293" s="18"/>
      <c r="Y293" s="18"/>
      <c r="Z293" s="18"/>
      <c r="AA293" s="28" t="n">
        <v>1</v>
      </c>
      <c r="AB293" s="28" t="n">
        <v>1</v>
      </c>
      <c r="AC293" s="18"/>
      <c r="AD293" s="18"/>
      <c r="AE293" s="22" t="n">
        <f aca="false">SUM(S293:AD293)</f>
        <v>2</v>
      </c>
      <c r="AF293" s="22"/>
      <c r="AG293" s="22"/>
      <c r="AH293" s="22"/>
      <c r="AI293" s="22"/>
      <c r="AJ293" s="22"/>
      <c r="AK293" s="22"/>
      <c r="AL293" s="22"/>
      <c r="AM293" s="22"/>
      <c r="AN293" s="30" t="s">
        <v>49</v>
      </c>
      <c r="AO293" s="29" t="s">
        <v>48</v>
      </c>
      <c r="AP293" s="22"/>
      <c r="AQ293" s="22"/>
      <c r="AR293" s="30" t="s">
        <v>49</v>
      </c>
      <c r="AS293" s="18"/>
      <c r="AT293" s="18"/>
      <c r="AU293" s="18"/>
      <c r="AV293" s="18"/>
      <c r="AW293" s="18"/>
      <c r="AX293" s="18"/>
      <c r="AY293" s="18"/>
      <c r="AZ293" s="18"/>
      <c r="BA293" s="25" t="n">
        <v>38</v>
      </c>
      <c r="BB293" s="25" t="n">
        <v>8</v>
      </c>
      <c r="BC293" s="18"/>
      <c r="BD293" s="25" t="n">
        <v>1</v>
      </c>
      <c r="BE293" s="22" t="n">
        <f aca="false">SUM(AS293:BD293)</f>
        <v>47</v>
      </c>
      <c r="BF293" s="23" t="n">
        <v>1199.04</v>
      </c>
      <c r="BG293" s="19" t="s">
        <v>55</v>
      </c>
      <c r="BH293" s="18"/>
      <c r="BI293" s="18"/>
      <c r="BJ293" s="18"/>
      <c r="BK293" s="18"/>
      <c r="BL293" s="18"/>
      <c r="BM293" s="18"/>
      <c r="BN293" s="18"/>
      <c r="BO293" s="18"/>
      <c r="BP293" s="25" t="n">
        <v>1</v>
      </c>
      <c r="BQ293" s="18"/>
      <c r="BR293" s="25" t="n">
        <v>2</v>
      </c>
      <c r="BS293" s="25" t="n">
        <v>2</v>
      </c>
      <c r="BT293" s="22" t="n">
        <f aca="false">SUM(BH293:BS293)</f>
        <v>5</v>
      </c>
      <c r="BU293" s="26" t="n">
        <v>46057.4770833333</v>
      </c>
      <c r="BV293" s="17" t="s">
        <v>107</v>
      </c>
      <c r="BW293" s="17" t="s">
        <v>44</v>
      </c>
      <c r="BX293" s="23" t="n">
        <f aca="false">IFERROR(R293/AE293,0)</f>
        <v>599.52</v>
      </c>
      <c r="BY293" s="23" t="n">
        <f aca="false">IFERROR(R293/12,0)</f>
        <v>99.92</v>
      </c>
      <c r="BZ293" s="18" t="n">
        <v>14</v>
      </c>
      <c r="CA293" s="22" t="str">
        <f aca="false">IF(AE293=0,"PROSPECT",IF(AE293=1,"NOVO",IF(AE293&lt;=3,"EM DESENV.",IF(AE293&lt;=6,"RECORRENTE","FIDELIZADO"))))</f>
        <v>EM DESENV.</v>
      </c>
      <c r="CB293" s="22" t="n">
        <f aca="false">IF((P293+Q293)&gt;0,1,0)+IF((BR293+BS293)&gt;0,1,0)+IF(BE293&gt;0,1,0)</f>
        <v>2</v>
      </c>
    </row>
    <row r="294" customFormat="false" ht="15" hidden="false" customHeight="true" outlineLevel="0" collapsed="false">
      <c r="A294" s="16" t="s">
        <v>841</v>
      </c>
      <c r="B294" s="17" t="s">
        <v>842</v>
      </c>
      <c r="C294" s="18" t="s">
        <v>41</v>
      </c>
      <c r="D294" s="17" t="s">
        <v>42</v>
      </c>
      <c r="E294" s="29" t="s">
        <v>365</v>
      </c>
      <c r="F294" s="20"/>
      <c r="G294" s="20"/>
      <c r="H294" s="20"/>
      <c r="I294" s="20"/>
      <c r="J294" s="20"/>
      <c r="K294" s="27" t="n">
        <v>2931.2</v>
      </c>
      <c r="L294" s="20"/>
      <c r="M294" s="20"/>
      <c r="N294" s="20"/>
      <c r="O294" s="20"/>
      <c r="P294" s="20"/>
      <c r="Q294" s="20"/>
      <c r="R294" s="21" t="n">
        <f aca="false">SUM(F294:Q294)</f>
        <v>2931.2</v>
      </c>
      <c r="S294" s="18"/>
      <c r="T294" s="18"/>
      <c r="U294" s="18"/>
      <c r="V294" s="18"/>
      <c r="W294" s="18"/>
      <c r="X294" s="28" t="n">
        <v>1</v>
      </c>
      <c r="Y294" s="18"/>
      <c r="Z294" s="18"/>
      <c r="AA294" s="18"/>
      <c r="AB294" s="18"/>
      <c r="AC294" s="18"/>
      <c r="AD294" s="18"/>
      <c r="AE294" s="22" t="n">
        <f aca="false">SUM(S294:AD294)</f>
        <v>1</v>
      </c>
      <c r="AF294" s="22"/>
      <c r="AG294" s="22"/>
      <c r="AH294" s="22"/>
      <c r="AI294" s="22"/>
      <c r="AJ294" s="22"/>
      <c r="AK294" s="19" t="s">
        <v>50</v>
      </c>
      <c r="AL294" s="22"/>
      <c r="AM294" s="22"/>
      <c r="AN294" s="22"/>
      <c r="AO294" s="22"/>
      <c r="AP294" s="22"/>
      <c r="AQ294" s="22"/>
      <c r="AR294" s="19" t="s">
        <v>50</v>
      </c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22" t="n">
        <f aca="false">SUM(AS294:BD294)</f>
        <v>0</v>
      </c>
      <c r="BF294" s="23"/>
      <c r="BG294" s="24"/>
      <c r="BH294" s="18"/>
      <c r="BI294" s="18"/>
      <c r="BJ294" s="18"/>
      <c r="BK294" s="18"/>
      <c r="BL294" s="18"/>
      <c r="BM294" s="18"/>
      <c r="BN294" s="18"/>
      <c r="BO294" s="18"/>
      <c r="BP294" s="25" t="n">
        <v>1</v>
      </c>
      <c r="BQ294" s="18"/>
      <c r="BR294" s="18"/>
      <c r="BS294" s="25" t="n">
        <v>2</v>
      </c>
      <c r="BT294" s="22" t="n">
        <f aca="false">SUM(BH294:BS294)</f>
        <v>3</v>
      </c>
      <c r="BU294" s="26" t="n">
        <v>46058.4673611111</v>
      </c>
      <c r="BV294" s="17"/>
      <c r="BW294" s="17" t="s">
        <v>44</v>
      </c>
      <c r="BX294" s="23" t="n">
        <f aca="false">IFERROR(R294/AE294,0)</f>
        <v>2931.2</v>
      </c>
      <c r="BY294" s="23" t="n">
        <f aca="false">IFERROR(R294/12,0)</f>
        <v>244.266666666667</v>
      </c>
      <c r="BZ294" s="18" t="n">
        <v>0</v>
      </c>
      <c r="CA294" s="22" t="str">
        <f aca="false">IF(AE294=0,"PROSPECT",IF(AE294=1,"NOVO",IF(AE294&lt;=3,"EM DESENV.",IF(AE294&lt;=6,"RECORRENTE","FIDELIZADO"))))</f>
        <v>NOVO</v>
      </c>
      <c r="CB294" s="22" t="n">
        <f aca="false">IF((P294+Q294)&gt;0,1,0)+IF((BR294+BS294)&gt;0,1,0)+IF(BE294&gt;0,1,0)</f>
        <v>1</v>
      </c>
    </row>
    <row r="295" customFormat="false" ht="15" hidden="false" customHeight="true" outlineLevel="0" collapsed="false">
      <c r="A295" s="16" t="s">
        <v>843</v>
      </c>
      <c r="B295" s="17" t="s">
        <v>844</v>
      </c>
      <c r="C295" s="18" t="s">
        <v>41</v>
      </c>
      <c r="D295" s="17" t="s">
        <v>195</v>
      </c>
      <c r="E295" s="29" t="s">
        <v>365</v>
      </c>
      <c r="F295" s="20"/>
      <c r="G295" s="20"/>
      <c r="H295" s="20"/>
      <c r="I295" s="27" t="n">
        <v>11358.43</v>
      </c>
      <c r="J295" s="20"/>
      <c r="K295" s="20"/>
      <c r="L295" s="20"/>
      <c r="M295" s="20"/>
      <c r="N295" s="20"/>
      <c r="O295" s="20"/>
      <c r="P295" s="20"/>
      <c r="Q295" s="20"/>
      <c r="R295" s="21" t="n">
        <f aca="false">SUM(F295:Q295)</f>
        <v>11358.43</v>
      </c>
      <c r="S295" s="18"/>
      <c r="T295" s="18"/>
      <c r="U295" s="18"/>
      <c r="V295" s="28" t="n">
        <v>1</v>
      </c>
      <c r="W295" s="18"/>
      <c r="X295" s="18"/>
      <c r="Y295" s="18"/>
      <c r="Z295" s="18"/>
      <c r="AA295" s="18"/>
      <c r="AB295" s="18"/>
      <c r="AC295" s="18"/>
      <c r="AD295" s="18"/>
      <c r="AE295" s="22" t="n">
        <f aca="false">SUM(S295:AD295)</f>
        <v>1</v>
      </c>
      <c r="AF295" s="22"/>
      <c r="AG295" s="22"/>
      <c r="AH295" s="22"/>
      <c r="AI295" s="19" t="s">
        <v>50</v>
      </c>
      <c r="AJ295" s="22"/>
      <c r="AK295" s="22"/>
      <c r="AL295" s="22"/>
      <c r="AM295" s="22"/>
      <c r="AN295" s="22"/>
      <c r="AO295" s="22"/>
      <c r="AP295" s="22"/>
      <c r="AQ295" s="22"/>
      <c r="AR295" s="19" t="s">
        <v>50</v>
      </c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22" t="n">
        <f aca="false">SUM(AS295:BD295)</f>
        <v>0</v>
      </c>
      <c r="BF295" s="23"/>
      <c r="BG295" s="24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22" t="n">
        <f aca="false">SUM(BH295:BS295)</f>
        <v>0</v>
      </c>
      <c r="BU295" s="26"/>
      <c r="BV295" s="17"/>
      <c r="BW295" s="17"/>
      <c r="BX295" s="23" t="n">
        <f aca="false">IFERROR(R295/AE295,0)</f>
        <v>11358.43</v>
      </c>
      <c r="BY295" s="23" t="n">
        <f aca="false">IFERROR(R295/12,0)</f>
        <v>946.535833333333</v>
      </c>
      <c r="BZ295" s="18" t="n">
        <v>0</v>
      </c>
      <c r="CA295" s="22" t="str">
        <f aca="false">IF(AE295=0,"PROSPECT",IF(AE295=1,"NOVO",IF(AE295&lt;=3,"EM DESENV.",IF(AE295&lt;=6,"RECORRENTE","FIDELIZADO"))))</f>
        <v>NOVO</v>
      </c>
      <c r="CB295" s="22" t="n">
        <f aca="false">IF((P295+Q295)&gt;0,1,0)+IF((BR295+BS295)&gt;0,1,0)+IF(BE295&gt;0,1,0)</f>
        <v>0</v>
      </c>
    </row>
    <row r="296" customFormat="false" ht="15" hidden="false" customHeight="true" outlineLevel="0" collapsed="false">
      <c r="A296" s="16" t="s">
        <v>845</v>
      </c>
      <c r="B296" s="17" t="s">
        <v>846</v>
      </c>
      <c r="C296" s="18" t="s">
        <v>61</v>
      </c>
      <c r="D296" s="17" t="s">
        <v>847</v>
      </c>
      <c r="E296" s="29" t="s">
        <v>365</v>
      </c>
      <c r="F296" s="20"/>
      <c r="G296" s="20"/>
      <c r="H296" s="20"/>
      <c r="I296" s="20"/>
      <c r="J296" s="20"/>
      <c r="K296" s="20"/>
      <c r="L296" s="20"/>
      <c r="M296" s="20"/>
      <c r="N296" s="20"/>
      <c r="O296" s="27" t="n">
        <v>763.8</v>
      </c>
      <c r="P296" s="20"/>
      <c r="Q296" s="20"/>
      <c r="R296" s="21" t="n">
        <f aca="false">SUM(F296:Q296)</f>
        <v>763.8</v>
      </c>
      <c r="S296" s="18"/>
      <c r="T296" s="18"/>
      <c r="U296" s="18"/>
      <c r="V296" s="18"/>
      <c r="W296" s="18"/>
      <c r="X296" s="18"/>
      <c r="Y296" s="18"/>
      <c r="Z296" s="18"/>
      <c r="AA296" s="18"/>
      <c r="AB296" s="28" t="n">
        <v>1</v>
      </c>
      <c r="AC296" s="18"/>
      <c r="AD296" s="18"/>
      <c r="AE296" s="22" t="n">
        <f aca="false">SUM(S296:AD296)</f>
        <v>1</v>
      </c>
      <c r="AF296" s="22"/>
      <c r="AG296" s="22"/>
      <c r="AH296" s="22"/>
      <c r="AI296" s="22"/>
      <c r="AJ296" s="22"/>
      <c r="AK296" s="22"/>
      <c r="AL296" s="22"/>
      <c r="AM296" s="22"/>
      <c r="AN296" s="22"/>
      <c r="AO296" s="30" t="s">
        <v>49</v>
      </c>
      <c r="AP296" s="22"/>
      <c r="AQ296" s="22"/>
      <c r="AR296" s="29" t="s">
        <v>48</v>
      </c>
      <c r="AS296" s="18"/>
      <c r="AT296" s="18"/>
      <c r="AU296" s="18"/>
      <c r="AV296" s="18"/>
      <c r="AW296" s="18"/>
      <c r="AX296" s="18"/>
      <c r="AY296" s="18"/>
      <c r="AZ296" s="18"/>
      <c r="BA296" s="18"/>
      <c r="BB296" s="25" t="n">
        <v>1</v>
      </c>
      <c r="BC296" s="18"/>
      <c r="BD296" s="18"/>
      <c r="BE296" s="22" t="n">
        <f aca="false">SUM(AS296:BD296)</f>
        <v>1</v>
      </c>
      <c r="BF296" s="23" t="n">
        <v>763.8</v>
      </c>
      <c r="BG296" s="19" t="s">
        <v>55</v>
      </c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22" t="n">
        <f aca="false">SUM(BH296:BS296)</f>
        <v>0</v>
      </c>
      <c r="BU296" s="26"/>
      <c r="BV296" s="17"/>
      <c r="BW296" s="17"/>
      <c r="BX296" s="23" t="n">
        <f aca="false">IFERROR(R296/AE296,0)</f>
        <v>763.8</v>
      </c>
      <c r="BY296" s="23" t="n">
        <f aca="false">IFERROR(R296/12,0)</f>
        <v>63.65</v>
      </c>
      <c r="BZ296" s="18" t="n">
        <v>0</v>
      </c>
      <c r="CA296" s="22" t="str">
        <f aca="false">IF(AE296=0,"PROSPECT",IF(AE296=1,"NOVO",IF(AE296&lt;=3,"EM DESENV.",IF(AE296&lt;=6,"RECORRENTE","FIDELIZADO"))))</f>
        <v>NOVO</v>
      </c>
      <c r="CB296" s="22" t="n">
        <f aca="false">IF((P296+Q296)&gt;0,1,0)+IF((BR296+BS296)&gt;0,1,0)+IF(BE296&gt;0,1,0)</f>
        <v>1</v>
      </c>
    </row>
    <row r="297" customFormat="false" ht="15" hidden="false" customHeight="true" outlineLevel="0" collapsed="false">
      <c r="A297" s="16" t="s">
        <v>848</v>
      </c>
      <c r="B297" s="17" t="s">
        <v>849</v>
      </c>
      <c r="C297" s="18" t="s">
        <v>61</v>
      </c>
      <c r="D297" s="17" t="s">
        <v>123</v>
      </c>
      <c r="E297" s="29" t="s">
        <v>365</v>
      </c>
      <c r="F297" s="20"/>
      <c r="G297" s="20"/>
      <c r="H297" s="27" t="n">
        <v>686.12</v>
      </c>
      <c r="I297" s="20"/>
      <c r="J297" s="27" t="n">
        <v>1437.64</v>
      </c>
      <c r="K297" s="27" t="n">
        <v>906.11</v>
      </c>
      <c r="L297" s="27" t="n">
        <v>2748.6</v>
      </c>
      <c r="M297" s="27" t="n">
        <v>2484</v>
      </c>
      <c r="N297" s="27" t="n">
        <v>1998.41</v>
      </c>
      <c r="O297" s="20"/>
      <c r="P297" s="20"/>
      <c r="Q297" s="20"/>
      <c r="R297" s="21" t="n">
        <f aca="false">SUM(F297:Q297)</f>
        <v>10260.88</v>
      </c>
      <c r="S297" s="18"/>
      <c r="T297" s="18"/>
      <c r="U297" s="28" t="n">
        <v>1</v>
      </c>
      <c r="V297" s="18"/>
      <c r="W297" s="28" t="n">
        <v>1</v>
      </c>
      <c r="X297" s="28" t="n">
        <v>1</v>
      </c>
      <c r="Y297" s="28" t="n">
        <v>1</v>
      </c>
      <c r="Z297" s="28" t="n">
        <v>1</v>
      </c>
      <c r="AA297" s="28" t="n">
        <v>1</v>
      </c>
      <c r="AB297" s="18"/>
      <c r="AC297" s="18"/>
      <c r="AD297" s="18"/>
      <c r="AE297" s="22" t="n">
        <f aca="false">SUM(S297:AD297)</f>
        <v>6</v>
      </c>
      <c r="AF297" s="22"/>
      <c r="AG297" s="22"/>
      <c r="AH297" s="30" t="s">
        <v>49</v>
      </c>
      <c r="AI297" s="22"/>
      <c r="AJ297" s="30" t="s">
        <v>49</v>
      </c>
      <c r="AK297" s="30" t="s">
        <v>49</v>
      </c>
      <c r="AL297" s="19" t="s">
        <v>50</v>
      </c>
      <c r="AM297" s="19" t="s">
        <v>50</v>
      </c>
      <c r="AN297" s="19" t="s">
        <v>50</v>
      </c>
      <c r="AO297" s="22"/>
      <c r="AP297" s="22"/>
      <c r="AQ297" s="22"/>
      <c r="AR297" s="19" t="s">
        <v>50</v>
      </c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22" t="n">
        <f aca="false">SUM(AS297:BD297)</f>
        <v>0</v>
      </c>
      <c r="BF297" s="23"/>
      <c r="BG297" s="24"/>
      <c r="BH297" s="18"/>
      <c r="BI297" s="18"/>
      <c r="BJ297" s="18"/>
      <c r="BK297" s="25" t="n">
        <v>1</v>
      </c>
      <c r="BL297" s="18"/>
      <c r="BM297" s="18"/>
      <c r="BN297" s="18"/>
      <c r="BO297" s="18"/>
      <c r="BP297" s="18"/>
      <c r="BQ297" s="18"/>
      <c r="BR297" s="18"/>
      <c r="BS297" s="18"/>
      <c r="BT297" s="22" t="n">
        <f aca="false">SUM(BH297:BS297)</f>
        <v>1</v>
      </c>
      <c r="BU297" s="26" t="n">
        <v>45813.7409722222</v>
      </c>
      <c r="BV297" s="17" t="s">
        <v>243</v>
      </c>
      <c r="BW297" s="17" t="s">
        <v>44</v>
      </c>
      <c r="BX297" s="23" t="n">
        <f aca="false">IFERROR(R297/AE297,0)</f>
        <v>1710.14666666667</v>
      </c>
      <c r="BY297" s="23" t="n">
        <f aca="false">IFERROR(R297/12,0)</f>
        <v>855.073333333333</v>
      </c>
      <c r="BZ297" s="18" t="n">
        <v>40</v>
      </c>
      <c r="CA297" s="22" t="str">
        <f aca="false">IF(AE297=0,"PROSPECT",IF(AE297=1,"NOVO",IF(AE297&lt;=3,"EM DESENV.",IF(AE297&lt;=6,"RECORRENTE","FIDELIZADO"))))</f>
        <v>RECORRENTE</v>
      </c>
      <c r="CB297" s="22" t="n">
        <f aca="false">IF((P297+Q297)&gt;0,1,0)+IF((BR297+BS297)&gt;0,1,0)+IF(BE297&gt;0,1,0)</f>
        <v>0</v>
      </c>
    </row>
    <row r="298" customFormat="false" ht="15" hidden="false" customHeight="true" outlineLevel="0" collapsed="false">
      <c r="A298" s="16" t="s">
        <v>850</v>
      </c>
      <c r="B298" s="17" t="s">
        <v>851</v>
      </c>
      <c r="C298" s="18" t="s">
        <v>61</v>
      </c>
      <c r="D298" s="17" t="s">
        <v>123</v>
      </c>
      <c r="E298" s="29" t="s">
        <v>365</v>
      </c>
      <c r="F298" s="20"/>
      <c r="G298" s="20"/>
      <c r="H298" s="20"/>
      <c r="I298" s="27" t="n">
        <v>2350.33</v>
      </c>
      <c r="J298" s="20"/>
      <c r="K298" s="20"/>
      <c r="L298" s="20"/>
      <c r="M298" s="20"/>
      <c r="N298" s="20"/>
      <c r="O298" s="20"/>
      <c r="P298" s="20"/>
      <c r="Q298" s="20"/>
      <c r="R298" s="21" t="n">
        <f aca="false">SUM(F298:Q298)</f>
        <v>2350.33</v>
      </c>
      <c r="S298" s="18"/>
      <c r="T298" s="18"/>
      <c r="U298" s="18"/>
      <c r="V298" s="28" t="n">
        <v>1</v>
      </c>
      <c r="W298" s="18"/>
      <c r="X298" s="18"/>
      <c r="Y298" s="18"/>
      <c r="Z298" s="18"/>
      <c r="AA298" s="18"/>
      <c r="AB298" s="18"/>
      <c r="AC298" s="18"/>
      <c r="AD298" s="18"/>
      <c r="AE298" s="22" t="n">
        <f aca="false">SUM(S298:AD298)</f>
        <v>1</v>
      </c>
      <c r="AF298" s="22"/>
      <c r="AG298" s="22"/>
      <c r="AH298" s="22"/>
      <c r="AI298" s="19" t="s">
        <v>50</v>
      </c>
      <c r="AJ298" s="22"/>
      <c r="AK298" s="22"/>
      <c r="AL298" s="22"/>
      <c r="AM298" s="22"/>
      <c r="AN298" s="22"/>
      <c r="AO298" s="22"/>
      <c r="AP298" s="22"/>
      <c r="AQ298" s="22"/>
      <c r="AR298" s="30" t="s">
        <v>49</v>
      </c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22" t="n">
        <f aca="false">SUM(AS298:BD298)</f>
        <v>0</v>
      </c>
      <c r="BF298" s="23"/>
      <c r="BG298" s="24"/>
      <c r="BH298" s="18"/>
      <c r="BI298" s="18"/>
      <c r="BJ298" s="25" t="n">
        <v>1</v>
      </c>
      <c r="BK298" s="25" t="n">
        <v>3</v>
      </c>
      <c r="BL298" s="25" t="n">
        <v>6</v>
      </c>
      <c r="BM298" s="25" t="n">
        <v>1</v>
      </c>
      <c r="BN298" s="18"/>
      <c r="BO298" s="25" t="n">
        <v>1</v>
      </c>
      <c r="BP298" s="25" t="n">
        <v>2</v>
      </c>
      <c r="BQ298" s="18"/>
      <c r="BR298" s="25" t="n">
        <v>1</v>
      </c>
      <c r="BS298" s="25" t="n">
        <v>1</v>
      </c>
      <c r="BT298" s="22" t="n">
        <f aca="false">SUM(BH298:BS298)</f>
        <v>16</v>
      </c>
      <c r="BU298" s="26" t="n">
        <v>46056.4104050926</v>
      </c>
      <c r="BV298" s="17"/>
      <c r="BW298" s="17" t="s">
        <v>44</v>
      </c>
      <c r="BX298" s="23" t="n">
        <f aca="false">IFERROR(R298/AE298,0)</f>
        <v>2350.33</v>
      </c>
      <c r="BY298" s="23" t="n">
        <f aca="false">IFERROR(R298/12,0)</f>
        <v>195.860833333333</v>
      </c>
      <c r="BZ298" s="18" t="n">
        <v>0</v>
      </c>
      <c r="CA298" s="22" t="str">
        <f aca="false">IF(AE298=0,"PROSPECT",IF(AE298=1,"NOVO",IF(AE298&lt;=3,"EM DESENV.",IF(AE298&lt;=6,"RECORRENTE","FIDELIZADO"))))</f>
        <v>NOVO</v>
      </c>
      <c r="CB298" s="22" t="n">
        <f aca="false">IF((P298+Q298)&gt;0,1,0)+IF((BR298+BS298)&gt;0,1,0)+IF(BE298&gt;0,1,0)</f>
        <v>1</v>
      </c>
    </row>
    <row r="299" customFormat="false" ht="15" hidden="false" customHeight="true" outlineLevel="0" collapsed="false">
      <c r="A299" s="16" t="s">
        <v>852</v>
      </c>
      <c r="B299" s="17" t="s">
        <v>853</v>
      </c>
      <c r="C299" s="18" t="s">
        <v>155</v>
      </c>
      <c r="D299" s="17" t="s">
        <v>341</v>
      </c>
      <c r="E299" s="29" t="s">
        <v>365</v>
      </c>
      <c r="F299" s="20"/>
      <c r="G299" s="27" t="n">
        <v>2237.64</v>
      </c>
      <c r="H299" s="20"/>
      <c r="I299" s="27" t="n">
        <v>1499.33</v>
      </c>
      <c r="J299" s="20"/>
      <c r="K299" s="20"/>
      <c r="L299" s="27" t="n">
        <v>1269.85</v>
      </c>
      <c r="M299" s="20"/>
      <c r="N299" s="20"/>
      <c r="O299" s="20"/>
      <c r="P299" s="20"/>
      <c r="Q299" s="20"/>
      <c r="R299" s="21" t="n">
        <f aca="false">SUM(F299:Q299)</f>
        <v>5006.82</v>
      </c>
      <c r="S299" s="18"/>
      <c r="T299" s="28" t="n">
        <v>1</v>
      </c>
      <c r="U299" s="18"/>
      <c r="V299" s="28" t="n">
        <v>1</v>
      </c>
      <c r="W299" s="18"/>
      <c r="X299" s="18"/>
      <c r="Y299" s="28" t="n">
        <v>1</v>
      </c>
      <c r="Z299" s="18"/>
      <c r="AA299" s="18"/>
      <c r="AB299" s="18"/>
      <c r="AC299" s="18"/>
      <c r="AD299" s="18"/>
      <c r="AE299" s="22" t="n">
        <f aca="false">SUM(S299:AD299)</f>
        <v>3</v>
      </c>
      <c r="AF299" s="22"/>
      <c r="AG299" s="19" t="s">
        <v>50</v>
      </c>
      <c r="AH299" s="22"/>
      <c r="AI299" s="19" t="s">
        <v>50</v>
      </c>
      <c r="AJ299" s="22"/>
      <c r="AK299" s="22"/>
      <c r="AL299" s="30" t="s">
        <v>49</v>
      </c>
      <c r="AM299" s="22"/>
      <c r="AN299" s="22"/>
      <c r="AO299" s="22"/>
      <c r="AP299" s="22"/>
      <c r="AQ299" s="22"/>
      <c r="AR299" s="19" t="s">
        <v>50</v>
      </c>
      <c r="AS299" s="18"/>
      <c r="AT299" s="25" t="n">
        <v>4</v>
      </c>
      <c r="AU299" s="25" t="n">
        <v>4</v>
      </c>
      <c r="AV299" s="18"/>
      <c r="AW299" s="18"/>
      <c r="AX299" s="18"/>
      <c r="AY299" s="18"/>
      <c r="AZ299" s="18"/>
      <c r="BA299" s="18"/>
      <c r="BB299" s="18"/>
      <c r="BC299" s="18"/>
      <c r="BD299" s="18"/>
      <c r="BE299" s="22" t="n">
        <f aca="false">SUM(AS299:BD299)</f>
        <v>8</v>
      </c>
      <c r="BF299" s="23" t="n">
        <v>4475.28</v>
      </c>
      <c r="BG299" s="19" t="s">
        <v>55</v>
      </c>
      <c r="BH299" s="18"/>
      <c r="BI299" s="25" t="n">
        <v>1</v>
      </c>
      <c r="BJ299" s="25" t="n">
        <v>1</v>
      </c>
      <c r="BK299" s="25" t="n">
        <v>1</v>
      </c>
      <c r="BL299" s="25" t="n">
        <v>1</v>
      </c>
      <c r="BM299" s="25" t="n">
        <v>1</v>
      </c>
      <c r="BN299" s="18"/>
      <c r="BO299" s="18"/>
      <c r="BP299" s="18"/>
      <c r="BQ299" s="18"/>
      <c r="BR299" s="25" t="n">
        <v>2</v>
      </c>
      <c r="BS299" s="18"/>
      <c r="BT299" s="22" t="n">
        <f aca="false">SUM(BH299:BS299)</f>
        <v>7</v>
      </c>
      <c r="BU299" s="26" t="n">
        <v>46036.3944444444</v>
      </c>
      <c r="BV299" s="17" t="s">
        <v>243</v>
      </c>
      <c r="BW299" s="17" t="s">
        <v>44</v>
      </c>
      <c r="BX299" s="23" t="n">
        <f aca="false">IFERROR(R299/AE299,0)</f>
        <v>1668.94</v>
      </c>
      <c r="BY299" s="23" t="n">
        <f aca="false">IFERROR(R299/12,0)</f>
        <v>417.235</v>
      </c>
      <c r="BZ299" s="18" t="n">
        <v>83.5</v>
      </c>
      <c r="CA299" s="22" t="str">
        <f aca="false">IF(AE299=0,"PROSPECT",IF(AE299=1,"NOVO",IF(AE299&lt;=3,"EM DESENV.",IF(AE299&lt;=6,"RECORRENTE","FIDELIZADO"))))</f>
        <v>EM DESENV.</v>
      </c>
      <c r="CB299" s="22" t="n">
        <f aca="false">IF((P299+Q299)&gt;0,1,0)+IF((BR299+BS299)&gt;0,1,0)+IF(BE299&gt;0,1,0)</f>
        <v>2</v>
      </c>
    </row>
    <row r="300" customFormat="false" ht="15" hidden="false" customHeight="true" outlineLevel="0" collapsed="false">
      <c r="A300" s="16" t="s">
        <v>854</v>
      </c>
      <c r="B300" s="17" t="s">
        <v>855</v>
      </c>
      <c r="C300" s="18" t="s">
        <v>79</v>
      </c>
      <c r="D300" s="17" t="s">
        <v>856</v>
      </c>
      <c r="E300" s="29" t="s">
        <v>365</v>
      </c>
      <c r="F300" s="20"/>
      <c r="G300" s="20"/>
      <c r="H300" s="20"/>
      <c r="I300" s="20"/>
      <c r="J300" s="27" t="n">
        <v>896.65</v>
      </c>
      <c r="K300" s="20"/>
      <c r="L300" s="27" t="n">
        <v>1216.68</v>
      </c>
      <c r="M300" s="20"/>
      <c r="N300" s="20"/>
      <c r="O300" s="20"/>
      <c r="P300" s="20"/>
      <c r="Q300" s="20"/>
      <c r="R300" s="21" t="n">
        <f aca="false">SUM(F300:Q300)</f>
        <v>2113.33</v>
      </c>
      <c r="S300" s="18"/>
      <c r="T300" s="18"/>
      <c r="U300" s="18"/>
      <c r="V300" s="18"/>
      <c r="W300" s="28" t="n">
        <v>1</v>
      </c>
      <c r="X300" s="18"/>
      <c r="Y300" s="28" t="n">
        <v>1</v>
      </c>
      <c r="Z300" s="18"/>
      <c r="AA300" s="18"/>
      <c r="AB300" s="18"/>
      <c r="AC300" s="18"/>
      <c r="AD300" s="18"/>
      <c r="AE300" s="22" t="n">
        <f aca="false">SUM(S300:AD300)</f>
        <v>2</v>
      </c>
      <c r="AF300" s="22"/>
      <c r="AG300" s="22"/>
      <c r="AH300" s="22"/>
      <c r="AI300" s="22"/>
      <c r="AJ300" s="30" t="s">
        <v>49</v>
      </c>
      <c r="AK300" s="22"/>
      <c r="AL300" s="30" t="s">
        <v>49</v>
      </c>
      <c r="AM300" s="22"/>
      <c r="AN300" s="22"/>
      <c r="AO300" s="22"/>
      <c r="AP300" s="22"/>
      <c r="AQ300" s="22"/>
      <c r="AR300" s="30" t="s">
        <v>49</v>
      </c>
      <c r="AS300" s="18"/>
      <c r="AT300" s="18"/>
      <c r="AU300" s="18"/>
      <c r="AV300" s="25" t="n">
        <v>4</v>
      </c>
      <c r="AW300" s="25" t="n">
        <v>5</v>
      </c>
      <c r="AX300" s="18"/>
      <c r="AY300" s="18"/>
      <c r="AZ300" s="18"/>
      <c r="BA300" s="18"/>
      <c r="BB300" s="18"/>
      <c r="BC300" s="18"/>
      <c r="BD300" s="25" t="n">
        <v>1</v>
      </c>
      <c r="BE300" s="22" t="n">
        <f aca="false">SUM(AS300:BD300)</f>
        <v>10</v>
      </c>
      <c r="BF300" s="23"/>
      <c r="BG300" s="31" t="s">
        <v>93</v>
      </c>
      <c r="BH300" s="18"/>
      <c r="BI300" s="18"/>
      <c r="BJ300" s="25" t="n">
        <v>1</v>
      </c>
      <c r="BK300" s="18"/>
      <c r="BL300" s="25" t="n">
        <v>1</v>
      </c>
      <c r="BM300" s="18"/>
      <c r="BN300" s="18"/>
      <c r="BO300" s="25" t="n">
        <v>2</v>
      </c>
      <c r="BP300" s="18"/>
      <c r="BQ300" s="18"/>
      <c r="BR300" s="25" t="n">
        <v>2</v>
      </c>
      <c r="BS300" s="25" t="n">
        <v>2</v>
      </c>
      <c r="BT300" s="22" t="n">
        <f aca="false">SUM(BH300:BS300)</f>
        <v>8</v>
      </c>
      <c r="BU300" s="26" t="n">
        <v>46059.6645833333</v>
      </c>
      <c r="BV300" s="17"/>
      <c r="BW300" s="17" t="s">
        <v>44</v>
      </c>
      <c r="BX300" s="23" t="n">
        <f aca="false">IFERROR(R300/AE300,0)</f>
        <v>1056.665</v>
      </c>
      <c r="BY300" s="23" t="n">
        <f aca="false">IFERROR(R300/12,0)</f>
        <v>176.110833333333</v>
      </c>
      <c r="BZ300" s="18" t="n">
        <v>61</v>
      </c>
      <c r="CA300" s="22" t="str">
        <f aca="false">IF(AE300=0,"PROSPECT",IF(AE300=1,"NOVO",IF(AE300&lt;=3,"EM DESENV.",IF(AE300&lt;=6,"RECORRENTE","FIDELIZADO"))))</f>
        <v>EM DESENV.</v>
      </c>
      <c r="CB300" s="22" t="n">
        <f aca="false">IF((P300+Q300)&gt;0,1,0)+IF((BR300+BS300)&gt;0,1,0)+IF(BE300&gt;0,1,0)</f>
        <v>2</v>
      </c>
    </row>
    <row r="301" customFormat="false" ht="15" hidden="false" customHeight="true" outlineLevel="0" collapsed="false">
      <c r="A301" s="16" t="s">
        <v>857</v>
      </c>
      <c r="B301" s="17" t="s">
        <v>858</v>
      </c>
      <c r="C301" s="18" t="s">
        <v>61</v>
      </c>
      <c r="D301" s="17" t="s">
        <v>859</v>
      </c>
      <c r="E301" s="29" t="s">
        <v>365</v>
      </c>
      <c r="F301" s="20"/>
      <c r="G301" s="20"/>
      <c r="H301" s="20"/>
      <c r="I301" s="20"/>
      <c r="J301" s="20"/>
      <c r="K301" s="20"/>
      <c r="L301" s="27" t="n">
        <v>1254.11</v>
      </c>
      <c r="M301" s="27" t="n">
        <v>892.7</v>
      </c>
      <c r="N301" s="20"/>
      <c r="O301" s="20"/>
      <c r="P301" s="20"/>
      <c r="Q301" s="20"/>
      <c r="R301" s="21" t="n">
        <f aca="false">SUM(F301:Q301)</f>
        <v>2146.81</v>
      </c>
      <c r="S301" s="18"/>
      <c r="T301" s="18"/>
      <c r="U301" s="18"/>
      <c r="V301" s="18"/>
      <c r="W301" s="18"/>
      <c r="X301" s="18"/>
      <c r="Y301" s="28" t="n">
        <v>1</v>
      </c>
      <c r="Z301" s="28" t="n">
        <v>1</v>
      </c>
      <c r="AA301" s="18"/>
      <c r="AB301" s="18"/>
      <c r="AC301" s="18"/>
      <c r="AD301" s="18"/>
      <c r="AE301" s="22" t="n">
        <f aca="false">SUM(S301:AD301)</f>
        <v>2</v>
      </c>
      <c r="AF301" s="22"/>
      <c r="AG301" s="22"/>
      <c r="AH301" s="22"/>
      <c r="AI301" s="22"/>
      <c r="AJ301" s="22"/>
      <c r="AK301" s="22"/>
      <c r="AL301" s="30" t="s">
        <v>49</v>
      </c>
      <c r="AM301" s="30" t="s">
        <v>49</v>
      </c>
      <c r="AN301" s="22"/>
      <c r="AO301" s="22"/>
      <c r="AP301" s="22"/>
      <c r="AQ301" s="22"/>
      <c r="AR301" s="30" t="s">
        <v>49</v>
      </c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22" t="n">
        <f aca="false">SUM(AS301:BD301)</f>
        <v>0</v>
      </c>
      <c r="BF301" s="23"/>
      <c r="BG301" s="24"/>
      <c r="BH301" s="18"/>
      <c r="BI301" s="18"/>
      <c r="BJ301" s="18"/>
      <c r="BK301" s="25" t="n">
        <v>1</v>
      </c>
      <c r="BL301" s="25" t="n">
        <v>3</v>
      </c>
      <c r="BM301" s="25" t="n">
        <v>2</v>
      </c>
      <c r="BN301" s="18"/>
      <c r="BO301" s="18"/>
      <c r="BP301" s="18"/>
      <c r="BQ301" s="25" t="n">
        <v>1</v>
      </c>
      <c r="BR301" s="18"/>
      <c r="BS301" s="18"/>
      <c r="BT301" s="22" t="n">
        <f aca="false">SUM(BH301:BS301)</f>
        <v>7</v>
      </c>
      <c r="BU301" s="26" t="n">
        <v>45996.3858333333</v>
      </c>
      <c r="BV301" s="17"/>
      <c r="BW301" s="17" t="s">
        <v>44</v>
      </c>
      <c r="BX301" s="23" t="n">
        <f aca="false">IFERROR(R301/AE301,0)</f>
        <v>1073.405</v>
      </c>
      <c r="BY301" s="23" t="n">
        <f aca="false">IFERROR(R301/12,0)</f>
        <v>178.900833333333</v>
      </c>
      <c r="BZ301" s="18" t="n">
        <v>25</v>
      </c>
      <c r="CA301" s="22" t="str">
        <f aca="false">IF(AE301=0,"PROSPECT",IF(AE301=1,"NOVO",IF(AE301&lt;=3,"EM DESENV.",IF(AE301&lt;=6,"RECORRENTE","FIDELIZADO"))))</f>
        <v>EM DESENV.</v>
      </c>
      <c r="CB301" s="22" t="n">
        <f aca="false">IF((P301+Q301)&gt;0,1,0)+IF((BR301+BS301)&gt;0,1,0)+IF(BE301&gt;0,1,0)</f>
        <v>0</v>
      </c>
    </row>
    <row r="302" customFormat="false" ht="15" hidden="false" customHeight="true" outlineLevel="0" collapsed="false">
      <c r="A302" s="16" t="s">
        <v>860</v>
      </c>
      <c r="B302" s="17" t="s">
        <v>861</v>
      </c>
      <c r="C302" s="18" t="s">
        <v>65</v>
      </c>
      <c r="D302" s="17" t="s">
        <v>862</v>
      </c>
      <c r="E302" s="29" t="s">
        <v>365</v>
      </c>
      <c r="F302" s="20"/>
      <c r="G302" s="20"/>
      <c r="H302" s="20"/>
      <c r="I302" s="20"/>
      <c r="J302" s="20"/>
      <c r="K302" s="20"/>
      <c r="L302" s="20"/>
      <c r="M302" s="27" t="n">
        <v>3306.03</v>
      </c>
      <c r="N302" s="20"/>
      <c r="O302" s="20"/>
      <c r="P302" s="20"/>
      <c r="Q302" s="20"/>
      <c r="R302" s="21" t="n">
        <f aca="false">SUM(F302:Q302)</f>
        <v>3306.03</v>
      </c>
      <c r="S302" s="18"/>
      <c r="T302" s="18"/>
      <c r="U302" s="18"/>
      <c r="V302" s="18"/>
      <c r="W302" s="18"/>
      <c r="X302" s="18"/>
      <c r="Y302" s="18"/>
      <c r="Z302" s="28" t="n">
        <v>1</v>
      </c>
      <c r="AA302" s="18"/>
      <c r="AB302" s="18"/>
      <c r="AC302" s="18"/>
      <c r="AD302" s="18"/>
      <c r="AE302" s="22" t="n">
        <f aca="false">SUM(S302:AD302)</f>
        <v>1</v>
      </c>
      <c r="AF302" s="22"/>
      <c r="AG302" s="22"/>
      <c r="AH302" s="22"/>
      <c r="AI302" s="22"/>
      <c r="AJ302" s="22"/>
      <c r="AK302" s="22"/>
      <c r="AL302" s="22"/>
      <c r="AM302" s="19" t="s">
        <v>50</v>
      </c>
      <c r="AN302" s="22"/>
      <c r="AO302" s="22"/>
      <c r="AP302" s="22"/>
      <c r="AQ302" s="22"/>
      <c r="AR302" s="19" t="s">
        <v>50</v>
      </c>
      <c r="AS302" s="18"/>
      <c r="AT302" s="18"/>
      <c r="AU302" s="18"/>
      <c r="AV302" s="18"/>
      <c r="AW302" s="18"/>
      <c r="AX302" s="18"/>
      <c r="AY302" s="25" t="n">
        <v>1</v>
      </c>
      <c r="AZ302" s="18"/>
      <c r="BA302" s="25" t="n">
        <v>4</v>
      </c>
      <c r="BB302" s="25" t="n">
        <v>4</v>
      </c>
      <c r="BC302" s="25" t="n">
        <v>1</v>
      </c>
      <c r="BD302" s="18"/>
      <c r="BE302" s="22" t="n">
        <f aca="false">SUM(AS302:BD302)</f>
        <v>10</v>
      </c>
      <c r="BF302" s="23"/>
      <c r="BG302" s="31" t="s">
        <v>93</v>
      </c>
      <c r="BH302" s="18"/>
      <c r="BI302" s="18"/>
      <c r="BJ302" s="18"/>
      <c r="BK302" s="18"/>
      <c r="BL302" s="18"/>
      <c r="BM302" s="18"/>
      <c r="BN302" s="25" t="n">
        <v>1</v>
      </c>
      <c r="BO302" s="25" t="n">
        <v>2</v>
      </c>
      <c r="BP302" s="25" t="n">
        <v>1</v>
      </c>
      <c r="BQ302" s="18"/>
      <c r="BR302" s="25" t="n">
        <v>2</v>
      </c>
      <c r="BS302" s="18"/>
      <c r="BT302" s="22" t="n">
        <f aca="false">SUM(BH302:BS302)</f>
        <v>6</v>
      </c>
      <c r="BU302" s="26" t="n">
        <v>46036.3826388889</v>
      </c>
      <c r="BV302" s="17" t="s">
        <v>243</v>
      </c>
      <c r="BW302" s="17" t="s">
        <v>44</v>
      </c>
      <c r="BX302" s="23" t="n">
        <f aca="false">IFERROR(R302/AE302,0)</f>
        <v>3306.03</v>
      </c>
      <c r="BY302" s="23" t="n">
        <f aca="false">IFERROR(R302/12,0)</f>
        <v>275.5025</v>
      </c>
      <c r="BZ302" s="18" t="n">
        <v>0</v>
      </c>
      <c r="CA302" s="22" t="str">
        <f aca="false">IF(AE302=0,"PROSPECT",IF(AE302=1,"NOVO",IF(AE302&lt;=3,"EM DESENV.",IF(AE302&lt;=6,"RECORRENTE","FIDELIZADO"))))</f>
        <v>NOVO</v>
      </c>
      <c r="CB302" s="22" t="n">
        <f aca="false">IF((P302+Q302)&gt;0,1,0)+IF((BR302+BS302)&gt;0,1,0)+IF(BE302&gt;0,1,0)</f>
        <v>2</v>
      </c>
    </row>
    <row r="303" customFormat="false" ht="15" hidden="false" customHeight="true" outlineLevel="0" collapsed="false">
      <c r="A303" s="16" t="s">
        <v>863</v>
      </c>
      <c r="B303" s="17" t="s">
        <v>864</v>
      </c>
      <c r="C303" s="18" t="s">
        <v>41</v>
      </c>
      <c r="D303" s="17" t="s">
        <v>721</v>
      </c>
      <c r="E303" s="29" t="s">
        <v>365</v>
      </c>
      <c r="F303" s="20"/>
      <c r="G303" s="20"/>
      <c r="H303" s="20"/>
      <c r="I303" s="20"/>
      <c r="J303" s="20"/>
      <c r="K303" s="27" t="n">
        <v>653</v>
      </c>
      <c r="L303" s="20"/>
      <c r="M303" s="20"/>
      <c r="N303" s="27" t="n">
        <v>510.03</v>
      </c>
      <c r="O303" s="20"/>
      <c r="P303" s="20"/>
      <c r="Q303" s="20"/>
      <c r="R303" s="21" t="n">
        <f aca="false">SUM(F303:Q303)</f>
        <v>1163.03</v>
      </c>
      <c r="S303" s="18"/>
      <c r="T303" s="18"/>
      <c r="U303" s="18"/>
      <c r="V303" s="18"/>
      <c r="W303" s="18"/>
      <c r="X303" s="28" t="n">
        <v>1</v>
      </c>
      <c r="Y303" s="18"/>
      <c r="Z303" s="18"/>
      <c r="AA303" s="28" t="n">
        <v>1</v>
      </c>
      <c r="AB303" s="18"/>
      <c r="AC303" s="18"/>
      <c r="AD303" s="18"/>
      <c r="AE303" s="22" t="n">
        <f aca="false">SUM(S303:AD303)</f>
        <v>2</v>
      </c>
      <c r="AF303" s="22"/>
      <c r="AG303" s="22"/>
      <c r="AH303" s="22"/>
      <c r="AI303" s="22"/>
      <c r="AJ303" s="22"/>
      <c r="AK303" s="29" t="s">
        <v>48</v>
      </c>
      <c r="AL303" s="22"/>
      <c r="AM303" s="22"/>
      <c r="AN303" s="29" t="s">
        <v>48</v>
      </c>
      <c r="AO303" s="22"/>
      <c r="AP303" s="22"/>
      <c r="AQ303" s="22"/>
      <c r="AR303" s="30" t="s">
        <v>49</v>
      </c>
      <c r="AS303" s="18"/>
      <c r="AT303" s="18"/>
      <c r="AU303" s="18"/>
      <c r="AV303" s="18"/>
      <c r="AW303" s="18"/>
      <c r="AX303" s="25" t="n">
        <v>1</v>
      </c>
      <c r="AY303" s="18"/>
      <c r="AZ303" s="18"/>
      <c r="BA303" s="25" t="n">
        <v>2</v>
      </c>
      <c r="BB303" s="18"/>
      <c r="BC303" s="18"/>
      <c r="BD303" s="18"/>
      <c r="BE303" s="22" t="n">
        <f aca="false">SUM(AS303:BD303)</f>
        <v>3</v>
      </c>
      <c r="BF303" s="23" t="n">
        <v>1163.03</v>
      </c>
      <c r="BG303" s="19" t="s">
        <v>55</v>
      </c>
      <c r="BH303" s="18"/>
      <c r="BI303" s="18"/>
      <c r="BJ303" s="18"/>
      <c r="BK303" s="18"/>
      <c r="BL303" s="25" t="n">
        <v>2</v>
      </c>
      <c r="BM303" s="25" t="n">
        <v>1</v>
      </c>
      <c r="BN303" s="18"/>
      <c r="BO303" s="25" t="n">
        <v>2</v>
      </c>
      <c r="BP303" s="18"/>
      <c r="BQ303" s="18"/>
      <c r="BR303" s="18"/>
      <c r="BS303" s="25" t="n">
        <v>2</v>
      </c>
      <c r="BT303" s="22" t="n">
        <f aca="false">SUM(BH303:BS303)</f>
        <v>7</v>
      </c>
      <c r="BU303" s="26" t="n">
        <v>46056.7222222222</v>
      </c>
      <c r="BV303" s="17"/>
      <c r="BW303" s="17" t="s">
        <v>44</v>
      </c>
      <c r="BX303" s="23" t="n">
        <f aca="false">IFERROR(R303/AE303,0)</f>
        <v>581.515</v>
      </c>
      <c r="BY303" s="23" t="n">
        <f aca="false">IFERROR(R303/12,0)</f>
        <v>96.9191666666667</v>
      </c>
      <c r="BZ303" s="18" t="n">
        <v>95</v>
      </c>
      <c r="CA303" s="22" t="str">
        <f aca="false">IF(AE303=0,"PROSPECT",IF(AE303=1,"NOVO",IF(AE303&lt;=3,"EM DESENV.",IF(AE303&lt;=6,"RECORRENTE","FIDELIZADO"))))</f>
        <v>EM DESENV.</v>
      </c>
      <c r="CB303" s="22" t="n">
        <f aca="false">IF((P303+Q303)&gt;0,1,0)+IF((BR303+BS303)&gt;0,1,0)+IF(BE303&gt;0,1,0)</f>
        <v>2</v>
      </c>
    </row>
    <row r="304" customFormat="false" ht="15" hidden="false" customHeight="true" outlineLevel="0" collapsed="false">
      <c r="A304" s="16" t="s">
        <v>865</v>
      </c>
      <c r="B304" s="17" t="s">
        <v>866</v>
      </c>
      <c r="C304" s="18" t="s">
        <v>61</v>
      </c>
      <c r="D304" s="17" t="s">
        <v>248</v>
      </c>
      <c r="E304" s="29" t="s">
        <v>365</v>
      </c>
      <c r="F304" s="20"/>
      <c r="G304" s="20"/>
      <c r="H304" s="20"/>
      <c r="I304" s="20"/>
      <c r="J304" s="20"/>
      <c r="K304" s="20"/>
      <c r="L304" s="27" t="n">
        <v>675.8</v>
      </c>
      <c r="M304" s="27" t="n">
        <v>675.8</v>
      </c>
      <c r="N304" s="20"/>
      <c r="O304" s="20"/>
      <c r="P304" s="20"/>
      <c r="Q304" s="20"/>
      <c r="R304" s="21" t="n">
        <f aca="false">SUM(F304:Q304)</f>
        <v>1351.6</v>
      </c>
      <c r="S304" s="18"/>
      <c r="T304" s="18"/>
      <c r="U304" s="18"/>
      <c r="V304" s="18"/>
      <c r="W304" s="18"/>
      <c r="X304" s="18"/>
      <c r="Y304" s="28" t="n">
        <v>1</v>
      </c>
      <c r="Z304" s="28" t="n">
        <v>1</v>
      </c>
      <c r="AA304" s="18"/>
      <c r="AB304" s="18"/>
      <c r="AC304" s="18"/>
      <c r="AD304" s="18"/>
      <c r="AE304" s="22" t="n">
        <f aca="false">SUM(S304:AD304)</f>
        <v>2</v>
      </c>
      <c r="AF304" s="22"/>
      <c r="AG304" s="22"/>
      <c r="AH304" s="22"/>
      <c r="AI304" s="22"/>
      <c r="AJ304" s="22"/>
      <c r="AK304" s="22"/>
      <c r="AL304" s="29" t="s">
        <v>48</v>
      </c>
      <c r="AM304" s="29" t="s">
        <v>48</v>
      </c>
      <c r="AN304" s="22"/>
      <c r="AO304" s="22"/>
      <c r="AP304" s="22"/>
      <c r="AQ304" s="22"/>
      <c r="AR304" s="29" t="s">
        <v>48</v>
      </c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22" t="n">
        <f aca="false">SUM(AS304:BD304)</f>
        <v>0</v>
      </c>
      <c r="BF304" s="23"/>
      <c r="BG304" s="24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22" t="n">
        <f aca="false">SUM(BH304:BS304)</f>
        <v>0</v>
      </c>
      <c r="BU304" s="26"/>
      <c r="BV304" s="17"/>
      <c r="BW304" s="17"/>
      <c r="BX304" s="23" t="n">
        <f aca="false">IFERROR(R304/AE304,0)</f>
        <v>675.8</v>
      </c>
      <c r="BY304" s="23" t="n">
        <f aca="false">IFERROR(R304/12,0)</f>
        <v>112.633333333333</v>
      </c>
      <c r="BZ304" s="18" t="n">
        <v>0</v>
      </c>
      <c r="CA304" s="22" t="str">
        <f aca="false">IF(AE304=0,"PROSPECT",IF(AE304=1,"NOVO",IF(AE304&lt;=3,"EM DESENV.",IF(AE304&lt;=6,"RECORRENTE","FIDELIZADO"))))</f>
        <v>EM DESENV.</v>
      </c>
      <c r="CB304" s="22" t="n">
        <f aca="false">IF((P304+Q304)&gt;0,1,0)+IF((BR304+BS304)&gt;0,1,0)+IF(BE304&gt;0,1,0)</f>
        <v>0</v>
      </c>
    </row>
    <row r="305" customFormat="false" ht="15" hidden="false" customHeight="true" outlineLevel="0" collapsed="false">
      <c r="A305" s="16" t="s">
        <v>867</v>
      </c>
      <c r="B305" s="17" t="s">
        <v>868</v>
      </c>
      <c r="C305" s="18" t="s">
        <v>127</v>
      </c>
      <c r="D305" s="17" t="s">
        <v>869</v>
      </c>
      <c r="E305" s="29" t="s">
        <v>365</v>
      </c>
      <c r="F305" s="20"/>
      <c r="G305" s="20"/>
      <c r="H305" s="20"/>
      <c r="I305" s="20"/>
      <c r="J305" s="20"/>
      <c r="K305" s="20"/>
      <c r="L305" s="27" t="n">
        <v>1432.52</v>
      </c>
      <c r="M305" s="27" t="n">
        <v>1030.42</v>
      </c>
      <c r="N305" s="20"/>
      <c r="O305" s="20"/>
      <c r="P305" s="20"/>
      <c r="Q305" s="20"/>
      <c r="R305" s="21" t="n">
        <f aca="false">SUM(F305:Q305)</f>
        <v>2462.94</v>
      </c>
      <c r="S305" s="18"/>
      <c r="T305" s="18"/>
      <c r="U305" s="18"/>
      <c r="V305" s="18"/>
      <c r="W305" s="18"/>
      <c r="X305" s="18"/>
      <c r="Y305" s="28" t="n">
        <v>1</v>
      </c>
      <c r="Z305" s="28" t="n">
        <v>1</v>
      </c>
      <c r="AA305" s="18"/>
      <c r="AB305" s="18"/>
      <c r="AC305" s="18"/>
      <c r="AD305" s="18"/>
      <c r="AE305" s="22" t="n">
        <f aca="false">SUM(S305:AD305)</f>
        <v>2</v>
      </c>
      <c r="AF305" s="22"/>
      <c r="AG305" s="22"/>
      <c r="AH305" s="22"/>
      <c r="AI305" s="22"/>
      <c r="AJ305" s="22"/>
      <c r="AK305" s="22"/>
      <c r="AL305" s="19" t="s">
        <v>50</v>
      </c>
      <c r="AM305" s="30" t="s">
        <v>49</v>
      </c>
      <c r="AN305" s="22"/>
      <c r="AO305" s="22"/>
      <c r="AP305" s="22"/>
      <c r="AQ305" s="22"/>
      <c r="AR305" s="19" t="s">
        <v>50</v>
      </c>
      <c r="AS305" s="18"/>
      <c r="AT305" s="18"/>
      <c r="AU305" s="18"/>
      <c r="AV305" s="18"/>
      <c r="AW305" s="18"/>
      <c r="AX305" s="18"/>
      <c r="AY305" s="25" t="n">
        <v>3</v>
      </c>
      <c r="AZ305" s="18"/>
      <c r="BA305" s="25" t="n">
        <v>1</v>
      </c>
      <c r="BB305" s="18"/>
      <c r="BC305" s="25" t="n">
        <v>2</v>
      </c>
      <c r="BD305" s="18"/>
      <c r="BE305" s="22" t="n">
        <f aca="false">SUM(AS305:BD305)</f>
        <v>6</v>
      </c>
      <c r="BF305" s="23" t="n">
        <v>1432.52</v>
      </c>
      <c r="BG305" s="19" t="s">
        <v>55</v>
      </c>
      <c r="BH305" s="18"/>
      <c r="BI305" s="18"/>
      <c r="BJ305" s="18"/>
      <c r="BK305" s="18"/>
      <c r="BL305" s="18"/>
      <c r="BM305" s="18"/>
      <c r="BN305" s="25" t="n">
        <v>1</v>
      </c>
      <c r="BO305" s="25" t="n">
        <v>1</v>
      </c>
      <c r="BP305" s="25" t="n">
        <v>2</v>
      </c>
      <c r="BQ305" s="18"/>
      <c r="BR305" s="25" t="n">
        <v>5</v>
      </c>
      <c r="BS305" s="18"/>
      <c r="BT305" s="22" t="n">
        <f aca="false">SUM(BH305:BS305)</f>
        <v>9</v>
      </c>
      <c r="BU305" s="26" t="n">
        <v>46034.5708333333</v>
      </c>
      <c r="BV305" s="17" t="s">
        <v>107</v>
      </c>
      <c r="BW305" s="17" t="s">
        <v>111</v>
      </c>
      <c r="BX305" s="23" t="n">
        <f aca="false">IFERROR(R305/AE305,0)</f>
        <v>1231.47</v>
      </c>
      <c r="BY305" s="23" t="n">
        <f aca="false">IFERROR(R305/12,0)</f>
        <v>205.245</v>
      </c>
      <c r="BZ305" s="18" t="n">
        <v>23</v>
      </c>
      <c r="CA305" s="22" t="str">
        <f aca="false">IF(AE305=0,"PROSPECT",IF(AE305=1,"NOVO",IF(AE305&lt;=3,"EM DESENV.",IF(AE305&lt;=6,"RECORRENTE","FIDELIZADO"))))</f>
        <v>EM DESENV.</v>
      </c>
      <c r="CB305" s="22" t="n">
        <f aca="false">IF((P305+Q305)&gt;0,1,0)+IF((BR305+BS305)&gt;0,1,0)+IF(BE305&gt;0,1,0)</f>
        <v>2</v>
      </c>
    </row>
    <row r="306" customFormat="false" ht="15" hidden="false" customHeight="true" outlineLevel="0" collapsed="false">
      <c r="A306" s="16" t="s">
        <v>870</v>
      </c>
      <c r="B306" s="17" t="s">
        <v>871</v>
      </c>
      <c r="C306" s="18" t="s">
        <v>53</v>
      </c>
      <c r="D306" s="17" t="s">
        <v>234</v>
      </c>
      <c r="E306" s="29" t="s">
        <v>365</v>
      </c>
      <c r="F306" s="20"/>
      <c r="G306" s="20"/>
      <c r="H306" s="20"/>
      <c r="I306" s="20"/>
      <c r="J306" s="20"/>
      <c r="K306" s="20"/>
      <c r="L306" s="20"/>
      <c r="M306" s="20"/>
      <c r="N306" s="27" t="n">
        <v>2335.96</v>
      </c>
      <c r="O306" s="20"/>
      <c r="P306" s="20"/>
      <c r="Q306" s="20"/>
      <c r="R306" s="21" t="n">
        <f aca="false">SUM(F306:Q306)</f>
        <v>2335.96</v>
      </c>
      <c r="S306" s="18"/>
      <c r="T306" s="18"/>
      <c r="U306" s="18"/>
      <c r="V306" s="18"/>
      <c r="W306" s="18"/>
      <c r="X306" s="18"/>
      <c r="Y306" s="18"/>
      <c r="Z306" s="18"/>
      <c r="AA306" s="28" t="n">
        <v>1</v>
      </c>
      <c r="AB306" s="18"/>
      <c r="AC306" s="18"/>
      <c r="AD306" s="18"/>
      <c r="AE306" s="22" t="n">
        <f aca="false">SUM(S306:AD306)</f>
        <v>1</v>
      </c>
      <c r="AF306" s="22"/>
      <c r="AG306" s="22"/>
      <c r="AH306" s="22"/>
      <c r="AI306" s="22"/>
      <c r="AJ306" s="22"/>
      <c r="AK306" s="22"/>
      <c r="AL306" s="22"/>
      <c r="AM306" s="22"/>
      <c r="AN306" s="19" t="s">
        <v>50</v>
      </c>
      <c r="AO306" s="22"/>
      <c r="AP306" s="22"/>
      <c r="AQ306" s="22"/>
      <c r="AR306" s="30" t="s">
        <v>49</v>
      </c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22" t="n">
        <f aca="false">SUM(AS306:BD306)</f>
        <v>0</v>
      </c>
      <c r="BF306" s="23"/>
      <c r="BG306" s="24"/>
      <c r="BH306" s="18"/>
      <c r="BI306" s="18"/>
      <c r="BJ306" s="18"/>
      <c r="BK306" s="18"/>
      <c r="BL306" s="18"/>
      <c r="BM306" s="18"/>
      <c r="BN306" s="18"/>
      <c r="BO306" s="18"/>
      <c r="BP306" s="25" t="n">
        <v>2</v>
      </c>
      <c r="BQ306" s="18"/>
      <c r="BR306" s="25" t="n">
        <v>3</v>
      </c>
      <c r="BS306" s="25" t="n">
        <v>3</v>
      </c>
      <c r="BT306" s="22" t="n">
        <f aca="false">SUM(BH306:BS306)</f>
        <v>8</v>
      </c>
      <c r="BU306" s="26" t="n">
        <v>46058.6639930556</v>
      </c>
      <c r="BV306" s="17"/>
      <c r="BW306" s="17" t="s">
        <v>44</v>
      </c>
      <c r="BX306" s="23" t="n">
        <f aca="false">IFERROR(R306/AE306,0)</f>
        <v>2335.96</v>
      </c>
      <c r="BY306" s="23" t="n">
        <f aca="false">IFERROR(R306/12,0)</f>
        <v>194.663333333333</v>
      </c>
      <c r="BZ306" s="18" t="n">
        <v>0</v>
      </c>
      <c r="CA306" s="22" t="str">
        <f aca="false">IF(AE306=0,"PROSPECT",IF(AE306=1,"NOVO",IF(AE306&lt;=3,"EM DESENV.",IF(AE306&lt;=6,"RECORRENTE","FIDELIZADO"))))</f>
        <v>NOVO</v>
      </c>
      <c r="CB306" s="22" t="n">
        <f aca="false">IF((P306+Q306)&gt;0,1,0)+IF((BR306+BS306)&gt;0,1,0)+IF(BE306&gt;0,1,0)</f>
        <v>1</v>
      </c>
    </row>
    <row r="307" customFormat="false" ht="15" hidden="false" customHeight="true" outlineLevel="0" collapsed="false">
      <c r="A307" s="16" t="s">
        <v>872</v>
      </c>
      <c r="B307" s="17" t="s">
        <v>873</v>
      </c>
      <c r="C307" s="18" t="s">
        <v>53</v>
      </c>
      <c r="D307" s="17" t="s">
        <v>234</v>
      </c>
      <c r="E307" s="29" t="s">
        <v>365</v>
      </c>
      <c r="F307" s="20"/>
      <c r="G307" s="20"/>
      <c r="H307" s="20"/>
      <c r="I307" s="20"/>
      <c r="J307" s="20"/>
      <c r="K307" s="20"/>
      <c r="L307" s="20"/>
      <c r="M307" s="20"/>
      <c r="N307" s="20"/>
      <c r="O307" s="27" t="n">
        <v>1690</v>
      </c>
      <c r="P307" s="20"/>
      <c r="Q307" s="20"/>
      <c r="R307" s="21" t="n">
        <f aca="false">SUM(F307:Q307)</f>
        <v>1690</v>
      </c>
      <c r="S307" s="18"/>
      <c r="T307" s="18"/>
      <c r="U307" s="18"/>
      <c r="V307" s="18"/>
      <c r="W307" s="18"/>
      <c r="X307" s="18"/>
      <c r="Y307" s="18"/>
      <c r="Z307" s="18"/>
      <c r="AA307" s="18"/>
      <c r="AB307" s="28" t="n">
        <v>1</v>
      </c>
      <c r="AC307" s="18"/>
      <c r="AD307" s="18"/>
      <c r="AE307" s="22" t="n">
        <f aca="false">SUM(S307:AD307)</f>
        <v>1</v>
      </c>
      <c r="AF307" s="22"/>
      <c r="AG307" s="22"/>
      <c r="AH307" s="22"/>
      <c r="AI307" s="22"/>
      <c r="AJ307" s="22"/>
      <c r="AK307" s="22"/>
      <c r="AL307" s="22"/>
      <c r="AM307" s="22"/>
      <c r="AN307" s="22"/>
      <c r="AO307" s="19" t="s">
        <v>50</v>
      </c>
      <c r="AP307" s="22"/>
      <c r="AQ307" s="22"/>
      <c r="AR307" s="30" t="s">
        <v>49</v>
      </c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22" t="n">
        <f aca="false">SUM(AS307:BD307)</f>
        <v>0</v>
      </c>
      <c r="BF307" s="23"/>
      <c r="BG307" s="24"/>
      <c r="BH307" s="18"/>
      <c r="BI307" s="18"/>
      <c r="BJ307" s="18"/>
      <c r="BK307" s="18"/>
      <c r="BL307" s="18"/>
      <c r="BM307" s="18"/>
      <c r="BN307" s="18"/>
      <c r="BO307" s="18"/>
      <c r="BP307" s="18"/>
      <c r="BQ307" s="25" t="n">
        <v>1</v>
      </c>
      <c r="BR307" s="25" t="n">
        <v>2</v>
      </c>
      <c r="BS307" s="25" t="n">
        <v>3</v>
      </c>
      <c r="BT307" s="22" t="n">
        <f aca="false">SUM(BH307:BS307)</f>
        <v>6</v>
      </c>
      <c r="BU307" s="26" t="n">
        <v>46057.4736111111</v>
      </c>
      <c r="BV307" s="17" t="s">
        <v>243</v>
      </c>
      <c r="BW307" s="17" t="s">
        <v>44</v>
      </c>
      <c r="BX307" s="23" t="n">
        <f aca="false">IFERROR(R307/AE307,0)</f>
        <v>1690</v>
      </c>
      <c r="BY307" s="23" t="n">
        <f aca="false">IFERROR(R307/12,0)</f>
        <v>140.833333333333</v>
      </c>
      <c r="BZ307" s="18" t="n">
        <v>0</v>
      </c>
      <c r="CA307" s="22" t="str">
        <f aca="false">IF(AE307=0,"PROSPECT",IF(AE307=1,"NOVO",IF(AE307&lt;=3,"EM DESENV.",IF(AE307&lt;=6,"RECORRENTE","FIDELIZADO"))))</f>
        <v>NOVO</v>
      </c>
      <c r="CB307" s="22" t="n">
        <f aca="false">IF((P307+Q307)&gt;0,1,0)+IF((BR307+BS307)&gt;0,1,0)+IF(BE307&gt;0,1,0)</f>
        <v>1</v>
      </c>
    </row>
    <row r="308" customFormat="false" ht="15" hidden="false" customHeight="true" outlineLevel="0" collapsed="false">
      <c r="A308" s="16" t="s">
        <v>874</v>
      </c>
      <c r="B308" s="17" t="s">
        <v>875</v>
      </c>
      <c r="C308" s="18" t="s">
        <v>53</v>
      </c>
      <c r="D308" s="17" t="s">
        <v>172</v>
      </c>
      <c r="E308" s="29" t="s">
        <v>365</v>
      </c>
      <c r="F308" s="27" t="n">
        <v>1754.42</v>
      </c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1" t="n">
        <f aca="false">SUM(F308:Q308)</f>
        <v>1754.42</v>
      </c>
      <c r="S308" s="28" t="n">
        <v>1</v>
      </c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22" t="n">
        <f aca="false">SUM(S308:AD308)</f>
        <v>1</v>
      </c>
      <c r="AF308" s="19" t="s">
        <v>50</v>
      </c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30" t="s">
        <v>49</v>
      </c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22" t="n">
        <f aca="false">SUM(AS308:BD308)</f>
        <v>0</v>
      </c>
      <c r="BF308" s="23"/>
      <c r="BG308" s="24"/>
      <c r="BH308" s="18"/>
      <c r="BI308" s="18"/>
      <c r="BJ308" s="18"/>
      <c r="BK308" s="25" t="n">
        <v>2</v>
      </c>
      <c r="BL308" s="18"/>
      <c r="BM308" s="18"/>
      <c r="BN308" s="25" t="n">
        <v>2</v>
      </c>
      <c r="BO308" s="18"/>
      <c r="BP308" s="18"/>
      <c r="BQ308" s="25" t="n">
        <v>2</v>
      </c>
      <c r="BR308" s="25" t="n">
        <v>2</v>
      </c>
      <c r="BS308" s="18"/>
      <c r="BT308" s="22" t="n">
        <f aca="false">SUM(BH308:BS308)</f>
        <v>8</v>
      </c>
      <c r="BU308" s="26" t="n">
        <v>46036.7034953704</v>
      </c>
      <c r="BV308" s="17"/>
      <c r="BW308" s="17" t="s">
        <v>44</v>
      </c>
      <c r="BX308" s="23" t="n">
        <f aca="false">IFERROR(R308/AE308,0)</f>
        <v>1754.42</v>
      </c>
      <c r="BY308" s="23" t="n">
        <f aca="false">IFERROR(R308/12,0)</f>
        <v>146.201666666667</v>
      </c>
      <c r="BZ308" s="18" t="n">
        <v>0</v>
      </c>
      <c r="CA308" s="22" t="str">
        <f aca="false">IF(AE308=0,"PROSPECT",IF(AE308=1,"NOVO",IF(AE308&lt;=3,"EM DESENV.",IF(AE308&lt;=6,"RECORRENTE","FIDELIZADO"))))</f>
        <v>NOVO</v>
      </c>
      <c r="CB308" s="22" t="n">
        <f aca="false">IF((P308+Q308)&gt;0,1,0)+IF((BR308+BS308)&gt;0,1,0)+IF(BE308&gt;0,1,0)</f>
        <v>1</v>
      </c>
    </row>
    <row r="309" customFormat="false" ht="15" hidden="false" customHeight="true" outlineLevel="0" collapsed="false">
      <c r="A309" s="16" t="s">
        <v>876</v>
      </c>
      <c r="B309" s="17" t="s">
        <v>877</v>
      </c>
      <c r="C309" s="18" t="s">
        <v>61</v>
      </c>
      <c r="D309" s="17" t="s">
        <v>878</v>
      </c>
      <c r="E309" s="29" t="s">
        <v>365</v>
      </c>
      <c r="F309" s="20"/>
      <c r="G309" s="20"/>
      <c r="H309" s="20"/>
      <c r="I309" s="27" t="n">
        <v>905.86</v>
      </c>
      <c r="J309" s="20"/>
      <c r="K309" s="27" t="n">
        <v>820.8</v>
      </c>
      <c r="L309" s="20"/>
      <c r="M309" s="20"/>
      <c r="N309" s="20"/>
      <c r="O309" s="20"/>
      <c r="P309" s="20"/>
      <c r="Q309" s="20"/>
      <c r="R309" s="21" t="n">
        <f aca="false">SUM(F309:Q309)</f>
        <v>1726.66</v>
      </c>
      <c r="S309" s="18"/>
      <c r="T309" s="18"/>
      <c r="U309" s="18"/>
      <c r="V309" s="28" t="n">
        <v>1</v>
      </c>
      <c r="W309" s="18"/>
      <c r="X309" s="28" t="n">
        <v>1</v>
      </c>
      <c r="Y309" s="18"/>
      <c r="Z309" s="18"/>
      <c r="AA309" s="18"/>
      <c r="AB309" s="18"/>
      <c r="AC309" s="18"/>
      <c r="AD309" s="18"/>
      <c r="AE309" s="22" t="n">
        <f aca="false">SUM(S309:AD309)</f>
        <v>2</v>
      </c>
      <c r="AF309" s="22"/>
      <c r="AG309" s="22"/>
      <c r="AH309" s="22"/>
      <c r="AI309" s="30" t="s">
        <v>49</v>
      </c>
      <c r="AJ309" s="22"/>
      <c r="AK309" s="30" t="s">
        <v>49</v>
      </c>
      <c r="AL309" s="22"/>
      <c r="AM309" s="22"/>
      <c r="AN309" s="22"/>
      <c r="AO309" s="22"/>
      <c r="AP309" s="22"/>
      <c r="AQ309" s="22"/>
      <c r="AR309" s="30" t="s">
        <v>49</v>
      </c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22" t="n">
        <f aca="false">SUM(AS309:BD309)</f>
        <v>0</v>
      </c>
      <c r="BF309" s="23"/>
      <c r="BG309" s="24"/>
      <c r="BH309" s="18"/>
      <c r="BI309" s="18"/>
      <c r="BJ309" s="25" t="n">
        <v>1</v>
      </c>
      <c r="BK309" s="25" t="n">
        <v>3</v>
      </c>
      <c r="BL309" s="25" t="n">
        <v>4</v>
      </c>
      <c r="BM309" s="18"/>
      <c r="BN309" s="18"/>
      <c r="BO309" s="18"/>
      <c r="BP309" s="25" t="n">
        <v>1</v>
      </c>
      <c r="BQ309" s="25" t="n">
        <v>1</v>
      </c>
      <c r="BR309" s="18"/>
      <c r="BS309" s="18"/>
      <c r="BT309" s="22" t="n">
        <f aca="false">SUM(BH309:BS309)</f>
        <v>10</v>
      </c>
      <c r="BU309" s="26" t="n">
        <v>46001.43125</v>
      </c>
      <c r="BV309" s="17"/>
      <c r="BW309" s="17" t="s">
        <v>44</v>
      </c>
      <c r="BX309" s="23" t="n">
        <f aca="false">IFERROR(R309/AE309,0)</f>
        <v>863.33</v>
      </c>
      <c r="BY309" s="23" t="n">
        <f aca="false">IFERROR(R309/12,0)</f>
        <v>143.888333333333</v>
      </c>
      <c r="BZ309" s="18" t="n">
        <v>52</v>
      </c>
      <c r="CA309" s="22" t="str">
        <f aca="false">IF(AE309=0,"PROSPECT",IF(AE309=1,"NOVO",IF(AE309&lt;=3,"EM DESENV.",IF(AE309&lt;=6,"RECORRENTE","FIDELIZADO"))))</f>
        <v>EM DESENV.</v>
      </c>
      <c r="CB309" s="22" t="n">
        <f aca="false">IF((P309+Q309)&gt;0,1,0)+IF((BR309+BS309)&gt;0,1,0)+IF(BE309&gt;0,1,0)</f>
        <v>0</v>
      </c>
    </row>
    <row r="310" customFormat="false" ht="15" hidden="false" customHeight="true" outlineLevel="0" collapsed="false">
      <c r="A310" s="16" t="s">
        <v>879</v>
      </c>
      <c r="B310" s="17" t="s">
        <v>880</v>
      </c>
      <c r="C310" s="18" t="s">
        <v>127</v>
      </c>
      <c r="D310" s="17" t="s">
        <v>362</v>
      </c>
      <c r="E310" s="29" t="s">
        <v>365</v>
      </c>
      <c r="F310" s="20"/>
      <c r="G310" s="20"/>
      <c r="H310" s="20"/>
      <c r="I310" s="27" t="n">
        <v>652.51</v>
      </c>
      <c r="J310" s="20"/>
      <c r="K310" s="20"/>
      <c r="L310" s="20"/>
      <c r="M310" s="20"/>
      <c r="N310" s="20"/>
      <c r="O310" s="20"/>
      <c r="P310" s="20"/>
      <c r="Q310" s="20"/>
      <c r="R310" s="21" t="n">
        <f aca="false">SUM(F310:Q310)</f>
        <v>652.51</v>
      </c>
      <c r="S310" s="18"/>
      <c r="T310" s="18"/>
      <c r="U310" s="18"/>
      <c r="V310" s="28" t="n">
        <v>1</v>
      </c>
      <c r="W310" s="18"/>
      <c r="X310" s="18"/>
      <c r="Y310" s="18"/>
      <c r="Z310" s="18"/>
      <c r="AA310" s="18"/>
      <c r="AB310" s="18"/>
      <c r="AC310" s="18"/>
      <c r="AD310" s="18"/>
      <c r="AE310" s="22" t="n">
        <f aca="false">SUM(S310:AD310)</f>
        <v>1</v>
      </c>
      <c r="AF310" s="22"/>
      <c r="AG310" s="22"/>
      <c r="AH310" s="22"/>
      <c r="AI310" s="29" t="s">
        <v>48</v>
      </c>
      <c r="AJ310" s="22"/>
      <c r="AK310" s="22"/>
      <c r="AL310" s="22"/>
      <c r="AM310" s="22"/>
      <c r="AN310" s="22"/>
      <c r="AO310" s="22"/>
      <c r="AP310" s="22"/>
      <c r="AQ310" s="22"/>
      <c r="AR310" s="29" t="s">
        <v>48</v>
      </c>
      <c r="AS310" s="18"/>
      <c r="AT310" s="18"/>
      <c r="AU310" s="18"/>
      <c r="AV310" s="25" t="n">
        <v>2</v>
      </c>
      <c r="AW310" s="18"/>
      <c r="AX310" s="18"/>
      <c r="AY310" s="18"/>
      <c r="AZ310" s="18"/>
      <c r="BA310" s="18"/>
      <c r="BB310" s="18"/>
      <c r="BC310" s="18"/>
      <c r="BD310" s="18"/>
      <c r="BE310" s="22" t="n">
        <f aca="false">SUM(AS310:BD310)</f>
        <v>2</v>
      </c>
      <c r="BF310" s="23" t="n">
        <v>652.51</v>
      </c>
      <c r="BG310" s="19" t="s">
        <v>55</v>
      </c>
      <c r="BH310" s="18"/>
      <c r="BI310" s="18"/>
      <c r="BJ310" s="18"/>
      <c r="BK310" s="25" t="n">
        <v>2</v>
      </c>
      <c r="BL310" s="25" t="n">
        <v>1</v>
      </c>
      <c r="BM310" s="25" t="n">
        <v>1</v>
      </c>
      <c r="BN310" s="25" t="n">
        <v>1</v>
      </c>
      <c r="BO310" s="18"/>
      <c r="BP310" s="18"/>
      <c r="BQ310" s="25" t="n">
        <v>2</v>
      </c>
      <c r="BR310" s="25" t="n">
        <v>2</v>
      </c>
      <c r="BS310" s="18"/>
      <c r="BT310" s="22" t="n">
        <f aca="false">SUM(BH310:BS310)</f>
        <v>9</v>
      </c>
      <c r="BU310" s="26" t="n">
        <v>46036.6673611111</v>
      </c>
      <c r="BV310" s="17" t="s">
        <v>378</v>
      </c>
      <c r="BW310" s="17" t="s">
        <v>44</v>
      </c>
      <c r="BX310" s="23" t="n">
        <f aca="false">IFERROR(R310/AE310,0)</f>
        <v>652.51</v>
      </c>
      <c r="BY310" s="23" t="n">
        <f aca="false">IFERROR(R310/12,0)</f>
        <v>54.3758333333333</v>
      </c>
      <c r="BZ310" s="18" t="n">
        <v>0</v>
      </c>
      <c r="CA310" s="22" t="str">
        <f aca="false">IF(AE310=0,"PROSPECT",IF(AE310=1,"NOVO",IF(AE310&lt;=3,"EM DESENV.",IF(AE310&lt;=6,"RECORRENTE","FIDELIZADO"))))</f>
        <v>NOVO</v>
      </c>
      <c r="CB310" s="22" t="n">
        <f aca="false">IF((P310+Q310)&gt;0,1,0)+IF((BR310+BS310)&gt;0,1,0)+IF(BE310&gt;0,1,0)</f>
        <v>2</v>
      </c>
    </row>
    <row r="311" customFormat="false" ht="15" hidden="false" customHeight="true" outlineLevel="0" collapsed="false">
      <c r="A311" s="16" t="s">
        <v>881</v>
      </c>
      <c r="B311" s="17" t="s">
        <v>882</v>
      </c>
      <c r="C311" s="18" t="s">
        <v>53</v>
      </c>
      <c r="D311" s="17" t="s">
        <v>330</v>
      </c>
      <c r="E311" s="29" t="s">
        <v>365</v>
      </c>
      <c r="F311" s="20"/>
      <c r="G311" s="20"/>
      <c r="H311" s="20"/>
      <c r="I311" s="20"/>
      <c r="J311" s="20"/>
      <c r="K311" s="20"/>
      <c r="L311" s="27" t="n">
        <v>1570.68</v>
      </c>
      <c r="M311" s="20"/>
      <c r="N311" s="20"/>
      <c r="O311" s="20"/>
      <c r="P311" s="20"/>
      <c r="Q311" s="20"/>
      <c r="R311" s="21" t="n">
        <f aca="false">SUM(F311:Q311)</f>
        <v>1570.68</v>
      </c>
      <c r="S311" s="18"/>
      <c r="T311" s="18"/>
      <c r="U311" s="18"/>
      <c r="V311" s="18"/>
      <c r="W311" s="18"/>
      <c r="X311" s="18"/>
      <c r="Y311" s="28" t="n">
        <v>1</v>
      </c>
      <c r="Z311" s="18"/>
      <c r="AA311" s="18"/>
      <c r="AB311" s="18"/>
      <c r="AC311" s="18"/>
      <c r="AD311" s="18"/>
      <c r="AE311" s="22" t="n">
        <f aca="false">SUM(S311:AD311)</f>
        <v>1</v>
      </c>
      <c r="AF311" s="22"/>
      <c r="AG311" s="22"/>
      <c r="AH311" s="22"/>
      <c r="AI311" s="22"/>
      <c r="AJ311" s="22"/>
      <c r="AK311" s="22"/>
      <c r="AL311" s="19" t="s">
        <v>50</v>
      </c>
      <c r="AM311" s="22"/>
      <c r="AN311" s="22"/>
      <c r="AO311" s="22"/>
      <c r="AP311" s="22"/>
      <c r="AQ311" s="22"/>
      <c r="AR311" s="30" t="s">
        <v>49</v>
      </c>
      <c r="AS311" s="18"/>
      <c r="AT311" s="18"/>
      <c r="AU311" s="18"/>
      <c r="AV311" s="18"/>
      <c r="AW311" s="18"/>
      <c r="AX311" s="18"/>
      <c r="AY311" s="18"/>
      <c r="AZ311" s="18"/>
      <c r="BA311" s="18"/>
      <c r="BB311" s="25" t="n">
        <v>1</v>
      </c>
      <c r="BC311" s="18"/>
      <c r="BD311" s="18"/>
      <c r="BE311" s="22" t="n">
        <f aca="false">SUM(AS311:BD311)</f>
        <v>1</v>
      </c>
      <c r="BF311" s="23"/>
      <c r="BG311" s="31" t="s">
        <v>93</v>
      </c>
      <c r="BH311" s="18"/>
      <c r="BI311" s="18"/>
      <c r="BJ311" s="18"/>
      <c r="BK311" s="18"/>
      <c r="BL311" s="18"/>
      <c r="BM311" s="18"/>
      <c r="BN311" s="18"/>
      <c r="BO311" s="18"/>
      <c r="BP311" s="18"/>
      <c r="BQ311" s="25" t="n">
        <v>1</v>
      </c>
      <c r="BR311" s="18"/>
      <c r="BS311" s="18"/>
      <c r="BT311" s="22" t="n">
        <f aca="false">SUM(BH311:BS311)</f>
        <v>1</v>
      </c>
      <c r="BU311" s="26" t="n">
        <v>46000.7076388889</v>
      </c>
      <c r="BV311" s="17"/>
      <c r="BW311" s="17" t="s">
        <v>117</v>
      </c>
      <c r="BX311" s="23" t="n">
        <f aca="false">IFERROR(R311/AE311,0)</f>
        <v>1570.68</v>
      </c>
      <c r="BY311" s="23" t="n">
        <f aca="false">IFERROR(R311/12,0)</f>
        <v>130.89</v>
      </c>
      <c r="BZ311" s="18" t="n">
        <v>0</v>
      </c>
      <c r="CA311" s="22" t="str">
        <f aca="false">IF(AE311=0,"PROSPECT",IF(AE311=1,"NOVO",IF(AE311&lt;=3,"EM DESENV.",IF(AE311&lt;=6,"RECORRENTE","FIDELIZADO"))))</f>
        <v>NOVO</v>
      </c>
      <c r="CB311" s="22" t="n">
        <f aca="false">IF((P311+Q311)&gt;0,1,0)+IF((BR311+BS311)&gt;0,1,0)+IF(BE311&gt;0,1,0)</f>
        <v>1</v>
      </c>
    </row>
    <row r="312" customFormat="false" ht="15" hidden="false" customHeight="true" outlineLevel="0" collapsed="false">
      <c r="A312" s="16" t="s">
        <v>883</v>
      </c>
      <c r="B312" s="17" t="s">
        <v>884</v>
      </c>
      <c r="C312" s="18" t="s">
        <v>53</v>
      </c>
      <c r="D312" s="17" t="s">
        <v>885</v>
      </c>
      <c r="E312" s="29" t="s">
        <v>365</v>
      </c>
      <c r="F312" s="20"/>
      <c r="G312" s="20"/>
      <c r="H312" s="20"/>
      <c r="I312" s="20"/>
      <c r="J312" s="20"/>
      <c r="K312" s="20"/>
      <c r="L312" s="20"/>
      <c r="M312" s="20"/>
      <c r="N312" s="27" t="n">
        <v>1236.5</v>
      </c>
      <c r="O312" s="20"/>
      <c r="P312" s="20"/>
      <c r="Q312" s="20"/>
      <c r="R312" s="21" t="n">
        <f aca="false">SUM(F312:Q312)</f>
        <v>1236.5</v>
      </c>
      <c r="S312" s="18"/>
      <c r="T312" s="18"/>
      <c r="U312" s="18"/>
      <c r="V312" s="18"/>
      <c r="W312" s="18"/>
      <c r="X312" s="18"/>
      <c r="Y312" s="18"/>
      <c r="Z312" s="18"/>
      <c r="AA312" s="28" t="n">
        <v>1</v>
      </c>
      <c r="AB312" s="18"/>
      <c r="AC312" s="18"/>
      <c r="AD312" s="18"/>
      <c r="AE312" s="22" t="n">
        <f aca="false">SUM(S312:AD312)</f>
        <v>1</v>
      </c>
      <c r="AF312" s="22"/>
      <c r="AG312" s="22"/>
      <c r="AH312" s="22"/>
      <c r="AI312" s="22"/>
      <c r="AJ312" s="22"/>
      <c r="AK312" s="22"/>
      <c r="AL312" s="22"/>
      <c r="AM312" s="22"/>
      <c r="AN312" s="30" t="s">
        <v>49</v>
      </c>
      <c r="AO312" s="22"/>
      <c r="AP312" s="22"/>
      <c r="AQ312" s="22"/>
      <c r="AR312" s="30" t="s">
        <v>49</v>
      </c>
      <c r="AS312" s="18"/>
      <c r="AT312" s="18"/>
      <c r="AU312" s="18"/>
      <c r="AV312" s="18"/>
      <c r="AW312" s="18"/>
      <c r="AX312" s="18"/>
      <c r="AY312" s="18"/>
      <c r="AZ312" s="18"/>
      <c r="BA312" s="25" t="n">
        <v>1</v>
      </c>
      <c r="BB312" s="18"/>
      <c r="BC312" s="18"/>
      <c r="BD312" s="18"/>
      <c r="BE312" s="22" t="n">
        <f aca="false">SUM(AS312:BD312)</f>
        <v>1</v>
      </c>
      <c r="BF312" s="23" t="n">
        <v>1236.5</v>
      </c>
      <c r="BG312" s="19" t="s">
        <v>55</v>
      </c>
      <c r="BH312" s="18"/>
      <c r="BI312" s="18"/>
      <c r="BJ312" s="18"/>
      <c r="BK312" s="18"/>
      <c r="BL312" s="18"/>
      <c r="BM312" s="18"/>
      <c r="BN312" s="18"/>
      <c r="BO312" s="18"/>
      <c r="BP312" s="25" t="n">
        <v>2</v>
      </c>
      <c r="BQ312" s="25" t="n">
        <v>1</v>
      </c>
      <c r="BR312" s="25" t="n">
        <v>3</v>
      </c>
      <c r="BS312" s="25" t="n">
        <v>3</v>
      </c>
      <c r="BT312" s="22" t="n">
        <f aca="false">SUM(BH312:BS312)</f>
        <v>9</v>
      </c>
      <c r="BU312" s="26" t="n">
        <v>46058.6821412037</v>
      </c>
      <c r="BV312" s="17"/>
      <c r="BW312" s="17" t="s">
        <v>44</v>
      </c>
      <c r="BX312" s="23" t="n">
        <f aca="false">IFERROR(R312/AE312,0)</f>
        <v>1236.5</v>
      </c>
      <c r="BY312" s="23" t="n">
        <f aca="false">IFERROR(R312/12,0)</f>
        <v>103.041666666667</v>
      </c>
      <c r="BZ312" s="18" t="n">
        <v>0</v>
      </c>
      <c r="CA312" s="22" t="str">
        <f aca="false">IF(AE312=0,"PROSPECT",IF(AE312=1,"NOVO",IF(AE312&lt;=3,"EM DESENV.",IF(AE312&lt;=6,"RECORRENTE","FIDELIZADO"))))</f>
        <v>NOVO</v>
      </c>
      <c r="CB312" s="22" t="n">
        <f aca="false">IF((P312+Q312)&gt;0,1,0)+IF((BR312+BS312)&gt;0,1,0)+IF(BE312&gt;0,1,0)</f>
        <v>2</v>
      </c>
    </row>
    <row r="313" customFormat="false" ht="15" hidden="false" customHeight="true" outlineLevel="0" collapsed="false">
      <c r="A313" s="16" t="s">
        <v>886</v>
      </c>
      <c r="B313" s="17" t="s">
        <v>887</v>
      </c>
      <c r="C313" s="18" t="s">
        <v>53</v>
      </c>
      <c r="D313" s="17" t="s">
        <v>234</v>
      </c>
      <c r="E313" s="29" t="s">
        <v>365</v>
      </c>
      <c r="F313" s="20"/>
      <c r="G313" s="20"/>
      <c r="H313" s="20"/>
      <c r="I313" s="20"/>
      <c r="J313" s="20"/>
      <c r="K313" s="27" t="n">
        <v>1012.6</v>
      </c>
      <c r="L313" s="20"/>
      <c r="M313" s="20"/>
      <c r="N313" s="20"/>
      <c r="O313" s="20"/>
      <c r="P313" s="20"/>
      <c r="Q313" s="20"/>
      <c r="R313" s="21" t="n">
        <f aca="false">SUM(F313:Q313)</f>
        <v>1012.6</v>
      </c>
      <c r="S313" s="18"/>
      <c r="T313" s="18"/>
      <c r="U313" s="18"/>
      <c r="V313" s="18"/>
      <c r="W313" s="18"/>
      <c r="X313" s="28" t="n">
        <v>1</v>
      </c>
      <c r="Y313" s="18"/>
      <c r="Z313" s="18"/>
      <c r="AA313" s="18"/>
      <c r="AB313" s="18"/>
      <c r="AC313" s="18"/>
      <c r="AD313" s="18"/>
      <c r="AE313" s="22" t="n">
        <f aca="false">SUM(S313:AD313)</f>
        <v>1</v>
      </c>
      <c r="AF313" s="22"/>
      <c r="AG313" s="22"/>
      <c r="AH313" s="22"/>
      <c r="AI313" s="22"/>
      <c r="AJ313" s="22"/>
      <c r="AK313" s="30" t="s">
        <v>49</v>
      </c>
      <c r="AL313" s="22"/>
      <c r="AM313" s="22"/>
      <c r="AN313" s="22"/>
      <c r="AO313" s="22"/>
      <c r="AP313" s="22"/>
      <c r="AQ313" s="22"/>
      <c r="AR313" s="29" t="s">
        <v>48</v>
      </c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22" t="n">
        <f aca="false">SUM(AS313:BD313)</f>
        <v>0</v>
      </c>
      <c r="BF313" s="23"/>
      <c r="BG313" s="24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22" t="n">
        <f aca="false">SUM(BH313:BS313)</f>
        <v>0</v>
      </c>
      <c r="BU313" s="26"/>
      <c r="BV313" s="17"/>
      <c r="BW313" s="17"/>
      <c r="BX313" s="23" t="n">
        <f aca="false">IFERROR(R313/AE313,0)</f>
        <v>1012.6</v>
      </c>
      <c r="BY313" s="23" t="n">
        <f aca="false">IFERROR(R313/12,0)</f>
        <v>84.3833333333333</v>
      </c>
      <c r="BZ313" s="18" t="n">
        <v>0</v>
      </c>
      <c r="CA313" s="22" t="str">
        <f aca="false">IF(AE313=0,"PROSPECT",IF(AE313=1,"NOVO",IF(AE313&lt;=3,"EM DESENV.",IF(AE313&lt;=6,"RECORRENTE","FIDELIZADO"))))</f>
        <v>NOVO</v>
      </c>
      <c r="CB313" s="22" t="n">
        <f aca="false">IF((P313+Q313)&gt;0,1,0)+IF((BR313+BS313)&gt;0,1,0)+IF(BE313&gt;0,1,0)</f>
        <v>0</v>
      </c>
    </row>
    <row r="314" customFormat="false" ht="15" hidden="false" customHeight="true" outlineLevel="0" collapsed="false">
      <c r="A314" s="16" t="s">
        <v>888</v>
      </c>
      <c r="B314" s="17" t="s">
        <v>889</v>
      </c>
      <c r="C314" s="18" t="s">
        <v>79</v>
      </c>
      <c r="D314" s="17" t="s">
        <v>890</v>
      </c>
      <c r="E314" s="29" t="s">
        <v>365</v>
      </c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1" t="n">
        <f aca="false">SUM(F314:Q314)</f>
        <v>0</v>
      </c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22" t="n">
        <f aca="false">SUM(S314:AD314)</f>
        <v>0</v>
      </c>
      <c r="AF314" s="22"/>
      <c r="AG314" s="22"/>
      <c r="AH314" s="30" t="s">
        <v>49</v>
      </c>
      <c r="AI314" s="22"/>
      <c r="AJ314" s="30" t="s">
        <v>49</v>
      </c>
      <c r="AK314" s="22"/>
      <c r="AL314" s="22"/>
      <c r="AM314" s="22"/>
      <c r="AN314" s="22"/>
      <c r="AO314" s="22"/>
      <c r="AP314" s="22"/>
      <c r="AQ314" s="22"/>
      <c r="AR314" s="19" t="s">
        <v>50</v>
      </c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22" t="n">
        <f aca="false">SUM(AS314:BD314)</f>
        <v>0</v>
      </c>
      <c r="BF314" s="23"/>
      <c r="BG314" s="24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22" t="n">
        <f aca="false">SUM(BH314:BS314)</f>
        <v>0</v>
      </c>
      <c r="BU314" s="26"/>
      <c r="BV314" s="17"/>
      <c r="BW314" s="17"/>
      <c r="BX314" s="23" t="n">
        <f aca="false">IFERROR(R314/AE314,0)</f>
        <v>0</v>
      </c>
      <c r="BY314" s="23" t="n">
        <f aca="false">IFERROR(R314/12,0)</f>
        <v>0</v>
      </c>
      <c r="BZ314" s="18" t="n">
        <v>53</v>
      </c>
      <c r="CA314" s="22" t="str">
        <f aca="false">IF(AE314=0,"PROSPECT",IF(AE314=1,"NOVO",IF(AE314&lt;=3,"EM DESENV.",IF(AE314&lt;=6,"RECORRENTE","FIDELIZADO"))))</f>
        <v>PROSPECT</v>
      </c>
      <c r="CB314" s="22" t="n">
        <f aca="false">IF((P314+Q314)&gt;0,1,0)+IF((BR314+BS314)&gt;0,1,0)+IF(BE314&gt;0,1,0)</f>
        <v>0</v>
      </c>
    </row>
    <row r="315" customFormat="false" ht="15" hidden="false" customHeight="true" outlineLevel="0" collapsed="false">
      <c r="A315" s="16" t="s">
        <v>891</v>
      </c>
      <c r="B315" s="17" t="s">
        <v>889</v>
      </c>
      <c r="C315" s="18" t="s">
        <v>79</v>
      </c>
      <c r="D315" s="17" t="s">
        <v>892</v>
      </c>
      <c r="E315" s="29" t="s">
        <v>365</v>
      </c>
      <c r="F315" s="20"/>
      <c r="G315" s="20"/>
      <c r="H315" s="27" t="n">
        <v>8201.21</v>
      </c>
      <c r="I315" s="20"/>
      <c r="J315" s="27" t="n">
        <v>8759.82</v>
      </c>
      <c r="K315" s="20"/>
      <c r="L315" s="20"/>
      <c r="M315" s="20"/>
      <c r="N315" s="20"/>
      <c r="O315" s="20"/>
      <c r="P315" s="20"/>
      <c r="Q315" s="20"/>
      <c r="R315" s="21" t="n">
        <f aca="false">SUM(F315:Q315)</f>
        <v>16961.03</v>
      </c>
      <c r="S315" s="18"/>
      <c r="T315" s="18"/>
      <c r="U315" s="28" t="n">
        <v>1</v>
      </c>
      <c r="V315" s="18"/>
      <c r="W315" s="28" t="n">
        <v>1</v>
      </c>
      <c r="X315" s="18"/>
      <c r="Y315" s="18"/>
      <c r="Z315" s="18"/>
      <c r="AA315" s="18"/>
      <c r="AB315" s="18"/>
      <c r="AC315" s="18"/>
      <c r="AD315" s="18"/>
      <c r="AE315" s="22" t="n">
        <f aca="false">SUM(S315:AD315)</f>
        <v>2</v>
      </c>
      <c r="AF315" s="22"/>
      <c r="AG315" s="22"/>
      <c r="AH315" s="19" t="s">
        <v>50</v>
      </c>
      <c r="AI315" s="22"/>
      <c r="AJ315" s="19" t="s">
        <v>50</v>
      </c>
      <c r="AK315" s="22"/>
      <c r="AL315" s="22"/>
      <c r="AM315" s="22"/>
      <c r="AN315" s="22"/>
      <c r="AO315" s="22"/>
      <c r="AP315" s="22"/>
      <c r="AQ315" s="22"/>
      <c r="AR315" s="19" t="s">
        <v>50</v>
      </c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22" t="n">
        <f aca="false">SUM(AS315:BD315)</f>
        <v>0</v>
      </c>
      <c r="BF315" s="23"/>
      <c r="BG315" s="24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22" t="n">
        <f aca="false">SUM(BH315:BS315)</f>
        <v>0</v>
      </c>
      <c r="BU315" s="26"/>
      <c r="BV315" s="17"/>
      <c r="BW315" s="17"/>
      <c r="BX315" s="23" t="n">
        <f aca="false">IFERROR(R315/AE315,0)</f>
        <v>8480.515</v>
      </c>
      <c r="BY315" s="23" t="n">
        <f aca="false">IFERROR(R315/12,0)</f>
        <v>1413.41916666667</v>
      </c>
      <c r="BZ315" s="18" t="n">
        <v>53</v>
      </c>
      <c r="CA315" s="22" t="str">
        <f aca="false">IF(AE315=0,"PROSPECT",IF(AE315=1,"NOVO",IF(AE315&lt;=3,"EM DESENV.",IF(AE315&lt;=6,"RECORRENTE","FIDELIZADO"))))</f>
        <v>EM DESENV.</v>
      </c>
      <c r="CB315" s="22" t="n">
        <f aca="false">IF((P315+Q315)&gt;0,1,0)+IF((BR315+BS315)&gt;0,1,0)+IF(BE315&gt;0,1,0)</f>
        <v>0</v>
      </c>
    </row>
    <row r="316" customFormat="false" ht="15" hidden="false" customHeight="true" outlineLevel="0" collapsed="false">
      <c r="A316" s="16" t="s">
        <v>893</v>
      </c>
      <c r="B316" s="17" t="s">
        <v>889</v>
      </c>
      <c r="C316" s="18" t="s">
        <v>79</v>
      </c>
      <c r="D316" s="17" t="s">
        <v>894</v>
      </c>
      <c r="E316" s="29" t="s">
        <v>365</v>
      </c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1" t="n">
        <f aca="false">SUM(F316:Q316)</f>
        <v>0</v>
      </c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22" t="n">
        <f aca="false">SUM(S316:AD316)</f>
        <v>0</v>
      </c>
      <c r="AF316" s="22"/>
      <c r="AG316" s="22"/>
      <c r="AH316" s="19" t="s">
        <v>50</v>
      </c>
      <c r="AI316" s="22"/>
      <c r="AJ316" s="19" t="s">
        <v>50</v>
      </c>
      <c r="AK316" s="22"/>
      <c r="AL316" s="22"/>
      <c r="AM316" s="22"/>
      <c r="AN316" s="22"/>
      <c r="AO316" s="22"/>
      <c r="AP316" s="22"/>
      <c r="AQ316" s="22"/>
      <c r="AR316" s="19" t="s">
        <v>50</v>
      </c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22" t="n">
        <f aca="false">SUM(AS316:BD316)</f>
        <v>0</v>
      </c>
      <c r="BF316" s="23"/>
      <c r="BG316" s="24"/>
      <c r="BH316" s="18"/>
      <c r="BI316" s="18"/>
      <c r="BJ316" s="18"/>
      <c r="BK316" s="18"/>
      <c r="BL316" s="18"/>
      <c r="BM316" s="18"/>
      <c r="BN316" s="25" t="n">
        <v>1</v>
      </c>
      <c r="BO316" s="18"/>
      <c r="BP316" s="18"/>
      <c r="BQ316" s="25" t="n">
        <v>1</v>
      </c>
      <c r="BR316" s="18"/>
      <c r="BS316" s="18"/>
      <c r="BT316" s="22" t="n">
        <f aca="false">SUM(BH316:BS316)</f>
        <v>2</v>
      </c>
      <c r="BU316" s="26" t="n">
        <v>46003.4590277778</v>
      </c>
      <c r="BV316" s="17" t="s">
        <v>124</v>
      </c>
      <c r="BW316" s="17" t="s">
        <v>44</v>
      </c>
      <c r="BX316" s="23" t="n">
        <f aca="false">IFERROR(R316/AE316,0)</f>
        <v>0</v>
      </c>
      <c r="BY316" s="23" t="n">
        <f aca="false">IFERROR(R316/12,0)</f>
        <v>0</v>
      </c>
      <c r="BZ316" s="18" t="n">
        <v>53</v>
      </c>
      <c r="CA316" s="22" t="str">
        <f aca="false">IF(AE316=0,"PROSPECT",IF(AE316=1,"NOVO",IF(AE316&lt;=3,"EM DESENV.",IF(AE316&lt;=6,"RECORRENTE","FIDELIZADO"))))</f>
        <v>PROSPECT</v>
      </c>
      <c r="CB316" s="22" t="n">
        <f aca="false">IF((P316+Q316)&gt;0,1,0)+IF((BR316+BS316)&gt;0,1,0)+IF(BE316&gt;0,1,0)</f>
        <v>0</v>
      </c>
    </row>
    <row r="317" customFormat="false" ht="15" hidden="false" customHeight="true" outlineLevel="0" collapsed="false">
      <c r="A317" s="16" t="s">
        <v>895</v>
      </c>
      <c r="B317" s="17" t="s">
        <v>889</v>
      </c>
      <c r="C317" s="18" t="s">
        <v>79</v>
      </c>
      <c r="D317" s="17" t="s">
        <v>896</v>
      </c>
      <c r="E317" s="29" t="s">
        <v>365</v>
      </c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1" t="n">
        <f aca="false">SUM(F317:Q317)</f>
        <v>0</v>
      </c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22" t="n">
        <f aca="false">SUM(S317:AD317)</f>
        <v>0</v>
      </c>
      <c r="AF317" s="22"/>
      <c r="AG317" s="22"/>
      <c r="AH317" s="19" t="s">
        <v>50</v>
      </c>
      <c r="AI317" s="22"/>
      <c r="AJ317" s="30" t="s">
        <v>49</v>
      </c>
      <c r="AK317" s="22"/>
      <c r="AL317" s="22"/>
      <c r="AM317" s="22"/>
      <c r="AN317" s="22"/>
      <c r="AO317" s="22"/>
      <c r="AP317" s="22"/>
      <c r="AQ317" s="22"/>
      <c r="AR317" s="19" t="s">
        <v>50</v>
      </c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22" t="n">
        <f aca="false">SUM(AS317:BD317)</f>
        <v>0</v>
      </c>
      <c r="BF317" s="23"/>
      <c r="BG317" s="24"/>
      <c r="BH317" s="18"/>
      <c r="BI317" s="18"/>
      <c r="BJ317" s="18"/>
      <c r="BK317" s="18"/>
      <c r="BL317" s="18"/>
      <c r="BM317" s="18"/>
      <c r="BN317" s="25" t="n">
        <v>1</v>
      </c>
      <c r="BO317" s="18"/>
      <c r="BP317" s="18"/>
      <c r="BQ317" s="18"/>
      <c r="BR317" s="18"/>
      <c r="BS317" s="18"/>
      <c r="BT317" s="22" t="n">
        <f aca="false">SUM(BH317:BS317)</f>
        <v>1</v>
      </c>
      <c r="BU317" s="26" t="n">
        <v>45926.4347222222</v>
      </c>
      <c r="BV317" s="17" t="s">
        <v>124</v>
      </c>
      <c r="BW317" s="17" t="s">
        <v>44</v>
      </c>
      <c r="BX317" s="23" t="n">
        <f aca="false">IFERROR(R317/AE317,0)</f>
        <v>0</v>
      </c>
      <c r="BY317" s="23" t="n">
        <f aca="false">IFERROR(R317/12,0)</f>
        <v>0</v>
      </c>
      <c r="BZ317" s="18" t="n">
        <v>53</v>
      </c>
      <c r="CA317" s="22" t="str">
        <f aca="false">IF(AE317=0,"PROSPECT",IF(AE317=1,"NOVO",IF(AE317&lt;=3,"EM DESENV.",IF(AE317&lt;=6,"RECORRENTE","FIDELIZADO"))))</f>
        <v>PROSPECT</v>
      </c>
      <c r="CB317" s="22" t="n">
        <f aca="false">IF((P317+Q317)&gt;0,1,0)+IF((BR317+BS317)&gt;0,1,0)+IF(BE317&gt;0,1,0)</f>
        <v>0</v>
      </c>
    </row>
    <row r="318" customFormat="false" ht="15" hidden="false" customHeight="true" outlineLevel="0" collapsed="false">
      <c r="A318" s="16" t="s">
        <v>897</v>
      </c>
      <c r="B318" s="17" t="s">
        <v>898</v>
      </c>
      <c r="C318" s="18" t="s">
        <v>79</v>
      </c>
      <c r="D318" s="17" t="s">
        <v>899</v>
      </c>
      <c r="E318" s="29" t="s">
        <v>365</v>
      </c>
      <c r="F318" s="27" t="n">
        <v>1783.27</v>
      </c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1" t="n">
        <f aca="false">SUM(F318:Q318)</f>
        <v>1783.27</v>
      </c>
      <c r="S318" s="28" t="n">
        <v>1</v>
      </c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22" t="n">
        <f aca="false">SUM(S318:AD318)</f>
        <v>1</v>
      </c>
      <c r="AF318" s="19" t="s">
        <v>50</v>
      </c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30" t="s">
        <v>49</v>
      </c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22" t="n">
        <f aca="false">SUM(AS318:BD318)</f>
        <v>0</v>
      </c>
      <c r="BF318" s="23"/>
      <c r="BG318" s="24"/>
      <c r="BH318" s="25" t="n">
        <v>2</v>
      </c>
      <c r="BI318" s="18"/>
      <c r="BJ318" s="25" t="n">
        <v>3</v>
      </c>
      <c r="BK318" s="18"/>
      <c r="BL318" s="25" t="n">
        <v>2</v>
      </c>
      <c r="BM318" s="18"/>
      <c r="BN318" s="25" t="n">
        <v>2</v>
      </c>
      <c r="BO318" s="18"/>
      <c r="BP318" s="18"/>
      <c r="BQ318" s="25" t="n">
        <v>2</v>
      </c>
      <c r="BR318" s="18"/>
      <c r="BS318" s="18"/>
      <c r="BT318" s="22" t="n">
        <f aca="false">SUM(BH318:BS318)</f>
        <v>11</v>
      </c>
      <c r="BU318" s="26" t="n">
        <v>46002.388912037</v>
      </c>
      <c r="BV318" s="17"/>
      <c r="BW318" s="17" t="s">
        <v>44</v>
      </c>
      <c r="BX318" s="23" t="n">
        <f aca="false">IFERROR(R318/AE318,0)</f>
        <v>1783.27</v>
      </c>
      <c r="BY318" s="23" t="n">
        <f aca="false">IFERROR(R318/12,0)</f>
        <v>148.605833333333</v>
      </c>
      <c r="BZ318" s="18" t="n">
        <v>0</v>
      </c>
      <c r="CA318" s="22" t="str">
        <f aca="false">IF(AE318=0,"PROSPECT",IF(AE318=1,"NOVO",IF(AE318&lt;=3,"EM DESENV.",IF(AE318&lt;=6,"RECORRENTE","FIDELIZADO"))))</f>
        <v>NOVO</v>
      </c>
      <c r="CB318" s="22" t="n">
        <f aca="false">IF((P318+Q318)&gt;0,1,0)+IF((BR318+BS318)&gt;0,1,0)+IF(BE318&gt;0,1,0)</f>
        <v>0</v>
      </c>
    </row>
    <row r="319" customFormat="false" ht="15" hidden="false" customHeight="true" outlineLevel="0" collapsed="false">
      <c r="A319" s="16" t="s">
        <v>900</v>
      </c>
      <c r="B319" s="17" t="s">
        <v>901</v>
      </c>
      <c r="C319" s="18" t="s">
        <v>72</v>
      </c>
      <c r="D319" s="17" t="s">
        <v>902</v>
      </c>
      <c r="E319" s="29" t="s">
        <v>365</v>
      </c>
      <c r="F319" s="27" t="n">
        <v>1008</v>
      </c>
      <c r="G319" s="27" t="n">
        <v>1716.3</v>
      </c>
      <c r="H319" s="20"/>
      <c r="I319" s="20"/>
      <c r="J319" s="20"/>
      <c r="K319" s="27" t="n">
        <v>1547.8</v>
      </c>
      <c r="L319" s="20"/>
      <c r="M319" s="27" t="n">
        <v>3492.11</v>
      </c>
      <c r="N319" s="20"/>
      <c r="O319" s="20"/>
      <c r="P319" s="20"/>
      <c r="Q319" s="20"/>
      <c r="R319" s="21" t="n">
        <f aca="false">SUM(F319:Q319)</f>
        <v>7764.21</v>
      </c>
      <c r="S319" s="28" t="n">
        <v>1</v>
      </c>
      <c r="T319" s="28" t="n">
        <v>1</v>
      </c>
      <c r="U319" s="18"/>
      <c r="V319" s="18"/>
      <c r="W319" s="18"/>
      <c r="X319" s="28" t="n">
        <v>1</v>
      </c>
      <c r="Y319" s="18"/>
      <c r="Z319" s="28" t="n">
        <v>1</v>
      </c>
      <c r="AA319" s="18"/>
      <c r="AB319" s="18"/>
      <c r="AC319" s="18"/>
      <c r="AD319" s="18"/>
      <c r="AE319" s="22" t="n">
        <f aca="false">SUM(S319:AD319)</f>
        <v>4</v>
      </c>
      <c r="AF319" s="30" t="s">
        <v>49</v>
      </c>
      <c r="AG319" s="19" t="s">
        <v>50</v>
      </c>
      <c r="AH319" s="22"/>
      <c r="AI319" s="22"/>
      <c r="AJ319" s="22"/>
      <c r="AK319" s="19" t="s">
        <v>50</v>
      </c>
      <c r="AL319" s="22"/>
      <c r="AM319" s="19" t="s">
        <v>50</v>
      </c>
      <c r="AN319" s="22"/>
      <c r="AO319" s="22"/>
      <c r="AP319" s="22"/>
      <c r="AQ319" s="22"/>
      <c r="AR319" s="19" t="s">
        <v>50</v>
      </c>
      <c r="AS319" s="25" t="n">
        <v>1</v>
      </c>
      <c r="AT319" s="25" t="n">
        <v>1</v>
      </c>
      <c r="AU319" s="25" t="n">
        <v>1</v>
      </c>
      <c r="AV319" s="18"/>
      <c r="AW319" s="18"/>
      <c r="AX319" s="25" t="n">
        <v>6</v>
      </c>
      <c r="AY319" s="18"/>
      <c r="AZ319" s="18"/>
      <c r="BA319" s="18"/>
      <c r="BB319" s="25" t="n">
        <v>1</v>
      </c>
      <c r="BC319" s="18"/>
      <c r="BD319" s="18"/>
      <c r="BE319" s="22" t="n">
        <f aca="false">SUM(AS319:BD319)</f>
        <v>10</v>
      </c>
      <c r="BF319" s="23" t="n">
        <v>5988.4</v>
      </c>
      <c r="BG319" s="19" t="s">
        <v>55</v>
      </c>
      <c r="BH319" s="25" t="n">
        <v>2</v>
      </c>
      <c r="BI319" s="18"/>
      <c r="BJ319" s="25" t="n">
        <v>1</v>
      </c>
      <c r="BK319" s="25" t="n">
        <v>2</v>
      </c>
      <c r="BL319" s="18"/>
      <c r="BM319" s="25" t="n">
        <v>1</v>
      </c>
      <c r="BN319" s="18"/>
      <c r="BO319" s="25" t="n">
        <v>2</v>
      </c>
      <c r="BP319" s="18"/>
      <c r="BQ319" s="25" t="n">
        <v>1</v>
      </c>
      <c r="BR319" s="25" t="n">
        <v>2</v>
      </c>
      <c r="BS319" s="18"/>
      <c r="BT319" s="22" t="n">
        <f aca="false">SUM(BH319:BS319)</f>
        <v>11</v>
      </c>
      <c r="BU319" s="26" t="n">
        <v>46041.3835185185</v>
      </c>
      <c r="BV319" s="17"/>
      <c r="BW319" s="17" t="s">
        <v>44</v>
      </c>
      <c r="BX319" s="23" t="n">
        <f aca="false">IFERROR(R319/AE319,0)</f>
        <v>1941.0525</v>
      </c>
      <c r="BY319" s="23" t="n">
        <f aca="false">IFERROR(R319/12,0)</f>
        <v>647.0175</v>
      </c>
      <c r="BZ319" s="18" t="n">
        <v>70</v>
      </c>
      <c r="CA319" s="22" t="str">
        <f aca="false">IF(AE319=0,"PROSPECT",IF(AE319=1,"NOVO",IF(AE319&lt;=3,"EM DESENV.",IF(AE319&lt;=6,"RECORRENTE","FIDELIZADO"))))</f>
        <v>RECORRENTE</v>
      </c>
      <c r="CB319" s="22" t="n">
        <f aca="false">IF((P319+Q319)&gt;0,1,0)+IF((BR319+BS319)&gt;0,1,0)+IF(BE319&gt;0,1,0)</f>
        <v>2</v>
      </c>
    </row>
    <row r="320" customFormat="false" ht="15" hidden="false" customHeight="true" outlineLevel="0" collapsed="false">
      <c r="A320" s="16" t="s">
        <v>903</v>
      </c>
      <c r="B320" s="17" t="s">
        <v>904</v>
      </c>
      <c r="C320" s="18" t="s">
        <v>41</v>
      </c>
      <c r="D320" s="17" t="s">
        <v>531</v>
      </c>
      <c r="E320" s="29" t="s">
        <v>365</v>
      </c>
      <c r="F320" s="20"/>
      <c r="G320" s="20"/>
      <c r="H320" s="20"/>
      <c r="I320" s="20"/>
      <c r="J320" s="20"/>
      <c r="K320" s="20"/>
      <c r="L320" s="20"/>
      <c r="M320" s="27" t="n">
        <v>1138.05</v>
      </c>
      <c r="N320" s="20"/>
      <c r="O320" s="20"/>
      <c r="P320" s="20"/>
      <c r="Q320" s="20"/>
      <c r="R320" s="21" t="n">
        <f aca="false">SUM(F320:Q320)</f>
        <v>1138.05</v>
      </c>
      <c r="S320" s="18"/>
      <c r="T320" s="18"/>
      <c r="U320" s="18"/>
      <c r="V320" s="18"/>
      <c r="W320" s="18"/>
      <c r="X320" s="18"/>
      <c r="Y320" s="18"/>
      <c r="Z320" s="28" t="n">
        <v>1</v>
      </c>
      <c r="AA320" s="18"/>
      <c r="AB320" s="18"/>
      <c r="AC320" s="18"/>
      <c r="AD320" s="18"/>
      <c r="AE320" s="22" t="n">
        <f aca="false">SUM(S320:AD320)</f>
        <v>1</v>
      </c>
      <c r="AF320" s="22"/>
      <c r="AG320" s="22"/>
      <c r="AH320" s="22"/>
      <c r="AI320" s="22"/>
      <c r="AJ320" s="22"/>
      <c r="AK320" s="22"/>
      <c r="AL320" s="22"/>
      <c r="AM320" s="30" t="s">
        <v>49</v>
      </c>
      <c r="AN320" s="22"/>
      <c r="AO320" s="22"/>
      <c r="AP320" s="22"/>
      <c r="AQ320" s="22"/>
      <c r="AR320" s="30" t="s">
        <v>49</v>
      </c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22" t="n">
        <f aca="false">SUM(AS320:BD320)</f>
        <v>0</v>
      </c>
      <c r="BF320" s="23"/>
      <c r="BG320" s="24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25" t="n">
        <v>4</v>
      </c>
      <c r="BT320" s="22" t="n">
        <f aca="false">SUM(BH320:BS320)</f>
        <v>4</v>
      </c>
      <c r="BU320" s="26" t="n">
        <v>46057.4902777778</v>
      </c>
      <c r="BV320" s="17"/>
      <c r="BW320" s="17" t="s">
        <v>117</v>
      </c>
      <c r="BX320" s="23" t="n">
        <f aca="false">IFERROR(R320/AE320,0)</f>
        <v>1138.05</v>
      </c>
      <c r="BY320" s="23" t="n">
        <f aca="false">IFERROR(R320/12,0)</f>
        <v>94.8375</v>
      </c>
      <c r="BZ320" s="18" t="n">
        <v>0</v>
      </c>
      <c r="CA320" s="22" t="str">
        <f aca="false">IF(AE320=0,"PROSPECT",IF(AE320=1,"NOVO",IF(AE320&lt;=3,"EM DESENV.",IF(AE320&lt;=6,"RECORRENTE","FIDELIZADO"))))</f>
        <v>NOVO</v>
      </c>
      <c r="CB320" s="22" t="n">
        <f aca="false">IF((P320+Q320)&gt;0,1,0)+IF((BR320+BS320)&gt;0,1,0)+IF(BE320&gt;0,1,0)</f>
        <v>1</v>
      </c>
    </row>
    <row r="321" customFormat="false" ht="15" hidden="false" customHeight="true" outlineLevel="0" collapsed="false">
      <c r="A321" s="16" t="s">
        <v>905</v>
      </c>
      <c r="B321" s="17" t="s">
        <v>906</v>
      </c>
      <c r="C321" s="18" t="s">
        <v>41</v>
      </c>
      <c r="D321" s="17" t="s">
        <v>616</v>
      </c>
      <c r="E321" s="29" t="s">
        <v>365</v>
      </c>
      <c r="F321" s="20"/>
      <c r="G321" s="20"/>
      <c r="H321" s="20"/>
      <c r="I321" s="20"/>
      <c r="J321" s="20"/>
      <c r="K321" s="20"/>
      <c r="L321" s="20"/>
      <c r="M321" s="20"/>
      <c r="N321" s="27" t="n">
        <v>4270.04</v>
      </c>
      <c r="O321" s="20"/>
      <c r="P321" s="20"/>
      <c r="Q321" s="20"/>
      <c r="R321" s="21" t="n">
        <f aca="false">SUM(F321:Q321)</f>
        <v>4270.04</v>
      </c>
      <c r="S321" s="18"/>
      <c r="T321" s="18"/>
      <c r="U321" s="18"/>
      <c r="V321" s="18"/>
      <c r="W321" s="18"/>
      <c r="X321" s="18"/>
      <c r="Y321" s="18"/>
      <c r="Z321" s="18"/>
      <c r="AA321" s="28" t="n">
        <v>1</v>
      </c>
      <c r="AB321" s="18"/>
      <c r="AC321" s="18"/>
      <c r="AD321" s="18"/>
      <c r="AE321" s="22" t="n">
        <f aca="false">SUM(S321:AD321)</f>
        <v>1</v>
      </c>
      <c r="AF321" s="22"/>
      <c r="AG321" s="22"/>
      <c r="AH321" s="22"/>
      <c r="AI321" s="22"/>
      <c r="AJ321" s="22"/>
      <c r="AK321" s="22"/>
      <c r="AL321" s="22"/>
      <c r="AM321" s="22"/>
      <c r="AN321" s="19" t="s">
        <v>50</v>
      </c>
      <c r="AO321" s="22"/>
      <c r="AP321" s="22"/>
      <c r="AQ321" s="22"/>
      <c r="AR321" s="19" t="s">
        <v>50</v>
      </c>
      <c r="AS321" s="18"/>
      <c r="AT321" s="18"/>
      <c r="AU321" s="18"/>
      <c r="AV321" s="18"/>
      <c r="AW321" s="18"/>
      <c r="AX321" s="18"/>
      <c r="AY321" s="18"/>
      <c r="AZ321" s="18"/>
      <c r="BA321" s="25" t="n">
        <v>6</v>
      </c>
      <c r="BB321" s="25" t="n">
        <v>1</v>
      </c>
      <c r="BC321" s="18"/>
      <c r="BD321" s="18"/>
      <c r="BE321" s="22" t="n">
        <f aca="false">SUM(AS321:BD321)</f>
        <v>7</v>
      </c>
      <c r="BF321" s="23" t="n">
        <v>4270.04</v>
      </c>
      <c r="BG321" s="19" t="s">
        <v>55</v>
      </c>
      <c r="BH321" s="18"/>
      <c r="BI321" s="18"/>
      <c r="BJ321" s="18"/>
      <c r="BK321" s="18"/>
      <c r="BL321" s="18"/>
      <c r="BM321" s="18"/>
      <c r="BN321" s="18"/>
      <c r="BO321" s="18"/>
      <c r="BP321" s="25" t="n">
        <v>1</v>
      </c>
      <c r="BQ321" s="18"/>
      <c r="BR321" s="18"/>
      <c r="BS321" s="18"/>
      <c r="BT321" s="22" t="n">
        <f aca="false">SUM(BH321:BS321)</f>
        <v>1</v>
      </c>
      <c r="BU321" s="26" t="n">
        <v>45964.6833217593</v>
      </c>
      <c r="BV321" s="17"/>
      <c r="BW321" s="17" t="s">
        <v>44</v>
      </c>
      <c r="BX321" s="23" t="n">
        <f aca="false">IFERROR(R321/AE321,0)</f>
        <v>4270.04</v>
      </c>
      <c r="BY321" s="23" t="n">
        <f aca="false">IFERROR(R321/12,0)</f>
        <v>355.836666666667</v>
      </c>
      <c r="BZ321" s="18" t="n">
        <v>0</v>
      </c>
      <c r="CA321" s="22" t="str">
        <f aca="false">IF(AE321=0,"PROSPECT",IF(AE321=1,"NOVO",IF(AE321&lt;=3,"EM DESENV.",IF(AE321&lt;=6,"RECORRENTE","FIDELIZADO"))))</f>
        <v>NOVO</v>
      </c>
      <c r="CB321" s="22" t="n">
        <f aca="false">IF((P321+Q321)&gt;0,1,0)+IF((BR321+BS321)&gt;0,1,0)+IF(BE321&gt;0,1,0)</f>
        <v>1</v>
      </c>
    </row>
    <row r="322" customFormat="false" ht="15" hidden="false" customHeight="true" outlineLevel="0" collapsed="false">
      <c r="A322" s="16" t="s">
        <v>907</v>
      </c>
      <c r="B322" s="17" t="s">
        <v>908</v>
      </c>
      <c r="C322" s="18" t="s">
        <v>168</v>
      </c>
      <c r="D322" s="17" t="s">
        <v>909</v>
      </c>
      <c r="E322" s="29" t="s">
        <v>365</v>
      </c>
      <c r="F322" s="20"/>
      <c r="G322" s="20"/>
      <c r="H322" s="20"/>
      <c r="I322" s="20"/>
      <c r="J322" s="20"/>
      <c r="K322" s="20"/>
      <c r="L322" s="20"/>
      <c r="M322" s="20"/>
      <c r="N322" s="27" t="n">
        <v>1769.64</v>
      </c>
      <c r="O322" s="20"/>
      <c r="P322" s="20"/>
      <c r="Q322" s="20"/>
      <c r="R322" s="21" t="n">
        <f aca="false">SUM(F322:Q322)</f>
        <v>1769.64</v>
      </c>
      <c r="S322" s="18"/>
      <c r="T322" s="18"/>
      <c r="U322" s="18"/>
      <c r="V322" s="18"/>
      <c r="W322" s="18"/>
      <c r="X322" s="18"/>
      <c r="Y322" s="18"/>
      <c r="Z322" s="18"/>
      <c r="AA322" s="28" t="n">
        <v>1</v>
      </c>
      <c r="AB322" s="18"/>
      <c r="AC322" s="18"/>
      <c r="AD322" s="18"/>
      <c r="AE322" s="22" t="n">
        <f aca="false">SUM(S322:AD322)</f>
        <v>1</v>
      </c>
      <c r="AF322" s="22"/>
      <c r="AG322" s="22"/>
      <c r="AH322" s="22"/>
      <c r="AI322" s="22"/>
      <c r="AJ322" s="22"/>
      <c r="AK322" s="22"/>
      <c r="AL322" s="22"/>
      <c r="AM322" s="22"/>
      <c r="AN322" s="19" t="s">
        <v>50</v>
      </c>
      <c r="AO322" s="22"/>
      <c r="AP322" s="22"/>
      <c r="AQ322" s="22"/>
      <c r="AR322" s="30" t="s">
        <v>49</v>
      </c>
      <c r="AS322" s="18"/>
      <c r="AT322" s="25" t="n">
        <v>5</v>
      </c>
      <c r="AU322" s="25" t="n">
        <v>5</v>
      </c>
      <c r="AV322" s="18"/>
      <c r="AW322" s="18"/>
      <c r="AX322" s="18"/>
      <c r="AY322" s="18"/>
      <c r="AZ322" s="18"/>
      <c r="BA322" s="25" t="n">
        <v>1</v>
      </c>
      <c r="BB322" s="18"/>
      <c r="BC322" s="18"/>
      <c r="BD322" s="18"/>
      <c r="BE322" s="22" t="n">
        <f aca="false">SUM(AS322:BD322)</f>
        <v>11</v>
      </c>
      <c r="BF322" s="23" t="n">
        <v>1769.64</v>
      </c>
      <c r="BG322" s="19" t="s">
        <v>55</v>
      </c>
      <c r="BH322" s="18"/>
      <c r="BI322" s="18"/>
      <c r="BJ322" s="18"/>
      <c r="BK322" s="18"/>
      <c r="BL322" s="25" t="n">
        <v>1</v>
      </c>
      <c r="BM322" s="18"/>
      <c r="BN322" s="18"/>
      <c r="BO322" s="18"/>
      <c r="BP322" s="18"/>
      <c r="BQ322" s="18"/>
      <c r="BR322" s="25" t="n">
        <v>2</v>
      </c>
      <c r="BS322" s="18"/>
      <c r="BT322" s="22" t="n">
        <f aca="false">SUM(BH322:BS322)</f>
        <v>3</v>
      </c>
      <c r="BU322" s="26" t="n">
        <v>46037.3466435185</v>
      </c>
      <c r="BV322" s="17"/>
      <c r="BW322" s="17" t="s">
        <v>44</v>
      </c>
      <c r="BX322" s="23" t="n">
        <f aca="false">IFERROR(R322/AE322,0)</f>
        <v>1769.64</v>
      </c>
      <c r="BY322" s="23" t="n">
        <f aca="false">IFERROR(R322/12,0)</f>
        <v>147.47</v>
      </c>
      <c r="BZ322" s="18" t="n">
        <v>0</v>
      </c>
      <c r="CA322" s="22" t="str">
        <f aca="false">IF(AE322=0,"PROSPECT",IF(AE322=1,"NOVO",IF(AE322&lt;=3,"EM DESENV.",IF(AE322&lt;=6,"RECORRENTE","FIDELIZADO"))))</f>
        <v>NOVO</v>
      </c>
      <c r="CB322" s="22" t="n">
        <f aca="false">IF((P322+Q322)&gt;0,1,0)+IF((BR322+BS322)&gt;0,1,0)+IF(BE322&gt;0,1,0)</f>
        <v>2</v>
      </c>
    </row>
    <row r="323" customFormat="false" ht="15" hidden="false" customHeight="true" outlineLevel="0" collapsed="false">
      <c r="A323" s="16" t="s">
        <v>910</v>
      </c>
      <c r="B323" s="17" t="s">
        <v>911</v>
      </c>
      <c r="C323" s="18" t="s">
        <v>41</v>
      </c>
      <c r="D323" s="17" t="s">
        <v>912</v>
      </c>
      <c r="E323" s="29" t="s">
        <v>365</v>
      </c>
      <c r="F323" s="20"/>
      <c r="G323" s="20"/>
      <c r="H323" s="20"/>
      <c r="I323" s="20"/>
      <c r="J323" s="20"/>
      <c r="K323" s="27" t="n">
        <v>689.46</v>
      </c>
      <c r="L323" s="27" t="n">
        <v>681.47</v>
      </c>
      <c r="M323" s="20"/>
      <c r="N323" s="20"/>
      <c r="O323" s="20"/>
      <c r="P323" s="20"/>
      <c r="Q323" s="20"/>
      <c r="R323" s="21" t="n">
        <f aca="false">SUM(F323:Q323)</f>
        <v>1370.93</v>
      </c>
      <c r="S323" s="18"/>
      <c r="T323" s="18"/>
      <c r="U323" s="18"/>
      <c r="V323" s="18"/>
      <c r="W323" s="18"/>
      <c r="X323" s="28" t="n">
        <v>1</v>
      </c>
      <c r="Y323" s="28" t="n">
        <v>1</v>
      </c>
      <c r="Z323" s="18"/>
      <c r="AA323" s="18"/>
      <c r="AB323" s="18"/>
      <c r="AC323" s="18"/>
      <c r="AD323" s="18"/>
      <c r="AE323" s="22" t="n">
        <f aca="false">SUM(S323:AD323)</f>
        <v>2</v>
      </c>
      <c r="AF323" s="22"/>
      <c r="AG323" s="22"/>
      <c r="AH323" s="22"/>
      <c r="AI323" s="22"/>
      <c r="AJ323" s="22"/>
      <c r="AK323" s="29" t="s">
        <v>48</v>
      </c>
      <c r="AL323" s="29" t="s">
        <v>48</v>
      </c>
      <c r="AM323" s="22"/>
      <c r="AN323" s="22"/>
      <c r="AO323" s="22"/>
      <c r="AP323" s="22"/>
      <c r="AQ323" s="22"/>
      <c r="AR323" s="30" t="s">
        <v>49</v>
      </c>
      <c r="AS323" s="18"/>
      <c r="AT323" s="18"/>
      <c r="AU323" s="18"/>
      <c r="AV323" s="18"/>
      <c r="AW323" s="18"/>
      <c r="AX323" s="25" t="n">
        <v>10</v>
      </c>
      <c r="AY323" s="25" t="n">
        <v>2</v>
      </c>
      <c r="AZ323" s="18"/>
      <c r="BA323" s="18"/>
      <c r="BB323" s="18"/>
      <c r="BC323" s="18"/>
      <c r="BD323" s="18"/>
      <c r="BE323" s="22" t="n">
        <f aca="false">SUM(AS323:BD323)</f>
        <v>12</v>
      </c>
      <c r="BF323" s="23" t="n">
        <v>1370.93</v>
      </c>
      <c r="BG323" s="19" t="s">
        <v>55</v>
      </c>
      <c r="BH323" s="18"/>
      <c r="BI323" s="18"/>
      <c r="BJ323" s="18"/>
      <c r="BK323" s="18"/>
      <c r="BL323" s="18"/>
      <c r="BM323" s="25" t="n">
        <v>2</v>
      </c>
      <c r="BN323" s="18"/>
      <c r="BO323" s="18"/>
      <c r="BP323" s="25" t="n">
        <v>1</v>
      </c>
      <c r="BQ323" s="18"/>
      <c r="BR323" s="18"/>
      <c r="BS323" s="18"/>
      <c r="BT323" s="22" t="n">
        <f aca="false">SUM(BH323:BS323)</f>
        <v>3</v>
      </c>
      <c r="BU323" s="26" t="n">
        <v>45978.4420023148</v>
      </c>
      <c r="BV323" s="17"/>
      <c r="BW323" s="17" t="s">
        <v>44</v>
      </c>
      <c r="BX323" s="23" t="n">
        <f aca="false">IFERROR(R323/AE323,0)</f>
        <v>685.465</v>
      </c>
      <c r="BY323" s="23" t="n">
        <f aca="false">IFERROR(R323/12,0)</f>
        <v>114.244166666667</v>
      </c>
      <c r="BZ323" s="18" t="n">
        <v>32</v>
      </c>
      <c r="CA323" s="22" t="str">
        <f aca="false">IF(AE323=0,"PROSPECT",IF(AE323=1,"NOVO",IF(AE323&lt;=3,"EM DESENV.",IF(AE323&lt;=6,"RECORRENTE","FIDELIZADO"))))</f>
        <v>EM DESENV.</v>
      </c>
      <c r="CB323" s="22" t="n">
        <f aca="false">IF((P323+Q323)&gt;0,1,0)+IF((BR323+BS323)&gt;0,1,0)+IF(BE323&gt;0,1,0)</f>
        <v>1</v>
      </c>
    </row>
    <row r="324" customFormat="false" ht="15" hidden="false" customHeight="true" outlineLevel="0" collapsed="false">
      <c r="A324" s="16" t="s">
        <v>913</v>
      </c>
      <c r="B324" s="17" t="s">
        <v>914</v>
      </c>
      <c r="C324" s="18" t="s">
        <v>61</v>
      </c>
      <c r="D324" s="17" t="s">
        <v>210</v>
      </c>
      <c r="E324" s="29" t="s">
        <v>365</v>
      </c>
      <c r="F324" s="20"/>
      <c r="G324" s="20"/>
      <c r="H324" s="20"/>
      <c r="I324" s="20"/>
      <c r="J324" s="27" t="n">
        <v>853.74</v>
      </c>
      <c r="K324" s="20"/>
      <c r="L324" s="20"/>
      <c r="M324" s="20"/>
      <c r="N324" s="20"/>
      <c r="O324" s="20"/>
      <c r="P324" s="20"/>
      <c r="Q324" s="20"/>
      <c r="R324" s="21" t="n">
        <f aca="false">SUM(F324:Q324)</f>
        <v>853.74</v>
      </c>
      <c r="S324" s="18"/>
      <c r="T324" s="18"/>
      <c r="U324" s="18"/>
      <c r="V324" s="18"/>
      <c r="W324" s="28" t="n">
        <v>1</v>
      </c>
      <c r="X324" s="18"/>
      <c r="Y324" s="18"/>
      <c r="Z324" s="18"/>
      <c r="AA324" s="18"/>
      <c r="AB324" s="18"/>
      <c r="AC324" s="18"/>
      <c r="AD324" s="18"/>
      <c r="AE324" s="22" t="n">
        <f aca="false">SUM(S324:AD324)</f>
        <v>1</v>
      </c>
      <c r="AF324" s="22"/>
      <c r="AG324" s="22"/>
      <c r="AH324" s="22"/>
      <c r="AI324" s="22"/>
      <c r="AJ324" s="30" t="s">
        <v>49</v>
      </c>
      <c r="AK324" s="22"/>
      <c r="AL324" s="22"/>
      <c r="AM324" s="22"/>
      <c r="AN324" s="22"/>
      <c r="AO324" s="22"/>
      <c r="AP324" s="22"/>
      <c r="AQ324" s="22"/>
      <c r="AR324" s="29" t="s">
        <v>48</v>
      </c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22" t="n">
        <f aca="false">SUM(AS324:BD324)</f>
        <v>0</v>
      </c>
      <c r="BF324" s="23"/>
      <c r="BG324" s="24"/>
      <c r="BH324" s="18"/>
      <c r="BI324" s="18"/>
      <c r="BJ324" s="18"/>
      <c r="BK324" s="18"/>
      <c r="BL324" s="25" t="n">
        <v>2</v>
      </c>
      <c r="BM324" s="25" t="n">
        <v>1</v>
      </c>
      <c r="BN324" s="25" t="n">
        <v>1</v>
      </c>
      <c r="BO324" s="18"/>
      <c r="BP324" s="18"/>
      <c r="BQ324" s="18"/>
      <c r="BR324" s="25" t="n">
        <v>1</v>
      </c>
      <c r="BS324" s="18"/>
      <c r="BT324" s="22" t="n">
        <f aca="false">SUM(BH324:BS324)</f>
        <v>5</v>
      </c>
      <c r="BU324" s="26" t="n">
        <v>46036.4184143519</v>
      </c>
      <c r="BV324" s="17"/>
      <c r="BW324" s="17" t="s">
        <v>44</v>
      </c>
      <c r="BX324" s="23" t="n">
        <f aca="false">IFERROR(R324/AE324,0)</f>
        <v>853.74</v>
      </c>
      <c r="BY324" s="23" t="n">
        <f aca="false">IFERROR(R324/12,0)</f>
        <v>71.145</v>
      </c>
      <c r="BZ324" s="18" t="n">
        <v>0</v>
      </c>
      <c r="CA324" s="22" t="str">
        <f aca="false">IF(AE324=0,"PROSPECT",IF(AE324=1,"NOVO",IF(AE324&lt;=3,"EM DESENV.",IF(AE324&lt;=6,"RECORRENTE","FIDELIZADO"))))</f>
        <v>NOVO</v>
      </c>
      <c r="CB324" s="22" t="n">
        <f aca="false">IF((P324+Q324)&gt;0,1,0)+IF((BR324+BS324)&gt;0,1,0)+IF(BE324&gt;0,1,0)</f>
        <v>1</v>
      </c>
    </row>
    <row r="325" customFormat="false" ht="15" hidden="false" customHeight="true" outlineLevel="0" collapsed="false">
      <c r="A325" s="16" t="s">
        <v>915</v>
      </c>
      <c r="B325" s="17" t="s">
        <v>916</v>
      </c>
      <c r="C325" s="18" t="s">
        <v>61</v>
      </c>
      <c r="D325" s="17" t="s">
        <v>272</v>
      </c>
      <c r="E325" s="29" t="s">
        <v>365</v>
      </c>
      <c r="F325" s="20"/>
      <c r="G325" s="20"/>
      <c r="H325" s="20"/>
      <c r="I325" s="20"/>
      <c r="J325" s="20"/>
      <c r="K325" s="27" t="n">
        <v>2505.43</v>
      </c>
      <c r="L325" s="20"/>
      <c r="M325" s="20"/>
      <c r="N325" s="20"/>
      <c r="O325" s="20"/>
      <c r="P325" s="20"/>
      <c r="Q325" s="20"/>
      <c r="R325" s="21" t="n">
        <f aca="false">SUM(F325:Q325)</f>
        <v>2505.43</v>
      </c>
      <c r="S325" s="18"/>
      <c r="T325" s="18"/>
      <c r="U325" s="18"/>
      <c r="V325" s="18"/>
      <c r="W325" s="18"/>
      <c r="X325" s="28" t="n">
        <v>1</v>
      </c>
      <c r="Y325" s="18"/>
      <c r="Z325" s="18"/>
      <c r="AA325" s="18"/>
      <c r="AB325" s="18"/>
      <c r="AC325" s="18"/>
      <c r="AD325" s="18"/>
      <c r="AE325" s="22" t="n">
        <f aca="false">SUM(S325:AD325)</f>
        <v>1</v>
      </c>
      <c r="AF325" s="22"/>
      <c r="AG325" s="22"/>
      <c r="AH325" s="22"/>
      <c r="AI325" s="22"/>
      <c r="AJ325" s="22"/>
      <c r="AK325" s="19" t="s">
        <v>50</v>
      </c>
      <c r="AL325" s="22"/>
      <c r="AM325" s="22"/>
      <c r="AN325" s="22"/>
      <c r="AO325" s="22"/>
      <c r="AP325" s="22"/>
      <c r="AQ325" s="22"/>
      <c r="AR325" s="19" t="s">
        <v>50</v>
      </c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22" t="n">
        <f aca="false">SUM(AS325:BD325)</f>
        <v>0</v>
      </c>
      <c r="BF325" s="23"/>
      <c r="BG325" s="24"/>
      <c r="BH325" s="18"/>
      <c r="BI325" s="18"/>
      <c r="BJ325" s="18"/>
      <c r="BK325" s="18"/>
      <c r="BL325" s="18"/>
      <c r="BM325" s="18"/>
      <c r="BN325" s="18"/>
      <c r="BO325" s="25" t="n">
        <v>1</v>
      </c>
      <c r="BP325" s="18"/>
      <c r="BQ325" s="18"/>
      <c r="BR325" s="18"/>
      <c r="BS325" s="25" t="n">
        <v>2</v>
      </c>
      <c r="BT325" s="22" t="n">
        <f aca="false">SUM(BH325:BS325)</f>
        <v>3</v>
      </c>
      <c r="BU325" s="26" t="n">
        <v>46058.4701388889</v>
      </c>
      <c r="BV325" s="17"/>
      <c r="BW325" s="17" t="s">
        <v>117</v>
      </c>
      <c r="BX325" s="23" t="n">
        <f aca="false">IFERROR(R325/AE325,0)</f>
        <v>2505.43</v>
      </c>
      <c r="BY325" s="23" t="n">
        <f aca="false">IFERROR(R325/12,0)</f>
        <v>208.785833333333</v>
      </c>
      <c r="BZ325" s="18" t="n">
        <v>0</v>
      </c>
      <c r="CA325" s="22" t="str">
        <f aca="false">IF(AE325=0,"PROSPECT",IF(AE325=1,"NOVO",IF(AE325&lt;=3,"EM DESENV.",IF(AE325&lt;=6,"RECORRENTE","FIDELIZADO"))))</f>
        <v>NOVO</v>
      </c>
      <c r="CB325" s="22" t="n">
        <f aca="false">IF((P325+Q325)&gt;0,1,0)+IF((BR325+BS325)&gt;0,1,0)+IF(BE325&gt;0,1,0)</f>
        <v>1</v>
      </c>
    </row>
    <row r="326" customFormat="false" ht="15" hidden="false" customHeight="true" outlineLevel="0" collapsed="false">
      <c r="A326" s="16" t="s">
        <v>917</v>
      </c>
      <c r="B326" s="17" t="s">
        <v>918</v>
      </c>
      <c r="C326" s="18" t="s">
        <v>61</v>
      </c>
      <c r="D326" s="17" t="s">
        <v>411</v>
      </c>
      <c r="E326" s="29" t="s">
        <v>365</v>
      </c>
      <c r="F326" s="20"/>
      <c r="G326" s="20"/>
      <c r="H326" s="20"/>
      <c r="I326" s="20"/>
      <c r="J326" s="20"/>
      <c r="K326" s="20"/>
      <c r="L326" s="27" t="n">
        <v>2525.84</v>
      </c>
      <c r="M326" s="20"/>
      <c r="N326" s="20"/>
      <c r="O326" s="20"/>
      <c r="P326" s="20"/>
      <c r="Q326" s="20"/>
      <c r="R326" s="21" t="n">
        <f aca="false">SUM(F326:Q326)</f>
        <v>2525.84</v>
      </c>
      <c r="S326" s="18"/>
      <c r="T326" s="18"/>
      <c r="U326" s="18"/>
      <c r="V326" s="18"/>
      <c r="W326" s="18"/>
      <c r="X326" s="18"/>
      <c r="Y326" s="28" t="n">
        <v>1</v>
      </c>
      <c r="Z326" s="18"/>
      <c r="AA326" s="18"/>
      <c r="AB326" s="18"/>
      <c r="AC326" s="18"/>
      <c r="AD326" s="18"/>
      <c r="AE326" s="22" t="n">
        <f aca="false">SUM(S326:AD326)</f>
        <v>1</v>
      </c>
      <c r="AF326" s="22"/>
      <c r="AG326" s="22"/>
      <c r="AH326" s="22"/>
      <c r="AI326" s="22"/>
      <c r="AJ326" s="22"/>
      <c r="AK326" s="22"/>
      <c r="AL326" s="19" t="s">
        <v>50</v>
      </c>
      <c r="AM326" s="22"/>
      <c r="AN326" s="22"/>
      <c r="AO326" s="22"/>
      <c r="AP326" s="22"/>
      <c r="AQ326" s="22"/>
      <c r="AR326" s="19" t="s">
        <v>50</v>
      </c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22" t="n">
        <f aca="false">SUM(AS326:BD326)</f>
        <v>0</v>
      </c>
      <c r="BF326" s="23"/>
      <c r="BG326" s="24"/>
      <c r="BH326" s="18"/>
      <c r="BI326" s="18"/>
      <c r="BJ326" s="18"/>
      <c r="BK326" s="18"/>
      <c r="BL326" s="18"/>
      <c r="BM326" s="18"/>
      <c r="BN326" s="18"/>
      <c r="BO326" s="25" t="n">
        <v>1</v>
      </c>
      <c r="BP326" s="18"/>
      <c r="BQ326" s="18"/>
      <c r="BR326" s="18"/>
      <c r="BS326" s="25" t="n">
        <v>2</v>
      </c>
      <c r="BT326" s="22" t="n">
        <f aca="false">SUM(BH326:BS326)</f>
        <v>3</v>
      </c>
      <c r="BU326" s="26" t="n">
        <v>46059.4840277778</v>
      </c>
      <c r="BV326" s="17"/>
      <c r="BW326" s="17" t="s">
        <v>44</v>
      </c>
      <c r="BX326" s="23" t="n">
        <f aca="false">IFERROR(R326/AE326,0)</f>
        <v>2525.84</v>
      </c>
      <c r="BY326" s="23" t="n">
        <f aca="false">IFERROR(R326/12,0)</f>
        <v>210.486666666667</v>
      </c>
      <c r="BZ326" s="18" t="n">
        <v>0</v>
      </c>
      <c r="CA326" s="22" t="str">
        <f aca="false">IF(AE326=0,"PROSPECT",IF(AE326=1,"NOVO",IF(AE326&lt;=3,"EM DESENV.",IF(AE326&lt;=6,"RECORRENTE","FIDELIZADO"))))</f>
        <v>NOVO</v>
      </c>
      <c r="CB326" s="22" t="n">
        <f aca="false">IF((P326+Q326)&gt;0,1,0)+IF((BR326+BS326)&gt;0,1,0)+IF(BE326&gt;0,1,0)</f>
        <v>1</v>
      </c>
    </row>
    <row r="327" customFormat="false" ht="15" hidden="false" customHeight="true" outlineLevel="0" collapsed="false">
      <c r="A327" s="16" t="s">
        <v>919</v>
      </c>
      <c r="B327" s="17" t="s">
        <v>920</v>
      </c>
      <c r="C327" s="18" t="s">
        <v>127</v>
      </c>
      <c r="D327" s="17" t="s">
        <v>921</v>
      </c>
      <c r="E327" s="29" t="s">
        <v>365</v>
      </c>
      <c r="F327" s="20"/>
      <c r="G327" s="20"/>
      <c r="H327" s="20"/>
      <c r="I327" s="20"/>
      <c r="J327" s="20"/>
      <c r="K327" s="20"/>
      <c r="L327" s="27" t="n">
        <v>3863.5</v>
      </c>
      <c r="M327" s="20"/>
      <c r="N327" s="20"/>
      <c r="O327" s="20"/>
      <c r="P327" s="20"/>
      <c r="Q327" s="20"/>
      <c r="R327" s="21" t="n">
        <f aca="false">SUM(F327:Q327)</f>
        <v>3863.5</v>
      </c>
      <c r="S327" s="18"/>
      <c r="T327" s="18"/>
      <c r="U327" s="18"/>
      <c r="V327" s="18"/>
      <c r="W327" s="18"/>
      <c r="X327" s="18"/>
      <c r="Y327" s="28" t="n">
        <v>1</v>
      </c>
      <c r="Z327" s="18"/>
      <c r="AA327" s="18"/>
      <c r="AB327" s="18"/>
      <c r="AC327" s="18"/>
      <c r="AD327" s="18"/>
      <c r="AE327" s="22" t="n">
        <f aca="false">SUM(S327:AD327)</f>
        <v>1</v>
      </c>
      <c r="AF327" s="22"/>
      <c r="AG327" s="22"/>
      <c r="AH327" s="22"/>
      <c r="AI327" s="22"/>
      <c r="AJ327" s="22"/>
      <c r="AK327" s="22"/>
      <c r="AL327" s="19" t="s">
        <v>50</v>
      </c>
      <c r="AM327" s="22"/>
      <c r="AN327" s="22"/>
      <c r="AO327" s="22"/>
      <c r="AP327" s="22"/>
      <c r="AQ327" s="22"/>
      <c r="AR327" s="19" t="s">
        <v>50</v>
      </c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22" t="n">
        <f aca="false">SUM(AS327:BD327)</f>
        <v>0</v>
      </c>
      <c r="BF327" s="23"/>
      <c r="BG327" s="24"/>
      <c r="BH327" s="18"/>
      <c r="BI327" s="18"/>
      <c r="BJ327" s="18"/>
      <c r="BK327" s="18"/>
      <c r="BL327" s="18"/>
      <c r="BM327" s="18"/>
      <c r="BN327" s="18"/>
      <c r="BO327" s="25" t="n">
        <v>1</v>
      </c>
      <c r="BP327" s="18"/>
      <c r="BQ327" s="18"/>
      <c r="BR327" s="25" t="n">
        <v>2</v>
      </c>
      <c r="BS327" s="18"/>
      <c r="BT327" s="22" t="n">
        <f aca="false">SUM(BH327:BS327)</f>
        <v>3</v>
      </c>
      <c r="BU327" s="26" t="n">
        <v>46036.5722222222</v>
      </c>
      <c r="BV327" s="17" t="s">
        <v>378</v>
      </c>
      <c r="BW327" s="17" t="s">
        <v>44</v>
      </c>
      <c r="BX327" s="23" t="n">
        <f aca="false">IFERROR(R327/AE327,0)</f>
        <v>3863.5</v>
      </c>
      <c r="BY327" s="23" t="n">
        <f aca="false">IFERROR(R327/12,0)</f>
        <v>321.958333333333</v>
      </c>
      <c r="BZ327" s="18" t="n">
        <v>0</v>
      </c>
      <c r="CA327" s="22" t="str">
        <f aca="false">IF(AE327=0,"PROSPECT",IF(AE327=1,"NOVO",IF(AE327&lt;=3,"EM DESENV.",IF(AE327&lt;=6,"RECORRENTE","FIDELIZADO"))))</f>
        <v>NOVO</v>
      </c>
      <c r="CB327" s="22" t="n">
        <f aca="false">IF((P327+Q327)&gt;0,1,0)+IF((BR327+BS327)&gt;0,1,0)+IF(BE327&gt;0,1,0)</f>
        <v>1</v>
      </c>
    </row>
    <row r="328" customFormat="false" ht="15" hidden="false" customHeight="true" outlineLevel="0" collapsed="false">
      <c r="A328" s="16" t="s">
        <v>922</v>
      </c>
      <c r="B328" s="17" t="s">
        <v>923</v>
      </c>
      <c r="C328" s="18" t="s">
        <v>127</v>
      </c>
      <c r="D328" s="17" t="s">
        <v>921</v>
      </c>
      <c r="E328" s="29" t="s">
        <v>365</v>
      </c>
      <c r="F328" s="20"/>
      <c r="G328" s="20"/>
      <c r="H328" s="20"/>
      <c r="I328" s="20"/>
      <c r="J328" s="20"/>
      <c r="K328" s="20"/>
      <c r="L328" s="27" t="n">
        <v>3343</v>
      </c>
      <c r="M328" s="20"/>
      <c r="N328" s="20"/>
      <c r="O328" s="20"/>
      <c r="P328" s="20"/>
      <c r="Q328" s="20"/>
      <c r="R328" s="21" t="n">
        <f aca="false">SUM(F328:Q328)</f>
        <v>3343</v>
      </c>
      <c r="S328" s="18"/>
      <c r="T328" s="18"/>
      <c r="U328" s="18"/>
      <c r="V328" s="18"/>
      <c r="W328" s="18"/>
      <c r="X328" s="18"/>
      <c r="Y328" s="28" t="n">
        <v>1</v>
      </c>
      <c r="Z328" s="18"/>
      <c r="AA328" s="18"/>
      <c r="AB328" s="18"/>
      <c r="AC328" s="18"/>
      <c r="AD328" s="18"/>
      <c r="AE328" s="22" t="n">
        <f aca="false">SUM(S328:AD328)</f>
        <v>1</v>
      </c>
      <c r="AF328" s="22"/>
      <c r="AG328" s="22"/>
      <c r="AH328" s="22"/>
      <c r="AI328" s="22"/>
      <c r="AJ328" s="22"/>
      <c r="AK328" s="22"/>
      <c r="AL328" s="19" t="s">
        <v>50</v>
      </c>
      <c r="AM328" s="22"/>
      <c r="AN328" s="22"/>
      <c r="AO328" s="22"/>
      <c r="AP328" s="22"/>
      <c r="AQ328" s="22"/>
      <c r="AR328" s="19" t="s">
        <v>50</v>
      </c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22" t="n">
        <f aca="false">SUM(AS328:BD328)</f>
        <v>0</v>
      </c>
      <c r="BF328" s="23"/>
      <c r="BG328" s="24"/>
      <c r="BH328" s="18"/>
      <c r="BI328" s="18"/>
      <c r="BJ328" s="18"/>
      <c r="BK328" s="18"/>
      <c r="BL328" s="18"/>
      <c r="BM328" s="18"/>
      <c r="BN328" s="18"/>
      <c r="BO328" s="25" t="n">
        <v>1</v>
      </c>
      <c r="BP328" s="18"/>
      <c r="BQ328" s="18"/>
      <c r="BR328" s="25" t="n">
        <v>1</v>
      </c>
      <c r="BS328" s="18"/>
      <c r="BT328" s="22" t="n">
        <f aca="false">SUM(BH328:BS328)</f>
        <v>2</v>
      </c>
      <c r="BU328" s="26" t="n">
        <v>46052.4951388889</v>
      </c>
      <c r="BV328" s="17" t="s">
        <v>89</v>
      </c>
      <c r="BW328" s="17" t="s">
        <v>44</v>
      </c>
      <c r="BX328" s="23" t="n">
        <f aca="false">IFERROR(R328/AE328,0)</f>
        <v>3343</v>
      </c>
      <c r="BY328" s="23" t="n">
        <f aca="false">IFERROR(R328/12,0)</f>
        <v>278.583333333333</v>
      </c>
      <c r="BZ328" s="18" t="n">
        <v>0</v>
      </c>
      <c r="CA328" s="22" t="str">
        <f aca="false">IF(AE328=0,"PROSPECT",IF(AE328=1,"NOVO",IF(AE328&lt;=3,"EM DESENV.",IF(AE328&lt;=6,"RECORRENTE","FIDELIZADO"))))</f>
        <v>NOVO</v>
      </c>
      <c r="CB328" s="22" t="n">
        <f aca="false">IF((P328+Q328)&gt;0,1,0)+IF((BR328+BS328)&gt;0,1,0)+IF(BE328&gt;0,1,0)</f>
        <v>1</v>
      </c>
    </row>
    <row r="329" customFormat="false" ht="15" hidden="false" customHeight="true" outlineLevel="0" collapsed="false">
      <c r="A329" s="16" t="s">
        <v>924</v>
      </c>
      <c r="B329" s="17" t="s">
        <v>925</v>
      </c>
      <c r="C329" s="18" t="s">
        <v>61</v>
      </c>
      <c r="D329" s="17" t="s">
        <v>547</v>
      </c>
      <c r="E329" s="29" t="s">
        <v>365</v>
      </c>
      <c r="F329" s="20"/>
      <c r="G329" s="20"/>
      <c r="H329" s="20"/>
      <c r="I329" s="20"/>
      <c r="J329" s="27" t="n">
        <v>2178.81</v>
      </c>
      <c r="K329" s="27" t="n">
        <v>1267.11</v>
      </c>
      <c r="L329" s="27" t="n">
        <v>1267.11</v>
      </c>
      <c r="M329" s="27" t="n">
        <v>1203.15</v>
      </c>
      <c r="N329" s="27" t="n">
        <v>1188.14</v>
      </c>
      <c r="O329" s="20"/>
      <c r="P329" s="20"/>
      <c r="Q329" s="20"/>
      <c r="R329" s="21" t="n">
        <f aca="false">SUM(F329:Q329)</f>
        <v>7104.32</v>
      </c>
      <c r="S329" s="18"/>
      <c r="T329" s="18"/>
      <c r="U329" s="18"/>
      <c r="V329" s="18"/>
      <c r="W329" s="28" t="n">
        <v>1</v>
      </c>
      <c r="X329" s="28" t="n">
        <v>1</v>
      </c>
      <c r="Y329" s="28" t="n">
        <v>1</v>
      </c>
      <c r="Z329" s="28" t="n">
        <v>1</v>
      </c>
      <c r="AA329" s="28" t="n">
        <v>1</v>
      </c>
      <c r="AB329" s="18"/>
      <c r="AC329" s="18"/>
      <c r="AD329" s="18"/>
      <c r="AE329" s="22" t="n">
        <f aca="false">SUM(S329:AD329)</f>
        <v>5</v>
      </c>
      <c r="AF329" s="22"/>
      <c r="AG329" s="22"/>
      <c r="AH329" s="22"/>
      <c r="AI329" s="22"/>
      <c r="AJ329" s="19" t="s">
        <v>50</v>
      </c>
      <c r="AK329" s="30" t="s">
        <v>49</v>
      </c>
      <c r="AL329" s="30" t="s">
        <v>49</v>
      </c>
      <c r="AM329" s="30" t="s">
        <v>49</v>
      </c>
      <c r="AN329" s="30" t="s">
        <v>49</v>
      </c>
      <c r="AO329" s="22"/>
      <c r="AP329" s="22"/>
      <c r="AQ329" s="22"/>
      <c r="AR329" s="19" t="s">
        <v>50</v>
      </c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22" t="n">
        <f aca="false">SUM(AS329:BD329)</f>
        <v>0</v>
      </c>
      <c r="BF329" s="23"/>
      <c r="BG329" s="24"/>
      <c r="BH329" s="18"/>
      <c r="BI329" s="18"/>
      <c r="BJ329" s="18"/>
      <c r="BK329" s="25" t="n">
        <v>2</v>
      </c>
      <c r="BL329" s="18"/>
      <c r="BM329" s="25" t="n">
        <v>4</v>
      </c>
      <c r="BN329" s="18"/>
      <c r="BO329" s="25" t="n">
        <v>2</v>
      </c>
      <c r="BP329" s="18"/>
      <c r="BQ329" s="18"/>
      <c r="BR329" s="18"/>
      <c r="BS329" s="18"/>
      <c r="BT329" s="22" t="n">
        <f aca="false">SUM(BH329:BS329)</f>
        <v>8</v>
      </c>
      <c r="BU329" s="26" t="n">
        <v>45957.6820717593</v>
      </c>
      <c r="BV329" s="17"/>
      <c r="BW329" s="17" t="s">
        <v>44</v>
      </c>
      <c r="BX329" s="23" t="n">
        <f aca="false">IFERROR(R329/AE329,0)</f>
        <v>1420.864</v>
      </c>
      <c r="BY329" s="23" t="n">
        <f aca="false">IFERROR(R329/12,0)</f>
        <v>592.026666666667</v>
      </c>
      <c r="BZ329" s="18" t="n">
        <v>32.75</v>
      </c>
      <c r="CA329" s="22" t="str">
        <f aca="false">IF(AE329=0,"PROSPECT",IF(AE329=1,"NOVO",IF(AE329&lt;=3,"EM DESENV.",IF(AE329&lt;=6,"RECORRENTE","FIDELIZADO"))))</f>
        <v>RECORRENTE</v>
      </c>
      <c r="CB329" s="22" t="n">
        <f aca="false">IF((P329+Q329)&gt;0,1,0)+IF((BR329+BS329)&gt;0,1,0)+IF(BE329&gt;0,1,0)</f>
        <v>0</v>
      </c>
    </row>
    <row r="330" customFormat="false" ht="15" hidden="false" customHeight="true" outlineLevel="0" collapsed="false">
      <c r="A330" s="16" t="s">
        <v>926</v>
      </c>
      <c r="B330" s="17" t="s">
        <v>927</v>
      </c>
      <c r="C330" s="18" t="s">
        <v>794</v>
      </c>
      <c r="D330" s="17" t="s">
        <v>928</v>
      </c>
      <c r="E330" s="29" t="s">
        <v>365</v>
      </c>
      <c r="F330" s="20"/>
      <c r="G330" s="27" t="n">
        <v>3043.77</v>
      </c>
      <c r="H330" s="20"/>
      <c r="I330" s="20"/>
      <c r="J330" s="20"/>
      <c r="K330" s="27" t="n">
        <v>2363.33</v>
      </c>
      <c r="L330" s="20"/>
      <c r="M330" s="20"/>
      <c r="N330" s="20"/>
      <c r="O330" s="27" t="n">
        <v>2020.35</v>
      </c>
      <c r="P330" s="20"/>
      <c r="Q330" s="20"/>
      <c r="R330" s="21" t="n">
        <f aca="false">SUM(F330:Q330)</f>
        <v>7427.45</v>
      </c>
      <c r="S330" s="18"/>
      <c r="T330" s="28" t="n">
        <v>1</v>
      </c>
      <c r="U330" s="18"/>
      <c r="V330" s="18"/>
      <c r="W330" s="18"/>
      <c r="X330" s="28" t="n">
        <v>1</v>
      </c>
      <c r="Y330" s="18"/>
      <c r="Z330" s="18"/>
      <c r="AA330" s="18"/>
      <c r="AB330" s="28" t="n">
        <v>1</v>
      </c>
      <c r="AC330" s="18"/>
      <c r="AD330" s="18"/>
      <c r="AE330" s="22" t="n">
        <f aca="false">SUM(S330:AD330)</f>
        <v>3</v>
      </c>
      <c r="AF330" s="22"/>
      <c r="AG330" s="19" t="s">
        <v>50</v>
      </c>
      <c r="AH330" s="22"/>
      <c r="AI330" s="22"/>
      <c r="AJ330" s="22"/>
      <c r="AK330" s="19" t="s">
        <v>50</v>
      </c>
      <c r="AL330" s="22"/>
      <c r="AM330" s="22"/>
      <c r="AN330" s="22"/>
      <c r="AO330" s="19" t="s">
        <v>50</v>
      </c>
      <c r="AP330" s="22"/>
      <c r="AQ330" s="22"/>
      <c r="AR330" s="19" t="s">
        <v>50</v>
      </c>
      <c r="AS330" s="18"/>
      <c r="AT330" s="25" t="n">
        <v>3</v>
      </c>
      <c r="AU330" s="25" t="n">
        <v>3</v>
      </c>
      <c r="AV330" s="18"/>
      <c r="AW330" s="18"/>
      <c r="AX330" s="18"/>
      <c r="AY330" s="18"/>
      <c r="AZ330" s="18"/>
      <c r="BA330" s="25" t="n">
        <v>5</v>
      </c>
      <c r="BB330" s="25" t="n">
        <v>2</v>
      </c>
      <c r="BC330" s="18"/>
      <c r="BD330" s="18"/>
      <c r="BE330" s="22" t="n">
        <f aca="false">SUM(AS330:BD330)</f>
        <v>13</v>
      </c>
      <c r="BF330" s="23" t="n">
        <v>8107.89</v>
      </c>
      <c r="BG330" s="19" t="s">
        <v>55</v>
      </c>
      <c r="BH330" s="18"/>
      <c r="BI330" s="25" t="n">
        <v>1</v>
      </c>
      <c r="BJ330" s="18"/>
      <c r="BK330" s="25" t="n">
        <v>1</v>
      </c>
      <c r="BL330" s="18"/>
      <c r="BM330" s="18"/>
      <c r="BN330" s="18"/>
      <c r="BO330" s="18"/>
      <c r="BP330" s="25" t="n">
        <v>1</v>
      </c>
      <c r="BQ330" s="18"/>
      <c r="BR330" s="25" t="n">
        <v>3</v>
      </c>
      <c r="BS330" s="18"/>
      <c r="BT330" s="22" t="n">
        <f aca="false">SUM(BH330:BS330)</f>
        <v>6</v>
      </c>
      <c r="BU330" s="26" t="n">
        <v>46049.4090277778</v>
      </c>
      <c r="BV330" s="17"/>
      <c r="BW330" s="17" t="s">
        <v>44</v>
      </c>
      <c r="BX330" s="23" t="n">
        <f aca="false">IFERROR(R330/AE330,0)</f>
        <v>2475.81666666667</v>
      </c>
      <c r="BY330" s="23" t="n">
        <f aca="false">IFERROR(R330/12,0)</f>
        <v>618.954166666667</v>
      </c>
      <c r="BZ330" s="18" t="n">
        <v>124.5</v>
      </c>
      <c r="CA330" s="22" t="str">
        <f aca="false">IF(AE330=0,"PROSPECT",IF(AE330=1,"NOVO",IF(AE330&lt;=3,"EM DESENV.",IF(AE330&lt;=6,"RECORRENTE","FIDELIZADO"))))</f>
        <v>EM DESENV.</v>
      </c>
      <c r="CB330" s="22" t="n">
        <f aca="false">IF((P330+Q330)&gt;0,1,0)+IF((BR330+BS330)&gt;0,1,0)+IF(BE330&gt;0,1,0)</f>
        <v>2</v>
      </c>
    </row>
    <row r="331" customFormat="false" ht="15" hidden="false" customHeight="true" outlineLevel="0" collapsed="false">
      <c r="A331" s="16" t="s">
        <v>929</v>
      </c>
      <c r="B331" s="17" t="s">
        <v>930</v>
      </c>
      <c r="C331" s="18" t="s">
        <v>41</v>
      </c>
      <c r="D331" s="17" t="s">
        <v>931</v>
      </c>
      <c r="E331" s="29" t="s">
        <v>365</v>
      </c>
      <c r="F331" s="20"/>
      <c r="G331" s="20"/>
      <c r="H331" s="20"/>
      <c r="I331" s="20"/>
      <c r="J331" s="20"/>
      <c r="K331" s="20"/>
      <c r="L331" s="20"/>
      <c r="M331" s="27" t="n">
        <v>743.62</v>
      </c>
      <c r="N331" s="20"/>
      <c r="O331" s="27" t="n">
        <v>430.26</v>
      </c>
      <c r="P331" s="20"/>
      <c r="Q331" s="20"/>
      <c r="R331" s="21" t="n">
        <f aca="false">SUM(F331:Q331)</f>
        <v>1173.88</v>
      </c>
      <c r="S331" s="18"/>
      <c r="T331" s="18"/>
      <c r="U331" s="18"/>
      <c r="V331" s="18"/>
      <c r="W331" s="18"/>
      <c r="X331" s="18"/>
      <c r="Y331" s="18"/>
      <c r="Z331" s="28" t="n">
        <v>1</v>
      </c>
      <c r="AA331" s="18"/>
      <c r="AB331" s="28" t="n">
        <v>1</v>
      </c>
      <c r="AC331" s="18"/>
      <c r="AD331" s="18"/>
      <c r="AE331" s="22" t="n">
        <f aca="false">SUM(S331:AD331)</f>
        <v>2</v>
      </c>
      <c r="AF331" s="22"/>
      <c r="AG331" s="22"/>
      <c r="AH331" s="22"/>
      <c r="AI331" s="22"/>
      <c r="AJ331" s="22"/>
      <c r="AK331" s="22"/>
      <c r="AL331" s="22"/>
      <c r="AM331" s="29" t="s">
        <v>48</v>
      </c>
      <c r="AN331" s="22"/>
      <c r="AO331" s="29" t="s">
        <v>48</v>
      </c>
      <c r="AP331" s="22"/>
      <c r="AQ331" s="22"/>
      <c r="AR331" s="30" t="s">
        <v>49</v>
      </c>
      <c r="AS331" s="18"/>
      <c r="AT331" s="18"/>
      <c r="AU331" s="18"/>
      <c r="AV331" s="18"/>
      <c r="AW331" s="18"/>
      <c r="AX331" s="18"/>
      <c r="AY331" s="18"/>
      <c r="AZ331" s="18"/>
      <c r="BA331" s="25" t="n">
        <v>8</v>
      </c>
      <c r="BB331" s="25" t="n">
        <v>10</v>
      </c>
      <c r="BC331" s="18"/>
      <c r="BD331" s="18"/>
      <c r="BE331" s="22" t="n">
        <f aca="false">SUM(AS331:BD331)</f>
        <v>18</v>
      </c>
      <c r="BF331" s="23" t="n">
        <v>430.26</v>
      </c>
      <c r="BG331" s="19" t="s">
        <v>55</v>
      </c>
      <c r="BH331" s="18"/>
      <c r="BI331" s="18"/>
      <c r="BJ331" s="18"/>
      <c r="BK331" s="18"/>
      <c r="BL331" s="18"/>
      <c r="BM331" s="18"/>
      <c r="BN331" s="18"/>
      <c r="BO331" s="25" t="n">
        <v>1</v>
      </c>
      <c r="BP331" s="25" t="n">
        <v>1</v>
      </c>
      <c r="BQ331" s="18"/>
      <c r="BR331" s="18"/>
      <c r="BS331" s="25" t="n">
        <v>2</v>
      </c>
      <c r="BT331" s="22" t="n">
        <f aca="false">SUM(BH331:BS331)</f>
        <v>4</v>
      </c>
      <c r="BU331" s="26" t="n">
        <v>46056.4194444444</v>
      </c>
      <c r="BV331" s="17"/>
      <c r="BW331" s="17" t="s">
        <v>44</v>
      </c>
      <c r="BX331" s="23" t="n">
        <f aca="false">IFERROR(R331/AE331,0)</f>
        <v>586.94</v>
      </c>
      <c r="BY331" s="23" t="n">
        <f aca="false">IFERROR(R331/12,0)</f>
        <v>97.8233333333333</v>
      </c>
      <c r="BZ331" s="18" t="n">
        <v>52</v>
      </c>
      <c r="CA331" s="22" t="str">
        <f aca="false">IF(AE331=0,"PROSPECT",IF(AE331=1,"NOVO",IF(AE331&lt;=3,"EM DESENV.",IF(AE331&lt;=6,"RECORRENTE","FIDELIZADO"))))</f>
        <v>EM DESENV.</v>
      </c>
      <c r="CB331" s="22" t="n">
        <f aca="false">IF((P331+Q331)&gt;0,1,0)+IF((BR331+BS331)&gt;0,1,0)+IF(BE331&gt;0,1,0)</f>
        <v>2</v>
      </c>
    </row>
    <row r="332" customFormat="false" ht="15" hidden="false" customHeight="true" outlineLevel="0" collapsed="false">
      <c r="A332" s="16" t="s">
        <v>932</v>
      </c>
      <c r="B332" s="17" t="s">
        <v>933</v>
      </c>
      <c r="C332" s="18" t="s">
        <v>53</v>
      </c>
      <c r="D332" s="17" t="s">
        <v>278</v>
      </c>
      <c r="E332" s="29" t="s">
        <v>365</v>
      </c>
      <c r="F332" s="20"/>
      <c r="G332" s="20"/>
      <c r="H332" s="27" t="n">
        <v>704.65</v>
      </c>
      <c r="I332" s="20"/>
      <c r="J332" s="20"/>
      <c r="K332" s="20"/>
      <c r="L332" s="20"/>
      <c r="M332" s="20"/>
      <c r="N332" s="20"/>
      <c r="O332" s="20"/>
      <c r="P332" s="20"/>
      <c r="Q332" s="20"/>
      <c r="R332" s="21" t="n">
        <f aca="false">SUM(F332:Q332)</f>
        <v>704.65</v>
      </c>
      <c r="S332" s="18"/>
      <c r="T332" s="18"/>
      <c r="U332" s="28" t="n">
        <v>1</v>
      </c>
      <c r="V332" s="18"/>
      <c r="W332" s="18"/>
      <c r="X332" s="18"/>
      <c r="Y332" s="18"/>
      <c r="Z332" s="18"/>
      <c r="AA332" s="18"/>
      <c r="AB332" s="18"/>
      <c r="AC332" s="18"/>
      <c r="AD332" s="18"/>
      <c r="AE332" s="22" t="n">
        <f aca="false">SUM(S332:AD332)</f>
        <v>1</v>
      </c>
      <c r="AF332" s="22"/>
      <c r="AG332" s="22"/>
      <c r="AH332" s="30" t="s">
        <v>49</v>
      </c>
      <c r="AI332" s="22"/>
      <c r="AJ332" s="22"/>
      <c r="AK332" s="22"/>
      <c r="AL332" s="22"/>
      <c r="AM332" s="22"/>
      <c r="AN332" s="22"/>
      <c r="AO332" s="22"/>
      <c r="AP332" s="22"/>
      <c r="AQ332" s="22"/>
      <c r="AR332" s="29" t="s">
        <v>48</v>
      </c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22" t="n">
        <f aca="false">SUM(AS332:BD332)</f>
        <v>0</v>
      </c>
      <c r="BF332" s="23"/>
      <c r="BG332" s="24"/>
      <c r="BH332" s="25" t="n">
        <v>3</v>
      </c>
      <c r="BI332" s="18"/>
      <c r="BJ332" s="25" t="n">
        <v>3</v>
      </c>
      <c r="BK332" s="18"/>
      <c r="BL332" s="25" t="n">
        <v>2</v>
      </c>
      <c r="BM332" s="25" t="n">
        <v>2</v>
      </c>
      <c r="BN332" s="25" t="n">
        <v>1</v>
      </c>
      <c r="BO332" s="25" t="n">
        <v>2</v>
      </c>
      <c r="BP332" s="25" t="n">
        <v>1</v>
      </c>
      <c r="BQ332" s="25" t="n">
        <v>1</v>
      </c>
      <c r="BR332" s="25" t="n">
        <v>4</v>
      </c>
      <c r="BS332" s="18"/>
      <c r="BT332" s="22" t="n">
        <f aca="false">SUM(BH332:BS332)</f>
        <v>19</v>
      </c>
      <c r="BU332" s="26" t="n">
        <v>46043.6886689815</v>
      </c>
      <c r="BV332" s="17"/>
      <c r="BW332" s="17" t="s">
        <v>44</v>
      </c>
      <c r="BX332" s="23" t="n">
        <f aca="false">IFERROR(R332/AE332,0)</f>
        <v>704.65</v>
      </c>
      <c r="BY332" s="23" t="n">
        <f aca="false">IFERROR(R332/12,0)</f>
        <v>58.7208333333333</v>
      </c>
      <c r="BZ332" s="18" t="n">
        <v>0</v>
      </c>
      <c r="CA332" s="22" t="str">
        <f aca="false">IF(AE332=0,"PROSPECT",IF(AE332=1,"NOVO",IF(AE332&lt;=3,"EM DESENV.",IF(AE332&lt;=6,"RECORRENTE","FIDELIZADO"))))</f>
        <v>NOVO</v>
      </c>
      <c r="CB332" s="22" t="n">
        <f aca="false">IF((P332+Q332)&gt;0,1,0)+IF((BR332+BS332)&gt;0,1,0)+IF(BE332&gt;0,1,0)</f>
        <v>1</v>
      </c>
    </row>
    <row r="333" customFormat="false" ht="15" hidden="false" customHeight="true" outlineLevel="0" collapsed="false">
      <c r="A333" s="16" t="s">
        <v>934</v>
      </c>
      <c r="B333" s="17" t="s">
        <v>171</v>
      </c>
      <c r="C333" s="18" t="s">
        <v>61</v>
      </c>
      <c r="D333" s="17" t="s">
        <v>459</v>
      </c>
      <c r="E333" s="29" t="s">
        <v>365</v>
      </c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1" t="n">
        <f aca="false">SUM(F333:Q333)</f>
        <v>0</v>
      </c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22" t="n">
        <f aca="false">SUM(S333:AD333)</f>
        <v>0</v>
      </c>
      <c r="AF333" s="22"/>
      <c r="AG333" s="22"/>
      <c r="AH333" s="22"/>
      <c r="AI333" s="22"/>
      <c r="AJ333" s="22"/>
      <c r="AK333" s="22"/>
      <c r="AL333" s="22"/>
      <c r="AM333" s="29" t="s">
        <v>48</v>
      </c>
      <c r="AN333" s="22"/>
      <c r="AO333" s="22"/>
      <c r="AP333" s="22"/>
      <c r="AQ333" s="22"/>
      <c r="AR333" s="29" t="s">
        <v>48</v>
      </c>
      <c r="AS333" s="18"/>
      <c r="AT333" s="18"/>
      <c r="AU333" s="18"/>
      <c r="AV333" s="18"/>
      <c r="AW333" s="18"/>
      <c r="AX333" s="18"/>
      <c r="AY333" s="25" t="n">
        <v>7</v>
      </c>
      <c r="AZ333" s="18"/>
      <c r="BA333" s="25" t="n">
        <v>5</v>
      </c>
      <c r="BB333" s="25" t="n">
        <v>1</v>
      </c>
      <c r="BC333" s="18"/>
      <c r="BD333" s="18"/>
      <c r="BE333" s="22" t="n">
        <f aca="false">SUM(AS333:BD333)</f>
        <v>13</v>
      </c>
      <c r="BF333" s="23"/>
      <c r="BG333" s="31" t="s">
        <v>93</v>
      </c>
      <c r="BH333" s="18"/>
      <c r="BI333" s="18"/>
      <c r="BJ333" s="18"/>
      <c r="BK333" s="18"/>
      <c r="BL333" s="18"/>
      <c r="BM333" s="18"/>
      <c r="BN333" s="25" t="n">
        <v>1</v>
      </c>
      <c r="BO333" s="25" t="n">
        <v>1</v>
      </c>
      <c r="BP333" s="25" t="n">
        <v>1</v>
      </c>
      <c r="BQ333" s="18"/>
      <c r="BR333" s="18"/>
      <c r="BS333" s="18"/>
      <c r="BT333" s="22" t="n">
        <f aca="false">SUM(BH333:BS333)</f>
        <v>3</v>
      </c>
      <c r="BU333" s="26" t="n">
        <v>45979.49375</v>
      </c>
      <c r="BV333" s="17" t="s">
        <v>107</v>
      </c>
      <c r="BW333" s="17" t="s">
        <v>44</v>
      </c>
      <c r="BX333" s="23" t="n">
        <f aca="false">IFERROR(R333/AE333,0)</f>
        <v>0</v>
      </c>
      <c r="BY333" s="23" t="n">
        <f aca="false">IFERROR(R333/12,0)</f>
        <v>0</v>
      </c>
      <c r="BZ333" s="18" t="n">
        <v>0</v>
      </c>
      <c r="CA333" s="22" t="str">
        <f aca="false">IF(AE333=0,"PROSPECT",IF(AE333=1,"NOVO",IF(AE333&lt;=3,"EM DESENV.",IF(AE333&lt;=6,"RECORRENTE","FIDELIZADO"))))</f>
        <v>PROSPECT</v>
      </c>
      <c r="CB333" s="22" t="n">
        <f aca="false">IF((P333+Q333)&gt;0,1,0)+IF((BR333+BS333)&gt;0,1,0)+IF(BE333&gt;0,1,0)</f>
        <v>1</v>
      </c>
    </row>
    <row r="334" customFormat="false" ht="15" hidden="false" customHeight="true" outlineLevel="0" collapsed="false">
      <c r="A334" s="16" t="s">
        <v>935</v>
      </c>
      <c r="B334" s="17" t="s">
        <v>171</v>
      </c>
      <c r="C334" s="18" t="s">
        <v>61</v>
      </c>
      <c r="D334" s="17" t="s">
        <v>319</v>
      </c>
      <c r="E334" s="29" t="s">
        <v>365</v>
      </c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1" t="n">
        <f aca="false">SUM(F334:Q334)</f>
        <v>0</v>
      </c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22" t="n">
        <f aca="false">SUM(S334:AD334)</f>
        <v>0</v>
      </c>
      <c r="AF334" s="22"/>
      <c r="AG334" s="22"/>
      <c r="AH334" s="22"/>
      <c r="AI334" s="22"/>
      <c r="AJ334" s="22"/>
      <c r="AK334" s="22"/>
      <c r="AL334" s="22"/>
      <c r="AM334" s="19" t="s">
        <v>50</v>
      </c>
      <c r="AN334" s="22"/>
      <c r="AO334" s="22"/>
      <c r="AP334" s="22"/>
      <c r="AQ334" s="22"/>
      <c r="AR334" s="19" t="s">
        <v>50</v>
      </c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22" t="n">
        <f aca="false">SUM(AS334:BD334)</f>
        <v>0</v>
      </c>
      <c r="BF334" s="23"/>
      <c r="BG334" s="24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22" t="n">
        <f aca="false">SUM(BH334:BS334)</f>
        <v>0</v>
      </c>
      <c r="BU334" s="26"/>
      <c r="BV334" s="17"/>
      <c r="BW334" s="17"/>
      <c r="BX334" s="23" t="n">
        <f aca="false">IFERROR(R334/AE334,0)</f>
        <v>0</v>
      </c>
      <c r="BY334" s="23" t="n">
        <f aca="false">IFERROR(R334/12,0)</f>
        <v>0</v>
      </c>
      <c r="BZ334" s="18" t="n">
        <v>0</v>
      </c>
      <c r="CA334" s="22" t="str">
        <f aca="false">IF(AE334=0,"PROSPECT",IF(AE334=1,"NOVO",IF(AE334&lt;=3,"EM DESENV.",IF(AE334&lt;=6,"RECORRENTE","FIDELIZADO"))))</f>
        <v>PROSPECT</v>
      </c>
      <c r="CB334" s="22" t="n">
        <f aca="false">IF((P334+Q334)&gt;0,1,0)+IF((BR334+BS334)&gt;0,1,0)+IF(BE334&gt;0,1,0)</f>
        <v>0</v>
      </c>
    </row>
    <row r="335" customFormat="false" ht="15" hidden="false" customHeight="true" outlineLevel="0" collapsed="false">
      <c r="A335" s="16" t="s">
        <v>936</v>
      </c>
      <c r="B335" s="17" t="s">
        <v>171</v>
      </c>
      <c r="C335" s="18" t="s">
        <v>155</v>
      </c>
      <c r="D335" s="17" t="s">
        <v>937</v>
      </c>
      <c r="E335" s="29" t="s">
        <v>365</v>
      </c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1" t="n">
        <f aca="false">SUM(F335:Q335)</f>
        <v>0</v>
      </c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22" t="n">
        <f aca="false">SUM(S335:AD335)</f>
        <v>0</v>
      </c>
      <c r="AF335" s="22"/>
      <c r="AG335" s="22"/>
      <c r="AH335" s="22"/>
      <c r="AI335" s="22"/>
      <c r="AJ335" s="22"/>
      <c r="AK335" s="22"/>
      <c r="AL335" s="29" t="s">
        <v>48</v>
      </c>
      <c r="AM335" s="22"/>
      <c r="AN335" s="22"/>
      <c r="AO335" s="22"/>
      <c r="AP335" s="22"/>
      <c r="AQ335" s="22"/>
      <c r="AR335" s="29" t="s">
        <v>48</v>
      </c>
      <c r="AS335" s="18"/>
      <c r="AT335" s="18"/>
      <c r="AU335" s="18"/>
      <c r="AV335" s="18"/>
      <c r="AW335" s="18"/>
      <c r="AX335" s="18"/>
      <c r="AY335" s="25" t="n">
        <v>5</v>
      </c>
      <c r="AZ335" s="18"/>
      <c r="BA335" s="18"/>
      <c r="BB335" s="18"/>
      <c r="BC335" s="18"/>
      <c r="BD335" s="18"/>
      <c r="BE335" s="22" t="n">
        <f aca="false">SUM(AS335:BD335)</f>
        <v>5</v>
      </c>
      <c r="BF335" s="23" t="n">
        <v>668.57</v>
      </c>
      <c r="BG335" s="19" t="s">
        <v>55</v>
      </c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25" t="n">
        <v>4</v>
      </c>
      <c r="BS335" s="18"/>
      <c r="BT335" s="22" t="n">
        <f aca="false">SUM(BH335:BS335)</f>
        <v>4</v>
      </c>
      <c r="BU335" s="26" t="n">
        <v>46045.6344560185</v>
      </c>
      <c r="BV335" s="17"/>
      <c r="BW335" s="17" t="s">
        <v>44</v>
      </c>
      <c r="BX335" s="23" t="n">
        <f aca="false">IFERROR(R335/AE335,0)</f>
        <v>0</v>
      </c>
      <c r="BY335" s="23" t="n">
        <f aca="false">IFERROR(R335/12,0)</f>
        <v>0</v>
      </c>
      <c r="BZ335" s="18" t="n">
        <v>0</v>
      </c>
      <c r="CA335" s="22" t="str">
        <f aca="false">IF(AE335=0,"PROSPECT",IF(AE335=1,"NOVO",IF(AE335&lt;=3,"EM DESENV.",IF(AE335&lt;=6,"RECORRENTE","FIDELIZADO"))))</f>
        <v>PROSPECT</v>
      </c>
      <c r="CB335" s="22" t="n">
        <f aca="false">IF((P335+Q335)&gt;0,1,0)+IF((BR335+BS335)&gt;0,1,0)+IF(BE335&gt;0,1,0)</f>
        <v>2</v>
      </c>
    </row>
    <row r="336" customFormat="false" ht="15" hidden="false" customHeight="true" outlineLevel="0" collapsed="false">
      <c r="A336" s="16" t="s">
        <v>938</v>
      </c>
      <c r="B336" s="17" t="s">
        <v>171</v>
      </c>
      <c r="C336" s="18" t="s">
        <v>72</v>
      </c>
      <c r="D336" s="17" t="s">
        <v>939</v>
      </c>
      <c r="E336" s="29" t="s">
        <v>365</v>
      </c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1" t="n">
        <f aca="false">SUM(F336:Q336)</f>
        <v>0</v>
      </c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22" t="n">
        <f aca="false">SUM(S336:AD336)</f>
        <v>0</v>
      </c>
      <c r="AF336" s="22"/>
      <c r="AG336" s="22"/>
      <c r="AH336" s="22"/>
      <c r="AI336" s="22"/>
      <c r="AJ336" s="22"/>
      <c r="AK336" s="22"/>
      <c r="AL336" s="30" t="s">
        <v>49</v>
      </c>
      <c r="AM336" s="22"/>
      <c r="AN336" s="22"/>
      <c r="AO336" s="22"/>
      <c r="AP336" s="22"/>
      <c r="AQ336" s="22"/>
      <c r="AR336" s="29" t="s">
        <v>48</v>
      </c>
      <c r="AS336" s="18"/>
      <c r="AT336" s="18"/>
      <c r="AU336" s="18"/>
      <c r="AV336" s="18"/>
      <c r="AW336" s="18"/>
      <c r="AX336" s="18"/>
      <c r="AY336" s="25" t="n">
        <v>4</v>
      </c>
      <c r="AZ336" s="18"/>
      <c r="BA336" s="18"/>
      <c r="BB336" s="18"/>
      <c r="BC336" s="18"/>
      <c r="BD336" s="18"/>
      <c r="BE336" s="22" t="n">
        <f aca="false">SUM(AS336:BD336)</f>
        <v>4</v>
      </c>
      <c r="BF336" s="23" t="n">
        <v>773.69</v>
      </c>
      <c r="BG336" s="19" t="s">
        <v>55</v>
      </c>
      <c r="BH336" s="18"/>
      <c r="BI336" s="18"/>
      <c r="BJ336" s="18"/>
      <c r="BK336" s="18"/>
      <c r="BL336" s="18"/>
      <c r="BM336" s="18"/>
      <c r="BN336" s="18"/>
      <c r="BO336" s="25" t="n">
        <v>1</v>
      </c>
      <c r="BP336" s="18"/>
      <c r="BQ336" s="18"/>
      <c r="BR336" s="25" t="n">
        <v>1</v>
      </c>
      <c r="BS336" s="18"/>
      <c r="BT336" s="22" t="n">
        <f aca="false">SUM(BH336:BS336)</f>
        <v>2</v>
      </c>
      <c r="BU336" s="26" t="n">
        <v>46043.3594097222</v>
      </c>
      <c r="BV336" s="17"/>
      <c r="BW336" s="17" t="s">
        <v>44</v>
      </c>
      <c r="BX336" s="23" t="n">
        <f aca="false">IFERROR(R336/AE336,0)</f>
        <v>0</v>
      </c>
      <c r="BY336" s="23" t="n">
        <f aca="false">IFERROR(R336/12,0)</f>
        <v>0</v>
      </c>
      <c r="BZ336" s="18" t="n">
        <v>0</v>
      </c>
      <c r="CA336" s="22" t="str">
        <f aca="false">IF(AE336=0,"PROSPECT",IF(AE336=1,"NOVO",IF(AE336&lt;=3,"EM DESENV.",IF(AE336&lt;=6,"RECORRENTE","FIDELIZADO"))))</f>
        <v>PROSPECT</v>
      </c>
      <c r="CB336" s="22" t="n">
        <f aca="false">IF((P336+Q336)&gt;0,1,0)+IF((BR336+BS336)&gt;0,1,0)+IF(BE336&gt;0,1,0)</f>
        <v>2</v>
      </c>
    </row>
    <row r="337" customFormat="false" ht="15" hidden="false" customHeight="true" outlineLevel="0" collapsed="false">
      <c r="A337" s="16" t="s">
        <v>940</v>
      </c>
      <c r="B337" s="17" t="s">
        <v>941</v>
      </c>
      <c r="C337" s="18" t="s">
        <v>61</v>
      </c>
      <c r="D337" s="17" t="s">
        <v>134</v>
      </c>
      <c r="E337" s="29" t="s">
        <v>365</v>
      </c>
      <c r="F337" s="20"/>
      <c r="G337" s="20"/>
      <c r="H337" s="20"/>
      <c r="I337" s="20"/>
      <c r="J337" s="20"/>
      <c r="K337" s="20"/>
      <c r="L337" s="27" t="n">
        <v>775.04</v>
      </c>
      <c r="M337" s="20"/>
      <c r="N337" s="20"/>
      <c r="O337" s="20"/>
      <c r="P337" s="20"/>
      <c r="Q337" s="20"/>
      <c r="R337" s="21" t="n">
        <f aca="false">SUM(F337:Q337)</f>
        <v>775.04</v>
      </c>
      <c r="S337" s="18"/>
      <c r="T337" s="18"/>
      <c r="U337" s="18"/>
      <c r="V337" s="18"/>
      <c r="W337" s="18"/>
      <c r="X337" s="18"/>
      <c r="Y337" s="28" t="n">
        <v>1</v>
      </c>
      <c r="Z337" s="18"/>
      <c r="AA337" s="18"/>
      <c r="AB337" s="18"/>
      <c r="AC337" s="18"/>
      <c r="AD337" s="18"/>
      <c r="AE337" s="22" t="n">
        <f aca="false">SUM(S337:AD337)</f>
        <v>1</v>
      </c>
      <c r="AF337" s="22"/>
      <c r="AG337" s="22"/>
      <c r="AH337" s="22"/>
      <c r="AI337" s="22"/>
      <c r="AJ337" s="22"/>
      <c r="AK337" s="22"/>
      <c r="AL337" s="30" t="s">
        <v>49</v>
      </c>
      <c r="AM337" s="22"/>
      <c r="AN337" s="22"/>
      <c r="AO337" s="22"/>
      <c r="AP337" s="22"/>
      <c r="AQ337" s="22"/>
      <c r="AR337" s="29" t="s">
        <v>48</v>
      </c>
      <c r="AS337" s="18"/>
      <c r="AT337" s="18"/>
      <c r="AU337" s="18"/>
      <c r="AV337" s="18"/>
      <c r="AW337" s="18"/>
      <c r="AX337" s="18"/>
      <c r="AY337" s="25" t="n">
        <v>3</v>
      </c>
      <c r="AZ337" s="18"/>
      <c r="BA337" s="18"/>
      <c r="BB337" s="18"/>
      <c r="BC337" s="18"/>
      <c r="BD337" s="18"/>
      <c r="BE337" s="22" t="n">
        <f aca="false">SUM(AS337:BD337)</f>
        <v>3</v>
      </c>
      <c r="BF337" s="23" t="n">
        <v>775.04</v>
      </c>
      <c r="BG337" s="19" t="s">
        <v>55</v>
      </c>
      <c r="BH337" s="18"/>
      <c r="BI337" s="18"/>
      <c r="BJ337" s="18"/>
      <c r="BK337" s="18"/>
      <c r="BL337" s="18"/>
      <c r="BM337" s="18"/>
      <c r="BN337" s="25" t="n">
        <v>1</v>
      </c>
      <c r="BO337" s="18"/>
      <c r="BP337" s="25" t="n">
        <v>1</v>
      </c>
      <c r="BQ337" s="18"/>
      <c r="BR337" s="18"/>
      <c r="BS337" s="25" t="n">
        <v>2</v>
      </c>
      <c r="BT337" s="22" t="n">
        <f aca="false">SUM(BH337:BS337)</f>
        <v>4</v>
      </c>
      <c r="BU337" s="26" t="n">
        <v>46059.4555555556</v>
      </c>
      <c r="BV337" s="17"/>
      <c r="BW337" s="17" t="s">
        <v>117</v>
      </c>
      <c r="BX337" s="23" t="n">
        <f aca="false">IFERROR(R337/AE337,0)</f>
        <v>775.04</v>
      </c>
      <c r="BY337" s="23" t="n">
        <f aca="false">IFERROR(R337/12,0)</f>
        <v>64.5866666666667</v>
      </c>
      <c r="BZ337" s="18" t="n">
        <v>0</v>
      </c>
      <c r="CA337" s="22" t="str">
        <f aca="false">IF(AE337=0,"PROSPECT",IF(AE337=1,"NOVO",IF(AE337&lt;=3,"EM DESENV.",IF(AE337&lt;=6,"RECORRENTE","FIDELIZADO"))))</f>
        <v>NOVO</v>
      </c>
      <c r="CB337" s="22" t="n">
        <f aca="false">IF((P337+Q337)&gt;0,1,0)+IF((BR337+BS337)&gt;0,1,0)+IF(BE337&gt;0,1,0)</f>
        <v>2</v>
      </c>
    </row>
    <row r="338" customFormat="false" ht="15" hidden="false" customHeight="true" outlineLevel="0" collapsed="false">
      <c r="A338" s="16" t="s">
        <v>942</v>
      </c>
      <c r="B338" s="17" t="s">
        <v>943</v>
      </c>
      <c r="C338" s="18" t="s">
        <v>61</v>
      </c>
      <c r="D338" s="17" t="s">
        <v>210</v>
      </c>
      <c r="E338" s="29" t="s">
        <v>365</v>
      </c>
      <c r="F338" s="20"/>
      <c r="G338" s="20"/>
      <c r="H338" s="20"/>
      <c r="I338" s="20"/>
      <c r="J338" s="20"/>
      <c r="K338" s="27" t="n">
        <v>2161.62</v>
      </c>
      <c r="L338" s="20"/>
      <c r="M338" s="20"/>
      <c r="N338" s="27" t="n">
        <v>1693.08</v>
      </c>
      <c r="O338" s="20"/>
      <c r="P338" s="20"/>
      <c r="Q338" s="20"/>
      <c r="R338" s="21" t="n">
        <f aca="false">SUM(F338:Q338)</f>
        <v>3854.7</v>
      </c>
      <c r="S338" s="18"/>
      <c r="T338" s="18"/>
      <c r="U338" s="18"/>
      <c r="V338" s="18"/>
      <c r="W338" s="18"/>
      <c r="X338" s="28" t="n">
        <v>1</v>
      </c>
      <c r="Y338" s="18"/>
      <c r="Z338" s="18"/>
      <c r="AA338" s="28" t="n">
        <v>1</v>
      </c>
      <c r="AB338" s="18"/>
      <c r="AC338" s="18"/>
      <c r="AD338" s="18"/>
      <c r="AE338" s="22" t="n">
        <f aca="false">SUM(S338:AD338)</f>
        <v>2</v>
      </c>
      <c r="AF338" s="22"/>
      <c r="AG338" s="22"/>
      <c r="AH338" s="22"/>
      <c r="AI338" s="22"/>
      <c r="AJ338" s="22"/>
      <c r="AK338" s="19" t="s">
        <v>50</v>
      </c>
      <c r="AL338" s="22"/>
      <c r="AM338" s="22"/>
      <c r="AN338" s="19" t="s">
        <v>50</v>
      </c>
      <c r="AO338" s="22"/>
      <c r="AP338" s="22"/>
      <c r="AQ338" s="22"/>
      <c r="AR338" s="19" t="s">
        <v>50</v>
      </c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22" t="n">
        <f aca="false">SUM(AS338:BD338)</f>
        <v>0</v>
      </c>
      <c r="BF338" s="23"/>
      <c r="BG338" s="24"/>
      <c r="BH338" s="18"/>
      <c r="BI338" s="18"/>
      <c r="BJ338" s="18"/>
      <c r="BK338" s="18"/>
      <c r="BL338" s="18"/>
      <c r="BM338" s="18"/>
      <c r="BN338" s="18"/>
      <c r="BO338" s="25" t="n">
        <v>1</v>
      </c>
      <c r="BP338" s="25" t="n">
        <v>1</v>
      </c>
      <c r="BQ338" s="18"/>
      <c r="BR338" s="25" t="n">
        <v>1</v>
      </c>
      <c r="BS338" s="18"/>
      <c r="BT338" s="22" t="n">
        <f aca="false">SUM(BH338:BS338)</f>
        <v>3</v>
      </c>
      <c r="BU338" s="26" t="n">
        <v>46030.4069444445</v>
      </c>
      <c r="BV338" s="17"/>
      <c r="BW338" s="17" t="s">
        <v>117</v>
      </c>
      <c r="BX338" s="23" t="n">
        <f aca="false">IFERROR(R338/AE338,0)</f>
        <v>1927.35</v>
      </c>
      <c r="BY338" s="23" t="n">
        <f aca="false">IFERROR(R338/12,0)</f>
        <v>321.225</v>
      </c>
      <c r="BZ338" s="18" t="n">
        <v>90</v>
      </c>
      <c r="CA338" s="22" t="str">
        <f aca="false">IF(AE338=0,"PROSPECT",IF(AE338=1,"NOVO",IF(AE338&lt;=3,"EM DESENV.",IF(AE338&lt;=6,"RECORRENTE","FIDELIZADO"))))</f>
        <v>EM DESENV.</v>
      </c>
      <c r="CB338" s="22" t="n">
        <f aca="false">IF((P338+Q338)&gt;0,1,0)+IF((BR338+BS338)&gt;0,1,0)+IF(BE338&gt;0,1,0)</f>
        <v>1</v>
      </c>
    </row>
    <row r="339" customFormat="false" ht="15" hidden="false" customHeight="true" outlineLevel="0" collapsed="false">
      <c r="A339" s="16" t="s">
        <v>944</v>
      </c>
      <c r="B339" s="17" t="s">
        <v>945</v>
      </c>
      <c r="C339" s="18" t="s">
        <v>168</v>
      </c>
      <c r="D339" s="17" t="s">
        <v>946</v>
      </c>
      <c r="E339" s="29" t="s">
        <v>365</v>
      </c>
      <c r="F339" s="20"/>
      <c r="G339" s="20"/>
      <c r="H339" s="20"/>
      <c r="I339" s="27" t="n">
        <v>1593.85</v>
      </c>
      <c r="J339" s="20"/>
      <c r="K339" s="27" t="n">
        <v>2116.36</v>
      </c>
      <c r="L339" s="20"/>
      <c r="M339" s="20"/>
      <c r="N339" s="20"/>
      <c r="O339" s="20"/>
      <c r="P339" s="20"/>
      <c r="Q339" s="20"/>
      <c r="R339" s="21" t="n">
        <f aca="false">SUM(F339:Q339)</f>
        <v>3710.21</v>
      </c>
      <c r="S339" s="18"/>
      <c r="T339" s="18"/>
      <c r="U339" s="18"/>
      <c r="V339" s="28" t="n">
        <v>1</v>
      </c>
      <c r="W339" s="18"/>
      <c r="X339" s="28" t="n">
        <v>1</v>
      </c>
      <c r="Y339" s="18"/>
      <c r="Z339" s="18"/>
      <c r="AA339" s="18"/>
      <c r="AB339" s="18"/>
      <c r="AC339" s="18"/>
      <c r="AD339" s="18"/>
      <c r="AE339" s="22" t="n">
        <f aca="false">SUM(S339:AD339)</f>
        <v>2</v>
      </c>
      <c r="AF339" s="22"/>
      <c r="AG339" s="22"/>
      <c r="AH339" s="22"/>
      <c r="AI339" s="19" t="s">
        <v>50</v>
      </c>
      <c r="AJ339" s="22"/>
      <c r="AK339" s="19" t="s">
        <v>50</v>
      </c>
      <c r="AL339" s="22"/>
      <c r="AM339" s="22"/>
      <c r="AN339" s="22"/>
      <c r="AO339" s="22"/>
      <c r="AP339" s="22"/>
      <c r="AQ339" s="22"/>
      <c r="AR339" s="19" t="s">
        <v>50</v>
      </c>
      <c r="AS339" s="25" t="n">
        <v>3</v>
      </c>
      <c r="AT339" s="18"/>
      <c r="AU339" s="18"/>
      <c r="AV339" s="25" t="n">
        <v>1</v>
      </c>
      <c r="AW339" s="18"/>
      <c r="AX339" s="25" t="n">
        <v>1</v>
      </c>
      <c r="AY339" s="18"/>
      <c r="AZ339" s="18"/>
      <c r="BA339" s="18"/>
      <c r="BB339" s="18"/>
      <c r="BC339" s="18"/>
      <c r="BD339" s="18"/>
      <c r="BE339" s="22" t="n">
        <f aca="false">SUM(AS339:BD339)</f>
        <v>5</v>
      </c>
      <c r="BF339" s="23" t="n">
        <v>3710.21</v>
      </c>
      <c r="BG339" s="19" t="s">
        <v>55</v>
      </c>
      <c r="BH339" s="18"/>
      <c r="BI339" s="18"/>
      <c r="BJ339" s="25" t="n">
        <v>1</v>
      </c>
      <c r="BK339" s="25" t="n">
        <v>2</v>
      </c>
      <c r="BL339" s="25" t="n">
        <v>1</v>
      </c>
      <c r="BM339" s="18"/>
      <c r="BN339" s="18"/>
      <c r="BO339" s="25" t="n">
        <v>2</v>
      </c>
      <c r="BP339" s="18"/>
      <c r="BQ339" s="18"/>
      <c r="BR339" s="18"/>
      <c r="BS339" s="18"/>
      <c r="BT339" s="22" t="n">
        <f aca="false">SUM(BH339:BS339)</f>
        <v>6</v>
      </c>
      <c r="BU339" s="26" t="n">
        <v>45951.4947337963</v>
      </c>
      <c r="BV339" s="17"/>
      <c r="BW339" s="17" t="s">
        <v>44</v>
      </c>
      <c r="BX339" s="23" t="n">
        <f aca="false">IFERROR(R339/AE339,0)</f>
        <v>1855.105</v>
      </c>
      <c r="BY339" s="23" t="n">
        <f aca="false">IFERROR(R339/12,0)</f>
        <v>309.184166666667</v>
      </c>
      <c r="BZ339" s="18" t="n">
        <v>52</v>
      </c>
      <c r="CA339" s="22" t="str">
        <f aca="false">IF(AE339=0,"PROSPECT",IF(AE339=1,"NOVO",IF(AE339&lt;=3,"EM DESENV.",IF(AE339&lt;=6,"RECORRENTE","FIDELIZADO"))))</f>
        <v>EM DESENV.</v>
      </c>
      <c r="CB339" s="22" t="n">
        <f aca="false">IF((P339+Q339)&gt;0,1,0)+IF((BR339+BS339)&gt;0,1,0)+IF(BE339&gt;0,1,0)</f>
        <v>1</v>
      </c>
    </row>
    <row r="340" customFormat="false" ht="15" hidden="false" customHeight="true" outlineLevel="0" collapsed="false">
      <c r="A340" s="16" t="s">
        <v>947</v>
      </c>
      <c r="B340" s="17" t="s">
        <v>948</v>
      </c>
      <c r="C340" s="18" t="s">
        <v>230</v>
      </c>
      <c r="D340" s="17" t="s">
        <v>949</v>
      </c>
      <c r="E340" s="29" t="s">
        <v>365</v>
      </c>
      <c r="F340" s="20"/>
      <c r="G340" s="27" t="n">
        <v>799.2</v>
      </c>
      <c r="H340" s="20"/>
      <c r="I340" s="20"/>
      <c r="J340" s="20"/>
      <c r="K340" s="20"/>
      <c r="L340" s="27" t="n">
        <v>1206.12</v>
      </c>
      <c r="M340" s="20"/>
      <c r="N340" s="20"/>
      <c r="O340" s="20"/>
      <c r="P340" s="20"/>
      <c r="Q340" s="20"/>
      <c r="R340" s="21" t="n">
        <f aca="false">SUM(F340:Q340)</f>
        <v>2005.32</v>
      </c>
      <c r="S340" s="18"/>
      <c r="T340" s="28" t="n">
        <v>1</v>
      </c>
      <c r="U340" s="18"/>
      <c r="V340" s="18"/>
      <c r="W340" s="18"/>
      <c r="X340" s="18"/>
      <c r="Y340" s="28" t="n">
        <v>1</v>
      </c>
      <c r="Z340" s="18"/>
      <c r="AA340" s="18"/>
      <c r="AB340" s="18"/>
      <c r="AC340" s="18"/>
      <c r="AD340" s="18"/>
      <c r="AE340" s="22" t="n">
        <f aca="false">SUM(S340:AD340)</f>
        <v>2</v>
      </c>
      <c r="AF340" s="22"/>
      <c r="AG340" s="30" t="s">
        <v>49</v>
      </c>
      <c r="AH340" s="22"/>
      <c r="AI340" s="22"/>
      <c r="AJ340" s="22"/>
      <c r="AK340" s="22"/>
      <c r="AL340" s="30" t="s">
        <v>49</v>
      </c>
      <c r="AM340" s="22"/>
      <c r="AN340" s="22"/>
      <c r="AO340" s="22"/>
      <c r="AP340" s="22"/>
      <c r="AQ340" s="22"/>
      <c r="AR340" s="30" t="s">
        <v>49</v>
      </c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22" t="n">
        <f aca="false">SUM(AS340:BD340)</f>
        <v>0</v>
      </c>
      <c r="BF340" s="23"/>
      <c r="BG340" s="24"/>
      <c r="BH340" s="18"/>
      <c r="BI340" s="18"/>
      <c r="BJ340" s="18"/>
      <c r="BK340" s="25" t="n">
        <v>2</v>
      </c>
      <c r="BL340" s="18"/>
      <c r="BM340" s="18"/>
      <c r="BN340" s="18"/>
      <c r="BO340" s="25" t="n">
        <v>2</v>
      </c>
      <c r="BP340" s="18"/>
      <c r="BQ340" s="18"/>
      <c r="BR340" s="25" t="n">
        <v>3</v>
      </c>
      <c r="BS340" s="18"/>
      <c r="BT340" s="22" t="n">
        <f aca="false">SUM(BH340:BS340)</f>
        <v>7</v>
      </c>
      <c r="BU340" s="26" t="n">
        <v>46050.3826851852</v>
      </c>
      <c r="BV340" s="17"/>
      <c r="BW340" s="17" t="s">
        <v>44</v>
      </c>
      <c r="BX340" s="23" t="n">
        <f aca="false">IFERROR(R340/AE340,0)</f>
        <v>1002.66</v>
      </c>
      <c r="BY340" s="23" t="n">
        <f aca="false">IFERROR(R340/12,0)</f>
        <v>167.11</v>
      </c>
      <c r="BZ340" s="18" t="n">
        <v>166</v>
      </c>
      <c r="CA340" s="22" t="str">
        <f aca="false">IF(AE340=0,"PROSPECT",IF(AE340=1,"NOVO",IF(AE340&lt;=3,"EM DESENV.",IF(AE340&lt;=6,"RECORRENTE","FIDELIZADO"))))</f>
        <v>EM DESENV.</v>
      </c>
      <c r="CB340" s="22" t="n">
        <f aca="false">IF((P340+Q340)&gt;0,1,0)+IF((BR340+BS340)&gt;0,1,0)+IF(BE340&gt;0,1,0)</f>
        <v>1</v>
      </c>
    </row>
    <row r="341" customFormat="false" ht="15" hidden="false" customHeight="true" outlineLevel="0" collapsed="false">
      <c r="A341" s="16" t="s">
        <v>950</v>
      </c>
      <c r="B341" s="17" t="s">
        <v>951</v>
      </c>
      <c r="C341" s="18" t="s">
        <v>61</v>
      </c>
      <c r="D341" s="17" t="s">
        <v>952</v>
      </c>
      <c r="E341" s="29" t="s">
        <v>365</v>
      </c>
      <c r="F341" s="20"/>
      <c r="G341" s="20"/>
      <c r="H341" s="20"/>
      <c r="I341" s="20"/>
      <c r="J341" s="20"/>
      <c r="K341" s="27" t="n">
        <v>1263.69</v>
      </c>
      <c r="L341" s="20"/>
      <c r="M341" s="20"/>
      <c r="N341" s="20"/>
      <c r="O341" s="20"/>
      <c r="P341" s="20"/>
      <c r="Q341" s="20"/>
      <c r="R341" s="21" t="n">
        <f aca="false">SUM(F341:Q341)</f>
        <v>1263.69</v>
      </c>
      <c r="S341" s="18"/>
      <c r="T341" s="18"/>
      <c r="U341" s="18"/>
      <c r="V341" s="18"/>
      <c r="W341" s="18"/>
      <c r="X341" s="28" t="n">
        <v>1</v>
      </c>
      <c r="Y341" s="18"/>
      <c r="Z341" s="18"/>
      <c r="AA341" s="18"/>
      <c r="AB341" s="18"/>
      <c r="AC341" s="18"/>
      <c r="AD341" s="18"/>
      <c r="AE341" s="22" t="n">
        <f aca="false">SUM(S341:AD341)</f>
        <v>1</v>
      </c>
      <c r="AF341" s="22"/>
      <c r="AG341" s="22"/>
      <c r="AH341" s="22"/>
      <c r="AI341" s="22"/>
      <c r="AJ341" s="22"/>
      <c r="AK341" s="30" t="s">
        <v>49</v>
      </c>
      <c r="AL341" s="22"/>
      <c r="AM341" s="22"/>
      <c r="AN341" s="22"/>
      <c r="AO341" s="22"/>
      <c r="AP341" s="22"/>
      <c r="AQ341" s="22"/>
      <c r="AR341" s="30" t="s">
        <v>49</v>
      </c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25" t="n">
        <v>1</v>
      </c>
      <c r="BD341" s="25" t="n">
        <v>1</v>
      </c>
      <c r="BE341" s="22" t="n">
        <f aca="false">SUM(AS341:BD341)</f>
        <v>2</v>
      </c>
      <c r="BF341" s="23"/>
      <c r="BG341" s="31" t="s">
        <v>93</v>
      </c>
      <c r="BH341" s="18"/>
      <c r="BI341" s="18"/>
      <c r="BJ341" s="18"/>
      <c r="BK341" s="18"/>
      <c r="BL341" s="18"/>
      <c r="BM341" s="18"/>
      <c r="BN341" s="18"/>
      <c r="BO341" s="25" t="n">
        <v>1</v>
      </c>
      <c r="BP341" s="18"/>
      <c r="BQ341" s="18"/>
      <c r="BR341" s="25" t="n">
        <v>1</v>
      </c>
      <c r="BS341" s="25" t="n">
        <v>2</v>
      </c>
      <c r="BT341" s="22" t="n">
        <f aca="false">SUM(BH341:BS341)</f>
        <v>4</v>
      </c>
      <c r="BU341" s="26" t="n">
        <v>46056.3923611111</v>
      </c>
      <c r="BV341" s="17"/>
      <c r="BW341" s="17" t="s">
        <v>117</v>
      </c>
      <c r="BX341" s="23" t="n">
        <f aca="false">IFERROR(R341/AE341,0)</f>
        <v>1263.69</v>
      </c>
      <c r="BY341" s="23" t="n">
        <f aca="false">IFERROR(R341/12,0)</f>
        <v>105.3075</v>
      </c>
      <c r="BZ341" s="18" t="n">
        <v>0</v>
      </c>
      <c r="CA341" s="22" t="str">
        <f aca="false">IF(AE341=0,"PROSPECT",IF(AE341=1,"NOVO",IF(AE341&lt;=3,"EM DESENV.",IF(AE341&lt;=6,"RECORRENTE","FIDELIZADO"))))</f>
        <v>NOVO</v>
      </c>
      <c r="CB341" s="22" t="n">
        <f aca="false">IF((P341+Q341)&gt;0,1,0)+IF((BR341+BS341)&gt;0,1,0)+IF(BE341&gt;0,1,0)</f>
        <v>2</v>
      </c>
    </row>
    <row r="342" customFormat="false" ht="15" hidden="false" customHeight="true" outlineLevel="0" collapsed="false">
      <c r="A342" s="16" t="s">
        <v>953</v>
      </c>
      <c r="B342" s="17" t="s">
        <v>954</v>
      </c>
      <c r="C342" s="18" t="s">
        <v>53</v>
      </c>
      <c r="D342" s="17" t="s">
        <v>955</v>
      </c>
      <c r="E342" s="29" t="s">
        <v>365</v>
      </c>
      <c r="F342" s="20"/>
      <c r="G342" s="20"/>
      <c r="H342" s="20"/>
      <c r="I342" s="20"/>
      <c r="J342" s="27" t="n">
        <v>664.12</v>
      </c>
      <c r="K342" s="27" t="n">
        <v>898.7</v>
      </c>
      <c r="L342" s="20"/>
      <c r="M342" s="20"/>
      <c r="N342" s="27" t="n">
        <v>1449.87</v>
      </c>
      <c r="O342" s="20"/>
      <c r="P342" s="20"/>
      <c r="Q342" s="20"/>
      <c r="R342" s="21" t="n">
        <f aca="false">SUM(F342:Q342)</f>
        <v>3012.69</v>
      </c>
      <c r="S342" s="18"/>
      <c r="T342" s="18"/>
      <c r="U342" s="18"/>
      <c r="V342" s="18"/>
      <c r="W342" s="28" t="n">
        <v>1</v>
      </c>
      <c r="X342" s="28" t="n">
        <v>1</v>
      </c>
      <c r="Y342" s="18"/>
      <c r="Z342" s="18"/>
      <c r="AA342" s="28" t="n">
        <v>1</v>
      </c>
      <c r="AB342" s="18"/>
      <c r="AC342" s="18"/>
      <c r="AD342" s="18"/>
      <c r="AE342" s="22" t="n">
        <f aca="false">SUM(S342:AD342)</f>
        <v>3</v>
      </c>
      <c r="AF342" s="22"/>
      <c r="AG342" s="22"/>
      <c r="AH342" s="22"/>
      <c r="AI342" s="22"/>
      <c r="AJ342" s="29" t="s">
        <v>48</v>
      </c>
      <c r="AK342" s="30" t="s">
        <v>49</v>
      </c>
      <c r="AL342" s="22"/>
      <c r="AM342" s="22"/>
      <c r="AN342" s="19" t="s">
        <v>50</v>
      </c>
      <c r="AO342" s="22"/>
      <c r="AP342" s="22"/>
      <c r="AQ342" s="22"/>
      <c r="AR342" s="19" t="s">
        <v>50</v>
      </c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22" t="n">
        <f aca="false">SUM(AS342:BD342)</f>
        <v>0</v>
      </c>
      <c r="BF342" s="23"/>
      <c r="BG342" s="24"/>
      <c r="BH342" s="18"/>
      <c r="BI342" s="18"/>
      <c r="BJ342" s="25" t="n">
        <v>1</v>
      </c>
      <c r="BK342" s="18"/>
      <c r="BL342" s="18"/>
      <c r="BM342" s="18"/>
      <c r="BN342" s="18"/>
      <c r="BO342" s="18"/>
      <c r="BP342" s="18"/>
      <c r="BQ342" s="18"/>
      <c r="BR342" s="18"/>
      <c r="BS342" s="18"/>
      <c r="BT342" s="22" t="n">
        <f aca="false">SUM(BH342:BS342)</f>
        <v>1</v>
      </c>
      <c r="BU342" s="26" t="n">
        <v>45803.6201388889</v>
      </c>
      <c r="BV342" s="17" t="s">
        <v>173</v>
      </c>
      <c r="BW342" s="17" t="s">
        <v>44</v>
      </c>
      <c r="BX342" s="23" t="n">
        <f aca="false">IFERROR(R342/AE342,0)</f>
        <v>1004.23</v>
      </c>
      <c r="BY342" s="23" t="n">
        <f aca="false">IFERROR(R342/12,0)</f>
        <v>251.0575</v>
      </c>
      <c r="BZ342" s="18" t="n">
        <v>73</v>
      </c>
      <c r="CA342" s="22" t="str">
        <f aca="false">IF(AE342=0,"PROSPECT",IF(AE342=1,"NOVO",IF(AE342&lt;=3,"EM DESENV.",IF(AE342&lt;=6,"RECORRENTE","FIDELIZADO"))))</f>
        <v>EM DESENV.</v>
      </c>
      <c r="CB342" s="22" t="n">
        <f aca="false">IF((P342+Q342)&gt;0,1,0)+IF((BR342+BS342)&gt;0,1,0)+IF(BE342&gt;0,1,0)</f>
        <v>0</v>
      </c>
    </row>
    <row r="343" customFormat="false" ht="15" hidden="false" customHeight="true" outlineLevel="0" collapsed="false">
      <c r="A343" s="16" t="s">
        <v>956</v>
      </c>
      <c r="B343" s="17" t="s">
        <v>957</v>
      </c>
      <c r="C343" s="18" t="s">
        <v>72</v>
      </c>
      <c r="D343" s="17" t="s">
        <v>73</v>
      </c>
      <c r="E343" s="29" t="s">
        <v>365</v>
      </c>
      <c r="F343" s="27" t="n">
        <v>1205.36</v>
      </c>
      <c r="G343" s="20"/>
      <c r="H343" s="20"/>
      <c r="I343" s="20"/>
      <c r="J343" s="27" t="n">
        <v>859.97</v>
      </c>
      <c r="K343" s="20"/>
      <c r="L343" s="20"/>
      <c r="M343" s="20"/>
      <c r="N343" s="27" t="n">
        <v>790.39</v>
      </c>
      <c r="O343" s="20"/>
      <c r="P343" s="20"/>
      <c r="Q343" s="20"/>
      <c r="R343" s="21" t="n">
        <f aca="false">SUM(F343:Q343)</f>
        <v>2855.72</v>
      </c>
      <c r="S343" s="28" t="n">
        <v>1</v>
      </c>
      <c r="T343" s="18"/>
      <c r="U343" s="18"/>
      <c r="V343" s="18"/>
      <c r="W343" s="28" t="n">
        <v>1</v>
      </c>
      <c r="X343" s="18"/>
      <c r="Y343" s="18"/>
      <c r="Z343" s="18"/>
      <c r="AA343" s="28" t="n">
        <v>1</v>
      </c>
      <c r="AB343" s="18"/>
      <c r="AC343" s="18"/>
      <c r="AD343" s="18"/>
      <c r="AE343" s="22" t="n">
        <f aca="false">SUM(S343:AD343)</f>
        <v>3</v>
      </c>
      <c r="AF343" s="30" t="s">
        <v>49</v>
      </c>
      <c r="AG343" s="22"/>
      <c r="AH343" s="22"/>
      <c r="AI343" s="22"/>
      <c r="AJ343" s="30" t="s">
        <v>49</v>
      </c>
      <c r="AK343" s="22"/>
      <c r="AL343" s="22"/>
      <c r="AM343" s="22"/>
      <c r="AN343" s="30" t="s">
        <v>49</v>
      </c>
      <c r="AO343" s="22"/>
      <c r="AP343" s="22"/>
      <c r="AQ343" s="22"/>
      <c r="AR343" s="19" t="s">
        <v>50</v>
      </c>
      <c r="AS343" s="18"/>
      <c r="AT343" s="18"/>
      <c r="AU343" s="18"/>
      <c r="AV343" s="18"/>
      <c r="AW343" s="18"/>
      <c r="AX343" s="18"/>
      <c r="AY343" s="18"/>
      <c r="AZ343" s="18"/>
      <c r="BA343" s="25" t="n">
        <v>1</v>
      </c>
      <c r="BB343" s="18"/>
      <c r="BC343" s="18"/>
      <c r="BD343" s="18"/>
      <c r="BE343" s="22" t="n">
        <f aca="false">SUM(AS343:BD343)</f>
        <v>1</v>
      </c>
      <c r="BF343" s="23" t="n">
        <v>790.39</v>
      </c>
      <c r="BG343" s="19" t="s">
        <v>55</v>
      </c>
      <c r="BH343" s="18"/>
      <c r="BI343" s="18"/>
      <c r="BJ343" s="18"/>
      <c r="BK343" s="18"/>
      <c r="BL343" s="18"/>
      <c r="BM343" s="18"/>
      <c r="BN343" s="18"/>
      <c r="BO343" s="18"/>
      <c r="BP343" s="25" t="n">
        <v>1</v>
      </c>
      <c r="BQ343" s="18"/>
      <c r="BR343" s="18"/>
      <c r="BS343" s="25" t="n">
        <v>2</v>
      </c>
      <c r="BT343" s="22" t="n">
        <f aca="false">SUM(BH343:BS343)</f>
        <v>3</v>
      </c>
      <c r="BU343" s="26" t="n">
        <v>46057.4520833333</v>
      </c>
      <c r="BV343" s="17"/>
      <c r="BW343" s="17" t="s">
        <v>44</v>
      </c>
      <c r="BX343" s="23" t="n">
        <f aca="false">IFERROR(R343/AE343,0)</f>
        <v>951.906666666667</v>
      </c>
      <c r="BY343" s="23" t="n">
        <f aca="false">IFERROR(R343/12,0)</f>
        <v>237.976666666667</v>
      </c>
      <c r="BZ343" s="18" t="n">
        <v>123</v>
      </c>
      <c r="CA343" s="22" t="str">
        <f aca="false">IF(AE343=0,"PROSPECT",IF(AE343=1,"NOVO",IF(AE343&lt;=3,"EM DESENV.",IF(AE343&lt;=6,"RECORRENTE","FIDELIZADO"))))</f>
        <v>EM DESENV.</v>
      </c>
      <c r="CB343" s="22" t="n">
        <f aca="false">IF((P343+Q343)&gt;0,1,0)+IF((BR343+BS343)&gt;0,1,0)+IF(BE343&gt;0,1,0)</f>
        <v>2</v>
      </c>
    </row>
    <row r="344" customFormat="false" ht="15" hidden="false" customHeight="true" outlineLevel="0" collapsed="false">
      <c r="A344" s="16" t="s">
        <v>958</v>
      </c>
      <c r="B344" s="17" t="s">
        <v>959</v>
      </c>
      <c r="C344" s="18" t="s">
        <v>41</v>
      </c>
      <c r="D344" s="17" t="s">
        <v>42</v>
      </c>
      <c r="E344" s="29" t="s">
        <v>365</v>
      </c>
      <c r="F344" s="20"/>
      <c r="G344" s="20"/>
      <c r="H344" s="20"/>
      <c r="I344" s="20"/>
      <c r="J344" s="20"/>
      <c r="K344" s="20"/>
      <c r="L344" s="20"/>
      <c r="M344" s="27" t="n">
        <v>2870.87</v>
      </c>
      <c r="N344" s="27" t="n">
        <v>421.07</v>
      </c>
      <c r="O344" s="27" t="n">
        <v>758.09</v>
      </c>
      <c r="P344" s="20"/>
      <c r="Q344" s="20"/>
      <c r="R344" s="21" t="n">
        <f aca="false">SUM(F344:Q344)</f>
        <v>4050.03</v>
      </c>
      <c r="S344" s="18"/>
      <c r="T344" s="18"/>
      <c r="U344" s="18"/>
      <c r="V344" s="18"/>
      <c r="W344" s="18"/>
      <c r="X344" s="18"/>
      <c r="Y344" s="18"/>
      <c r="Z344" s="28" t="n">
        <v>1</v>
      </c>
      <c r="AA344" s="28" t="n">
        <v>1</v>
      </c>
      <c r="AB344" s="28" t="n">
        <v>1</v>
      </c>
      <c r="AC344" s="18"/>
      <c r="AD344" s="18"/>
      <c r="AE344" s="22" t="n">
        <f aca="false">SUM(S344:AD344)</f>
        <v>3</v>
      </c>
      <c r="AF344" s="22"/>
      <c r="AG344" s="22"/>
      <c r="AH344" s="22"/>
      <c r="AI344" s="22"/>
      <c r="AJ344" s="22"/>
      <c r="AK344" s="22"/>
      <c r="AL344" s="22"/>
      <c r="AM344" s="19" t="s">
        <v>50</v>
      </c>
      <c r="AN344" s="30" t="s">
        <v>49</v>
      </c>
      <c r="AO344" s="30" t="s">
        <v>49</v>
      </c>
      <c r="AP344" s="22"/>
      <c r="AQ344" s="22"/>
      <c r="AR344" s="19" t="s">
        <v>50</v>
      </c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22" t="n">
        <f aca="false">SUM(AS344:BD344)</f>
        <v>0</v>
      </c>
      <c r="BF344" s="23"/>
      <c r="BG344" s="24"/>
      <c r="BH344" s="18"/>
      <c r="BI344" s="18"/>
      <c r="BJ344" s="18"/>
      <c r="BK344" s="18"/>
      <c r="BL344" s="18"/>
      <c r="BM344" s="18"/>
      <c r="BN344" s="18"/>
      <c r="BO344" s="25" t="n">
        <v>2</v>
      </c>
      <c r="BP344" s="18"/>
      <c r="BQ344" s="18"/>
      <c r="BR344" s="18"/>
      <c r="BS344" s="25" t="n">
        <v>2</v>
      </c>
      <c r="BT344" s="22" t="n">
        <f aca="false">SUM(BH344:BS344)</f>
        <v>4</v>
      </c>
      <c r="BU344" s="26" t="n">
        <v>46057.3861111111</v>
      </c>
      <c r="BV344" s="17"/>
      <c r="BW344" s="17" t="s">
        <v>44</v>
      </c>
      <c r="BX344" s="23" t="n">
        <f aca="false">IFERROR(R344/AE344,0)</f>
        <v>1350.01</v>
      </c>
      <c r="BY344" s="23" t="n">
        <f aca="false">IFERROR(R344/12,0)</f>
        <v>337.5025</v>
      </c>
      <c r="BZ344" s="18" t="n">
        <v>20.5</v>
      </c>
      <c r="CA344" s="22" t="str">
        <f aca="false">IF(AE344=0,"PROSPECT",IF(AE344=1,"NOVO",IF(AE344&lt;=3,"EM DESENV.",IF(AE344&lt;=6,"RECORRENTE","FIDELIZADO"))))</f>
        <v>EM DESENV.</v>
      </c>
      <c r="CB344" s="22" t="n">
        <f aca="false">IF((P344+Q344)&gt;0,1,0)+IF((BR344+BS344)&gt;0,1,0)+IF(BE344&gt;0,1,0)</f>
        <v>1</v>
      </c>
    </row>
    <row r="345" customFormat="false" ht="15" hidden="false" customHeight="true" outlineLevel="0" collapsed="false">
      <c r="A345" s="16" t="s">
        <v>960</v>
      </c>
      <c r="B345" s="17" t="s">
        <v>961</v>
      </c>
      <c r="C345" s="18" t="s">
        <v>41</v>
      </c>
      <c r="D345" s="17" t="s">
        <v>525</v>
      </c>
      <c r="E345" s="29" t="s">
        <v>365</v>
      </c>
      <c r="F345" s="20"/>
      <c r="G345" s="20"/>
      <c r="H345" s="20"/>
      <c r="I345" s="20"/>
      <c r="J345" s="20"/>
      <c r="K345" s="20"/>
      <c r="L345" s="27" t="n">
        <v>985.5</v>
      </c>
      <c r="M345" s="20"/>
      <c r="N345" s="20"/>
      <c r="O345" s="20"/>
      <c r="P345" s="20"/>
      <c r="Q345" s="20"/>
      <c r="R345" s="21" t="n">
        <f aca="false">SUM(F345:Q345)</f>
        <v>985.5</v>
      </c>
      <c r="S345" s="18"/>
      <c r="T345" s="18"/>
      <c r="U345" s="18"/>
      <c r="V345" s="18"/>
      <c r="W345" s="18"/>
      <c r="X345" s="18"/>
      <c r="Y345" s="28" t="n">
        <v>1</v>
      </c>
      <c r="Z345" s="18"/>
      <c r="AA345" s="18"/>
      <c r="AB345" s="18"/>
      <c r="AC345" s="18"/>
      <c r="AD345" s="18"/>
      <c r="AE345" s="22" t="n">
        <f aca="false">SUM(S345:AD345)</f>
        <v>1</v>
      </c>
      <c r="AF345" s="22"/>
      <c r="AG345" s="22"/>
      <c r="AH345" s="22"/>
      <c r="AI345" s="22"/>
      <c r="AJ345" s="22"/>
      <c r="AK345" s="22"/>
      <c r="AL345" s="30" t="s">
        <v>49</v>
      </c>
      <c r="AM345" s="22"/>
      <c r="AN345" s="22"/>
      <c r="AO345" s="22"/>
      <c r="AP345" s="22"/>
      <c r="AQ345" s="22"/>
      <c r="AR345" s="29" t="s">
        <v>48</v>
      </c>
      <c r="AS345" s="18"/>
      <c r="AT345" s="18"/>
      <c r="AU345" s="18"/>
      <c r="AV345" s="18"/>
      <c r="AW345" s="25" t="n">
        <v>3</v>
      </c>
      <c r="AX345" s="18"/>
      <c r="AY345" s="25" t="n">
        <v>4</v>
      </c>
      <c r="AZ345" s="18"/>
      <c r="BA345" s="18"/>
      <c r="BB345" s="18"/>
      <c r="BC345" s="18"/>
      <c r="BD345" s="18"/>
      <c r="BE345" s="22" t="n">
        <f aca="false">SUM(AS345:BD345)</f>
        <v>7</v>
      </c>
      <c r="BF345" s="23" t="n">
        <v>985.5</v>
      </c>
      <c r="BG345" s="19" t="s">
        <v>55</v>
      </c>
      <c r="BH345" s="18"/>
      <c r="BI345" s="18"/>
      <c r="BJ345" s="25" t="n">
        <v>2</v>
      </c>
      <c r="BK345" s="18"/>
      <c r="BL345" s="25" t="n">
        <v>1</v>
      </c>
      <c r="BM345" s="18"/>
      <c r="BN345" s="18"/>
      <c r="BO345" s="18"/>
      <c r="BP345" s="25" t="n">
        <v>1</v>
      </c>
      <c r="BQ345" s="25" t="n">
        <v>1</v>
      </c>
      <c r="BR345" s="25" t="n">
        <v>1</v>
      </c>
      <c r="BS345" s="25" t="n">
        <v>1</v>
      </c>
      <c r="BT345" s="22" t="n">
        <f aca="false">SUM(BH345:BS345)</f>
        <v>7</v>
      </c>
      <c r="BU345" s="26" t="n">
        <v>46059.4897453704</v>
      </c>
      <c r="BV345" s="17"/>
      <c r="BW345" s="17" t="s">
        <v>44</v>
      </c>
      <c r="BX345" s="23" t="n">
        <f aca="false">IFERROR(R345/AE345,0)</f>
        <v>985.5</v>
      </c>
      <c r="BY345" s="23" t="n">
        <f aca="false">IFERROR(R345/12,0)</f>
        <v>82.125</v>
      </c>
      <c r="BZ345" s="18" t="n">
        <v>0</v>
      </c>
      <c r="CA345" s="22" t="str">
        <f aca="false">IF(AE345=0,"PROSPECT",IF(AE345=1,"NOVO",IF(AE345&lt;=3,"EM DESENV.",IF(AE345&lt;=6,"RECORRENTE","FIDELIZADO"))))</f>
        <v>NOVO</v>
      </c>
      <c r="CB345" s="22" t="n">
        <f aca="false">IF((P345+Q345)&gt;0,1,0)+IF((BR345+BS345)&gt;0,1,0)+IF(BE345&gt;0,1,0)</f>
        <v>2</v>
      </c>
    </row>
    <row r="346" customFormat="false" ht="15" hidden="false" customHeight="true" outlineLevel="0" collapsed="false">
      <c r="A346" s="16" t="s">
        <v>962</v>
      </c>
      <c r="B346" s="17" t="s">
        <v>963</v>
      </c>
      <c r="C346" s="18" t="s">
        <v>61</v>
      </c>
      <c r="D346" s="17" t="s">
        <v>964</v>
      </c>
      <c r="E346" s="29" t="s">
        <v>365</v>
      </c>
      <c r="F346" s="20"/>
      <c r="G346" s="20"/>
      <c r="H346" s="20"/>
      <c r="I346" s="27" t="n">
        <v>1218.44</v>
      </c>
      <c r="J346" s="20"/>
      <c r="K346" s="20"/>
      <c r="L346" s="20"/>
      <c r="M346" s="20"/>
      <c r="N346" s="20"/>
      <c r="O346" s="20"/>
      <c r="P346" s="20"/>
      <c r="Q346" s="20"/>
      <c r="R346" s="21" t="n">
        <f aca="false">SUM(F346:Q346)</f>
        <v>1218.44</v>
      </c>
      <c r="S346" s="18"/>
      <c r="T346" s="18"/>
      <c r="U346" s="18"/>
      <c r="V346" s="28" t="n">
        <v>1</v>
      </c>
      <c r="W346" s="18"/>
      <c r="X346" s="18"/>
      <c r="Y346" s="18"/>
      <c r="Z346" s="18"/>
      <c r="AA346" s="18"/>
      <c r="AB346" s="18"/>
      <c r="AC346" s="18"/>
      <c r="AD346" s="18"/>
      <c r="AE346" s="22" t="n">
        <f aca="false">SUM(S346:AD346)</f>
        <v>1</v>
      </c>
      <c r="AF346" s="22"/>
      <c r="AG346" s="22"/>
      <c r="AH346" s="22"/>
      <c r="AI346" s="30" t="s">
        <v>49</v>
      </c>
      <c r="AJ346" s="22"/>
      <c r="AK346" s="22"/>
      <c r="AL346" s="22"/>
      <c r="AM346" s="22"/>
      <c r="AN346" s="22"/>
      <c r="AO346" s="22"/>
      <c r="AP346" s="22"/>
      <c r="AQ346" s="22"/>
      <c r="AR346" s="30" t="s">
        <v>49</v>
      </c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22" t="n">
        <f aca="false">SUM(AS346:BD346)</f>
        <v>0</v>
      </c>
      <c r="BF346" s="23"/>
      <c r="BG346" s="24"/>
      <c r="BH346" s="25" t="n">
        <v>2</v>
      </c>
      <c r="BI346" s="18"/>
      <c r="BJ346" s="25" t="n">
        <v>2</v>
      </c>
      <c r="BK346" s="18"/>
      <c r="BL346" s="18"/>
      <c r="BM346" s="18"/>
      <c r="BN346" s="18"/>
      <c r="BO346" s="18"/>
      <c r="BP346" s="18"/>
      <c r="BQ346" s="18"/>
      <c r="BR346" s="18"/>
      <c r="BS346" s="18"/>
      <c r="BT346" s="22" t="n">
        <f aca="false">SUM(BH346:BS346)</f>
        <v>4</v>
      </c>
      <c r="BU346" s="26" t="n">
        <v>45791.7488888889</v>
      </c>
      <c r="BV346" s="17"/>
      <c r="BW346" s="17" t="s">
        <v>44</v>
      </c>
      <c r="BX346" s="23" t="n">
        <f aca="false">IFERROR(R346/AE346,0)</f>
        <v>1218.44</v>
      </c>
      <c r="BY346" s="23" t="n">
        <f aca="false">IFERROR(R346/12,0)</f>
        <v>101.536666666667</v>
      </c>
      <c r="BZ346" s="18" t="n">
        <v>0</v>
      </c>
      <c r="CA346" s="22" t="str">
        <f aca="false">IF(AE346=0,"PROSPECT",IF(AE346=1,"NOVO",IF(AE346&lt;=3,"EM DESENV.",IF(AE346&lt;=6,"RECORRENTE","FIDELIZADO"))))</f>
        <v>NOVO</v>
      </c>
      <c r="CB346" s="22" t="n">
        <f aca="false">IF((P346+Q346)&gt;0,1,0)+IF((BR346+BS346)&gt;0,1,0)+IF(BE346&gt;0,1,0)</f>
        <v>0</v>
      </c>
    </row>
    <row r="347" customFormat="false" ht="15" hidden="false" customHeight="true" outlineLevel="0" collapsed="false">
      <c r="A347" s="16" t="s">
        <v>965</v>
      </c>
      <c r="B347" s="17" t="s">
        <v>966</v>
      </c>
      <c r="C347" s="18" t="s">
        <v>61</v>
      </c>
      <c r="D347" s="17" t="s">
        <v>612</v>
      </c>
      <c r="E347" s="29" t="s">
        <v>365</v>
      </c>
      <c r="F347" s="20"/>
      <c r="G347" s="20"/>
      <c r="H347" s="20"/>
      <c r="I347" s="27" t="n">
        <v>2432.34</v>
      </c>
      <c r="J347" s="20"/>
      <c r="K347" s="20"/>
      <c r="L347" s="27" t="n">
        <v>1076.41</v>
      </c>
      <c r="M347" s="27" t="n">
        <v>1076.41</v>
      </c>
      <c r="N347" s="20"/>
      <c r="O347" s="20"/>
      <c r="P347" s="20"/>
      <c r="Q347" s="20"/>
      <c r="R347" s="21" t="n">
        <f aca="false">SUM(F347:Q347)</f>
        <v>4585.16</v>
      </c>
      <c r="S347" s="18"/>
      <c r="T347" s="18"/>
      <c r="U347" s="18"/>
      <c r="V347" s="28" t="n">
        <v>1</v>
      </c>
      <c r="W347" s="18"/>
      <c r="X347" s="18"/>
      <c r="Y347" s="28" t="n">
        <v>1</v>
      </c>
      <c r="Z347" s="28" t="n">
        <v>1</v>
      </c>
      <c r="AA347" s="18"/>
      <c r="AB347" s="18"/>
      <c r="AC347" s="18"/>
      <c r="AD347" s="18"/>
      <c r="AE347" s="22" t="n">
        <f aca="false">SUM(S347:AD347)</f>
        <v>3</v>
      </c>
      <c r="AF347" s="22"/>
      <c r="AG347" s="22"/>
      <c r="AH347" s="22"/>
      <c r="AI347" s="30" t="s">
        <v>49</v>
      </c>
      <c r="AJ347" s="22"/>
      <c r="AK347" s="22"/>
      <c r="AL347" s="30" t="s">
        <v>49</v>
      </c>
      <c r="AM347" s="30" t="s">
        <v>49</v>
      </c>
      <c r="AN347" s="22"/>
      <c r="AO347" s="22"/>
      <c r="AP347" s="22"/>
      <c r="AQ347" s="22"/>
      <c r="AR347" s="30" t="s">
        <v>49</v>
      </c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22" t="n">
        <f aca="false">SUM(AS347:BD347)</f>
        <v>0</v>
      </c>
      <c r="BF347" s="23"/>
      <c r="BG347" s="24"/>
      <c r="BH347" s="25" t="n">
        <v>1</v>
      </c>
      <c r="BI347" s="25" t="n">
        <v>1</v>
      </c>
      <c r="BJ347" s="18"/>
      <c r="BK347" s="18"/>
      <c r="BL347" s="25" t="n">
        <v>3</v>
      </c>
      <c r="BM347" s="25" t="n">
        <v>1</v>
      </c>
      <c r="BN347" s="18"/>
      <c r="BO347" s="18"/>
      <c r="BP347" s="18"/>
      <c r="BQ347" s="25" t="n">
        <v>1</v>
      </c>
      <c r="BR347" s="25" t="n">
        <v>2</v>
      </c>
      <c r="BS347" s="18"/>
      <c r="BT347" s="22" t="n">
        <f aca="false">SUM(BH347:BS347)</f>
        <v>9</v>
      </c>
      <c r="BU347" s="26" t="n">
        <v>46050.6809722222</v>
      </c>
      <c r="BV347" s="17"/>
      <c r="BW347" s="17" t="s">
        <v>44</v>
      </c>
      <c r="BX347" s="23" t="n">
        <f aca="false">IFERROR(R347/AE347,0)</f>
        <v>1528.38666666667</v>
      </c>
      <c r="BY347" s="23" t="n">
        <f aca="false">IFERROR(R347/12,0)</f>
        <v>382.096666666667</v>
      </c>
      <c r="BZ347" s="18" t="n">
        <v>97</v>
      </c>
      <c r="CA347" s="22" t="str">
        <f aca="false">IF(AE347=0,"PROSPECT",IF(AE347=1,"NOVO",IF(AE347&lt;=3,"EM DESENV.",IF(AE347&lt;=6,"RECORRENTE","FIDELIZADO"))))</f>
        <v>EM DESENV.</v>
      </c>
      <c r="CB347" s="22" t="n">
        <f aca="false">IF((P347+Q347)&gt;0,1,0)+IF((BR347+BS347)&gt;0,1,0)+IF(BE347&gt;0,1,0)</f>
        <v>1</v>
      </c>
    </row>
    <row r="348" customFormat="false" ht="15" hidden="false" customHeight="true" outlineLevel="0" collapsed="false">
      <c r="A348" s="16" t="s">
        <v>967</v>
      </c>
      <c r="B348" s="17" t="s">
        <v>966</v>
      </c>
      <c r="C348" s="18" t="s">
        <v>61</v>
      </c>
      <c r="D348" s="17" t="s">
        <v>612</v>
      </c>
      <c r="E348" s="29" t="s">
        <v>365</v>
      </c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1" t="n">
        <f aca="false">SUM(F348:Q348)</f>
        <v>0</v>
      </c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22" t="n">
        <f aca="false">SUM(S348:AD348)</f>
        <v>0</v>
      </c>
      <c r="AF348" s="22"/>
      <c r="AG348" s="22"/>
      <c r="AH348" s="22"/>
      <c r="AI348" s="30" t="s">
        <v>49</v>
      </c>
      <c r="AJ348" s="22"/>
      <c r="AK348" s="22"/>
      <c r="AL348" s="22"/>
      <c r="AM348" s="22"/>
      <c r="AN348" s="22"/>
      <c r="AO348" s="22"/>
      <c r="AP348" s="22"/>
      <c r="AQ348" s="22"/>
      <c r="AR348" s="30" t="s">
        <v>49</v>
      </c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22" t="n">
        <f aca="false">SUM(AS348:BD348)</f>
        <v>0</v>
      </c>
      <c r="BF348" s="23"/>
      <c r="BG348" s="24"/>
      <c r="BH348" s="25" t="n">
        <v>1</v>
      </c>
      <c r="BI348" s="18"/>
      <c r="BJ348" s="18"/>
      <c r="BK348" s="18"/>
      <c r="BL348" s="25" t="n">
        <v>3</v>
      </c>
      <c r="BM348" s="25" t="n">
        <v>1</v>
      </c>
      <c r="BN348" s="18"/>
      <c r="BO348" s="18"/>
      <c r="BP348" s="18"/>
      <c r="BQ348" s="18"/>
      <c r="BR348" s="18"/>
      <c r="BS348" s="18"/>
      <c r="BT348" s="22" t="n">
        <f aca="false">SUM(BH348:BS348)</f>
        <v>5</v>
      </c>
      <c r="BU348" s="26" t="n">
        <v>45894.6861111111</v>
      </c>
      <c r="BV348" s="17" t="s">
        <v>124</v>
      </c>
      <c r="BW348" s="17" t="s">
        <v>44</v>
      </c>
      <c r="BX348" s="23" t="n">
        <f aca="false">IFERROR(R348/AE348,0)</f>
        <v>0</v>
      </c>
      <c r="BY348" s="23" t="n">
        <f aca="false">IFERROR(R348/12,0)</f>
        <v>0</v>
      </c>
      <c r="BZ348" s="18" t="n">
        <v>0</v>
      </c>
      <c r="CA348" s="22" t="str">
        <f aca="false">IF(AE348=0,"PROSPECT",IF(AE348=1,"NOVO",IF(AE348&lt;=3,"EM DESENV.",IF(AE348&lt;=6,"RECORRENTE","FIDELIZADO"))))</f>
        <v>PROSPECT</v>
      </c>
      <c r="CB348" s="22" t="n">
        <f aca="false">IF((P348+Q348)&gt;0,1,0)+IF((BR348+BS348)&gt;0,1,0)+IF(BE348&gt;0,1,0)</f>
        <v>0</v>
      </c>
    </row>
    <row r="349" customFormat="false" ht="15" hidden="false" customHeight="true" outlineLevel="0" collapsed="false">
      <c r="A349" s="16" t="s">
        <v>968</v>
      </c>
      <c r="B349" s="17" t="s">
        <v>969</v>
      </c>
      <c r="C349" s="18" t="s">
        <v>155</v>
      </c>
      <c r="D349" s="17" t="s">
        <v>937</v>
      </c>
      <c r="E349" s="29" t="s">
        <v>365</v>
      </c>
      <c r="F349" s="20"/>
      <c r="G349" s="20"/>
      <c r="H349" s="20"/>
      <c r="I349" s="27" t="n">
        <v>3300</v>
      </c>
      <c r="J349" s="20"/>
      <c r="K349" s="20"/>
      <c r="L349" s="20"/>
      <c r="M349" s="20"/>
      <c r="N349" s="20"/>
      <c r="O349" s="20"/>
      <c r="P349" s="20"/>
      <c r="Q349" s="20"/>
      <c r="R349" s="21" t="n">
        <f aca="false">SUM(F349:Q349)</f>
        <v>3300</v>
      </c>
      <c r="S349" s="18"/>
      <c r="T349" s="18"/>
      <c r="U349" s="18"/>
      <c r="V349" s="28" t="n">
        <v>1</v>
      </c>
      <c r="W349" s="18"/>
      <c r="X349" s="18"/>
      <c r="Y349" s="18"/>
      <c r="Z349" s="18"/>
      <c r="AA349" s="18"/>
      <c r="AB349" s="18"/>
      <c r="AC349" s="18"/>
      <c r="AD349" s="18"/>
      <c r="AE349" s="22" t="n">
        <f aca="false">SUM(S349:AD349)</f>
        <v>1</v>
      </c>
      <c r="AF349" s="22"/>
      <c r="AG349" s="22"/>
      <c r="AH349" s="22"/>
      <c r="AI349" s="19" t="s">
        <v>50</v>
      </c>
      <c r="AJ349" s="22"/>
      <c r="AK349" s="22"/>
      <c r="AL349" s="22"/>
      <c r="AM349" s="22"/>
      <c r="AN349" s="22"/>
      <c r="AO349" s="22"/>
      <c r="AP349" s="22"/>
      <c r="AQ349" s="22"/>
      <c r="AR349" s="19" t="s">
        <v>50</v>
      </c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22" t="n">
        <f aca="false">SUM(AS349:BD349)</f>
        <v>0</v>
      </c>
      <c r="BF349" s="23"/>
      <c r="BG349" s="24"/>
      <c r="BH349" s="18"/>
      <c r="BI349" s="18"/>
      <c r="BJ349" s="18"/>
      <c r="BK349" s="18"/>
      <c r="BL349" s="25" t="n">
        <v>2</v>
      </c>
      <c r="BM349" s="18"/>
      <c r="BN349" s="25" t="n">
        <v>1</v>
      </c>
      <c r="BO349" s="25" t="n">
        <v>2</v>
      </c>
      <c r="BP349" s="18"/>
      <c r="BQ349" s="25" t="n">
        <v>1</v>
      </c>
      <c r="BR349" s="25" t="n">
        <v>2</v>
      </c>
      <c r="BS349" s="18"/>
      <c r="BT349" s="22" t="n">
        <f aca="false">SUM(BH349:BS349)</f>
        <v>8</v>
      </c>
      <c r="BU349" s="26" t="n">
        <v>46036.6777777778</v>
      </c>
      <c r="BV349" s="17" t="s">
        <v>378</v>
      </c>
      <c r="BW349" s="17" t="s">
        <v>44</v>
      </c>
      <c r="BX349" s="23" t="n">
        <f aca="false">IFERROR(R349/AE349,0)</f>
        <v>3300</v>
      </c>
      <c r="BY349" s="23" t="n">
        <f aca="false">IFERROR(R349/12,0)</f>
        <v>275</v>
      </c>
      <c r="BZ349" s="18" t="n">
        <v>0</v>
      </c>
      <c r="CA349" s="22" t="str">
        <f aca="false">IF(AE349=0,"PROSPECT",IF(AE349=1,"NOVO",IF(AE349&lt;=3,"EM DESENV.",IF(AE349&lt;=6,"RECORRENTE","FIDELIZADO"))))</f>
        <v>NOVO</v>
      </c>
      <c r="CB349" s="22" t="n">
        <f aca="false">IF((P349+Q349)&gt;0,1,0)+IF((BR349+BS349)&gt;0,1,0)+IF(BE349&gt;0,1,0)</f>
        <v>1</v>
      </c>
    </row>
    <row r="350" customFormat="false" ht="15" hidden="false" customHeight="true" outlineLevel="0" collapsed="false">
      <c r="A350" s="16" t="s">
        <v>970</v>
      </c>
      <c r="B350" s="17" t="s">
        <v>971</v>
      </c>
      <c r="C350" s="18" t="s">
        <v>168</v>
      </c>
      <c r="D350" s="17" t="s">
        <v>972</v>
      </c>
      <c r="E350" s="29" t="s">
        <v>365</v>
      </c>
      <c r="F350" s="20"/>
      <c r="G350" s="20"/>
      <c r="H350" s="20"/>
      <c r="I350" s="20"/>
      <c r="J350" s="20"/>
      <c r="K350" s="27" t="n">
        <v>1745.52</v>
      </c>
      <c r="L350" s="20"/>
      <c r="M350" s="20"/>
      <c r="N350" s="20"/>
      <c r="O350" s="20"/>
      <c r="P350" s="20"/>
      <c r="Q350" s="20"/>
      <c r="R350" s="21" t="n">
        <f aca="false">SUM(F350:Q350)</f>
        <v>1745.52</v>
      </c>
      <c r="S350" s="18"/>
      <c r="T350" s="18"/>
      <c r="U350" s="18"/>
      <c r="V350" s="18"/>
      <c r="W350" s="18"/>
      <c r="X350" s="28" t="n">
        <v>1</v>
      </c>
      <c r="Y350" s="18"/>
      <c r="Z350" s="18"/>
      <c r="AA350" s="18"/>
      <c r="AB350" s="18"/>
      <c r="AC350" s="18"/>
      <c r="AD350" s="18"/>
      <c r="AE350" s="22" t="n">
        <f aca="false">SUM(S350:AD350)</f>
        <v>1</v>
      </c>
      <c r="AF350" s="22"/>
      <c r="AG350" s="22"/>
      <c r="AH350" s="22"/>
      <c r="AI350" s="22"/>
      <c r="AJ350" s="22"/>
      <c r="AK350" s="19" t="s">
        <v>50</v>
      </c>
      <c r="AL350" s="22"/>
      <c r="AM350" s="22"/>
      <c r="AN350" s="22"/>
      <c r="AO350" s="22"/>
      <c r="AP350" s="22"/>
      <c r="AQ350" s="22"/>
      <c r="AR350" s="30" t="s">
        <v>49</v>
      </c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22" t="n">
        <f aca="false">SUM(AS350:BD350)</f>
        <v>0</v>
      </c>
      <c r="BF350" s="23"/>
      <c r="BG350" s="24"/>
      <c r="BH350" s="18"/>
      <c r="BI350" s="18"/>
      <c r="BJ350" s="18"/>
      <c r="BK350" s="18"/>
      <c r="BL350" s="18"/>
      <c r="BM350" s="25" t="n">
        <v>1</v>
      </c>
      <c r="BN350" s="18"/>
      <c r="BO350" s="25" t="n">
        <v>3</v>
      </c>
      <c r="BP350" s="18"/>
      <c r="BQ350" s="18"/>
      <c r="BR350" s="25" t="n">
        <v>3</v>
      </c>
      <c r="BS350" s="18"/>
      <c r="BT350" s="22" t="n">
        <f aca="false">SUM(BH350:BS350)</f>
        <v>7</v>
      </c>
      <c r="BU350" s="26" t="n">
        <v>46045.4576388889</v>
      </c>
      <c r="BV350" s="17" t="s">
        <v>107</v>
      </c>
      <c r="BW350" s="17" t="s">
        <v>111</v>
      </c>
      <c r="BX350" s="23" t="n">
        <f aca="false">IFERROR(R350/AE350,0)</f>
        <v>1745.52</v>
      </c>
      <c r="BY350" s="23" t="n">
        <f aca="false">IFERROR(R350/12,0)</f>
        <v>145.46</v>
      </c>
      <c r="BZ350" s="18" t="n">
        <v>0</v>
      </c>
      <c r="CA350" s="22" t="str">
        <f aca="false">IF(AE350=0,"PROSPECT",IF(AE350=1,"NOVO",IF(AE350&lt;=3,"EM DESENV.",IF(AE350&lt;=6,"RECORRENTE","FIDELIZADO"))))</f>
        <v>NOVO</v>
      </c>
      <c r="CB350" s="22" t="n">
        <f aca="false">IF((P350+Q350)&gt;0,1,0)+IF((BR350+BS350)&gt;0,1,0)+IF(BE350&gt;0,1,0)</f>
        <v>1</v>
      </c>
    </row>
    <row r="351" customFormat="false" ht="15" hidden="false" customHeight="true" outlineLevel="0" collapsed="false">
      <c r="A351" s="16" t="s">
        <v>973</v>
      </c>
      <c r="B351" s="17" t="s">
        <v>974</v>
      </c>
      <c r="C351" s="18" t="s">
        <v>168</v>
      </c>
      <c r="D351" s="17" t="s">
        <v>975</v>
      </c>
      <c r="E351" s="29" t="s">
        <v>365</v>
      </c>
      <c r="F351" s="20"/>
      <c r="G351" s="20"/>
      <c r="H351" s="20"/>
      <c r="I351" s="27" t="n">
        <v>1470.17</v>
      </c>
      <c r="J351" s="20"/>
      <c r="K351" s="27" t="n">
        <v>1556.38</v>
      </c>
      <c r="L351" s="20"/>
      <c r="M351" s="20"/>
      <c r="N351" s="20"/>
      <c r="O351" s="20"/>
      <c r="P351" s="20"/>
      <c r="Q351" s="20"/>
      <c r="R351" s="21" t="n">
        <f aca="false">SUM(F351:Q351)</f>
        <v>3026.55</v>
      </c>
      <c r="S351" s="18"/>
      <c r="T351" s="18"/>
      <c r="U351" s="18"/>
      <c r="V351" s="28" t="n">
        <v>1</v>
      </c>
      <c r="W351" s="18"/>
      <c r="X351" s="28" t="n">
        <v>1</v>
      </c>
      <c r="Y351" s="18"/>
      <c r="Z351" s="18"/>
      <c r="AA351" s="18"/>
      <c r="AB351" s="18"/>
      <c r="AC351" s="18"/>
      <c r="AD351" s="18"/>
      <c r="AE351" s="22" t="n">
        <f aca="false">SUM(S351:AD351)</f>
        <v>2</v>
      </c>
      <c r="AF351" s="22"/>
      <c r="AG351" s="22"/>
      <c r="AH351" s="22"/>
      <c r="AI351" s="19" t="s">
        <v>50</v>
      </c>
      <c r="AJ351" s="22"/>
      <c r="AK351" s="19" t="s">
        <v>50</v>
      </c>
      <c r="AL351" s="22"/>
      <c r="AM351" s="22"/>
      <c r="AN351" s="22"/>
      <c r="AO351" s="22"/>
      <c r="AP351" s="22"/>
      <c r="AQ351" s="22"/>
      <c r="AR351" s="19" t="s">
        <v>50</v>
      </c>
      <c r="AS351" s="18"/>
      <c r="AT351" s="18"/>
      <c r="AU351" s="18"/>
      <c r="AV351" s="25" t="n">
        <v>2</v>
      </c>
      <c r="AW351" s="18"/>
      <c r="AX351" s="25" t="n">
        <v>2</v>
      </c>
      <c r="AY351" s="18"/>
      <c r="AZ351" s="18"/>
      <c r="BA351" s="18"/>
      <c r="BB351" s="18"/>
      <c r="BC351" s="18"/>
      <c r="BD351" s="18"/>
      <c r="BE351" s="22" t="n">
        <f aca="false">SUM(AS351:BD351)</f>
        <v>4</v>
      </c>
      <c r="BF351" s="23" t="n">
        <v>3026.55</v>
      </c>
      <c r="BG351" s="19" t="s">
        <v>55</v>
      </c>
      <c r="BH351" s="18"/>
      <c r="BI351" s="18"/>
      <c r="BJ351" s="18"/>
      <c r="BK351" s="25" t="n">
        <v>1</v>
      </c>
      <c r="BL351" s="25" t="n">
        <v>1</v>
      </c>
      <c r="BM351" s="18"/>
      <c r="BN351" s="18"/>
      <c r="BO351" s="18"/>
      <c r="BP351" s="18"/>
      <c r="BQ351" s="18"/>
      <c r="BR351" s="25" t="n">
        <v>2</v>
      </c>
      <c r="BS351" s="18"/>
      <c r="BT351" s="22" t="n">
        <f aca="false">SUM(BH351:BS351)</f>
        <v>4</v>
      </c>
      <c r="BU351" s="26" t="n">
        <v>46036.6006944445</v>
      </c>
      <c r="BV351" s="17" t="s">
        <v>378</v>
      </c>
      <c r="BW351" s="17" t="s">
        <v>44</v>
      </c>
      <c r="BX351" s="23" t="n">
        <f aca="false">IFERROR(R351/AE351,0)</f>
        <v>1513.275</v>
      </c>
      <c r="BY351" s="23" t="n">
        <f aca="false">IFERROR(R351/12,0)</f>
        <v>252.2125</v>
      </c>
      <c r="BZ351" s="18" t="n">
        <v>82</v>
      </c>
      <c r="CA351" s="22" t="str">
        <f aca="false">IF(AE351=0,"PROSPECT",IF(AE351=1,"NOVO",IF(AE351&lt;=3,"EM DESENV.",IF(AE351&lt;=6,"RECORRENTE","FIDELIZADO"))))</f>
        <v>EM DESENV.</v>
      </c>
      <c r="CB351" s="22" t="n">
        <f aca="false">IF((P351+Q351)&gt;0,1,0)+IF((BR351+BS351)&gt;0,1,0)+IF(BE351&gt;0,1,0)</f>
        <v>2</v>
      </c>
    </row>
    <row r="352" customFormat="false" ht="15" hidden="false" customHeight="true" outlineLevel="0" collapsed="false">
      <c r="A352" s="16" t="s">
        <v>976</v>
      </c>
      <c r="B352" s="17" t="s">
        <v>977</v>
      </c>
      <c r="C352" s="18" t="s">
        <v>155</v>
      </c>
      <c r="D352" s="17" t="s">
        <v>978</v>
      </c>
      <c r="E352" s="29" t="s">
        <v>365</v>
      </c>
      <c r="F352" s="27" t="n">
        <v>2553.51</v>
      </c>
      <c r="G352" s="20"/>
      <c r="H352" s="27" t="n">
        <v>3356.38</v>
      </c>
      <c r="I352" s="27" t="n">
        <v>1498.19</v>
      </c>
      <c r="J352" s="20"/>
      <c r="K352" s="20"/>
      <c r="L352" s="27" t="n">
        <v>1226.35</v>
      </c>
      <c r="M352" s="20"/>
      <c r="N352" s="20"/>
      <c r="O352" s="27" t="n">
        <v>1873.3</v>
      </c>
      <c r="P352" s="20"/>
      <c r="Q352" s="20"/>
      <c r="R352" s="21" t="n">
        <f aca="false">SUM(F352:Q352)</f>
        <v>10507.73</v>
      </c>
      <c r="S352" s="28" t="n">
        <v>1</v>
      </c>
      <c r="T352" s="18"/>
      <c r="U352" s="28" t="n">
        <v>1</v>
      </c>
      <c r="V352" s="28" t="n">
        <v>1</v>
      </c>
      <c r="W352" s="18"/>
      <c r="X352" s="18"/>
      <c r="Y352" s="28" t="n">
        <v>1</v>
      </c>
      <c r="Z352" s="18"/>
      <c r="AA352" s="18"/>
      <c r="AB352" s="28" t="n">
        <v>1</v>
      </c>
      <c r="AC352" s="18"/>
      <c r="AD352" s="18"/>
      <c r="AE352" s="22" t="n">
        <f aca="false">SUM(S352:AD352)</f>
        <v>5</v>
      </c>
      <c r="AF352" s="22"/>
      <c r="AG352" s="22"/>
      <c r="AH352" s="22"/>
      <c r="AI352" s="19" t="s">
        <v>50</v>
      </c>
      <c r="AJ352" s="22"/>
      <c r="AK352" s="22"/>
      <c r="AL352" s="30" t="s">
        <v>49</v>
      </c>
      <c r="AM352" s="22"/>
      <c r="AN352" s="22"/>
      <c r="AO352" s="19" t="s">
        <v>50</v>
      </c>
      <c r="AP352" s="22"/>
      <c r="AQ352" s="22"/>
      <c r="AR352" s="19" t="s">
        <v>50</v>
      </c>
      <c r="AS352" s="18"/>
      <c r="AT352" s="18"/>
      <c r="AU352" s="18"/>
      <c r="AV352" s="25" t="n">
        <v>1</v>
      </c>
      <c r="AW352" s="18"/>
      <c r="AX352" s="18"/>
      <c r="AY352" s="25" t="n">
        <v>1</v>
      </c>
      <c r="AZ352" s="18"/>
      <c r="BA352" s="18"/>
      <c r="BB352" s="25" t="n">
        <v>2</v>
      </c>
      <c r="BC352" s="18"/>
      <c r="BD352" s="18"/>
      <c r="BE352" s="22" t="n">
        <f aca="false">SUM(AS352:BD352)</f>
        <v>4</v>
      </c>
      <c r="BF352" s="23" t="n">
        <v>3371.49</v>
      </c>
      <c r="BG352" s="19" t="s">
        <v>55</v>
      </c>
      <c r="BH352" s="18"/>
      <c r="BI352" s="18"/>
      <c r="BJ352" s="18"/>
      <c r="BK352" s="25" t="n">
        <v>4</v>
      </c>
      <c r="BL352" s="18"/>
      <c r="BM352" s="18"/>
      <c r="BN352" s="18"/>
      <c r="BO352" s="18"/>
      <c r="BP352" s="18"/>
      <c r="BQ352" s="25" t="n">
        <v>1</v>
      </c>
      <c r="BR352" s="18"/>
      <c r="BS352" s="25" t="n">
        <v>2</v>
      </c>
      <c r="BT352" s="22" t="n">
        <f aca="false">SUM(BH352:BS352)</f>
        <v>7</v>
      </c>
      <c r="BU352" s="26" t="n">
        <v>46055.5013888889</v>
      </c>
      <c r="BV352" s="17"/>
      <c r="BW352" s="17" t="s">
        <v>117</v>
      </c>
      <c r="BX352" s="23" t="n">
        <f aca="false">IFERROR(R352/AE352,0)</f>
        <v>2101.546</v>
      </c>
      <c r="BY352" s="23" t="n">
        <f aca="false">IFERROR(R352/12,0)</f>
        <v>875.644166666667</v>
      </c>
      <c r="BZ352" s="18" t="n">
        <v>81</v>
      </c>
      <c r="CA352" s="22" t="str">
        <f aca="false">IF(AE352=0,"PROSPECT",IF(AE352=1,"NOVO",IF(AE352&lt;=3,"EM DESENV.",IF(AE352&lt;=6,"RECORRENTE","FIDELIZADO"))))</f>
        <v>RECORRENTE</v>
      </c>
      <c r="CB352" s="22" t="n">
        <f aca="false">IF((P352+Q352)&gt;0,1,0)+IF((BR352+BS352)&gt;0,1,0)+IF(BE352&gt;0,1,0)</f>
        <v>2</v>
      </c>
    </row>
    <row r="353" customFormat="false" ht="15" hidden="false" customHeight="true" outlineLevel="0" collapsed="false">
      <c r="A353" s="16" t="s">
        <v>979</v>
      </c>
      <c r="B353" s="17" t="s">
        <v>977</v>
      </c>
      <c r="C353" s="18" t="s">
        <v>794</v>
      </c>
      <c r="D353" s="17" t="s">
        <v>980</v>
      </c>
      <c r="E353" s="29" t="s">
        <v>365</v>
      </c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1" t="n">
        <f aca="false">SUM(F353:Q353)</f>
        <v>0</v>
      </c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22" t="n">
        <f aca="false">SUM(S353:AD353)</f>
        <v>0</v>
      </c>
      <c r="AF353" s="19" t="s">
        <v>50</v>
      </c>
      <c r="AG353" s="22"/>
      <c r="AH353" s="19" t="s">
        <v>50</v>
      </c>
      <c r="AI353" s="22"/>
      <c r="AJ353" s="22"/>
      <c r="AK353" s="22"/>
      <c r="AL353" s="22"/>
      <c r="AM353" s="22"/>
      <c r="AN353" s="22"/>
      <c r="AO353" s="22"/>
      <c r="AP353" s="22"/>
      <c r="AQ353" s="22"/>
      <c r="AR353" s="19" t="s">
        <v>50</v>
      </c>
      <c r="AS353" s="25" t="n">
        <v>3</v>
      </c>
      <c r="AT353" s="18"/>
      <c r="AU353" s="18"/>
      <c r="AV353" s="18"/>
      <c r="AW353" s="25" t="n">
        <v>2</v>
      </c>
      <c r="AX353" s="18"/>
      <c r="AY353" s="18"/>
      <c r="AZ353" s="18"/>
      <c r="BA353" s="18"/>
      <c r="BB353" s="18"/>
      <c r="BC353" s="18"/>
      <c r="BD353" s="18"/>
      <c r="BE353" s="22" t="n">
        <f aca="false">SUM(AS353:BD353)</f>
        <v>5</v>
      </c>
      <c r="BF353" s="23" t="n">
        <v>5909.89</v>
      </c>
      <c r="BG353" s="19" t="s">
        <v>55</v>
      </c>
      <c r="BH353" s="25" t="n">
        <v>1</v>
      </c>
      <c r="BI353" s="18"/>
      <c r="BJ353" s="25" t="n">
        <v>1</v>
      </c>
      <c r="BK353" s="18"/>
      <c r="BL353" s="25" t="n">
        <v>1</v>
      </c>
      <c r="BM353" s="18"/>
      <c r="BN353" s="18"/>
      <c r="BO353" s="25" t="n">
        <v>1</v>
      </c>
      <c r="BP353" s="18"/>
      <c r="BQ353" s="18"/>
      <c r="BR353" s="18"/>
      <c r="BS353" s="18"/>
      <c r="BT353" s="22" t="n">
        <f aca="false">SUM(BH353:BS353)</f>
        <v>4</v>
      </c>
      <c r="BU353" s="26" t="n">
        <v>45945.4763888889</v>
      </c>
      <c r="BV353" s="17" t="s">
        <v>378</v>
      </c>
      <c r="BW353" s="17" t="s">
        <v>44</v>
      </c>
      <c r="BX353" s="23" t="n">
        <f aca="false">IFERROR(R353/AE353,0)</f>
        <v>0</v>
      </c>
      <c r="BY353" s="23" t="n">
        <f aca="false">IFERROR(R353/12,0)</f>
        <v>0</v>
      </c>
      <c r="BZ353" s="18" t="n">
        <v>79</v>
      </c>
      <c r="CA353" s="22" t="str">
        <f aca="false">IF(AE353=0,"PROSPECT",IF(AE353=1,"NOVO",IF(AE353&lt;=3,"EM DESENV.",IF(AE353&lt;=6,"RECORRENTE","FIDELIZADO"))))</f>
        <v>PROSPECT</v>
      </c>
      <c r="CB353" s="22" t="n">
        <f aca="false">IF((P353+Q353)&gt;0,1,0)+IF((BR353+BS353)&gt;0,1,0)+IF(BE353&gt;0,1,0)</f>
        <v>1</v>
      </c>
    </row>
    <row r="354" customFormat="false" ht="15" hidden="false" customHeight="true" outlineLevel="0" collapsed="false">
      <c r="A354" s="16" t="s">
        <v>981</v>
      </c>
      <c r="B354" s="17" t="s">
        <v>982</v>
      </c>
      <c r="C354" s="18" t="s">
        <v>155</v>
      </c>
      <c r="D354" s="17" t="s">
        <v>983</v>
      </c>
      <c r="E354" s="29" t="s">
        <v>365</v>
      </c>
      <c r="F354" s="20"/>
      <c r="G354" s="20"/>
      <c r="H354" s="20"/>
      <c r="I354" s="27" t="n">
        <v>1902.51</v>
      </c>
      <c r="J354" s="20"/>
      <c r="K354" s="27" t="n">
        <v>1448.73</v>
      </c>
      <c r="L354" s="20"/>
      <c r="M354" s="20"/>
      <c r="N354" s="27" t="n">
        <v>1624.78</v>
      </c>
      <c r="O354" s="20"/>
      <c r="P354" s="20"/>
      <c r="Q354" s="20"/>
      <c r="R354" s="21" t="n">
        <f aca="false">SUM(F354:Q354)</f>
        <v>4976.02</v>
      </c>
      <c r="S354" s="18"/>
      <c r="T354" s="18"/>
      <c r="U354" s="18"/>
      <c r="V354" s="28" t="n">
        <v>1</v>
      </c>
      <c r="W354" s="18"/>
      <c r="X354" s="28" t="n">
        <v>1</v>
      </c>
      <c r="Y354" s="18"/>
      <c r="Z354" s="18"/>
      <c r="AA354" s="28" t="n">
        <v>1</v>
      </c>
      <c r="AB354" s="18"/>
      <c r="AC354" s="18"/>
      <c r="AD354" s="18"/>
      <c r="AE354" s="22" t="n">
        <f aca="false">SUM(S354:AD354)</f>
        <v>3</v>
      </c>
      <c r="AF354" s="22"/>
      <c r="AG354" s="22"/>
      <c r="AH354" s="22"/>
      <c r="AI354" s="19" t="s">
        <v>50</v>
      </c>
      <c r="AJ354" s="22"/>
      <c r="AK354" s="19" t="s">
        <v>50</v>
      </c>
      <c r="AL354" s="22"/>
      <c r="AM354" s="22"/>
      <c r="AN354" s="19" t="s">
        <v>50</v>
      </c>
      <c r="AO354" s="22"/>
      <c r="AP354" s="22"/>
      <c r="AQ354" s="22"/>
      <c r="AR354" s="19" t="s">
        <v>50</v>
      </c>
      <c r="AS354" s="18"/>
      <c r="AT354" s="18"/>
      <c r="AU354" s="18"/>
      <c r="AV354" s="25" t="n">
        <v>1</v>
      </c>
      <c r="AW354" s="18"/>
      <c r="AX354" s="25" t="n">
        <v>1</v>
      </c>
      <c r="AY354" s="18"/>
      <c r="AZ354" s="18"/>
      <c r="BA354" s="25" t="n">
        <v>1</v>
      </c>
      <c r="BB354" s="18"/>
      <c r="BC354" s="18"/>
      <c r="BD354" s="18"/>
      <c r="BE354" s="22" t="n">
        <f aca="false">SUM(AS354:BD354)</f>
        <v>3</v>
      </c>
      <c r="BF354" s="23" t="n">
        <v>4976.02</v>
      </c>
      <c r="BG354" s="19" t="s">
        <v>55</v>
      </c>
      <c r="BH354" s="18"/>
      <c r="BI354" s="18"/>
      <c r="BJ354" s="18"/>
      <c r="BK354" s="25" t="n">
        <v>1</v>
      </c>
      <c r="BL354" s="18"/>
      <c r="BM354" s="25" t="n">
        <v>2</v>
      </c>
      <c r="BN354" s="18"/>
      <c r="BO354" s="18"/>
      <c r="BP354" s="25" t="n">
        <v>1</v>
      </c>
      <c r="BQ354" s="18"/>
      <c r="BR354" s="18"/>
      <c r="BS354" s="18"/>
      <c r="BT354" s="22" t="n">
        <f aca="false">SUM(BH354:BS354)</f>
        <v>4</v>
      </c>
      <c r="BU354" s="26" t="n">
        <v>45964.5274652778</v>
      </c>
      <c r="BV354" s="17"/>
      <c r="BW354" s="17" t="s">
        <v>44</v>
      </c>
      <c r="BX354" s="23" t="n">
        <f aca="false">IFERROR(R354/AE354,0)</f>
        <v>1658.67333333333</v>
      </c>
      <c r="BY354" s="23" t="n">
        <f aca="false">IFERROR(R354/12,0)</f>
        <v>414.668333333333</v>
      </c>
      <c r="BZ354" s="18" t="n">
        <v>69.5</v>
      </c>
      <c r="CA354" s="22" t="str">
        <f aca="false">IF(AE354=0,"PROSPECT",IF(AE354=1,"NOVO",IF(AE354&lt;=3,"EM DESENV.",IF(AE354&lt;=6,"RECORRENTE","FIDELIZADO"))))</f>
        <v>EM DESENV.</v>
      </c>
      <c r="CB354" s="22" t="n">
        <f aca="false">IF((P354+Q354)&gt;0,1,0)+IF((BR354+BS354)&gt;0,1,0)+IF(BE354&gt;0,1,0)</f>
        <v>1</v>
      </c>
    </row>
    <row r="355" customFormat="false" ht="15" hidden="false" customHeight="true" outlineLevel="0" collapsed="false">
      <c r="A355" s="16" t="s">
        <v>984</v>
      </c>
      <c r="B355" s="17" t="s">
        <v>985</v>
      </c>
      <c r="C355" s="18" t="s">
        <v>53</v>
      </c>
      <c r="D355" s="17" t="s">
        <v>986</v>
      </c>
      <c r="E355" s="29" t="s">
        <v>365</v>
      </c>
      <c r="F355" s="20"/>
      <c r="G355" s="20"/>
      <c r="H355" s="20"/>
      <c r="I355" s="20"/>
      <c r="J355" s="20"/>
      <c r="K355" s="27" t="n">
        <v>2996.37</v>
      </c>
      <c r="L355" s="27" t="n">
        <v>1928.84</v>
      </c>
      <c r="M355" s="20"/>
      <c r="N355" s="20"/>
      <c r="O355" s="20"/>
      <c r="P355" s="20"/>
      <c r="Q355" s="20"/>
      <c r="R355" s="21" t="n">
        <f aca="false">SUM(F355:Q355)</f>
        <v>4925.21</v>
      </c>
      <c r="S355" s="18"/>
      <c r="T355" s="18"/>
      <c r="U355" s="18"/>
      <c r="V355" s="18"/>
      <c r="W355" s="18"/>
      <c r="X355" s="28" t="n">
        <v>1</v>
      </c>
      <c r="Y355" s="28" t="n">
        <v>1</v>
      </c>
      <c r="Z355" s="18"/>
      <c r="AA355" s="18"/>
      <c r="AB355" s="18"/>
      <c r="AC355" s="18"/>
      <c r="AD355" s="18"/>
      <c r="AE355" s="22" t="n">
        <f aca="false">SUM(S355:AD355)</f>
        <v>2</v>
      </c>
      <c r="AF355" s="22"/>
      <c r="AG355" s="22"/>
      <c r="AH355" s="22"/>
      <c r="AI355" s="22"/>
      <c r="AJ355" s="22"/>
      <c r="AK355" s="19" t="s">
        <v>50</v>
      </c>
      <c r="AL355" s="19" t="s">
        <v>50</v>
      </c>
      <c r="AM355" s="22"/>
      <c r="AN355" s="22"/>
      <c r="AO355" s="22"/>
      <c r="AP355" s="22"/>
      <c r="AQ355" s="22"/>
      <c r="AR355" s="19" t="s">
        <v>50</v>
      </c>
      <c r="AS355" s="18"/>
      <c r="AT355" s="18"/>
      <c r="AU355" s="18"/>
      <c r="AV355" s="18"/>
      <c r="AW355" s="18"/>
      <c r="AX355" s="25" t="n">
        <v>2</v>
      </c>
      <c r="AY355" s="25" t="n">
        <v>5</v>
      </c>
      <c r="AZ355" s="18"/>
      <c r="BA355" s="25" t="n">
        <v>1</v>
      </c>
      <c r="BB355" s="18"/>
      <c r="BC355" s="18"/>
      <c r="BD355" s="18"/>
      <c r="BE355" s="22" t="n">
        <f aca="false">SUM(AS355:BD355)</f>
        <v>8</v>
      </c>
      <c r="BF355" s="23" t="n">
        <v>4925.21</v>
      </c>
      <c r="BG355" s="19" t="s">
        <v>55</v>
      </c>
      <c r="BH355" s="25" t="n">
        <v>1</v>
      </c>
      <c r="BI355" s="18"/>
      <c r="BJ355" s="18"/>
      <c r="BK355" s="25" t="n">
        <v>1</v>
      </c>
      <c r="BL355" s="25" t="n">
        <v>1</v>
      </c>
      <c r="BM355" s="18"/>
      <c r="BN355" s="18"/>
      <c r="BO355" s="18"/>
      <c r="BP355" s="25" t="n">
        <v>1</v>
      </c>
      <c r="BQ355" s="18"/>
      <c r="BR355" s="25" t="n">
        <v>1</v>
      </c>
      <c r="BS355" s="25" t="n">
        <v>2</v>
      </c>
      <c r="BT355" s="22" t="n">
        <f aca="false">SUM(BH355:BS355)</f>
        <v>7</v>
      </c>
      <c r="BU355" s="26" t="n">
        <v>46057.5055555556</v>
      </c>
      <c r="BV355" s="17"/>
      <c r="BW355" s="17" t="s">
        <v>44</v>
      </c>
      <c r="BX355" s="23" t="n">
        <f aca="false">IFERROR(R355/AE355,0)</f>
        <v>2462.605</v>
      </c>
      <c r="BY355" s="23" t="n">
        <f aca="false">IFERROR(R355/12,0)</f>
        <v>410.434166666667</v>
      </c>
      <c r="BZ355" s="18" t="n">
        <v>55</v>
      </c>
      <c r="CA355" s="22" t="str">
        <f aca="false">IF(AE355=0,"PROSPECT",IF(AE355=1,"NOVO",IF(AE355&lt;=3,"EM DESENV.",IF(AE355&lt;=6,"RECORRENTE","FIDELIZADO"))))</f>
        <v>EM DESENV.</v>
      </c>
      <c r="CB355" s="22" t="n">
        <f aca="false">IF((P355+Q355)&gt;0,1,0)+IF((BR355+BS355)&gt;0,1,0)+IF(BE355&gt;0,1,0)</f>
        <v>2</v>
      </c>
    </row>
    <row r="356" customFormat="false" ht="15" hidden="false" customHeight="true" outlineLevel="0" collapsed="false">
      <c r="A356" s="16" t="s">
        <v>987</v>
      </c>
      <c r="B356" s="17" t="s">
        <v>988</v>
      </c>
      <c r="C356" s="18" t="s">
        <v>144</v>
      </c>
      <c r="D356" s="17" t="s">
        <v>145</v>
      </c>
      <c r="E356" s="29" t="s">
        <v>365</v>
      </c>
      <c r="F356" s="20"/>
      <c r="G356" s="20"/>
      <c r="H356" s="20"/>
      <c r="I356" s="20"/>
      <c r="J356" s="20"/>
      <c r="K356" s="20"/>
      <c r="L356" s="20"/>
      <c r="M356" s="20"/>
      <c r="N356" s="27" t="n">
        <v>853.07</v>
      </c>
      <c r="O356" s="20"/>
      <c r="P356" s="20"/>
      <c r="Q356" s="20"/>
      <c r="R356" s="21" t="n">
        <f aca="false">SUM(F356:Q356)</f>
        <v>853.07</v>
      </c>
      <c r="S356" s="18"/>
      <c r="T356" s="18"/>
      <c r="U356" s="18"/>
      <c r="V356" s="18"/>
      <c r="W356" s="18"/>
      <c r="X356" s="18"/>
      <c r="Y356" s="18"/>
      <c r="Z356" s="18"/>
      <c r="AA356" s="28" t="n">
        <v>1</v>
      </c>
      <c r="AB356" s="18"/>
      <c r="AC356" s="18"/>
      <c r="AD356" s="18"/>
      <c r="AE356" s="22" t="n">
        <f aca="false">SUM(S356:AD356)</f>
        <v>1</v>
      </c>
      <c r="AF356" s="22"/>
      <c r="AG356" s="22"/>
      <c r="AH356" s="22"/>
      <c r="AI356" s="22"/>
      <c r="AJ356" s="22"/>
      <c r="AK356" s="22"/>
      <c r="AL356" s="22"/>
      <c r="AM356" s="22"/>
      <c r="AN356" s="30" t="s">
        <v>49</v>
      </c>
      <c r="AO356" s="22"/>
      <c r="AP356" s="22"/>
      <c r="AQ356" s="22"/>
      <c r="AR356" s="29" t="s">
        <v>48</v>
      </c>
      <c r="AS356" s="18"/>
      <c r="AT356" s="18"/>
      <c r="AU356" s="18"/>
      <c r="AV356" s="18"/>
      <c r="AW356" s="18"/>
      <c r="AX356" s="18"/>
      <c r="AY356" s="18"/>
      <c r="AZ356" s="18"/>
      <c r="BA356" s="25" t="n">
        <v>1</v>
      </c>
      <c r="BB356" s="18"/>
      <c r="BC356" s="18"/>
      <c r="BD356" s="18"/>
      <c r="BE356" s="22" t="n">
        <f aca="false">SUM(AS356:BD356)</f>
        <v>1</v>
      </c>
      <c r="BF356" s="23" t="n">
        <v>853.07</v>
      </c>
      <c r="BG356" s="19" t="s">
        <v>55</v>
      </c>
      <c r="BH356" s="18"/>
      <c r="BI356" s="18"/>
      <c r="BJ356" s="18"/>
      <c r="BK356" s="18"/>
      <c r="BL356" s="18"/>
      <c r="BM356" s="18"/>
      <c r="BN356" s="18"/>
      <c r="BO356" s="18"/>
      <c r="BP356" s="25" t="n">
        <v>2</v>
      </c>
      <c r="BQ356" s="18"/>
      <c r="BR356" s="25" t="n">
        <v>2</v>
      </c>
      <c r="BS356" s="25" t="n">
        <v>3</v>
      </c>
      <c r="BT356" s="22" t="n">
        <f aca="false">SUM(BH356:BS356)</f>
        <v>7</v>
      </c>
      <c r="BU356" s="26" t="n">
        <v>46058.618287037</v>
      </c>
      <c r="BV356" s="17"/>
      <c r="BW356" s="17" t="s">
        <v>44</v>
      </c>
      <c r="BX356" s="23" t="n">
        <f aca="false">IFERROR(R356/AE356,0)</f>
        <v>853.07</v>
      </c>
      <c r="BY356" s="23" t="n">
        <f aca="false">IFERROR(R356/12,0)</f>
        <v>71.0891666666667</v>
      </c>
      <c r="BZ356" s="18" t="n">
        <v>0</v>
      </c>
      <c r="CA356" s="22" t="str">
        <f aca="false">IF(AE356=0,"PROSPECT",IF(AE356=1,"NOVO",IF(AE356&lt;=3,"EM DESENV.",IF(AE356&lt;=6,"RECORRENTE","FIDELIZADO"))))</f>
        <v>NOVO</v>
      </c>
      <c r="CB356" s="22" t="n">
        <f aca="false">IF((P356+Q356)&gt;0,1,0)+IF((BR356+BS356)&gt;0,1,0)+IF(BE356&gt;0,1,0)</f>
        <v>2</v>
      </c>
    </row>
    <row r="357" customFormat="false" ht="15" hidden="false" customHeight="true" outlineLevel="0" collapsed="false">
      <c r="A357" s="16" t="s">
        <v>989</v>
      </c>
      <c r="B357" s="17" t="s">
        <v>990</v>
      </c>
      <c r="C357" s="18" t="s">
        <v>155</v>
      </c>
      <c r="D357" s="17" t="s">
        <v>991</v>
      </c>
      <c r="E357" s="29" t="s">
        <v>365</v>
      </c>
      <c r="F357" s="20"/>
      <c r="G357" s="20"/>
      <c r="H357" s="20"/>
      <c r="I357" s="20"/>
      <c r="J357" s="20"/>
      <c r="K357" s="27" t="n">
        <v>1385.71</v>
      </c>
      <c r="L357" s="20"/>
      <c r="M357" s="20"/>
      <c r="N357" s="20"/>
      <c r="O357" s="20"/>
      <c r="P357" s="20"/>
      <c r="Q357" s="20"/>
      <c r="R357" s="21" t="n">
        <f aca="false">SUM(F357:Q357)</f>
        <v>1385.71</v>
      </c>
      <c r="S357" s="18"/>
      <c r="T357" s="18"/>
      <c r="U357" s="18"/>
      <c r="V357" s="18"/>
      <c r="W357" s="18"/>
      <c r="X357" s="28" t="n">
        <v>1</v>
      </c>
      <c r="Y357" s="18"/>
      <c r="Z357" s="18"/>
      <c r="AA357" s="18"/>
      <c r="AB357" s="18"/>
      <c r="AC357" s="18"/>
      <c r="AD357" s="18"/>
      <c r="AE357" s="22" t="n">
        <f aca="false">SUM(S357:AD357)</f>
        <v>1</v>
      </c>
      <c r="AF357" s="22"/>
      <c r="AG357" s="22"/>
      <c r="AH357" s="22"/>
      <c r="AI357" s="22"/>
      <c r="AJ357" s="22"/>
      <c r="AK357" s="19" t="s">
        <v>50</v>
      </c>
      <c r="AL357" s="22"/>
      <c r="AM357" s="22"/>
      <c r="AN357" s="22"/>
      <c r="AO357" s="22"/>
      <c r="AP357" s="22"/>
      <c r="AQ357" s="22"/>
      <c r="AR357" s="30" t="s">
        <v>49</v>
      </c>
      <c r="AS357" s="18"/>
      <c r="AT357" s="18"/>
      <c r="AU357" s="18"/>
      <c r="AV357" s="25" t="n">
        <v>2</v>
      </c>
      <c r="AW357" s="18"/>
      <c r="AX357" s="25" t="n">
        <v>3</v>
      </c>
      <c r="AY357" s="18"/>
      <c r="AZ357" s="18"/>
      <c r="BA357" s="18"/>
      <c r="BB357" s="18"/>
      <c r="BC357" s="18"/>
      <c r="BD357" s="18"/>
      <c r="BE357" s="22" t="n">
        <f aca="false">SUM(AS357:BD357)</f>
        <v>5</v>
      </c>
      <c r="BF357" s="23" t="n">
        <v>1385.71</v>
      </c>
      <c r="BG357" s="19" t="s">
        <v>55</v>
      </c>
      <c r="BH357" s="18"/>
      <c r="BI357" s="18"/>
      <c r="BJ357" s="18"/>
      <c r="BK357" s="25" t="n">
        <v>4</v>
      </c>
      <c r="BL357" s="18"/>
      <c r="BM357" s="18"/>
      <c r="BN357" s="18"/>
      <c r="BO357" s="18"/>
      <c r="BP357" s="18"/>
      <c r="BQ357" s="18"/>
      <c r="BR357" s="25" t="n">
        <v>1</v>
      </c>
      <c r="BS357" s="25" t="n">
        <v>5</v>
      </c>
      <c r="BT357" s="22" t="n">
        <f aca="false">SUM(BH357:BS357)</f>
        <v>10</v>
      </c>
      <c r="BU357" s="26" t="n">
        <v>46057.4958333333</v>
      </c>
      <c r="BV357" s="17"/>
      <c r="BW357" s="17" t="s">
        <v>44</v>
      </c>
      <c r="BX357" s="23" t="n">
        <f aca="false">IFERROR(R357/AE357,0)</f>
        <v>1385.71</v>
      </c>
      <c r="BY357" s="23" t="n">
        <f aca="false">IFERROR(R357/12,0)</f>
        <v>115.475833333333</v>
      </c>
      <c r="BZ357" s="18" t="n">
        <v>0</v>
      </c>
      <c r="CA357" s="22" t="str">
        <f aca="false">IF(AE357=0,"PROSPECT",IF(AE357=1,"NOVO",IF(AE357&lt;=3,"EM DESENV.",IF(AE357&lt;=6,"RECORRENTE","FIDELIZADO"))))</f>
        <v>NOVO</v>
      </c>
      <c r="CB357" s="22" t="n">
        <f aca="false">IF((P357+Q357)&gt;0,1,0)+IF((BR357+BS357)&gt;0,1,0)+IF(BE357&gt;0,1,0)</f>
        <v>2</v>
      </c>
    </row>
    <row r="358" customFormat="false" ht="15" hidden="false" customHeight="true" outlineLevel="0" collapsed="false">
      <c r="A358" s="16" t="s">
        <v>992</v>
      </c>
      <c r="B358" s="17" t="s">
        <v>993</v>
      </c>
      <c r="C358" s="18" t="s">
        <v>53</v>
      </c>
      <c r="D358" s="17" t="s">
        <v>377</v>
      </c>
      <c r="E358" s="29" t="s">
        <v>365</v>
      </c>
      <c r="F358" s="20"/>
      <c r="G358" s="20"/>
      <c r="H358" s="20"/>
      <c r="I358" s="20"/>
      <c r="J358" s="20"/>
      <c r="K358" s="27" t="n">
        <v>650.3</v>
      </c>
      <c r="L358" s="20"/>
      <c r="M358" s="20"/>
      <c r="N358" s="20"/>
      <c r="O358" s="20"/>
      <c r="P358" s="20"/>
      <c r="Q358" s="20"/>
      <c r="R358" s="21" t="n">
        <f aca="false">SUM(F358:Q358)</f>
        <v>650.3</v>
      </c>
      <c r="S358" s="18"/>
      <c r="T358" s="18"/>
      <c r="U358" s="18"/>
      <c r="V358" s="18"/>
      <c r="W358" s="18"/>
      <c r="X358" s="28" t="n">
        <v>1</v>
      </c>
      <c r="Y358" s="18"/>
      <c r="Z358" s="18"/>
      <c r="AA358" s="18"/>
      <c r="AB358" s="18"/>
      <c r="AC358" s="18"/>
      <c r="AD358" s="18"/>
      <c r="AE358" s="22" t="n">
        <f aca="false">SUM(S358:AD358)</f>
        <v>1</v>
      </c>
      <c r="AF358" s="22"/>
      <c r="AG358" s="22"/>
      <c r="AH358" s="22"/>
      <c r="AI358" s="22"/>
      <c r="AJ358" s="22"/>
      <c r="AK358" s="29" t="s">
        <v>48</v>
      </c>
      <c r="AL358" s="22"/>
      <c r="AM358" s="22"/>
      <c r="AN358" s="22"/>
      <c r="AO358" s="22"/>
      <c r="AP358" s="22"/>
      <c r="AQ358" s="22"/>
      <c r="AR358" s="29" t="s">
        <v>48</v>
      </c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22" t="n">
        <f aca="false">SUM(AS358:BD358)</f>
        <v>0</v>
      </c>
      <c r="BF358" s="23"/>
      <c r="BG358" s="24"/>
      <c r="BH358" s="18"/>
      <c r="BI358" s="18"/>
      <c r="BJ358" s="18"/>
      <c r="BK358" s="18"/>
      <c r="BL358" s="18"/>
      <c r="BM358" s="18"/>
      <c r="BN358" s="18"/>
      <c r="BO358" s="25" t="n">
        <v>1</v>
      </c>
      <c r="BP358" s="18"/>
      <c r="BQ358" s="18"/>
      <c r="BR358" s="25" t="n">
        <v>1</v>
      </c>
      <c r="BS358" s="18"/>
      <c r="BT358" s="22" t="n">
        <f aca="false">SUM(BH358:BS358)</f>
        <v>2</v>
      </c>
      <c r="BU358" s="26" t="n">
        <v>46036.5875</v>
      </c>
      <c r="BV358" s="17" t="s">
        <v>378</v>
      </c>
      <c r="BW358" s="17" t="s">
        <v>44</v>
      </c>
      <c r="BX358" s="23" t="n">
        <f aca="false">IFERROR(R358/AE358,0)</f>
        <v>650.3</v>
      </c>
      <c r="BY358" s="23" t="n">
        <f aca="false">IFERROR(R358/12,0)</f>
        <v>54.1916666666667</v>
      </c>
      <c r="BZ358" s="18" t="n">
        <v>0</v>
      </c>
      <c r="CA358" s="22" t="str">
        <f aca="false">IF(AE358=0,"PROSPECT",IF(AE358=1,"NOVO",IF(AE358&lt;=3,"EM DESENV.",IF(AE358&lt;=6,"RECORRENTE","FIDELIZADO"))))</f>
        <v>NOVO</v>
      </c>
      <c r="CB358" s="22" t="n">
        <f aca="false">IF((P358+Q358)&gt;0,1,0)+IF((BR358+BS358)&gt;0,1,0)+IF(BE358&gt;0,1,0)</f>
        <v>1</v>
      </c>
    </row>
    <row r="359" customFormat="false" ht="15" hidden="false" customHeight="true" outlineLevel="0" collapsed="false">
      <c r="A359" s="16" t="s">
        <v>994</v>
      </c>
      <c r="B359" s="17" t="s">
        <v>995</v>
      </c>
      <c r="C359" s="18" t="s">
        <v>230</v>
      </c>
      <c r="D359" s="17" t="s">
        <v>996</v>
      </c>
      <c r="E359" s="29" t="s">
        <v>365</v>
      </c>
      <c r="F359" s="20"/>
      <c r="G359" s="20"/>
      <c r="H359" s="27" t="n">
        <v>1222.97</v>
      </c>
      <c r="I359" s="20"/>
      <c r="J359" s="27" t="n">
        <v>1267.05</v>
      </c>
      <c r="K359" s="20"/>
      <c r="L359" s="27" t="n">
        <v>1572.57</v>
      </c>
      <c r="M359" s="27" t="n">
        <v>1793.19</v>
      </c>
      <c r="N359" s="20"/>
      <c r="O359" s="20"/>
      <c r="P359" s="20"/>
      <c r="Q359" s="20"/>
      <c r="R359" s="21" t="n">
        <f aca="false">SUM(F359:Q359)</f>
        <v>5855.78</v>
      </c>
      <c r="S359" s="18"/>
      <c r="T359" s="18"/>
      <c r="U359" s="28" t="n">
        <v>1</v>
      </c>
      <c r="V359" s="18"/>
      <c r="W359" s="28" t="n">
        <v>1</v>
      </c>
      <c r="X359" s="18"/>
      <c r="Y359" s="28" t="n">
        <v>1</v>
      </c>
      <c r="Z359" s="28" t="n">
        <v>1</v>
      </c>
      <c r="AA359" s="18"/>
      <c r="AB359" s="18"/>
      <c r="AC359" s="18"/>
      <c r="AD359" s="18"/>
      <c r="AE359" s="22" t="n">
        <f aca="false">SUM(S359:AD359)</f>
        <v>4</v>
      </c>
      <c r="AF359" s="22"/>
      <c r="AG359" s="22"/>
      <c r="AH359" s="30" t="s">
        <v>49</v>
      </c>
      <c r="AI359" s="22"/>
      <c r="AJ359" s="30" t="s">
        <v>49</v>
      </c>
      <c r="AK359" s="22"/>
      <c r="AL359" s="19" t="s">
        <v>50</v>
      </c>
      <c r="AM359" s="19" t="s">
        <v>50</v>
      </c>
      <c r="AN359" s="22"/>
      <c r="AO359" s="22"/>
      <c r="AP359" s="22"/>
      <c r="AQ359" s="22"/>
      <c r="AR359" s="19" t="s">
        <v>50</v>
      </c>
      <c r="AS359" s="18"/>
      <c r="AT359" s="18"/>
      <c r="AU359" s="18"/>
      <c r="AV359" s="18"/>
      <c r="AW359" s="25" t="n">
        <v>3</v>
      </c>
      <c r="AX359" s="18"/>
      <c r="AY359" s="25" t="n">
        <v>3</v>
      </c>
      <c r="AZ359" s="18"/>
      <c r="BA359" s="18"/>
      <c r="BB359" s="18"/>
      <c r="BC359" s="18"/>
      <c r="BD359" s="18"/>
      <c r="BE359" s="22" t="n">
        <f aca="false">SUM(AS359:BD359)</f>
        <v>6</v>
      </c>
      <c r="BF359" s="23" t="n">
        <v>2795.54</v>
      </c>
      <c r="BG359" s="19" t="s">
        <v>55</v>
      </c>
      <c r="BH359" s="25" t="n">
        <v>1</v>
      </c>
      <c r="BI359" s="18"/>
      <c r="BJ359" s="25" t="n">
        <v>1</v>
      </c>
      <c r="BK359" s="18"/>
      <c r="BL359" s="25" t="n">
        <v>2</v>
      </c>
      <c r="BM359" s="25" t="n">
        <v>1</v>
      </c>
      <c r="BN359" s="18"/>
      <c r="BO359" s="25" t="n">
        <v>1</v>
      </c>
      <c r="BP359" s="25" t="n">
        <v>2</v>
      </c>
      <c r="BQ359" s="25" t="n">
        <v>1</v>
      </c>
      <c r="BR359" s="25" t="n">
        <v>5</v>
      </c>
      <c r="BS359" s="25" t="n">
        <v>1</v>
      </c>
      <c r="BT359" s="22" t="n">
        <f aca="false">SUM(BH359:BS359)</f>
        <v>15</v>
      </c>
      <c r="BU359" s="26" t="n">
        <v>46059.4101851852</v>
      </c>
      <c r="BV359" s="17"/>
      <c r="BW359" s="17" t="s">
        <v>44</v>
      </c>
      <c r="BX359" s="23" t="n">
        <f aca="false">IFERROR(R359/AE359,0)</f>
        <v>1463.945</v>
      </c>
      <c r="BY359" s="23" t="n">
        <f aca="false">IFERROR(R359/12,0)</f>
        <v>487.981666666667</v>
      </c>
      <c r="BZ359" s="18" t="n">
        <v>51.6667</v>
      </c>
      <c r="CA359" s="22" t="str">
        <f aca="false">IF(AE359=0,"PROSPECT",IF(AE359=1,"NOVO",IF(AE359&lt;=3,"EM DESENV.",IF(AE359&lt;=6,"RECORRENTE","FIDELIZADO"))))</f>
        <v>RECORRENTE</v>
      </c>
      <c r="CB359" s="22" t="n">
        <f aca="false">IF((P359+Q359)&gt;0,1,0)+IF((BR359+BS359)&gt;0,1,0)+IF(BE359&gt;0,1,0)</f>
        <v>2</v>
      </c>
    </row>
    <row r="360" customFormat="false" ht="15" hidden="false" customHeight="true" outlineLevel="0" collapsed="false">
      <c r="A360" s="16" t="s">
        <v>997</v>
      </c>
      <c r="B360" s="17" t="s">
        <v>998</v>
      </c>
      <c r="C360" s="18" t="s">
        <v>61</v>
      </c>
      <c r="D360" s="17" t="s">
        <v>581</v>
      </c>
      <c r="E360" s="29" t="s">
        <v>365</v>
      </c>
      <c r="F360" s="20"/>
      <c r="G360" s="27" t="n">
        <v>4899.73</v>
      </c>
      <c r="H360" s="27" t="n">
        <v>2635.53</v>
      </c>
      <c r="I360" s="20"/>
      <c r="J360" s="20"/>
      <c r="K360" s="27" t="n">
        <v>5094</v>
      </c>
      <c r="L360" s="27" t="n">
        <v>1188.55</v>
      </c>
      <c r="M360" s="27" t="n">
        <v>3502.75</v>
      </c>
      <c r="N360" s="27" t="n">
        <v>4270.86</v>
      </c>
      <c r="O360" s="20"/>
      <c r="P360" s="20"/>
      <c r="Q360" s="20"/>
      <c r="R360" s="21" t="n">
        <f aca="false">SUM(F360:Q360)</f>
        <v>21591.42</v>
      </c>
      <c r="S360" s="18"/>
      <c r="T360" s="28" t="n">
        <v>1</v>
      </c>
      <c r="U360" s="28" t="n">
        <v>1</v>
      </c>
      <c r="V360" s="18"/>
      <c r="W360" s="18"/>
      <c r="X360" s="28" t="n">
        <v>1</v>
      </c>
      <c r="Y360" s="28" t="n">
        <v>1</v>
      </c>
      <c r="Z360" s="28" t="n">
        <v>1</v>
      </c>
      <c r="AA360" s="28" t="n">
        <v>1</v>
      </c>
      <c r="AB360" s="18"/>
      <c r="AC360" s="18"/>
      <c r="AD360" s="18"/>
      <c r="AE360" s="22" t="n">
        <f aca="false">SUM(S360:AD360)</f>
        <v>6</v>
      </c>
      <c r="AF360" s="22"/>
      <c r="AG360" s="19" t="s">
        <v>50</v>
      </c>
      <c r="AH360" s="19" t="s">
        <v>50</v>
      </c>
      <c r="AI360" s="22"/>
      <c r="AJ360" s="22"/>
      <c r="AK360" s="19" t="s">
        <v>50</v>
      </c>
      <c r="AL360" s="30" t="s">
        <v>49</v>
      </c>
      <c r="AM360" s="19" t="s">
        <v>50</v>
      </c>
      <c r="AN360" s="19" t="s">
        <v>50</v>
      </c>
      <c r="AO360" s="22"/>
      <c r="AP360" s="22"/>
      <c r="AQ360" s="22"/>
      <c r="AR360" s="19" t="s">
        <v>50</v>
      </c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22" t="n">
        <f aca="false">SUM(AS360:BD360)</f>
        <v>0</v>
      </c>
      <c r="BF360" s="23"/>
      <c r="BG360" s="24"/>
      <c r="BH360" s="18"/>
      <c r="BI360" s="18"/>
      <c r="BJ360" s="25" t="n">
        <v>1</v>
      </c>
      <c r="BK360" s="25" t="n">
        <v>2</v>
      </c>
      <c r="BL360" s="18"/>
      <c r="BM360" s="18"/>
      <c r="BN360" s="18"/>
      <c r="BO360" s="18"/>
      <c r="BP360" s="18"/>
      <c r="BQ360" s="18"/>
      <c r="BR360" s="18"/>
      <c r="BS360" s="25" t="n">
        <v>2</v>
      </c>
      <c r="BT360" s="22" t="n">
        <f aca="false">SUM(BH360:BS360)</f>
        <v>5</v>
      </c>
      <c r="BU360" s="26" t="n">
        <v>46057.4840277778</v>
      </c>
      <c r="BV360" s="17"/>
      <c r="BW360" s="17" t="s">
        <v>117</v>
      </c>
      <c r="BX360" s="23" t="n">
        <f aca="false">IFERROR(R360/AE360,0)</f>
        <v>3598.57</v>
      </c>
      <c r="BY360" s="23" t="n">
        <f aca="false">IFERROR(R360/12,0)</f>
        <v>1799.285</v>
      </c>
      <c r="BZ360" s="18" t="n">
        <v>43.2</v>
      </c>
      <c r="CA360" s="22" t="str">
        <f aca="false">IF(AE360=0,"PROSPECT",IF(AE360=1,"NOVO",IF(AE360&lt;=3,"EM DESENV.",IF(AE360&lt;=6,"RECORRENTE","FIDELIZADO"))))</f>
        <v>RECORRENTE</v>
      </c>
      <c r="CB360" s="22" t="n">
        <f aca="false">IF((P360+Q360)&gt;0,1,0)+IF((BR360+BS360)&gt;0,1,0)+IF(BE360&gt;0,1,0)</f>
        <v>1</v>
      </c>
    </row>
    <row r="361" customFormat="false" ht="15" hidden="false" customHeight="true" outlineLevel="0" collapsed="false">
      <c r="A361" s="16" t="s">
        <v>999</v>
      </c>
      <c r="B361" s="17" t="s">
        <v>1000</v>
      </c>
      <c r="C361" s="18" t="s">
        <v>61</v>
      </c>
      <c r="D361" s="17" t="s">
        <v>1001</v>
      </c>
      <c r="E361" s="29" t="s">
        <v>365</v>
      </c>
      <c r="F361" s="20"/>
      <c r="G361" s="20"/>
      <c r="H361" s="20"/>
      <c r="I361" s="27" t="n">
        <v>903.41</v>
      </c>
      <c r="J361" s="20"/>
      <c r="K361" s="20"/>
      <c r="L361" s="20"/>
      <c r="M361" s="20"/>
      <c r="N361" s="27" t="n">
        <v>1081.37</v>
      </c>
      <c r="O361" s="20"/>
      <c r="P361" s="20"/>
      <c r="Q361" s="20"/>
      <c r="R361" s="21" t="n">
        <f aca="false">SUM(F361:Q361)</f>
        <v>1984.78</v>
      </c>
      <c r="S361" s="18"/>
      <c r="T361" s="18"/>
      <c r="U361" s="18"/>
      <c r="V361" s="28" t="n">
        <v>1</v>
      </c>
      <c r="W361" s="18"/>
      <c r="X361" s="18"/>
      <c r="Y361" s="18"/>
      <c r="Z361" s="18"/>
      <c r="AA361" s="28" t="n">
        <v>1</v>
      </c>
      <c r="AB361" s="18"/>
      <c r="AC361" s="18"/>
      <c r="AD361" s="18"/>
      <c r="AE361" s="22" t="n">
        <f aca="false">SUM(S361:AD361)</f>
        <v>2</v>
      </c>
      <c r="AF361" s="22"/>
      <c r="AG361" s="22"/>
      <c r="AH361" s="22"/>
      <c r="AI361" s="30" t="s">
        <v>49</v>
      </c>
      <c r="AJ361" s="22"/>
      <c r="AK361" s="22"/>
      <c r="AL361" s="22"/>
      <c r="AM361" s="22"/>
      <c r="AN361" s="30" t="s">
        <v>49</v>
      </c>
      <c r="AO361" s="22"/>
      <c r="AP361" s="22"/>
      <c r="AQ361" s="22"/>
      <c r="AR361" s="30" t="s">
        <v>49</v>
      </c>
      <c r="AS361" s="18"/>
      <c r="AT361" s="25" t="n">
        <v>2</v>
      </c>
      <c r="AU361" s="25" t="n">
        <v>2</v>
      </c>
      <c r="AV361" s="18"/>
      <c r="AW361" s="18"/>
      <c r="AX361" s="18"/>
      <c r="AY361" s="18"/>
      <c r="AZ361" s="18"/>
      <c r="BA361" s="18"/>
      <c r="BB361" s="18"/>
      <c r="BC361" s="18"/>
      <c r="BD361" s="18"/>
      <c r="BE361" s="22" t="n">
        <f aca="false">SUM(AS361:BD361)</f>
        <v>4</v>
      </c>
      <c r="BF361" s="23"/>
      <c r="BG361" s="31" t="s">
        <v>93</v>
      </c>
      <c r="BH361" s="25" t="n">
        <v>1</v>
      </c>
      <c r="BI361" s="18"/>
      <c r="BJ361" s="18"/>
      <c r="BK361" s="25" t="n">
        <v>1</v>
      </c>
      <c r="BL361" s="25" t="n">
        <v>3</v>
      </c>
      <c r="BM361" s="18"/>
      <c r="BN361" s="18"/>
      <c r="BO361" s="18"/>
      <c r="BP361" s="25" t="n">
        <v>2</v>
      </c>
      <c r="BQ361" s="18"/>
      <c r="BR361" s="18"/>
      <c r="BS361" s="25" t="n">
        <v>2</v>
      </c>
      <c r="BT361" s="22" t="n">
        <f aca="false">SUM(BH361:BS361)</f>
        <v>9</v>
      </c>
      <c r="BU361" s="26" t="n">
        <v>46056.7229166667</v>
      </c>
      <c r="BV361" s="17" t="s">
        <v>1002</v>
      </c>
      <c r="BW361" s="17" t="s">
        <v>117</v>
      </c>
      <c r="BX361" s="23" t="n">
        <f aca="false">IFERROR(R361/AE361,0)</f>
        <v>992.39</v>
      </c>
      <c r="BY361" s="23" t="n">
        <f aca="false">IFERROR(R361/12,0)</f>
        <v>165.398333333333</v>
      </c>
      <c r="BZ361" s="18" t="n">
        <v>142</v>
      </c>
      <c r="CA361" s="22" t="str">
        <f aca="false">IF(AE361=0,"PROSPECT",IF(AE361=1,"NOVO",IF(AE361&lt;=3,"EM DESENV.",IF(AE361&lt;=6,"RECORRENTE","FIDELIZADO"))))</f>
        <v>EM DESENV.</v>
      </c>
      <c r="CB361" s="22" t="n">
        <f aca="false">IF((P361+Q361)&gt;0,1,0)+IF((BR361+BS361)&gt;0,1,0)+IF(BE361&gt;0,1,0)</f>
        <v>2</v>
      </c>
    </row>
    <row r="362" customFormat="false" ht="15" hidden="false" customHeight="true" outlineLevel="0" collapsed="false">
      <c r="A362" s="16" t="s">
        <v>1003</v>
      </c>
      <c r="B362" s="17" t="s">
        <v>1004</v>
      </c>
      <c r="C362" s="18" t="s">
        <v>263</v>
      </c>
      <c r="D362" s="17" t="s">
        <v>1005</v>
      </c>
      <c r="E362" s="29" t="s">
        <v>365</v>
      </c>
      <c r="F362" s="27" t="n">
        <v>6049.11</v>
      </c>
      <c r="G362" s="20"/>
      <c r="H362" s="20"/>
      <c r="I362" s="20"/>
      <c r="J362" s="27" t="n">
        <v>7216.91</v>
      </c>
      <c r="K362" s="20"/>
      <c r="L362" s="20"/>
      <c r="M362" s="20"/>
      <c r="N362" s="20"/>
      <c r="O362" s="20"/>
      <c r="P362" s="20"/>
      <c r="Q362" s="20"/>
      <c r="R362" s="21" t="n">
        <f aca="false">SUM(F362:Q362)</f>
        <v>13266.02</v>
      </c>
      <c r="S362" s="28" t="n">
        <v>1</v>
      </c>
      <c r="T362" s="18"/>
      <c r="U362" s="18"/>
      <c r="V362" s="18"/>
      <c r="W362" s="28" t="n">
        <v>1</v>
      </c>
      <c r="X362" s="18"/>
      <c r="Y362" s="18"/>
      <c r="Z362" s="18"/>
      <c r="AA362" s="18"/>
      <c r="AB362" s="18"/>
      <c r="AC362" s="18"/>
      <c r="AD362" s="18"/>
      <c r="AE362" s="22" t="n">
        <f aca="false">SUM(S362:AD362)</f>
        <v>2</v>
      </c>
      <c r="AF362" s="19" t="s">
        <v>50</v>
      </c>
      <c r="AG362" s="22"/>
      <c r="AH362" s="22"/>
      <c r="AI362" s="22"/>
      <c r="AJ362" s="19" t="s">
        <v>50</v>
      </c>
      <c r="AK362" s="22"/>
      <c r="AL362" s="22"/>
      <c r="AM362" s="22"/>
      <c r="AN362" s="22"/>
      <c r="AO362" s="22"/>
      <c r="AP362" s="22"/>
      <c r="AQ362" s="22"/>
      <c r="AR362" s="19" t="s">
        <v>50</v>
      </c>
      <c r="AS362" s="25" t="n">
        <v>5</v>
      </c>
      <c r="AT362" s="25" t="n">
        <v>4</v>
      </c>
      <c r="AU362" s="25" t="n">
        <v>4</v>
      </c>
      <c r="AV362" s="18"/>
      <c r="AW362" s="18"/>
      <c r="AX362" s="18"/>
      <c r="AY362" s="25" t="n">
        <v>1</v>
      </c>
      <c r="AZ362" s="18"/>
      <c r="BA362" s="18"/>
      <c r="BB362" s="18"/>
      <c r="BC362" s="18"/>
      <c r="BD362" s="18"/>
      <c r="BE362" s="22" t="n">
        <f aca="false">SUM(AS362:BD362)</f>
        <v>14</v>
      </c>
      <c r="BF362" s="23" t="n">
        <v>6049.11</v>
      </c>
      <c r="BG362" s="19" t="s">
        <v>55</v>
      </c>
      <c r="BH362" s="25" t="n">
        <v>5</v>
      </c>
      <c r="BI362" s="18"/>
      <c r="BJ362" s="25" t="n">
        <v>4</v>
      </c>
      <c r="BK362" s="18"/>
      <c r="BL362" s="25" t="n">
        <v>2</v>
      </c>
      <c r="BM362" s="18"/>
      <c r="BN362" s="25" t="n">
        <v>1</v>
      </c>
      <c r="BO362" s="25" t="n">
        <v>1</v>
      </c>
      <c r="BP362" s="25" t="n">
        <v>2</v>
      </c>
      <c r="BQ362" s="25" t="n">
        <v>1</v>
      </c>
      <c r="BR362" s="25" t="n">
        <v>3</v>
      </c>
      <c r="BS362" s="18"/>
      <c r="BT362" s="22" t="n">
        <f aca="false">SUM(BH362:BS362)</f>
        <v>19</v>
      </c>
      <c r="BU362" s="26" t="n">
        <v>46036.6611111111</v>
      </c>
      <c r="BV362" s="17" t="s">
        <v>378</v>
      </c>
      <c r="BW362" s="17" t="s">
        <v>44</v>
      </c>
      <c r="BX362" s="23" t="n">
        <f aca="false">IFERROR(R362/AE362,0)</f>
        <v>6633.01</v>
      </c>
      <c r="BY362" s="23" t="n">
        <f aca="false">IFERROR(R362/12,0)</f>
        <v>1105.50166666667</v>
      </c>
      <c r="BZ362" s="18" t="n">
        <v>102</v>
      </c>
      <c r="CA362" s="22" t="str">
        <f aca="false">IF(AE362=0,"PROSPECT",IF(AE362=1,"NOVO",IF(AE362&lt;=3,"EM DESENV.",IF(AE362&lt;=6,"RECORRENTE","FIDELIZADO"))))</f>
        <v>EM DESENV.</v>
      </c>
      <c r="CB362" s="22" t="n">
        <f aca="false">IF((P362+Q362)&gt;0,1,0)+IF((BR362+BS362)&gt;0,1,0)+IF(BE362&gt;0,1,0)</f>
        <v>2</v>
      </c>
    </row>
    <row r="363" customFormat="false" ht="15" hidden="false" customHeight="true" outlineLevel="0" collapsed="false">
      <c r="A363" s="16" t="s">
        <v>1006</v>
      </c>
      <c r="B363" s="17" t="s">
        <v>1007</v>
      </c>
      <c r="C363" s="18" t="s">
        <v>61</v>
      </c>
      <c r="D363" s="17" t="s">
        <v>100</v>
      </c>
      <c r="E363" s="29" t="s">
        <v>365</v>
      </c>
      <c r="F363" s="20"/>
      <c r="G363" s="20"/>
      <c r="H363" s="20"/>
      <c r="I363" s="27" t="n">
        <v>705.23</v>
      </c>
      <c r="J363" s="20"/>
      <c r="K363" s="20"/>
      <c r="L363" s="27" t="n">
        <v>1025.88</v>
      </c>
      <c r="M363" s="20"/>
      <c r="N363" s="20"/>
      <c r="O363" s="20"/>
      <c r="P363" s="20"/>
      <c r="Q363" s="20"/>
      <c r="R363" s="21" t="n">
        <f aca="false">SUM(F363:Q363)</f>
        <v>1731.11</v>
      </c>
      <c r="S363" s="18"/>
      <c r="T363" s="18"/>
      <c r="U363" s="18"/>
      <c r="V363" s="28" t="n">
        <v>1</v>
      </c>
      <c r="W363" s="18"/>
      <c r="X363" s="18"/>
      <c r="Y363" s="28" t="n">
        <v>1</v>
      </c>
      <c r="Z363" s="18"/>
      <c r="AA363" s="18"/>
      <c r="AB363" s="18"/>
      <c r="AC363" s="18"/>
      <c r="AD363" s="18"/>
      <c r="AE363" s="22" t="n">
        <f aca="false">SUM(S363:AD363)</f>
        <v>2</v>
      </c>
      <c r="AF363" s="22"/>
      <c r="AG363" s="22"/>
      <c r="AH363" s="22"/>
      <c r="AI363" s="29" t="s">
        <v>48</v>
      </c>
      <c r="AJ363" s="22"/>
      <c r="AK363" s="22"/>
      <c r="AL363" s="30" t="s">
        <v>49</v>
      </c>
      <c r="AM363" s="22"/>
      <c r="AN363" s="22"/>
      <c r="AO363" s="22"/>
      <c r="AP363" s="22"/>
      <c r="AQ363" s="22"/>
      <c r="AR363" s="30" t="s">
        <v>49</v>
      </c>
      <c r="AS363" s="18"/>
      <c r="AT363" s="18"/>
      <c r="AU363" s="18"/>
      <c r="AV363" s="25" t="n">
        <v>1</v>
      </c>
      <c r="AW363" s="25" t="n">
        <v>1</v>
      </c>
      <c r="AX363" s="18"/>
      <c r="AY363" s="25" t="n">
        <v>1</v>
      </c>
      <c r="AZ363" s="18"/>
      <c r="BA363" s="18"/>
      <c r="BB363" s="25" t="n">
        <v>1</v>
      </c>
      <c r="BC363" s="18"/>
      <c r="BD363" s="18"/>
      <c r="BE363" s="22" t="n">
        <f aca="false">SUM(AS363:BD363)</f>
        <v>4</v>
      </c>
      <c r="BF363" s="23" t="n">
        <v>1025.88</v>
      </c>
      <c r="BG363" s="19" t="s">
        <v>55</v>
      </c>
      <c r="BH363" s="25" t="n">
        <v>1</v>
      </c>
      <c r="BI363" s="18"/>
      <c r="BJ363" s="18"/>
      <c r="BK363" s="25" t="n">
        <v>2</v>
      </c>
      <c r="BL363" s="18"/>
      <c r="BM363" s="18"/>
      <c r="BN363" s="18"/>
      <c r="BO363" s="25" t="n">
        <v>2</v>
      </c>
      <c r="BP363" s="18"/>
      <c r="BQ363" s="18"/>
      <c r="BR363" s="25" t="n">
        <v>1</v>
      </c>
      <c r="BS363" s="18"/>
      <c r="BT363" s="22" t="n">
        <f aca="false">SUM(BH363:BS363)</f>
        <v>6</v>
      </c>
      <c r="BU363" s="26" t="n">
        <v>46036.4570949074</v>
      </c>
      <c r="BV363" s="17"/>
      <c r="BW363" s="17" t="s">
        <v>44</v>
      </c>
      <c r="BX363" s="23" t="n">
        <f aca="false">IFERROR(R363/AE363,0)</f>
        <v>865.555</v>
      </c>
      <c r="BY363" s="23" t="n">
        <f aca="false">IFERROR(R363/12,0)</f>
        <v>144.259166666667</v>
      </c>
      <c r="BZ363" s="18" t="n">
        <v>100</v>
      </c>
      <c r="CA363" s="22" t="str">
        <f aca="false">IF(AE363=0,"PROSPECT",IF(AE363=1,"NOVO",IF(AE363&lt;=3,"EM DESENV.",IF(AE363&lt;=6,"RECORRENTE","FIDELIZADO"))))</f>
        <v>EM DESENV.</v>
      </c>
      <c r="CB363" s="22" t="n">
        <f aca="false">IF((P363+Q363)&gt;0,1,0)+IF((BR363+BS363)&gt;0,1,0)+IF(BE363&gt;0,1,0)</f>
        <v>2</v>
      </c>
    </row>
    <row r="364" customFormat="false" ht="15" hidden="false" customHeight="true" outlineLevel="0" collapsed="false">
      <c r="A364" s="16" t="s">
        <v>1008</v>
      </c>
      <c r="B364" s="17" t="s">
        <v>1009</v>
      </c>
      <c r="C364" s="18" t="s">
        <v>72</v>
      </c>
      <c r="D364" s="17" t="s">
        <v>1010</v>
      </c>
      <c r="E364" s="29" t="s">
        <v>365</v>
      </c>
      <c r="F364" s="20"/>
      <c r="G364" s="20"/>
      <c r="H364" s="20"/>
      <c r="I364" s="20"/>
      <c r="J364" s="20"/>
      <c r="K364" s="20"/>
      <c r="L364" s="20"/>
      <c r="M364" s="20"/>
      <c r="N364" s="27" t="n">
        <v>1154.73</v>
      </c>
      <c r="O364" s="20"/>
      <c r="P364" s="20"/>
      <c r="Q364" s="20"/>
      <c r="R364" s="21" t="n">
        <f aca="false">SUM(F364:Q364)</f>
        <v>1154.73</v>
      </c>
      <c r="S364" s="18"/>
      <c r="T364" s="18"/>
      <c r="U364" s="18"/>
      <c r="V364" s="18"/>
      <c r="W364" s="18"/>
      <c r="X364" s="18"/>
      <c r="Y364" s="18"/>
      <c r="Z364" s="18"/>
      <c r="AA364" s="28" t="n">
        <v>1</v>
      </c>
      <c r="AB364" s="18"/>
      <c r="AC364" s="18"/>
      <c r="AD364" s="18"/>
      <c r="AE364" s="22" t="n">
        <f aca="false">SUM(S364:AD364)</f>
        <v>1</v>
      </c>
      <c r="AF364" s="22"/>
      <c r="AG364" s="22"/>
      <c r="AH364" s="22"/>
      <c r="AI364" s="30" t="s">
        <v>49</v>
      </c>
      <c r="AJ364" s="22"/>
      <c r="AK364" s="19" t="s">
        <v>50</v>
      </c>
      <c r="AL364" s="19" t="s">
        <v>50</v>
      </c>
      <c r="AM364" s="19" t="s">
        <v>50</v>
      </c>
      <c r="AN364" s="30" t="s">
        <v>49</v>
      </c>
      <c r="AO364" s="22"/>
      <c r="AP364" s="22"/>
      <c r="AQ364" s="22"/>
      <c r="AR364" s="19" t="s">
        <v>50</v>
      </c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22" t="n">
        <f aca="false">SUM(AS364:BD364)</f>
        <v>0</v>
      </c>
      <c r="BF364" s="23"/>
      <c r="BG364" s="24"/>
      <c r="BH364" s="18"/>
      <c r="BI364" s="18"/>
      <c r="BJ364" s="18"/>
      <c r="BK364" s="18"/>
      <c r="BL364" s="25" t="n">
        <v>1</v>
      </c>
      <c r="BM364" s="18"/>
      <c r="BN364" s="18"/>
      <c r="BO364" s="18"/>
      <c r="BP364" s="18"/>
      <c r="BQ364" s="18"/>
      <c r="BR364" s="18"/>
      <c r="BS364" s="18"/>
      <c r="BT364" s="22" t="n">
        <f aca="false">SUM(BH364:BS364)</f>
        <v>1</v>
      </c>
      <c r="BU364" s="26" t="n">
        <v>45859.4968287037</v>
      </c>
      <c r="BV364" s="17"/>
      <c r="BW364" s="17" t="s">
        <v>44</v>
      </c>
      <c r="BX364" s="23" t="n">
        <f aca="false">IFERROR(R364/AE364,0)</f>
        <v>1154.73</v>
      </c>
      <c r="BY364" s="23" t="n">
        <f aca="false">IFERROR(R364/12,0)</f>
        <v>96.2275</v>
      </c>
      <c r="BZ364" s="18" t="n">
        <v>39.75</v>
      </c>
      <c r="CA364" s="22" t="str">
        <f aca="false">IF(AE364=0,"PROSPECT",IF(AE364=1,"NOVO",IF(AE364&lt;=3,"EM DESENV.",IF(AE364&lt;=6,"RECORRENTE","FIDELIZADO"))))</f>
        <v>NOVO</v>
      </c>
      <c r="CB364" s="22" t="n">
        <f aca="false">IF((P364+Q364)&gt;0,1,0)+IF((BR364+BS364)&gt;0,1,0)+IF(BE364&gt;0,1,0)</f>
        <v>0</v>
      </c>
    </row>
    <row r="365" customFormat="false" ht="15" hidden="false" customHeight="true" outlineLevel="0" collapsed="false">
      <c r="A365" s="16" t="s">
        <v>1011</v>
      </c>
      <c r="B365" s="17" t="s">
        <v>1009</v>
      </c>
      <c r="C365" s="18" t="s">
        <v>72</v>
      </c>
      <c r="D365" s="17" t="s">
        <v>1012</v>
      </c>
      <c r="E365" s="29" t="s">
        <v>365</v>
      </c>
      <c r="F365" s="20"/>
      <c r="G365" s="20"/>
      <c r="H365" s="20"/>
      <c r="I365" s="27" t="n">
        <v>3494.04</v>
      </c>
      <c r="J365" s="20"/>
      <c r="K365" s="27" t="n">
        <v>9039.59</v>
      </c>
      <c r="L365" s="27" t="n">
        <v>5107.02</v>
      </c>
      <c r="M365" s="27" t="n">
        <v>7191.58</v>
      </c>
      <c r="N365" s="27" t="n">
        <v>397.43</v>
      </c>
      <c r="O365" s="20"/>
      <c r="P365" s="20"/>
      <c r="Q365" s="20"/>
      <c r="R365" s="21" t="n">
        <f aca="false">SUM(F365:Q365)</f>
        <v>25229.66</v>
      </c>
      <c r="S365" s="18"/>
      <c r="T365" s="18"/>
      <c r="U365" s="18"/>
      <c r="V365" s="28" t="n">
        <v>1</v>
      </c>
      <c r="W365" s="18"/>
      <c r="X365" s="28" t="n">
        <v>1</v>
      </c>
      <c r="Y365" s="28" t="n">
        <v>1</v>
      </c>
      <c r="Z365" s="28" t="n">
        <v>1</v>
      </c>
      <c r="AA365" s="28" t="n">
        <v>1</v>
      </c>
      <c r="AB365" s="18"/>
      <c r="AC365" s="18"/>
      <c r="AD365" s="18"/>
      <c r="AE365" s="22" t="n">
        <f aca="false">SUM(S365:AD365)</f>
        <v>5</v>
      </c>
      <c r="AF365" s="22"/>
      <c r="AG365" s="22"/>
      <c r="AH365" s="22"/>
      <c r="AI365" s="30" t="s">
        <v>49</v>
      </c>
      <c r="AJ365" s="22"/>
      <c r="AK365" s="19" t="s">
        <v>50</v>
      </c>
      <c r="AL365" s="30" t="s">
        <v>49</v>
      </c>
      <c r="AM365" s="19" t="s">
        <v>50</v>
      </c>
      <c r="AN365" s="29" t="s">
        <v>48</v>
      </c>
      <c r="AO365" s="22"/>
      <c r="AP365" s="22"/>
      <c r="AQ365" s="22"/>
      <c r="AR365" s="19" t="s">
        <v>50</v>
      </c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22" t="n">
        <f aca="false">SUM(AS365:BD365)</f>
        <v>0</v>
      </c>
      <c r="BF365" s="23"/>
      <c r="BG365" s="24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22" t="n">
        <f aca="false">SUM(BH365:BS365)</f>
        <v>0</v>
      </c>
      <c r="BU365" s="26"/>
      <c r="BV365" s="17"/>
      <c r="BW365" s="17"/>
      <c r="BX365" s="23" t="n">
        <f aca="false">IFERROR(R365/AE365,0)</f>
        <v>5045.932</v>
      </c>
      <c r="BY365" s="23" t="n">
        <f aca="false">IFERROR(R365/12,0)</f>
        <v>2102.47166666667</v>
      </c>
      <c r="BZ365" s="18" t="n">
        <v>39.75</v>
      </c>
      <c r="CA365" s="22" t="str">
        <f aca="false">IF(AE365=0,"PROSPECT",IF(AE365=1,"NOVO",IF(AE365&lt;=3,"EM DESENV.",IF(AE365&lt;=6,"RECORRENTE","FIDELIZADO"))))</f>
        <v>RECORRENTE</v>
      </c>
      <c r="CB365" s="22" t="n">
        <f aca="false">IF((P365+Q365)&gt;0,1,0)+IF((BR365+BS365)&gt;0,1,0)+IF(BE365&gt;0,1,0)</f>
        <v>0</v>
      </c>
    </row>
    <row r="366" customFormat="false" ht="15" hidden="false" customHeight="true" outlineLevel="0" collapsed="false">
      <c r="A366" s="16" t="s">
        <v>1013</v>
      </c>
      <c r="B366" s="17" t="s">
        <v>1014</v>
      </c>
      <c r="C366" s="18" t="s">
        <v>72</v>
      </c>
      <c r="D366" s="17" t="s">
        <v>1015</v>
      </c>
      <c r="E366" s="29" t="s">
        <v>365</v>
      </c>
      <c r="F366" s="20"/>
      <c r="G366" s="20"/>
      <c r="H366" s="20"/>
      <c r="I366" s="20"/>
      <c r="J366" s="20"/>
      <c r="K366" s="20"/>
      <c r="L366" s="20"/>
      <c r="M366" s="20"/>
      <c r="N366" s="27" t="n">
        <v>948.59</v>
      </c>
      <c r="O366" s="20"/>
      <c r="P366" s="20"/>
      <c r="Q366" s="20"/>
      <c r="R366" s="21" t="n">
        <f aca="false">SUM(F366:Q366)</f>
        <v>948.59</v>
      </c>
      <c r="S366" s="18"/>
      <c r="T366" s="18"/>
      <c r="U366" s="18"/>
      <c r="V366" s="18"/>
      <c r="W366" s="18"/>
      <c r="X366" s="18"/>
      <c r="Y366" s="18"/>
      <c r="Z366" s="18"/>
      <c r="AA366" s="28" t="n">
        <v>1</v>
      </c>
      <c r="AB366" s="18"/>
      <c r="AC366" s="18"/>
      <c r="AD366" s="18"/>
      <c r="AE366" s="22" t="n">
        <f aca="false">SUM(S366:AD366)</f>
        <v>1</v>
      </c>
      <c r="AF366" s="22"/>
      <c r="AG366" s="22"/>
      <c r="AH366" s="22"/>
      <c r="AI366" s="30" t="s">
        <v>49</v>
      </c>
      <c r="AJ366" s="22"/>
      <c r="AK366" s="19" t="s">
        <v>50</v>
      </c>
      <c r="AL366" s="19" t="s">
        <v>50</v>
      </c>
      <c r="AM366" s="19" t="s">
        <v>50</v>
      </c>
      <c r="AN366" s="30" t="s">
        <v>49</v>
      </c>
      <c r="AO366" s="22"/>
      <c r="AP366" s="22"/>
      <c r="AQ366" s="22"/>
      <c r="AR366" s="19" t="s">
        <v>50</v>
      </c>
      <c r="AS366" s="18"/>
      <c r="AT366" s="18"/>
      <c r="AU366" s="18"/>
      <c r="AV366" s="25" t="n">
        <v>9</v>
      </c>
      <c r="AW366" s="18"/>
      <c r="AX366" s="25" t="n">
        <v>2</v>
      </c>
      <c r="AY366" s="18"/>
      <c r="AZ366" s="18"/>
      <c r="BA366" s="18"/>
      <c r="BB366" s="25" t="n">
        <v>1</v>
      </c>
      <c r="BC366" s="18"/>
      <c r="BD366" s="18"/>
      <c r="BE366" s="22" t="n">
        <f aca="false">SUM(AS366:BD366)</f>
        <v>12</v>
      </c>
      <c r="BF366" s="23" t="n">
        <v>5112.98</v>
      </c>
      <c r="BG366" s="19" t="s">
        <v>55</v>
      </c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22" t="n">
        <f aca="false">SUM(BH366:BS366)</f>
        <v>0</v>
      </c>
      <c r="BU366" s="26"/>
      <c r="BV366" s="17"/>
      <c r="BW366" s="17"/>
      <c r="BX366" s="23" t="n">
        <f aca="false">IFERROR(R366/AE366,0)</f>
        <v>948.59</v>
      </c>
      <c r="BY366" s="23" t="n">
        <f aca="false">IFERROR(R366/12,0)</f>
        <v>79.0491666666667</v>
      </c>
      <c r="BZ366" s="18" t="n">
        <v>39.75</v>
      </c>
      <c r="CA366" s="22" t="str">
        <f aca="false">IF(AE366=0,"PROSPECT",IF(AE366=1,"NOVO",IF(AE366&lt;=3,"EM DESENV.",IF(AE366&lt;=6,"RECORRENTE","FIDELIZADO"))))</f>
        <v>NOVO</v>
      </c>
      <c r="CB366" s="22" t="n">
        <f aca="false">IF((P366+Q366)&gt;0,1,0)+IF((BR366+BS366)&gt;0,1,0)+IF(BE366&gt;0,1,0)</f>
        <v>1</v>
      </c>
    </row>
    <row r="367" customFormat="false" ht="15" hidden="false" customHeight="true" outlineLevel="0" collapsed="false">
      <c r="A367" s="16" t="s">
        <v>1016</v>
      </c>
      <c r="B367" s="17" t="s">
        <v>1017</v>
      </c>
      <c r="C367" s="18" t="s">
        <v>61</v>
      </c>
      <c r="D367" s="17" t="s">
        <v>1018</v>
      </c>
      <c r="E367" s="29" t="s">
        <v>365</v>
      </c>
      <c r="F367" s="20"/>
      <c r="G367" s="20"/>
      <c r="H367" s="20"/>
      <c r="I367" s="20"/>
      <c r="J367" s="27" t="n">
        <v>712.76</v>
      </c>
      <c r="K367" s="27" t="n">
        <v>667.16</v>
      </c>
      <c r="L367" s="20"/>
      <c r="M367" s="20"/>
      <c r="N367" s="20"/>
      <c r="O367" s="27" t="n">
        <v>830.33</v>
      </c>
      <c r="P367" s="20"/>
      <c r="Q367" s="20"/>
      <c r="R367" s="21" t="n">
        <f aca="false">SUM(F367:Q367)</f>
        <v>2210.25</v>
      </c>
      <c r="S367" s="18"/>
      <c r="T367" s="18"/>
      <c r="U367" s="18"/>
      <c r="V367" s="18"/>
      <c r="W367" s="28" t="n">
        <v>1</v>
      </c>
      <c r="X367" s="28" t="n">
        <v>1</v>
      </c>
      <c r="Y367" s="18"/>
      <c r="Z367" s="18"/>
      <c r="AA367" s="18"/>
      <c r="AB367" s="28" t="n">
        <v>1</v>
      </c>
      <c r="AC367" s="18"/>
      <c r="AD367" s="18"/>
      <c r="AE367" s="22" t="n">
        <f aca="false">SUM(S367:AD367)</f>
        <v>3</v>
      </c>
      <c r="AF367" s="22"/>
      <c r="AG367" s="22"/>
      <c r="AH367" s="22"/>
      <c r="AI367" s="22"/>
      <c r="AJ367" s="29" t="s">
        <v>48</v>
      </c>
      <c r="AK367" s="29" t="s">
        <v>48</v>
      </c>
      <c r="AL367" s="22"/>
      <c r="AM367" s="22"/>
      <c r="AN367" s="22"/>
      <c r="AO367" s="30" t="s">
        <v>49</v>
      </c>
      <c r="AP367" s="22"/>
      <c r="AQ367" s="22"/>
      <c r="AR367" s="30" t="s">
        <v>49</v>
      </c>
      <c r="AS367" s="18"/>
      <c r="AT367" s="18"/>
      <c r="AU367" s="18"/>
      <c r="AV367" s="18"/>
      <c r="AW367" s="18"/>
      <c r="AX367" s="25" t="n">
        <v>7</v>
      </c>
      <c r="AY367" s="18"/>
      <c r="AZ367" s="18"/>
      <c r="BA367" s="25" t="n">
        <v>10</v>
      </c>
      <c r="BB367" s="25" t="n">
        <v>7</v>
      </c>
      <c r="BC367" s="25" t="n">
        <v>2</v>
      </c>
      <c r="BD367" s="18"/>
      <c r="BE367" s="22" t="n">
        <f aca="false">SUM(AS367:BD367)</f>
        <v>26</v>
      </c>
      <c r="BF367" s="23" t="n">
        <v>1497.49</v>
      </c>
      <c r="BG367" s="19" t="s">
        <v>55</v>
      </c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22" t="n">
        <f aca="false">SUM(BH367:BS367)</f>
        <v>0</v>
      </c>
      <c r="BU367" s="26"/>
      <c r="BV367" s="17"/>
      <c r="BW367" s="17"/>
      <c r="BX367" s="23" t="n">
        <f aca="false">IFERROR(R367/AE367,0)</f>
        <v>736.75</v>
      </c>
      <c r="BY367" s="23" t="n">
        <f aca="false">IFERROR(R367/12,0)</f>
        <v>184.1875</v>
      </c>
      <c r="BZ367" s="18" t="n">
        <v>69</v>
      </c>
      <c r="CA367" s="22" t="str">
        <f aca="false">IF(AE367=0,"PROSPECT",IF(AE367=1,"NOVO",IF(AE367&lt;=3,"EM DESENV.",IF(AE367&lt;=6,"RECORRENTE","FIDELIZADO"))))</f>
        <v>EM DESENV.</v>
      </c>
      <c r="CB367" s="22" t="n">
        <f aca="false">IF((P367+Q367)&gt;0,1,0)+IF((BR367+BS367)&gt;0,1,0)+IF(BE367&gt;0,1,0)</f>
        <v>1</v>
      </c>
    </row>
    <row r="368" customFormat="false" ht="15" hidden="false" customHeight="true" outlineLevel="0" collapsed="false">
      <c r="A368" s="16" t="s">
        <v>1019</v>
      </c>
      <c r="B368" s="17" t="s">
        <v>1020</v>
      </c>
      <c r="C368" s="18" t="s">
        <v>61</v>
      </c>
      <c r="D368" s="17" t="s">
        <v>1021</v>
      </c>
      <c r="E368" s="29" t="s">
        <v>365</v>
      </c>
      <c r="F368" s="20"/>
      <c r="G368" s="20"/>
      <c r="H368" s="20"/>
      <c r="I368" s="20"/>
      <c r="J368" s="20"/>
      <c r="K368" s="20"/>
      <c r="L368" s="20"/>
      <c r="M368" s="27" t="n">
        <v>1253.8</v>
      </c>
      <c r="N368" s="20"/>
      <c r="O368" s="20"/>
      <c r="P368" s="20"/>
      <c r="Q368" s="20"/>
      <c r="R368" s="21" t="n">
        <f aca="false">SUM(F368:Q368)</f>
        <v>1253.8</v>
      </c>
      <c r="S368" s="18"/>
      <c r="T368" s="18"/>
      <c r="U368" s="18"/>
      <c r="V368" s="18"/>
      <c r="W368" s="18"/>
      <c r="X368" s="18"/>
      <c r="Y368" s="18"/>
      <c r="Z368" s="28" t="n">
        <v>1</v>
      </c>
      <c r="AA368" s="18"/>
      <c r="AB368" s="18"/>
      <c r="AC368" s="18"/>
      <c r="AD368" s="18"/>
      <c r="AE368" s="22" t="n">
        <f aca="false">SUM(S368:AD368)</f>
        <v>1</v>
      </c>
      <c r="AF368" s="22"/>
      <c r="AG368" s="22"/>
      <c r="AH368" s="22"/>
      <c r="AI368" s="22"/>
      <c r="AJ368" s="22"/>
      <c r="AK368" s="22"/>
      <c r="AL368" s="22"/>
      <c r="AM368" s="30" t="s">
        <v>49</v>
      </c>
      <c r="AN368" s="22"/>
      <c r="AO368" s="22"/>
      <c r="AP368" s="22"/>
      <c r="AQ368" s="22"/>
      <c r="AR368" s="30" t="s">
        <v>49</v>
      </c>
      <c r="AS368" s="18"/>
      <c r="AT368" s="18"/>
      <c r="AU368" s="18"/>
      <c r="AV368" s="18"/>
      <c r="AW368" s="18"/>
      <c r="AX368" s="18"/>
      <c r="AY368" s="18"/>
      <c r="AZ368" s="18"/>
      <c r="BA368" s="25" t="n">
        <v>2</v>
      </c>
      <c r="BB368" s="18"/>
      <c r="BC368" s="18"/>
      <c r="BD368" s="18"/>
      <c r="BE368" s="22" t="n">
        <f aca="false">SUM(AS368:BD368)</f>
        <v>2</v>
      </c>
      <c r="BF368" s="23"/>
      <c r="BG368" s="31" t="s">
        <v>93</v>
      </c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22" t="n">
        <f aca="false">SUM(BH368:BS368)</f>
        <v>0</v>
      </c>
      <c r="BU368" s="26"/>
      <c r="BV368" s="17"/>
      <c r="BW368" s="17"/>
      <c r="BX368" s="23" t="n">
        <f aca="false">IFERROR(R368/AE368,0)</f>
        <v>1253.8</v>
      </c>
      <c r="BY368" s="23" t="n">
        <f aca="false">IFERROR(R368/12,0)</f>
        <v>104.483333333333</v>
      </c>
      <c r="BZ368" s="18" t="n">
        <v>0</v>
      </c>
      <c r="CA368" s="22" t="str">
        <f aca="false">IF(AE368=0,"PROSPECT",IF(AE368=1,"NOVO",IF(AE368&lt;=3,"EM DESENV.",IF(AE368&lt;=6,"RECORRENTE","FIDELIZADO"))))</f>
        <v>NOVO</v>
      </c>
      <c r="CB368" s="22" t="n">
        <f aca="false">IF((P368+Q368)&gt;0,1,0)+IF((BR368+BS368)&gt;0,1,0)+IF(BE368&gt;0,1,0)</f>
        <v>1</v>
      </c>
    </row>
    <row r="369" customFormat="false" ht="15" hidden="false" customHeight="true" outlineLevel="0" collapsed="false">
      <c r="A369" s="16" t="s">
        <v>1022</v>
      </c>
      <c r="B369" s="17" t="s">
        <v>1023</v>
      </c>
      <c r="C369" s="18" t="s">
        <v>61</v>
      </c>
      <c r="D369" s="17" t="s">
        <v>1024</v>
      </c>
      <c r="E369" s="29" t="s">
        <v>365</v>
      </c>
      <c r="F369" s="20"/>
      <c r="G369" s="20"/>
      <c r="H369" s="20"/>
      <c r="I369" s="20"/>
      <c r="J369" s="20"/>
      <c r="K369" s="27" t="n">
        <v>2595.11</v>
      </c>
      <c r="L369" s="27" t="n">
        <v>2129.81</v>
      </c>
      <c r="M369" s="20"/>
      <c r="N369" s="27" t="n">
        <v>1368.08</v>
      </c>
      <c r="O369" s="20"/>
      <c r="P369" s="20"/>
      <c r="Q369" s="20"/>
      <c r="R369" s="21" t="n">
        <f aca="false">SUM(F369:Q369)</f>
        <v>6093</v>
      </c>
      <c r="S369" s="18"/>
      <c r="T369" s="18"/>
      <c r="U369" s="18"/>
      <c r="V369" s="18"/>
      <c r="W369" s="18"/>
      <c r="X369" s="28" t="n">
        <v>1</v>
      </c>
      <c r="Y369" s="28" t="n">
        <v>1</v>
      </c>
      <c r="Z369" s="18"/>
      <c r="AA369" s="28" t="n">
        <v>1</v>
      </c>
      <c r="AB369" s="18"/>
      <c r="AC369" s="18"/>
      <c r="AD369" s="18"/>
      <c r="AE369" s="22" t="n">
        <f aca="false">SUM(S369:AD369)</f>
        <v>3</v>
      </c>
      <c r="AF369" s="22"/>
      <c r="AG369" s="22"/>
      <c r="AH369" s="22"/>
      <c r="AI369" s="22"/>
      <c r="AJ369" s="22"/>
      <c r="AK369" s="19" t="s">
        <v>50</v>
      </c>
      <c r="AL369" s="19" t="s">
        <v>50</v>
      </c>
      <c r="AM369" s="22"/>
      <c r="AN369" s="30" t="s">
        <v>49</v>
      </c>
      <c r="AO369" s="22"/>
      <c r="AP369" s="22"/>
      <c r="AQ369" s="22"/>
      <c r="AR369" s="19" t="s">
        <v>50</v>
      </c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22" t="n">
        <f aca="false">SUM(AS369:BD369)</f>
        <v>0</v>
      </c>
      <c r="BF369" s="23"/>
      <c r="BG369" s="24"/>
      <c r="BH369" s="18"/>
      <c r="BI369" s="18"/>
      <c r="BJ369" s="18"/>
      <c r="BK369" s="18"/>
      <c r="BL369" s="18"/>
      <c r="BM369" s="18"/>
      <c r="BN369" s="18"/>
      <c r="BO369" s="18"/>
      <c r="BP369" s="18"/>
      <c r="BQ369" s="25" t="n">
        <v>1</v>
      </c>
      <c r="BR369" s="18"/>
      <c r="BS369" s="25" t="n">
        <v>2</v>
      </c>
      <c r="BT369" s="22" t="n">
        <f aca="false">SUM(BH369:BS369)</f>
        <v>3</v>
      </c>
      <c r="BU369" s="26" t="n">
        <v>46056.7236111111</v>
      </c>
      <c r="BV369" s="17"/>
      <c r="BW369" s="17" t="s">
        <v>117</v>
      </c>
      <c r="BX369" s="23" t="n">
        <f aca="false">IFERROR(R369/AE369,0)</f>
        <v>2031</v>
      </c>
      <c r="BY369" s="23" t="n">
        <f aca="false">IFERROR(R369/12,0)</f>
        <v>507.75</v>
      </c>
      <c r="BZ369" s="18" t="n">
        <v>37.3333</v>
      </c>
      <c r="CA369" s="22" t="str">
        <f aca="false">IF(AE369=0,"PROSPECT",IF(AE369=1,"NOVO",IF(AE369&lt;=3,"EM DESENV.",IF(AE369&lt;=6,"RECORRENTE","FIDELIZADO"))))</f>
        <v>EM DESENV.</v>
      </c>
      <c r="CB369" s="22" t="n">
        <f aca="false">IF((P369+Q369)&gt;0,1,0)+IF((BR369+BS369)&gt;0,1,0)+IF(BE369&gt;0,1,0)</f>
        <v>1</v>
      </c>
    </row>
    <row r="370" customFormat="false" ht="15" hidden="false" customHeight="true" outlineLevel="0" collapsed="false">
      <c r="A370" s="16" t="s">
        <v>1025</v>
      </c>
      <c r="B370" s="17" t="s">
        <v>1026</v>
      </c>
      <c r="C370" s="18" t="s">
        <v>41</v>
      </c>
      <c r="D370" s="17" t="s">
        <v>531</v>
      </c>
      <c r="E370" s="29" t="s">
        <v>365</v>
      </c>
      <c r="F370" s="20"/>
      <c r="G370" s="20"/>
      <c r="H370" s="20"/>
      <c r="I370" s="27" t="n">
        <v>10200.37</v>
      </c>
      <c r="J370" s="20"/>
      <c r="K370" s="20"/>
      <c r="L370" s="20"/>
      <c r="M370" s="20"/>
      <c r="N370" s="20"/>
      <c r="O370" s="20"/>
      <c r="P370" s="20"/>
      <c r="Q370" s="20"/>
      <c r="R370" s="21" t="n">
        <f aca="false">SUM(F370:Q370)</f>
        <v>10200.37</v>
      </c>
      <c r="S370" s="18"/>
      <c r="T370" s="18"/>
      <c r="U370" s="18"/>
      <c r="V370" s="28" t="n">
        <v>1</v>
      </c>
      <c r="W370" s="18"/>
      <c r="X370" s="18"/>
      <c r="Y370" s="18"/>
      <c r="Z370" s="18"/>
      <c r="AA370" s="18"/>
      <c r="AB370" s="18"/>
      <c r="AC370" s="18"/>
      <c r="AD370" s="18"/>
      <c r="AE370" s="22" t="n">
        <f aca="false">SUM(S370:AD370)</f>
        <v>1</v>
      </c>
      <c r="AF370" s="22"/>
      <c r="AG370" s="22"/>
      <c r="AH370" s="22"/>
      <c r="AI370" s="19" t="s">
        <v>50</v>
      </c>
      <c r="AJ370" s="22"/>
      <c r="AK370" s="22"/>
      <c r="AL370" s="22"/>
      <c r="AM370" s="22"/>
      <c r="AN370" s="22"/>
      <c r="AO370" s="22"/>
      <c r="AP370" s="22"/>
      <c r="AQ370" s="22"/>
      <c r="AR370" s="19" t="s">
        <v>50</v>
      </c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22" t="n">
        <f aca="false">SUM(AS370:BD370)</f>
        <v>0</v>
      </c>
      <c r="BF370" s="23"/>
      <c r="BG370" s="24"/>
      <c r="BH370" s="18"/>
      <c r="BI370" s="18"/>
      <c r="BJ370" s="18"/>
      <c r="BK370" s="25" t="n">
        <v>2</v>
      </c>
      <c r="BL370" s="18"/>
      <c r="BM370" s="18"/>
      <c r="BN370" s="18"/>
      <c r="BO370" s="25" t="n">
        <v>1</v>
      </c>
      <c r="BP370" s="25" t="n">
        <v>1</v>
      </c>
      <c r="BQ370" s="18"/>
      <c r="BR370" s="18"/>
      <c r="BS370" s="25" t="n">
        <v>2</v>
      </c>
      <c r="BT370" s="22" t="n">
        <f aca="false">SUM(BH370:BS370)</f>
        <v>6</v>
      </c>
      <c r="BU370" s="26" t="n">
        <v>46056.7243055556</v>
      </c>
      <c r="BV370" s="17"/>
      <c r="BW370" s="17" t="s">
        <v>117</v>
      </c>
      <c r="BX370" s="23" t="n">
        <f aca="false">IFERROR(R370/AE370,0)</f>
        <v>10200.37</v>
      </c>
      <c r="BY370" s="23" t="n">
        <f aca="false">IFERROR(R370/12,0)</f>
        <v>850.030833333333</v>
      </c>
      <c r="BZ370" s="18" t="n">
        <v>0</v>
      </c>
      <c r="CA370" s="22" t="str">
        <f aca="false">IF(AE370=0,"PROSPECT",IF(AE370=1,"NOVO",IF(AE370&lt;=3,"EM DESENV.",IF(AE370&lt;=6,"RECORRENTE","FIDELIZADO"))))</f>
        <v>NOVO</v>
      </c>
      <c r="CB370" s="22" t="n">
        <f aca="false">IF((P370+Q370)&gt;0,1,0)+IF((BR370+BS370)&gt;0,1,0)+IF(BE370&gt;0,1,0)</f>
        <v>1</v>
      </c>
    </row>
    <row r="371" customFormat="false" ht="15" hidden="false" customHeight="true" outlineLevel="0" collapsed="false">
      <c r="A371" s="16" t="s">
        <v>1027</v>
      </c>
      <c r="B371" s="17" t="s">
        <v>1028</v>
      </c>
      <c r="C371" s="18" t="s">
        <v>309</v>
      </c>
      <c r="D371" s="17" t="s">
        <v>1029</v>
      </c>
      <c r="E371" s="29" t="s">
        <v>365</v>
      </c>
      <c r="F371" s="20"/>
      <c r="G371" s="20"/>
      <c r="H371" s="20"/>
      <c r="I371" s="20"/>
      <c r="J371" s="20"/>
      <c r="K371" s="20"/>
      <c r="L371" s="20"/>
      <c r="M371" s="20"/>
      <c r="N371" s="20"/>
      <c r="O371" s="27" t="n">
        <v>2536.11</v>
      </c>
      <c r="P371" s="20"/>
      <c r="Q371" s="20"/>
      <c r="R371" s="21" t="n">
        <f aca="false">SUM(F371:Q371)</f>
        <v>2536.11</v>
      </c>
      <c r="S371" s="18"/>
      <c r="T371" s="18"/>
      <c r="U371" s="18"/>
      <c r="V371" s="18"/>
      <c r="W371" s="18"/>
      <c r="X371" s="18"/>
      <c r="Y371" s="18"/>
      <c r="Z371" s="18"/>
      <c r="AA371" s="18"/>
      <c r="AB371" s="28" t="n">
        <v>1</v>
      </c>
      <c r="AC371" s="18"/>
      <c r="AD371" s="18"/>
      <c r="AE371" s="22" t="n">
        <f aca="false">SUM(S371:AD371)</f>
        <v>1</v>
      </c>
      <c r="AF371" s="22"/>
      <c r="AG371" s="22"/>
      <c r="AH371" s="22"/>
      <c r="AI371" s="22"/>
      <c r="AJ371" s="22"/>
      <c r="AK371" s="22"/>
      <c r="AL371" s="22"/>
      <c r="AM371" s="22"/>
      <c r="AN371" s="22"/>
      <c r="AO371" s="19" t="s">
        <v>50</v>
      </c>
      <c r="AP371" s="22"/>
      <c r="AQ371" s="22"/>
      <c r="AR371" s="19" t="s">
        <v>50</v>
      </c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22" t="n">
        <f aca="false">SUM(AS371:BD371)</f>
        <v>0</v>
      </c>
      <c r="BF371" s="23"/>
      <c r="BG371" s="24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25" t="n">
        <v>1</v>
      </c>
      <c r="BS371" s="18"/>
      <c r="BT371" s="22" t="n">
        <f aca="false">SUM(BH371:BS371)</f>
        <v>1</v>
      </c>
      <c r="BU371" s="26" t="n">
        <v>46050.478900463</v>
      </c>
      <c r="BV371" s="17"/>
      <c r="BW371" s="17" t="s">
        <v>44</v>
      </c>
      <c r="BX371" s="23" t="n">
        <f aca="false">IFERROR(R371/AE371,0)</f>
        <v>2536.11</v>
      </c>
      <c r="BY371" s="23" t="n">
        <f aca="false">IFERROR(R371/12,0)</f>
        <v>211.3425</v>
      </c>
      <c r="BZ371" s="18" t="n">
        <v>0</v>
      </c>
      <c r="CA371" s="22" t="str">
        <f aca="false">IF(AE371=0,"PROSPECT",IF(AE371=1,"NOVO",IF(AE371&lt;=3,"EM DESENV.",IF(AE371&lt;=6,"RECORRENTE","FIDELIZADO"))))</f>
        <v>NOVO</v>
      </c>
      <c r="CB371" s="22" t="n">
        <f aca="false">IF((P371+Q371)&gt;0,1,0)+IF((BR371+BS371)&gt;0,1,0)+IF(BE371&gt;0,1,0)</f>
        <v>1</v>
      </c>
    </row>
    <row r="372" customFormat="false" ht="15" hidden="false" customHeight="true" outlineLevel="0" collapsed="false">
      <c r="A372" s="16" t="s">
        <v>1030</v>
      </c>
      <c r="B372" s="17" t="s">
        <v>1031</v>
      </c>
      <c r="C372" s="18" t="s">
        <v>65</v>
      </c>
      <c r="D372" s="17" t="s">
        <v>1032</v>
      </c>
      <c r="E372" s="29" t="s">
        <v>365</v>
      </c>
      <c r="F372" s="27" t="n">
        <v>907.56</v>
      </c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1" t="n">
        <f aca="false">SUM(F372:Q372)</f>
        <v>907.56</v>
      </c>
      <c r="S372" s="28" t="n">
        <v>1</v>
      </c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22" t="n">
        <f aca="false">SUM(S372:AD372)</f>
        <v>1</v>
      </c>
      <c r="AF372" s="30" t="s">
        <v>49</v>
      </c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9" t="s">
        <v>48</v>
      </c>
      <c r="AS372" s="25" t="n">
        <v>2</v>
      </c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22" t="n">
        <f aca="false">SUM(AS372:BD372)</f>
        <v>2</v>
      </c>
      <c r="BF372" s="23" t="n">
        <v>907.56</v>
      </c>
      <c r="BG372" s="19" t="s">
        <v>55</v>
      </c>
      <c r="BH372" s="18"/>
      <c r="BI372" s="18"/>
      <c r="BJ372" s="18"/>
      <c r="BK372" s="25" t="n">
        <v>2</v>
      </c>
      <c r="BL372" s="25" t="n">
        <v>1</v>
      </c>
      <c r="BM372" s="18"/>
      <c r="BN372" s="25" t="n">
        <v>2</v>
      </c>
      <c r="BO372" s="18"/>
      <c r="BP372" s="18"/>
      <c r="BQ372" s="25" t="n">
        <v>2</v>
      </c>
      <c r="BR372" s="25" t="n">
        <v>2</v>
      </c>
      <c r="BS372" s="18"/>
      <c r="BT372" s="22" t="n">
        <f aca="false">SUM(BH372:BS372)</f>
        <v>9</v>
      </c>
      <c r="BU372" s="26" t="n">
        <v>46036.7076388889</v>
      </c>
      <c r="BV372" s="17" t="s">
        <v>378</v>
      </c>
      <c r="BW372" s="17" t="s">
        <v>44</v>
      </c>
      <c r="BX372" s="23" t="n">
        <f aca="false">IFERROR(R372/AE372,0)</f>
        <v>907.56</v>
      </c>
      <c r="BY372" s="23" t="n">
        <f aca="false">IFERROR(R372/12,0)</f>
        <v>75.63</v>
      </c>
      <c r="BZ372" s="18" t="n">
        <v>0</v>
      </c>
      <c r="CA372" s="22" t="str">
        <f aca="false">IF(AE372=0,"PROSPECT",IF(AE372=1,"NOVO",IF(AE372&lt;=3,"EM DESENV.",IF(AE372&lt;=6,"RECORRENTE","FIDELIZADO"))))</f>
        <v>NOVO</v>
      </c>
      <c r="CB372" s="22" t="n">
        <f aca="false">IF((P372+Q372)&gt;0,1,0)+IF((BR372+BS372)&gt;0,1,0)+IF(BE372&gt;0,1,0)</f>
        <v>2</v>
      </c>
    </row>
    <row r="373" customFormat="false" ht="15" hidden="false" customHeight="true" outlineLevel="0" collapsed="false">
      <c r="A373" s="16" t="s">
        <v>1033</v>
      </c>
      <c r="B373" s="17" t="s">
        <v>1034</v>
      </c>
      <c r="C373" s="18" t="s">
        <v>53</v>
      </c>
      <c r="D373" s="17" t="s">
        <v>1035</v>
      </c>
      <c r="E373" s="29" t="s">
        <v>365</v>
      </c>
      <c r="F373" s="20"/>
      <c r="G373" s="20"/>
      <c r="H373" s="20"/>
      <c r="I373" s="20"/>
      <c r="J373" s="27" t="n">
        <v>699.37</v>
      </c>
      <c r="K373" s="20"/>
      <c r="L373" s="20"/>
      <c r="M373" s="20"/>
      <c r="N373" s="20"/>
      <c r="O373" s="20"/>
      <c r="P373" s="20"/>
      <c r="Q373" s="20"/>
      <c r="R373" s="21" t="n">
        <f aca="false">SUM(F373:Q373)</f>
        <v>699.37</v>
      </c>
      <c r="S373" s="18"/>
      <c r="T373" s="18"/>
      <c r="U373" s="18"/>
      <c r="V373" s="18"/>
      <c r="W373" s="28" t="n">
        <v>1</v>
      </c>
      <c r="X373" s="18"/>
      <c r="Y373" s="18"/>
      <c r="Z373" s="18"/>
      <c r="AA373" s="18"/>
      <c r="AB373" s="18"/>
      <c r="AC373" s="18"/>
      <c r="AD373" s="18"/>
      <c r="AE373" s="22" t="n">
        <f aca="false">SUM(S373:AD373)</f>
        <v>1</v>
      </c>
      <c r="AF373" s="22"/>
      <c r="AG373" s="22"/>
      <c r="AH373" s="22"/>
      <c r="AI373" s="22"/>
      <c r="AJ373" s="29" t="s">
        <v>48</v>
      </c>
      <c r="AK373" s="22"/>
      <c r="AL373" s="22"/>
      <c r="AM373" s="22"/>
      <c r="AN373" s="22"/>
      <c r="AO373" s="22"/>
      <c r="AP373" s="22"/>
      <c r="AQ373" s="22"/>
      <c r="AR373" s="29" t="s">
        <v>48</v>
      </c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22" t="n">
        <f aca="false">SUM(AS373:BD373)</f>
        <v>0</v>
      </c>
      <c r="BF373" s="23"/>
      <c r="BG373" s="24"/>
      <c r="BH373" s="18"/>
      <c r="BI373" s="18"/>
      <c r="BJ373" s="18"/>
      <c r="BK373" s="18"/>
      <c r="BL373" s="25" t="n">
        <v>1</v>
      </c>
      <c r="BM373" s="18"/>
      <c r="BN373" s="18"/>
      <c r="BO373" s="18"/>
      <c r="BP373" s="18"/>
      <c r="BQ373" s="18"/>
      <c r="BR373" s="25" t="n">
        <v>2</v>
      </c>
      <c r="BS373" s="18"/>
      <c r="BT373" s="22" t="n">
        <f aca="false">SUM(BH373:BS373)</f>
        <v>3</v>
      </c>
      <c r="BU373" s="26" t="n">
        <v>46036.6361111111</v>
      </c>
      <c r="BV373" s="17" t="s">
        <v>378</v>
      </c>
      <c r="BW373" s="17" t="s">
        <v>44</v>
      </c>
      <c r="BX373" s="23" t="n">
        <f aca="false">IFERROR(R373/AE373,0)</f>
        <v>699.37</v>
      </c>
      <c r="BY373" s="23" t="n">
        <f aca="false">IFERROR(R373/12,0)</f>
        <v>58.2808333333333</v>
      </c>
      <c r="BZ373" s="18" t="n">
        <v>0</v>
      </c>
      <c r="CA373" s="22" t="str">
        <f aca="false">IF(AE373=0,"PROSPECT",IF(AE373=1,"NOVO",IF(AE373&lt;=3,"EM DESENV.",IF(AE373&lt;=6,"RECORRENTE","FIDELIZADO"))))</f>
        <v>NOVO</v>
      </c>
      <c r="CB373" s="22" t="n">
        <f aca="false">IF((P373+Q373)&gt;0,1,0)+IF((BR373+BS373)&gt;0,1,0)+IF(BE373&gt;0,1,0)</f>
        <v>1</v>
      </c>
    </row>
    <row r="374" customFormat="false" ht="15" hidden="false" customHeight="true" outlineLevel="0" collapsed="false">
      <c r="A374" s="16" t="s">
        <v>1036</v>
      </c>
      <c r="B374" s="17" t="s">
        <v>1037</v>
      </c>
      <c r="C374" s="18" t="s">
        <v>41</v>
      </c>
      <c r="D374" s="17" t="s">
        <v>721</v>
      </c>
      <c r="E374" s="29" t="s">
        <v>365</v>
      </c>
      <c r="F374" s="20"/>
      <c r="G374" s="20"/>
      <c r="H374" s="20"/>
      <c r="I374" s="20"/>
      <c r="J374" s="20"/>
      <c r="K374" s="20"/>
      <c r="L374" s="20"/>
      <c r="M374" s="27" t="n">
        <v>768</v>
      </c>
      <c r="N374" s="20"/>
      <c r="O374" s="20"/>
      <c r="P374" s="20"/>
      <c r="Q374" s="20"/>
      <c r="R374" s="21" t="n">
        <f aca="false">SUM(F374:Q374)</f>
        <v>768</v>
      </c>
      <c r="S374" s="18"/>
      <c r="T374" s="18"/>
      <c r="U374" s="18"/>
      <c r="V374" s="18"/>
      <c r="W374" s="18"/>
      <c r="X374" s="18"/>
      <c r="Y374" s="18"/>
      <c r="Z374" s="28" t="n">
        <v>1</v>
      </c>
      <c r="AA374" s="18"/>
      <c r="AB374" s="18"/>
      <c r="AC374" s="18"/>
      <c r="AD374" s="18"/>
      <c r="AE374" s="22" t="n">
        <f aca="false">SUM(S374:AD374)</f>
        <v>1</v>
      </c>
      <c r="AF374" s="22"/>
      <c r="AG374" s="22"/>
      <c r="AH374" s="22"/>
      <c r="AI374" s="22"/>
      <c r="AJ374" s="22"/>
      <c r="AK374" s="22"/>
      <c r="AL374" s="22"/>
      <c r="AM374" s="29" t="s">
        <v>48</v>
      </c>
      <c r="AN374" s="22"/>
      <c r="AO374" s="22"/>
      <c r="AP374" s="22"/>
      <c r="AQ374" s="22"/>
      <c r="AR374" s="29" t="s">
        <v>48</v>
      </c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22" t="n">
        <f aca="false">SUM(AS374:BD374)</f>
        <v>0</v>
      </c>
      <c r="BF374" s="23"/>
      <c r="BG374" s="24"/>
      <c r="BH374" s="18"/>
      <c r="BI374" s="18"/>
      <c r="BJ374" s="18"/>
      <c r="BK374" s="18"/>
      <c r="BL374" s="18"/>
      <c r="BM374" s="18"/>
      <c r="BN374" s="18"/>
      <c r="BO374" s="25" t="n">
        <v>1</v>
      </c>
      <c r="BP374" s="18"/>
      <c r="BQ374" s="18"/>
      <c r="BR374" s="18"/>
      <c r="BS374" s="18"/>
      <c r="BT374" s="22" t="n">
        <f aca="false">SUM(BH374:BS374)</f>
        <v>1</v>
      </c>
      <c r="BU374" s="26" t="n">
        <v>45950.6834606482</v>
      </c>
      <c r="BV374" s="17"/>
      <c r="BW374" s="17" t="s">
        <v>44</v>
      </c>
      <c r="BX374" s="23" t="n">
        <f aca="false">IFERROR(R374/AE374,0)</f>
        <v>768</v>
      </c>
      <c r="BY374" s="23" t="n">
        <f aca="false">IFERROR(R374/12,0)</f>
        <v>64</v>
      </c>
      <c r="BZ374" s="18" t="n">
        <v>0</v>
      </c>
      <c r="CA374" s="22" t="str">
        <f aca="false">IF(AE374=0,"PROSPECT",IF(AE374=1,"NOVO",IF(AE374&lt;=3,"EM DESENV.",IF(AE374&lt;=6,"RECORRENTE","FIDELIZADO"))))</f>
        <v>NOVO</v>
      </c>
      <c r="CB374" s="22" t="n">
        <f aca="false">IF((P374+Q374)&gt;0,1,0)+IF((BR374+BS374)&gt;0,1,0)+IF(BE374&gt;0,1,0)</f>
        <v>0</v>
      </c>
    </row>
    <row r="375" customFormat="false" ht="15" hidden="false" customHeight="true" outlineLevel="0" collapsed="false">
      <c r="A375" s="16" t="s">
        <v>1038</v>
      </c>
      <c r="B375" s="17" t="s">
        <v>1039</v>
      </c>
      <c r="C375" s="18" t="s">
        <v>61</v>
      </c>
      <c r="D375" s="17" t="s">
        <v>1040</v>
      </c>
      <c r="E375" s="29" t="s">
        <v>365</v>
      </c>
      <c r="F375" s="20"/>
      <c r="G375" s="20"/>
      <c r="H375" s="20"/>
      <c r="I375" s="20"/>
      <c r="J375" s="20"/>
      <c r="K375" s="20"/>
      <c r="L375" s="20"/>
      <c r="M375" s="27" t="n">
        <v>1403.44</v>
      </c>
      <c r="N375" s="20"/>
      <c r="O375" s="20"/>
      <c r="P375" s="20"/>
      <c r="Q375" s="20"/>
      <c r="R375" s="21" t="n">
        <f aca="false">SUM(F375:Q375)</f>
        <v>1403.44</v>
      </c>
      <c r="S375" s="18"/>
      <c r="T375" s="18"/>
      <c r="U375" s="18"/>
      <c r="V375" s="18"/>
      <c r="W375" s="18"/>
      <c r="X375" s="18"/>
      <c r="Y375" s="18"/>
      <c r="Z375" s="28" t="n">
        <v>1</v>
      </c>
      <c r="AA375" s="18"/>
      <c r="AB375" s="18"/>
      <c r="AC375" s="18"/>
      <c r="AD375" s="18"/>
      <c r="AE375" s="22" t="n">
        <f aca="false">SUM(S375:AD375)</f>
        <v>1</v>
      </c>
      <c r="AF375" s="22"/>
      <c r="AG375" s="22"/>
      <c r="AH375" s="22"/>
      <c r="AI375" s="22"/>
      <c r="AJ375" s="22"/>
      <c r="AK375" s="22"/>
      <c r="AL375" s="22"/>
      <c r="AM375" s="30" t="s">
        <v>49</v>
      </c>
      <c r="AN375" s="22"/>
      <c r="AO375" s="22"/>
      <c r="AP375" s="22"/>
      <c r="AQ375" s="22"/>
      <c r="AR375" s="30" t="s">
        <v>49</v>
      </c>
      <c r="AS375" s="18"/>
      <c r="AT375" s="18"/>
      <c r="AU375" s="18"/>
      <c r="AV375" s="18"/>
      <c r="AW375" s="18"/>
      <c r="AX375" s="18"/>
      <c r="AY375" s="18"/>
      <c r="AZ375" s="18"/>
      <c r="BA375" s="25" t="n">
        <v>11</v>
      </c>
      <c r="BB375" s="18"/>
      <c r="BC375" s="18"/>
      <c r="BD375" s="18"/>
      <c r="BE375" s="22" t="n">
        <f aca="false">SUM(AS375:BD375)</f>
        <v>11</v>
      </c>
      <c r="BF375" s="23"/>
      <c r="BG375" s="31" t="s">
        <v>93</v>
      </c>
      <c r="BH375" s="18"/>
      <c r="BI375" s="18"/>
      <c r="BJ375" s="18"/>
      <c r="BK375" s="18"/>
      <c r="BL375" s="18"/>
      <c r="BM375" s="18"/>
      <c r="BN375" s="18"/>
      <c r="BO375" s="25" t="n">
        <v>1</v>
      </c>
      <c r="BP375" s="18"/>
      <c r="BQ375" s="18"/>
      <c r="BR375" s="18"/>
      <c r="BS375" s="18"/>
      <c r="BT375" s="22" t="n">
        <f aca="false">SUM(BH375:BS375)</f>
        <v>1</v>
      </c>
      <c r="BU375" s="26" t="n">
        <v>45959.3777777778</v>
      </c>
      <c r="BV375" s="17" t="s">
        <v>173</v>
      </c>
      <c r="BW375" s="17" t="s">
        <v>44</v>
      </c>
      <c r="BX375" s="23" t="n">
        <f aca="false">IFERROR(R375/AE375,0)</f>
        <v>1403.44</v>
      </c>
      <c r="BY375" s="23" t="n">
        <f aca="false">IFERROR(R375/12,0)</f>
        <v>116.953333333333</v>
      </c>
      <c r="BZ375" s="18" t="n">
        <v>0</v>
      </c>
      <c r="CA375" s="22" t="str">
        <f aca="false">IF(AE375=0,"PROSPECT",IF(AE375=1,"NOVO",IF(AE375&lt;=3,"EM DESENV.",IF(AE375&lt;=6,"RECORRENTE","FIDELIZADO"))))</f>
        <v>NOVO</v>
      </c>
      <c r="CB375" s="22" t="n">
        <f aca="false">IF((P375+Q375)&gt;0,1,0)+IF((BR375+BS375)&gt;0,1,0)+IF(BE375&gt;0,1,0)</f>
        <v>1</v>
      </c>
    </row>
    <row r="376" customFormat="false" ht="15" hidden="false" customHeight="true" outlineLevel="0" collapsed="false">
      <c r="A376" s="16" t="s">
        <v>1041</v>
      </c>
      <c r="B376" s="17" t="s">
        <v>1042</v>
      </c>
      <c r="C376" s="18" t="s">
        <v>61</v>
      </c>
      <c r="D376" s="17" t="s">
        <v>1043</v>
      </c>
      <c r="E376" s="29" t="s">
        <v>365</v>
      </c>
      <c r="F376" s="20"/>
      <c r="G376" s="20"/>
      <c r="H376" s="20"/>
      <c r="I376" s="27" t="n">
        <v>1213.9</v>
      </c>
      <c r="J376" s="20"/>
      <c r="K376" s="20"/>
      <c r="L376" s="20"/>
      <c r="M376" s="20"/>
      <c r="N376" s="20"/>
      <c r="O376" s="20"/>
      <c r="P376" s="20"/>
      <c r="Q376" s="20"/>
      <c r="R376" s="21" t="n">
        <f aca="false">SUM(F376:Q376)</f>
        <v>1213.9</v>
      </c>
      <c r="S376" s="18"/>
      <c r="T376" s="18"/>
      <c r="U376" s="18"/>
      <c r="V376" s="28" t="n">
        <v>1</v>
      </c>
      <c r="W376" s="18"/>
      <c r="X376" s="18"/>
      <c r="Y376" s="18"/>
      <c r="Z376" s="18"/>
      <c r="AA376" s="18"/>
      <c r="AB376" s="18"/>
      <c r="AC376" s="18"/>
      <c r="AD376" s="18"/>
      <c r="AE376" s="22" t="n">
        <f aca="false">SUM(S376:AD376)</f>
        <v>1</v>
      </c>
      <c r="AF376" s="22"/>
      <c r="AG376" s="22"/>
      <c r="AH376" s="22"/>
      <c r="AI376" s="30" t="s">
        <v>49</v>
      </c>
      <c r="AJ376" s="22"/>
      <c r="AK376" s="22"/>
      <c r="AL376" s="22"/>
      <c r="AM376" s="22"/>
      <c r="AN376" s="22"/>
      <c r="AO376" s="22"/>
      <c r="AP376" s="22"/>
      <c r="AQ376" s="22"/>
      <c r="AR376" s="30" t="s">
        <v>49</v>
      </c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22" t="n">
        <f aca="false">SUM(AS376:BD376)</f>
        <v>0</v>
      </c>
      <c r="BF376" s="23"/>
      <c r="BG376" s="24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22" t="n">
        <f aca="false">SUM(BH376:BS376)</f>
        <v>0</v>
      </c>
      <c r="BU376" s="26"/>
      <c r="BV376" s="17"/>
      <c r="BW376" s="17"/>
      <c r="BX376" s="23" t="n">
        <f aca="false">IFERROR(R376/AE376,0)</f>
        <v>1213.9</v>
      </c>
      <c r="BY376" s="23" t="n">
        <f aca="false">IFERROR(R376/12,0)</f>
        <v>101.158333333333</v>
      </c>
      <c r="BZ376" s="18" t="n">
        <v>0</v>
      </c>
      <c r="CA376" s="22" t="str">
        <f aca="false">IF(AE376=0,"PROSPECT",IF(AE376=1,"NOVO",IF(AE376&lt;=3,"EM DESENV.",IF(AE376&lt;=6,"RECORRENTE","FIDELIZADO"))))</f>
        <v>NOVO</v>
      </c>
      <c r="CB376" s="22" t="n">
        <f aca="false">IF((P376+Q376)&gt;0,1,0)+IF((BR376+BS376)&gt;0,1,0)+IF(BE376&gt;0,1,0)</f>
        <v>0</v>
      </c>
    </row>
    <row r="377" customFormat="false" ht="15" hidden="false" customHeight="true" outlineLevel="0" collapsed="false">
      <c r="A377" s="16" t="s">
        <v>1044</v>
      </c>
      <c r="B377" s="17" t="s">
        <v>1045</v>
      </c>
      <c r="C377" s="18" t="s">
        <v>72</v>
      </c>
      <c r="D377" s="17" t="s">
        <v>493</v>
      </c>
      <c r="E377" s="29" t="s">
        <v>365</v>
      </c>
      <c r="F377" s="20"/>
      <c r="G377" s="20"/>
      <c r="H377" s="20"/>
      <c r="I377" s="20"/>
      <c r="J377" s="20"/>
      <c r="K377" s="27" t="n">
        <v>2105.6</v>
      </c>
      <c r="L377" s="20"/>
      <c r="M377" s="27" t="n">
        <v>850.4</v>
      </c>
      <c r="N377" s="20"/>
      <c r="O377" s="20"/>
      <c r="P377" s="20"/>
      <c r="Q377" s="20"/>
      <c r="R377" s="21" t="n">
        <f aca="false">SUM(F377:Q377)</f>
        <v>2956</v>
      </c>
      <c r="S377" s="18"/>
      <c r="T377" s="18"/>
      <c r="U377" s="18"/>
      <c r="V377" s="18"/>
      <c r="W377" s="18"/>
      <c r="X377" s="28" t="n">
        <v>1</v>
      </c>
      <c r="Y377" s="18"/>
      <c r="Z377" s="28" t="n">
        <v>1</v>
      </c>
      <c r="AA377" s="18"/>
      <c r="AB377" s="18"/>
      <c r="AC377" s="18"/>
      <c r="AD377" s="18"/>
      <c r="AE377" s="22" t="n">
        <f aca="false">SUM(S377:AD377)</f>
        <v>2</v>
      </c>
      <c r="AF377" s="22"/>
      <c r="AG377" s="22"/>
      <c r="AH377" s="22"/>
      <c r="AI377" s="22"/>
      <c r="AJ377" s="22"/>
      <c r="AK377" s="19" t="s">
        <v>50</v>
      </c>
      <c r="AL377" s="22"/>
      <c r="AM377" s="30" t="s">
        <v>49</v>
      </c>
      <c r="AN377" s="22"/>
      <c r="AO377" s="22"/>
      <c r="AP377" s="22"/>
      <c r="AQ377" s="22"/>
      <c r="AR377" s="19" t="s">
        <v>50</v>
      </c>
      <c r="AS377" s="18"/>
      <c r="AT377" s="18"/>
      <c r="AU377" s="18"/>
      <c r="AV377" s="18"/>
      <c r="AW377" s="18"/>
      <c r="AX377" s="25" t="n">
        <v>5</v>
      </c>
      <c r="AY377" s="18"/>
      <c r="AZ377" s="18"/>
      <c r="BA377" s="18"/>
      <c r="BB377" s="18"/>
      <c r="BC377" s="18"/>
      <c r="BD377" s="18"/>
      <c r="BE377" s="22" t="n">
        <f aca="false">SUM(AS377:BD377)</f>
        <v>5</v>
      </c>
      <c r="BF377" s="23" t="n">
        <v>2105.6</v>
      </c>
      <c r="BG377" s="19" t="s">
        <v>55</v>
      </c>
      <c r="BH377" s="18"/>
      <c r="BI377" s="18"/>
      <c r="BJ377" s="18"/>
      <c r="BK377" s="18"/>
      <c r="BL377" s="25" t="n">
        <v>2</v>
      </c>
      <c r="BM377" s="18"/>
      <c r="BN377" s="18"/>
      <c r="BO377" s="25" t="n">
        <v>3</v>
      </c>
      <c r="BP377" s="18"/>
      <c r="BQ377" s="18"/>
      <c r="BR377" s="18"/>
      <c r="BS377" s="18"/>
      <c r="BT377" s="22" t="n">
        <f aca="false">SUM(BH377:BS377)</f>
        <v>5</v>
      </c>
      <c r="BU377" s="26" t="n">
        <v>45951.3595833333</v>
      </c>
      <c r="BV377" s="17"/>
      <c r="BW377" s="17" t="s">
        <v>44</v>
      </c>
      <c r="BX377" s="23" t="n">
        <f aca="false">IFERROR(R377/AE377,0)</f>
        <v>1478</v>
      </c>
      <c r="BY377" s="23" t="n">
        <f aca="false">IFERROR(R377/12,0)</f>
        <v>246.333333333333</v>
      </c>
      <c r="BZ377" s="18" t="n">
        <v>77</v>
      </c>
      <c r="CA377" s="22" t="str">
        <f aca="false">IF(AE377=0,"PROSPECT",IF(AE377=1,"NOVO",IF(AE377&lt;=3,"EM DESENV.",IF(AE377&lt;=6,"RECORRENTE","FIDELIZADO"))))</f>
        <v>EM DESENV.</v>
      </c>
      <c r="CB377" s="22" t="n">
        <f aca="false">IF((P377+Q377)&gt;0,1,0)+IF((BR377+BS377)&gt;0,1,0)+IF(BE377&gt;0,1,0)</f>
        <v>1</v>
      </c>
    </row>
    <row r="378" customFormat="false" ht="15" hidden="false" customHeight="true" outlineLevel="0" collapsed="false">
      <c r="A378" s="16" t="s">
        <v>1046</v>
      </c>
      <c r="B378" s="17" t="s">
        <v>1047</v>
      </c>
      <c r="C378" s="18" t="s">
        <v>41</v>
      </c>
      <c r="D378" s="17" t="s">
        <v>1048</v>
      </c>
      <c r="E378" s="29" t="s">
        <v>365</v>
      </c>
      <c r="F378" s="20"/>
      <c r="G378" s="20"/>
      <c r="H378" s="20"/>
      <c r="I378" s="20"/>
      <c r="J378" s="20"/>
      <c r="K378" s="20"/>
      <c r="L378" s="20"/>
      <c r="M378" s="27" t="n">
        <v>1958.68</v>
      </c>
      <c r="N378" s="20"/>
      <c r="O378" s="20"/>
      <c r="P378" s="20"/>
      <c r="Q378" s="20"/>
      <c r="R378" s="21" t="n">
        <f aca="false">SUM(F378:Q378)</f>
        <v>1958.68</v>
      </c>
      <c r="S378" s="18"/>
      <c r="T378" s="18"/>
      <c r="U378" s="18"/>
      <c r="V378" s="18"/>
      <c r="W378" s="18"/>
      <c r="X378" s="18"/>
      <c r="Y378" s="18"/>
      <c r="Z378" s="28" t="n">
        <v>1</v>
      </c>
      <c r="AA378" s="18"/>
      <c r="AB378" s="18"/>
      <c r="AC378" s="18"/>
      <c r="AD378" s="18"/>
      <c r="AE378" s="22" t="n">
        <f aca="false">SUM(S378:AD378)</f>
        <v>1</v>
      </c>
      <c r="AF378" s="22"/>
      <c r="AG378" s="22"/>
      <c r="AH378" s="22"/>
      <c r="AI378" s="22"/>
      <c r="AJ378" s="22"/>
      <c r="AK378" s="22"/>
      <c r="AL378" s="22"/>
      <c r="AM378" s="19" t="s">
        <v>50</v>
      </c>
      <c r="AN378" s="22"/>
      <c r="AO378" s="22"/>
      <c r="AP378" s="22"/>
      <c r="AQ378" s="22"/>
      <c r="AR378" s="30" t="s">
        <v>49</v>
      </c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22" t="n">
        <f aca="false">SUM(AS378:BD378)</f>
        <v>0</v>
      </c>
      <c r="BF378" s="23"/>
      <c r="BG378" s="24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22" t="n">
        <f aca="false">SUM(BH378:BS378)</f>
        <v>0</v>
      </c>
      <c r="BU378" s="26"/>
      <c r="BV378" s="17"/>
      <c r="BW378" s="17"/>
      <c r="BX378" s="23" t="n">
        <f aca="false">IFERROR(R378/AE378,0)</f>
        <v>1958.68</v>
      </c>
      <c r="BY378" s="23" t="n">
        <f aca="false">IFERROR(R378/12,0)</f>
        <v>163.223333333333</v>
      </c>
      <c r="BZ378" s="18" t="n">
        <v>0</v>
      </c>
      <c r="CA378" s="22" t="str">
        <f aca="false">IF(AE378=0,"PROSPECT",IF(AE378=1,"NOVO",IF(AE378&lt;=3,"EM DESENV.",IF(AE378&lt;=6,"RECORRENTE","FIDELIZADO"))))</f>
        <v>NOVO</v>
      </c>
      <c r="CB378" s="22" t="n">
        <f aca="false">IF((P378+Q378)&gt;0,1,0)+IF((BR378+BS378)&gt;0,1,0)+IF(BE378&gt;0,1,0)</f>
        <v>0</v>
      </c>
    </row>
    <row r="379" customFormat="false" ht="15" hidden="false" customHeight="true" outlineLevel="0" collapsed="false">
      <c r="A379" s="16" t="s">
        <v>1049</v>
      </c>
      <c r="B379" s="17" t="s">
        <v>1050</v>
      </c>
      <c r="C379" s="18" t="s">
        <v>61</v>
      </c>
      <c r="D379" s="17" t="s">
        <v>1021</v>
      </c>
      <c r="E379" s="29" t="s">
        <v>365</v>
      </c>
      <c r="F379" s="20"/>
      <c r="G379" s="20"/>
      <c r="H379" s="20"/>
      <c r="I379" s="20"/>
      <c r="J379" s="20"/>
      <c r="K379" s="20"/>
      <c r="L379" s="27" t="n">
        <v>3353.25</v>
      </c>
      <c r="M379" s="20"/>
      <c r="N379" s="20"/>
      <c r="O379" s="20"/>
      <c r="P379" s="20"/>
      <c r="Q379" s="20"/>
      <c r="R379" s="21" t="n">
        <f aca="false">SUM(F379:Q379)</f>
        <v>3353.25</v>
      </c>
      <c r="S379" s="18"/>
      <c r="T379" s="18"/>
      <c r="U379" s="18"/>
      <c r="V379" s="18"/>
      <c r="W379" s="18"/>
      <c r="X379" s="18"/>
      <c r="Y379" s="28" t="n">
        <v>1</v>
      </c>
      <c r="Z379" s="18"/>
      <c r="AA379" s="18"/>
      <c r="AB379" s="18"/>
      <c r="AC379" s="18"/>
      <c r="AD379" s="18"/>
      <c r="AE379" s="22" t="n">
        <f aca="false">SUM(S379:AD379)</f>
        <v>1</v>
      </c>
      <c r="AF379" s="22"/>
      <c r="AG379" s="22"/>
      <c r="AH379" s="22"/>
      <c r="AI379" s="22"/>
      <c r="AJ379" s="22"/>
      <c r="AK379" s="22"/>
      <c r="AL379" s="19" t="s">
        <v>50</v>
      </c>
      <c r="AM379" s="22"/>
      <c r="AN379" s="22"/>
      <c r="AO379" s="22"/>
      <c r="AP379" s="22"/>
      <c r="AQ379" s="22"/>
      <c r="AR379" s="19" t="s">
        <v>50</v>
      </c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22" t="n">
        <f aca="false">SUM(AS379:BD379)</f>
        <v>0</v>
      </c>
      <c r="BF379" s="23"/>
      <c r="BG379" s="24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22" t="n">
        <f aca="false">SUM(BH379:BS379)</f>
        <v>0</v>
      </c>
      <c r="BU379" s="26"/>
      <c r="BV379" s="17"/>
      <c r="BW379" s="17"/>
      <c r="BX379" s="23" t="n">
        <f aca="false">IFERROR(R379/AE379,0)</f>
        <v>3353.25</v>
      </c>
      <c r="BY379" s="23" t="n">
        <f aca="false">IFERROR(R379/12,0)</f>
        <v>279.4375</v>
      </c>
      <c r="BZ379" s="18" t="n">
        <v>0</v>
      </c>
      <c r="CA379" s="22" t="str">
        <f aca="false">IF(AE379=0,"PROSPECT",IF(AE379=1,"NOVO",IF(AE379&lt;=3,"EM DESENV.",IF(AE379&lt;=6,"RECORRENTE","FIDELIZADO"))))</f>
        <v>NOVO</v>
      </c>
      <c r="CB379" s="22" t="n">
        <f aca="false">IF((P379+Q379)&gt;0,1,0)+IF((BR379+BS379)&gt;0,1,0)+IF(BE379&gt;0,1,0)</f>
        <v>0</v>
      </c>
    </row>
    <row r="380" customFormat="false" ht="15" hidden="false" customHeight="true" outlineLevel="0" collapsed="false">
      <c r="A380" s="16" t="s">
        <v>1051</v>
      </c>
      <c r="B380" s="17" t="s">
        <v>1052</v>
      </c>
      <c r="C380" s="18" t="s">
        <v>61</v>
      </c>
      <c r="D380" s="17" t="s">
        <v>1053</v>
      </c>
      <c r="E380" s="29" t="s">
        <v>365</v>
      </c>
      <c r="F380" s="20"/>
      <c r="G380" s="20"/>
      <c r="H380" s="20"/>
      <c r="I380" s="20"/>
      <c r="J380" s="20"/>
      <c r="K380" s="20"/>
      <c r="L380" s="27" t="n">
        <v>3353.25</v>
      </c>
      <c r="M380" s="20"/>
      <c r="N380" s="20"/>
      <c r="O380" s="20"/>
      <c r="P380" s="20"/>
      <c r="Q380" s="20"/>
      <c r="R380" s="21" t="n">
        <f aca="false">SUM(F380:Q380)</f>
        <v>3353.25</v>
      </c>
      <c r="S380" s="18"/>
      <c r="T380" s="18"/>
      <c r="U380" s="18"/>
      <c r="V380" s="18"/>
      <c r="W380" s="18"/>
      <c r="X380" s="18"/>
      <c r="Y380" s="28" t="n">
        <v>1</v>
      </c>
      <c r="Z380" s="18"/>
      <c r="AA380" s="18"/>
      <c r="AB380" s="18"/>
      <c r="AC380" s="18"/>
      <c r="AD380" s="18"/>
      <c r="AE380" s="22" t="n">
        <f aca="false">SUM(S380:AD380)</f>
        <v>1</v>
      </c>
      <c r="AF380" s="22"/>
      <c r="AG380" s="22"/>
      <c r="AH380" s="22"/>
      <c r="AI380" s="22"/>
      <c r="AJ380" s="22"/>
      <c r="AK380" s="22"/>
      <c r="AL380" s="19" t="s">
        <v>50</v>
      </c>
      <c r="AM380" s="22"/>
      <c r="AN380" s="22"/>
      <c r="AO380" s="22"/>
      <c r="AP380" s="22"/>
      <c r="AQ380" s="22"/>
      <c r="AR380" s="19" t="s">
        <v>50</v>
      </c>
      <c r="AS380" s="18"/>
      <c r="AT380" s="18"/>
      <c r="AU380" s="18"/>
      <c r="AV380" s="18"/>
      <c r="AW380" s="18"/>
      <c r="AX380" s="18"/>
      <c r="AY380" s="25" t="n">
        <v>8</v>
      </c>
      <c r="AZ380" s="18"/>
      <c r="BA380" s="25" t="n">
        <v>3</v>
      </c>
      <c r="BB380" s="18"/>
      <c r="BC380" s="18"/>
      <c r="BD380" s="18"/>
      <c r="BE380" s="22" t="n">
        <f aca="false">SUM(AS380:BD380)</f>
        <v>11</v>
      </c>
      <c r="BF380" s="23" t="n">
        <v>3353.25</v>
      </c>
      <c r="BG380" s="19" t="s">
        <v>55</v>
      </c>
      <c r="BH380" s="18"/>
      <c r="BI380" s="18"/>
      <c r="BJ380" s="18"/>
      <c r="BK380" s="18"/>
      <c r="BL380" s="18"/>
      <c r="BM380" s="18"/>
      <c r="BN380" s="25" t="n">
        <v>1</v>
      </c>
      <c r="BO380" s="18"/>
      <c r="BP380" s="18"/>
      <c r="BQ380" s="18"/>
      <c r="BR380" s="18"/>
      <c r="BS380" s="18"/>
      <c r="BT380" s="22" t="n">
        <f aca="false">SUM(BH380:BS380)</f>
        <v>1</v>
      </c>
      <c r="BU380" s="26" t="n">
        <v>45924.7263888889</v>
      </c>
      <c r="BV380" s="17"/>
      <c r="BW380" s="17" t="s">
        <v>117</v>
      </c>
      <c r="BX380" s="23" t="n">
        <f aca="false">IFERROR(R380/AE380,0)</f>
        <v>3353.25</v>
      </c>
      <c r="BY380" s="23" t="n">
        <f aca="false">IFERROR(R380/12,0)</f>
        <v>279.4375</v>
      </c>
      <c r="BZ380" s="18" t="n">
        <v>0</v>
      </c>
      <c r="CA380" s="22" t="str">
        <f aca="false">IF(AE380=0,"PROSPECT",IF(AE380=1,"NOVO",IF(AE380&lt;=3,"EM DESENV.",IF(AE380&lt;=6,"RECORRENTE","FIDELIZADO"))))</f>
        <v>NOVO</v>
      </c>
      <c r="CB380" s="22" t="n">
        <f aca="false">IF((P380+Q380)&gt;0,1,0)+IF((BR380+BS380)&gt;0,1,0)+IF(BE380&gt;0,1,0)</f>
        <v>1</v>
      </c>
    </row>
    <row r="381" customFormat="false" ht="15" hidden="false" customHeight="true" outlineLevel="0" collapsed="false">
      <c r="A381" s="16" t="s">
        <v>1054</v>
      </c>
      <c r="B381" s="17" t="s">
        <v>1055</v>
      </c>
      <c r="C381" s="18" t="s">
        <v>61</v>
      </c>
      <c r="D381" s="17" t="s">
        <v>1056</v>
      </c>
      <c r="E381" s="29" t="s">
        <v>365</v>
      </c>
      <c r="F381" s="20"/>
      <c r="G381" s="20"/>
      <c r="H381" s="20"/>
      <c r="I381" s="20"/>
      <c r="J381" s="20"/>
      <c r="K381" s="20"/>
      <c r="L381" s="20"/>
      <c r="M381" s="27" t="n">
        <v>660.46</v>
      </c>
      <c r="N381" s="20"/>
      <c r="O381" s="20"/>
      <c r="P381" s="20"/>
      <c r="Q381" s="20"/>
      <c r="R381" s="21" t="n">
        <f aca="false">SUM(F381:Q381)</f>
        <v>660.46</v>
      </c>
      <c r="S381" s="18"/>
      <c r="T381" s="18"/>
      <c r="U381" s="18"/>
      <c r="V381" s="18"/>
      <c r="W381" s="18"/>
      <c r="X381" s="18"/>
      <c r="Y381" s="18"/>
      <c r="Z381" s="28" t="n">
        <v>1</v>
      </c>
      <c r="AA381" s="18"/>
      <c r="AB381" s="18"/>
      <c r="AC381" s="18"/>
      <c r="AD381" s="18"/>
      <c r="AE381" s="22" t="n">
        <f aca="false">SUM(S381:AD381)</f>
        <v>1</v>
      </c>
      <c r="AF381" s="22"/>
      <c r="AG381" s="22"/>
      <c r="AH381" s="22"/>
      <c r="AI381" s="22"/>
      <c r="AJ381" s="22"/>
      <c r="AK381" s="22"/>
      <c r="AL381" s="22"/>
      <c r="AM381" s="29" t="s">
        <v>48</v>
      </c>
      <c r="AN381" s="22"/>
      <c r="AO381" s="22"/>
      <c r="AP381" s="22"/>
      <c r="AQ381" s="22"/>
      <c r="AR381" s="29" t="s">
        <v>48</v>
      </c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22" t="n">
        <f aca="false">SUM(AS381:BD381)</f>
        <v>0</v>
      </c>
      <c r="BF381" s="23"/>
      <c r="BG381" s="24"/>
      <c r="BH381" s="18"/>
      <c r="BI381" s="18"/>
      <c r="BJ381" s="18"/>
      <c r="BK381" s="18"/>
      <c r="BL381" s="18"/>
      <c r="BM381" s="18"/>
      <c r="BN381" s="18"/>
      <c r="BO381" s="25" t="n">
        <v>1</v>
      </c>
      <c r="BP381" s="18"/>
      <c r="BQ381" s="18"/>
      <c r="BR381" s="18"/>
      <c r="BS381" s="25" t="n">
        <v>2</v>
      </c>
      <c r="BT381" s="22" t="n">
        <f aca="false">SUM(BH381:BS381)</f>
        <v>3</v>
      </c>
      <c r="BU381" s="26" t="n">
        <v>46056.63125</v>
      </c>
      <c r="BV381" s="17"/>
      <c r="BW381" s="17" t="s">
        <v>117</v>
      </c>
      <c r="BX381" s="23" t="n">
        <f aca="false">IFERROR(R381/AE381,0)</f>
        <v>660.46</v>
      </c>
      <c r="BY381" s="23" t="n">
        <f aca="false">IFERROR(R381/12,0)</f>
        <v>55.0383333333333</v>
      </c>
      <c r="BZ381" s="18" t="n">
        <v>0</v>
      </c>
      <c r="CA381" s="22" t="str">
        <f aca="false">IF(AE381=0,"PROSPECT",IF(AE381=1,"NOVO",IF(AE381&lt;=3,"EM DESENV.",IF(AE381&lt;=6,"RECORRENTE","FIDELIZADO"))))</f>
        <v>NOVO</v>
      </c>
      <c r="CB381" s="22" t="n">
        <f aca="false">IF((P381+Q381)&gt;0,1,0)+IF((BR381+BS381)&gt;0,1,0)+IF(BE381&gt;0,1,0)</f>
        <v>1</v>
      </c>
    </row>
    <row r="382" customFormat="false" ht="15" hidden="false" customHeight="true" outlineLevel="0" collapsed="false">
      <c r="A382" s="16" t="s">
        <v>1057</v>
      </c>
      <c r="B382" s="17" t="s">
        <v>1058</v>
      </c>
      <c r="C382" s="18" t="s">
        <v>41</v>
      </c>
      <c r="D382" s="17" t="s">
        <v>42</v>
      </c>
      <c r="E382" s="29" t="s">
        <v>365</v>
      </c>
      <c r="F382" s="20"/>
      <c r="G382" s="20"/>
      <c r="H382" s="20"/>
      <c r="I382" s="20"/>
      <c r="J382" s="27" t="n">
        <v>1146.03</v>
      </c>
      <c r="K382" s="20"/>
      <c r="L382" s="20"/>
      <c r="M382" s="27" t="n">
        <v>1255.68</v>
      </c>
      <c r="N382" s="20"/>
      <c r="O382" s="27" t="n">
        <v>1118.86</v>
      </c>
      <c r="P382" s="20"/>
      <c r="Q382" s="20"/>
      <c r="R382" s="21" t="n">
        <f aca="false">SUM(F382:Q382)</f>
        <v>3520.57</v>
      </c>
      <c r="S382" s="18"/>
      <c r="T382" s="18"/>
      <c r="U382" s="18"/>
      <c r="V382" s="18"/>
      <c r="W382" s="28" t="n">
        <v>1</v>
      </c>
      <c r="X382" s="18"/>
      <c r="Y382" s="18"/>
      <c r="Z382" s="28" t="n">
        <v>1</v>
      </c>
      <c r="AA382" s="18"/>
      <c r="AB382" s="28" t="n">
        <v>1</v>
      </c>
      <c r="AC382" s="18"/>
      <c r="AD382" s="18"/>
      <c r="AE382" s="22" t="n">
        <f aca="false">SUM(S382:AD382)</f>
        <v>3</v>
      </c>
      <c r="AF382" s="22"/>
      <c r="AG382" s="22"/>
      <c r="AH382" s="22"/>
      <c r="AI382" s="22"/>
      <c r="AJ382" s="30" t="s">
        <v>49</v>
      </c>
      <c r="AK382" s="22"/>
      <c r="AL382" s="22"/>
      <c r="AM382" s="30" t="s">
        <v>49</v>
      </c>
      <c r="AN382" s="22"/>
      <c r="AO382" s="19" t="s">
        <v>50</v>
      </c>
      <c r="AP382" s="22"/>
      <c r="AQ382" s="22"/>
      <c r="AR382" s="19" t="s">
        <v>50</v>
      </c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22" t="n">
        <f aca="false">SUM(AS382:BD382)</f>
        <v>0</v>
      </c>
      <c r="BF382" s="23"/>
      <c r="BG382" s="24"/>
      <c r="BH382" s="18"/>
      <c r="BI382" s="25" t="n">
        <v>1</v>
      </c>
      <c r="BJ382" s="18"/>
      <c r="BK382" s="25" t="n">
        <v>1</v>
      </c>
      <c r="BL382" s="18"/>
      <c r="BM382" s="25" t="n">
        <v>1</v>
      </c>
      <c r="BN382" s="18"/>
      <c r="BO382" s="18"/>
      <c r="BP382" s="25" t="n">
        <v>1</v>
      </c>
      <c r="BQ382" s="25" t="n">
        <v>1</v>
      </c>
      <c r="BR382" s="25" t="n">
        <v>1</v>
      </c>
      <c r="BS382" s="25" t="n">
        <v>3</v>
      </c>
      <c r="BT382" s="22" t="n">
        <f aca="false">SUM(BH382:BS382)</f>
        <v>9</v>
      </c>
      <c r="BU382" s="26" t="n">
        <v>46056.4034722222</v>
      </c>
      <c r="BV382" s="17"/>
      <c r="BW382" s="17" t="s">
        <v>117</v>
      </c>
      <c r="BX382" s="23" t="n">
        <f aca="false">IFERROR(R382/AE382,0)</f>
        <v>1173.52333333333</v>
      </c>
      <c r="BY382" s="23" t="n">
        <f aca="false">IFERROR(R382/12,0)</f>
        <v>293.380833333333</v>
      </c>
      <c r="BZ382" s="18" t="n">
        <v>79.5</v>
      </c>
      <c r="CA382" s="22" t="str">
        <f aca="false">IF(AE382=0,"PROSPECT",IF(AE382=1,"NOVO",IF(AE382&lt;=3,"EM DESENV.",IF(AE382&lt;=6,"RECORRENTE","FIDELIZADO"))))</f>
        <v>EM DESENV.</v>
      </c>
      <c r="CB382" s="22" t="n">
        <f aca="false">IF((P382+Q382)&gt;0,1,0)+IF((BR382+BS382)&gt;0,1,0)+IF(BE382&gt;0,1,0)</f>
        <v>1</v>
      </c>
    </row>
    <row r="383" customFormat="false" ht="15" hidden="false" customHeight="true" outlineLevel="0" collapsed="false">
      <c r="A383" s="16" t="s">
        <v>1059</v>
      </c>
      <c r="B383" s="17" t="s">
        <v>1060</v>
      </c>
      <c r="C383" s="18" t="s">
        <v>794</v>
      </c>
      <c r="D383" s="17" t="s">
        <v>1061</v>
      </c>
      <c r="E383" s="29" t="s">
        <v>365</v>
      </c>
      <c r="F383" s="20"/>
      <c r="G383" s="20"/>
      <c r="H383" s="20"/>
      <c r="I383" s="20"/>
      <c r="J383" s="20"/>
      <c r="K383" s="20"/>
      <c r="L383" s="20"/>
      <c r="M383" s="20"/>
      <c r="N383" s="27" t="n">
        <v>3779.78</v>
      </c>
      <c r="O383" s="20"/>
      <c r="P383" s="20"/>
      <c r="Q383" s="20"/>
      <c r="R383" s="21" t="n">
        <f aca="false">SUM(F383:Q383)</f>
        <v>3779.78</v>
      </c>
      <c r="S383" s="18"/>
      <c r="T383" s="18"/>
      <c r="U383" s="18"/>
      <c r="V383" s="18"/>
      <c r="W383" s="18"/>
      <c r="X383" s="18"/>
      <c r="Y383" s="18"/>
      <c r="Z383" s="18"/>
      <c r="AA383" s="28" t="n">
        <v>1</v>
      </c>
      <c r="AB383" s="18"/>
      <c r="AC383" s="18"/>
      <c r="AD383" s="18"/>
      <c r="AE383" s="22" t="n">
        <f aca="false">SUM(S383:AD383)</f>
        <v>1</v>
      </c>
      <c r="AF383" s="22"/>
      <c r="AG383" s="22"/>
      <c r="AH383" s="22"/>
      <c r="AI383" s="22"/>
      <c r="AJ383" s="22"/>
      <c r="AK383" s="22"/>
      <c r="AL383" s="22"/>
      <c r="AM383" s="22"/>
      <c r="AN383" s="19" t="s">
        <v>50</v>
      </c>
      <c r="AO383" s="22"/>
      <c r="AP383" s="22"/>
      <c r="AQ383" s="22"/>
      <c r="AR383" s="19" t="s">
        <v>50</v>
      </c>
      <c r="AS383" s="18"/>
      <c r="AT383" s="18"/>
      <c r="AU383" s="18"/>
      <c r="AV383" s="18"/>
      <c r="AW383" s="18"/>
      <c r="AX383" s="18"/>
      <c r="AY383" s="18"/>
      <c r="AZ383" s="18"/>
      <c r="BA383" s="25" t="n">
        <v>5</v>
      </c>
      <c r="BB383" s="18"/>
      <c r="BC383" s="18"/>
      <c r="BD383" s="18"/>
      <c r="BE383" s="22" t="n">
        <f aca="false">SUM(AS383:BD383)</f>
        <v>5</v>
      </c>
      <c r="BF383" s="23" t="n">
        <v>3779.78</v>
      </c>
      <c r="BG383" s="19" t="s">
        <v>55</v>
      </c>
      <c r="BH383" s="25" t="n">
        <v>2</v>
      </c>
      <c r="BI383" s="18"/>
      <c r="BJ383" s="25" t="n">
        <v>1</v>
      </c>
      <c r="BK383" s="25" t="n">
        <v>2</v>
      </c>
      <c r="BL383" s="25" t="n">
        <v>1</v>
      </c>
      <c r="BM383" s="18"/>
      <c r="BN383" s="18"/>
      <c r="BO383" s="18"/>
      <c r="BP383" s="25" t="n">
        <v>1</v>
      </c>
      <c r="BQ383" s="25" t="n">
        <v>2</v>
      </c>
      <c r="BR383" s="25" t="n">
        <v>3</v>
      </c>
      <c r="BS383" s="25" t="n">
        <v>3</v>
      </c>
      <c r="BT383" s="22" t="n">
        <f aca="false">SUM(BH383:BS383)</f>
        <v>15</v>
      </c>
      <c r="BU383" s="26" t="n">
        <v>46058.6837384259</v>
      </c>
      <c r="BV383" s="17"/>
      <c r="BW383" s="17" t="s">
        <v>44</v>
      </c>
      <c r="BX383" s="23" t="n">
        <f aca="false">IFERROR(R383/AE383,0)</f>
        <v>3779.78</v>
      </c>
      <c r="BY383" s="23" t="n">
        <f aca="false">IFERROR(R383/12,0)</f>
        <v>314.981666666667</v>
      </c>
      <c r="BZ383" s="18" t="n">
        <v>0</v>
      </c>
      <c r="CA383" s="22" t="str">
        <f aca="false">IF(AE383=0,"PROSPECT",IF(AE383=1,"NOVO",IF(AE383&lt;=3,"EM DESENV.",IF(AE383&lt;=6,"RECORRENTE","FIDELIZADO"))))</f>
        <v>NOVO</v>
      </c>
      <c r="CB383" s="22" t="n">
        <f aca="false">IF((P383+Q383)&gt;0,1,0)+IF((BR383+BS383)&gt;0,1,0)+IF(BE383&gt;0,1,0)</f>
        <v>2</v>
      </c>
    </row>
    <row r="384" customFormat="false" ht="15" hidden="false" customHeight="true" outlineLevel="0" collapsed="false">
      <c r="A384" s="16" t="s">
        <v>1062</v>
      </c>
      <c r="B384" s="17" t="s">
        <v>1063</v>
      </c>
      <c r="C384" s="18" t="s">
        <v>1064</v>
      </c>
      <c r="D384" s="17" t="s">
        <v>1065</v>
      </c>
      <c r="E384" s="29" t="s">
        <v>365</v>
      </c>
      <c r="F384" s="20"/>
      <c r="G384" s="20"/>
      <c r="H384" s="27" t="n">
        <v>2061.1</v>
      </c>
      <c r="I384" s="20"/>
      <c r="J384" s="20"/>
      <c r="K384" s="27" t="n">
        <v>1699.72</v>
      </c>
      <c r="L384" s="20"/>
      <c r="M384" s="20"/>
      <c r="N384" s="20"/>
      <c r="O384" s="20"/>
      <c r="P384" s="20"/>
      <c r="Q384" s="20"/>
      <c r="R384" s="21" t="n">
        <f aca="false">SUM(F384:Q384)</f>
        <v>3760.82</v>
      </c>
      <c r="S384" s="18"/>
      <c r="T384" s="18"/>
      <c r="U384" s="28" t="n">
        <v>1</v>
      </c>
      <c r="V384" s="18"/>
      <c r="W384" s="18"/>
      <c r="X384" s="28" t="n">
        <v>1</v>
      </c>
      <c r="Y384" s="18"/>
      <c r="Z384" s="18"/>
      <c r="AA384" s="18"/>
      <c r="AB384" s="18"/>
      <c r="AC384" s="18"/>
      <c r="AD384" s="18"/>
      <c r="AE384" s="22" t="n">
        <f aca="false">SUM(S384:AD384)</f>
        <v>2</v>
      </c>
      <c r="AF384" s="22"/>
      <c r="AG384" s="22"/>
      <c r="AH384" s="19" t="s">
        <v>50</v>
      </c>
      <c r="AI384" s="22"/>
      <c r="AJ384" s="22"/>
      <c r="AK384" s="19" t="s">
        <v>50</v>
      </c>
      <c r="AL384" s="22"/>
      <c r="AM384" s="22"/>
      <c r="AN384" s="22"/>
      <c r="AO384" s="22"/>
      <c r="AP384" s="22"/>
      <c r="AQ384" s="22"/>
      <c r="AR384" s="19" t="s">
        <v>50</v>
      </c>
      <c r="AS384" s="18"/>
      <c r="AT384" s="18"/>
      <c r="AU384" s="18"/>
      <c r="AV384" s="25" t="n">
        <v>3</v>
      </c>
      <c r="AW384" s="25" t="n">
        <v>5</v>
      </c>
      <c r="AX384" s="25" t="n">
        <v>2</v>
      </c>
      <c r="AY384" s="25" t="n">
        <v>2</v>
      </c>
      <c r="AZ384" s="18"/>
      <c r="BA384" s="18"/>
      <c r="BB384" s="18"/>
      <c r="BC384" s="25" t="n">
        <v>1</v>
      </c>
      <c r="BD384" s="18"/>
      <c r="BE384" s="22" t="n">
        <f aca="false">SUM(AS384:BD384)</f>
        <v>13</v>
      </c>
      <c r="BF384" s="23" t="n">
        <v>3760.82</v>
      </c>
      <c r="BG384" s="19" t="s">
        <v>55</v>
      </c>
      <c r="BH384" s="25" t="n">
        <v>1</v>
      </c>
      <c r="BI384" s="18"/>
      <c r="BJ384" s="25" t="n">
        <v>2</v>
      </c>
      <c r="BK384" s="25" t="n">
        <v>1</v>
      </c>
      <c r="BL384" s="25" t="n">
        <v>1</v>
      </c>
      <c r="BM384" s="18"/>
      <c r="BN384" s="18"/>
      <c r="BO384" s="18"/>
      <c r="BP384" s="18"/>
      <c r="BQ384" s="18"/>
      <c r="BR384" s="25" t="n">
        <v>4</v>
      </c>
      <c r="BS384" s="18"/>
      <c r="BT384" s="22" t="n">
        <f aca="false">SUM(BH384:BS384)</f>
        <v>9</v>
      </c>
      <c r="BU384" s="26" t="n">
        <v>46036.6239930556</v>
      </c>
      <c r="BV384" s="17"/>
      <c r="BW384" s="17" t="s">
        <v>44</v>
      </c>
      <c r="BX384" s="23" t="n">
        <f aca="false">IFERROR(R384/AE384,0)</f>
        <v>1880.41</v>
      </c>
      <c r="BY384" s="23" t="n">
        <f aca="false">IFERROR(R384/12,0)</f>
        <v>313.401666666667</v>
      </c>
      <c r="BZ384" s="18" t="n">
        <v>84</v>
      </c>
      <c r="CA384" s="22" t="str">
        <f aca="false">IF(AE384=0,"PROSPECT",IF(AE384=1,"NOVO",IF(AE384&lt;=3,"EM DESENV.",IF(AE384&lt;=6,"RECORRENTE","FIDELIZADO"))))</f>
        <v>EM DESENV.</v>
      </c>
      <c r="CB384" s="22" t="n">
        <f aca="false">IF((P384+Q384)&gt;0,1,0)+IF((BR384+BS384)&gt;0,1,0)+IF(BE384&gt;0,1,0)</f>
        <v>2</v>
      </c>
    </row>
    <row r="385" customFormat="false" ht="15" hidden="false" customHeight="true" outlineLevel="0" collapsed="false">
      <c r="A385" s="16" t="s">
        <v>1066</v>
      </c>
      <c r="B385" s="17" t="s">
        <v>1067</v>
      </c>
      <c r="C385" s="18" t="s">
        <v>127</v>
      </c>
      <c r="D385" s="17" t="s">
        <v>1068</v>
      </c>
      <c r="E385" s="29" t="s">
        <v>365</v>
      </c>
      <c r="F385" s="20"/>
      <c r="G385" s="20"/>
      <c r="H385" s="20"/>
      <c r="I385" s="20"/>
      <c r="J385" s="20"/>
      <c r="K385" s="27" t="n">
        <v>1021.87</v>
      </c>
      <c r="L385" s="20"/>
      <c r="M385" s="20"/>
      <c r="N385" s="20"/>
      <c r="O385" s="20"/>
      <c r="P385" s="20"/>
      <c r="Q385" s="20"/>
      <c r="R385" s="21" t="n">
        <f aca="false">SUM(F385:Q385)</f>
        <v>1021.87</v>
      </c>
      <c r="S385" s="18"/>
      <c r="T385" s="18"/>
      <c r="U385" s="18"/>
      <c r="V385" s="18"/>
      <c r="W385" s="18"/>
      <c r="X385" s="28" t="n">
        <v>1</v>
      </c>
      <c r="Y385" s="18"/>
      <c r="Z385" s="18"/>
      <c r="AA385" s="18"/>
      <c r="AB385" s="18"/>
      <c r="AC385" s="18"/>
      <c r="AD385" s="18"/>
      <c r="AE385" s="22" t="n">
        <f aca="false">SUM(S385:AD385)</f>
        <v>1</v>
      </c>
      <c r="AF385" s="22"/>
      <c r="AG385" s="22"/>
      <c r="AH385" s="22"/>
      <c r="AI385" s="22"/>
      <c r="AJ385" s="22"/>
      <c r="AK385" s="30" t="s">
        <v>49</v>
      </c>
      <c r="AL385" s="22"/>
      <c r="AM385" s="22"/>
      <c r="AN385" s="22"/>
      <c r="AO385" s="22"/>
      <c r="AP385" s="22"/>
      <c r="AQ385" s="22"/>
      <c r="AR385" s="29" t="s">
        <v>48</v>
      </c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22" t="n">
        <f aca="false">SUM(AS385:BD385)</f>
        <v>0</v>
      </c>
      <c r="BF385" s="23"/>
      <c r="BG385" s="24"/>
      <c r="BH385" s="18"/>
      <c r="BI385" s="18"/>
      <c r="BJ385" s="18"/>
      <c r="BK385" s="18"/>
      <c r="BL385" s="25" t="n">
        <v>1</v>
      </c>
      <c r="BM385" s="18"/>
      <c r="BN385" s="18"/>
      <c r="BO385" s="18"/>
      <c r="BP385" s="18"/>
      <c r="BQ385" s="18"/>
      <c r="BR385" s="18"/>
      <c r="BS385" s="18"/>
      <c r="BT385" s="22" t="n">
        <f aca="false">SUM(BH385:BS385)</f>
        <v>1</v>
      </c>
      <c r="BU385" s="26" t="n">
        <v>45860.6243055556</v>
      </c>
      <c r="BV385" s="17"/>
      <c r="BW385" s="17" t="s">
        <v>44</v>
      </c>
      <c r="BX385" s="23" t="n">
        <f aca="false">IFERROR(R385/AE385,0)</f>
        <v>1021.87</v>
      </c>
      <c r="BY385" s="23" t="n">
        <f aca="false">IFERROR(R385/12,0)</f>
        <v>85.1558333333333</v>
      </c>
      <c r="BZ385" s="18" t="n">
        <v>0</v>
      </c>
      <c r="CA385" s="22" t="str">
        <f aca="false">IF(AE385=0,"PROSPECT",IF(AE385=1,"NOVO",IF(AE385&lt;=3,"EM DESENV.",IF(AE385&lt;=6,"RECORRENTE","FIDELIZADO"))))</f>
        <v>NOVO</v>
      </c>
      <c r="CB385" s="22" t="n">
        <f aca="false">IF((P385+Q385)&gt;0,1,0)+IF((BR385+BS385)&gt;0,1,0)+IF(BE385&gt;0,1,0)</f>
        <v>0</v>
      </c>
    </row>
    <row r="386" customFormat="false" ht="15" hidden="false" customHeight="true" outlineLevel="0" collapsed="false">
      <c r="A386" s="16" t="s">
        <v>1069</v>
      </c>
      <c r="B386" s="17" t="s">
        <v>1070</v>
      </c>
      <c r="C386" s="18" t="s">
        <v>41</v>
      </c>
      <c r="D386" s="17" t="s">
        <v>42</v>
      </c>
      <c r="E386" s="29" t="s">
        <v>365</v>
      </c>
      <c r="F386" s="20"/>
      <c r="G386" s="20"/>
      <c r="H386" s="27" t="n">
        <v>810.36</v>
      </c>
      <c r="I386" s="20"/>
      <c r="J386" s="20"/>
      <c r="K386" s="20"/>
      <c r="L386" s="20"/>
      <c r="M386" s="20"/>
      <c r="N386" s="20"/>
      <c r="O386" s="20"/>
      <c r="P386" s="20"/>
      <c r="Q386" s="20"/>
      <c r="R386" s="21" t="n">
        <f aca="false">SUM(F386:Q386)</f>
        <v>810.36</v>
      </c>
      <c r="S386" s="18"/>
      <c r="T386" s="18"/>
      <c r="U386" s="28" t="n">
        <v>1</v>
      </c>
      <c r="V386" s="18"/>
      <c r="W386" s="18"/>
      <c r="X386" s="18"/>
      <c r="Y386" s="18"/>
      <c r="Z386" s="18"/>
      <c r="AA386" s="18"/>
      <c r="AB386" s="18"/>
      <c r="AC386" s="18"/>
      <c r="AD386" s="18"/>
      <c r="AE386" s="22" t="n">
        <f aca="false">SUM(S386:AD386)</f>
        <v>1</v>
      </c>
      <c r="AF386" s="22"/>
      <c r="AG386" s="22"/>
      <c r="AH386" s="30" t="s">
        <v>49</v>
      </c>
      <c r="AI386" s="22"/>
      <c r="AJ386" s="22"/>
      <c r="AK386" s="22"/>
      <c r="AL386" s="22"/>
      <c r="AM386" s="22"/>
      <c r="AN386" s="22"/>
      <c r="AO386" s="22"/>
      <c r="AP386" s="22"/>
      <c r="AQ386" s="22"/>
      <c r="AR386" s="29" t="s">
        <v>48</v>
      </c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22" t="n">
        <f aca="false">SUM(AS386:BD386)</f>
        <v>0</v>
      </c>
      <c r="BF386" s="23"/>
      <c r="BG386" s="24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22" t="n">
        <f aca="false">SUM(BH386:BS386)</f>
        <v>0</v>
      </c>
      <c r="BU386" s="26"/>
      <c r="BV386" s="17"/>
      <c r="BW386" s="17"/>
      <c r="BX386" s="23" t="n">
        <f aca="false">IFERROR(R386/AE386,0)</f>
        <v>810.36</v>
      </c>
      <c r="BY386" s="23" t="n">
        <f aca="false">IFERROR(R386/12,0)</f>
        <v>67.53</v>
      </c>
      <c r="BZ386" s="18" t="n">
        <v>0</v>
      </c>
      <c r="CA386" s="22" t="str">
        <f aca="false">IF(AE386=0,"PROSPECT",IF(AE386=1,"NOVO",IF(AE386&lt;=3,"EM DESENV.",IF(AE386&lt;=6,"RECORRENTE","FIDELIZADO"))))</f>
        <v>NOVO</v>
      </c>
      <c r="CB386" s="22" t="n">
        <f aca="false">IF((P386+Q386)&gt;0,1,0)+IF((BR386+BS386)&gt;0,1,0)+IF(BE386&gt;0,1,0)</f>
        <v>0</v>
      </c>
    </row>
    <row r="387" customFormat="false" ht="15" hidden="false" customHeight="true" outlineLevel="0" collapsed="false">
      <c r="A387" s="16" t="s">
        <v>1071</v>
      </c>
      <c r="B387" s="17" t="s">
        <v>1072</v>
      </c>
      <c r="C387" s="18" t="s">
        <v>41</v>
      </c>
      <c r="D387" s="17" t="s">
        <v>721</v>
      </c>
      <c r="E387" s="29" t="s">
        <v>365</v>
      </c>
      <c r="F387" s="20"/>
      <c r="G387" s="20"/>
      <c r="H387" s="27" t="n">
        <v>810.36</v>
      </c>
      <c r="I387" s="20"/>
      <c r="J387" s="20"/>
      <c r="K387" s="20"/>
      <c r="L387" s="20"/>
      <c r="M387" s="20"/>
      <c r="N387" s="20"/>
      <c r="O387" s="20"/>
      <c r="P387" s="20"/>
      <c r="Q387" s="20"/>
      <c r="R387" s="21" t="n">
        <f aca="false">SUM(F387:Q387)</f>
        <v>810.36</v>
      </c>
      <c r="S387" s="18"/>
      <c r="T387" s="18"/>
      <c r="U387" s="28" t="n">
        <v>1</v>
      </c>
      <c r="V387" s="18"/>
      <c r="W387" s="18"/>
      <c r="X387" s="18"/>
      <c r="Y387" s="18"/>
      <c r="Z387" s="18"/>
      <c r="AA387" s="18"/>
      <c r="AB387" s="18"/>
      <c r="AC387" s="18"/>
      <c r="AD387" s="18"/>
      <c r="AE387" s="22" t="n">
        <f aca="false">SUM(S387:AD387)</f>
        <v>1</v>
      </c>
      <c r="AF387" s="22"/>
      <c r="AG387" s="22"/>
      <c r="AH387" s="30" t="s">
        <v>49</v>
      </c>
      <c r="AI387" s="22"/>
      <c r="AJ387" s="22"/>
      <c r="AK387" s="22"/>
      <c r="AL387" s="22"/>
      <c r="AM387" s="22"/>
      <c r="AN387" s="22"/>
      <c r="AO387" s="22"/>
      <c r="AP387" s="22"/>
      <c r="AQ387" s="22"/>
      <c r="AR387" s="29" t="s">
        <v>48</v>
      </c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22" t="n">
        <f aca="false">SUM(AS387:BD387)</f>
        <v>0</v>
      </c>
      <c r="BF387" s="23"/>
      <c r="BG387" s="24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22" t="n">
        <f aca="false">SUM(BH387:BS387)</f>
        <v>0</v>
      </c>
      <c r="BU387" s="26"/>
      <c r="BV387" s="17"/>
      <c r="BW387" s="17"/>
      <c r="BX387" s="23" t="n">
        <f aca="false">IFERROR(R387/AE387,0)</f>
        <v>810.36</v>
      </c>
      <c r="BY387" s="23" t="n">
        <f aca="false">IFERROR(R387/12,0)</f>
        <v>67.53</v>
      </c>
      <c r="BZ387" s="18" t="n">
        <v>0</v>
      </c>
      <c r="CA387" s="22" t="str">
        <f aca="false">IF(AE387=0,"PROSPECT",IF(AE387=1,"NOVO",IF(AE387&lt;=3,"EM DESENV.",IF(AE387&lt;=6,"RECORRENTE","FIDELIZADO"))))</f>
        <v>NOVO</v>
      </c>
      <c r="CB387" s="22" t="n">
        <f aca="false">IF((P387+Q387)&gt;0,1,0)+IF((BR387+BS387)&gt;0,1,0)+IF(BE387&gt;0,1,0)</f>
        <v>0</v>
      </c>
    </row>
    <row r="388" customFormat="false" ht="15" hidden="false" customHeight="true" outlineLevel="0" collapsed="false">
      <c r="A388" s="16" t="s">
        <v>1073</v>
      </c>
      <c r="B388" s="17" t="s">
        <v>1074</v>
      </c>
      <c r="C388" s="18" t="s">
        <v>41</v>
      </c>
      <c r="D388" s="17" t="s">
        <v>42</v>
      </c>
      <c r="E388" s="29" t="s">
        <v>365</v>
      </c>
      <c r="F388" s="20"/>
      <c r="G388" s="20"/>
      <c r="H388" s="27" t="n">
        <v>810.36</v>
      </c>
      <c r="I388" s="20"/>
      <c r="J388" s="20"/>
      <c r="K388" s="20"/>
      <c r="L388" s="20"/>
      <c r="M388" s="20"/>
      <c r="N388" s="20"/>
      <c r="O388" s="20"/>
      <c r="P388" s="20"/>
      <c r="Q388" s="20"/>
      <c r="R388" s="21" t="n">
        <f aca="false">SUM(F388:Q388)</f>
        <v>810.36</v>
      </c>
      <c r="S388" s="18"/>
      <c r="T388" s="18"/>
      <c r="U388" s="28" t="n">
        <v>1</v>
      </c>
      <c r="V388" s="18"/>
      <c r="W388" s="18"/>
      <c r="X388" s="18"/>
      <c r="Y388" s="18"/>
      <c r="Z388" s="18"/>
      <c r="AA388" s="18"/>
      <c r="AB388" s="18"/>
      <c r="AC388" s="18"/>
      <c r="AD388" s="18"/>
      <c r="AE388" s="22" t="n">
        <f aca="false">SUM(S388:AD388)</f>
        <v>1</v>
      </c>
      <c r="AF388" s="22"/>
      <c r="AG388" s="22"/>
      <c r="AH388" s="30" t="s">
        <v>49</v>
      </c>
      <c r="AI388" s="22"/>
      <c r="AJ388" s="22"/>
      <c r="AK388" s="22"/>
      <c r="AL388" s="22"/>
      <c r="AM388" s="22"/>
      <c r="AN388" s="22"/>
      <c r="AO388" s="22"/>
      <c r="AP388" s="22"/>
      <c r="AQ388" s="22"/>
      <c r="AR388" s="29" t="s">
        <v>48</v>
      </c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22" t="n">
        <f aca="false">SUM(AS388:BD388)</f>
        <v>0</v>
      </c>
      <c r="BF388" s="23"/>
      <c r="BG388" s="24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22" t="n">
        <f aca="false">SUM(BH388:BS388)</f>
        <v>0</v>
      </c>
      <c r="BU388" s="26"/>
      <c r="BV388" s="17"/>
      <c r="BW388" s="17"/>
      <c r="BX388" s="23" t="n">
        <f aca="false">IFERROR(R388/AE388,0)</f>
        <v>810.36</v>
      </c>
      <c r="BY388" s="23" t="n">
        <f aca="false">IFERROR(R388/12,0)</f>
        <v>67.53</v>
      </c>
      <c r="BZ388" s="18" t="n">
        <v>0</v>
      </c>
      <c r="CA388" s="22" t="str">
        <f aca="false">IF(AE388=0,"PROSPECT",IF(AE388=1,"NOVO",IF(AE388&lt;=3,"EM DESENV.",IF(AE388&lt;=6,"RECORRENTE","FIDELIZADO"))))</f>
        <v>NOVO</v>
      </c>
      <c r="CB388" s="22" t="n">
        <f aca="false">IF((P388+Q388)&gt;0,1,0)+IF((BR388+BS388)&gt;0,1,0)+IF(BE388&gt;0,1,0)</f>
        <v>0</v>
      </c>
    </row>
    <row r="389" customFormat="false" ht="15" hidden="false" customHeight="true" outlineLevel="0" collapsed="false">
      <c r="A389" s="16" t="s">
        <v>1075</v>
      </c>
      <c r="B389" s="17" t="s">
        <v>1076</v>
      </c>
      <c r="C389" s="18" t="s">
        <v>263</v>
      </c>
      <c r="D389" s="17" t="s">
        <v>1077</v>
      </c>
      <c r="E389" s="29" t="s">
        <v>365</v>
      </c>
      <c r="F389" s="20"/>
      <c r="G389" s="20"/>
      <c r="H389" s="20"/>
      <c r="I389" s="20"/>
      <c r="J389" s="20"/>
      <c r="K389" s="27" t="n">
        <v>1160.85</v>
      </c>
      <c r="L389" s="20"/>
      <c r="M389" s="20"/>
      <c r="N389" s="20"/>
      <c r="O389" s="20"/>
      <c r="P389" s="20"/>
      <c r="Q389" s="20"/>
      <c r="R389" s="21" t="n">
        <f aca="false">SUM(F389:Q389)</f>
        <v>1160.85</v>
      </c>
      <c r="S389" s="18"/>
      <c r="T389" s="18"/>
      <c r="U389" s="18"/>
      <c r="V389" s="18"/>
      <c r="W389" s="18"/>
      <c r="X389" s="28" t="n">
        <v>1</v>
      </c>
      <c r="Y389" s="18"/>
      <c r="Z389" s="18"/>
      <c r="AA389" s="18"/>
      <c r="AB389" s="18"/>
      <c r="AC389" s="18"/>
      <c r="AD389" s="18"/>
      <c r="AE389" s="22" t="n">
        <f aca="false">SUM(S389:AD389)</f>
        <v>1</v>
      </c>
      <c r="AF389" s="22"/>
      <c r="AG389" s="22"/>
      <c r="AH389" s="22"/>
      <c r="AI389" s="22"/>
      <c r="AJ389" s="22"/>
      <c r="AK389" s="30" t="s">
        <v>49</v>
      </c>
      <c r="AL389" s="22"/>
      <c r="AM389" s="22"/>
      <c r="AN389" s="22"/>
      <c r="AO389" s="22"/>
      <c r="AP389" s="22"/>
      <c r="AQ389" s="22"/>
      <c r="AR389" s="30" t="s">
        <v>49</v>
      </c>
      <c r="AS389" s="18"/>
      <c r="AT389" s="18"/>
      <c r="AU389" s="18"/>
      <c r="AV389" s="18"/>
      <c r="AW389" s="18"/>
      <c r="AX389" s="25" t="n">
        <v>2</v>
      </c>
      <c r="AY389" s="18"/>
      <c r="AZ389" s="18"/>
      <c r="BA389" s="18"/>
      <c r="BB389" s="18"/>
      <c r="BC389" s="18"/>
      <c r="BD389" s="18"/>
      <c r="BE389" s="22" t="n">
        <f aca="false">SUM(AS389:BD389)</f>
        <v>2</v>
      </c>
      <c r="BF389" s="23" t="n">
        <v>1160.85</v>
      </c>
      <c r="BG389" s="19" t="s">
        <v>55</v>
      </c>
      <c r="BH389" s="18"/>
      <c r="BI389" s="18"/>
      <c r="BJ389" s="18"/>
      <c r="BK389" s="18"/>
      <c r="BL389" s="18"/>
      <c r="BM389" s="25" t="n">
        <v>1</v>
      </c>
      <c r="BN389" s="18"/>
      <c r="BO389" s="25" t="n">
        <v>1</v>
      </c>
      <c r="BP389" s="18"/>
      <c r="BQ389" s="18"/>
      <c r="BR389" s="25" t="n">
        <v>2</v>
      </c>
      <c r="BS389" s="18"/>
      <c r="BT389" s="22" t="n">
        <f aca="false">SUM(BH389:BS389)</f>
        <v>4</v>
      </c>
      <c r="BU389" s="26" t="n">
        <v>46036.5930555556</v>
      </c>
      <c r="BV389" s="17" t="s">
        <v>378</v>
      </c>
      <c r="BW389" s="17" t="s">
        <v>44</v>
      </c>
      <c r="BX389" s="23" t="n">
        <f aca="false">IFERROR(R389/AE389,0)</f>
        <v>1160.85</v>
      </c>
      <c r="BY389" s="23" t="n">
        <f aca="false">IFERROR(R389/12,0)</f>
        <v>96.7375</v>
      </c>
      <c r="BZ389" s="18" t="n">
        <v>0</v>
      </c>
      <c r="CA389" s="22" t="str">
        <f aca="false">IF(AE389=0,"PROSPECT",IF(AE389=1,"NOVO",IF(AE389&lt;=3,"EM DESENV.",IF(AE389&lt;=6,"RECORRENTE","FIDELIZADO"))))</f>
        <v>NOVO</v>
      </c>
      <c r="CB389" s="22" t="n">
        <f aca="false">IF((P389+Q389)&gt;0,1,0)+IF((BR389+BS389)&gt;0,1,0)+IF(BE389&gt;0,1,0)</f>
        <v>2</v>
      </c>
    </row>
    <row r="390" customFormat="false" ht="15" hidden="false" customHeight="true" outlineLevel="0" collapsed="false">
      <c r="A390" s="16" t="s">
        <v>1078</v>
      </c>
      <c r="B390" s="17" t="s">
        <v>1079</v>
      </c>
      <c r="C390" s="18" t="s">
        <v>168</v>
      </c>
      <c r="D390" s="17" t="s">
        <v>747</v>
      </c>
      <c r="E390" s="29" t="s">
        <v>365</v>
      </c>
      <c r="F390" s="20"/>
      <c r="G390" s="20"/>
      <c r="H390" s="20"/>
      <c r="I390" s="20"/>
      <c r="J390" s="20"/>
      <c r="K390" s="20"/>
      <c r="L390" s="20"/>
      <c r="M390" s="20"/>
      <c r="N390" s="27" t="n">
        <v>1551.4</v>
      </c>
      <c r="O390" s="20"/>
      <c r="P390" s="20"/>
      <c r="Q390" s="20"/>
      <c r="R390" s="21" t="n">
        <f aca="false">SUM(F390:Q390)</f>
        <v>1551.4</v>
      </c>
      <c r="S390" s="18"/>
      <c r="T390" s="18"/>
      <c r="U390" s="18"/>
      <c r="V390" s="18"/>
      <c r="W390" s="18"/>
      <c r="X390" s="18"/>
      <c r="Y390" s="18"/>
      <c r="Z390" s="18"/>
      <c r="AA390" s="28" t="n">
        <v>1</v>
      </c>
      <c r="AB390" s="18"/>
      <c r="AC390" s="18"/>
      <c r="AD390" s="18"/>
      <c r="AE390" s="22" t="n">
        <f aca="false">SUM(S390:AD390)</f>
        <v>1</v>
      </c>
      <c r="AF390" s="22"/>
      <c r="AG390" s="22"/>
      <c r="AH390" s="22"/>
      <c r="AI390" s="22"/>
      <c r="AJ390" s="22"/>
      <c r="AK390" s="22"/>
      <c r="AL390" s="22"/>
      <c r="AM390" s="22"/>
      <c r="AN390" s="19" t="s">
        <v>50</v>
      </c>
      <c r="AO390" s="22"/>
      <c r="AP390" s="22"/>
      <c r="AQ390" s="22"/>
      <c r="AR390" s="30" t="s">
        <v>49</v>
      </c>
      <c r="AS390" s="18"/>
      <c r="AT390" s="18"/>
      <c r="AU390" s="18"/>
      <c r="AV390" s="18"/>
      <c r="AW390" s="18"/>
      <c r="AX390" s="18"/>
      <c r="AY390" s="18"/>
      <c r="AZ390" s="18"/>
      <c r="BA390" s="25" t="n">
        <v>1</v>
      </c>
      <c r="BB390" s="18"/>
      <c r="BC390" s="18"/>
      <c r="BD390" s="18"/>
      <c r="BE390" s="22" t="n">
        <f aca="false">SUM(AS390:BD390)</f>
        <v>1</v>
      </c>
      <c r="BF390" s="23" t="n">
        <v>1551.4</v>
      </c>
      <c r="BG390" s="19" t="s">
        <v>55</v>
      </c>
      <c r="BH390" s="18"/>
      <c r="BI390" s="18"/>
      <c r="BJ390" s="18"/>
      <c r="BK390" s="25" t="n">
        <v>2</v>
      </c>
      <c r="BL390" s="18"/>
      <c r="BM390" s="18"/>
      <c r="BN390" s="18"/>
      <c r="BO390" s="18"/>
      <c r="BP390" s="18"/>
      <c r="BQ390" s="18"/>
      <c r="BR390" s="18"/>
      <c r="BS390" s="18"/>
      <c r="BT390" s="22" t="n">
        <f aca="false">SUM(BH390:BS390)</f>
        <v>2</v>
      </c>
      <c r="BU390" s="26" t="n">
        <v>45831.6277777778</v>
      </c>
      <c r="BV390" s="17"/>
      <c r="BW390" s="17" t="s">
        <v>111</v>
      </c>
      <c r="BX390" s="23" t="n">
        <f aca="false">IFERROR(R390/AE390,0)</f>
        <v>1551.4</v>
      </c>
      <c r="BY390" s="23" t="n">
        <f aca="false">IFERROR(R390/12,0)</f>
        <v>129.283333333333</v>
      </c>
      <c r="BZ390" s="18" t="n">
        <v>0</v>
      </c>
      <c r="CA390" s="22" t="str">
        <f aca="false">IF(AE390=0,"PROSPECT",IF(AE390=1,"NOVO",IF(AE390&lt;=3,"EM DESENV.",IF(AE390&lt;=6,"RECORRENTE","FIDELIZADO"))))</f>
        <v>NOVO</v>
      </c>
      <c r="CB390" s="22" t="n">
        <f aca="false">IF((P390+Q390)&gt;0,1,0)+IF((BR390+BS390)&gt;0,1,0)+IF(BE390&gt;0,1,0)</f>
        <v>1</v>
      </c>
    </row>
    <row r="391" customFormat="false" ht="15" hidden="false" customHeight="true" outlineLevel="0" collapsed="false">
      <c r="A391" s="16" t="s">
        <v>1080</v>
      </c>
      <c r="B391" s="17" t="s">
        <v>1081</v>
      </c>
      <c r="C391" s="18" t="s">
        <v>1082</v>
      </c>
      <c r="D391" s="17" t="s">
        <v>1083</v>
      </c>
      <c r="E391" s="29" t="s">
        <v>365</v>
      </c>
      <c r="F391" s="27" t="n">
        <v>1662.66</v>
      </c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1" t="n">
        <f aca="false">SUM(F391:Q391)</f>
        <v>1662.66</v>
      </c>
      <c r="S391" s="28" t="n">
        <v>1</v>
      </c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22" t="n">
        <f aca="false">SUM(S391:AD391)</f>
        <v>1</v>
      </c>
      <c r="AF391" s="19" t="s">
        <v>50</v>
      </c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30" t="s">
        <v>49</v>
      </c>
      <c r="AS391" s="25" t="n">
        <v>4</v>
      </c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22" t="n">
        <f aca="false">SUM(AS391:BD391)</f>
        <v>4</v>
      </c>
      <c r="BF391" s="23"/>
      <c r="BG391" s="31" t="s">
        <v>93</v>
      </c>
      <c r="BH391" s="25" t="n">
        <v>2</v>
      </c>
      <c r="BI391" s="18"/>
      <c r="BJ391" s="18"/>
      <c r="BK391" s="25" t="n">
        <v>2</v>
      </c>
      <c r="BL391" s="25" t="n">
        <v>1</v>
      </c>
      <c r="BM391" s="18"/>
      <c r="BN391" s="25" t="n">
        <v>2</v>
      </c>
      <c r="BO391" s="18"/>
      <c r="BP391" s="18"/>
      <c r="BQ391" s="25" t="n">
        <v>2</v>
      </c>
      <c r="BR391" s="25" t="n">
        <v>2</v>
      </c>
      <c r="BS391" s="18"/>
      <c r="BT391" s="22" t="n">
        <f aca="false">SUM(BH391:BS391)</f>
        <v>11</v>
      </c>
      <c r="BU391" s="26" t="n">
        <v>46036.7065740741</v>
      </c>
      <c r="BV391" s="17"/>
      <c r="BW391" s="17" t="s">
        <v>44</v>
      </c>
      <c r="BX391" s="23" t="n">
        <f aca="false">IFERROR(R391/AE391,0)</f>
        <v>1662.66</v>
      </c>
      <c r="BY391" s="23" t="n">
        <f aca="false">IFERROR(R391/12,0)</f>
        <v>138.555</v>
      </c>
      <c r="BZ391" s="18" t="n">
        <v>0</v>
      </c>
      <c r="CA391" s="22" t="str">
        <f aca="false">IF(AE391=0,"PROSPECT",IF(AE391=1,"NOVO",IF(AE391&lt;=3,"EM DESENV.",IF(AE391&lt;=6,"RECORRENTE","FIDELIZADO"))))</f>
        <v>NOVO</v>
      </c>
      <c r="CB391" s="22" t="n">
        <f aca="false">IF((P391+Q391)&gt;0,1,0)+IF((BR391+BS391)&gt;0,1,0)+IF(BE391&gt;0,1,0)</f>
        <v>2</v>
      </c>
    </row>
    <row r="392" customFormat="false" ht="15" hidden="false" customHeight="true" outlineLevel="0" collapsed="false">
      <c r="A392" s="16" t="s">
        <v>1084</v>
      </c>
      <c r="B392" s="17" t="s">
        <v>1085</v>
      </c>
      <c r="C392" s="18" t="s">
        <v>61</v>
      </c>
      <c r="D392" s="17" t="s">
        <v>964</v>
      </c>
      <c r="E392" s="29" t="s">
        <v>365</v>
      </c>
      <c r="F392" s="20"/>
      <c r="G392" s="20"/>
      <c r="H392" s="20"/>
      <c r="I392" s="27" t="n">
        <v>1216.97</v>
      </c>
      <c r="J392" s="20"/>
      <c r="K392" s="20"/>
      <c r="L392" s="27" t="n">
        <v>1393.62</v>
      </c>
      <c r="M392" s="20"/>
      <c r="N392" s="20"/>
      <c r="O392" s="20"/>
      <c r="P392" s="20"/>
      <c r="Q392" s="20"/>
      <c r="R392" s="21" t="n">
        <f aca="false">SUM(F392:Q392)</f>
        <v>2610.59</v>
      </c>
      <c r="S392" s="18"/>
      <c r="T392" s="18"/>
      <c r="U392" s="18"/>
      <c r="V392" s="28" t="n">
        <v>1</v>
      </c>
      <c r="W392" s="18"/>
      <c r="X392" s="18"/>
      <c r="Y392" s="28" t="n">
        <v>1</v>
      </c>
      <c r="Z392" s="18"/>
      <c r="AA392" s="18"/>
      <c r="AB392" s="18"/>
      <c r="AC392" s="18"/>
      <c r="AD392" s="18"/>
      <c r="AE392" s="22" t="n">
        <f aca="false">SUM(S392:AD392)</f>
        <v>2</v>
      </c>
      <c r="AF392" s="22"/>
      <c r="AG392" s="22"/>
      <c r="AH392" s="22"/>
      <c r="AI392" s="30" t="s">
        <v>49</v>
      </c>
      <c r="AJ392" s="22"/>
      <c r="AK392" s="22"/>
      <c r="AL392" s="19" t="s">
        <v>50</v>
      </c>
      <c r="AM392" s="22"/>
      <c r="AN392" s="22"/>
      <c r="AO392" s="22"/>
      <c r="AP392" s="22"/>
      <c r="AQ392" s="22"/>
      <c r="AR392" s="19" t="s">
        <v>50</v>
      </c>
      <c r="AS392" s="18"/>
      <c r="AT392" s="18"/>
      <c r="AU392" s="18"/>
      <c r="AV392" s="18"/>
      <c r="AW392" s="18"/>
      <c r="AX392" s="18"/>
      <c r="AY392" s="25" t="n">
        <v>2</v>
      </c>
      <c r="AZ392" s="18"/>
      <c r="BA392" s="18"/>
      <c r="BB392" s="18"/>
      <c r="BC392" s="18"/>
      <c r="BD392" s="18"/>
      <c r="BE392" s="22" t="n">
        <f aca="false">SUM(AS392:BD392)</f>
        <v>2</v>
      </c>
      <c r="BF392" s="23"/>
      <c r="BG392" s="31" t="s">
        <v>93</v>
      </c>
      <c r="BH392" s="25" t="n">
        <v>1</v>
      </c>
      <c r="BI392" s="18"/>
      <c r="BJ392" s="18"/>
      <c r="BK392" s="25" t="n">
        <v>1</v>
      </c>
      <c r="BL392" s="25" t="n">
        <v>3</v>
      </c>
      <c r="BM392" s="25" t="n">
        <v>1</v>
      </c>
      <c r="BN392" s="18"/>
      <c r="BO392" s="18"/>
      <c r="BP392" s="18"/>
      <c r="BQ392" s="18"/>
      <c r="BR392" s="18"/>
      <c r="BS392" s="18"/>
      <c r="BT392" s="22" t="n">
        <f aca="false">SUM(BH392:BS392)</f>
        <v>6</v>
      </c>
      <c r="BU392" s="26" t="n">
        <v>45898.4826388889</v>
      </c>
      <c r="BV392" s="17" t="s">
        <v>124</v>
      </c>
      <c r="BW392" s="17" t="s">
        <v>44</v>
      </c>
      <c r="BX392" s="23" t="n">
        <f aca="false">IFERROR(R392/AE392,0)</f>
        <v>1305.295</v>
      </c>
      <c r="BY392" s="23" t="n">
        <f aca="false">IFERROR(R392/12,0)</f>
        <v>217.549166666667</v>
      </c>
      <c r="BZ392" s="18" t="n">
        <v>88</v>
      </c>
      <c r="CA392" s="22" t="str">
        <f aca="false">IF(AE392=0,"PROSPECT",IF(AE392=1,"NOVO",IF(AE392&lt;=3,"EM DESENV.",IF(AE392&lt;=6,"RECORRENTE","FIDELIZADO"))))</f>
        <v>EM DESENV.</v>
      </c>
      <c r="CB392" s="22" t="n">
        <f aca="false">IF((P392+Q392)&gt;0,1,0)+IF((BR392+BS392)&gt;0,1,0)+IF(BE392&gt;0,1,0)</f>
        <v>1</v>
      </c>
    </row>
    <row r="393" customFormat="false" ht="15" hidden="false" customHeight="true" outlineLevel="0" collapsed="false">
      <c r="A393" s="16" t="s">
        <v>1086</v>
      </c>
      <c r="B393" s="17" t="s">
        <v>1087</v>
      </c>
      <c r="C393" s="18" t="s">
        <v>72</v>
      </c>
      <c r="D393" s="17" t="s">
        <v>1088</v>
      </c>
      <c r="E393" s="29" t="s">
        <v>365</v>
      </c>
      <c r="F393" s="20"/>
      <c r="G393" s="20"/>
      <c r="H393" s="20"/>
      <c r="I393" s="20"/>
      <c r="J393" s="20"/>
      <c r="K393" s="20"/>
      <c r="L393" s="27" t="n">
        <v>961.38</v>
      </c>
      <c r="M393" s="20"/>
      <c r="N393" s="27" t="n">
        <v>2481.53</v>
      </c>
      <c r="O393" s="20"/>
      <c r="P393" s="20"/>
      <c r="Q393" s="20"/>
      <c r="R393" s="21" t="n">
        <f aca="false">SUM(F393:Q393)</f>
        <v>3442.91</v>
      </c>
      <c r="S393" s="18"/>
      <c r="T393" s="18"/>
      <c r="U393" s="18"/>
      <c r="V393" s="18"/>
      <c r="W393" s="18"/>
      <c r="X393" s="18"/>
      <c r="Y393" s="28" t="n">
        <v>1</v>
      </c>
      <c r="Z393" s="18"/>
      <c r="AA393" s="28" t="n">
        <v>1</v>
      </c>
      <c r="AB393" s="18"/>
      <c r="AC393" s="18"/>
      <c r="AD393" s="18"/>
      <c r="AE393" s="22" t="n">
        <f aca="false">SUM(S393:AD393)</f>
        <v>2</v>
      </c>
      <c r="AF393" s="22"/>
      <c r="AG393" s="22"/>
      <c r="AH393" s="22"/>
      <c r="AI393" s="22"/>
      <c r="AJ393" s="22"/>
      <c r="AK393" s="22"/>
      <c r="AL393" s="30" t="s">
        <v>49</v>
      </c>
      <c r="AM393" s="22"/>
      <c r="AN393" s="19" t="s">
        <v>50</v>
      </c>
      <c r="AO393" s="22"/>
      <c r="AP393" s="22"/>
      <c r="AQ393" s="22"/>
      <c r="AR393" s="19" t="s">
        <v>50</v>
      </c>
      <c r="AS393" s="18"/>
      <c r="AT393" s="18"/>
      <c r="AU393" s="18"/>
      <c r="AV393" s="18"/>
      <c r="AW393" s="18"/>
      <c r="AX393" s="18"/>
      <c r="AY393" s="18"/>
      <c r="AZ393" s="18"/>
      <c r="BA393" s="25" t="n">
        <v>3</v>
      </c>
      <c r="BB393" s="18"/>
      <c r="BC393" s="18"/>
      <c r="BD393" s="18"/>
      <c r="BE393" s="22" t="n">
        <f aca="false">SUM(AS393:BD393)</f>
        <v>3</v>
      </c>
      <c r="BF393" s="23" t="n">
        <v>2481.53</v>
      </c>
      <c r="BG393" s="19" t="s">
        <v>55</v>
      </c>
      <c r="BH393" s="18"/>
      <c r="BI393" s="18"/>
      <c r="BJ393" s="18"/>
      <c r="BK393" s="18"/>
      <c r="BL393" s="18"/>
      <c r="BM393" s="18"/>
      <c r="BN393" s="25" t="n">
        <v>1</v>
      </c>
      <c r="BO393" s="18"/>
      <c r="BP393" s="18"/>
      <c r="BQ393" s="18"/>
      <c r="BR393" s="18"/>
      <c r="BS393" s="18"/>
      <c r="BT393" s="22" t="n">
        <f aca="false">SUM(BH393:BS393)</f>
        <v>1</v>
      </c>
      <c r="BU393" s="26" t="n">
        <v>45909.7541666667</v>
      </c>
      <c r="BV393" s="17"/>
      <c r="BW393" s="17" t="s">
        <v>117</v>
      </c>
      <c r="BX393" s="23" t="n">
        <f aca="false">IFERROR(R393/AE393,0)</f>
        <v>1721.455</v>
      </c>
      <c r="BY393" s="23" t="n">
        <f aca="false">IFERROR(R393/12,0)</f>
        <v>286.909166666667</v>
      </c>
      <c r="BZ393" s="18" t="n">
        <v>60</v>
      </c>
      <c r="CA393" s="22" t="str">
        <f aca="false">IF(AE393=0,"PROSPECT",IF(AE393=1,"NOVO",IF(AE393&lt;=3,"EM DESENV.",IF(AE393&lt;=6,"RECORRENTE","FIDELIZADO"))))</f>
        <v>EM DESENV.</v>
      </c>
      <c r="CB393" s="22" t="n">
        <f aca="false">IF((P393+Q393)&gt;0,1,0)+IF((BR393+BS393)&gt;0,1,0)+IF(BE393&gt;0,1,0)</f>
        <v>1</v>
      </c>
    </row>
    <row r="394" customFormat="false" ht="15" hidden="false" customHeight="true" outlineLevel="0" collapsed="false">
      <c r="A394" s="16" t="s">
        <v>1089</v>
      </c>
      <c r="B394" s="17" t="s">
        <v>1090</v>
      </c>
      <c r="C394" s="18" t="s">
        <v>72</v>
      </c>
      <c r="D394" s="17" t="s">
        <v>1091</v>
      </c>
      <c r="E394" s="29" t="s">
        <v>365</v>
      </c>
      <c r="F394" s="20"/>
      <c r="G394" s="20"/>
      <c r="H394" s="20"/>
      <c r="I394" s="20"/>
      <c r="J394" s="20"/>
      <c r="K394" s="27" t="n">
        <v>1233.66</v>
      </c>
      <c r="L394" s="20"/>
      <c r="M394" s="20"/>
      <c r="N394" s="20"/>
      <c r="O394" s="20"/>
      <c r="P394" s="20"/>
      <c r="Q394" s="20"/>
      <c r="R394" s="21" t="n">
        <f aca="false">SUM(F394:Q394)</f>
        <v>1233.66</v>
      </c>
      <c r="S394" s="18"/>
      <c r="T394" s="18"/>
      <c r="U394" s="18"/>
      <c r="V394" s="18"/>
      <c r="W394" s="18"/>
      <c r="X394" s="28" t="n">
        <v>1</v>
      </c>
      <c r="Y394" s="18"/>
      <c r="Z394" s="18"/>
      <c r="AA394" s="18"/>
      <c r="AB394" s="18"/>
      <c r="AC394" s="18"/>
      <c r="AD394" s="18"/>
      <c r="AE394" s="22" t="n">
        <f aca="false">SUM(S394:AD394)</f>
        <v>1</v>
      </c>
      <c r="AF394" s="22"/>
      <c r="AG394" s="22"/>
      <c r="AH394" s="22"/>
      <c r="AI394" s="22"/>
      <c r="AJ394" s="22"/>
      <c r="AK394" s="30" t="s">
        <v>49</v>
      </c>
      <c r="AL394" s="22"/>
      <c r="AM394" s="22"/>
      <c r="AN394" s="22"/>
      <c r="AO394" s="22"/>
      <c r="AP394" s="22"/>
      <c r="AQ394" s="22"/>
      <c r="AR394" s="30" t="s">
        <v>49</v>
      </c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22" t="n">
        <f aca="false">SUM(AS394:BD394)</f>
        <v>0</v>
      </c>
      <c r="BF394" s="23"/>
      <c r="BG394" s="24"/>
      <c r="BH394" s="25" t="n">
        <v>2</v>
      </c>
      <c r="BI394" s="18"/>
      <c r="BJ394" s="18"/>
      <c r="BK394" s="18"/>
      <c r="BL394" s="18"/>
      <c r="BM394" s="25" t="n">
        <v>2</v>
      </c>
      <c r="BN394" s="18"/>
      <c r="BO394" s="18"/>
      <c r="BP394" s="18"/>
      <c r="BQ394" s="25" t="n">
        <v>1</v>
      </c>
      <c r="BR394" s="25" t="n">
        <v>1</v>
      </c>
      <c r="BS394" s="18"/>
      <c r="BT394" s="22" t="n">
        <f aca="false">SUM(BH394:BS394)</f>
        <v>6</v>
      </c>
      <c r="BU394" s="26" t="n">
        <v>46042.3882523148</v>
      </c>
      <c r="BV394" s="17"/>
      <c r="BW394" s="17" t="s">
        <v>44</v>
      </c>
      <c r="BX394" s="23" t="n">
        <f aca="false">IFERROR(R394/AE394,0)</f>
        <v>1233.66</v>
      </c>
      <c r="BY394" s="23" t="n">
        <f aca="false">IFERROR(R394/12,0)</f>
        <v>102.805</v>
      </c>
      <c r="BZ394" s="18" t="n">
        <v>0</v>
      </c>
      <c r="CA394" s="22" t="str">
        <f aca="false">IF(AE394=0,"PROSPECT",IF(AE394=1,"NOVO",IF(AE394&lt;=3,"EM DESENV.",IF(AE394&lt;=6,"RECORRENTE","FIDELIZADO"))))</f>
        <v>NOVO</v>
      </c>
      <c r="CB394" s="22" t="n">
        <f aca="false">IF((P394+Q394)&gt;0,1,0)+IF((BR394+BS394)&gt;0,1,0)+IF(BE394&gt;0,1,0)</f>
        <v>1</v>
      </c>
    </row>
    <row r="395" customFormat="false" ht="15" hidden="false" customHeight="true" outlineLevel="0" collapsed="false">
      <c r="A395" s="16" t="s">
        <v>1092</v>
      </c>
      <c r="B395" s="17" t="s">
        <v>1093</v>
      </c>
      <c r="C395" s="18" t="s">
        <v>263</v>
      </c>
      <c r="D395" s="17" t="s">
        <v>1094</v>
      </c>
      <c r="E395" s="29" t="s">
        <v>365</v>
      </c>
      <c r="F395" s="20"/>
      <c r="G395" s="27" t="n">
        <v>965.17</v>
      </c>
      <c r="H395" s="20"/>
      <c r="I395" s="20"/>
      <c r="J395" s="20"/>
      <c r="K395" s="27" t="n">
        <v>858.48</v>
      </c>
      <c r="L395" s="27" t="n">
        <v>858.48</v>
      </c>
      <c r="M395" s="20"/>
      <c r="N395" s="20"/>
      <c r="O395" s="20"/>
      <c r="P395" s="20"/>
      <c r="Q395" s="20"/>
      <c r="R395" s="21" t="n">
        <f aca="false">SUM(F395:Q395)</f>
        <v>2682.13</v>
      </c>
      <c r="S395" s="18"/>
      <c r="T395" s="28" t="n">
        <v>1</v>
      </c>
      <c r="U395" s="18"/>
      <c r="V395" s="18"/>
      <c r="W395" s="18"/>
      <c r="X395" s="28" t="n">
        <v>1</v>
      </c>
      <c r="Y395" s="28" t="n">
        <v>1</v>
      </c>
      <c r="Z395" s="18"/>
      <c r="AA395" s="18"/>
      <c r="AB395" s="18"/>
      <c r="AC395" s="18"/>
      <c r="AD395" s="18"/>
      <c r="AE395" s="22" t="n">
        <f aca="false">SUM(S395:AD395)</f>
        <v>3</v>
      </c>
      <c r="AF395" s="30" t="s">
        <v>49</v>
      </c>
      <c r="AG395" s="30" t="s">
        <v>49</v>
      </c>
      <c r="AH395" s="22"/>
      <c r="AI395" s="22"/>
      <c r="AJ395" s="22"/>
      <c r="AK395" s="30" t="s">
        <v>49</v>
      </c>
      <c r="AL395" s="30" t="s">
        <v>49</v>
      </c>
      <c r="AM395" s="22"/>
      <c r="AN395" s="22"/>
      <c r="AO395" s="22"/>
      <c r="AP395" s="22"/>
      <c r="AQ395" s="22"/>
      <c r="AR395" s="30" t="s">
        <v>49</v>
      </c>
      <c r="AS395" s="18"/>
      <c r="AT395" s="18"/>
      <c r="AU395" s="18"/>
      <c r="AV395" s="18"/>
      <c r="AW395" s="18"/>
      <c r="AX395" s="25" t="n">
        <v>1</v>
      </c>
      <c r="AY395" s="18"/>
      <c r="AZ395" s="18"/>
      <c r="BA395" s="18"/>
      <c r="BB395" s="18"/>
      <c r="BC395" s="18"/>
      <c r="BD395" s="18"/>
      <c r="BE395" s="22" t="n">
        <f aca="false">SUM(AS395:BD395)</f>
        <v>1</v>
      </c>
      <c r="BF395" s="23" t="n">
        <v>858.48</v>
      </c>
      <c r="BG395" s="19" t="s">
        <v>55</v>
      </c>
      <c r="BH395" s="25" t="n">
        <v>2</v>
      </c>
      <c r="BI395" s="18"/>
      <c r="BJ395" s="25" t="n">
        <v>3</v>
      </c>
      <c r="BK395" s="25" t="n">
        <v>4</v>
      </c>
      <c r="BL395" s="25" t="n">
        <v>6</v>
      </c>
      <c r="BM395" s="25" t="n">
        <v>2</v>
      </c>
      <c r="BN395" s="25" t="n">
        <v>1</v>
      </c>
      <c r="BO395" s="18"/>
      <c r="BP395" s="18"/>
      <c r="BQ395" s="18"/>
      <c r="BR395" s="25" t="n">
        <v>1</v>
      </c>
      <c r="BS395" s="18"/>
      <c r="BT395" s="22" t="n">
        <f aca="false">SUM(BH395:BS395)</f>
        <v>19</v>
      </c>
      <c r="BU395" s="26" t="n">
        <v>46038.4419097222</v>
      </c>
      <c r="BV395" s="17"/>
      <c r="BW395" s="17" t="s">
        <v>44</v>
      </c>
      <c r="BX395" s="23" t="n">
        <f aca="false">IFERROR(R395/AE395,0)</f>
        <v>894.043333333333</v>
      </c>
      <c r="BY395" s="23" t="n">
        <f aca="false">IFERROR(R395/12,0)</f>
        <v>223.510833333333</v>
      </c>
      <c r="BZ395" s="18" t="n">
        <v>153</v>
      </c>
      <c r="CA395" s="22" t="str">
        <f aca="false">IF(AE395=0,"PROSPECT",IF(AE395=1,"NOVO",IF(AE395&lt;=3,"EM DESENV.",IF(AE395&lt;=6,"RECORRENTE","FIDELIZADO"))))</f>
        <v>EM DESENV.</v>
      </c>
      <c r="CB395" s="22" t="n">
        <f aca="false">IF((P395+Q395)&gt;0,1,0)+IF((BR395+BS395)&gt;0,1,0)+IF(BE395&gt;0,1,0)</f>
        <v>2</v>
      </c>
    </row>
    <row r="396" customFormat="false" ht="15" hidden="false" customHeight="true" outlineLevel="0" collapsed="false">
      <c r="A396" s="16" t="s">
        <v>1095</v>
      </c>
      <c r="B396" s="17" t="s">
        <v>1096</v>
      </c>
      <c r="C396" s="18" t="s">
        <v>53</v>
      </c>
      <c r="D396" s="17" t="s">
        <v>1097</v>
      </c>
      <c r="E396" s="29" t="s">
        <v>365</v>
      </c>
      <c r="F396" s="20"/>
      <c r="G396" s="20"/>
      <c r="H396" s="20"/>
      <c r="I396" s="20"/>
      <c r="J396" s="20"/>
      <c r="K396" s="20"/>
      <c r="L396" s="20"/>
      <c r="M396" s="27" t="n">
        <v>319.33</v>
      </c>
      <c r="N396" s="20"/>
      <c r="O396" s="20"/>
      <c r="P396" s="20"/>
      <c r="Q396" s="20"/>
      <c r="R396" s="21" t="n">
        <f aca="false">SUM(F396:Q396)</f>
        <v>319.33</v>
      </c>
      <c r="S396" s="18"/>
      <c r="T396" s="18"/>
      <c r="U396" s="18"/>
      <c r="V396" s="18"/>
      <c r="W396" s="18"/>
      <c r="X396" s="18"/>
      <c r="Y396" s="18"/>
      <c r="Z396" s="28" t="n">
        <v>1</v>
      </c>
      <c r="AA396" s="18"/>
      <c r="AB396" s="18"/>
      <c r="AC396" s="18"/>
      <c r="AD396" s="18"/>
      <c r="AE396" s="22" t="n">
        <f aca="false">SUM(S396:AD396)</f>
        <v>1</v>
      </c>
      <c r="AF396" s="22"/>
      <c r="AG396" s="22"/>
      <c r="AH396" s="22"/>
      <c r="AI396" s="22"/>
      <c r="AJ396" s="22"/>
      <c r="AK396" s="22"/>
      <c r="AL396" s="22"/>
      <c r="AM396" s="29" t="s">
        <v>48</v>
      </c>
      <c r="AN396" s="22"/>
      <c r="AO396" s="22"/>
      <c r="AP396" s="22"/>
      <c r="AQ396" s="22"/>
      <c r="AR396" s="29" t="s">
        <v>48</v>
      </c>
      <c r="AS396" s="18"/>
      <c r="AT396" s="18"/>
      <c r="AU396" s="18"/>
      <c r="AV396" s="25" t="n">
        <v>2</v>
      </c>
      <c r="AW396" s="18"/>
      <c r="AX396" s="18"/>
      <c r="AY396" s="18"/>
      <c r="AZ396" s="18"/>
      <c r="BA396" s="18"/>
      <c r="BB396" s="18"/>
      <c r="BC396" s="25" t="n">
        <v>1</v>
      </c>
      <c r="BD396" s="18"/>
      <c r="BE396" s="22" t="n">
        <f aca="false">SUM(AS396:BD396)</f>
        <v>3</v>
      </c>
      <c r="BF396" s="23"/>
      <c r="BG396" s="31" t="s">
        <v>93</v>
      </c>
      <c r="BH396" s="18"/>
      <c r="BI396" s="25" t="n">
        <v>1</v>
      </c>
      <c r="BJ396" s="18"/>
      <c r="BK396" s="18"/>
      <c r="BL396" s="18"/>
      <c r="BM396" s="18"/>
      <c r="BN396" s="18"/>
      <c r="BO396" s="25" t="n">
        <v>2</v>
      </c>
      <c r="BP396" s="25" t="n">
        <v>1</v>
      </c>
      <c r="BQ396" s="18"/>
      <c r="BR396" s="25" t="n">
        <v>4</v>
      </c>
      <c r="BS396" s="18"/>
      <c r="BT396" s="22" t="n">
        <f aca="false">SUM(BH396:BS396)</f>
        <v>8</v>
      </c>
      <c r="BU396" s="26" t="n">
        <v>46036.3717708333</v>
      </c>
      <c r="BV396" s="17"/>
      <c r="BW396" s="17" t="s">
        <v>44</v>
      </c>
      <c r="BX396" s="23" t="n">
        <f aca="false">IFERROR(R396/AE396,0)</f>
        <v>319.33</v>
      </c>
      <c r="BY396" s="23" t="n">
        <f aca="false">IFERROR(R396/12,0)</f>
        <v>26.6108333333333</v>
      </c>
      <c r="BZ396" s="18" t="n">
        <v>0</v>
      </c>
      <c r="CA396" s="22" t="str">
        <f aca="false">IF(AE396=0,"PROSPECT",IF(AE396=1,"NOVO",IF(AE396&lt;=3,"EM DESENV.",IF(AE396&lt;=6,"RECORRENTE","FIDELIZADO"))))</f>
        <v>NOVO</v>
      </c>
      <c r="CB396" s="22" t="n">
        <f aca="false">IF((P396+Q396)&gt;0,1,0)+IF((BR396+BS396)&gt;0,1,0)+IF(BE396&gt;0,1,0)</f>
        <v>2</v>
      </c>
    </row>
    <row r="397" customFormat="false" ht="15" hidden="false" customHeight="true" outlineLevel="0" collapsed="false">
      <c r="A397" s="16" t="s">
        <v>1098</v>
      </c>
      <c r="B397" s="17" t="s">
        <v>1099</v>
      </c>
      <c r="C397" s="18" t="s">
        <v>53</v>
      </c>
      <c r="D397" s="17" t="s">
        <v>1100</v>
      </c>
      <c r="E397" s="29" t="s">
        <v>365</v>
      </c>
      <c r="F397" s="20"/>
      <c r="G397" s="20"/>
      <c r="H397" s="20"/>
      <c r="I397" s="20"/>
      <c r="J397" s="27" t="n">
        <v>990</v>
      </c>
      <c r="K397" s="20"/>
      <c r="L397" s="20"/>
      <c r="M397" s="27" t="n">
        <v>275.29</v>
      </c>
      <c r="N397" s="20"/>
      <c r="O397" s="20"/>
      <c r="P397" s="20"/>
      <c r="Q397" s="20"/>
      <c r="R397" s="21" t="n">
        <f aca="false">SUM(F397:Q397)</f>
        <v>1265.29</v>
      </c>
      <c r="S397" s="18"/>
      <c r="T397" s="18"/>
      <c r="U397" s="18"/>
      <c r="V397" s="18"/>
      <c r="W397" s="28" t="n">
        <v>1</v>
      </c>
      <c r="X397" s="18"/>
      <c r="Y397" s="18"/>
      <c r="Z397" s="28" t="n">
        <v>1</v>
      </c>
      <c r="AA397" s="18"/>
      <c r="AB397" s="18"/>
      <c r="AC397" s="18"/>
      <c r="AD397" s="18"/>
      <c r="AE397" s="22" t="n">
        <f aca="false">SUM(S397:AD397)</f>
        <v>2</v>
      </c>
      <c r="AF397" s="22"/>
      <c r="AG397" s="22"/>
      <c r="AH397" s="22"/>
      <c r="AI397" s="22"/>
      <c r="AJ397" s="30" t="s">
        <v>49</v>
      </c>
      <c r="AK397" s="22"/>
      <c r="AL397" s="22"/>
      <c r="AM397" s="29" t="s">
        <v>48</v>
      </c>
      <c r="AN397" s="22"/>
      <c r="AO397" s="22"/>
      <c r="AP397" s="22"/>
      <c r="AQ397" s="22"/>
      <c r="AR397" s="30" t="s">
        <v>49</v>
      </c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22" t="n">
        <f aca="false">SUM(AS397:BD397)</f>
        <v>0</v>
      </c>
      <c r="BF397" s="23"/>
      <c r="BG397" s="24"/>
      <c r="BH397" s="25" t="n">
        <v>1</v>
      </c>
      <c r="BI397" s="18"/>
      <c r="BJ397" s="25" t="n">
        <v>1</v>
      </c>
      <c r="BK397" s="25" t="n">
        <v>2</v>
      </c>
      <c r="BL397" s="25" t="n">
        <v>2</v>
      </c>
      <c r="BM397" s="18"/>
      <c r="BN397" s="25" t="n">
        <v>1</v>
      </c>
      <c r="BO397" s="25" t="n">
        <v>3</v>
      </c>
      <c r="BP397" s="25" t="n">
        <v>1</v>
      </c>
      <c r="BQ397" s="18"/>
      <c r="BR397" s="25" t="n">
        <v>6</v>
      </c>
      <c r="BS397" s="25" t="n">
        <v>1</v>
      </c>
      <c r="BT397" s="22" t="n">
        <f aca="false">SUM(BH397:BS397)</f>
        <v>18</v>
      </c>
      <c r="BU397" s="26" t="n">
        <v>46058.4940856482</v>
      </c>
      <c r="BV397" s="17"/>
      <c r="BW397" s="17" t="s">
        <v>44</v>
      </c>
      <c r="BX397" s="23" t="n">
        <f aca="false">IFERROR(R397/AE397,0)</f>
        <v>632.645</v>
      </c>
      <c r="BY397" s="23" t="n">
        <f aca="false">IFERROR(R397/12,0)</f>
        <v>105.440833333333</v>
      </c>
      <c r="BZ397" s="18" t="n">
        <v>102</v>
      </c>
      <c r="CA397" s="22" t="str">
        <f aca="false">IF(AE397=0,"PROSPECT",IF(AE397=1,"NOVO",IF(AE397&lt;=3,"EM DESENV.",IF(AE397&lt;=6,"RECORRENTE","FIDELIZADO"))))</f>
        <v>EM DESENV.</v>
      </c>
      <c r="CB397" s="22" t="n">
        <f aca="false">IF((P397+Q397)&gt;0,1,0)+IF((BR397+BS397)&gt;0,1,0)+IF(BE397&gt;0,1,0)</f>
        <v>1</v>
      </c>
    </row>
    <row r="398" customFormat="false" ht="15" hidden="false" customHeight="true" outlineLevel="0" collapsed="false">
      <c r="A398" s="16" t="s">
        <v>1101</v>
      </c>
      <c r="B398" s="17" t="s">
        <v>1102</v>
      </c>
      <c r="C398" s="18" t="s">
        <v>41</v>
      </c>
      <c r="D398" s="17" t="s">
        <v>42</v>
      </c>
      <c r="E398" s="29" t="s">
        <v>365</v>
      </c>
      <c r="F398" s="20"/>
      <c r="G398" s="20"/>
      <c r="H398" s="20"/>
      <c r="I398" s="27" t="n">
        <v>674.33</v>
      </c>
      <c r="J398" s="27" t="n">
        <v>944.16</v>
      </c>
      <c r="K398" s="20"/>
      <c r="L398" s="27" t="n">
        <v>1106.63</v>
      </c>
      <c r="M398" s="20"/>
      <c r="N398" s="27" t="n">
        <v>904.5</v>
      </c>
      <c r="O398" s="27" t="n">
        <v>889.25</v>
      </c>
      <c r="P398" s="20"/>
      <c r="Q398" s="20"/>
      <c r="R398" s="21" t="n">
        <f aca="false">SUM(F398:Q398)</f>
        <v>4518.87</v>
      </c>
      <c r="S398" s="18"/>
      <c r="T398" s="18"/>
      <c r="U398" s="18"/>
      <c r="V398" s="28" t="n">
        <v>1</v>
      </c>
      <c r="W398" s="28" t="n">
        <v>1</v>
      </c>
      <c r="X398" s="18"/>
      <c r="Y398" s="28" t="n">
        <v>1</v>
      </c>
      <c r="Z398" s="18"/>
      <c r="AA398" s="28" t="n">
        <v>1</v>
      </c>
      <c r="AB398" s="28" t="n">
        <v>1</v>
      </c>
      <c r="AC398" s="18"/>
      <c r="AD398" s="18"/>
      <c r="AE398" s="22" t="n">
        <f aca="false">SUM(S398:AD398)</f>
        <v>5</v>
      </c>
      <c r="AF398" s="22"/>
      <c r="AG398" s="22"/>
      <c r="AH398" s="22"/>
      <c r="AI398" s="29" t="s">
        <v>48</v>
      </c>
      <c r="AJ398" s="30" t="s">
        <v>49</v>
      </c>
      <c r="AK398" s="22"/>
      <c r="AL398" s="30" t="s">
        <v>49</v>
      </c>
      <c r="AM398" s="22"/>
      <c r="AN398" s="30" t="s">
        <v>49</v>
      </c>
      <c r="AO398" s="30" t="s">
        <v>49</v>
      </c>
      <c r="AP398" s="22"/>
      <c r="AQ398" s="22"/>
      <c r="AR398" s="19" t="s">
        <v>50</v>
      </c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22" t="n">
        <f aca="false">SUM(AS398:BD398)</f>
        <v>0</v>
      </c>
      <c r="BF398" s="23"/>
      <c r="BG398" s="24"/>
      <c r="BH398" s="18"/>
      <c r="BI398" s="18"/>
      <c r="BJ398" s="18"/>
      <c r="BK398" s="25" t="n">
        <v>1</v>
      </c>
      <c r="BL398" s="18"/>
      <c r="BM398" s="25" t="n">
        <v>1</v>
      </c>
      <c r="BN398" s="18"/>
      <c r="BO398" s="25" t="n">
        <v>1</v>
      </c>
      <c r="BP398" s="18"/>
      <c r="BQ398" s="18"/>
      <c r="BR398" s="18"/>
      <c r="BS398" s="25" t="n">
        <v>2</v>
      </c>
      <c r="BT398" s="22" t="n">
        <f aca="false">SUM(BH398:BS398)</f>
        <v>5</v>
      </c>
      <c r="BU398" s="26" t="n">
        <v>46057.3826388889</v>
      </c>
      <c r="BV398" s="17"/>
      <c r="BW398" s="17" t="s">
        <v>44</v>
      </c>
      <c r="BX398" s="23" t="n">
        <f aca="false">IFERROR(R398/AE398,0)</f>
        <v>903.774</v>
      </c>
      <c r="BY398" s="23" t="n">
        <f aca="false">IFERROR(R398/12,0)</f>
        <v>376.5725</v>
      </c>
      <c r="BZ398" s="18" t="n">
        <v>41.75</v>
      </c>
      <c r="CA398" s="22" t="str">
        <f aca="false">IF(AE398=0,"PROSPECT",IF(AE398=1,"NOVO",IF(AE398&lt;=3,"EM DESENV.",IF(AE398&lt;=6,"RECORRENTE","FIDELIZADO"))))</f>
        <v>RECORRENTE</v>
      </c>
      <c r="CB398" s="22" t="n">
        <f aca="false">IF((P398+Q398)&gt;0,1,0)+IF((BR398+BS398)&gt;0,1,0)+IF(BE398&gt;0,1,0)</f>
        <v>1</v>
      </c>
    </row>
    <row r="399" customFormat="false" ht="15" hidden="false" customHeight="true" outlineLevel="0" collapsed="false">
      <c r="A399" s="16" t="s">
        <v>1103</v>
      </c>
      <c r="B399" s="17" t="s">
        <v>1104</v>
      </c>
      <c r="C399" s="18" t="s">
        <v>53</v>
      </c>
      <c r="D399" s="17" t="s">
        <v>234</v>
      </c>
      <c r="E399" s="29" t="s">
        <v>365</v>
      </c>
      <c r="F399" s="20"/>
      <c r="G399" s="20"/>
      <c r="H399" s="20"/>
      <c r="I399" s="20"/>
      <c r="J399" s="20"/>
      <c r="K399" s="20"/>
      <c r="L399" s="20"/>
      <c r="M399" s="20"/>
      <c r="N399" s="27" t="n">
        <v>692.75</v>
      </c>
      <c r="O399" s="20"/>
      <c r="P399" s="20"/>
      <c r="Q399" s="20"/>
      <c r="R399" s="21" t="n">
        <f aca="false">SUM(F399:Q399)</f>
        <v>692.75</v>
      </c>
      <c r="S399" s="18"/>
      <c r="T399" s="18"/>
      <c r="U399" s="18"/>
      <c r="V399" s="18"/>
      <c r="W399" s="18"/>
      <c r="X399" s="18"/>
      <c r="Y399" s="18"/>
      <c r="Z399" s="18"/>
      <c r="AA399" s="28" t="n">
        <v>1</v>
      </c>
      <c r="AB399" s="18"/>
      <c r="AC399" s="18"/>
      <c r="AD399" s="18"/>
      <c r="AE399" s="22" t="n">
        <f aca="false">SUM(S399:AD399)</f>
        <v>1</v>
      </c>
      <c r="AF399" s="22"/>
      <c r="AG399" s="22"/>
      <c r="AH399" s="22"/>
      <c r="AI399" s="22"/>
      <c r="AJ399" s="22"/>
      <c r="AK399" s="22"/>
      <c r="AL399" s="22"/>
      <c r="AM399" s="22"/>
      <c r="AN399" s="29" t="s">
        <v>48</v>
      </c>
      <c r="AO399" s="22"/>
      <c r="AP399" s="22"/>
      <c r="AQ399" s="22"/>
      <c r="AR399" s="29" t="s">
        <v>48</v>
      </c>
      <c r="AS399" s="18"/>
      <c r="AT399" s="18"/>
      <c r="AU399" s="18"/>
      <c r="AV399" s="18"/>
      <c r="AW399" s="18"/>
      <c r="AX399" s="18"/>
      <c r="AY399" s="18"/>
      <c r="AZ399" s="18"/>
      <c r="BA399" s="25" t="n">
        <v>3</v>
      </c>
      <c r="BB399" s="18"/>
      <c r="BC399" s="18"/>
      <c r="BD399" s="18"/>
      <c r="BE399" s="22" t="n">
        <f aca="false">SUM(AS399:BD399)</f>
        <v>3</v>
      </c>
      <c r="BF399" s="23" t="n">
        <v>692.75</v>
      </c>
      <c r="BG399" s="19" t="s">
        <v>55</v>
      </c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22" t="n">
        <f aca="false">SUM(BH399:BS399)</f>
        <v>0</v>
      </c>
      <c r="BU399" s="26"/>
      <c r="BV399" s="17"/>
      <c r="BW399" s="17"/>
      <c r="BX399" s="23" t="n">
        <f aca="false">IFERROR(R399/AE399,0)</f>
        <v>692.75</v>
      </c>
      <c r="BY399" s="23" t="n">
        <f aca="false">IFERROR(R399/12,0)</f>
        <v>57.7291666666667</v>
      </c>
      <c r="BZ399" s="18" t="n">
        <v>0</v>
      </c>
      <c r="CA399" s="22" t="str">
        <f aca="false">IF(AE399=0,"PROSPECT",IF(AE399=1,"NOVO",IF(AE399&lt;=3,"EM DESENV.",IF(AE399&lt;=6,"RECORRENTE","FIDELIZADO"))))</f>
        <v>NOVO</v>
      </c>
      <c r="CB399" s="22" t="n">
        <f aca="false">IF((P399+Q399)&gt;0,1,0)+IF((BR399+BS399)&gt;0,1,0)+IF(BE399&gt;0,1,0)</f>
        <v>1</v>
      </c>
    </row>
    <row r="400" customFormat="false" ht="15" hidden="false" customHeight="true" outlineLevel="0" collapsed="false">
      <c r="A400" s="16" t="s">
        <v>1105</v>
      </c>
      <c r="B400" s="17" t="s">
        <v>1106</v>
      </c>
      <c r="C400" s="18" t="s">
        <v>263</v>
      </c>
      <c r="D400" s="17" t="s">
        <v>1107</v>
      </c>
      <c r="E400" s="29" t="s">
        <v>365</v>
      </c>
      <c r="F400" s="20"/>
      <c r="G400" s="20"/>
      <c r="H400" s="20"/>
      <c r="I400" s="20"/>
      <c r="J400" s="20"/>
      <c r="K400" s="27" t="n">
        <v>2016.25</v>
      </c>
      <c r="L400" s="20"/>
      <c r="M400" s="20"/>
      <c r="N400" s="20"/>
      <c r="O400" s="20"/>
      <c r="P400" s="20"/>
      <c r="Q400" s="20"/>
      <c r="R400" s="21" t="n">
        <f aca="false">SUM(F400:Q400)</f>
        <v>2016.25</v>
      </c>
      <c r="S400" s="18"/>
      <c r="T400" s="18"/>
      <c r="U400" s="18"/>
      <c r="V400" s="18"/>
      <c r="W400" s="18"/>
      <c r="X400" s="28" t="n">
        <v>1</v>
      </c>
      <c r="Y400" s="18"/>
      <c r="Z400" s="18"/>
      <c r="AA400" s="18"/>
      <c r="AB400" s="18"/>
      <c r="AC400" s="18"/>
      <c r="AD400" s="18"/>
      <c r="AE400" s="22" t="n">
        <f aca="false">SUM(S400:AD400)</f>
        <v>1</v>
      </c>
      <c r="AF400" s="22"/>
      <c r="AG400" s="22"/>
      <c r="AH400" s="22"/>
      <c r="AI400" s="22"/>
      <c r="AJ400" s="22"/>
      <c r="AK400" s="19" t="s">
        <v>50</v>
      </c>
      <c r="AL400" s="22"/>
      <c r="AM400" s="22"/>
      <c r="AN400" s="22"/>
      <c r="AO400" s="22"/>
      <c r="AP400" s="22"/>
      <c r="AQ400" s="22"/>
      <c r="AR400" s="30" t="s">
        <v>49</v>
      </c>
      <c r="AS400" s="18"/>
      <c r="AT400" s="18"/>
      <c r="AU400" s="18"/>
      <c r="AV400" s="18"/>
      <c r="AW400" s="18"/>
      <c r="AX400" s="25" t="n">
        <v>1</v>
      </c>
      <c r="AY400" s="18"/>
      <c r="AZ400" s="18"/>
      <c r="BA400" s="18"/>
      <c r="BB400" s="18"/>
      <c r="BC400" s="18"/>
      <c r="BD400" s="18"/>
      <c r="BE400" s="22" t="n">
        <f aca="false">SUM(AS400:BD400)</f>
        <v>1</v>
      </c>
      <c r="BF400" s="23" t="n">
        <v>2016.25</v>
      </c>
      <c r="BG400" s="19" t="s">
        <v>55</v>
      </c>
      <c r="BH400" s="18"/>
      <c r="BI400" s="18"/>
      <c r="BJ400" s="18"/>
      <c r="BK400" s="18"/>
      <c r="BL400" s="18"/>
      <c r="BM400" s="25" t="n">
        <v>2</v>
      </c>
      <c r="BN400" s="18"/>
      <c r="BO400" s="25" t="n">
        <v>2</v>
      </c>
      <c r="BP400" s="18"/>
      <c r="BQ400" s="18"/>
      <c r="BR400" s="25" t="n">
        <v>2</v>
      </c>
      <c r="BS400" s="18"/>
      <c r="BT400" s="22" t="n">
        <f aca="false">SUM(BH400:BS400)</f>
        <v>6</v>
      </c>
      <c r="BU400" s="26" t="n">
        <v>46036.6230208333</v>
      </c>
      <c r="BV400" s="17"/>
      <c r="BW400" s="17" t="s">
        <v>44</v>
      </c>
      <c r="BX400" s="23" t="n">
        <f aca="false">IFERROR(R400/AE400,0)</f>
        <v>2016.25</v>
      </c>
      <c r="BY400" s="23" t="n">
        <f aca="false">IFERROR(R400/12,0)</f>
        <v>168.020833333333</v>
      </c>
      <c r="BZ400" s="18" t="n">
        <v>0</v>
      </c>
      <c r="CA400" s="22" t="str">
        <f aca="false">IF(AE400=0,"PROSPECT",IF(AE400=1,"NOVO",IF(AE400&lt;=3,"EM DESENV.",IF(AE400&lt;=6,"RECORRENTE","FIDELIZADO"))))</f>
        <v>NOVO</v>
      </c>
      <c r="CB400" s="22" t="n">
        <f aca="false">IF((P400+Q400)&gt;0,1,0)+IF((BR400+BS400)&gt;0,1,0)+IF(BE400&gt;0,1,0)</f>
        <v>2</v>
      </c>
    </row>
    <row r="401" customFormat="false" ht="15" hidden="false" customHeight="true" outlineLevel="0" collapsed="false">
      <c r="A401" s="16" t="s">
        <v>1108</v>
      </c>
      <c r="B401" s="17" t="s">
        <v>1109</v>
      </c>
      <c r="C401" s="18" t="s">
        <v>53</v>
      </c>
      <c r="D401" s="17" t="s">
        <v>1110</v>
      </c>
      <c r="E401" s="29" t="s">
        <v>365</v>
      </c>
      <c r="F401" s="20"/>
      <c r="G401" s="20"/>
      <c r="H401" s="20"/>
      <c r="I401" s="20"/>
      <c r="J401" s="20"/>
      <c r="K401" s="20"/>
      <c r="L401" s="20"/>
      <c r="M401" s="20"/>
      <c r="N401" s="27" t="n">
        <v>2107.44</v>
      </c>
      <c r="O401" s="20"/>
      <c r="P401" s="20"/>
      <c r="Q401" s="20"/>
      <c r="R401" s="21" t="n">
        <f aca="false">SUM(F401:Q401)</f>
        <v>2107.44</v>
      </c>
      <c r="S401" s="18"/>
      <c r="T401" s="18"/>
      <c r="U401" s="18"/>
      <c r="V401" s="18"/>
      <c r="W401" s="18"/>
      <c r="X401" s="18"/>
      <c r="Y401" s="18"/>
      <c r="Z401" s="18"/>
      <c r="AA401" s="28" t="n">
        <v>1</v>
      </c>
      <c r="AB401" s="18"/>
      <c r="AC401" s="18"/>
      <c r="AD401" s="18"/>
      <c r="AE401" s="22" t="n">
        <f aca="false">SUM(S401:AD401)</f>
        <v>1</v>
      </c>
      <c r="AF401" s="22"/>
      <c r="AG401" s="22"/>
      <c r="AH401" s="22"/>
      <c r="AI401" s="22"/>
      <c r="AJ401" s="22"/>
      <c r="AK401" s="22"/>
      <c r="AL401" s="22"/>
      <c r="AM401" s="22"/>
      <c r="AN401" s="19" t="s">
        <v>50</v>
      </c>
      <c r="AO401" s="22"/>
      <c r="AP401" s="22"/>
      <c r="AQ401" s="22"/>
      <c r="AR401" s="30" t="s">
        <v>49</v>
      </c>
      <c r="AS401" s="18"/>
      <c r="AT401" s="18"/>
      <c r="AU401" s="18"/>
      <c r="AV401" s="18"/>
      <c r="AW401" s="18"/>
      <c r="AX401" s="18"/>
      <c r="AY401" s="18"/>
      <c r="AZ401" s="18"/>
      <c r="BA401" s="25" t="n">
        <v>4</v>
      </c>
      <c r="BB401" s="25" t="n">
        <v>2</v>
      </c>
      <c r="BC401" s="18"/>
      <c r="BD401" s="18"/>
      <c r="BE401" s="22" t="n">
        <f aca="false">SUM(AS401:BD401)</f>
        <v>6</v>
      </c>
      <c r="BF401" s="23" t="n">
        <v>2107.44</v>
      </c>
      <c r="BG401" s="19" t="s">
        <v>55</v>
      </c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22" t="n">
        <f aca="false">SUM(BH401:BS401)</f>
        <v>0</v>
      </c>
      <c r="BU401" s="26"/>
      <c r="BV401" s="17"/>
      <c r="BW401" s="17"/>
      <c r="BX401" s="23" t="n">
        <f aca="false">IFERROR(R401/AE401,0)</f>
        <v>2107.44</v>
      </c>
      <c r="BY401" s="23" t="n">
        <f aca="false">IFERROR(R401/12,0)</f>
        <v>175.62</v>
      </c>
      <c r="BZ401" s="18" t="n">
        <v>0</v>
      </c>
      <c r="CA401" s="22" t="str">
        <f aca="false">IF(AE401=0,"PROSPECT",IF(AE401=1,"NOVO",IF(AE401&lt;=3,"EM DESENV.",IF(AE401&lt;=6,"RECORRENTE","FIDELIZADO"))))</f>
        <v>NOVO</v>
      </c>
      <c r="CB401" s="22" t="n">
        <f aca="false">IF((P401+Q401)&gt;0,1,0)+IF((BR401+BS401)&gt;0,1,0)+IF(BE401&gt;0,1,0)</f>
        <v>1</v>
      </c>
    </row>
    <row r="402" customFormat="false" ht="15" hidden="false" customHeight="true" outlineLevel="0" collapsed="false">
      <c r="A402" s="16" t="s">
        <v>1111</v>
      </c>
      <c r="B402" s="17" t="s">
        <v>1112</v>
      </c>
      <c r="C402" s="18" t="s">
        <v>72</v>
      </c>
      <c r="D402" s="17" t="s">
        <v>338</v>
      </c>
      <c r="E402" s="29" t="s">
        <v>365</v>
      </c>
      <c r="F402" s="20"/>
      <c r="G402" s="20"/>
      <c r="H402" s="20"/>
      <c r="I402" s="27" t="n">
        <v>681.32</v>
      </c>
      <c r="J402" s="20"/>
      <c r="K402" s="20"/>
      <c r="L402" s="20"/>
      <c r="M402" s="20"/>
      <c r="N402" s="20"/>
      <c r="O402" s="20"/>
      <c r="P402" s="20"/>
      <c r="Q402" s="20"/>
      <c r="R402" s="21" t="n">
        <f aca="false">SUM(F402:Q402)</f>
        <v>681.32</v>
      </c>
      <c r="S402" s="18"/>
      <c r="T402" s="18"/>
      <c r="U402" s="18"/>
      <c r="V402" s="28" t="n">
        <v>1</v>
      </c>
      <c r="W402" s="18"/>
      <c r="X402" s="18"/>
      <c r="Y402" s="18"/>
      <c r="Z402" s="18"/>
      <c r="AA402" s="18"/>
      <c r="AB402" s="18"/>
      <c r="AC402" s="18"/>
      <c r="AD402" s="18"/>
      <c r="AE402" s="22" t="n">
        <f aca="false">SUM(S402:AD402)</f>
        <v>1</v>
      </c>
      <c r="AF402" s="22"/>
      <c r="AG402" s="22"/>
      <c r="AH402" s="22"/>
      <c r="AI402" s="29" t="s">
        <v>48</v>
      </c>
      <c r="AJ402" s="22"/>
      <c r="AK402" s="22"/>
      <c r="AL402" s="22"/>
      <c r="AM402" s="22"/>
      <c r="AN402" s="22"/>
      <c r="AO402" s="22"/>
      <c r="AP402" s="22"/>
      <c r="AQ402" s="22"/>
      <c r="AR402" s="29" t="s">
        <v>48</v>
      </c>
      <c r="AS402" s="18"/>
      <c r="AT402" s="18"/>
      <c r="AU402" s="18"/>
      <c r="AV402" s="25" t="n">
        <v>1</v>
      </c>
      <c r="AW402" s="18"/>
      <c r="AX402" s="18"/>
      <c r="AY402" s="18"/>
      <c r="AZ402" s="18"/>
      <c r="BA402" s="18"/>
      <c r="BB402" s="18"/>
      <c r="BC402" s="18"/>
      <c r="BD402" s="18"/>
      <c r="BE402" s="22" t="n">
        <f aca="false">SUM(AS402:BD402)</f>
        <v>1</v>
      </c>
      <c r="BF402" s="23"/>
      <c r="BG402" s="31" t="s">
        <v>93</v>
      </c>
      <c r="BH402" s="18"/>
      <c r="BI402" s="18"/>
      <c r="BJ402" s="18"/>
      <c r="BK402" s="25" t="n">
        <v>1</v>
      </c>
      <c r="BL402" s="18"/>
      <c r="BM402" s="18"/>
      <c r="BN402" s="18"/>
      <c r="BO402" s="18"/>
      <c r="BP402" s="25" t="n">
        <v>2</v>
      </c>
      <c r="BQ402" s="18"/>
      <c r="BR402" s="18"/>
      <c r="BS402" s="18"/>
      <c r="BT402" s="22" t="n">
        <f aca="false">SUM(BH402:BS402)</f>
        <v>3</v>
      </c>
      <c r="BU402" s="26" t="n">
        <v>45972.66875</v>
      </c>
      <c r="BV402" s="17"/>
      <c r="BW402" s="17" t="s">
        <v>44</v>
      </c>
      <c r="BX402" s="23" t="n">
        <f aca="false">IFERROR(R402/AE402,0)</f>
        <v>681.32</v>
      </c>
      <c r="BY402" s="23" t="n">
        <f aca="false">IFERROR(R402/12,0)</f>
        <v>56.7766666666667</v>
      </c>
      <c r="BZ402" s="18" t="n">
        <v>0</v>
      </c>
      <c r="CA402" s="22" t="str">
        <f aca="false">IF(AE402=0,"PROSPECT",IF(AE402=1,"NOVO",IF(AE402&lt;=3,"EM DESENV.",IF(AE402&lt;=6,"RECORRENTE","FIDELIZADO"))))</f>
        <v>NOVO</v>
      </c>
      <c r="CB402" s="22" t="n">
        <f aca="false">IF((P402+Q402)&gt;0,1,0)+IF((BR402+BS402)&gt;0,1,0)+IF(BE402&gt;0,1,0)</f>
        <v>1</v>
      </c>
    </row>
    <row r="403" customFormat="false" ht="15" hidden="false" customHeight="true" outlineLevel="0" collapsed="false">
      <c r="A403" s="16" t="s">
        <v>1113</v>
      </c>
      <c r="B403" s="17" t="s">
        <v>1114</v>
      </c>
      <c r="C403" s="18" t="s">
        <v>41</v>
      </c>
      <c r="D403" s="17" t="s">
        <v>195</v>
      </c>
      <c r="E403" s="29" t="s">
        <v>365</v>
      </c>
      <c r="F403" s="20"/>
      <c r="G403" s="20"/>
      <c r="H403" s="20"/>
      <c r="I403" s="20"/>
      <c r="J403" s="20"/>
      <c r="K403" s="20"/>
      <c r="L403" s="20"/>
      <c r="M403" s="20"/>
      <c r="N403" s="27" t="n">
        <v>1748.86</v>
      </c>
      <c r="O403" s="20"/>
      <c r="P403" s="20"/>
      <c r="Q403" s="20"/>
      <c r="R403" s="21" t="n">
        <f aca="false">SUM(F403:Q403)</f>
        <v>1748.86</v>
      </c>
      <c r="S403" s="18"/>
      <c r="T403" s="18"/>
      <c r="U403" s="18"/>
      <c r="V403" s="18"/>
      <c r="W403" s="18"/>
      <c r="X403" s="18"/>
      <c r="Y403" s="18"/>
      <c r="Z403" s="18"/>
      <c r="AA403" s="28" t="n">
        <v>1</v>
      </c>
      <c r="AB403" s="18"/>
      <c r="AC403" s="18"/>
      <c r="AD403" s="18"/>
      <c r="AE403" s="22" t="n">
        <f aca="false">SUM(S403:AD403)</f>
        <v>1</v>
      </c>
      <c r="AF403" s="22"/>
      <c r="AG403" s="22"/>
      <c r="AH403" s="22"/>
      <c r="AI403" s="22"/>
      <c r="AJ403" s="22"/>
      <c r="AK403" s="22"/>
      <c r="AL403" s="22"/>
      <c r="AM403" s="22"/>
      <c r="AN403" s="19" t="s">
        <v>50</v>
      </c>
      <c r="AO403" s="22"/>
      <c r="AP403" s="22"/>
      <c r="AQ403" s="22"/>
      <c r="AR403" s="30" t="s">
        <v>49</v>
      </c>
      <c r="AS403" s="18"/>
      <c r="AT403" s="18"/>
      <c r="AU403" s="18"/>
      <c r="AV403" s="18"/>
      <c r="AW403" s="18"/>
      <c r="AX403" s="25" t="n">
        <v>1</v>
      </c>
      <c r="AY403" s="18"/>
      <c r="AZ403" s="18"/>
      <c r="BA403" s="25" t="n">
        <v>2</v>
      </c>
      <c r="BB403" s="18"/>
      <c r="BC403" s="18"/>
      <c r="BD403" s="25" t="n">
        <v>1</v>
      </c>
      <c r="BE403" s="22" t="n">
        <f aca="false">SUM(AS403:BD403)</f>
        <v>4</v>
      </c>
      <c r="BF403" s="23" t="n">
        <v>1748.86</v>
      </c>
      <c r="BG403" s="19" t="s">
        <v>55</v>
      </c>
      <c r="BH403" s="18"/>
      <c r="BI403" s="18"/>
      <c r="BJ403" s="18"/>
      <c r="BK403" s="18"/>
      <c r="BL403" s="18"/>
      <c r="BM403" s="25" t="n">
        <v>1</v>
      </c>
      <c r="BN403" s="18"/>
      <c r="BO403" s="18"/>
      <c r="BP403" s="18"/>
      <c r="BQ403" s="18"/>
      <c r="BR403" s="18"/>
      <c r="BS403" s="18"/>
      <c r="BT403" s="22" t="n">
        <f aca="false">SUM(BH403:BS403)</f>
        <v>1</v>
      </c>
      <c r="BU403" s="26" t="n">
        <v>45881.6347222222</v>
      </c>
      <c r="BV403" s="17"/>
      <c r="BW403" s="17" t="s">
        <v>44</v>
      </c>
      <c r="BX403" s="23" t="n">
        <f aca="false">IFERROR(R403/AE403,0)</f>
        <v>1748.86</v>
      </c>
      <c r="BY403" s="23" t="n">
        <f aca="false">IFERROR(R403/12,0)</f>
        <v>145.738333333333</v>
      </c>
      <c r="BZ403" s="18" t="n">
        <v>0</v>
      </c>
      <c r="CA403" s="22" t="str">
        <f aca="false">IF(AE403=0,"PROSPECT",IF(AE403=1,"NOVO",IF(AE403&lt;=3,"EM DESENV.",IF(AE403&lt;=6,"RECORRENTE","FIDELIZADO"))))</f>
        <v>NOVO</v>
      </c>
      <c r="CB403" s="22" t="n">
        <f aca="false">IF((P403+Q403)&gt;0,1,0)+IF((BR403+BS403)&gt;0,1,0)+IF(BE403&gt;0,1,0)</f>
        <v>1</v>
      </c>
    </row>
    <row r="404" customFormat="false" ht="15" hidden="false" customHeight="true" outlineLevel="0" collapsed="false">
      <c r="A404" s="16" t="s">
        <v>1115</v>
      </c>
      <c r="B404" s="17" t="s">
        <v>1116</v>
      </c>
      <c r="C404" s="18" t="s">
        <v>53</v>
      </c>
      <c r="D404" s="17" t="s">
        <v>1117</v>
      </c>
      <c r="E404" s="29" t="s">
        <v>365</v>
      </c>
      <c r="F404" s="20"/>
      <c r="G404" s="20"/>
      <c r="H404" s="20"/>
      <c r="I404" s="20"/>
      <c r="J404" s="20"/>
      <c r="K404" s="27" t="n">
        <v>2781.62</v>
      </c>
      <c r="L404" s="20"/>
      <c r="M404" s="20"/>
      <c r="N404" s="20"/>
      <c r="O404" s="20"/>
      <c r="P404" s="20"/>
      <c r="Q404" s="20"/>
      <c r="R404" s="21" t="n">
        <f aca="false">SUM(F404:Q404)</f>
        <v>2781.62</v>
      </c>
      <c r="S404" s="18"/>
      <c r="T404" s="18"/>
      <c r="U404" s="18"/>
      <c r="V404" s="18"/>
      <c r="W404" s="18"/>
      <c r="X404" s="28" t="n">
        <v>1</v>
      </c>
      <c r="Y404" s="18"/>
      <c r="Z404" s="18"/>
      <c r="AA404" s="18"/>
      <c r="AB404" s="18"/>
      <c r="AC404" s="18"/>
      <c r="AD404" s="18"/>
      <c r="AE404" s="22" t="n">
        <f aca="false">SUM(S404:AD404)</f>
        <v>1</v>
      </c>
      <c r="AF404" s="22"/>
      <c r="AG404" s="22"/>
      <c r="AH404" s="22"/>
      <c r="AI404" s="22"/>
      <c r="AJ404" s="22"/>
      <c r="AK404" s="19" t="s">
        <v>50</v>
      </c>
      <c r="AL404" s="22"/>
      <c r="AM404" s="22"/>
      <c r="AN404" s="22"/>
      <c r="AO404" s="22"/>
      <c r="AP404" s="22"/>
      <c r="AQ404" s="22"/>
      <c r="AR404" s="19" t="s">
        <v>50</v>
      </c>
      <c r="AS404" s="18"/>
      <c r="AT404" s="18"/>
      <c r="AU404" s="18"/>
      <c r="AV404" s="18"/>
      <c r="AW404" s="18"/>
      <c r="AX404" s="25" t="n">
        <v>16</v>
      </c>
      <c r="AY404" s="18"/>
      <c r="AZ404" s="18"/>
      <c r="BA404" s="25" t="n">
        <v>2</v>
      </c>
      <c r="BB404" s="18"/>
      <c r="BC404" s="25" t="n">
        <v>2</v>
      </c>
      <c r="BD404" s="18"/>
      <c r="BE404" s="22" t="n">
        <f aca="false">SUM(AS404:BD404)</f>
        <v>20</v>
      </c>
      <c r="BF404" s="23" t="n">
        <v>2781.62</v>
      </c>
      <c r="BG404" s="19" t="s">
        <v>55</v>
      </c>
      <c r="BH404" s="18"/>
      <c r="BI404" s="18"/>
      <c r="BJ404" s="18"/>
      <c r="BK404" s="18"/>
      <c r="BL404" s="25" t="n">
        <v>2</v>
      </c>
      <c r="BM404" s="18"/>
      <c r="BN404" s="18"/>
      <c r="BO404" s="25" t="n">
        <v>1</v>
      </c>
      <c r="BP404" s="18"/>
      <c r="BQ404" s="18"/>
      <c r="BR404" s="25" t="n">
        <v>5</v>
      </c>
      <c r="BS404" s="18"/>
      <c r="BT404" s="22" t="n">
        <f aca="false">SUM(BH404:BS404)</f>
        <v>8</v>
      </c>
      <c r="BU404" s="26" t="n">
        <v>46045.4621064815</v>
      </c>
      <c r="BV404" s="17"/>
      <c r="BW404" s="17" t="s">
        <v>44</v>
      </c>
      <c r="BX404" s="23" t="n">
        <f aca="false">IFERROR(R404/AE404,0)</f>
        <v>2781.62</v>
      </c>
      <c r="BY404" s="23" t="n">
        <f aca="false">IFERROR(R404/12,0)</f>
        <v>231.801666666667</v>
      </c>
      <c r="BZ404" s="18" t="n">
        <v>21</v>
      </c>
      <c r="CA404" s="22" t="str">
        <f aca="false">IF(AE404=0,"PROSPECT",IF(AE404=1,"NOVO",IF(AE404&lt;=3,"EM DESENV.",IF(AE404&lt;=6,"RECORRENTE","FIDELIZADO"))))</f>
        <v>NOVO</v>
      </c>
      <c r="CB404" s="22" t="n">
        <f aca="false">IF((P404+Q404)&gt;0,1,0)+IF((BR404+BS404)&gt;0,1,0)+IF(BE404&gt;0,1,0)</f>
        <v>2</v>
      </c>
    </row>
    <row r="405" customFormat="false" ht="15" hidden="false" customHeight="true" outlineLevel="0" collapsed="false">
      <c r="A405" s="16" t="s">
        <v>1118</v>
      </c>
      <c r="B405" s="17" t="s">
        <v>1119</v>
      </c>
      <c r="C405" s="18" t="s">
        <v>61</v>
      </c>
      <c r="D405" s="17" t="s">
        <v>319</v>
      </c>
      <c r="E405" s="29" t="s">
        <v>365</v>
      </c>
      <c r="F405" s="20"/>
      <c r="G405" s="20"/>
      <c r="H405" s="20"/>
      <c r="I405" s="27" t="n">
        <v>1792.87</v>
      </c>
      <c r="J405" s="20"/>
      <c r="K405" s="20"/>
      <c r="L405" s="20"/>
      <c r="M405" s="20"/>
      <c r="N405" s="20"/>
      <c r="O405" s="20"/>
      <c r="P405" s="20"/>
      <c r="Q405" s="20"/>
      <c r="R405" s="21" t="n">
        <f aca="false">SUM(F405:Q405)</f>
        <v>1792.87</v>
      </c>
      <c r="S405" s="18"/>
      <c r="T405" s="18"/>
      <c r="U405" s="18"/>
      <c r="V405" s="28" t="n">
        <v>1</v>
      </c>
      <c r="W405" s="18"/>
      <c r="X405" s="18"/>
      <c r="Y405" s="18"/>
      <c r="Z405" s="18"/>
      <c r="AA405" s="18"/>
      <c r="AB405" s="18"/>
      <c r="AC405" s="18"/>
      <c r="AD405" s="18"/>
      <c r="AE405" s="22" t="n">
        <f aca="false">SUM(S405:AD405)</f>
        <v>1</v>
      </c>
      <c r="AF405" s="22"/>
      <c r="AG405" s="22"/>
      <c r="AH405" s="22"/>
      <c r="AI405" s="19" t="s">
        <v>50</v>
      </c>
      <c r="AJ405" s="22"/>
      <c r="AK405" s="22"/>
      <c r="AL405" s="22"/>
      <c r="AM405" s="22"/>
      <c r="AN405" s="22"/>
      <c r="AO405" s="22"/>
      <c r="AP405" s="22"/>
      <c r="AQ405" s="22"/>
      <c r="AR405" s="30" t="s">
        <v>49</v>
      </c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22" t="n">
        <f aca="false">SUM(AS405:BD405)</f>
        <v>0</v>
      </c>
      <c r="BF405" s="23"/>
      <c r="BG405" s="24"/>
      <c r="BH405" s="25" t="n">
        <v>1</v>
      </c>
      <c r="BI405" s="18"/>
      <c r="BJ405" s="25" t="n">
        <v>1</v>
      </c>
      <c r="BK405" s="18"/>
      <c r="BL405" s="25" t="n">
        <v>5</v>
      </c>
      <c r="BM405" s="25" t="n">
        <v>2</v>
      </c>
      <c r="BN405" s="18"/>
      <c r="BO405" s="18"/>
      <c r="BP405" s="25" t="n">
        <v>1</v>
      </c>
      <c r="BQ405" s="18"/>
      <c r="BR405" s="18"/>
      <c r="BS405" s="25" t="n">
        <v>2</v>
      </c>
      <c r="BT405" s="22" t="n">
        <f aca="false">SUM(BH405:BS405)</f>
        <v>12</v>
      </c>
      <c r="BU405" s="26" t="n">
        <v>46057.4819444444</v>
      </c>
      <c r="BV405" s="17"/>
      <c r="BW405" s="17" t="s">
        <v>44</v>
      </c>
      <c r="BX405" s="23" t="n">
        <f aca="false">IFERROR(R405/AE405,0)</f>
        <v>1792.87</v>
      </c>
      <c r="BY405" s="23" t="n">
        <f aca="false">IFERROR(R405/12,0)</f>
        <v>149.405833333333</v>
      </c>
      <c r="BZ405" s="18" t="n">
        <v>0</v>
      </c>
      <c r="CA405" s="22" t="str">
        <f aca="false">IF(AE405=0,"PROSPECT",IF(AE405=1,"NOVO",IF(AE405&lt;=3,"EM DESENV.",IF(AE405&lt;=6,"RECORRENTE","FIDELIZADO"))))</f>
        <v>NOVO</v>
      </c>
      <c r="CB405" s="22" t="n">
        <f aca="false">IF((P405+Q405)&gt;0,1,0)+IF((BR405+BS405)&gt;0,1,0)+IF(BE405&gt;0,1,0)</f>
        <v>1</v>
      </c>
    </row>
    <row r="406" customFormat="false" ht="15" hidden="false" customHeight="true" outlineLevel="0" collapsed="false">
      <c r="A406" s="16" t="s">
        <v>1120</v>
      </c>
      <c r="B406" s="17" t="s">
        <v>1121</v>
      </c>
      <c r="C406" s="18" t="s">
        <v>168</v>
      </c>
      <c r="D406" s="17" t="s">
        <v>1122</v>
      </c>
      <c r="E406" s="29" t="s">
        <v>365</v>
      </c>
      <c r="F406" s="20"/>
      <c r="G406" s="20"/>
      <c r="H406" s="20"/>
      <c r="I406" s="20"/>
      <c r="J406" s="27" t="n">
        <v>747.14</v>
      </c>
      <c r="K406" s="20"/>
      <c r="L406" s="20"/>
      <c r="M406" s="20"/>
      <c r="N406" s="20"/>
      <c r="O406" s="20"/>
      <c r="P406" s="20"/>
      <c r="Q406" s="20"/>
      <c r="R406" s="21" t="n">
        <f aca="false">SUM(F406:Q406)</f>
        <v>747.14</v>
      </c>
      <c r="S406" s="18"/>
      <c r="T406" s="18"/>
      <c r="U406" s="18"/>
      <c r="V406" s="18"/>
      <c r="W406" s="28" t="n">
        <v>1</v>
      </c>
      <c r="X406" s="18"/>
      <c r="Y406" s="18"/>
      <c r="Z406" s="18"/>
      <c r="AA406" s="18"/>
      <c r="AB406" s="18"/>
      <c r="AC406" s="18"/>
      <c r="AD406" s="18"/>
      <c r="AE406" s="22" t="n">
        <f aca="false">SUM(S406:AD406)</f>
        <v>1</v>
      </c>
      <c r="AF406" s="22"/>
      <c r="AG406" s="22"/>
      <c r="AH406" s="22"/>
      <c r="AI406" s="22"/>
      <c r="AJ406" s="29" t="s">
        <v>48</v>
      </c>
      <c r="AK406" s="22"/>
      <c r="AL406" s="22"/>
      <c r="AM406" s="22"/>
      <c r="AN406" s="22"/>
      <c r="AO406" s="22"/>
      <c r="AP406" s="22"/>
      <c r="AQ406" s="22"/>
      <c r="AR406" s="29" t="s">
        <v>48</v>
      </c>
      <c r="AS406" s="18"/>
      <c r="AT406" s="18"/>
      <c r="AU406" s="18"/>
      <c r="AV406" s="18"/>
      <c r="AW406" s="18"/>
      <c r="AX406" s="18"/>
      <c r="AY406" s="18"/>
      <c r="AZ406" s="18"/>
      <c r="BA406" s="25" t="n">
        <v>1</v>
      </c>
      <c r="BB406" s="18"/>
      <c r="BC406" s="18"/>
      <c r="BD406" s="18"/>
      <c r="BE406" s="22" t="n">
        <f aca="false">SUM(AS406:BD406)</f>
        <v>1</v>
      </c>
      <c r="BF406" s="23"/>
      <c r="BG406" s="31" t="s">
        <v>93</v>
      </c>
      <c r="BH406" s="18"/>
      <c r="BI406" s="18"/>
      <c r="BJ406" s="18"/>
      <c r="BK406" s="18"/>
      <c r="BL406" s="25" t="n">
        <v>2</v>
      </c>
      <c r="BM406" s="18"/>
      <c r="BN406" s="18"/>
      <c r="BO406" s="25" t="n">
        <v>2</v>
      </c>
      <c r="BP406" s="25" t="n">
        <v>1</v>
      </c>
      <c r="BQ406" s="18"/>
      <c r="BR406" s="25" t="n">
        <v>2</v>
      </c>
      <c r="BS406" s="18"/>
      <c r="BT406" s="22" t="n">
        <f aca="false">SUM(BH406:BS406)</f>
        <v>7</v>
      </c>
      <c r="BU406" s="26" t="n">
        <v>46036.6305555556</v>
      </c>
      <c r="BV406" s="17" t="s">
        <v>378</v>
      </c>
      <c r="BW406" s="17" t="s">
        <v>44</v>
      </c>
      <c r="BX406" s="23" t="n">
        <f aca="false">IFERROR(R406/AE406,0)</f>
        <v>747.14</v>
      </c>
      <c r="BY406" s="23" t="n">
        <f aca="false">IFERROR(R406/12,0)</f>
        <v>62.2616666666667</v>
      </c>
      <c r="BZ406" s="18" t="n">
        <v>0</v>
      </c>
      <c r="CA406" s="22" t="str">
        <f aca="false">IF(AE406=0,"PROSPECT",IF(AE406=1,"NOVO",IF(AE406&lt;=3,"EM DESENV.",IF(AE406&lt;=6,"RECORRENTE","FIDELIZADO"))))</f>
        <v>NOVO</v>
      </c>
      <c r="CB406" s="22" t="n">
        <f aca="false">IF((P406+Q406)&gt;0,1,0)+IF((BR406+BS406)&gt;0,1,0)+IF(BE406&gt;0,1,0)</f>
        <v>2</v>
      </c>
    </row>
    <row r="407" customFormat="false" ht="15" hidden="false" customHeight="true" outlineLevel="0" collapsed="false">
      <c r="A407" s="16" t="s">
        <v>1123</v>
      </c>
      <c r="B407" s="17" t="s">
        <v>1124</v>
      </c>
      <c r="C407" s="18" t="s">
        <v>230</v>
      </c>
      <c r="D407" s="17" t="s">
        <v>1125</v>
      </c>
      <c r="E407" s="29" t="s">
        <v>365</v>
      </c>
      <c r="F407" s="20"/>
      <c r="G407" s="20"/>
      <c r="H407" s="20"/>
      <c r="I407" s="20"/>
      <c r="J407" s="20"/>
      <c r="K407" s="20"/>
      <c r="L407" s="20"/>
      <c r="M407" s="27" t="n">
        <v>6770.44</v>
      </c>
      <c r="N407" s="20"/>
      <c r="O407" s="27" t="n">
        <v>1629.6</v>
      </c>
      <c r="P407" s="20"/>
      <c r="Q407" s="20"/>
      <c r="R407" s="21" t="n">
        <f aca="false">SUM(F407:Q407)</f>
        <v>8400.04</v>
      </c>
      <c r="S407" s="18"/>
      <c r="T407" s="18"/>
      <c r="U407" s="18"/>
      <c r="V407" s="18"/>
      <c r="W407" s="18"/>
      <c r="X407" s="18"/>
      <c r="Y407" s="18"/>
      <c r="Z407" s="28" t="n">
        <v>1</v>
      </c>
      <c r="AA407" s="18"/>
      <c r="AB407" s="28" t="n">
        <v>1</v>
      </c>
      <c r="AC407" s="18"/>
      <c r="AD407" s="18"/>
      <c r="AE407" s="22" t="n">
        <f aca="false">SUM(S407:AD407)</f>
        <v>2</v>
      </c>
      <c r="AF407" s="22"/>
      <c r="AG407" s="22"/>
      <c r="AH407" s="22"/>
      <c r="AI407" s="22"/>
      <c r="AJ407" s="22"/>
      <c r="AK407" s="22"/>
      <c r="AL407" s="22"/>
      <c r="AM407" s="19" t="s">
        <v>50</v>
      </c>
      <c r="AN407" s="22"/>
      <c r="AO407" s="19" t="s">
        <v>50</v>
      </c>
      <c r="AP407" s="22"/>
      <c r="AQ407" s="22"/>
      <c r="AR407" s="19" t="s">
        <v>50</v>
      </c>
      <c r="AS407" s="18"/>
      <c r="AT407" s="18"/>
      <c r="AU407" s="18"/>
      <c r="AV407" s="18"/>
      <c r="AW407" s="18"/>
      <c r="AX407" s="18"/>
      <c r="AY407" s="25" t="n">
        <v>4</v>
      </c>
      <c r="AZ407" s="18"/>
      <c r="BA407" s="18"/>
      <c r="BB407" s="18"/>
      <c r="BC407" s="18"/>
      <c r="BD407" s="18"/>
      <c r="BE407" s="22" t="n">
        <f aca="false">SUM(AS407:BD407)</f>
        <v>4</v>
      </c>
      <c r="BF407" s="23"/>
      <c r="BG407" s="31" t="s">
        <v>93</v>
      </c>
      <c r="BH407" s="18"/>
      <c r="BI407" s="18"/>
      <c r="BJ407" s="18"/>
      <c r="BK407" s="18"/>
      <c r="BL407" s="18"/>
      <c r="BM407" s="18"/>
      <c r="BN407" s="18"/>
      <c r="BO407" s="25" t="n">
        <v>3</v>
      </c>
      <c r="BP407" s="25" t="n">
        <v>1</v>
      </c>
      <c r="BQ407" s="18"/>
      <c r="BR407" s="25" t="n">
        <v>3</v>
      </c>
      <c r="BS407" s="18"/>
      <c r="BT407" s="22" t="n">
        <f aca="false">SUM(BH407:BS407)</f>
        <v>7</v>
      </c>
      <c r="BU407" s="26" t="n">
        <v>46049.4370486111</v>
      </c>
      <c r="BV407" s="17"/>
      <c r="BW407" s="17" t="s">
        <v>44</v>
      </c>
      <c r="BX407" s="23" t="n">
        <f aca="false">IFERROR(R407/AE407,0)</f>
        <v>4200.02</v>
      </c>
      <c r="BY407" s="23" t="n">
        <f aca="false">IFERROR(R407/12,0)</f>
        <v>700.003333333333</v>
      </c>
      <c r="BZ407" s="18" t="n">
        <v>24.5</v>
      </c>
      <c r="CA407" s="22" t="str">
        <f aca="false">IF(AE407=0,"PROSPECT",IF(AE407=1,"NOVO",IF(AE407&lt;=3,"EM DESENV.",IF(AE407&lt;=6,"RECORRENTE","FIDELIZADO"))))</f>
        <v>EM DESENV.</v>
      </c>
      <c r="CB407" s="22" t="n">
        <f aca="false">IF((P407+Q407)&gt;0,1,0)+IF((BR407+BS407)&gt;0,1,0)+IF(BE407&gt;0,1,0)</f>
        <v>2</v>
      </c>
    </row>
    <row r="408" customFormat="false" ht="15" hidden="false" customHeight="true" outlineLevel="0" collapsed="false">
      <c r="A408" s="16" t="s">
        <v>1126</v>
      </c>
      <c r="B408" s="17" t="s">
        <v>1127</v>
      </c>
      <c r="C408" s="18" t="s">
        <v>41</v>
      </c>
      <c r="D408" s="17" t="s">
        <v>721</v>
      </c>
      <c r="E408" s="29" t="s">
        <v>365</v>
      </c>
      <c r="F408" s="20"/>
      <c r="G408" s="27" t="n">
        <v>12766.85</v>
      </c>
      <c r="H408" s="27" t="n">
        <v>4230.69</v>
      </c>
      <c r="I408" s="20"/>
      <c r="J408" s="20"/>
      <c r="K408" s="20"/>
      <c r="L408" s="20"/>
      <c r="M408" s="20"/>
      <c r="N408" s="20"/>
      <c r="O408" s="20"/>
      <c r="P408" s="20"/>
      <c r="Q408" s="20"/>
      <c r="R408" s="21" t="n">
        <f aca="false">SUM(F408:Q408)</f>
        <v>16997.54</v>
      </c>
      <c r="S408" s="18"/>
      <c r="T408" s="28" t="n">
        <v>1</v>
      </c>
      <c r="U408" s="28" t="n">
        <v>1</v>
      </c>
      <c r="V408" s="18"/>
      <c r="W408" s="18"/>
      <c r="X408" s="18"/>
      <c r="Y408" s="18"/>
      <c r="Z408" s="18"/>
      <c r="AA408" s="18"/>
      <c r="AB408" s="18"/>
      <c r="AC408" s="18"/>
      <c r="AD408" s="18"/>
      <c r="AE408" s="22" t="n">
        <f aca="false">SUM(S408:AD408)</f>
        <v>2</v>
      </c>
      <c r="AF408" s="22"/>
      <c r="AG408" s="19" t="s">
        <v>50</v>
      </c>
      <c r="AH408" s="19" t="s">
        <v>50</v>
      </c>
      <c r="AI408" s="22"/>
      <c r="AJ408" s="22"/>
      <c r="AK408" s="22"/>
      <c r="AL408" s="22"/>
      <c r="AM408" s="22"/>
      <c r="AN408" s="22"/>
      <c r="AO408" s="22"/>
      <c r="AP408" s="22"/>
      <c r="AQ408" s="22"/>
      <c r="AR408" s="19" t="s">
        <v>50</v>
      </c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22" t="n">
        <f aca="false">SUM(AS408:BD408)</f>
        <v>0</v>
      </c>
      <c r="BF408" s="23"/>
      <c r="BG408" s="24"/>
      <c r="BH408" s="18"/>
      <c r="BI408" s="25" t="n">
        <v>2</v>
      </c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22" t="n">
        <f aca="false">SUM(BH408:BS408)</f>
        <v>2</v>
      </c>
      <c r="BU408" s="26" t="n">
        <v>45776.7868055556</v>
      </c>
      <c r="BV408" s="17"/>
      <c r="BW408" s="17" t="s">
        <v>111</v>
      </c>
      <c r="BX408" s="23" t="n">
        <f aca="false">IFERROR(R408/AE408,0)</f>
        <v>8498.77</v>
      </c>
      <c r="BY408" s="23" t="n">
        <f aca="false">IFERROR(R408/12,0)</f>
        <v>1416.46166666667</v>
      </c>
      <c r="BZ408" s="18" t="n">
        <v>13</v>
      </c>
      <c r="CA408" s="22" t="str">
        <f aca="false">IF(AE408=0,"PROSPECT",IF(AE408=1,"NOVO",IF(AE408&lt;=3,"EM DESENV.",IF(AE408&lt;=6,"RECORRENTE","FIDELIZADO"))))</f>
        <v>EM DESENV.</v>
      </c>
      <c r="CB408" s="22" t="n">
        <f aca="false">IF((P408+Q408)&gt;0,1,0)+IF((BR408+BS408)&gt;0,1,0)+IF(BE408&gt;0,1,0)</f>
        <v>0</v>
      </c>
    </row>
    <row r="409" customFormat="false" ht="15" hidden="false" customHeight="true" outlineLevel="0" collapsed="false">
      <c r="A409" s="16" t="s">
        <v>1128</v>
      </c>
      <c r="B409" s="17" t="s">
        <v>1129</v>
      </c>
      <c r="C409" s="18" t="s">
        <v>72</v>
      </c>
      <c r="D409" s="17" t="s">
        <v>1130</v>
      </c>
      <c r="E409" s="29" t="s">
        <v>365</v>
      </c>
      <c r="F409" s="20"/>
      <c r="G409" s="20"/>
      <c r="H409" s="20"/>
      <c r="I409" s="20"/>
      <c r="J409" s="20"/>
      <c r="K409" s="20"/>
      <c r="L409" s="20"/>
      <c r="M409" s="27" t="n">
        <v>1249.9</v>
      </c>
      <c r="N409" s="20"/>
      <c r="O409" s="20"/>
      <c r="P409" s="20"/>
      <c r="Q409" s="20"/>
      <c r="R409" s="21" t="n">
        <f aca="false">SUM(F409:Q409)</f>
        <v>1249.9</v>
      </c>
      <c r="S409" s="18"/>
      <c r="T409" s="18"/>
      <c r="U409" s="18"/>
      <c r="V409" s="18"/>
      <c r="W409" s="18"/>
      <c r="X409" s="18"/>
      <c r="Y409" s="18"/>
      <c r="Z409" s="28" t="n">
        <v>1</v>
      </c>
      <c r="AA409" s="18"/>
      <c r="AB409" s="18"/>
      <c r="AC409" s="18"/>
      <c r="AD409" s="18"/>
      <c r="AE409" s="22" t="n">
        <f aca="false">SUM(S409:AD409)</f>
        <v>1</v>
      </c>
      <c r="AF409" s="22"/>
      <c r="AG409" s="22"/>
      <c r="AH409" s="22"/>
      <c r="AI409" s="22"/>
      <c r="AJ409" s="22"/>
      <c r="AK409" s="22"/>
      <c r="AL409" s="22"/>
      <c r="AM409" s="30" t="s">
        <v>49</v>
      </c>
      <c r="AN409" s="22"/>
      <c r="AO409" s="22"/>
      <c r="AP409" s="22"/>
      <c r="AQ409" s="22"/>
      <c r="AR409" s="30" t="s">
        <v>49</v>
      </c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22" t="n">
        <f aca="false">SUM(AS409:BD409)</f>
        <v>0</v>
      </c>
      <c r="BF409" s="23"/>
      <c r="BG409" s="24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22" t="n">
        <f aca="false">SUM(BH409:BS409)</f>
        <v>0</v>
      </c>
      <c r="BU409" s="26"/>
      <c r="BV409" s="17"/>
      <c r="BW409" s="17"/>
      <c r="BX409" s="23" t="n">
        <f aca="false">IFERROR(R409/AE409,0)</f>
        <v>1249.9</v>
      </c>
      <c r="BY409" s="23" t="n">
        <f aca="false">IFERROR(R409/12,0)</f>
        <v>104.158333333333</v>
      </c>
      <c r="BZ409" s="18" t="n">
        <v>0</v>
      </c>
      <c r="CA409" s="22" t="str">
        <f aca="false">IF(AE409=0,"PROSPECT",IF(AE409=1,"NOVO",IF(AE409&lt;=3,"EM DESENV.",IF(AE409&lt;=6,"RECORRENTE","FIDELIZADO"))))</f>
        <v>NOVO</v>
      </c>
      <c r="CB409" s="22" t="n">
        <f aca="false">IF((P409+Q409)&gt;0,1,0)+IF((BR409+BS409)&gt;0,1,0)+IF(BE409&gt;0,1,0)</f>
        <v>0</v>
      </c>
    </row>
    <row r="410" customFormat="false" ht="15" hidden="false" customHeight="true" outlineLevel="0" collapsed="false">
      <c r="A410" s="16" t="s">
        <v>1131</v>
      </c>
      <c r="B410" s="17" t="s">
        <v>1132</v>
      </c>
      <c r="C410" s="18" t="s">
        <v>155</v>
      </c>
      <c r="D410" s="17" t="s">
        <v>1133</v>
      </c>
      <c r="E410" s="29" t="s">
        <v>365</v>
      </c>
      <c r="F410" s="20"/>
      <c r="G410" s="20"/>
      <c r="H410" s="27" t="n">
        <v>1574.78</v>
      </c>
      <c r="I410" s="20"/>
      <c r="J410" s="20"/>
      <c r="K410" s="20"/>
      <c r="L410" s="20"/>
      <c r="M410" s="20"/>
      <c r="N410" s="20"/>
      <c r="O410" s="20"/>
      <c r="P410" s="20"/>
      <c r="Q410" s="20"/>
      <c r="R410" s="21" t="n">
        <f aca="false">SUM(F410:Q410)</f>
        <v>1574.78</v>
      </c>
      <c r="S410" s="18"/>
      <c r="T410" s="18"/>
      <c r="U410" s="28" t="n">
        <v>1</v>
      </c>
      <c r="V410" s="18"/>
      <c r="W410" s="18"/>
      <c r="X410" s="18"/>
      <c r="Y410" s="18"/>
      <c r="Z410" s="18"/>
      <c r="AA410" s="18"/>
      <c r="AB410" s="18"/>
      <c r="AC410" s="18"/>
      <c r="AD410" s="18"/>
      <c r="AE410" s="22" t="n">
        <f aca="false">SUM(S410:AD410)</f>
        <v>1</v>
      </c>
      <c r="AF410" s="22"/>
      <c r="AG410" s="22"/>
      <c r="AH410" s="30" t="s">
        <v>49</v>
      </c>
      <c r="AI410" s="22"/>
      <c r="AJ410" s="22"/>
      <c r="AK410" s="22"/>
      <c r="AL410" s="22"/>
      <c r="AM410" s="22"/>
      <c r="AN410" s="22"/>
      <c r="AO410" s="22"/>
      <c r="AP410" s="22"/>
      <c r="AQ410" s="22"/>
      <c r="AR410" s="30" t="s">
        <v>49</v>
      </c>
      <c r="AS410" s="18"/>
      <c r="AT410" s="18"/>
      <c r="AU410" s="18"/>
      <c r="AV410" s="18"/>
      <c r="AW410" s="25" t="n">
        <v>1</v>
      </c>
      <c r="AX410" s="25" t="n">
        <v>1</v>
      </c>
      <c r="AY410" s="18"/>
      <c r="AZ410" s="18"/>
      <c r="BA410" s="18"/>
      <c r="BB410" s="18"/>
      <c r="BC410" s="18"/>
      <c r="BD410" s="18"/>
      <c r="BE410" s="22" t="n">
        <f aca="false">SUM(AS410:BD410)</f>
        <v>2</v>
      </c>
      <c r="BF410" s="23" t="n">
        <v>1574.78</v>
      </c>
      <c r="BG410" s="19" t="s">
        <v>55</v>
      </c>
      <c r="BH410" s="18"/>
      <c r="BI410" s="18"/>
      <c r="BJ410" s="25" t="n">
        <v>1</v>
      </c>
      <c r="BK410" s="18"/>
      <c r="BL410" s="18"/>
      <c r="BM410" s="25" t="n">
        <v>1</v>
      </c>
      <c r="BN410" s="25" t="n">
        <v>1</v>
      </c>
      <c r="BO410" s="18"/>
      <c r="BP410" s="18"/>
      <c r="BQ410" s="18"/>
      <c r="BR410" s="18"/>
      <c r="BS410" s="18"/>
      <c r="BT410" s="22" t="n">
        <f aca="false">SUM(BH410:BS410)</f>
        <v>3</v>
      </c>
      <c r="BU410" s="26" t="n">
        <v>45925.4729166667</v>
      </c>
      <c r="BV410" s="17" t="s">
        <v>173</v>
      </c>
      <c r="BW410" s="17" t="s">
        <v>44</v>
      </c>
      <c r="BX410" s="23" t="n">
        <f aca="false">IFERROR(R410/AE410,0)</f>
        <v>1574.78</v>
      </c>
      <c r="BY410" s="23" t="n">
        <f aca="false">IFERROR(R410/12,0)</f>
        <v>131.231666666667</v>
      </c>
      <c r="BZ410" s="18" t="n">
        <v>0</v>
      </c>
      <c r="CA410" s="22" t="str">
        <f aca="false">IF(AE410=0,"PROSPECT",IF(AE410=1,"NOVO",IF(AE410&lt;=3,"EM DESENV.",IF(AE410&lt;=6,"RECORRENTE","FIDELIZADO"))))</f>
        <v>NOVO</v>
      </c>
      <c r="CB410" s="22" t="n">
        <f aca="false">IF((P410+Q410)&gt;0,1,0)+IF((BR410+BS410)&gt;0,1,0)+IF(BE410&gt;0,1,0)</f>
        <v>1</v>
      </c>
    </row>
    <row r="411" customFormat="false" ht="15" hidden="false" customHeight="true" outlineLevel="0" collapsed="false">
      <c r="A411" s="16" t="s">
        <v>1134</v>
      </c>
      <c r="B411" s="17" t="s">
        <v>1135</v>
      </c>
      <c r="C411" s="18" t="s">
        <v>155</v>
      </c>
      <c r="D411" s="17" t="s">
        <v>1136</v>
      </c>
      <c r="E411" s="29" t="s">
        <v>365</v>
      </c>
      <c r="F411" s="20"/>
      <c r="G411" s="20"/>
      <c r="H411" s="27" t="n">
        <v>1574.78</v>
      </c>
      <c r="I411" s="20"/>
      <c r="J411" s="20"/>
      <c r="K411" s="20"/>
      <c r="L411" s="20"/>
      <c r="M411" s="20"/>
      <c r="N411" s="20"/>
      <c r="O411" s="20"/>
      <c r="P411" s="20"/>
      <c r="Q411" s="20"/>
      <c r="R411" s="21" t="n">
        <f aca="false">SUM(F411:Q411)</f>
        <v>1574.78</v>
      </c>
      <c r="S411" s="18"/>
      <c r="T411" s="18"/>
      <c r="U411" s="28" t="n">
        <v>1</v>
      </c>
      <c r="V411" s="18"/>
      <c r="W411" s="18"/>
      <c r="X411" s="18"/>
      <c r="Y411" s="18"/>
      <c r="Z411" s="18"/>
      <c r="AA411" s="18"/>
      <c r="AB411" s="18"/>
      <c r="AC411" s="18"/>
      <c r="AD411" s="18"/>
      <c r="AE411" s="22" t="n">
        <f aca="false">SUM(S411:AD411)</f>
        <v>1</v>
      </c>
      <c r="AF411" s="22"/>
      <c r="AG411" s="22"/>
      <c r="AH411" s="19" t="s">
        <v>50</v>
      </c>
      <c r="AI411" s="22"/>
      <c r="AJ411" s="22"/>
      <c r="AK411" s="22"/>
      <c r="AL411" s="22"/>
      <c r="AM411" s="22"/>
      <c r="AN411" s="22"/>
      <c r="AO411" s="22"/>
      <c r="AP411" s="22"/>
      <c r="AQ411" s="22"/>
      <c r="AR411" s="30" t="s">
        <v>49</v>
      </c>
      <c r="AS411" s="18"/>
      <c r="AT411" s="18"/>
      <c r="AU411" s="18"/>
      <c r="AV411" s="18"/>
      <c r="AW411" s="25" t="n">
        <v>2</v>
      </c>
      <c r="AX411" s="18"/>
      <c r="AY411" s="18"/>
      <c r="AZ411" s="18"/>
      <c r="BA411" s="18"/>
      <c r="BB411" s="18"/>
      <c r="BC411" s="18"/>
      <c r="BD411" s="18"/>
      <c r="BE411" s="22" t="n">
        <f aca="false">SUM(AS411:BD411)</f>
        <v>2</v>
      </c>
      <c r="BF411" s="23" t="n">
        <v>1574.78</v>
      </c>
      <c r="BG411" s="19" t="s">
        <v>55</v>
      </c>
      <c r="BH411" s="18"/>
      <c r="BI411" s="18"/>
      <c r="BJ411" s="18"/>
      <c r="BK411" s="18"/>
      <c r="BL411" s="18"/>
      <c r="BM411" s="18"/>
      <c r="BN411" s="25" t="n">
        <v>1</v>
      </c>
      <c r="BO411" s="18"/>
      <c r="BP411" s="18"/>
      <c r="BQ411" s="18"/>
      <c r="BR411" s="18"/>
      <c r="BS411" s="18"/>
      <c r="BT411" s="22" t="n">
        <f aca="false">SUM(BH411:BS411)</f>
        <v>1</v>
      </c>
      <c r="BU411" s="26" t="n">
        <v>45925.4701388889</v>
      </c>
      <c r="BV411" s="17" t="s">
        <v>173</v>
      </c>
      <c r="BW411" s="17" t="s">
        <v>44</v>
      </c>
      <c r="BX411" s="23" t="n">
        <f aca="false">IFERROR(R411/AE411,0)</f>
        <v>1574.78</v>
      </c>
      <c r="BY411" s="23" t="n">
        <f aca="false">IFERROR(R411/12,0)</f>
        <v>131.231666666667</v>
      </c>
      <c r="BZ411" s="18" t="n">
        <v>0</v>
      </c>
      <c r="CA411" s="22" t="str">
        <f aca="false">IF(AE411=0,"PROSPECT",IF(AE411=1,"NOVO",IF(AE411&lt;=3,"EM DESENV.",IF(AE411&lt;=6,"RECORRENTE","FIDELIZADO"))))</f>
        <v>NOVO</v>
      </c>
      <c r="CB411" s="22" t="n">
        <f aca="false">IF((P411+Q411)&gt;0,1,0)+IF((BR411+BS411)&gt;0,1,0)+IF(BE411&gt;0,1,0)</f>
        <v>1</v>
      </c>
    </row>
    <row r="412" customFormat="false" ht="15" hidden="false" customHeight="true" outlineLevel="0" collapsed="false">
      <c r="A412" s="16" t="s">
        <v>1137</v>
      </c>
      <c r="B412" s="17" t="s">
        <v>1138</v>
      </c>
      <c r="C412" s="18" t="s">
        <v>155</v>
      </c>
      <c r="D412" s="17" t="s">
        <v>156</v>
      </c>
      <c r="E412" s="29" t="s">
        <v>365</v>
      </c>
      <c r="F412" s="20"/>
      <c r="G412" s="20"/>
      <c r="H412" s="27" t="n">
        <v>1574.78</v>
      </c>
      <c r="I412" s="20"/>
      <c r="J412" s="20"/>
      <c r="K412" s="20"/>
      <c r="L412" s="20"/>
      <c r="M412" s="27" t="n">
        <v>2278.33</v>
      </c>
      <c r="N412" s="20"/>
      <c r="O412" s="20"/>
      <c r="P412" s="20"/>
      <c r="Q412" s="20"/>
      <c r="R412" s="21" t="n">
        <f aca="false">SUM(F412:Q412)</f>
        <v>3853.11</v>
      </c>
      <c r="S412" s="18"/>
      <c r="T412" s="18"/>
      <c r="U412" s="28" t="n">
        <v>1</v>
      </c>
      <c r="V412" s="18"/>
      <c r="W412" s="18"/>
      <c r="X412" s="18"/>
      <c r="Y412" s="18"/>
      <c r="Z412" s="28" t="n">
        <v>1</v>
      </c>
      <c r="AA412" s="18"/>
      <c r="AB412" s="18"/>
      <c r="AC412" s="18"/>
      <c r="AD412" s="18"/>
      <c r="AE412" s="22" t="n">
        <f aca="false">SUM(S412:AD412)</f>
        <v>2</v>
      </c>
      <c r="AF412" s="22"/>
      <c r="AG412" s="22"/>
      <c r="AH412" s="19" t="s">
        <v>50</v>
      </c>
      <c r="AI412" s="22"/>
      <c r="AJ412" s="22"/>
      <c r="AK412" s="22"/>
      <c r="AL412" s="22"/>
      <c r="AM412" s="19" t="s">
        <v>50</v>
      </c>
      <c r="AN412" s="22"/>
      <c r="AO412" s="22"/>
      <c r="AP412" s="22"/>
      <c r="AQ412" s="22"/>
      <c r="AR412" s="19" t="s">
        <v>50</v>
      </c>
      <c r="AS412" s="18"/>
      <c r="AT412" s="18"/>
      <c r="AU412" s="18"/>
      <c r="AV412" s="25" t="n">
        <v>1</v>
      </c>
      <c r="AW412" s="25" t="n">
        <v>2</v>
      </c>
      <c r="AX412" s="25" t="n">
        <v>1</v>
      </c>
      <c r="AY412" s="18"/>
      <c r="AZ412" s="18"/>
      <c r="BA412" s="18"/>
      <c r="BB412" s="18"/>
      <c r="BC412" s="18"/>
      <c r="BD412" s="18"/>
      <c r="BE412" s="22" t="n">
        <f aca="false">SUM(AS412:BD412)</f>
        <v>4</v>
      </c>
      <c r="BF412" s="23" t="n">
        <v>1574.78</v>
      </c>
      <c r="BG412" s="19" t="s">
        <v>55</v>
      </c>
      <c r="BH412" s="18"/>
      <c r="BI412" s="18"/>
      <c r="BJ412" s="25" t="n">
        <v>2</v>
      </c>
      <c r="BK412" s="25" t="n">
        <v>1</v>
      </c>
      <c r="BL412" s="25" t="n">
        <v>1</v>
      </c>
      <c r="BM412" s="18"/>
      <c r="BN412" s="25" t="n">
        <v>1</v>
      </c>
      <c r="BO412" s="18"/>
      <c r="BP412" s="25" t="n">
        <v>2</v>
      </c>
      <c r="BQ412" s="18"/>
      <c r="BR412" s="25" t="n">
        <v>5</v>
      </c>
      <c r="BS412" s="18"/>
      <c r="BT412" s="22" t="n">
        <f aca="false">SUM(BH412:BS412)</f>
        <v>12</v>
      </c>
      <c r="BU412" s="26" t="n">
        <v>46049.4445486111</v>
      </c>
      <c r="BV412" s="17"/>
      <c r="BW412" s="17" t="s">
        <v>44</v>
      </c>
      <c r="BX412" s="23" t="n">
        <f aca="false">IFERROR(R412/AE412,0)</f>
        <v>1926.555</v>
      </c>
      <c r="BY412" s="23" t="n">
        <f aca="false">IFERROR(R412/12,0)</f>
        <v>321.0925</v>
      </c>
      <c r="BZ412" s="18" t="n">
        <v>160</v>
      </c>
      <c r="CA412" s="22" t="str">
        <f aca="false">IF(AE412=0,"PROSPECT",IF(AE412=1,"NOVO",IF(AE412&lt;=3,"EM DESENV.",IF(AE412&lt;=6,"RECORRENTE","FIDELIZADO"))))</f>
        <v>EM DESENV.</v>
      </c>
      <c r="CB412" s="22" t="n">
        <f aca="false">IF((P412+Q412)&gt;0,1,0)+IF((BR412+BS412)&gt;0,1,0)+IF(BE412&gt;0,1,0)</f>
        <v>2</v>
      </c>
    </row>
    <row r="413" customFormat="false" ht="15" hidden="false" customHeight="true" outlineLevel="0" collapsed="false">
      <c r="A413" s="16" t="s">
        <v>1139</v>
      </c>
      <c r="B413" s="17" t="s">
        <v>1140</v>
      </c>
      <c r="C413" s="18" t="s">
        <v>53</v>
      </c>
      <c r="D413" s="17" t="s">
        <v>1141</v>
      </c>
      <c r="E413" s="29" t="s">
        <v>365</v>
      </c>
      <c r="F413" s="20"/>
      <c r="G413" s="20"/>
      <c r="H413" s="20"/>
      <c r="I413" s="20"/>
      <c r="J413" s="20"/>
      <c r="K413" s="27" t="n">
        <v>1522.26</v>
      </c>
      <c r="L413" s="27" t="n">
        <v>1873.36</v>
      </c>
      <c r="M413" s="20"/>
      <c r="N413" s="27" t="n">
        <v>2870.97</v>
      </c>
      <c r="O413" s="20"/>
      <c r="P413" s="20"/>
      <c r="Q413" s="20"/>
      <c r="R413" s="21" t="n">
        <f aca="false">SUM(F413:Q413)</f>
        <v>6266.59</v>
      </c>
      <c r="S413" s="18"/>
      <c r="T413" s="18"/>
      <c r="U413" s="18"/>
      <c r="V413" s="18"/>
      <c r="W413" s="18"/>
      <c r="X413" s="28" t="n">
        <v>1</v>
      </c>
      <c r="Y413" s="28" t="n">
        <v>1</v>
      </c>
      <c r="Z413" s="18"/>
      <c r="AA413" s="28" t="n">
        <v>1</v>
      </c>
      <c r="AB413" s="18"/>
      <c r="AC413" s="18"/>
      <c r="AD413" s="18"/>
      <c r="AE413" s="22" t="n">
        <f aca="false">SUM(S413:AD413)</f>
        <v>3</v>
      </c>
      <c r="AF413" s="22"/>
      <c r="AG413" s="22"/>
      <c r="AH413" s="22"/>
      <c r="AI413" s="22"/>
      <c r="AJ413" s="22"/>
      <c r="AK413" s="19" t="s">
        <v>50</v>
      </c>
      <c r="AL413" s="19" t="s">
        <v>50</v>
      </c>
      <c r="AM413" s="22"/>
      <c r="AN413" s="19" t="s">
        <v>50</v>
      </c>
      <c r="AO413" s="22"/>
      <c r="AP413" s="22"/>
      <c r="AQ413" s="22"/>
      <c r="AR413" s="19" t="s">
        <v>50</v>
      </c>
      <c r="AS413" s="18"/>
      <c r="AT413" s="18"/>
      <c r="AU413" s="18"/>
      <c r="AV413" s="18"/>
      <c r="AW413" s="18"/>
      <c r="AX413" s="25" t="n">
        <v>5</v>
      </c>
      <c r="AY413" s="25" t="n">
        <v>1</v>
      </c>
      <c r="AZ413" s="18"/>
      <c r="BA413" s="25" t="n">
        <v>5</v>
      </c>
      <c r="BB413" s="25" t="n">
        <v>2</v>
      </c>
      <c r="BC413" s="18"/>
      <c r="BD413" s="18"/>
      <c r="BE413" s="22" t="n">
        <f aca="false">SUM(AS413:BD413)</f>
        <v>13</v>
      </c>
      <c r="BF413" s="23" t="n">
        <v>2870.97</v>
      </c>
      <c r="BG413" s="19" t="s">
        <v>55</v>
      </c>
      <c r="BH413" s="18"/>
      <c r="BI413" s="18"/>
      <c r="BJ413" s="18"/>
      <c r="BK413" s="18"/>
      <c r="BL413" s="25" t="n">
        <v>2</v>
      </c>
      <c r="BM413" s="18"/>
      <c r="BN413" s="18"/>
      <c r="BO413" s="25" t="n">
        <v>2</v>
      </c>
      <c r="BP413" s="25" t="n">
        <v>1</v>
      </c>
      <c r="BQ413" s="18"/>
      <c r="BR413" s="25" t="n">
        <v>3</v>
      </c>
      <c r="BS413" s="25" t="n">
        <v>3</v>
      </c>
      <c r="BT413" s="22" t="n">
        <f aca="false">SUM(BH413:BS413)</f>
        <v>11</v>
      </c>
      <c r="BU413" s="26" t="n">
        <v>46058.65</v>
      </c>
      <c r="BV413" s="17" t="s">
        <v>124</v>
      </c>
      <c r="BW413" s="17" t="s">
        <v>44</v>
      </c>
      <c r="BX413" s="23" t="n">
        <f aca="false">IFERROR(R413/AE413,0)</f>
        <v>2088.86333333333</v>
      </c>
      <c r="BY413" s="23" t="n">
        <f aca="false">IFERROR(R413/12,0)</f>
        <v>522.215833333333</v>
      </c>
      <c r="BZ413" s="18" t="n">
        <v>52.5</v>
      </c>
      <c r="CA413" s="22" t="str">
        <f aca="false">IF(AE413=0,"PROSPECT",IF(AE413=1,"NOVO",IF(AE413&lt;=3,"EM DESENV.",IF(AE413&lt;=6,"RECORRENTE","FIDELIZADO"))))</f>
        <v>EM DESENV.</v>
      </c>
      <c r="CB413" s="22" t="n">
        <f aca="false">IF((P413+Q413)&gt;0,1,0)+IF((BR413+BS413)&gt;0,1,0)+IF(BE413&gt;0,1,0)</f>
        <v>2</v>
      </c>
    </row>
    <row r="414" customFormat="false" ht="15" hidden="false" customHeight="true" outlineLevel="0" collapsed="false">
      <c r="A414" s="16" t="s">
        <v>1142</v>
      </c>
      <c r="B414" s="17" t="s">
        <v>1143</v>
      </c>
      <c r="C414" s="18" t="s">
        <v>155</v>
      </c>
      <c r="D414" s="17" t="s">
        <v>1144</v>
      </c>
      <c r="E414" s="29" t="s">
        <v>365</v>
      </c>
      <c r="F414" s="20"/>
      <c r="G414" s="27" t="n">
        <v>1676.55</v>
      </c>
      <c r="H414" s="20"/>
      <c r="I414" s="20"/>
      <c r="J414" s="27" t="n">
        <v>1862.11</v>
      </c>
      <c r="K414" s="20"/>
      <c r="L414" s="20"/>
      <c r="M414" s="20"/>
      <c r="N414" s="20"/>
      <c r="O414" s="20"/>
      <c r="P414" s="20"/>
      <c r="Q414" s="20"/>
      <c r="R414" s="21" t="n">
        <f aca="false">SUM(F414:Q414)</f>
        <v>3538.66</v>
      </c>
      <c r="S414" s="18"/>
      <c r="T414" s="28" t="n">
        <v>1</v>
      </c>
      <c r="U414" s="18"/>
      <c r="V414" s="18"/>
      <c r="W414" s="28" t="n">
        <v>1</v>
      </c>
      <c r="X414" s="18"/>
      <c r="Y414" s="18"/>
      <c r="Z414" s="18"/>
      <c r="AA414" s="18"/>
      <c r="AB414" s="18"/>
      <c r="AC414" s="18"/>
      <c r="AD414" s="18"/>
      <c r="AE414" s="22" t="n">
        <f aca="false">SUM(S414:AD414)</f>
        <v>2</v>
      </c>
      <c r="AF414" s="22"/>
      <c r="AG414" s="19" t="s">
        <v>50</v>
      </c>
      <c r="AH414" s="22"/>
      <c r="AI414" s="22"/>
      <c r="AJ414" s="19" t="s">
        <v>50</v>
      </c>
      <c r="AK414" s="22"/>
      <c r="AL414" s="22"/>
      <c r="AM414" s="22"/>
      <c r="AN414" s="22"/>
      <c r="AO414" s="22"/>
      <c r="AP414" s="22"/>
      <c r="AQ414" s="22"/>
      <c r="AR414" s="19" t="s">
        <v>50</v>
      </c>
      <c r="AS414" s="18"/>
      <c r="AT414" s="25" t="n">
        <v>1</v>
      </c>
      <c r="AU414" s="25" t="n">
        <v>1</v>
      </c>
      <c r="AV414" s="25" t="n">
        <v>2</v>
      </c>
      <c r="AW414" s="18"/>
      <c r="AX414" s="18"/>
      <c r="AY414" s="18"/>
      <c r="AZ414" s="18"/>
      <c r="BA414" s="18"/>
      <c r="BB414" s="18"/>
      <c r="BC414" s="18"/>
      <c r="BD414" s="18"/>
      <c r="BE414" s="22" t="n">
        <f aca="false">SUM(AS414:BD414)</f>
        <v>4</v>
      </c>
      <c r="BF414" s="23" t="n">
        <v>3353.1</v>
      </c>
      <c r="BG414" s="19" t="s">
        <v>55</v>
      </c>
      <c r="BH414" s="18"/>
      <c r="BI414" s="25" t="n">
        <v>1</v>
      </c>
      <c r="BJ414" s="18"/>
      <c r="BK414" s="25" t="n">
        <v>5</v>
      </c>
      <c r="BL414" s="18"/>
      <c r="BM414" s="18"/>
      <c r="BN414" s="18"/>
      <c r="BO414" s="18"/>
      <c r="BP414" s="18"/>
      <c r="BQ414" s="18"/>
      <c r="BR414" s="25" t="n">
        <v>2</v>
      </c>
      <c r="BS414" s="18"/>
      <c r="BT414" s="22" t="n">
        <f aca="false">SUM(BH414:BS414)</f>
        <v>8</v>
      </c>
      <c r="BU414" s="26" t="n">
        <v>46036.6319444445</v>
      </c>
      <c r="BV414" s="17" t="s">
        <v>378</v>
      </c>
      <c r="BW414" s="17" t="s">
        <v>44</v>
      </c>
      <c r="BX414" s="23" t="n">
        <f aca="false">IFERROR(R414/AE414,0)</f>
        <v>1769.33</v>
      </c>
      <c r="BY414" s="23" t="n">
        <f aca="false">IFERROR(R414/12,0)</f>
        <v>294.888333333333</v>
      </c>
      <c r="BZ414" s="18" t="n">
        <v>111</v>
      </c>
      <c r="CA414" s="22" t="str">
        <f aca="false">IF(AE414=0,"PROSPECT",IF(AE414=1,"NOVO",IF(AE414&lt;=3,"EM DESENV.",IF(AE414&lt;=6,"RECORRENTE","FIDELIZADO"))))</f>
        <v>EM DESENV.</v>
      </c>
      <c r="CB414" s="22" t="n">
        <f aca="false">IF((P414+Q414)&gt;0,1,0)+IF((BR414+BS414)&gt;0,1,0)+IF(BE414&gt;0,1,0)</f>
        <v>2</v>
      </c>
    </row>
    <row r="415" customFormat="false" ht="15" hidden="false" customHeight="true" outlineLevel="0" collapsed="false">
      <c r="A415" s="16" t="s">
        <v>1145</v>
      </c>
      <c r="B415" s="17" t="s">
        <v>1146</v>
      </c>
      <c r="C415" s="18" t="s">
        <v>61</v>
      </c>
      <c r="D415" s="17" t="s">
        <v>1147</v>
      </c>
      <c r="E415" s="29" t="s">
        <v>365</v>
      </c>
      <c r="F415" s="20"/>
      <c r="G415" s="20"/>
      <c r="H415" s="20"/>
      <c r="I415" s="20"/>
      <c r="J415" s="20"/>
      <c r="K415" s="20"/>
      <c r="L415" s="20"/>
      <c r="M415" s="20"/>
      <c r="N415" s="27" t="n">
        <v>1079.01</v>
      </c>
      <c r="O415" s="20"/>
      <c r="P415" s="20"/>
      <c r="Q415" s="20"/>
      <c r="R415" s="21" t="n">
        <f aca="false">SUM(F415:Q415)</f>
        <v>1079.01</v>
      </c>
      <c r="S415" s="18"/>
      <c r="T415" s="18"/>
      <c r="U415" s="18"/>
      <c r="V415" s="18"/>
      <c r="W415" s="18"/>
      <c r="X415" s="18"/>
      <c r="Y415" s="18"/>
      <c r="Z415" s="18"/>
      <c r="AA415" s="28" t="n">
        <v>1</v>
      </c>
      <c r="AB415" s="18"/>
      <c r="AC415" s="18"/>
      <c r="AD415" s="18"/>
      <c r="AE415" s="22" t="n">
        <f aca="false">SUM(S415:AD415)</f>
        <v>1</v>
      </c>
      <c r="AF415" s="22"/>
      <c r="AG415" s="22"/>
      <c r="AH415" s="22"/>
      <c r="AI415" s="22"/>
      <c r="AJ415" s="22"/>
      <c r="AK415" s="22"/>
      <c r="AL415" s="22"/>
      <c r="AM415" s="22"/>
      <c r="AN415" s="30" t="s">
        <v>49</v>
      </c>
      <c r="AO415" s="22"/>
      <c r="AP415" s="22"/>
      <c r="AQ415" s="22"/>
      <c r="AR415" s="29" t="s">
        <v>48</v>
      </c>
      <c r="AS415" s="18"/>
      <c r="AT415" s="18"/>
      <c r="AU415" s="18"/>
      <c r="AV415" s="18"/>
      <c r="AW415" s="18"/>
      <c r="AX415" s="18"/>
      <c r="AY415" s="18"/>
      <c r="AZ415" s="18"/>
      <c r="BA415" s="25" t="n">
        <v>6</v>
      </c>
      <c r="BB415" s="25" t="n">
        <v>3</v>
      </c>
      <c r="BC415" s="18"/>
      <c r="BD415" s="18"/>
      <c r="BE415" s="22" t="n">
        <f aca="false">SUM(AS415:BD415)</f>
        <v>9</v>
      </c>
      <c r="BF415" s="23"/>
      <c r="BG415" s="31" t="s">
        <v>93</v>
      </c>
      <c r="BH415" s="18"/>
      <c r="BI415" s="18"/>
      <c r="BJ415" s="18"/>
      <c r="BK415" s="18"/>
      <c r="BL415" s="18"/>
      <c r="BM415" s="18"/>
      <c r="BN415" s="18"/>
      <c r="BO415" s="18"/>
      <c r="BP415" s="25" t="n">
        <v>2</v>
      </c>
      <c r="BQ415" s="18"/>
      <c r="BR415" s="18"/>
      <c r="BS415" s="18"/>
      <c r="BT415" s="22" t="n">
        <f aca="false">SUM(BH415:BS415)</f>
        <v>2</v>
      </c>
      <c r="BU415" s="26" t="n">
        <v>45980.60625</v>
      </c>
      <c r="BV415" s="17" t="s">
        <v>173</v>
      </c>
      <c r="BW415" s="17" t="s">
        <v>44</v>
      </c>
      <c r="BX415" s="23" t="n">
        <f aca="false">IFERROR(R415/AE415,0)</f>
        <v>1079.01</v>
      </c>
      <c r="BY415" s="23" t="n">
        <f aca="false">IFERROR(R415/12,0)</f>
        <v>89.9175</v>
      </c>
      <c r="BZ415" s="18" t="n">
        <v>0</v>
      </c>
      <c r="CA415" s="22" t="str">
        <f aca="false">IF(AE415=0,"PROSPECT",IF(AE415=1,"NOVO",IF(AE415&lt;=3,"EM DESENV.",IF(AE415&lt;=6,"RECORRENTE","FIDELIZADO"))))</f>
        <v>NOVO</v>
      </c>
      <c r="CB415" s="22" t="n">
        <f aca="false">IF((P415+Q415)&gt;0,1,0)+IF((BR415+BS415)&gt;0,1,0)+IF(BE415&gt;0,1,0)</f>
        <v>1</v>
      </c>
    </row>
    <row r="416" customFormat="false" ht="15" hidden="false" customHeight="true" outlineLevel="0" collapsed="false">
      <c r="A416" s="16" t="s">
        <v>1148</v>
      </c>
      <c r="B416" s="17" t="s">
        <v>1149</v>
      </c>
      <c r="C416" s="18" t="s">
        <v>727</v>
      </c>
      <c r="D416" s="17" t="s">
        <v>1150</v>
      </c>
      <c r="E416" s="29" t="s">
        <v>365</v>
      </c>
      <c r="F416" s="20"/>
      <c r="G416" s="20"/>
      <c r="H416" s="20"/>
      <c r="I416" s="20"/>
      <c r="J416" s="20"/>
      <c r="K416" s="20"/>
      <c r="L416" s="20"/>
      <c r="M416" s="20"/>
      <c r="N416" s="27" t="n">
        <v>602.99</v>
      </c>
      <c r="O416" s="20"/>
      <c r="P416" s="20"/>
      <c r="Q416" s="20"/>
      <c r="R416" s="21" t="n">
        <f aca="false">SUM(F416:Q416)</f>
        <v>602.99</v>
      </c>
      <c r="S416" s="18"/>
      <c r="T416" s="18"/>
      <c r="U416" s="18"/>
      <c r="V416" s="18"/>
      <c r="W416" s="18"/>
      <c r="X416" s="18"/>
      <c r="Y416" s="18"/>
      <c r="Z416" s="18"/>
      <c r="AA416" s="28" t="n">
        <v>1</v>
      </c>
      <c r="AB416" s="18"/>
      <c r="AC416" s="18"/>
      <c r="AD416" s="18"/>
      <c r="AE416" s="22" t="n">
        <f aca="false">SUM(S416:AD416)</f>
        <v>1</v>
      </c>
      <c r="AF416" s="22"/>
      <c r="AG416" s="22"/>
      <c r="AH416" s="22"/>
      <c r="AI416" s="22"/>
      <c r="AJ416" s="22"/>
      <c r="AK416" s="22"/>
      <c r="AL416" s="22"/>
      <c r="AM416" s="22"/>
      <c r="AN416" s="29" t="s">
        <v>48</v>
      </c>
      <c r="AO416" s="22"/>
      <c r="AP416" s="22"/>
      <c r="AQ416" s="22"/>
      <c r="AR416" s="29" t="s">
        <v>48</v>
      </c>
      <c r="AS416" s="18"/>
      <c r="AT416" s="18"/>
      <c r="AU416" s="18"/>
      <c r="AV416" s="18"/>
      <c r="AW416" s="18"/>
      <c r="AX416" s="18"/>
      <c r="AY416" s="18"/>
      <c r="AZ416" s="18"/>
      <c r="BA416" s="25" t="n">
        <v>4</v>
      </c>
      <c r="BB416" s="18"/>
      <c r="BC416" s="18"/>
      <c r="BD416" s="18"/>
      <c r="BE416" s="22" t="n">
        <f aca="false">SUM(AS416:BD416)</f>
        <v>4</v>
      </c>
      <c r="BF416" s="23" t="n">
        <v>602.99</v>
      </c>
      <c r="BG416" s="19" t="s">
        <v>55</v>
      </c>
      <c r="BH416" s="18"/>
      <c r="BI416" s="18"/>
      <c r="BJ416" s="18"/>
      <c r="BK416" s="18"/>
      <c r="BL416" s="18"/>
      <c r="BM416" s="18"/>
      <c r="BN416" s="18"/>
      <c r="BO416" s="18"/>
      <c r="BP416" s="25" t="n">
        <v>2</v>
      </c>
      <c r="BQ416" s="25" t="n">
        <v>1</v>
      </c>
      <c r="BR416" s="25" t="n">
        <v>5</v>
      </c>
      <c r="BS416" s="25" t="n">
        <v>3</v>
      </c>
      <c r="BT416" s="22" t="n">
        <f aca="false">SUM(BH416:BS416)</f>
        <v>11</v>
      </c>
      <c r="BU416" s="26" t="n">
        <v>46058.6604166667</v>
      </c>
      <c r="BV416" s="17"/>
      <c r="BW416" s="17" t="s">
        <v>44</v>
      </c>
      <c r="BX416" s="23" t="n">
        <f aca="false">IFERROR(R416/AE416,0)</f>
        <v>602.99</v>
      </c>
      <c r="BY416" s="23" t="n">
        <f aca="false">IFERROR(R416/12,0)</f>
        <v>50.2491666666667</v>
      </c>
      <c r="BZ416" s="18" t="n">
        <v>0</v>
      </c>
      <c r="CA416" s="22" t="str">
        <f aca="false">IF(AE416=0,"PROSPECT",IF(AE416=1,"NOVO",IF(AE416&lt;=3,"EM DESENV.",IF(AE416&lt;=6,"RECORRENTE","FIDELIZADO"))))</f>
        <v>NOVO</v>
      </c>
      <c r="CB416" s="22" t="n">
        <f aca="false">IF((P416+Q416)&gt;0,1,0)+IF((BR416+BS416)&gt;0,1,0)+IF(BE416&gt;0,1,0)</f>
        <v>2</v>
      </c>
    </row>
    <row r="417" customFormat="false" ht="15" hidden="false" customHeight="true" outlineLevel="0" collapsed="false">
      <c r="A417" s="16" t="s">
        <v>1151</v>
      </c>
      <c r="B417" s="17" t="s">
        <v>1152</v>
      </c>
      <c r="C417" s="18" t="s">
        <v>61</v>
      </c>
      <c r="D417" s="17" t="s">
        <v>1056</v>
      </c>
      <c r="E417" s="29" t="s">
        <v>365</v>
      </c>
      <c r="F417" s="20"/>
      <c r="G417" s="20"/>
      <c r="H417" s="20"/>
      <c r="I417" s="27" t="n">
        <v>3153.28</v>
      </c>
      <c r="J417" s="20"/>
      <c r="K417" s="20"/>
      <c r="L417" s="20"/>
      <c r="M417" s="20"/>
      <c r="N417" s="20"/>
      <c r="O417" s="20"/>
      <c r="P417" s="20"/>
      <c r="Q417" s="20"/>
      <c r="R417" s="21" t="n">
        <f aca="false">SUM(F417:Q417)</f>
        <v>3153.28</v>
      </c>
      <c r="S417" s="18"/>
      <c r="T417" s="18"/>
      <c r="U417" s="18"/>
      <c r="V417" s="28" t="n">
        <v>1</v>
      </c>
      <c r="W417" s="18"/>
      <c r="X417" s="18"/>
      <c r="Y417" s="18"/>
      <c r="Z417" s="18"/>
      <c r="AA417" s="18"/>
      <c r="AB417" s="18"/>
      <c r="AC417" s="18"/>
      <c r="AD417" s="18"/>
      <c r="AE417" s="22" t="n">
        <f aca="false">SUM(S417:AD417)</f>
        <v>1</v>
      </c>
      <c r="AF417" s="22"/>
      <c r="AG417" s="22"/>
      <c r="AH417" s="22"/>
      <c r="AI417" s="19" t="s">
        <v>50</v>
      </c>
      <c r="AJ417" s="22"/>
      <c r="AK417" s="22"/>
      <c r="AL417" s="22"/>
      <c r="AM417" s="22"/>
      <c r="AN417" s="22"/>
      <c r="AO417" s="22"/>
      <c r="AP417" s="22"/>
      <c r="AQ417" s="22"/>
      <c r="AR417" s="30" t="s">
        <v>49</v>
      </c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22" t="n">
        <f aca="false">SUM(AS417:BD417)</f>
        <v>0</v>
      </c>
      <c r="BF417" s="23"/>
      <c r="BG417" s="24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22" t="n">
        <f aca="false">SUM(BH417:BS417)</f>
        <v>0</v>
      </c>
      <c r="BU417" s="26"/>
      <c r="BV417" s="17"/>
      <c r="BW417" s="17"/>
      <c r="BX417" s="23" t="n">
        <f aca="false">IFERROR(R417/AE417,0)</f>
        <v>3153.28</v>
      </c>
      <c r="BY417" s="23" t="n">
        <f aca="false">IFERROR(R417/12,0)</f>
        <v>262.773333333333</v>
      </c>
      <c r="BZ417" s="18" t="n">
        <v>23</v>
      </c>
      <c r="CA417" s="22" t="str">
        <f aca="false">IF(AE417=0,"PROSPECT",IF(AE417=1,"NOVO",IF(AE417&lt;=3,"EM DESENV.",IF(AE417&lt;=6,"RECORRENTE","FIDELIZADO"))))</f>
        <v>NOVO</v>
      </c>
      <c r="CB417" s="22" t="n">
        <f aca="false">IF((P417+Q417)&gt;0,1,0)+IF((BR417+BS417)&gt;0,1,0)+IF(BE417&gt;0,1,0)</f>
        <v>0</v>
      </c>
    </row>
    <row r="418" customFormat="false" ht="15" hidden="false" customHeight="true" outlineLevel="0" collapsed="false">
      <c r="A418" s="16" t="s">
        <v>1153</v>
      </c>
      <c r="B418" s="17" t="s">
        <v>1152</v>
      </c>
      <c r="C418" s="18" t="s">
        <v>61</v>
      </c>
      <c r="D418" s="17" t="s">
        <v>248</v>
      </c>
      <c r="E418" s="29" t="s">
        <v>365</v>
      </c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1" t="n">
        <f aca="false">SUM(F418:Q418)</f>
        <v>0</v>
      </c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22" t="n">
        <f aca="false">SUM(S418:AD418)</f>
        <v>0</v>
      </c>
      <c r="AF418" s="22"/>
      <c r="AG418" s="22"/>
      <c r="AH418" s="22"/>
      <c r="AI418" s="30" t="s">
        <v>49</v>
      </c>
      <c r="AJ418" s="22"/>
      <c r="AK418" s="22"/>
      <c r="AL418" s="22"/>
      <c r="AM418" s="22"/>
      <c r="AN418" s="22"/>
      <c r="AO418" s="22"/>
      <c r="AP418" s="22"/>
      <c r="AQ418" s="22"/>
      <c r="AR418" s="30" t="s">
        <v>49</v>
      </c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22" t="n">
        <f aca="false">SUM(AS418:BD418)</f>
        <v>0</v>
      </c>
      <c r="BF418" s="23"/>
      <c r="BG418" s="24"/>
      <c r="BH418" s="25" t="n">
        <v>1</v>
      </c>
      <c r="BI418" s="18"/>
      <c r="BJ418" s="18"/>
      <c r="BK418" s="18"/>
      <c r="BL418" s="25" t="n">
        <v>4</v>
      </c>
      <c r="BM418" s="25" t="n">
        <v>1</v>
      </c>
      <c r="BN418" s="18"/>
      <c r="BO418" s="18"/>
      <c r="BP418" s="18"/>
      <c r="BQ418" s="18"/>
      <c r="BR418" s="18"/>
      <c r="BS418" s="25" t="n">
        <v>1</v>
      </c>
      <c r="BT418" s="22" t="n">
        <f aca="false">SUM(BH418:BS418)</f>
        <v>7</v>
      </c>
      <c r="BU418" s="26" t="n">
        <v>46055.458912037</v>
      </c>
      <c r="BV418" s="17"/>
      <c r="BW418" s="17" t="s">
        <v>44</v>
      </c>
      <c r="BX418" s="23" t="n">
        <f aca="false">IFERROR(R418/AE418,0)</f>
        <v>0</v>
      </c>
      <c r="BY418" s="23" t="n">
        <f aca="false">IFERROR(R418/12,0)</f>
        <v>0</v>
      </c>
      <c r="BZ418" s="18" t="n">
        <v>0</v>
      </c>
      <c r="CA418" s="22" t="str">
        <f aca="false">IF(AE418=0,"PROSPECT",IF(AE418=1,"NOVO",IF(AE418&lt;=3,"EM DESENV.",IF(AE418&lt;=6,"RECORRENTE","FIDELIZADO"))))</f>
        <v>PROSPECT</v>
      </c>
      <c r="CB418" s="22" t="n">
        <f aca="false">IF((P418+Q418)&gt;0,1,0)+IF((BR418+BS418)&gt;0,1,0)+IF(BE418&gt;0,1,0)</f>
        <v>1</v>
      </c>
    </row>
    <row r="419" customFormat="false" ht="15" hidden="false" customHeight="true" outlineLevel="0" collapsed="false">
      <c r="A419" s="16" t="s">
        <v>1154</v>
      </c>
      <c r="B419" s="17" t="s">
        <v>1155</v>
      </c>
      <c r="C419" s="18" t="s">
        <v>127</v>
      </c>
      <c r="D419" s="17" t="s">
        <v>1156</v>
      </c>
      <c r="E419" s="29" t="s">
        <v>365</v>
      </c>
      <c r="F419" s="20"/>
      <c r="G419" s="20"/>
      <c r="H419" s="20"/>
      <c r="I419" s="20"/>
      <c r="J419" s="20"/>
      <c r="K419" s="20"/>
      <c r="L419" s="20"/>
      <c r="M419" s="20"/>
      <c r="N419" s="27" t="n">
        <v>5482.84</v>
      </c>
      <c r="O419" s="20"/>
      <c r="P419" s="20"/>
      <c r="Q419" s="20"/>
      <c r="R419" s="21" t="n">
        <f aca="false">SUM(F419:Q419)</f>
        <v>5482.84</v>
      </c>
      <c r="S419" s="18"/>
      <c r="T419" s="18"/>
      <c r="U419" s="18"/>
      <c r="V419" s="18"/>
      <c r="W419" s="18"/>
      <c r="X419" s="18"/>
      <c r="Y419" s="18"/>
      <c r="Z419" s="18"/>
      <c r="AA419" s="28" t="n">
        <v>1</v>
      </c>
      <c r="AB419" s="18"/>
      <c r="AC419" s="18"/>
      <c r="AD419" s="18"/>
      <c r="AE419" s="22" t="n">
        <f aca="false">SUM(S419:AD419)</f>
        <v>1</v>
      </c>
      <c r="AF419" s="22"/>
      <c r="AG419" s="22"/>
      <c r="AH419" s="22"/>
      <c r="AI419" s="22"/>
      <c r="AJ419" s="22"/>
      <c r="AK419" s="22"/>
      <c r="AL419" s="22"/>
      <c r="AM419" s="22"/>
      <c r="AN419" s="19" t="s">
        <v>50</v>
      </c>
      <c r="AO419" s="22"/>
      <c r="AP419" s="22"/>
      <c r="AQ419" s="22"/>
      <c r="AR419" s="19" t="s">
        <v>50</v>
      </c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22" t="n">
        <f aca="false">SUM(AS419:BD419)</f>
        <v>0</v>
      </c>
      <c r="BF419" s="23"/>
      <c r="BG419" s="24"/>
      <c r="BH419" s="18"/>
      <c r="BI419" s="18"/>
      <c r="BJ419" s="18"/>
      <c r="BK419" s="18"/>
      <c r="BL419" s="18"/>
      <c r="BM419" s="18"/>
      <c r="BN419" s="18"/>
      <c r="BO419" s="18"/>
      <c r="BP419" s="25" t="n">
        <v>2</v>
      </c>
      <c r="BQ419" s="18"/>
      <c r="BR419" s="25" t="n">
        <v>4</v>
      </c>
      <c r="BS419" s="25" t="n">
        <v>3</v>
      </c>
      <c r="BT419" s="22" t="n">
        <f aca="false">SUM(BH419:BS419)</f>
        <v>9</v>
      </c>
      <c r="BU419" s="26" t="n">
        <v>46058.6694444444</v>
      </c>
      <c r="BV419" s="17" t="s">
        <v>124</v>
      </c>
      <c r="BW419" s="17" t="s">
        <v>44</v>
      </c>
      <c r="BX419" s="23" t="n">
        <f aca="false">IFERROR(R419/AE419,0)</f>
        <v>5482.84</v>
      </c>
      <c r="BY419" s="23" t="n">
        <f aca="false">IFERROR(R419/12,0)</f>
        <v>456.903333333333</v>
      </c>
      <c r="BZ419" s="18" t="n">
        <v>0</v>
      </c>
      <c r="CA419" s="22" t="str">
        <f aca="false">IF(AE419=0,"PROSPECT",IF(AE419=1,"NOVO",IF(AE419&lt;=3,"EM DESENV.",IF(AE419&lt;=6,"RECORRENTE","FIDELIZADO"))))</f>
        <v>NOVO</v>
      </c>
      <c r="CB419" s="22" t="n">
        <f aca="false">IF((P419+Q419)&gt;0,1,0)+IF((BR419+BS419)&gt;0,1,0)+IF(BE419&gt;0,1,0)</f>
        <v>1</v>
      </c>
    </row>
    <row r="420" customFormat="false" ht="15" hidden="false" customHeight="true" outlineLevel="0" collapsed="false">
      <c r="A420" s="16" t="s">
        <v>1157</v>
      </c>
      <c r="B420" s="17" t="s">
        <v>1158</v>
      </c>
      <c r="C420" s="18" t="s">
        <v>61</v>
      </c>
      <c r="D420" s="17" t="s">
        <v>567</v>
      </c>
      <c r="E420" s="29" t="s">
        <v>365</v>
      </c>
      <c r="F420" s="20"/>
      <c r="G420" s="20"/>
      <c r="H420" s="20"/>
      <c r="I420" s="27" t="n">
        <v>1380.17</v>
      </c>
      <c r="J420" s="20"/>
      <c r="K420" s="20"/>
      <c r="L420" s="20"/>
      <c r="M420" s="20"/>
      <c r="N420" s="20"/>
      <c r="O420" s="20"/>
      <c r="P420" s="20"/>
      <c r="Q420" s="20"/>
      <c r="R420" s="21" t="n">
        <f aca="false">SUM(F420:Q420)</f>
        <v>1380.17</v>
      </c>
      <c r="S420" s="18"/>
      <c r="T420" s="18"/>
      <c r="U420" s="18"/>
      <c r="V420" s="28" t="n">
        <v>1</v>
      </c>
      <c r="W420" s="18"/>
      <c r="X420" s="18"/>
      <c r="Y420" s="18"/>
      <c r="Z420" s="18"/>
      <c r="AA420" s="18"/>
      <c r="AB420" s="18"/>
      <c r="AC420" s="18"/>
      <c r="AD420" s="18"/>
      <c r="AE420" s="22" t="n">
        <f aca="false">SUM(S420:AD420)</f>
        <v>1</v>
      </c>
      <c r="AF420" s="22"/>
      <c r="AG420" s="22"/>
      <c r="AH420" s="22"/>
      <c r="AI420" s="30" t="s">
        <v>49</v>
      </c>
      <c r="AJ420" s="22"/>
      <c r="AK420" s="22"/>
      <c r="AL420" s="22"/>
      <c r="AM420" s="22"/>
      <c r="AN420" s="22"/>
      <c r="AO420" s="22"/>
      <c r="AP420" s="22"/>
      <c r="AQ420" s="22"/>
      <c r="AR420" s="30" t="s">
        <v>49</v>
      </c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22" t="n">
        <f aca="false">SUM(AS420:BD420)</f>
        <v>0</v>
      </c>
      <c r="BF420" s="23"/>
      <c r="BG420" s="24"/>
      <c r="BH420" s="18"/>
      <c r="BI420" s="18"/>
      <c r="BJ420" s="18"/>
      <c r="BK420" s="25" t="n">
        <v>2</v>
      </c>
      <c r="BL420" s="25" t="n">
        <v>4</v>
      </c>
      <c r="BM420" s="25" t="n">
        <v>1</v>
      </c>
      <c r="BN420" s="18"/>
      <c r="BO420" s="18"/>
      <c r="BP420" s="25" t="n">
        <v>1</v>
      </c>
      <c r="BQ420" s="18"/>
      <c r="BR420" s="18"/>
      <c r="BS420" s="18"/>
      <c r="BT420" s="22" t="n">
        <f aca="false">SUM(BH420:BS420)</f>
        <v>8</v>
      </c>
      <c r="BU420" s="26" t="n">
        <v>45989.3768865741</v>
      </c>
      <c r="BV420" s="17"/>
      <c r="BW420" s="17" t="s">
        <v>44</v>
      </c>
      <c r="BX420" s="23" t="n">
        <f aca="false">IFERROR(R420/AE420,0)</f>
        <v>1380.17</v>
      </c>
      <c r="BY420" s="23" t="n">
        <f aca="false">IFERROR(R420/12,0)</f>
        <v>115.014166666667</v>
      </c>
      <c r="BZ420" s="18" t="n">
        <v>0</v>
      </c>
      <c r="CA420" s="22" t="str">
        <f aca="false">IF(AE420=0,"PROSPECT",IF(AE420=1,"NOVO",IF(AE420&lt;=3,"EM DESENV.",IF(AE420&lt;=6,"RECORRENTE","FIDELIZADO"))))</f>
        <v>NOVO</v>
      </c>
      <c r="CB420" s="22" t="n">
        <f aca="false">IF((P420+Q420)&gt;0,1,0)+IF((BR420+BS420)&gt;0,1,0)+IF(BE420&gt;0,1,0)</f>
        <v>0</v>
      </c>
    </row>
    <row r="421" customFormat="false" ht="15" hidden="false" customHeight="true" outlineLevel="0" collapsed="false">
      <c r="A421" s="16" t="s">
        <v>1159</v>
      </c>
      <c r="B421" s="17" t="s">
        <v>1160</v>
      </c>
      <c r="C421" s="18" t="s">
        <v>168</v>
      </c>
      <c r="D421" s="17" t="s">
        <v>1161</v>
      </c>
      <c r="E421" s="29" t="s">
        <v>365</v>
      </c>
      <c r="F421" s="20"/>
      <c r="G421" s="20"/>
      <c r="H421" s="20"/>
      <c r="I421" s="20"/>
      <c r="J421" s="27" t="n">
        <v>818.67</v>
      </c>
      <c r="K421" s="20"/>
      <c r="L421" s="20"/>
      <c r="M421" s="20"/>
      <c r="N421" s="20"/>
      <c r="O421" s="20"/>
      <c r="P421" s="20"/>
      <c r="Q421" s="20"/>
      <c r="R421" s="21" t="n">
        <f aca="false">SUM(F421:Q421)</f>
        <v>818.67</v>
      </c>
      <c r="S421" s="18"/>
      <c r="T421" s="18"/>
      <c r="U421" s="18"/>
      <c r="V421" s="18"/>
      <c r="W421" s="28" t="n">
        <v>1</v>
      </c>
      <c r="X421" s="18"/>
      <c r="Y421" s="18"/>
      <c r="Z421" s="18"/>
      <c r="AA421" s="18"/>
      <c r="AB421" s="18"/>
      <c r="AC421" s="18"/>
      <c r="AD421" s="18"/>
      <c r="AE421" s="22" t="n">
        <f aca="false">SUM(S421:AD421)</f>
        <v>1</v>
      </c>
      <c r="AF421" s="22"/>
      <c r="AG421" s="22"/>
      <c r="AH421" s="22"/>
      <c r="AI421" s="22"/>
      <c r="AJ421" s="30" t="s">
        <v>49</v>
      </c>
      <c r="AK421" s="22"/>
      <c r="AL421" s="22"/>
      <c r="AM421" s="22"/>
      <c r="AN421" s="22"/>
      <c r="AO421" s="22"/>
      <c r="AP421" s="22"/>
      <c r="AQ421" s="22"/>
      <c r="AR421" s="29" t="s">
        <v>48</v>
      </c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22" t="n">
        <f aca="false">SUM(AS421:BD421)</f>
        <v>0</v>
      </c>
      <c r="BF421" s="23"/>
      <c r="BG421" s="24"/>
      <c r="BH421" s="18"/>
      <c r="BI421" s="18"/>
      <c r="BJ421" s="18"/>
      <c r="BK421" s="18"/>
      <c r="BL421" s="25" t="n">
        <v>2</v>
      </c>
      <c r="BM421" s="25" t="n">
        <v>1</v>
      </c>
      <c r="BN421" s="25" t="n">
        <v>2</v>
      </c>
      <c r="BO421" s="18"/>
      <c r="BP421" s="18"/>
      <c r="BQ421" s="25" t="n">
        <v>2</v>
      </c>
      <c r="BR421" s="25" t="n">
        <v>2</v>
      </c>
      <c r="BS421" s="18"/>
      <c r="BT421" s="22" t="n">
        <f aca="false">SUM(BH421:BS421)</f>
        <v>9</v>
      </c>
      <c r="BU421" s="26" t="n">
        <v>46036.6447453704</v>
      </c>
      <c r="BV421" s="17"/>
      <c r="BW421" s="17" t="s">
        <v>44</v>
      </c>
      <c r="BX421" s="23" t="n">
        <f aca="false">IFERROR(R421/AE421,0)</f>
        <v>818.67</v>
      </c>
      <c r="BY421" s="23" t="n">
        <f aca="false">IFERROR(R421/12,0)</f>
        <v>68.2225</v>
      </c>
      <c r="BZ421" s="18" t="n">
        <v>0</v>
      </c>
      <c r="CA421" s="22" t="str">
        <f aca="false">IF(AE421=0,"PROSPECT",IF(AE421=1,"NOVO",IF(AE421&lt;=3,"EM DESENV.",IF(AE421&lt;=6,"RECORRENTE","FIDELIZADO"))))</f>
        <v>NOVO</v>
      </c>
      <c r="CB421" s="22" t="n">
        <f aca="false">IF((P421+Q421)&gt;0,1,0)+IF((BR421+BS421)&gt;0,1,0)+IF(BE421&gt;0,1,0)</f>
        <v>1</v>
      </c>
    </row>
    <row r="422" customFormat="false" ht="15" hidden="false" customHeight="true" outlineLevel="0" collapsed="false">
      <c r="A422" s="16" t="s">
        <v>1162</v>
      </c>
      <c r="B422" s="17" t="s">
        <v>1163</v>
      </c>
      <c r="C422" s="18" t="s">
        <v>155</v>
      </c>
      <c r="D422" s="17" t="s">
        <v>348</v>
      </c>
      <c r="E422" s="29" t="s">
        <v>365</v>
      </c>
      <c r="F422" s="20"/>
      <c r="G422" s="20"/>
      <c r="H422" s="27" t="n">
        <v>3147.22</v>
      </c>
      <c r="I422" s="20"/>
      <c r="J422" s="20"/>
      <c r="K422" s="20"/>
      <c r="L422" s="20"/>
      <c r="M422" s="20"/>
      <c r="N422" s="20"/>
      <c r="O422" s="20"/>
      <c r="P422" s="20"/>
      <c r="Q422" s="20"/>
      <c r="R422" s="21" t="n">
        <f aca="false">SUM(F422:Q422)</f>
        <v>3147.22</v>
      </c>
      <c r="S422" s="18"/>
      <c r="T422" s="18"/>
      <c r="U422" s="28" t="n">
        <v>1</v>
      </c>
      <c r="V422" s="18"/>
      <c r="W422" s="18"/>
      <c r="X422" s="18"/>
      <c r="Y422" s="18"/>
      <c r="Z422" s="18"/>
      <c r="AA422" s="18"/>
      <c r="AB422" s="18"/>
      <c r="AC422" s="18"/>
      <c r="AD422" s="18"/>
      <c r="AE422" s="22" t="n">
        <f aca="false">SUM(S422:AD422)</f>
        <v>1</v>
      </c>
      <c r="AF422" s="22"/>
      <c r="AG422" s="22"/>
      <c r="AH422" s="19" t="s">
        <v>50</v>
      </c>
      <c r="AI422" s="22"/>
      <c r="AJ422" s="22"/>
      <c r="AK422" s="22"/>
      <c r="AL422" s="22"/>
      <c r="AM422" s="22"/>
      <c r="AN422" s="22"/>
      <c r="AO422" s="22"/>
      <c r="AP422" s="22"/>
      <c r="AQ422" s="22"/>
      <c r="AR422" s="19" t="s">
        <v>50</v>
      </c>
      <c r="AS422" s="18"/>
      <c r="AT422" s="25" t="n">
        <v>5</v>
      </c>
      <c r="AU422" s="25" t="n">
        <v>5</v>
      </c>
      <c r="AV422" s="18"/>
      <c r="AW422" s="25" t="n">
        <v>7</v>
      </c>
      <c r="AX422" s="18"/>
      <c r="AY422" s="18"/>
      <c r="AZ422" s="18"/>
      <c r="BA422" s="18"/>
      <c r="BB422" s="18"/>
      <c r="BC422" s="18"/>
      <c r="BD422" s="18"/>
      <c r="BE422" s="22" t="n">
        <f aca="false">SUM(AS422:BD422)</f>
        <v>17</v>
      </c>
      <c r="BF422" s="23"/>
      <c r="BG422" s="31" t="s">
        <v>93</v>
      </c>
      <c r="BH422" s="18"/>
      <c r="BI422" s="25" t="n">
        <v>1</v>
      </c>
      <c r="BJ422" s="25" t="n">
        <v>1</v>
      </c>
      <c r="BK422" s="18"/>
      <c r="BL422" s="25" t="n">
        <v>1</v>
      </c>
      <c r="BM422" s="25" t="n">
        <v>1</v>
      </c>
      <c r="BN422" s="18"/>
      <c r="BO422" s="18"/>
      <c r="BP422" s="18"/>
      <c r="BQ422" s="25" t="n">
        <v>2</v>
      </c>
      <c r="BR422" s="25" t="n">
        <v>2</v>
      </c>
      <c r="BS422" s="18"/>
      <c r="BT422" s="22" t="n">
        <f aca="false">SUM(BH422:BS422)</f>
        <v>8</v>
      </c>
      <c r="BU422" s="26" t="n">
        <v>46036.6840277778</v>
      </c>
      <c r="BV422" s="17" t="s">
        <v>378</v>
      </c>
      <c r="BW422" s="17" t="s">
        <v>44</v>
      </c>
      <c r="BX422" s="23" t="n">
        <f aca="false">IFERROR(R422/AE422,0)</f>
        <v>3147.22</v>
      </c>
      <c r="BY422" s="23" t="n">
        <f aca="false">IFERROR(R422/12,0)</f>
        <v>262.268333333333</v>
      </c>
      <c r="BZ422" s="18" t="n">
        <v>0</v>
      </c>
      <c r="CA422" s="22" t="str">
        <f aca="false">IF(AE422=0,"PROSPECT",IF(AE422=1,"NOVO",IF(AE422&lt;=3,"EM DESENV.",IF(AE422&lt;=6,"RECORRENTE","FIDELIZADO"))))</f>
        <v>NOVO</v>
      </c>
      <c r="CB422" s="22" t="n">
        <f aca="false">IF((P422+Q422)&gt;0,1,0)+IF((BR422+BS422)&gt;0,1,0)+IF(BE422&gt;0,1,0)</f>
        <v>2</v>
      </c>
    </row>
    <row r="423" customFormat="false" ht="15" hidden="false" customHeight="true" outlineLevel="0" collapsed="false">
      <c r="A423" s="16" t="s">
        <v>1164</v>
      </c>
      <c r="B423" s="17" t="s">
        <v>1165</v>
      </c>
      <c r="C423" s="18" t="s">
        <v>41</v>
      </c>
      <c r="D423" s="17" t="s">
        <v>42</v>
      </c>
      <c r="E423" s="29" t="s">
        <v>365</v>
      </c>
      <c r="F423" s="20"/>
      <c r="G423" s="20"/>
      <c r="H423" s="20"/>
      <c r="I423" s="20"/>
      <c r="J423" s="27" t="n">
        <v>938.73</v>
      </c>
      <c r="K423" s="27" t="n">
        <v>665.76</v>
      </c>
      <c r="L423" s="20"/>
      <c r="M423" s="27" t="n">
        <v>658.56</v>
      </c>
      <c r="N423" s="20"/>
      <c r="O423" s="20"/>
      <c r="P423" s="20"/>
      <c r="Q423" s="20"/>
      <c r="R423" s="21" t="n">
        <f aca="false">SUM(F423:Q423)</f>
        <v>2263.05</v>
      </c>
      <c r="S423" s="18"/>
      <c r="T423" s="18"/>
      <c r="U423" s="18"/>
      <c r="V423" s="18"/>
      <c r="W423" s="28" t="n">
        <v>1</v>
      </c>
      <c r="X423" s="28" t="n">
        <v>1</v>
      </c>
      <c r="Y423" s="18"/>
      <c r="Z423" s="28" t="n">
        <v>1</v>
      </c>
      <c r="AA423" s="18"/>
      <c r="AB423" s="18"/>
      <c r="AC423" s="18"/>
      <c r="AD423" s="18"/>
      <c r="AE423" s="22" t="n">
        <f aca="false">SUM(S423:AD423)</f>
        <v>3</v>
      </c>
      <c r="AF423" s="22"/>
      <c r="AG423" s="22"/>
      <c r="AH423" s="22"/>
      <c r="AI423" s="22"/>
      <c r="AJ423" s="30" t="s">
        <v>49</v>
      </c>
      <c r="AK423" s="29" t="s">
        <v>48</v>
      </c>
      <c r="AL423" s="22"/>
      <c r="AM423" s="29" t="s">
        <v>48</v>
      </c>
      <c r="AN423" s="22"/>
      <c r="AO423" s="22"/>
      <c r="AP423" s="22"/>
      <c r="AQ423" s="22"/>
      <c r="AR423" s="30" t="s">
        <v>49</v>
      </c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22" t="n">
        <f aca="false">SUM(AS423:BD423)</f>
        <v>0</v>
      </c>
      <c r="BF423" s="23"/>
      <c r="BG423" s="24"/>
      <c r="BH423" s="18"/>
      <c r="BI423" s="18"/>
      <c r="BJ423" s="18"/>
      <c r="BK423" s="18"/>
      <c r="BL423" s="25" t="n">
        <v>1</v>
      </c>
      <c r="BM423" s="25" t="n">
        <v>1</v>
      </c>
      <c r="BN423" s="18"/>
      <c r="BO423" s="25" t="n">
        <v>1</v>
      </c>
      <c r="BP423" s="25" t="n">
        <v>2</v>
      </c>
      <c r="BQ423" s="18"/>
      <c r="BR423" s="18"/>
      <c r="BS423" s="18"/>
      <c r="BT423" s="22" t="n">
        <f aca="false">SUM(BH423:BS423)</f>
        <v>5</v>
      </c>
      <c r="BU423" s="26" t="n">
        <v>45978.4791666667</v>
      </c>
      <c r="BV423" s="17"/>
      <c r="BW423" s="17" t="s">
        <v>44</v>
      </c>
      <c r="BX423" s="23" t="n">
        <f aca="false">IFERROR(R423/AE423,0)</f>
        <v>754.35</v>
      </c>
      <c r="BY423" s="23" t="n">
        <f aca="false">IFERROR(R423/12,0)</f>
        <v>188.5875</v>
      </c>
      <c r="BZ423" s="18" t="n">
        <v>38.5</v>
      </c>
      <c r="CA423" s="22" t="str">
        <f aca="false">IF(AE423=0,"PROSPECT",IF(AE423=1,"NOVO",IF(AE423&lt;=3,"EM DESENV.",IF(AE423&lt;=6,"RECORRENTE","FIDELIZADO"))))</f>
        <v>EM DESENV.</v>
      </c>
      <c r="CB423" s="22" t="n">
        <f aca="false">IF((P423+Q423)&gt;0,1,0)+IF((BR423+BS423)&gt;0,1,0)+IF(BE423&gt;0,1,0)</f>
        <v>0</v>
      </c>
    </row>
    <row r="424" customFormat="false" ht="15" hidden="false" customHeight="true" outlineLevel="0" collapsed="false">
      <c r="A424" s="16" t="s">
        <v>1166</v>
      </c>
      <c r="B424" s="17" t="s">
        <v>1167</v>
      </c>
      <c r="C424" s="18" t="s">
        <v>155</v>
      </c>
      <c r="D424" s="17" t="s">
        <v>341</v>
      </c>
      <c r="E424" s="29" t="s">
        <v>365</v>
      </c>
      <c r="F424" s="20"/>
      <c r="G424" s="20"/>
      <c r="H424" s="20"/>
      <c r="I424" s="27" t="n">
        <v>1512</v>
      </c>
      <c r="J424" s="20"/>
      <c r="K424" s="27" t="n">
        <v>1490.4</v>
      </c>
      <c r="L424" s="20"/>
      <c r="M424" s="20"/>
      <c r="N424" s="27" t="n">
        <v>1564</v>
      </c>
      <c r="O424" s="20"/>
      <c r="P424" s="20"/>
      <c r="Q424" s="20"/>
      <c r="R424" s="21" t="n">
        <f aca="false">SUM(F424:Q424)</f>
        <v>4566.4</v>
      </c>
      <c r="S424" s="18"/>
      <c r="T424" s="18"/>
      <c r="U424" s="18"/>
      <c r="V424" s="28" t="n">
        <v>1</v>
      </c>
      <c r="W424" s="18"/>
      <c r="X424" s="28" t="n">
        <v>1</v>
      </c>
      <c r="Y424" s="18"/>
      <c r="Z424" s="18"/>
      <c r="AA424" s="28" t="n">
        <v>1</v>
      </c>
      <c r="AB424" s="18"/>
      <c r="AC424" s="18"/>
      <c r="AD424" s="18"/>
      <c r="AE424" s="22" t="n">
        <f aca="false">SUM(S424:AD424)</f>
        <v>3</v>
      </c>
      <c r="AF424" s="22"/>
      <c r="AG424" s="22"/>
      <c r="AH424" s="22"/>
      <c r="AI424" s="19" t="s">
        <v>50</v>
      </c>
      <c r="AJ424" s="22"/>
      <c r="AK424" s="19" t="s">
        <v>50</v>
      </c>
      <c r="AL424" s="22"/>
      <c r="AM424" s="22"/>
      <c r="AN424" s="19" t="s">
        <v>50</v>
      </c>
      <c r="AO424" s="22"/>
      <c r="AP424" s="22"/>
      <c r="AQ424" s="22"/>
      <c r="AR424" s="19" t="s">
        <v>50</v>
      </c>
      <c r="AS424" s="18"/>
      <c r="AT424" s="18"/>
      <c r="AU424" s="18"/>
      <c r="AV424" s="18"/>
      <c r="AW424" s="18"/>
      <c r="AX424" s="18"/>
      <c r="AY424" s="18"/>
      <c r="AZ424" s="18"/>
      <c r="BA424" s="25" t="n">
        <v>4</v>
      </c>
      <c r="BB424" s="18"/>
      <c r="BC424" s="18"/>
      <c r="BD424" s="18"/>
      <c r="BE424" s="22" t="n">
        <f aca="false">SUM(AS424:BD424)</f>
        <v>4</v>
      </c>
      <c r="BF424" s="23" t="n">
        <v>1564</v>
      </c>
      <c r="BG424" s="19" t="s">
        <v>55</v>
      </c>
      <c r="BH424" s="18"/>
      <c r="BI424" s="18"/>
      <c r="BJ424" s="18"/>
      <c r="BK424" s="25" t="n">
        <v>2</v>
      </c>
      <c r="BL424" s="25" t="n">
        <v>1</v>
      </c>
      <c r="BM424" s="18"/>
      <c r="BN424" s="18"/>
      <c r="BO424" s="25" t="n">
        <v>1</v>
      </c>
      <c r="BP424" s="25" t="n">
        <v>2</v>
      </c>
      <c r="BQ424" s="25" t="n">
        <v>2</v>
      </c>
      <c r="BR424" s="25" t="n">
        <v>1</v>
      </c>
      <c r="BS424" s="25" t="n">
        <v>3</v>
      </c>
      <c r="BT424" s="22" t="n">
        <f aca="false">SUM(BH424:BS424)</f>
        <v>12</v>
      </c>
      <c r="BU424" s="26" t="n">
        <v>46059.4902777778</v>
      </c>
      <c r="BV424" s="17" t="s">
        <v>124</v>
      </c>
      <c r="BW424" s="17" t="s">
        <v>44</v>
      </c>
      <c r="BX424" s="23" t="n">
        <f aca="false">IFERROR(R424/AE424,0)</f>
        <v>1522.13333333333</v>
      </c>
      <c r="BY424" s="23" t="n">
        <f aca="false">IFERROR(R424/12,0)</f>
        <v>380.533333333333</v>
      </c>
      <c r="BZ424" s="18" t="n">
        <v>70</v>
      </c>
      <c r="CA424" s="22" t="str">
        <f aca="false">IF(AE424=0,"PROSPECT",IF(AE424=1,"NOVO",IF(AE424&lt;=3,"EM DESENV.",IF(AE424&lt;=6,"RECORRENTE","FIDELIZADO"))))</f>
        <v>EM DESENV.</v>
      </c>
      <c r="CB424" s="22" t="n">
        <f aca="false">IF((P424+Q424)&gt;0,1,0)+IF((BR424+BS424)&gt;0,1,0)+IF(BE424&gt;0,1,0)</f>
        <v>2</v>
      </c>
    </row>
    <row r="425" customFormat="false" ht="15" hidden="false" customHeight="true" outlineLevel="0" collapsed="false">
      <c r="A425" s="16" t="s">
        <v>1168</v>
      </c>
      <c r="B425" s="17" t="s">
        <v>1169</v>
      </c>
      <c r="C425" s="18" t="s">
        <v>61</v>
      </c>
      <c r="D425" s="17" t="s">
        <v>210</v>
      </c>
      <c r="E425" s="29" t="s">
        <v>365</v>
      </c>
      <c r="F425" s="20"/>
      <c r="G425" s="20"/>
      <c r="H425" s="20"/>
      <c r="I425" s="20"/>
      <c r="J425" s="27" t="n">
        <v>1099.98</v>
      </c>
      <c r="K425" s="20"/>
      <c r="L425" s="20"/>
      <c r="M425" s="20"/>
      <c r="N425" s="20"/>
      <c r="O425" s="20"/>
      <c r="P425" s="20"/>
      <c r="Q425" s="20"/>
      <c r="R425" s="21" t="n">
        <f aca="false">SUM(F425:Q425)</f>
        <v>1099.98</v>
      </c>
      <c r="S425" s="18"/>
      <c r="T425" s="18"/>
      <c r="U425" s="18"/>
      <c r="V425" s="18"/>
      <c r="W425" s="28" t="n">
        <v>1</v>
      </c>
      <c r="X425" s="18"/>
      <c r="Y425" s="18"/>
      <c r="Z425" s="18"/>
      <c r="AA425" s="18"/>
      <c r="AB425" s="18"/>
      <c r="AC425" s="18"/>
      <c r="AD425" s="18"/>
      <c r="AE425" s="22" t="n">
        <f aca="false">SUM(S425:AD425)</f>
        <v>1</v>
      </c>
      <c r="AF425" s="22"/>
      <c r="AG425" s="22"/>
      <c r="AH425" s="22"/>
      <c r="AI425" s="22"/>
      <c r="AJ425" s="30" t="s">
        <v>49</v>
      </c>
      <c r="AK425" s="22"/>
      <c r="AL425" s="22"/>
      <c r="AM425" s="22"/>
      <c r="AN425" s="22"/>
      <c r="AO425" s="22"/>
      <c r="AP425" s="22"/>
      <c r="AQ425" s="22"/>
      <c r="AR425" s="29" t="s">
        <v>48</v>
      </c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22" t="n">
        <f aca="false">SUM(AS425:BD425)</f>
        <v>0</v>
      </c>
      <c r="BF425" s="23"/>
      <c r="BG425" s="24"/>
      <c r="BH425" s="18"/>
      <c r="BI425" s="18"/>
      <c r="BJ425" s="18"/>
      <c r="BK425" s="18"/>
      <c r="BL425" s="25" t="n">
        <v>1</v>
      </c>
      <c r="BM425" s="25" t="n">
        <v>2</v>
      </c>
      <c r="BN425" s="18"/>
      <c r="BO425" s="25" t="n">
        <v>1</v>
      </c>
      <c r="BP425" s="18"/>
      <c r="BQ425" s="18"/>
      <c r="BR425" s="18"/>
      <c r="BS425" s="18"/>
      <c r="BT425" s="22" t="n">
        <f aca="false">SUM(BH425:BS425)</f>
        <v>4</v>
      </c>
      <c r="BU425" s="26" t="n">
        <v>45950.3503587963</v>
      </c>
      <c r="BV425" s="17"/>
      <c r="BW425" s="17" t="s">
        <v>44</v>
      </c>
      <c r="BX425" s="23" t="n">
        <f aca="false">IFERROR(R425/AE425,0)</f>
        <v>1099.98</v>
      </c>
      <c r="BY425" s="23" t="n">
        <f aca="false">IFERROR(R425/12,0)</f>
        <v>91.665</v>
      </c>
      <c r="BZ425" s="18" t="n">
        <v>0</v>
      </c>
      <c r="CA425" s="22" t="str">
        <f aca="false">IF(AE425=0,"PROSPECT",IF(AE425=1,"NOVO",IF(AE425&lt;=3,"EM DESENV.",IF(AE425&lt;=6,"RECORRENTE","FIDELIZADO"))))</f>
        <v>NOVO</v>
      </c>
      <c r="CB425" s="22" t="n">
        <f aca="false">IF((P425+Q425)&gt;0,1,0)+IF((BR425+BS425)&gt;0,1,0)+IF(BE425&gt;0,1,0)</f>
        <v>0</v>
      </c>
    </row>
    <row r="426" customFormat="false" ht="15" hidden="false" customHeight="true" outlineLevel="0" collapsed="false">
      <c r="A426" s="16" t="s">
        <v>1170</v>
      </c>
      <c r="B426" s="17" t="s">
        <v>1171</v>
      </c>
      <c r="C426" s="18" t="s">
        <v>41</v>
      </c>
      <c r="D426" s="17" t="s">
        <v>42</v>
      </c>
      <c r="E426" s="29" t="s">
        <v>365</v>
      </c>
      <c r="F426" s="20"/>
      <c r="G426" s="20"/>
      <c r="H426" s="27" t="n">
        <v>2177.3</v>
      </c>
      <c r="I426" s="20"/>
      <c r="J426" s="20"/>
      <c r="K426" s="20"/>
      <c r="L426" s="20"/>
      <c r="M426" s="20"/>
      <c r="N426" s="20"/>
      <c r="O426" s="20"/>
      <c r="P426" s="20"/>
      <c r="Q426" s="20"/>
      <c r="R426" s="21" t="n">
        <f aca="false">SUM(F426:Q426)</f>
        <v>2177.3</v>
      </c>
      <c r="S426" s="18"/>
      <c r="T426" s="18"/>
      <c r="U426" s="28" t="n">
        <v>1</v>
      </c>
      <c r="V426" s="18"/>
      <c r="W426" s="18"/>
      <c r="X426" s="18"/>
      <c r="Y426" s="18"/>
      <c r="Z426" s="18"/>
      <c r="AA426" s="18"/>
      <c r="AB426" s="18"/>
      <c r="AC426" s="18"/>
      <c r="AD426" s="18"/>
      <c r="AE426" s="22" t="n">
        <f aca="false">SUM(S426:AD426)</f>
        <v>1</v>
      </c>
      <c r="AF426" s="22"/>
      <c r="AG426" s="22"/>
      <c r="AH426" s="19" t="s">
        <v>50</v>
      </c>
      <c r="AI426" s="22"/>
      <c r="AJ426" s="22"/>
      <c r="AK426" s="22"/>
      <c r="AL426" s="22"/>
      <c r="AM426" s="22"/>
      <c r="AN426" s="22"/>
      <c r="AO426" s="22"/>
      <c r="AP426" s="22"/>
      <c r="AQ426" s="22"/>
      <c r="AR426" s="30" t="s">
        <v>49</v>
      </c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22" t="n">
        <f aca="false">SUM(AS426:BD426)</f>
        <v>0</v>
      </c>
      <c r="BF426" s="23"/>
      <c r="BG426" s="24"/>
      <c r="BH426" s="18"/>
      <c r="BI426" s="18"/>
      <c r="BJ426" s="18"/>
      <c r="BK426" s="25" t="n">
        <v>2</v>
      </c>
      <c r="BL426" s="18"/>
      <c r="BM426" s="18"/>
      <c r="BN426" s="18"/>
      <c r="BO426" s="18"/>
      <c r="BP426" s="18"/>
      <c r="BQ426" s="18"/>
      <c r="BR426" s="18"/>
      <c r="BS426" s="18"/>
      <c r="BT426" s="22" t="n">
        <f aca="false">SUM(BH426:BS426)</f>
        <v>2</v>
      </c>
      <c r="BU426" s="26" t="n">
        <v>45817.7388888889</v>
      </c>
      <c r="BV426" s="17"/>
      <c r="BW426" s="17" t="s">
        <v>44</v>
      </c>
      <c r="BX426" s="23" t="n">
        <f aca="false">IFERROR(R426/AE426,0)</f>
        <v>2177.3</v>
      </c>
      <c r="BY426" s="23" t="n">
        <f aca="false">IFERROR(R426/12,0)</f>
        <v>181.441666666667</v>
      </c>
      <c r="BZ426" s="18" t="n">
        <v>0</v>
      </c>
      <c r="CA426" s="22" t="str">
        <f aca="false">IF(AE426=0,"PROSPECT",IF(AE426=1,"NOVO",IF(AE426&lt;=3,"EM DESENV.",IF(AE426&lt;=6,"RECORRENTE","FIDELIZADO"))))</f>
        <v>NOVO</v>
      </c>
      <c r="CB426" s="22" t="n">
        <f aca="false">IF((P426+Q426)&gt;0,1,0)+IF((BR426+BS426)&gt;0,1,0)+IF(BE426&gt;0,1,0)</f>
        <v>0</v>
      </c>
    </row>
    <row r="427" customFormat="false" ht="15" hidden="false" customHeight="true" outlineLevel="0" collapsed="false">
      <c r="A427" s="16" t="s">
        <v>1172</v>
      </c>
      <c r="B427" s="17" t="s">
        <v>1173</v>
      </c>
      <c r="C427" s="18" t="s">
        <v>263</v>
      </c>
      <c r="D427" s="17" t="s">
        <v>1174</v>
      </c>
      <c r="E427" s="29" t="s">
        <v>365</v>
      </c>
      <c r="F427" s="20"/>
      <c r="G427" s="20"/>
      <c r="H427" s="27" t="n">
        <v>2713</v>
      </c>
      <c r="I427" s="27" t="n">
        <v>4506.85</v>
      </c>
      <c r="J427" s="20"/>
      <c r="K427" s="27" t="n">
        <v>3280.39</v>
      </c>
      <c r="L427" s="20"/>
      <c r="M427" s="20"/>
      <c r="N427" s="27" t="n">
        <v>2534.4</v>
      </c>
      <c r="O427" s="20"/>
      <c r="P427" s="20"/>
      <c r="Q427" s="20"/>
      <c r="R427" s="21" t="n">
        <f aca="false">SUM(F427:Q427)</f>
        <v>13034.64</v>
      </c>
      <c r="S427" s="18"/>
      <c r="T427" s="18"/>
      <c r="U427" s="28" t="n">
        <v>1</v>
      </c>
      <c r="V427" s="28" t="n">
        <v>1</v>
      </c>
      <c r="W427" s="18"/>
      <c r="X427" s="28" t="n">
        <v>1</v>
      </c>
      <c r="Y427" s="18"/>
      <c r="Z427" s="18"/>
      <c r="AA427" s="28" t="n">
        <v>1</v>
      </c>
      <c r="AB427" s="18"/>
      <c r="AC427" s="18"/>
      <c r="AD427" s="18"/>
      <c r="AE427" s="22" t="n">
        <f aca="false">SUM(S427:AD427)</f>
        <v>4</v>
      </c>
      <c r="AF427" s="22"/>
      <c r="AG427" s="22"/>
      <c r="AH427" s="19" t="s">
        <v>50</v>
      </c>
      <c r="AI427" s="19" t="s">
        <v>50</v>
      </c>
      <c r="AJ427" s="22"/>
      <c r="AK427" s="19" t="s">
        <v>50</v>
      </c>
      <c r="AL427" s="22"/>
      <c r="AM427" s="22"/>
      <c r="AN427" s="19" t="s">
        <v>50</v>
      </c>
      <c r="AO427" s="22"/>
      <c r="AP427" s="22"/>
      <c r="AQ427" s="22"/>
      <c r="AR427" s="19" t="s">
        <v>50</v>
      </c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22" t="n">
        <f aca="false">SUM(AS427:BD427)</f>
        <v>0</v>
      </c>
      <c r="BF427" s="23"/>
      <c r="BG427" s="24"/>
      <c r="BH427" s="18"/>
      <c r="BI427" s="18"/>
      <c r="BJ427" s="25" t="n">
        <v>1</v>
      </c>
      <c r="BK427" s="18"/>
      <c r="BL427" s="18"/>
      <c r="BM427" s="18"/>
      <c r="BN427" s="18"/>
      <c r="BO427" s="25" t="n">
        <v>1</v>
      </c>
      <c r="BP427" s="25" t="n">
        <v>1</v>
      </c>
      <c r="BQ427" s="25" t="n">
        <v>1</v>
      </c>
      <c r="BR427" s="25" t="n">
        <v>3</v>
      </c>
      <c r="BS427" s="25" t="n">
        <v>3</v>
      </c>
      <c r="BT427" s="22" t="n">
        <f aca="false">SUM(BH427:BS427)</f>
        <v>10</v>
      </c>
      <c r="BU427" s="26" t="n">
        <v>46056.7904976852</v>
      </c>
      <c r="BV427" s="17"/>
      <c r="BW427" s="17" t="s">
        <v>44</v>
      </c>
      <c r="BX427" s="23" t="n">
        <f aca="false">IFERROR(R427/AE427,0)</f>
        <v>3258.66</v>
      </c>
      <c r="BY427" s="23" t="n">
        <f aca="false">IFERROR(R427/12,0)</f>
        <v>1086.22</v>
      </c>
      <c r="BZ427" s="18" t="n">
        <v>61</v>
      </c>
      <c r="CA427" s="22" t="str">
        <f aca="false">IF(AE427=0,"PROSPECT",IF(AE427=1,"NOVO",IF(AE427&lt;=3,"EM DESENV.",IF(AE427&lt;=6,"RECORRENTE","FIDELIZADO"))))</f>
        <v>RECORRENTE</v>
      </c>
      <c r="CB427" s="22" t="n">
        <f aca="false">IF((P427+Q427)&gt;0,1,0)+IF((BR427+BS427)&gt;0,1,0)+IF(BE427&gt;0,1,0)</f>
        <v>1</v>
      </c>
    </row>
    <row r="428" customFormat="false" ht="15" hidden="false" customHeight="true" outlineLevel="0" collapsed="false">
      <c r="A428" s="16" t="s">
        <v>1175</v>
      </c>
      <c r="B428" s="17" t="s">
        <v>1176</v>
      </c>
      <c r="C428" s="18" t="s">
        <v>65</v>
      </c>
      <c r="D428" s="17" t="s">
        <v>1177</v>
      </c>
      <c r="E428" s="29" t="s">
        <v>365</v>
      </c>
      <c r="F428" s="20"/>
      <c r="G428" s="20"/>
      <c r="H428" s="20"/>
      <c r="I428" s="20"/>
      <c r="J428" s="20"/>
      <c r="K428" s="20"/>
      <c r="L428" s="20"/>
      <c r="M428" s="20"/>
      <c r="N428" s="20"/>
      <c r="O428" s="27" t="n">
        <v>1572.15</v>
      </c>
      <c r="P428" s="20"/>
      <c r="Q428" s="20"/>
      <c r="R428" s="21" t="n">
        <f aca="false">SUM(F428:Q428)</f>
        <v>1572.15</v>
      </c>
      <c r="S428" s="18"/>
      <c r="T428" s="18"/>
      <c r="U428" s="18"/>
      <c r="V428" s="18"/>
      <c r="W428" s="18"/>
      <c r="X428" s="18"/>
      <c r="Y428" s="18"/>
      <c r="Z428" s="18"/>
      <c r="AA428" s="18"/>
      <c r="AB428" s="28" t="n">
        <v>1</v>
      </c>
      <c r="AC428" s="18"/>
      <c r="AD428" s="18"/>
      <c r="AE428" s="22" t="n">
        <f aca="false">SUM(S428:AD428)</f>
        <v>1</v>
      </c>
      <c r="AF428" s="22"/>
      <c r="AG428" s="22"/>
      <c r="AH428" s="22"/>
      <c r="AI428" s="22"/>
      <c r="AJ428" s="22"/>
      <c r="AK428" s="22"/>
      <c r="AL428" s="22"/>
      <c r="AM428" s="22"/>
      <c r="AN428" s="22"/>
      <c r="AO428" s="19" t="s">
        <v>50</v>
      </c>
      <c r="AP428" s="22"/>
      <c r="AQ428" s="22"/>
      <c r="AR428" s="30" t="s">
        <v>49</v>
      </c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22" t="n">
        <f aca="false">SUM(AS428:BD428)</f>
        <v>0</v>
      </c>
      <c r="BF428" s="23"/>
      <c r="BG428" s="24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22" t="n">
        <f aca="false">SUM(BH428:BS428)</f>
        <v>0</v>
      </c>
      <c r="BU428" s="26"/>
      <c r="BV428" s="17"/>
      <c r="BW428" s="17"/>
      <c r="BX428" s="23" t="n">
        <f aca="false">IFERROR(R428/AE428,0)</f>
        <v>1572.15</v>
      </c>
      <c r="BY428" s="23" t="n">
        <f aca="false">IFERROR(R428/12,0)</f>
        <v>131.0125</v>
      </c>
      <c r="BZ428" s="18" t="n">
        <v>0</v>
      </c>
      <c r="CA428" s="22" t="str">
        <f aca="false">IF(AE428=0,"PROSPECT",IF(AE428=1,"NOVO",IF(AE428&lt;=3,"EM DESENV.",IF(AE428&lt;=6,"RECORRENTE","FIDELIZADO"))))</f>
        <v>NOVO</v>
      </c>
      <c r="CB428" s="22" t="n">
        <f aca="false">IF((P428+Q428)&gt;0,1,0)+IF((BR428+BS428)&gt;0,1,0)+IF(BE428&gt;0,1,0)</f>
        <v>0</v>
      </c>
    </row>
    <row r="429" customFormat="false" ht="15" hidden="false" customHeight="true" outlineLevel="0" collapsed="false">
      <c r="A429" s="16" t="s">
        <v>1178</v>
      </c>
      <c r="B429" s="17" t="s">
        <v>1179</v>
      </c>
      <c r="C429" s="18" t="s">
        <v>72</v>
      </c>
      <c r="D429" s="17" t="s">
        <v>1180</v>
      </c>
      <c r="E429" s="29" t="s">
        <v>365</v>
      </c>
      <c r="F429" s="20"/>
      <c r="G429" s="20"/>
      <c r="H429" s="20"/>
      <c r="I429" s="27" t="n">
        <v>702.86</v>
      </c>
      <c r="J429" s="20"/>
      <c r="K429" s="20"/>
      <c r="L429" s="20"/>
      <c r="M429" s="20"/>
      <c r="N429" s="20"/>
      <c r="O429" s="20"/>
      <c r="P429" s="20"/>
      <c r="Q429" s="20"/>
      <c r="R429" s="21" t="n">
        <f aca="false">SUM(F429:Q429)</f>
        <v>702.86</v>
      </c>
      <c r="S429" s="18"/>
      <c r="T429" s="18"/>
      <c r="U429" s="18"/>
      <c r="V429" s="28" t="n">
        <v>1</v>
      </c>
      <c r="W429" s="18"/>
      <c r="X429" s="18"/>
      <c r="Y429" s="18"/>
      <c r="Z429" s="18"/>
      <c r="AA429" s="18"/>
      <c r="AB429" s="18"/>
      <c r="AC429" s="18"/>
      <c r="AD429" s="18"/>
      <c r="AE429" s="22" t="n">
        <f aca="false">SUM(S429:AD429)</f>
        <v>1</v>
      </c>
      <c r="AF429" s="22"/>
      <c r="AG429" s="22"/>
      <c r="AH429" s="22"/>
      <c r="AI429" s="29" t="s">
        <v>48</v>
      </c>
      <c r="AJ429" s="22"/>
      <c r="AK429" s="22"/>
      <c r="AL429" s="22"/>
      <c r="AM429" s="22"/>
      <c r="AN429" s="22"/>
      <c r="AO429" s="22"/>
      <c r="AP429" s="22"/>
      <c r="AQ429" s="22"/>
      <c r="AR429" s="29" t="s">
        <v>48</v>
      </c>
      <c r="AS429" s="18"/>
      <c r="AT429" s="18"/>
      <c r="AU429" s="18"/>
      <c r="AV429" s="25" t="n">
        <v>3</v>
      </c>
      <c r="AW429" s="18"/>
      <c r="AX429" s="18"/>
      <c r="AY429" s="18"/>
      <c r="AZ429" s="18"/>
      <c r="BA429" s="18"/>
      <c r="BB429" s="18"/>
      <c r="BC429" s="18"/>
      <c r="BD429" s="18"/>
      <c r="BE429" s="22" t="n">
        <f aca="false">SUM(AS429:BD429)</f>
        <v>3</v>
      </c>
      <c r="BF429" s="23" t="n">
        <v>702.86</v>
      </c>
      <c r="BG429" s="19" t="s">
        <v>55</v>
      </c>
      <c r="BH429" s="18"/>
      <c r="BI429" s="18"/>
      <c r="BJ429" s="18"/>
      <c r="BK429" s="25" t="n">
        <v>1</v>
      </c>
      <c r="BL429" s="18"/>
      <c r="BM429" s="25" t="n">
        <v>1</v>
      </c>
      <c r="BN429" s="25" t="n">
        <v>1</v>
      </c>
      <c r="BO429" s="18"/>
      <c r="BP429" s="25" t="n">
        <v>1</v>
      </c>
      <c r="BQ429" s="18"/>
      <c r="BR429" s="18"/>
      <c r="BS429" s="18"/>
      <c r="BT429" s="22" t="n">
        <f aca="false">SUM(BH429:BS429)</f>
        <v>4</v>
      </c>
      <c r="BU429" s="26" t="n">
        <v>45987.6039814815</v>
      </c>
      <c r="BV429" s="17"/>
      <c r="BW429" s="17" t="s">
        <v>44</v>
      </c>
      <c r="BX429" s="23" t="n">
        <f aca="false">IFERROR(R429/AE429,0)</f>
        <v>702.86</v>
      </c>
      <c r="BY429" s="23" t="n">
        <f aca="false">IFERROR(R429/12,0)</f>
        <v>58.5716666666667</v>
      </c>
      <c r="BZ429" s="18" t="n">
        <v>0</v>
      </c>
      <c r="CA429" s="22" t="str">
        <f aca="false">IF(AE429=0,"PROSPECT",IF(AE429=1,"NOVO",IF(AE429&lt;=3,"EM DESENV.",IF(AE429&lt;=6,"RECORRENTE","FIDELIZADO"))))</f>
        <v>NOVO</v>
      </c>
      <c r="CB429" s="22" t="n">
        <f aca="false">IF((P429+Q429)&gt;0,1,0)+IF((BR429+BS429)&gt;0,1,0)+IF(BE429&gt;0,1,0)</f>
        <v>1</v>
      </c>
    </row>
    <row r="430" customFormat="false" ht="15" hidden="false" customHeight="true" outlineLevel="0" collapsed="false">
      <c r="A430" s="16" t="s">
        <v>1181</v>
      </c>
      <c r="B430" s="17" t="s">
        <v>1182</v>
      </c>
      <c r="C430" s="18" t="s">
        <v>53</v>
      </c>
      <c r="D430" s="17" t="s">
        <v>485</v>
      </c>
      <c r="E430" s="29" t="s">
        <v>365</v>
      </c>
      <c r="F430" s="20"/>
      <c r="G430" s="20"/>
      <c r="H430" s="20"/>
      <c r="I430" s="20"/>
      <c r="J430" s="20"/>
      <c r="K430" s="20"/>
      <c r="L430" s="20"/>
      <c r="M430" s="27" t="n">
        <v>697.31</v>
      </c>
      <c r="N430" s="20"/>
      <c r="O430" s="20"/>
      <c r="P430" s="20"/>
      <c r="Q430" s="20"/>
      <c r="R430" s="21" t="n">
        <f aca="false">SUM(F430:Q430)</f>
        <v>697.31</v>
      </c>
      <c r="S430" s="18"/>
      <c r="T430" s="18"/>
      <c r="U430" s="18"/>
      <c r="V430" s="18"/>
      <c r="W430" s="18"/>
      <c r="X430" s="18"/>
      <c r="Y430" s="18"/>
      <c r="Z430" s="28" t="n">
        <v>1</v>
      </c>
      <c r="AA430" s="18"/>
      <c r="AB430" s="18"/>
      <c r="AC430" s="18"/>
      <c r="AD430" s="18"/>
      <c r="AE430" s="22" t="n">
        <f aca="false">SUM(S430:AD430)</f>
        <v>1</v>
      </c>
      <c r="AF430" s="22"/>
      <c r="AG430" s="22"/>
      <c r="AH430" s="22"/>
      <c r="AI430" s="22"/>
      <c r="AJ430" s="22"/>
      <c r="AK430" s="22"/>
      <c r="AL430" s="22"/>
      <c r="AM430" s="29" t="s">
        <v>48</v>
      </c>
      <c r="AN430" s="22"/>
      <c r="AO430" s="22"/>
      <c r="AP430" s="22"/>
      <c r="AQ430" s="22"/>
      <c r="AR430" s="29" t="s">
        <v>48</v>
      </c>
      <c r="AS430" s="18"/>
      <c r="AT430" s="18"/>
      <c r="AU430" s="18"/>
      <c r="AV430" s="18"/>
      <c r="AW430" s="18"/>
      <c r="AX430" s="18"/>
      <c r="AY430" s="25" t="n">
        <v>2</v>
      </c>
      <c r="AZ430" s="18"/>
      <c r="BA430" s="18"/>
      <c r="BB430" s="18"/>
      <c r="BC430" s="18"/>
      <c r="BD430" s="18"/>
      <c r="BE430" s="22" t="n">
        <f aca="false">SUM(AS430:BD430)</f>
        <v>2</v>
      </c>
      <c r="BF430" s="23"/>
      <c r="BG430" s="31" t="s">
        <v>93</v>
      </c>
      <c r="BH430" s="18"/>
      <c r="BI430" s="18"/>
      <c r="BJ430" s="18"/>
      <c r="BK430" s="18"/>
      <c r="BL430" s="18"/>
      <c r="BM430" s="18"/>
      <c r="BN430" s="25" t="n">
        <v>1</v>
      </c>
      <c r="BO430" s="25" t="n">
        <v>1</v>
      </c>
      <c r="BP430" s="25" t="n">
        <v>1</v>
      </c>
      <c r="BQ430" s="18"/>
      <c r="BR430" s="25" t="n">
        <v>2</v>
      </c>
      <c r="BS430" s="18"/>
      <c r="BT430" s="22" t="n">
        <f aca="false">SUM(BH430:BS430)</f>
        <v>5</v>
      </c>
      <c r="BU430" s="26" t="n">
        <v>46029.4161805556</v>
      </c>
      <c r="BV430" s="17"/>
      <c r="BW430" s="17" t="s">
        <v>44</v>
      </c>
      <c r="BX430" s="23" t="n">
        <f aca="false">IFERROR(R430/AE430,0)</f>
        <v>697.31</v>
      </c>
      <c r="BY430" s="23" t="n">
        <f aca="false">IFERROR(R430/12,0)</f>
        <v>58.1091666666667</v>
      </c>
      <c r="BZ430" s="18" t="n">
        <v>0</v>
      </c>
      <c r="CA430" s="22" t="str">
        <f aca="false">IF(AE430=0,"PROSPECT",IF(AE430=1,"NOVO",IF(AE430&lt;=3,"EM DESENV.",IF(AE430&lt;=6,"RECORRENTE","FIDELIZADO"))))</f>
        <v>NOVO</v>
      </c>
      <c r="CB430" s="22" t="n">
        <f aca="false">IF((P430+Q430)&gt;0,1,0)+IF((BR430+BS430)&gt;0,1,0)+IF(BE430&gt;0,1,0)</f>
        <v>2</v>
      </c>
    </row>
    <row r="431" customFormat="false" ht="15" hidden="false" customHeight="true" outlineLevel="0" collapsed="false">
      <c r="A431" s="16" t="s">
        <v>1183</v>
      </c>
      <c r="B431" s="17" t="s">
        <v>1184</v>
      </c>
      <c r="C431" s="18" t="s">
        <v>53</v>
      </c>
      <c r="D431" s="17" t="s">
        <v>1185</v>
      </c>
      <c r="E431" s="29" t="s">
        <v>365</v>
      </c>
      <c r="F431" s="20"/>
      <c r="G431" s="20"/>
      <c r="H431" s="27" t="n">
        <v>3316.08</v>
      </c>
      <c r="I431" s="20"/>
      <c r="J431" s="20"/>
      <c r="K431" s="20"/>
      <c r="L431" s="20"/>
      <c r="M431" s="27" t="n">
        <v>1571</v>
      </c>
      <c r="N431" s="20"/>
      <c r="O431" s="20"/>
      <c r="P431" s="20"/>
      <c r="Q431" s="20"/>
      <c r="R431" s="21" t="n">
        <f aca="false">SUM(F431:Q431)</f>
        <v>4887.08</v>
      </c>
      <c r="S431" s="18"/>
      <c r="T431" s="18"/>
      <c r="U431" s="28" t="n">
        <v>1</v>
      </c>
      <c r="V431" s="18"/>
      <c r="W431" s="18"/>
      <c r="X431" s="18"/>
      <c r="Y431" s="18"/>
      <c r="Z431" s="28" t="n">
        <v>1</v>
      </c>
      <c r="AA431" s="18"/>
      <c r="AB431" s="18"/>
      <c r="AC431" s="18"/>
      <c r="AD431" s="18"/>
      <c r="AE431" s="22" t="n">
        <f aca="false">SUM(S431:AD431)</f>
        <v>2</v>
      </c>
      <c r="AF431" s="22"/>
      <c r="AG431" s="22"/>
      <c r="AH431" s="19" t="s">
        <v>50</v>
      </c>
      <c r="AI431" s="22"/>
      <c r="AJ431" s="22"/>
      <c r="AK431" s="22"/>
      <c r="AL431" s="22"/>
      <c r="AM431" s="19" t="s">
        <v>50</v>
      </c>
      <c r="AN431" s="22"/>
      <c r="AO431" s="22"/>
      <c r="AP431" s="22"/>
      <c r="AQ431" s="22"/>
      <c r="AR431" s="19" t="s">
        <v>50</v>
      </c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22" t="n">
        <f aca="false">SUM(AS431:BD431)</f>
        <v>0</v>
      </c>
      <c r="BF431" s="23"/>
      <c r="BG431" s="24"/>
      <c r="BH431" s="18"/>
      <c r="BI431" s="18"/>
      <c r="BJ431" s="18"/>
      <c r="BK431" s="18"/>
      <c r="BL431" s="18"/>
      <c r="BM431" s="18"/>
      <c r="BN431" s="25" t="n">
        <v>1</v>
      </c>
      <c r="BO431" s="18"/>
      <c r="BP431" s="18"/>
      <c r="BQ431" s="18"/>
      <c r="BR431" s="18"/>
      <c r="BS431" s="18"/>
      <c r="BT431" s="22" t="n">
        <f aca="false">SUM(BH431:BS431)</f>
        <v>1</v>
      </c>
      <c r="BU431" s="26" t="n">
        <v>45925.5777777778</v>
      </c>
      <c r="BV431" s="17"/>
      <c r="BW431" s="17" t="s">
        <v>111</v>
      </c>
      <c r="BX431" s="23" t="n">
        <f aca="false">IFERROR(R431/AE431,0)</f>
        <v>2443.54</v>
      </c>
      <c r="BY431" s="23" t="n">
        <f aca="false">IFERROR(R431/12,0)</f>
        <v>407.256666666667</v>
      </c>
      <c r="BZ431" s="18" t="n">
        <v>76.5</v>
      </c>
      <c r="CA431" s="22" t="str">
        <f aca="false">IF(AE431=0,"PROSPECT",IF(AE431=1,"NOVO",IF(AE431&lt;=3,"EM DESENV.",IF(AE431&lt;=6,"RECORRENTE","FIDELIZADO"))))</f>
        <v>EM DESENV.</v>
      </c>
      <c r="CB431" s="22" t="n">
        <f aca="false">IF((P431+Q431)&gt;0,1,0)+IF((BR431+BS431)&gt;0,1,0)+IF(BE431&gt;0,1,0)</f>
        <v>0</v>
      </c>
    </row>
    <row r="432" customFormat="false" ht="15" hidden="false" customHeight="true" outlineLevel="0" collapsed="false">
      <c r="A432" s="16" t="s">
        <v>1186</v>
      </c>
      <c r="B432" s="17" t="s">
        <v>1187</v>
      </c>
      <c r="C432" s="18" t="s">
        <v>79</v>
      </c>
      <c r="D432" s="17" t="s">
        <v>1188</v>
      </c>
      <c r="E432" s="29" t="s">
        <v>365</v>
      </c>
      <c r="F432" s="20"/>
      <c r="G432" s="27" t="n">
        <v>6366.31</v>
      </c>
      <c r="H432" s="20"/>
      <c r="I432" s="20"/>
      <c r="J432" s="27" t="n">
        <v>2308.56</v>
      </c>
      <c r="K432" s="27" t="n">
        <v>998.4</v>
      </c>
      <c r="L432" s="20"/>
      <c r="M432" s="20"/>
      <c r="N432" s="20"/>
      <c r="O432" s="20"/>
      <c r="P432" s="20"/>
      <c r="Q432" s="20"/>
      <c r="R432" s="21" t="n">
        <f aca="false">SUM(F432:Q432)</f>
        <v>9673.27</v>
      </c>
      <c r="S432" s="18"/>
      <c r="T432" s="28" t="n">
        <v>1</v>
      </c>
      <c r="U432" s="18"/>
      <c r="V432" s="18"/>
      <c r="W432" s="28" t="n">
        <v>1</v>
      </c>
      <c r="X432" s="28" t="n">
        <v>1</v>
      </c>
      <c r="Y432" s="18"/>
      <c r="Z432" s="18"/>
      <c r="AA432" s="18"/>
      <c r="AB432" s="18"/>
      <c r="AC432" s="18"/>
      <c r="AD432" s="18"/>
      <c r="AE432" s="22" t="n">
        <f aca="false">SUM(S432:AD432)</f>
        <v>3</v>
      </c>
      <c r="AF432" s="22"/>
      <c r="AG432" s="19" t="s">
        <v>50</v>
      </c>
      <c r="AH432" s="22"/>
      <c r="AI432" s="22"/>
      <c r="AJ432" s="19" t="s">
        <v>50</v>
      </c>
      <c r="AK432" s="30" t="s">
        <v>49</v>
      </c>
      <c r="AL432" s="22"/>
      <c r="AM432" s="22"/>
      <c r="AN432" s="22"/>
      <c r="AO432" s="22"/>
      <c r="AP432" s="22"/>
      <c r="AQ432" s="22"/>
      <c r="AR432" s="19" t="s">
        <v>50</v>
      </c>
      <c r="AS432" s="18"/>
      <c r="AT432" s="25" t="n">
        <v>2</v>
      </c>
      <c r="AU432" s="25" t="n">
        <v>2</v>
      </c>
      <c r="AV432" s="18"/>
      <c r="AW432" s="18"/>
      <c r="AX432" s="25" t="n">
        <v>3</v>
      </c>
      <c r="AY432" s="18"/>
      <c r="AZ432" s="18"/>
      <c r="BA432" s="18"/>
      <c r="BB432" s="18"/>
      <c r="BC432" s="18"/>
      <c r="BD432" s="18"/>
      <c r="BE432" s="22" t="n">
        <f aca="false">SUM(AS432:BD432)</f>
        <v>7</v>
      </c>
      <c r="BF432" s="23" t="n">
        <v>998.4</v>
      </c>
      <c r="BG432" s="19" t="s">
        <v>55</v>
      </c>
      <c r="BH432" s="25" t="n">
        <v>1</v>
      </c>
      <c r="BI432" s="25" t="n">
        <v>1</v>
      </c>
      <c r="BJ432" s="25" t="n">
        <v>2</v>
      </c>
      <c r="BK432" s="18"/>
      <c r="BL432" s="25" t="n">
        <v>3</v>
      </c>
      <c r="BM432" s="18"/>
      <c r="BN432" s="18"/>
      <c r="BO432" s="25" t="n">
        <v>3</v>
      </c>
      <c r="BP432" s="25" t="n">
        <v>1</v>
      </c>
      <c r="BQ432" s="18"/>
      <c r="BR432" s="25" t="n">
        <v>7</v>
      </c>
      <c r="BS432" s="18"/>
      <c r="BT432" s="22" t="n">
        <f aca="false">SUM(BH432:BS432)</f>
        <v>18</v>
      </c>
      <c r="BU432" s="26" t="n">
        <v>46049.4347222222</v>
      </c>
      <c r="BV432" s="17" t="s">
        <v>107</v>
      </c>
      <c r="BW432" s="17" t="s">
        <v>44</v>
      </c>
      <c r="BX432" s="23" t="n">
        <f aca="false">IFERROR(R432/AE432,0)</f>
        <v>3224.42333333333</v>
      </c>
      <c r="BY432" s="23" t="n">
        <f aca="false">IFERROR(R432/12,0)</f>
        <v>806.105833333333</v>
      </c>
      <c r="BZ432" s="18" t="n">
        <v>60.5</v>
      </c>
      <c r="CA432" s="22" t="str">
        <f aca="false">IF(AE432=0,"PROSPECT",IF(AE432=1,"NOVO",IF(AE432&lt;=3,"EM DESENV.",IF(AE432&lt;=6,"RECORRENTE","FIDELIZADO"))))</f>
        <v>EM DESENV.</v>
      </c>
      <c r="CB432" s="22" t="n">
        <f aca="false">IF((P432+Q432)&gt;0,1,0)+IF((BR432+BS432)&gt;0,1,0)+IF(BE432&gt;0,1,0)</f>
        <v>2</v>
      </c>
    </row>
    <row r="433" customFormat="false" ht="15" hidden="false" customHeight="true" outlineLevel="0" collapsed="false">
      <c r="A433" s="16" t="s">
        <v>1189</v>
      </c>
      <c r="B433" s="17" t="s">
        <v>1190</v>
      </c>
      <c r="C433" s="18" t="s">
        <v>53</v>
      </c>
      <c r="D433" s="17" t="s">
        <v>1191</v>
      </c>
      <c r="E433" s="29" t="s">
        <v>365</v>
      </c>
      <c r="F433" s="20"/>
      <c r="G433" s="20"/>
      <c r="H433" s="20"/>
      <c r="I433" s="20"/>
      <c r="J433" s="27" t="n">
        <v>4541.91</v>
      </c>
      <c r="K433" s="27" t="n">
        <v>5337.2</v>
      </c>
      <c r="L433" s="20"/>
      <c r="M433" s="27" t="n">
        <v>7124.37</v>
      </c>
      <c r="N433" s="20"/>
      <c r="O433" s="20"/>
      <c r="P433" s="20"/>
      <c r="Q433" s="20"/>
      <c r="R433" s="21" t="n">
        <f aca="false">SUM(F433:Q433)</f>
        <v>17003.48</v>
      </c>
      <c r="S433" s="18"/>
      <c r="T433" s="18"/>
      <c r="U433" s="18"/>
      <c r="V433" s="18"/>
      <c r="W433" s="28" t="n">
        <v>1</v>
      </c>
      <c r="X433" s="28" t="n">
        <v>1</v>
      </c>
      <c r="Y433" s="18"/>
      <c r="Z433" s="28" t="n">
        <v>1</v>
      </c>
      <c r="AA433" s="18"/>
      <c r="AB433" s="18"/>
      <c r="AC433" s="18"/>
      <c r="AD433" s="18"/>
      <c r="AE433" s="22" t="n">
        <f aca="false">SUM(S433:AD433)</f>
        <v>3</v>
      </c>
      <c r="AF433" s="22"/>
      <c r="AG433" s="22"/>
      <c r="AH433" s="22"/>
      <c r="AI433" s="22"/>
      <c r="AJ433" s="19" t="s">
        <v>50</v>
      </c>
      <c r="AK433" s="19" t="s">
        <v>50</v>
      </c>
      <c r="AL433" s="22"/>
      <c r="AM433" s="19" t="s">
        <v>50</v>
      </c>
      <c r="AN433" s="22"/>
      <c r="AO433" s="22"/>
      <c r="AP433" s="22"/>
      <c r="AQ433" s="22"/>
      <c r="AR433" s="19" t="s">
        <v>50</v>
      </c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22" t="n">
        <f aca="false">SUM(AS433:BD433)</f>
        <v>0</v>
      </c>
      <c r="BF433" s="23"/>
      <c r="BG433" s="24"/>
      <c r="BH433" s="18"/>
      <c r="BI433" s="18"/>
      <c r="BJ433" s="18"/>
      <c r="BK433" s="18"/>
      <c r="BL433" s="18"/>
      <c r="BM433" s="25" t="n">
        <v>1</v>
      </c>
      <c r="BN433" s="18"/>
      <c r="BO433" s="18"/>
      <c r="BP433" s="25" t="n">
        <v>2</v>
      </c>
      <c r="BQ433" s="18"/>
      <c r="BR433" s="25" t="n">
        <v>4</v>
      </c>
      <c r="BS433" s="18"/>
      <c r="BT433" s="22" t="n">
        <f aca="false">SUM(BH433:BS433)</f>
        <v>7</v>
      </c>
      <c r="BU433" s="26" t="n">
        <v>46036.3763888889</v>
      </c>
      <c r="BV433" s="17" t="s">
        <v>243</v>
      </c>
      <c r="BW433" s="17" t="s">
        <v>44</v>
      </c>
      <c r="BX433" s="23" t="n">
        <f aca="false">IFERROR(R433/AE433,0)</f>
        <v>5667.82666666667</v>
      </c>
      <c r="BY433" s="23" t="n">
        <f aca="false">IFERROR(R433/12,0)</f>
        <v>1416.95666666667</v>
      </c>
      <c r="BZ433" s="18" t="n">
        <v>49.5</v>
      </c>
      <c r="CA433" s="22" t="str">
        <f aca="false">IF(AE433=0,"PROSPECT",IF(AE433=1,"NOVO",IF(AE433&lt;=3,"EM DESENV.",IF(AE433&lt;=6,"RECORRENTE","FIDELIZADO"))))</f>
        <v>EM DESENV.</v>
      </c>
      <c r="CB433" s="22" t="n">
        <f aca="false">IF((P433+Q433)&gt;0,1,0)+IF((BR433+BS433)&gt;0,1,0)+IF(BE433&gt;0,1,0)</f>
        <v>1</v>
      </c>
    </row>
    <row r="434" customFormat="false" ht="15" hidden="false" customHeight="true" outlineLevel="0" collapsed="false">
      <c r="A434" s="16" t="s">
        <v>1192</v>
      </c>
      <c r="B434" s="17" t="s">
        <v>1193</v>
      </c>
      <c r="C434" s="18" t="s">
        <v>41</v>
      </c>
      <c r="D434" s="17" t="s">
        <v>42</v>
      </c>
      <c r="E434" s="29" t="s">
        <v>365</v>
      </c>
      <c r="F434" s="20"/>
      <c r="G434" s="20"/>
      <c r="H434" s="27" t="n">
        <v>2180.46</v>
      </c>
      <c r="I434" s="20"/>
      <c r="J434" s="20"/>
      <c r="K434" s="20"/>
      <c r="L434" s="20"/>
      <c r="M434" s="20"/>
      <c r="N434" s="20"/>
      <c r="O434" s="20"/>
      <c r="P434" s="20"/>
      <c r="Q434" s="20"/>
      <c r="R434" s="21" t="n">
        <f aca="false">SUM(F434:Q434)</f>
        <v>2180.46</v>
      </c>
      <c r="S434" s="18"/>
      <c r="T434" s="18"/>
      <c r="U434" s="28" t="n">
        <v>1</v>
      </c>
      <c r="V434" s="18"/>
      <c r="W434" s="18"/>
      <c r="X434" s="18"/>
      <c r="Y434" s="18"/>
      <c r="Z434" s="18"/>
      <c r="AA434" s="18"/>
      <c r="AB434" s="18"/>
      <c r="AC434" s="18"/>
      <c r="AD434" s="18"/>
      <c r="AE434" s="22" t="n">
        <f aca="false">SUM(S434:AD434)</f>
        <v>1</v>
      </c>
      <c r="AF434" s="22"/>
      <c r="AG434" s="22"/>
      <c r="AH434" s="19" t="s">
        <v>50</v>
      </c>
      <c r="AI434" s="22"/>
      <c r="AJ434" s="22"/>
      <c r="AK434" s="22"/>
      <c r="AL434" s="22"/>
      <c r="AM434" s="22"/>
      <c r="AN434" s="22"/>
      <c r="AO434" s="22"/>
      <c r="AP434" s="22"/>
      <c r="AQ434" s="22"/>
      <c r="AR434" s="30" t="s">
        <v>49</v>
      </c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22" t="n">
        <f aca="false">SUM(AS434:BD434)</f>
        <v>0</v>
      </c>
      <c r="BF434" s="23"/>
      <c r="BG434" s="24"/>
      <c r="BH434" s="18"/>
      <c r="BI434" s="25" t="n">
        <v>2</v>
      </c>
      <c r="BJ434" s="18"/>
      <c r="BK434" s="25" t="n">
        <v>1</v>
      </c>
      <c r="BL434" s="18"/>
      <c r="BM434" s="18"/>
      <c r="BN434" s="18"/>
      <c r="BO434" s="18"/>
      <c r="BP434" s="18"/>
      <c r="BQ434" s="18"/>
      <c r="BR434" s="18"/>
      <c r="BS434" s="18"/>
      <c r="BT434" s="22" t="n">
        <f aca="false">SUM(BH434:BS434)</f>
        <v>3</v>
      </c>
      <c r="BU434" s="26" t="n">
        <v>45813.6267708333</v>
      </c>
      <c r="BV434" s="17"/>
      <c r="BW434" s="17" t="s">
        <v>44</v>
      </c>
      <c r="BX434" s="23" t="n">
        <f aca="false">IFERROR(R434/AE434,0)</f>
        <v>2180.46</v>
      </c>
      <c r="BY434" s="23" t="n">
        <f aca="false">IFERROR(R434/12,0)</f>
        <v>181.705</v>
      </c>
      <c r="BZ434" s="18" t="n">
        <v>0</v>
      </c>
      <c r="CA434" s="22" t="str">
        <f aca="false">IF(AE434=0,"PROSPECT",IF(AE434=1,"NOVO",IF(AE434&lt;=3,"EM DESENV.",IF(AE434&lt;=6,"RECORRENTE","FIDELIZADO"))))</f>
        <v>NOVO</v>
      </c>
      <c r="CB434" s="22" t="n">
        <f aca="false">IF((P434+Q434)&gt;0,1,0)+IF((BR434+BS434)&gt;0,1,0)+IF(BE434&gt;0,1,0)</f>
        <v>0</v>
      </c>
    </row>
    <row r="435" customFormat="false" ht="15" hidden="false" customHeight="true" outlineLevel="0" collapsed="false">
      <c r="A435" s="16" t="s">
        <v>1194</v>
      </c>
      <c r="B435" s="17" t="s">
        <v>1195</v>
      </c>
      <c r="C435" s="18" t="s">
        <v>168</v>
      </c>
      <c r="D435" s="17" t="s">
        <v>909</v>
      </c>
      <c r="E435" s="29" t="s">
        <v>365</v>
      </c>
      <c r="F435" s="20"/>
      <c r="G435" s="20"/>
      <c r="H435" s="20"/>
      <c r="I435" s="20"/>
      <c r="J435" s="20"/>
      <c r="K435" s="20"/>
      <c r="L435" s="20"/>
      <c r="M435" s="20"/>
      <c r="N435" s="27" t="n">
        <v>3305.18</v>
      </c>
      <c r="O435" s="20"/>
      <c r="P435" s="20"/>
      <c r="Q435" s="20"/>
      <c r="R435" s="21" t="n">
        <f aca="false">SUM(F435:Q435)</f>
        <v>3305.18</v>
      </c>
      <c r="S435" s="18"/>
      <c r="T435" s="18"/>
      <c r="U435" s="18"/>
      <c r="V435" s="18"/>
      <c r="W435" s="18"/>
      <c r="X435" s="18"/>
      <c r="Y435" s="18"/>
      <c r="Z435" s="18"/>
      <c r="AA435" s="28" t="n">
        <v>1</v>
      </c>
      <c r="AB435" s="18"/>
      <c r="AC435" s="18"/>
      <c r="AD435" s="18"/>
      <c r="AE435" s="22" t="n">
        <f aca="false">SUM(S435:AD435)</f>
        <v>1</v>
      </c>
      <c r="AF435" s="22"/>
      <c r="AG435" s="22"/>
      <c r="AH435" s="22"/>
      <c r="AI435" s="22"/>
      <c r="AJ435" s="22"/>
      <c r="AK435" s="22"/>
      <c r="AL435" s="22"/>
      <c r="AM435" s="22"/>
      <c r="AN435" s="19" t="s">
        <v>50</v>
      </c>
      <c r="AO435" s="22"/>
      <c r="AP435" s="22"/>
      <c r="AQ435" s="22"/>
      <c r="AR435" s="19" t="s">
        <v>50</v>
      </c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22" t="n">
        <f aca="false">SUM(AS435:BD435)</f>
        <v>0</v>
      </c>
      <c r="BF435" s="23"/>
      <c r="BG435" s="24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22" t="n">
        <f aca="false">SUM(BH435:BS435)</f>
        <v>0</v>
      </c>
      <c r="BU435" s="26"/>
      <c r="BV435" s="17"/>
      <c r="BW435" s="17"/>
      <c r="BX435" s="23" t="n">
        <f aca="false">IFERROR(R435/AE435,0)</f>
        <v>3305.18</v>
      </c>
      <c r="BY435" s="23" t="n">
        <f aca="false">IFERROR(R435/12,0)</f>
        <v>275.431666666667</v>
      </c>
      <c r="BZ435" s="18" t="n">
        <v>0</v>
      </c>
      <c r="CA435" s="22" t="str">
        <f aca="false">IF(AE435=0,"PROSPECT",IF(AE435=1,"NOVO",IF(AE435&lt;=3,"EM DESENV.",IF(AE435&lt;=6,"RECORRENTE","FIDELIZADO"))))</f>
        <v>NOVO</v>
      </c>
      <c r="CB435" s="22" t="n">
        <f aca="false">IF((P435+Q435)&gt;0,1,0)+IF((BR435+BS435)&gt;0,1,0)+IF(BE435&gt;0,1,0)</f>
        <v>0</v>
      </c>
    </row>
    <row r="436" customFormat="false" ht="15" hidden="false" customHeight="true" outlineLevel="0" collapsed="false">
      <c r="A436" s="16" t="s">
        <v>1196</v>
      </c>
      <c r="B436" s="17" t="s">
        <v>1197</v>
      </c>
      <c r="C436" s="18" t="s">
        <v>41</v>
      </c>
      <c r="D436" s="17" t="s">
        <v>525</v>
      </c>
      <c r="E436" s="29" t="s">
        <v>365</v>
      </c>
      <c r="F436" s="20"/>
      <c r="G436" s="20"/>
      <c r="H436" s="20"/>
      <c r="I436" s="27" t="n">
        <v>27788.43</v>
      </c>
      <c r="J436" s="20"/>
      <c r="K436" s="20"/>
      <c r="L436" s="20"/>
      <c r="M436" s="20"/>
      <c r="N436" s="20"/>
      <c r="O436" s="20"/>
      <c r="P436" s="20"/>
      <c r="Q436" s="20"/>
      <c r="R436" s="21" t="n">
        <f aca="false">SUM(F436:Q436)</f>
        <v>27788.43</v>
      </c>
      <c r="S436" s="18"/>
      <c r="T436" s="18"/>
      <c r="U436" s="18"/>
      <c r="V436" s="28" t="n">
        <v>1</v>
      </c>
      <c r="W436" s="18"/>
      <c r="X436" s="18"/>
      <c r="Y436" s="18"/>
      <c r="Z436" s="18"/>
      <c r="AA436" s="18"/>
      <c r="AB436" s="18"/>
      <c r="AC436" s="18"/>
      <c r="AD436" s="18"/>
      <c r="AE436" s="22" t="n">
        <f aca="false">SUM(S436:AD436)</f>
        <v>1</v>
      </c>
      <c r="AF436" s="22"/>
      <c r="AG436" s="22"/>
      <c r="AH436" s="22"/>
      <c r="AI436" s="19" t="s">
        <v>50</v>
      </c>
      <c r="AJ436" s="22"/>
      <c r="AK436" s="22"/>
      <c r="AL436" s="22"/>
      <c r="AM436" s="22"/>
      <c r="AN436" s="22"/>
      <c r="AO436" s="22"/>
      <c r="AP436" s="22"/>
      <c r="AQ436" s="22"/>
      <c r="AR436" s="19" t="s">
        <v>50</v>
      </c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22" t="n">
        <f aca="false">SUM(AS436:BD436)</f>
        <v>0</v>
      </c>
      <c r="BF436" s="23"/>
      <c r="BG436" s="24"/>
      <c r="BH436" s="18"/>
      <c r="BI436" s="18"/>
      <c r="BJ436" s="18"/>
      <c r="BK436" s="25" t="n">
        <v>1</v>
      </c>
      <c r="BL436" s="25" t="n">
        <v>1</v>
      </c>
      <c r="BM436" s="18"/>
      <c r="BN436" s="18"/>
      <c r="BO436" s="18"/>
      <c r="BP436" s="18"/>
      <c r="BQ436" s="18"/>
      <c r="BR436" s="18"/>
      <c r="BS436" s="18"/>
      <c r="BT436" s="22" t="n">
        <f aca="false">SUM(BH436:BS436)</f>
        <v>2</v>
      </c>
      <c r="BU436" s="26" t="n">
        <v>45859.5015277778</v>
      </c>
      <c r="BV436" s="17"/>
      <c r="BW436" s="17" t="s">
        <v>44</v>
      </c>
      <c r="BX436" s="23" t="n">
        <f aca="false">IFERROR(R436/AE436,0)</f>
        <v>27788.43</v>
      </c>
      <c r="BY436" s="23" t="n">
        <f aca="false">IFERROR(R436/12,0)</f>
        <v>2315.7025</v>
      </c>
      <c r="BZ436" s="18" t="n">
        <v>0</v>
      </c>
      <c r="CA436" s="22" t="str">
        <f aca="false">IF(AE436=0,"PROSPECT",IF(AE436=1,"NOVO",IF(AE436&lt;=3,"EM DESENV.",IF(AE436&lt;=6,"RECORRENTE","FIDELIZADO"))))</f>
        <v>NOVO</v>
      </c>
      <c r="CB436" s="22" t="n">
        <f aca="false">IF((P436+Q436)&gt;0,1,0)+IF((BR436+BS436)&gt;0,1,0)+IF(BE436&gt;0,1,0)</f>
        <v>0</v>
      </c>
    </row>
    <row r="437" customFormat="false" ht="15" hidden="false" customHeight="true" outlineLevel="0" collapsed="false">
      <c r="A437" s="16" t="s">
        <v>1198</v>
      </c>
      <c r="B437" s="17" t="s">
        <v>1199</v>
      </c>
      <c r="C437" s="18" t="s">
        <v>83</v>
      </c>
      <c r="D437" s="17" t="s">
        <v>275</v>
      </c>
      <c r="E437" s="29" t="s">
        <v>365</v>
      </c>
      <c r="F437" s="20"/>
      <c r="G437" s="27" t="n">
        <v>6846</v>
      </c>
      <c r="H437" s="27" t="n">
        <v>3780</v>
      </c>
      <c r="I437" s="20"/>
      <c r="J437" s="27" t="n">
        <v>7118.85</v>
      </c>
      <c r="K437" s="20"/>
      <c r="L437" s="27" t="n">
        <v>5970</v>
      </c>
      <c r="M437" s="20"/>
      <c r="N437" s="27" t="n">
        <v>2620.8</v>
      </c>
      <c r="O437" s="20"/>
      <c r="P437" s="20"/>
      <c r="Q437" s="20"/>
      <c r="R437" s="21" t="n">
        <f aca="false">SUM(F437:Q437)</f>
        <v>26335.65</v>
      </c>
      <c r="S437" s="18"/>
      <c r="T437" s="28" t="n">
        <v>1</v>
      </c>
      <c r="U437" s="28" t="n">
        <v>1</v>
      </c>
      <c r="V437" s="18"/>
      <c r="W437" s="28" t="n">
        <v>1</v>
      </c>
      <c r="X437" s="18"/>
      <c r="Y437" s="28" t="n">
        <v>1</v>
      </c>
      <c r="Z437" s="18"/>
      <c r="AA437" s="28" t="n">
        <v>1</v>
      </c>
      <c r="AB437" s="18"/>
      <c r="AC437" s="18"/>
      <c r="AD437" s="18"/>
      <c r="AE437" s="22" t="n">
        <f aca="false">SUM(S437:AD437)</f>
        <v>5</v>
      </c>
      <c r="AF437" s="22"/>
      <c r="AG437" s="19" t="s">
        <v>50</v>
      </c>
      <c r="AH437" s="19" t="s">
        <v>50</v>
      </c>
      <c r="AI437" s="22"/>
      <c r="AJ437" s="19" t="s">
        <v>50</v>
      </c>
      <c r="AK437" s="22"/>
      <c r="AL437" s="19" t="s">
        <v>50</v>
      </c>
      <c r="AM437" s="22"/>
      <c r="AN437" s="19" t="s">
        <v>50</v>
      </c>
      <c r="AO437" s="22"/>
      <c r="AP437" s="22"/>
      <c r="AQ437" s="22"/>
      <c r="AR437" s="19" t="s">
        <v>50</v>
      </c>
      <c r="AS437" s="18"/>
      <c r="AT437" s="25" t="n">
        <v>3</v>
      </c>
      <c r="AU437" s="25" t="n">
        <v>3</v>
      </c>
      <c r="AV437" s="25" t="n">
        <v>2</v>
      </c>
      <c r="AW437" s="25" t="n">
        <v>6</v>
      </c>
      <c r="AX437" s="18"/>
      <c r="AY437" s="25" t="n">
        <v>3</v>
      </c>
      <c r="AZ437" s="18"/>
      <c r="BA437" s="25" t="n">
        <v>3</v>
      </c>
      <c r="BB437" s="25" t="n">
        <v>1</v>
      </c>
      <c r="BC437" s="18"/>
      <c r="BD437" s="18"/>
      <c r="BE437" s="22" t="n">
        <f aca="false">SUM(AS437:BD437)</f>
        <v>21</v>
      </c>
      <c r="BF437" s="23" t="n">
        <v>26062.8</v>
      </c>
      <c r="BG437" s="19" t="s">
        <v>55</v>
      </c>
      <c r="BH437" s="18"/>
      <c r="BI437" s="18"/>
      <c r="BJ437" s="18"/>
      <c r="BK437" s="18"/>
      <c r="BL437" s="25" t="n">
        <v>1</v>
      </c>
      <c r="BM437" s="18"/>
      <c r="BN437" s="18"/>
      <c r="BO437" s="25" t="n">
        <v>1</v>
      </c>
      <c r="BP437" s="18"/>
      <c r="BQ437" s="25" t="n">
        <v>1</v>
      </c>
      <c r="BR437" s="18"/>
      <c r="BS437" s="25" t="n">
        <v>2</v>
      </c>
      <c r="BT437" s="22" t="n">
        <f aca="false">SUM(BH437:BS437)</f>
        <v>5</v>
      </c>
      <c r="BU437" s="26" t="n">
        <v>46058.68125</v>
      </c>
      <c r="BV437" s="17" t="s">
        <v>124</v>
      </c>
      <c r="BW437" s="17" t="s">
        <v>44</v>
      </c>
      <c r="BX437" s="23" t="n">
        <f aca="false">IFERROR(R437/AE437,0)</f>
        <v>5267.13</v>
      </c>
      <c r="BY437" s="23" t="n">
        <f aca="false">IFERROR(R437/12,0)</f>
        <v>2194.6375</v>
      </c>
      <c r="BZ437" s="18" t="n">
        <v>33.3333</v>
      </c>
      <c r="CA437" s="22" t="str">
        <f aca="false">IF(AE437=0,"PROSPECT",IF(AE437=1,"NOVO",IF(AE437&lt;=3,"EM DESENV.",IF(AE437&lt;=6,"RECORRENTE","FIDELIZADO"))))</f>
        <v>RECORRENTE</v>
      </c>
      <c r="CB437" s="22" t="n">
        <f aca="false">IF((P437+Q437)&gt;0,1,0)+IF((BR437+BS437)&gt;0,1,0)+IF(BE437&gt;0,1,0)</f>
        <v>2</v>
      </c>
    </row>
    <row r="438" customFormat="false" ht="15" hidden="false" customHeight="true" outlineLevel="0" collapsed="false">
      <c r="A438" s="16" t="s">
        <v>1200</v>
      </c>
      <c r="B438" s="17" t="s">
        <v>1201</v>
      </c>
      <c r="C438" s="18" t="s">
        <v>72</v>
      </c>
      <c r="D438" s="17" t="s">
        <v>73</v>
      </c>
      <c r="E438" s="29" t="s">
        <v>365</v>
      </c>
      <c r="F438" s="20"/>
      <c r="G438" s="20"/>
      <c r="H438" s="27" t="n">
        <v>715.15</v>
      </c>
      <c r="I438" s="20"/>
      <c r="J438" s="20"/>
      <c r="K438" s="27" t="n">
        <v>675.58</v>
      </c>
      <c r="L438" s="20"/>
      <c r="M438" s="20"/>
      <c r="N438" s="20"/>
      <c r="O438" s="20"/>
      <c r="P438" s="20"/>
      <c r="Q438" s="20"/>
      <c r="R438" s="21" t="n">
        <f aca="false">SUM(F438:Q438)</f>
        <v>1390.73</v>
      </c>
      <c r="S438" s="18"/>
      <c r="T438" s="18"/>
      <c r="U438" s="28" t="n">
        <v>1</v>
      </c>
      <c r="V438" s="18"/>
      <c r="W438" s="18"/>
      <c r="X438" s="28" t="n">
        <v>1</v>
      </c>
      <c r="Y438" s="18"/>
      <c r="Z438" s="18"/>
      <c r="AA438" s="18"/>
      <c r="AB438" s="18"/>
      <c r="AC438" s="18"/>
      <c r="AD438" s="18"/>
      <c r="AE438" s="22" t="n">
        <f aca="false">SUM(S438:AD438)</f>
        <v>2</v>
      </c>
      <c r="AF438" s="22"/>
      <c r="AG438" s="22"/>
      <c r="AH438" s="30" t="s">
        <v>49</v>
      </c>
      <c r="AI438" s="22"/>
      <c r="AJ438" s="22"/>
      <c r="AK438" s="29" t="s">
        <v>48</v>
      </c>
      <c r="AL438" s="22"/>
      <c r="AM438" s="22"/>
      <c r="AN438" s="22"/>
      <c r="AO438" s="22"/>
      <c r="AP438" s="22"/>
      <c r="AQ438" s="22"/>
      <c r="AR438" s="30" t="s">
        <v>49</v>
      </c>
      <c r="AS438" s="18"/>
      <c r="AT438" s="18"/>
      <c r="AU438" s="18"/>
      <c r="AV438" s="18"/>
      <c r="AW438" s="25" t="n">
        <v>1</v>
      </c>
      <c r="AX438" s="18"/>
      <c r="AY438" s="18"/>
      <c r="AZ438" s="18"/>
      <c r="BA438" s="18"/>
      <c r="BB438" s="18"/>
      <c r="BC438" s="18"/>
      <c r="BD438" s="18"/>
      <c r="BE438" s="22" t="n">
        <f aca="false">SUM(AS438:BD438)</f>
        <v>1</v>
      </c>
      <c r="BF438" s="23" t="n">
        <v>715.15</v>
      </c>
      <c r="BG438" s="19" t="s">
        <v>55</v>
      </c>
      <c r="BH438" s="25" t="n">
        <v>1</v>
      </c>
      <c r="BI438" s="18"/>
      <c r="BJ438" s="25" t="n">
        <v>5</v>
      </c>
      <c r="BK438" s="18"/>
      <c r="BL438" s="25" t="n">
        <v>2</v>
      </c>
      <c r="BM438" s="18"/>
      <c r="BN438" s="25" t="n">
        <v>1</v>
      </c>
      <c r="BO438" s="18"/>
      <c r="BP438" s="25" t="n">
        <v>1</v>
      </c>
      <c r="BQ438" s="18"/>
      <c r="BR438" s="25" t="n">
        <v>1</v>
      </c>
      <c r="BS438" s="25" t="n">
        <v>2</v>
      </c>
      <c r="BT438" s="22" t="n">
        <f aca="false">SUM(BH438:BS438)</f>
        <v>13</v>
      </c>
      <c r="BU438" s="26" t="n">
        <v>46058.4826388889</v>
      </c>
      <c r="BV438" s="17"/>
      <c r="BW438" s="17" t="s">
        <v>44</v>
      </c>
      <c r="BX438" s="23" t="n">
        <f aca="false">IFERROR(R438/AE438,0)</f>
        <v>695.365</v>
      </c>
      <c r="BY438" s="23" t="n">
        <f aca="false">IFERROR(R438/12,0)</f>
        <v>115.894166666667</v>
      </c>
      <c r="BZ438" s="18" t="n">
        <v>97</v>
      </c>
      <c r="CA438" s="22" t="str">
        <f aca="false">IF(AE438=0,"PROSPECT",IF(AE438=1,"NOVO",IF(AE438&lt;=3,"EM DESENV.",IF(AE438&lt;=6,"RECORRENTE","FIDELIZADO"))))</f>
        <v>EM DESENV.</v>
      </c>
      <c r="CB438" s="22" t="n">
        <f aca="false">IF((P438+Q438)&gt;0,1,0)+IF((BR438+BS438)&gt;0,1,0)+IF(BE438&gt;0,1,0)</f>
        <v>2</v>
      </c>
    </row>
    <row r="439" customFormat="false" ht="15" hidden="false" customHeight="true" outlineLevel="0" collapsed="false">
      <c r="A439" s="16" t="s">
        <v>1202</v>
      </c>
      <c r="B439" s="17" t="s">
        <v>1203</v>
      </c>
      <c r="C439" s="18" t="s">
        <v>168</v>
      </c>
      <c r="D439" s="17" t="s">
        <v>482</v>
      </c>
      <c r="E439" s="29" t="s">
        <v>365</v>
      </c>
      <c r="F439" s="20"/>
      <c r="G439" s="20"/>
      <c r="H439" s="20"/>
      <c r="I439" s="20"/>
      <c r="J439" s="20"/>
      <c r="K439" s="27" t="n">
        <v>6768.79</v>
      </c>
      <c r="L439" s="20"/>
      <c r="M439" s="20"/>
      <c r="N439" s="27" t="n">
        <v>6041.2</v>
      </c>
      <c r="O439" s="20"/>
      <c r="P439" s="20"/>
      <c r="Q439" s="20"/>
      <c r="R439" s="21" t="n">
        <f aca="false">SUM(F439:Q439)</f>
        <v>12809.99</v>
      </c>
      <c r="S439" s="18"/>
      <c r="T439" s="18"/>
      <c r="U439" s="18"/>
      <c r="V439" s="18"/>
      <c r="W439" s="18"/>
      <c r="X439" s="28" t="n">
        <v>1</v>
      </c>
      <c r="Y439" s="18"/>
      <c r="Z439" s="18"/>
      <c r="AA439" s="28" t="n">
        <v>1</v>
      </c>
      <c r="AB439" s="18"/>
      <c r="AC439" s="18"/>
      <c r="AD439" s="18"/>
      <c r="AE439" s="22" t="n">
        <f aca="false">SUM(S439:AD439)</f>
        <v>2</v>
      </c>
      <c r="AF439" s="22"/>
      <c r="AG439" s="22"/>
      <c r="AH439" s="22"/>
      <c r="AI439" s="22"/>
      <c r="AJ439" s="22"/>
      <c r="AK439" s="19" t="s">
        <v>50</v>
      </c>
      <c r="AL439" s="22"/>
      <c r="AM439" s="22"/>
      <c r="AN439" s="19" t="s">
        <v>50</v>
      </c>
      <c r="AO439" s="22"/>
      <c r="AP439" s="22"/>
      <c r="AQ439" s="22"/>
      <c r="AR439" s="19" t="s">
        <v>50</v>
      </c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22" t="n">
        <f aca="false">SUM(AS439:BD439)</f>
        <v>0</v>
      </c>
      <c r="BF439" s="23"/>
      <c r="BG439" s="24"/>
      <c r="BH439" s="18"/>
      <c r="BI439" s="18"/>
      <c r="BJ439" s="18"/>
      <c r="BK439" s="25" t="n">
        <v>2</v>
      </c>
      <c r="BL439" s="18"/>
      <c r="BM439" s="25" t="n">
        <v>1</v>
      </c>
      <c r="BN439" s="18"/>
      <c r="BO439" s="25" t="n">
        <v>2</v>
      </c>
      <c r="BP439" s="25" t="n">
        <v>2</v>
      </c>
      <c r="BQ439" s="25" t="n">
        <v>1</v>
      </c>
      <c r="BR439" s="25" t="n">
        <v>1</v>
      </c>
      <c r="BS439" s="25" t="n">
        <v>7</v>
      </c>
      <c r="BT439" s="22" t="n">
        <f aca="false">SUM(BH439:BS439)</f>
        <v>16</v>
      </c>
      <c r="BU439" s="26" t="n">
        <v>46058.6708333333</v>
      </c>
      <c r="BV439" s="17" t="s">
        <v>124</v>
      </c>
      <c r="BW439" s="17" t="s">
        <v>44</v>
      </c>
      <c r="BX439" s="23" t="n">
        <f aca="false">IFERROR(R439/AE439,0)</f>
        <v>6404.995</v>
      </c>
      <c r="BY439" s="23" t="n">
        <f aca="false">IFERROR(R439/12,0)</f>
        <v>1067.49916666667</v>
      </c>
      <c r="BZ439" s="18" t="n">
        <v>91</v>
      </c>
      <c r="CA439" s="22" t="str">
        <f aca="false">IF(AE439=0,"PROSPECT",IF(AE439=1,"NOVO",IF(AE439&lt;=3,"EM DESENV.",IF(AE439&lt;=6,"RECORRENTE","FIDELIZADO"))))</f>
        <v>EM DESENV.</v>
      </c>
      <c r="CB439" s="22" t="n">
        <f aca="false">IF((P439+Q439)&gt;0,1,0)+IF((BR439+BS439)&gt;0,1,0)+IF(BE439&gt;0,1,0)</f>
        <v>1</v>
      </c>
    </row>
    <row r="440" customFormat="false" ht="15" hidden="false" customHeight="true" outlineLevel="0" collapsed="false">
      <c r="A440" s="16" t="s">
        <v>1204</v>
      </c>
      <c r="B440" s="17" t="s">
        <v>1205</v>
      </c>
      <c r="C440" s="18" t="s">
        <v>41</v>
      </c>
      <c r="D440" s="17" t="s">
        <v>42</v>
      </c>
      <c r="E440" s="29" t="s">
        <v>365</v>
      </c>
      <c r="F440" s="20"/>
      <c r="G440" s="20"/>
      <c r="H440" s="20"/>
      <c r="I440" s="27" t="n">
        <v>699.03</v>
      </c>
      <c r="J440" s="20"/>
      <c r="K440" s="20"/>
      <c r="L440" s="20"/>
      <c r="M440" s="20"/>
      <c r="N440" s="20"/>
      <c r="O440" s="20"/>
      <c r="P440" s="20"/>
      <c r="Q440" s="20"/>
      <c r="R440" s="21" t="n">
        <f aca="false">SUM(F440:Q440)</f>
        <v>699.03</v>
      </c>
      <c r="S440" s="18"/>
      <c r="T440" s="18"/>
      <c r="U440" s="18"/>
      <c r="V440" s="28" t="n">
        <v>1</v>
      </c>
      <c r="W440" s="18"/>
      <c r="X440" s="18"/>
      <c r="Y440" s="18"/>
      <c r="Z440" s="18"/>
      <c r="AA440" s="18"/>
      <c r="AB440" s="18"/>
      <c r="AC440" s="18"/>
      <c r="AD440" s="18"/>
      <c r="AE440" s="22" t="n">
        <f aca="false">SUM(S440:AD440)</f>
        <v>1</v>
      </c>
      <c r="AF440" s="22"/>
      <c r="AG440" s="22"/>
      <c r="AH440" s="22"/>
      <c r="AI440" s="29" t="s">
        <v>48</v>
      </c>
      <c r="AJ440" s="22"/>
      <c r="AK440" s="22"/>
      <c r="AL440" s="22"/>
      <c r="AM440" s="22"/>
      <c r="AN440" s="22"/>
      <c r="AO440" s="22"/>
      <c r="AP440" s="22"/>
      <c r="AQ440" s="22"/>
      <c r="AR440" s="29" t="s">
        <v>48</v>
      </c>
      <c r="AS440" s="18"/>
      <c r="AT440" s="18"/>
      <c r="AU440" s="18"/>
      <c r="AV440" s="25" t="n">
        <v>11</v>
      </c>
      <c r="AW440" s="18"/>
      <c r="AX440" s="18"/>
      <c r="AY440" s="18"/>
      <c r="AZ440" s="18"/>
      <c r="BA440" s="18"/>
      <c r="BB440" s="18"/>
      <c r="BC440" s="18"/>
      <c r="BD440" s="18"/>
      <c r="BE440" s="22" t="n">
        <f aca="false">SUM(AS440:BD440)</f>
        <v>11</v>
      </c>
      <c r="BF440" s="23"/>
      <c r="BG440" s="31" t="s">
        <v>93</v>
      </c>
      <c r="BH440" s="18"/>
      <c r="BI440" s="18"/>
      <c r="BJ440" s="25" t="n">
        <v>1</v>
      </c>
      <c r="BK440" s="25" t="n">
        <v>2</v>
      </c>
      <c r="BL440" s="18"/>
      <c r="BM440" s="18"/>
      <c r="BN440" s="18"/>
      <c r="BO440" s="18"/>
      <c r="BP440" s="18"/>
      <c r="BQ440" s="18"/>
      <c r="BR440" s="18"/>
      <c r="BS440" s="18"/>
      <c r="BT440" s="22" t="n">
        <f aca="false">SUM(BH440:BS440)</f>
        <v>3</v>
      </c>
      <c r="BU440" s="26" t="n">
        <v>45824.6854166667</v>
      </c>
      <c r="BV440" s="17"/>
      <c r="BW440" s="17" t="s">
        <v>111</v>
      </c>
      <c r="BX440" s="23" t="n">
        <f aca="false">IFERROR(R440/AE440,0)</f>
        <v>699.03</v>
      </c>
      <c r="BY440" s="23" t="n">
        <f aca="false">IFERROR(R440/12,0)</f>
        <v>58.2525</v>
      </c>
      <c r="BZ440" s="18" t="n">
        <v>0</v>
      </c>
      <c r="CA440" s="22" t="str">
        <f aca="false">IF(AE440=0,"PROSPECT",IF(AE440=1,"NOVO",IF(AE440&lt;=3,"EM DESENV.",IF(AE440&lt;=6,"RECORRENTE","FIDELIZADO"))))</f>
        <v>NOVO</v>
      </c>
      <c r="CB440" s="22" t="n">
        <f aca="false">IF((P440+Q440)&gt;0,1,0)+IF((BR440+BS440)&gt;0,1,0)+IF(BE440&gt;0,1,0)</f>
        <v>1</v>
      </c>
    </row>
    <row r="441" customFormat="false" ht="15" hidden="false" customHeight="true" outlineLevel="0" collapsed="false">
      <c r="A441" s="16" t="s">
        <v>1206</v>
      </c>
      <c r="B441" s="17" t="s">
        <v>1207</v>
      </c>
      <c r="C441" s="18" t="s">
        <v>65</v>
      </c>
      <c r="D441" s="17" t="s">
        <v>1208</v>
      </c>
      <c r="E441" s="29" t="s">
        <v>365</v>
      </c>
      <c r="F441" s="27" t="n">
        <v>1108.25</v>
      </c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1" t="n">
        <f aca="false">SUM(F441:Q441)</f>
        <v>1108.25</v>
      </c>
      <c r="S441" s="28" t="n">
        <v>1</v>
      </c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22" t="n">
        <f aca="false">SUM(S441:AD441)</f>
        <v>1</v>
      </c>
      <c r="AF441" s="30" t="s">
        <v>49</v>
      </c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9" t="s">
        <v>48</v>
      </c>
      <c r="AS441" s="25" t="n">
        <v>4</v>
      </c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22" t="n">
        <f aca="false">SUM(AS441:BD441)</f>
        <v>4</v>
      </c>
      <c r="BF441" s="23" t="n">
        <v>1108.25</v>
      </c>
      <c r="BG441" s="19" t="s">
        <v>55</v>
      </c>
      <c r="BH441" s="25" t="n">
        <v>1</v>
      </c>
      <c r="BI441" s="18"/>
      <c r="BJ441" s="18"/>
      <c r="BK441" s="25" t="n">
        <v>1</v>
      </c>
      <c r="BL441" s="18"/>
      <c r="BM441" s="18"/>
      <c r="BN441" s="25" t="n">
        <v>2</v>
      </c>
      <c r="BO441" s="18"/>
      <c r="BP441" s="18"/>
      <c r="BQ441" s="25" t="n">
        <v>2</v>
      </c>
      <c r="BR441" s="25" t="n">
        <v>2</v>
      </c>
      <c r="BS441" s="18"/>
      <c r="BT441" s="22" t="n">
        <f aca="false">SUM(BH441:BS441)</f>
        <v>8</v>
      </c>
      <c r="BU441" s="26" t="n">
        <v>46036.7043634259</v>
      </c>
      <c r="BV441" s="17"/>
      <c r="BW441" s="17" t="s">
        <v>44</v>
      </c>
      <c r="BX441" s="23" t="n">
        <f aca="false">IFERROR(R441/AE441,0)</f>
        <v>1108.25</v>
      </c>
      <c r="BY441" s="23" t="n">
        <f aca="false">IFERROR(R441/12,0)</f>
        <v>92.3541666666667</v>
      </c>
      <c r="BZ441" s="18" t="n">
        <v>0</v>
      </c>
      <c r="CA441" s="22" t="str">
        <f aca="false">IF(AE441=0,"PROSPECT",IF(AE441=1,"NOVO",IF(AE441&lt;=3,"EM DESENV.",IF(AE441&lt;=6,"RECORRENTE","FIDELIZADO"))))</f>
        <v>NOVO</v>
      </c>
      <c r="CB441" s="22" t="n">
        <f aca="false">IF((P441+Q441)&gt;0,1,0)+IF((BR441+BS441)&gt;0,1,0)+IF(BE441&gt;0,1,0)</f>
        <v>2</v>
      </c>
    </row>
    <row r="442" customFormat="false" ht="15" hidden="false" customHeight="true" outlineLevel="0" collapsed="false">
      <c r="A442" s="16" t="s">
        <v>1209</v>
      </c>
      <c r="B442" s="17" t="s">
        <v>1210</v>
      </c>
      <c r="C442" s="18" t="s">
        <v>61</v>
      </c>
      <c r="D442" s="17" t="s">
        <v>1211</v>
      </c>
      <c r="E442" s="29" t="s">
        <v>365</v>
      </c>
      <c r="F442" s="20"/>
      <c r="G442" s="20"/>
      <c r="H442" s="20"/>
      <c r="I442" s="27" t="n">
        <v>661.57</v>
      </c>
      <c r="J442" s="20"/>
      <c r="K442" s="20"/>
      <c r="L442" s="20"/>
      <c r="M442" s="20"/>
      <c r="N442" s="20"/>
      <c r="O442" s="20"/>
      <c r="P442" s="20"/>
      <c r="Q442" s="20"/>
      <c r="R442" s="21" t="n">
        <f aca="false">SUM(F442:Q442)</f>
        <v>661.57</v>
      </c>
      <c r="S442" s="18"/>
      <c r="T442" s="18"/>
      <c r="U442" s="18"/>
      <c r="V442" s="28" t="n">
        <v>1</v>
      </c>
      <c r="W442" s="18"/>
      <c r="X442" s="18"/>
      <c r="Y442" s="18"/>
      <c r="Z442" s="18"/>
      <c r="AA442" s="18"/>
      <c r="AB442" s="18"/>
      <c r="AC442" s="18"/>
      <c r="AD442" s="18"/>
      <c r="AE442" s="22" t="n">
        <f aca="false">SUM(S442:AD442)</f>
        <v>1</v>
      </c>
      <c r="AF442" s="22"/>
      <c r="AG442" s="22"/>
      <c r="AH442" s="22"/>
      <c r="AI442" s="29" t="s">
        <v>48</v>
      </c>
      <c r="AJ442" s="22"/>
      <c r="AK442" s="22"/>
      <c r="AL442" s="22"/>
      <c r="AM442" s="22"/>
      <c r="AN442" s="22"/>
      <c r="AO442" s="22"/>
      <c r="AP442" s="22"/>
      <c r="AQ442" s="22"/>
      <c r="AR442" s="29" t="s">
        <v>48</v>
      </c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22" t="n">
        <f aca="false">SUM(AS442:BD442)</f>
        <v>0</v>
      </c>
      <c r="BF442" s="23"/>
      <c r="BG442" s="24"/>
      <c r="BH442" s="18"/>
      <c r="BI442" s="18"/>
      <c r="BJ442" s="18"/>
      <c r="BK442" s="18"/>
      <c r="BL442" s="25" t="n">
        <v>1</v>
      </c>
      <c r="BM442" s="18"/>
      <c r="BN442" s="18"/>
      <c r="BO442" s="18"/>
      <c r="BP442" s="18"/>
      <c r="BQ442" s="25" t="n">
        <v>1</v>
      </c>
      <c r="BR442" s="18"/>
      <c r="BS442" s="25" t="n">
        <v>3</v>
      </c>
      <c r="BT442" s="22" t="n">
        <f aca="false">SUM(BH442:BS442)</f>
        <v>5</v>
      </c>
      <c r="BU442" s="26" t="n">
        <v>46057.4798611111</v>
      </c>
      <c r="BV442" s="17"/>
      <c r="BW442" s="17" t="s">
        <v>44</v>
      </c>
      <c r="BX442" s="23" t="n">
        <f aca="false">IFERROR(R442/AE442,0)</f>
        <v>661.57</v>
      </c>
      <c r="BY442" s="23" t="n">
        <f aca="false">IFERROR(R442/12,0)</f>
        <v>55.1308333333333</v>
      </c>
      <c r="BZ442" s="18" t="n">
        <v>0</v>
      </c>
      <c r="CA442" s="22" t="str">
        <f aca="false">IF(AE442=0,"PROSPECT",IF(AE442=1,"NOVO",IF(AE442&lt;=3,"EM DESENV.",IF(AE442&lt;=6,"RECORRENTE","FIDELIZADO"))))</f>
        <v>NOVO</v>
      </c>
      <c r="CB442" s="22" t="n">
        <f aca="false">IF((P442+Q442)&gt;0,1,0)+IF((BR442+BS442)&gt;0,1,0)+IF(BE442&gt;0,1,0)</f>
        <v>1</v>
      </c>
    </row>
    <row r="443" customFormat="false" ht="15" hidden="false" customHeight="true" outlineLevel="0" collapsed="false">
      <c r="A443" s="16" t="s">
        <v>1212</v>
      </c>
      <c r="B443" s="17" t="s">
        <v>214</v>
      </c>
      <c r="C443" s="18" t="s">
        <v>61</v>
      </c>
      <c r="D443" s="17" t="s">
        <v>215</v>
      </c>
      <c r="E443" s="29" t="s">
        <v>365</v>
      </c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1" t="n">
        <f aca="false">SUM(F443:Q443)</f>
        <v>0</v>
      </c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22" t="n">
        <f aca="false">SUM(S443:AD443)</f>
        <v>0</v>
      </c>
      <c r="AF443" s="22"/>
      <c r="AG443" s="22"/>
      <c r="AH443" s="22"/>
      <c r="AI443" s="22"/>
      <c r="AJ443" s="19" t="s">
        <v>50</v>
      </c>
      <c r="AK443" s="30" t="s">
        <v>49</v>
      </c>
      <c r="AL443" s="19" t="s">
        <v>50</v>
      </c>
      <c r="AM443" s="22"/>
      <c r="AN443" s="22"/>
      <c r="AO443" s="22"/>
      <c r="AP443" s="22"/>
      <c r="AQ443" s="22"/>
      <c r="AR443" s="19" t="s">
        <v>50</v>
      </c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22" t="n">
        <f aca="false">SUM(AS443:BD443)</f>
        <v>0</v>
      </c>
      <c r="BF443" s="23"/>
      <c r="BG443" s="24"/>
      <c r="BH443" s="18"/>
      <c r="BI443" s="18"/>
      <c r="BJ443" s="18"/>
      <c r="BK443" s="18"/>
      <c r="BL443" s="25" t="n">
        <v>2</v>
      </c>
      <c r="BM443" s="18"/>
      <c r="BN443" s="25" t="n">
        <v>1</v>
      </c>
      <c r="BO443" s="25" t="n">
        <v>1</v>
      </c>
      <c r="BP443" s="18"/>
      <c r="BQ443" s="18"/>
      <c r="BR443" s="18"/>
      <c r="BS443" s="25" t="n">
        <v>5</v>
      </c>
      <c r="BT443" s="22" t="n">
        <f aca="false">SUM(BH443:BS443)</f>
        <v>9</v>
      </c>
      <c r="BU443" s="26" t="n">
        <v>46057.3916666667</v>
      </c>
      <c r="BV443" s="17"/>
      <c r="BW443" s="17" t="s">
        <v>111</v>
      </c>
      <c r="BX443" s="23" t="n">
        <f aca="false">IFERROR(R443/AE443,0)</f>
        <v>0</v>
      </c>
      <c r="BY443" s="23" t="n">
        <f aca="false">IFERROR(R443/12,0)</f>
        <v>0</v>
      </c>
      <c r="BZ443" s="18" t="n">
        <v>24.3333</v>
      </c>
      <c r="CA443" s="22" t="str">
        <f aca="false">IF(AE443=0,"PROSPECT",IF(AE443=1,"NOVO",IF(AE443&lt;=3,"EM DESENV.",IF(AE443&lt;=6,"RECORRENTE","FIDELIZADO"))))</f>
        <v>PROSPECT</v>
      </c>
      <c r="CB443" s="22" t="n">
        <f aca="false">IF((P443+Q443)&gt;0,1,0)+IF((BR443+BS443)&gt;0,1,0)+IF(BE443&gt;0,1,0)</f>
        <v>1</v>
      </c>
    </row>
    <row r="444" customFormat="false" ht="15" hidden="false" customHeight="true" outlineLevel="0" collapsed="false">
      <c r="A444" s="16" t="s">
        <v>1213</v>
      </c>
      <c r="B444" s="17" t="s">
        <v>1214</v>
      </c>
      <c r="C444" s="18" t="s">
        <v>53</v>
      </c>
      <c r="D444" s="17" t="s">
        <v>1215</v>
      </c>
      <c r="E444" s="29" t="s">
        <v>365</v>
      </c>
      <c r="F444" s="20"/>
      <c r="G444" s="20"/>
      <c r="H444" s="20"/>
      <c r="I444" s="27" t="n">
        <v>1343.43</v>
      </c>
      <c r="J444" s="20"/>
      <c r="K444" s="20"/>
      <c r="L444" s="27" t="n">
        <v>1215.54</v>
      </c>
      <c r="M444" s="27" t="n">
        <v>1173.83</v>
      </c>
      <c r="N444" s="27" t="n">
        <v>1229.79</v>
      </c>
      <c r="O444" s="20"/>
      <c r="P444" s="20"/>
      <c r="Q444" s="20"/>
      <c r="R444" s="21" t="n">
        <f aca="false">SUM(F444:Q444)</f>
        <v>4962.59</v>
      </c>
      <c r="S444" s="18"/>
      <c r="T444" s="18"/>
      <c r="U444" s="18"/>
      <c r="V444" s="28" t="n">
        <v>1</v>
      </c>
      <c r="W444" s="18"/>
      <c r="X444" s="18"/>
      <c r="Y444" s="28" t="n">
        <v>1</v>
      </c>
      <c r="Z444" s="28" t="n">
        <v>1</v>
      </c>
      <c r="AA444" s="28" t="n">
        <v>1</v>
      </c>
      <c r="AB444" s="18"/>
      <c r="AC444" s="18"/>
      <c r="AD444" s="18"/>
      <c r="AE444" s="22" t="n">
        <f aca="false">SUM(S444:AD444)</f>
        <v>4</v>
      </c>
      <c r="AF444" s="22"/>
      <c r="AG444" s="22"/>
      <c r="AH444" s="22"/>
      <c r="AI444" s="30" t="s">
        <v>49</v>
      </c>
      <c r="AJ444" s="22"/>
      <c r="AK444" s="22"/>
      <c r="AL444" s="30" t="s">
        <v>49</v>
      </c>
      <c r="AM444" s="30" t="s">
        <v>49</v>
      </c>
      <c r="AN444" s="30" t="s">
        <v>49</v>
      </c>
      <c r="AO444" s="22"/>
      <c r="AP444" s="22"/>
      <c r="AQ444" s="22"/>
      <c r="AR444" s="19" t="s">
        <v>50</v>
      </c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22" t="n">
        <f aca="false">SUM(AS444:BD444)</f>
        <v>0</v>
      </c>
      <c r="BF444" s="23"/>
      <c r="BG444" s="24"/>
      <c r="BH444" s="18"/>
      <c r="BI444" s="25" t="n">
        <v>1</v>
      </c>
      <c r="BJ444" s="18"/>
      <c r="BK444" s="25" t="n">
        <v>1</v>
      </c>
      <c r="BL444" s="18"/>
      <c r="BM444" s="18"/>
      <c r="BN444" s="18"/>
      <c r="BO444" s="18"/>
      <c r="BP444" s="25" t="n">
        <v>2</v>
      </c>
      <c r="BQ444" s="18"/>
      <c r="BR444" s="25" t="n">
        <v>7</v>
      </c>
      <c r="BS444" s="25" t="n">
        <v>3</v>
      </c>
      <c r="BT444" s="22" t="n">
        <f aca="false">SUM(BH444:BS444)</f>
        <v>14</v>
      </c>
      <c r="BU444" s="26" t="n">
        <v>46058.6490740741</v>
      </c>
      <c r="BV444" s="17"/>
      <c r="BW444" s="17" t="s">
        <v>44</v>
      </c>
      <c r="BX444" s="23" t="n">
        <f aca="false">IFERROR(R444/AE444,0)</f>
        <v>1240.6475</v>
      </c>
      <c r="BY444" s="23" t="n">
        <f aca="false">IFERROR(R444/12,0)</f>
        <v>413.549166666667</v>
      </c>
      <c r="BZ444" s="18" t="n">
        <v>49.3333</v>
      </c>
      <c r="CA444" s="22" t="str">
        <f aca="false">IF(AE444=0,"PROSPECT",IF(AE444=1,"NOVO",IF(AE444&lt;=3,"EM DESENV.",IF(AE444&lt;=6,"RECORRENTE","FIDELIZADO"))))</f>
        <v>RECORRENTE</v>
      </c>
      <c r="CB444" s="22" t="n">
        <f aca="false">IF((P444+Q444)&gt;0,1,0)+IF((BR444+BS444)&gt;0,1,0)+IF(BE444&gt;0,1,0)</f>
        <v>1</v>
      </c>
    </row>
    <row r="445" customFormat="false" ht="15" hidden="false" customHeight="true" outlineLevel="0" collapsed="false">
      <c r="A445" s="16" t="s">
        <v>1216</v>
      </c>
      <c r="B445" s="17" t="s">
        <v>1217</v>
      </c>
      <c r="C445" s="18" t="s">
        <v>168</v>
      </c>
      <c r="D445" s="17" t="s">
        <v>1218</v>
      </c>
      <c r="E445" s="29" t="s">
        <v>365</v>
      </c>
      <c r="F445" s="20"/>
      <c r="G445" s="20"/>
      <c r="H445" s="20"/>
      <c r="I445" s="27" t="n">
        <v>2134.26</v>
      </c>
      <c r="J445" s="20"/>
      <c r="K445" s="20"/>
      <c r="L445" s="27" t="n">
        <v>1542.37</v>
      </c>
      <c r="M445" s="20"/>
      <c r="N445" s="27" t="n">
        <v>1567.86</v>
      </c>
      <c r="O445" s="20"/>
      <c r="P445" s="20"/>
      <c r="Q445" s="20"/>
      <c r="R445" s="21" t="n">
        <f aca="false">SUM(F445:Q445)</f>
        <v>5244.49</v>
      </c>
      <c r="S445" s="18"/>
      <c r="T445" s="18"/>
      <c r="U445" s="18"/>
      <c r="V445" s="28" t="n">
        <v>1</v>
      </c>
      <c r="W445" s="18"/>
      <c r="X445" s="18"/>
      <c r="Y445" s="28" t="n">
        <v>1</v>
      </c>
      <c r="Z445" s="18"/>
      <c r="AA445" s="28" t="n">
        <v>1</v>
      </c>
      <c r="AB445" s="18"/>
      <c r="AC445" s="18"/>
      <c r="AD445" s="18"/>
      <c r="AE445" s="22" t="n">
        <f aca="false">SUM(S445:AD445)</f>
        <v>3</v>
      </c>
      <c r="AF445" s="22"/>
      <c r="AG445" s="22"/>
      <c r="AH445" s="22"/>
      <c r="AI445" s="19" t="s">
        <v>50</v>
      </c>
      <c r="AJ445" s="22"/>
      <c r="AK445" s="22"/>
      <c r="AL445" s="19" t="s">
        <v>50</v>
      </c>
      <c r="AM445" s="22"/>
      <c r="AN445" s="19" t="s">
        <v>50</v>
      </c>
      <c r="AO445" s="22"/>
      <c r="AP445" s="22"/>
      <c r="AQ445" s="22"/>
      <c r="AR445" s="19" t="s">
        <v>50</v>
      </c>
      <c r="AS445" s="18"/>
      <c r="AT445" s="18"/>
      <c r="AU445" s="18"/>
      <c r="AV445" s="25" t="n">
        <v>4</v>
      </c>
      <c r="AW445" s="18"/>
      <c r="AX445" s="18"/>
      <c r="AY445" s="18"/>
      <c r="AZ445" s="18"/>
      <c r="BA445" s="18"/>
      <c r="BB445" s="18"/>
      <c r="BC445" s="18"/>
      <c r="BD445" s="18"/>
      <c r="BE445" s="22" t="n">
        <f aca="false">SUM(AS445:BD445)</f>
        <v>4</v>
      </c>
      <c r="BF445" s="23" t="n">
        <v>2134.26</v>
      </c>
      <c r="BG445" s="19" t="s">
        <v>55</v>
      </c>
      <c r="BH445" s="18"/>
      <c r="BI445" s="18"/>
      <c r="BJ445" s="18"/>
      <c r="BK445" s="25" t="n">
        <v>2</v>
      </c>
      <c r="BL445" s="25" t="n">
        <v>1</v>
      </c>
      <c r="BM445" s="25" t="n">
        <v>1</v>
      </c>
      <c r="BN445" s="18"/>
      <c r="BO445" s="25" t="n">
        <v>1</v>
      </c>
      <c r="BP445" s="25" t="n">
        <v>1</v>
      </c>
      <c r="BQ445" s="18"/>
      <c r="BR445" s="25" t="n">
        <v>3</v>
      </c>
      <c r="BS445" s="25" t="n">
        <v>3</v>
      </c>
      <c r="BT445" s="22" t="n">
        <f aca="false">SUM(BH445:BS445)</f>
        <v>12</v>
      </c>
      <c r="BU445" s="26" t="n">
        <v>46058.6659722222</v>
      </c>
      <c r="BV445" s="17" t="s">
        <v>124</v>
      </c>
      <c r="BW445" s="17" t="s">
        <v>44</v>
      </c>
      <c r="BX445" s="23" t="n">
        <f aca="false">IFERROR(R445/AE445,0)</f>
        <v>1748.16333333333</v>
      </c>
      <c r="BY445" s="23" t="n">
        <f aca="false">IFERROR(R445/12,0)</f>
        <v>437.040833333333</v>
      </c>
      <c r="BZ445" s="18" t="n">
        <v>68.5</v>
      </c>
      <c r="CA445" s="22" t="str">
        <f aca="false">IF(AE445=0,"PROSPECT",IF(AE445=1,"NOVO",IF(AE445&lt;=3,"EM DESENV.",IF(AE445&lt;=6,"RECORRENTE","FIDELIZADO"))))</f>
        <v>EM DESENV.</v>
      </c>
      <c r="CB445" s="22" t="n">
        <f aca="false">IF((P445+Q445)&gt;0,1,0)+IF((BR445+BS445)&gt;0,1,0)+IF(BE445&gt;0,1,0)</f>
        <v>2</v>
      </c>
    </row>
    <row r="446" customFormat="false" ht="15" hidden="false" customHeight="true" outlineLevel="0" collapsed="false">
      <c r="A446" s="16" t="s">
        <v>1219</v>
      </c>
      <c r="B446" s="17" t="s">
        <v>1220</v>
      </c>
      <c r="C446" s="18" t="s">
        <v>79</v>
      </c>
      <c r="D446" s="17" t="s">
        <v>1221</v>
      </c>
      <c r="E446" s="29" t="s">
        <v>365</v>
      </c>
      <c r="F446" s="20"/>
      <c r="G446" s="20"/>
      <c r="H446" s="27" t="n">
        <v>1980.81</v>
      </c>
      <c r="I446" s="20"/>
      <c r="J446" s="27" t="n">
        <v>1576.32</v>
      </c>
      <c r="K446" s="20"/>
      <c r="L446" s="20"/>
      <c r="M446" s="20"/>
      <c r="N446" s="20"/>
      <c r="O446" s="20"/>
      <c r="P446" s="20"/>
      <c r="Q446" s="20"/>
      <c r="R446" s="21" t="n">
        <f aca="false">SUM(F446:Q446)</f>
        <v>3557.13</v>
      </c>
      <c r="S446" s="18"/>
      <c r="T446" s="18"/>
      <c r="U446" s="28" t="n">
        <v>1</v>
      </c>
      <c r="V446" s="18"/>
      <c r="W446" s="28" t="n">
        <v>1</v>
      </c>
      <c r="X446" s="18"/>
      <c r="Y446" s="18"/>
      <c r="Z446" s="18"/>
      <c r="AA446" s="18"/>
      <c r="AB446" s="18"/>
      <c r="AC446" s="18"/>
      <c r="AD446" s="18"/>
      <c r="AE446" s="22" t="n">
        <f aca="false">SUM(S446:AD446)</f>
        <v>2</v>
      </c>
      <c r="AF446" s="22"/>
      <c r="AG446" s="22"/>
      <c r="AH446" s="19" t="s">
        <v>50</v>
      </c>
      <c r="AI446" s="22"/>
      <c r="AJ446" s="19" t="s">
        <v>50</v>
      </c>
      <c r="AK446" s="22"/>
      <c r="AL446" s="22"/>
      <c r="AM446" s="22"/>
      <c r="AN446" s="22"/>
      <c r="AO446" s="22"/>
      <c r="AP446" s="22"/>
      <c r="AQ446" s="22"/>
      <c r="AR446" s="19" t="s">
        <v>50</v>
      </c>
      <c r="AS446" s="18"/>
      <c r="AT446" s="18"/>
      <c r="AU446" s="18"/>
      <c r="AV446" s="18"/>
      <c r="AW446" s="25" t="n">
        <v>1</v>
      </c>
      <c r="AX446" s="18"/>
      <c r="AY446" s="18"/>
      <c r="AZ446" s="18"/>
      <c r="BA446" s="18"/>
      <c r="BB446" s="18"/>
      <c r="BC446" s="18"/>
      <c r="BD446" s="18"/>
      <c r="BE446" s="22" t="n">
        <f aca="false">SUM(AS446:BD446)</f>
        <v>1</v>
      </c>
      <c r="BF446" s="23"/>
      <c r="BG446" s="31" t="s">
        <v>93</v>
      </c>
      <c r="BH446" s="18"/>
      <c r="BI446" s="18"/>
      <c r="BJ446" s="18"/>
      <c r="BK446" s="25" t="n">
        <v>1</v>
      </c>
      <c r="BL446" s="25" t="n">
        <v>1</v>
      </c>
      <c r="BM446" s="25" t="n">
        <v>1</v>
      </c>
      <c r="BN446" s="18"/>
      <c r="BO446" s="18"/>
      <c r="BP446" s="18"/>
      <c r="BQ446" s="25" t="n">
        <v>1</v>
      </c>
      <c r="BR446" s="25" t="n">
        <v>2</v>
      </c>
      <c r="BS446" s="18"/>
      <c r="BT446" s="22" t="n">
        <f aca="false">SUM(BH446:BS446)</f>
        <v>6</v>
      </c>
      <c r="BU446" s="26" t="n">
        <v>46036.6465277778</v>
      </c>
      <c r="BV446" s="17" t="s">
        <v>378</v>
      </c>
      <c r="BW446" s="17" t="s">
        <v>44</v>
      </c>
      <c r="BX446" s="23" t="n">
        <f aca="false">IFERROR(R446/AE446,0)</f>
        <v>1778.565</v>
      </c>
      <c r="BY446" s="23" t="n">
        <f aca="false">IFERROR(R446/12,0)</f>
        <v>296.4275</v>
      </c>
      <c r="BZ446" s="18" t="n">
        <v>53</v>
      </c>
      <c r="CA446" s="22" t="str">
        <f aca="false">IF(AE446=0,"PROSPECT",IF(AE446=1,"NOVO",IF(AE446&lt;=3,"EM DESENV.",IF(AE446&lt;=6,"RECORRENTE","FIDELIZADO"))))</f>
        <v>EM DESENV.</v>
      </c>
      <c r="CB446" s="22" t="n">
        <f aca="false">IF((P446+Q446)&gt;0,1,0)+IF((BR446+BS446)&gt;0,1,0)+IF(BE446&gt;0,1,0)</f>
        <v>2</v>
      </c>
    </row>
    <row r="447" customFormat="false" ht="15" hidden="false" customHeight="true" outlineLevel="0" collapsed="false">
      <c r="A447" s="16" t="s">
        <v>1222</v>
      </c>
      <c r="B447" s="17" t="s">
        <v>226</v>
      </c>
      <c r="C447" s="18" t="s">
        <v>72</v>
      </c>
      <c r="D447" s="17" t="s">
        <v>227</v>
      </c>
      <c r="E447" s="29" t="s">
        <v>365</v>
      </c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1" t="n">
        <f aca="false">SUM(F447:Q447)</f>
        <v>0</v>
      </c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22" t="n">
        <f aca="false">SUM(S447:AD447)</f>
        <v>0</v>
      </c>
      <c r="AF447" s="22"/>
      <c r="AG447" s="22"/>
      <c r="AH447" s="30" t="s">
        <v>49</v>
      </c>
      <c r="AI447" s="22"/>
      <c r="AJ447" s="22"/>
      <c r="AK447" s="22"/>
      <c r="AL447" s="22"/>
      <c r="AM447" s="22"/>
      <c r="AN447" s="22"/>
      <c r="AO447" s="22"/>
      <c r="AP447" s="22"/>
      <c r="AQ447" s="22"/>
      <c r="AR447" s="30" t="s">
        <v>49</v>
      </c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22" t="n">
        <f aca="false">SUM(AS447:BD447)</f>
        <v>0</v>
      </c>
      <c r="BF447" s="23"/>
      <c r="BG447" s="24"/>
      <c r="BH447" s="18"/>
      <c r="BI447" s="18"/>
      <c r="BJ447" s="25" t="n">
        <v>1</v>
      </c>
      <c r="BK447" s="25" t="n">
        <v>1</v>
      </c>
      <c r="BL447" s="18"/>
      <c r="BM447" s="18"/>
      <c r="BN447" s="18"/>
      <c r="BO447" s="25" t="n">
        <v>1</v>
      </c>
      <c r="BP447" s="18"/>
      <c r="BQ447" s="18"/>
      <c r="BR447" s="25" t="n">
        <v>1</v>
      </c>
      <c r="BS447" s="18"/>
      <c r="BT447" s="22" t="n">
        <f aca="false">SUM(BH447:BS447)</f>
        <v>4</v>
      </c>
      <c r="BU447" s="26" t="n">
        <v>46042.6598611111</v>
      </c>
      <c r="BV447" s="17"/>
      <c r="BW447" s="17" t="s">
        <v>44</v>
      </c>
      <c r="BX447" s="23" t="n">
        <f aca="false">IFERROR(R447/AE447,0)</f>
        <v>0</v>
      </c>
      <c r="BY447" s="23" t="n">
        <f aca="false">IFERROR(R447/12,0)</f>
        <v>0</v>
      </c>
      <c r="BZ447" s="18" t="n">
        <v>0</v>
      </c>
      <c r="CA447" s="22" t="str">
        <f aca="false">IF(AE447=0,"PROSPECT",IF(AE447=1,"NOVO",IF(AE447&lt;=3,"EM DESENV.",IF(AE447&lt;=6,"RECORRENTE","FIDELIZADO"))))</f>
        <v>PROSPECT</v>
      </c>
      <c r="CB447" s="22" t="n">
        <f aca="false">IF((P447+Q447)&gt;0,1,0)+IF((BR447+BS447)&gt;0,1,0)+IF(BE447&gt;0,1,0)</f>
        <v>1</v>
      </c>
    </row>
    <row r="448" customFormat="false" ht="15" hidden="false" customHeight="true" outlineLevel="0" collapsed="false">
      <c r="A448" s="16" t="s">
        <v>1223</v>
      </c>
      <c r="B448" s="17" t="s">
        <v>1224</v>
      </c>
      <c r="C448" s="18" t="s">
        <v>61</v>
      </c>
      <c r="D448" s="17" t="s">
        <v>159</v>
      </c>
      <c r="E448" s="29" t="s">
        <v>365</v>
      </c>
      <c r="F448" s="20"/>
      <c r="G448" s="27" t="n">
        <v>1270.04</v>
      </c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1" t="n">
        <f aca="false">SUM(F448:Q448)</f>
        <v>1270.04</v>
      </c>
      <c r="S448" s="18"/>
      <c r="T448" s="28" t="n">
        <v>1</v>
      </c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22" t="n">
        <f aca="false">SUM(S448:AD448)</f>
        <v>1</v>
      </c>
      <c r="AF448" s="22"/>
      <c r="AG448" s="30" t="s">
        <v>49</v>
      </c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30" t="s">
        <v>49</v>
      </c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22" t="n">
        <f aca="false">SUM(AS448:BD448)</f>
        <v>0</v>
      </c>
      <c r="BF448" s="23"/>
      <c r="BG448" s="24"/>
      <c r="BH448" s="18"/>
      <c r="BI448" s="18"/>
      <c r="BJ448" s="18"/>
      <c r="BK448" s="18"/>
      <c r="BL448" s="25" t="n">
        <v>1</v>
      </c>
      <c r="BM448" s="18"/>
      <c r="BN448" s="18"/>
      <c r="BO448" s="18"/>
      <c r="BP448" s="18"/>
      <c r="BQ448" s="18"/>
      <c r="BR448" s="18"/>
      <c r="BS448" s="18"/>
      <c r="BT448" s="22" t="n">
        <f aca="false">SUM(BH448:BS448)</f>
        <v>1</v>
      </c>
      <c r="BU448" s="26" t="n">
        <v>45853.5701388889</v>
      </c>
      <c r="BV448" s="17"/>
      <c r="BW448" s="17" t="s">
        <v>44</v>
      </c>
      <c r="BX448" s="23" t="n">
        <f aca="false">IFERROR(R448/AE448,0)</f>
        <v>1270.04</v>
      </c>
      <c r="BY448" s="23" t="n">
        <f aca="false">IFERROR(R448/12,0)</f>
        <v>105.836666666667</v>
      </c>
      <c r="BZ448" s="18" t="n">
        <v>0</v>
      </c>
      <c r="CA448" s="22" t="str">
        <f aca="false">IF(AE448=0,"PROSPECT",IF(AE448=1,"NOVO",IF(AE448&lt;=3,"EM DESENV.",IF(AE448&lt;=6,"RECORRENTE","FIDELIZADO"))))</f>
        <v>NOVO</v>
      </c>
      <c r="CB448" s="22" t="n">
        <f aca="false">IF((P448+Q448)&gt;0,1,0)+IF((BR448+BS448)&gt;0,1,0)+IF(BE448&gt;0,1,0)</f>
        <v>0</v>
      </c>
    </row>
    <row r="449" customFormat="false" ht="15" hidden="false" customHeight="true" outlineLevel="0" collapsed="false">
      <c r="A449" s="16" t="s">
        <v>1225</v>
      </c>
      <c r="B449" s="17" t="s">
        <v>1226</v>
      </c>
      <c r="C449" s="18" t="s">
        <v>555</v>
      </c>
      <c r="D449" s="17" t="s">
        <v>556</v>
      </c>
      <c r="E449" s="29" t="s">
        <v>365</v>
      </c>
      <c r="F449" s="20"/>
      <c r="G449" s="20"/>
      <c r="H449" s="20"/>
      <c r="I449" s="27" t="n">
        <v>2758.95</v>
      </c>
      <c r="J449" s="20"/>
      <c r="K449" s="27" t="n">
        <v>1715.21</v>
      </c>
      <c r="L449" s="20"/>
      <c r="M449" s="20"/>
      <c r="N449" s="20"/>
      <c r="O449" s="20"/>
      <c r="P449" s="20"/>
      <c r="Q449" s="20"/>
      <c r="R449" s="21" t="n">
        <f aca="false">SUM(F449:Q449)</f>
        <v>4474.16</v>
      </c>
      <c r="S449" s="18"/>
      <c r="T449" s="18"/>
      <c r="U449" s="18"/>
      <c r="V449" s="28" t="n">
        <v>1</v>
      </c>
      <c r="W449" s="18"/>
      <c r="X449" s="28" t="n">
        <v>1</v>
      </c>
      <c r="Y449" s="18"/>
      <c r="Z449" s="18"/>
      <c r="AA449" s="18"/>
      <c r="AB449" s="18"/>
      <c r="AC449" s="18"/>
      <c r="AD449" s="18"/>
      <c r="AE449" s="22" t="n">
        <f aca="false">SUM(S449:AD449)</f>
        <v>2</v>
      </c>
      <c r="AF449" s="22"/>
      <c r="AG449" s="22"/>
      <c r="AH449" s="22"/>
      <c r="AI449" s="19" t="s">
        <v>50</v>
      </c>
      <c r="AJ449" s="22"/>
      <c r="AK449" s="19" t="s">
        <v>50</v>
      </c>
      <c r="AL449" s="22"/>
      <c r="AM449" s="22"/>
      <c r="AN449" s="22"/>
      <c r="AO449" s="22"/>
      <c r="AP449" s="22"/>
      <c r="AQ449" s="22"/>
      <c r="AR449" s="19" t="s">
        <v>50</v>
      </c>
      <c r="AS449" s="18"/>
      <c r="AT449" s="25" t="n">
        <v>1</v>
      </c>
      <c r="AU449" s="25" t="n">
        <v>1</v>
      </c>
      <c r="AV449" s="25" t="n">
        <v>2</v>
      </c>
      <c r="AW449" s="25" t="n">
        <v>11</v>
      </c>
      <c r="AX449" s="25" t="n">
        <v>1</v>
      </c>
      <c r="AY449" s="18"/>
      <c r="AZ449" s="18"/>
      <c r="BA449" s="18"/>
      <c r="BB449" s="25" t="n">
        <v>1</v>
      </c>
      <c r="BC449" s="18"/>
      <c r="BD449" s="18"/>
      <c r="BE449" s="22" t="n">
        <f aca="false">SUM(AS449:BD449)</f>
        <v>17</v>
      </c>
      <c r="BF449" s="23" t="n">
        <v>4474.16</v>
      </c>
      <c r="BG449" s="19" t="s">
        <v>55</v>
      </c>
      <c r="BH449" s="18"/>
      <c r="BI449" s="25" t="n">
        <v>1</v>
      </c>
      <c r="BJ449" s="25" t="n">
        <v>4</v>
      </c>
      <c r="BK449" s="18"/>
      <c r="BL449" s="25" t="n">
        <v>2</v>
      </c>
      <c r="BM449" s="18"/>
      <c r="BN449" s="18"/>
      <c r="BO449" s="25" t="n">
        <v>2</v>
      </c>
      <c r="BP449" s="25" t="n">
        <v>1</v>
      </c>
      <c r="BQ449" s="18"/>
      <c r="BR449" s="25" t="n">
        <v>3</v>
      </c>
      <c r="BS449" s="18"/>
      <c r="BT449" s="22" t="n">
        <f aca="false">SUM(BH449:BS449)</f>
        <v>13</v>
      </c>
      <c r="BU449" s="26" t="n">
        <v>46042.3893171296</v>
      </c>
      <c r="BV449" s="17"/>
      <c r="BW449" s="17" t="s">
        <v>44</v>
      </c>
      <c r="BX449" s="23" t="n">
        <f aca="false">IFERROR(R449/AE449,0)</f>
        <v>2237.08</v>
      </c>
      <c r="BY449" s="23" t="n">
        <f aca="false">IFERROR(R449/12,0)</f>
        <v>372.846666666667</v>
      </c>
      <c r="BZ449" s="18" t="n">
        <v>88</v>
      </c>
      <c r="CA449" s="22" t="str">
        <f aca="false">IF(AE449=0,"PROSPECT",IF(AE449=1,"NOVO",IF(AE449&lt;=3,"EM DESENV.",IF(AE449&lt;=6,"RECORRENTE","FIDELIZADO"))))</f>
        <v>EM DESENV.</v>
      </c>
      <c r="CB449" s="22" t="n">
        <f aca="false">IF((P449+Q449)&gt;0,1,0)+IF((BR449+BS449)&gt;0,1,0)+IF(BE449&gt;0,1,0)</f>
        <v>2</v>
      </c>
    </row>
    <row r="450" customFormat="false" ht="15" hidden="false" customHeight="true" outlineLevel="0" collapsed="false">
      <c r="A450" s="16" t="s">
        <v>1227</v>
      </c>
      <c r="B450" s="17" t="s">
        <v>1228</v>
      </c>
      <c r="C450" s="18" t="s">
        <v>41</v>
      </c>
      <c r="D450" s="17" t="s">
        <v>721</v>
      </c>
      <c r="E450" s="29" t="s">
        <v>365</v>
      </c>
      <c r="F450" s="20"/>
      <c r="G450" s="20"/>
      <c r="H450" s="20"/>
      <c r="I450" s="27" t="n">
        <v>1216.97</v>
      </c>
      <c r="J450" s="20"/>
      <c r="K450" s="20"/>
      <c r="L450" s="20"/>
      <c r="M450" s="20"/>
      <c r="N450" s="20"/>
      <c r="O450" s="20"/>
      <c r="P450" s="20"/>
      <c r="Q450" s="20"/>
      <c r="R450" s="21" t="n">
        <f aca="false">SUM(F450:Q450)</f>
        <v>1216.97</v>
      </c>
      <c r="S450" s="18"/>
      <c r="T450" s="18"/>
      <c r="U450" s="18"/>
      <c r="V450" s="28" t="n">
        <v>1</v>
      </c>
      <c r="W450" s="18"/>
      <c r="X450" s="18"/>
      <c r="Y450" s="18"/>
      <c r="Z450" s="18"/>
      <c r="AA450" s="18"/>
      <c r="AB450" s="18"/>
      <c r="AC450" s="18"/>
      <c r="AD450" s="18"/>
      <c r="AE450" s="22" t="n">
        <f aca="false">SUM(S450:AD450)</f>
        <v>1</v>
      </c>
      <c r="AF450" s="22"/>
      <c r="AG450" s="22"/>
      <c r="AH450" s="22"/>
      <c r="AI450" s="30" t="s">
        <v>49</v>
      </c>
      <c r="AJ450" s="22"/>
      <c r="AK450" s="22"/>
      <c r="AL450" s="22"/>
      <c r="AM450" s="22"/>
      <c r="AN450" s="22"/>
      <c r="AO450" s="22"/>
      <c r="AP450" s="22"/>
      <c r="AQ450" s="22"/>
      <c r="AR450" s="30" t="s">
        <v>49</v>
      </c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22" t="n">
        <f aca="false">SUM(AS450:BD450)</f>
        <v>0</v>
      </c>
      <c r="BF450" s="23"/>
      <c r="BG450" s="24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22" t="n">
        <f aca="false">SUM(BH450:BS450)</f>
        <v>0</v>
      </c>
      <c r="BU450" s="26"/>
      <c r="BV450" s="17"/>
      <c r="BW450" s="17"/>
      <c r="BX450" s="23" t="n">
        <f aca="false">IFERROR(R450/AE450,0)</f>
        <v>1216.97</v>
      </c>
      <c r="BY450" s="23" t="n">
        <f aca="false">IFERROR(R450/12,0)</f>
        <v>101.414166666667</v>
      </c>
      <c r="BZ450" s="18" t="n">
        <v>0</v>
      </c>
      <c r="CA450" s="22" t="str">
        <f aca="false">IF(AE450=0,"PROSPECT",IF(AE450=1,"NOVO",IF(AE450&lt;=3,"EM DESENV.",IF(AE450&lt;=6,"RECORRENTE","FIDELIZADO"))))</f>
        <v>NOVO</v>
      </c>
      <c r="CB450" s="22" t="n">
        <f aca="false">IF((P450+Q450)&gt;0,1,0)+IF((BR450+BS450)&gt;0,1,0)+IF(BE450&gt;0,1,0)</f>
        <v>0</v>
      </c>
    </row>
    <row r="451" customFormat="false" ht="15" hidden="false" customHeight="true" outlineLevel="0" collapsed="false">
      <c r="A451" s="16" t="s">
        <v>1229</v>
      </c>
      <c r="B451" s="17" t="s">
        <v>1230</v>
      </c>
      <c r="C451" s="18" t="s">
        <v>41</v>
      </c>
      <c r="D451" s="17" t="s">
        <v>42</v>
      </c>
      <c r="E451" s="29" t="s">
        <v>365</v>
      </c>
      <c r="F451" s="20"/>
      <c r="G451" s="20"/>
      <c r="H451" s="27" t="n">
        <v>654.89</v>
      </c>
      <c r="I451" s="20"/>
      <c r="J451" s="20"/>
      <c r="K451" s="20"/>
      <c r="L451" s="20"/>
      <c r="M451" s="20"/>
      <c r="N451" s="20"/>
      <c r="O451" s="20"/>
      <c r="P451" s="20"/>
      <c r="Q451" s="20"/>
      <c r="R451" s="21" t="n">
        <f aca="false">SUM(F451:Q451)</f>
        <v>654.89</v>
      </c>
      <c r="S451" s="18"/>
      <c r="T451" s="18"/>
      <c r="U451" s="28" t="n">
        <v>1</v>
      </c>
      <c r="V451" s="18"/>
      <c r="W451" s="18"/>
      <c r="X451" s="18"/>
      <c r="Y451" s="18"/>
      <c r="Z451" s="18"/>
      <c r="AA451" s="18"/>
      <c r="AB451" s="18"/>
      <c r="AC451" s="18"/>
      <c r="AD451" s="18"/>
      <c r="AE451" s="22" t="n">
        <f aca="false">SUM(S451:AD451)</f>
        <v>1</v>
      </c>
      <c r="AF451" s="22"/>
      <c r="AG451" s="22"/>
      <c r="AH451" s="29" t="s">
        <v>48</v>
      </c>
      <c r="AI451" s="22"/>
      <c r="AJ451" s="22"/>
      <c r="AK451" s="22"/>
      <c r="AL451" s="22"/>
      <c r="AM451" s="22"/>
      <c r="AN451" s="22"/>
      <c r="AO451" s="22"/>
      <c r="AP451" s="22"/>
      <c r="AQ451" s="22"/>
      <c r="AR451" s="29" t="s">
        <v>48</v>
      </c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22" t="n">
        <f aca="false">SUM(AS451:BD451)</f>
        <v>0</v>
      </c>
      <c r="BF451" s="23"/>
      <c r="BG451" s="24"/>
      <c r="BH451" s="18"/>
      <c r="BI451" s="18"/>
      <c r="BJ451" s="25" t="n">
        <v>2</v>
      </c>
      <c r="BK451" s="25" t="n">
        <v>3</v>
      </c>
      <c r="BL451" s="25" t="n">
        <v>3</v>
      </c>
      <c r="BM451" s="25" t="n">
        <v>1</v>
      </c>
      <c r="BN451" s="18"/>
      <c r="BO451" s="18"/>
      <c r="BP451" s="25" t="n">
        <v>1</v>
      </c>
      <c r="BQ451" s="18"/>
      <c r="BR451" s="25" t="n">
        <v>4</v>
      </c>
      <c r="BS451" s="25" t="n">
        <v>1</v>
      </c>
      <c r="BT451" s="22" t="n">
        <f aca="false">SUM(BH451:BS451)</f>
        <v>15</v>
      </c>
      <c r="BU451" s="26" t="n">
        <v>46056.4041898148</v>
      </c>
      <c r="BV451" s="17"/>
      <c r="BW451" s="17" t="s">
        <v>44</v>
      </c>
      <c r="BX451" s="23" t="n">
        <f aca="false">IFERROR(R451/AE451,0)</f>
        <v>654.89</v>
      </c>
      <c r="BY451" s="23" t="n">
        <f aca="false">IFERROR(R451/12,0)</f>
        <v>54.5741666666667</v>
      </c>
      <c r="BZ451" s="18" t="n">
        <v>0</v>
      </c>
      <c r="CA451" s="22" t="str">
        <f aca="false">IF(AE451=0,"PROSPECT",IF(AE451=1,"NOVO",IF(AE451&lt;=3,"EM DESENV.",IF(AE451&lt;=6,"RECORRENTE","FIDELIZADO"))))</f>
        <v>NOVO</v>
      </c>
      <c r="CB451" s="22" t="n">
        <f aca="false">IF((P451+Q451)&gt;0,1,0)+IF((BR451+BS451)&gt;0,1,0)+IF(BE451&gt;0,1,0)</f>
        <v>1</v>
      </c>
    </row>
    <row r="452" customFormat="false" ht="15" hidden="false" customHeight="true" outlineLevel="0" collapsed="false">
      <c r="A452" s="16" t="s">
        <v>1231</v>
      </c>
      <c r="B452" s="17" t="s">
        <v>1232</v>
      </c>
      <c r="C452" s="18" t="s">
        <v>41</v>
      </c>
      <c r="D452" s="17" t="s">
        <v>1233</v>
      </c>
      <c r="E452" s="29" t="s">
        <v>365</v>
      </c>
      <c r="F452" s="20"/>
      <c r="G452" s="20"/>
      <c r="H452" s="20"/>
      <c r="I452" s="20"/>
      <c r="J452" s="20"/>
      <c r="K452" s="27" t="n">
        <v>1443.35</v>
      </c>
      <c r="L452" s="20"/>
      <c r="M452" s="20"/>
      <c r="N452" s="20"/>
      <c r="O452" s="20"/>
      <c r="P452" s="20"/>
      <c r="Q452" s="20"/>
      <c r="R452" s="21" t="n">
        <f aca="false">SUM(F452:Q452)</f>
        <v>1443.35</v>
      </c>
      <c r="S452" s="18"/>
      <c r="T452" s="18"/>
      <c r="U452" s="18"/>
      <c r="V452" s="18"/>
      <c r="W452" s="18"/>
      <c r="X452" s="28" t="n">
        <v>1</v>
      </c>
      <c r="Y452" s="18"/>
      <c r="Z452" s="18"/>
      <c r="AA452" s="18"/>
      <c r="AB452" s="18"/>
      <c r="AC452" s="18"/>
      <c r="AD452" s="18"/>
      <c r="AE452" s="22" t="n">
        <f aca="false">SUM(S452:AD452)</f>
        <v>1</v>
      </c>
      <c r="AF452" s="22"/>
      <c r="AG452" s="22"/>
      <c r="AH452" s="22"/>
      <c r="AI452" s="22"/>
      <c r="AJ452" s="22"/>
      <c r="AK452" s="19" t="s">
        <v>50</v>
      </c>
      <c r="AL452" s="22"/>
      <c r="AM452" s="22"/>
      <c r="AN452" s="22"/>
      <c r="AO452" s="22"/>
      <c r="AP452" s="22"/>
      <c r="AQ452" s="22"/>
      <c r="AR452" s="30" t="s">
        <v>49</v>
      </c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22" t="n">
        <f aca="false">SUM(AS452:BD452)</f>
        <v>0</v>
      </c>
      <c r="BF452" s="23"/>
      <c r="BG452" s="24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22" t="n">
        <f aca="false">SUM(BH452:BS452)</f>
        <v>0</v>
      </c>
      <c r="BU452" s="26"/>
      <c r="BV452" s="17"/>
      <c r="BW452" s="17"/>
      <c r="BX452" s="23" t="n">
        <f aca="false">IFERROR(R452/AE452,0)</f>
        <v>1443.35</v>
      </c>
      <c r="BY452" s="23" t="n">
        <f aca="false">IFERROR(R452/12,0)</f>
        <v>120.279166666667</v>
      </c>
      <c r="BZ452" s="18" t="n">
        <v>0</v>
      </c>
      <c r="CA452" s="22" t="str">
        <f aca="false">IF(AE452=0,"PROSPECT",IF(AE452=1,"NOVO",IF(AE452&lt;=3,"EM DESENV.",IF(AE452&lt;=6,"RECORRENTE","FIDELIZADO"))))</f>
        <v>NOVO</v>
      </c>
      <c r="CB452" s="22" t="n">
        <f aca="false">IF((P452+Q452)&gt;0,1,0)+IF((BR452+BS452)&gt;0,1,0)+IF(BE452&gt;0,1,0)</f>
        <v>0</v>
      </c>
    </row>
    <row r="453" customFormat="false" ht="15" hidden="false" customHeight="true" outlineLevel="0" collapsed="false">
      <c r="A453" s="16" t="s">
        <v>1234</v>
      </c>
      <c r="B453" s="17" t="s">
        <v>1235</v>
      </c>
      <c r="C453" s="18" t="s">
        <v>61</v>
      </c>
      <c r="D453" s="17" t="s">
        <v>753</v>
      </c>
      <c r="E453" s="29" t="s">
        <v>365</v>
      </c>
      <c r="F453" s="20"/>
      <c r="G453" s="27" t="n">
        <v>510.4</v>
      </c>
      <c r="H453" s="20"/>
      <c r="I453" s="27" t="n">
        <v>1777.6</v>
      </c>
      <c r="J453" s="20"/>
      <c r="K453" s="20"/>
      <c r="L453" s="20"/>
      <c r="M453" s="20"/>
      <c r="N453" s="20"/>
      <c r="O453" s="20"/>
      <c r="P453" s="20"/>
      <c r="Q453" s="20"/>
      <c r="R453" s="21" t="n">
        <f aca="false">SUM(F453:Q453)</f>
        <v>2288</v>
      </c>
      <c r="S453" s="18"/>
      <c r="T453" s="28" t="n">
        <v>1</v>
      </c>
      <c r="U453" s="18"/>
      <c r="V453" s="28" t="n">
        <v>1</v>
      </c>
      <c r="W453" s="18"/>
      <c r="X453" s="18"/>
      <c r="Y453" s="18"/>
      <c r="Z453" s="18"/>
      <c r="AA453" s="18"/>
      <c r="AB453" s="18"/>
      <c r="AC453" s="18"/>
      <c r="AD453" s="18"/>
      <c r="AE453" s="22" t="n">
        <f aca="false">SUM(S453:AD453)</f>
        <v>2</v>
      </c>
      <c r="AF453" s="22"/>
      <c r="AG453" s="29" t="s">
        <v>48</v>
      </c>
      <c r="AH453" s="22"/>
      <c r="AI453" s="19" t="s">
        <v>50</v>
      </c>
      <c r="AJ453" s="22"/>
      <c r="AK453" s="22"/>
      <c r="AL453" s="22"/>
      <c r="AM453" s="22"/>
      <c r="AN453" s="22"/>
      <c r="AO453" s="22"/>
      <c r="AP453" s="22"/>
      <c r="AQ453" s="22"/>
      <c r="AR453" s="30" t="s">
        <v>49</v>
      </c>
      <c r="AS453" s="18"/>
      <c r="AT453" s="18"/>
      <c r="AU453" s="18"/>
      <c r="AV453" s="25" t="n">
        <v>1</v>
      </c>
      <c r="AW453" s="18"/>
      <c r="AX453" s="18"/>
      <c r="AY453" s="18"/>
      <c r="AZ453" s="18"/>
      <c r="BA453" s="18"/>
      <c r="BB453" s="18"/>
      <c r="BC453" s="18"/>
      <c r="BD453" s="18"/>
      <c r="BE453" s="22" t="n">
        <f aca="false">SUM(AS453:BD453)</f>
        <v>1</v>
      </c>
      <c r="BF453" s="23"/>
      <c r="BG453" s="31" t="s">
        <v>93</v>
      </c>
      <c r="BH453" s="18"/>
      <c r="BI453" s="18"/>
      <c r="BJ453" s="25" t="n">
        <v>2</v>
      </c>
      <c r="BK453" s="25" t="n">
        <v>3</v>
      </c>
      <c r="BL453" s="18"/>
      <c r="BM453" s="25" t="n">
        <v>1</v>
      </c>
      <c r="BN453" s="25" t="n">
        <v>2</v>
      </c>
      <c r="BO453" s="18"/>
      <c r="BP453" s="18"/>
      <c r="BQ453" s="25" t="n">
        <v>1</v>
      </c>
      <c r="BR453" s="18"/>
      <c r="BS453" s="18"/>
      <c r="BT453" s="22" t="n">
        <f aca="false">SUM(BH453:BS453)</f>
        <v>9</v>
      </c>
      <c r="BU453" s="26" t="n">
        <v>46001.4325</v>
      </c>
      <c r="BV453" s="17"/>
      <c r="BW453" s="17" t="s">
        <v>44</v>
      </c>
      <c r="BX453" s="23" t="n">
        <f aca="false">IFERROR(R453/AE453,0)</f>
        <v>1144</v>
      </c>
      <c r="BY453" s="23" t="n">
        <f aca="false">IFERROR(R453/12,0)</f>
        <v>190.666666666667</v>
      </c>
      <c r="BZ453" s="18" t="n">
        <v>62</v>
      </c>
      <c r="CA453" s="22" t="str">
        <f aca="false">IF(AE453=0,"PROSPECT",IF(AE453=1,"NOVO",IF(AE453&lt;=3,"EM DESENV.",IF(AE453&lt;=6,"RECORRENTE","FIDELIZADO"))))</f>
        <v>EM DESENV.</v>
      </c>
      <c r="CB453" s="22" t="n">
        <f aca="false">IF((P453+Q453)&gt;0,1,0)+IF((BR453+BS453)&gt;0,1,0)+IF(BE453&gt;0,1,0)</f>
        <v>1</v>
      </c>
    </row>
    <row r="454" customFormat="false" ht="15" hidden="false" customHeight="true" outlineLevel="0" collapsed="false">
      <c r="A454" s="16" t="s">
        <v>1236</v>
      </c>
      <c r="B454" s="17" t="s">
        <v>1237</v>
      </c>
      <c r="C454" s="18" t="s">
        <v>53</v>
      </c>
      <c r="D454" s="17" t="s">
        <v>485</v>
      </c>
      <c r="E454" s="29" t="s">
        <v>365</v>
      </c>
      <c r="F454" s="20"/>
      <c r="G454" s="20"/>
      <c r="H454" s="20"/>
      <c r="I454" s="20"/>
      <c r="J454" s="20"/>
      <c r="K454" s="20"/>
      <c r="L454" s="20"/>
      <c r="M454" s="27" t="n">
        <v>663.8</v>
      </c>
      <c r="N454" s="20"/>
      <c r="O454" s="20"/>
      <c r="P454" s="20"/>
      <c r="Q454" s="20"/>
      <c r="R454" s="21" t="n">
        <f aca="false">SUM(F454:Q454)</f>
        <v>663.8</v>
      </c>
      <c r="S454" s="18"/>
      <c r="T454" s="18"/>
      <c r="U454" s="18"/>
      <c r="V454" s="18"/>
      <c r="W454" s="18"/>
      <c r="X454" s="18"/>
      <c r="Y454" s="18"/>
      <c r="Z454" s="28" t="n">
        <v>1</v>
      </c>
      <c r="AA454" s="18"/>
      <c r="AB454" s="18"/>
      <c r="AC454" s="18"/>
      <c r="AD454" s="18"/>
      <c r="AE454" s="22" t="n">
        <f aca="false">SUM(S454:AD454)</f>
        <v>1</v>
      </c>
      <c r="AF454" s="22"/>
      <c r="AG454" s="22"/>
      <c r="AH454" s="22"/>
      <c r="AI454" s="22"/>
      <c r="AJ454" s="22"/>
      <c r="AK454" s="22"/>
      <c r="AL454" s="22"/>
      <c r="AM454" s="29" t="s">
        <v>48</v>
      </c>
      <c r="AN454" s="22"/>
      <c r="AO454" s="22"/>
      <c r="AP454" s="22"/>
      <c r="AQ454" s="22"/>
      <c r="AR454" s="29" t="s">
        <v>48</v>
      </c>
      <c r="AS454" s="18"/>
      <c r="AT454" s="25" t="n">
        <v>27</v>
      </c>
      <c r="AU454" s="25" t="n">
        <v>27</v>
      </c>
      <c r="AV454" s="18"/>
      <c r="AW454" s="18"/>
      <c r="AX454" s="25" t="n">
        <v>1</v>
      </c>
      <c r="AY454" s="25" t="n">
        <v>2</v>
      </c>
      <c r="AZ454" s="18"/>
      <c r="BA454" s="25" t="n">
        <v>1</v>
      </c>
      <c r="BB454" s="18"/>
      <c r="BC454" s="18"/>
      <c r="BD454" s="18"/>
      <c r="BE454" s="22" t="n">
        <f aca="false">SUM(AS454:BD454)</f>
        <v>58</v>
      </c>
      <c r="BF454" s="23"/>
      <c r="BG454" s="31" t="s">
        <v>93</v>
      </c>
      <c r="BH454" s="18"/>
      <c r="BI454" s="18"/>
      <c r="BJ454" s="18"/>
      <c r="BK454" s="18"/>
      <c r="BL454" s="18"/>
      <c r="BM454" s="18"/>
      <c r="BN454" s="18"/>
      <c r="BO454" s="18"/>
      <c r="BP454" s="25" t="n">
        <v>2</v>
      </c>
      <c r="BQ454" s="18"/>
      <c r="BR454" s="25" t="n">
        <v>4</v>
      </c>
      <c r="BS454" s="18"/>
      <c r="BT454" s="22" t="n">
        <f aca="false">SUM(BH454:BS454)</f>
        <v>6</v>
      </c>
      <c r="BU454" s="26" t="n">
        <v>46036.3751736111</v>
      </c>
      <c r="BV454" s="17"/>
      <c r="BW454" s="17" t="s">
        <v>44</v>
      </c>
      <c r="BX454" s="23" t="n">
        <f aca="false">IFERROR(R454/AE454,0)</f>
        <v>663.8</v>
      </c>
      <c r="BY454" s="23" t="n">
        <f aca="false">IFERROR(R454/12,0)</f>
        <v>55.3166666666667</v>
      </c>
      <c r="BZ454" s="18" t="n">
        <v>0</v>
      </c>
      <c r="CA454" s="22" t="str">
        <f aca="false">IF(AE454=0,"PROSPECT",IF(AE454=1,"NOVO",IF(AE454&lt;=3,"EM DESENV.",IF(AE454&lt;=6,"RECORRENTE","FIDELIZADO"))))</f>
        <v>NOVO</v>
      </c>
      <c r="CB454" s="22" t="n">
        <f aca="false">IF((P454+Q454)&gt;0,1,0)+IF((BR454+BS454)&gt;0,1,0)+IF(BE454&gt;0,1,0)</f>
        <v>2</v>
      </c>
    </row>
    <row r="455" customFormat="false" ht="15" hidden="false" customHeight="true" outlineLevel="0" collapsed="false">
      <c r="A455" s="16" t="s">
        <v>1238</v>
      </c>
      <c r="B455" s="17" t="s">
        <v>1239</v>
      </c>
      <c r="C455" s="18" t="s">
        <v>41</v>
      </c>
      <c r="D455" s="17" t="s">
        <v>531</v>
      </c>
      <c r="E455" s="29" t="s">
        <v>365</v>
      </c>
      <c r="F455" s="20"/>
      <c r="G455" s="20"/>
      <c r="H455" s="20"/>
      <c r="I455" s="20"/>
      <c r="J455" s="20"/>
      <c r="K455" s="20"/>
      <c r="L455" s="20"/>
      <c r="M455" s="27" t="n">
        <v>967.93</v>
      </c>
      <c r="N455" s="20"/>
      <c r="O455" s="20"/>
      <c r="P455" s="20"/>
      <c r="Q455" s="20"/>
      <c r="R455" s="21" t="n">
        <f aca="false">SUM(F455:Q455)</f>
        <v>967.93</v>
      </c>
      <c r="S455" s="18"/>
      <c r="T455" s="18"/>
      <c r="U455" s="18"/>
      <c r="V455" s="18"/>
      <c r="W455" s="18"/>
      <c r="X455" s="18"/>
      <c r="Y455" s="18"/>
      <c r="Z455" s="28" t="n">
        <v>1</v>
      </c>
      <c r="AA455" s="18"/>
      <c r="AB455" s="18"/>
      <c r="AC455" s="18"/>
      <c r="AD455" s="18"/>
      <c r="AE455" s="22" t="n">
        <f aca="false">SUM(S455:AD455)</f>
        <v>1</v>
      </c>
      <c r="AF455" s="22"/>
      <c r="AG455" s="22"/>
      <c r="AH455" s="22"/>
      <c r="AI455" s="22"/>
      <c r="AJ455" s="22"/>
      <c r="AK455" s="22"/>
      <c r="AL455" s="22"/>
      <c r="AM455" s="30" t="s">
        <v>49</v>
      </c>
      <c r="AN455" s="22"/>
      <c r="AO455" s="22"/>
      <c r="AP455" s="22"/>
      <c r="AQ455" s="22"/>
      <c r="AR455" s="29" t="s">
        <v>48</v>
      </c>
      <c r="AS455" s="18"/>
      <c r="AT455" s="18"/>
      <c r="AU455" s="18"/>
      <c r="AV455" s="18"/>
      <c r="AW455" s="18"/>
      <c r="AX455" s="18"/>
      <c r="AY455" s="18"/>
      <c r="AZ455" s="18"/>
      <c r="BA455" s="18"/>
      <c r="BB455" s="25" t="n">
        <v>1</v>
      </c>
      <c r="BC455" s="18"/>
      <c r="BD455" s="18"/>
      <c r="BE455" s="22" t="n">
        <f aca="false">SUM(AS455:BD455)</f>
        <v>1</v>
      </c>
      <c r="BF455" s="23"/>
      <c r="BG455" s="31" t="s">
        <v>93</v>
      </c>
      <c r="BH455" s="18"/>
      <c r="BI455" s="18"/>
      <c r="BJ455" s="18"/>
      <c r="BK455" s="18"/>
      <c r="BL455" s="18"/>
      <c r="BM455" s="18"/>
      <c r="BN455" s="18"/>
      <c r="BO455" s="25" t="n">
        <v>1</v>
      </c>
      <c r="BP455" s="25" t="n">
        <v>2</v>
      </c>
      <c r="BQ455" s="18"/>
      <c r="BR455" s="18"/>
      <c r="BS455" s="25" t="n">
        <v>3</v>
      </c>
      <c r="BT455" s="22" t="n">
        <f aca="false">SUM(BH455:BS455)</f>
        <v>6</v>
      </c>
      <c r="BU455" s="26" t="n">
        <v>46056.6631944445</v>
      </c>
      <c r="BV455" s="17"/>
      <c r="BW455" s="17" t="s">
        <v>117</v>
      </c>
      <c r="BX455" s="23" t="n">
        <f aca="false">IFERROR(R455/AE455,0)</f>
        <v>967.93</v>
      </c>
      <c r="BY455" s="23" t="n">
        <f aca="false">IFERROR(R455/12,0)</f>
        <v>80.6608333333333</v>
      </c>
      <c r="BZ455" s="18" t="n">
        <v>0</v>
      </c>
      <c r="CA455" s="22" t="str">
        <f aca="false">IF(AE455=0,"PROSPECT",IF(AE455=1,"NOVO",IF(AE455&lt;=3,"EM DESENV.",IF(AE455&lt;=6,"RECORRENTE","FIDELIZADO"))))</f>
        <v>NOVO</v>
      </c>
      <c r="CB455" s="22" t="n">
        <f aca="false">IF((P455+Q455)&gt;0,1,0)+IF((BR455+BS455)&gt;0,1,0)+IF(BE455&gt;0,1,0)</f>
        <v>2</v>
      </c>
    </row>
    <row r="456" customFormat="false" ht="15" hidden="false" customHeight="true" outlineLevel="0" collapsed="false">
      <c r="A456" s="16" t="s">
        <v>1240</v>
      </c>
      <c r="B456" s="17" t="s">
        <v>1241</v>
      </c>
      <c r="C456" s="18" t="s">
        <v>61</v>
      </c>
      <c r="D456" s="17" t="s">
        <v>92</v>
      </c>
      <c r="E456" s="29" t="s">
        <v>365</v>
      </c>
      <c r="F456" s="20"/>
      <c r="G456" s="20"/>
      <c r="H456" s="20"/>
      <c r="I456" s="20"/>
      <c r="J456" s="27" t="n">
        <v>901.43</v>
      </c>
      <c r="K456" s="20"/>
      <c r="L456" s="20"/>
      <c r="M456" s="20"/>
      <c r="N456" s="27" t="n">
        <v>1516.12</v>
      </c>
      <c r="O456" s="20"/>
      <c r="P456" s="20"/>
      <c r="Q456" s="20"/>
      <c r="R456" s="21" t="n">
        <f aca="false">SUM(F456:Q456)</f>
        <v>2417.55</v>
      </c>
      <c r="S456" s="18"/>
      <c r="T456" s="18"/>
      <c r="U456" s="18"/>
      <c r="V456" s="18"/>
      <c r="W456" s="28" t="n">
        <v>1</v>
      </c>
      <c r="X456" s="18"/>
      <c r="Y456" s="18"/>
      <c r="Z456" s="18"/>
      <c r="AA456" s="28" t="n">
        <v>1</v>
      </c>
      <c r="AB456" s="18"/>
      <c r="AC456" s="18"/>
      <c r="AD456" s="18"/>
      <c r="AE456" s="22" t="n">
        <f aca="false">SUM(S456:AD456)</f>
        <v>2</v>
      </c>
      <c r="AF456" s="22"/>
      <c r="AG456" s="22"/>
      <c r="AH456" s="22"/>
      <c r="AI456" s="22"/>
      <c r="AJ456" s="30" t="s">
        <v>49</v>
      </c>
      <c r="AK456" s="22"/>
      <c r="AL456" s="22"/>
      <c r="AM456" s="22"/>
      <c r="AN456" s="19" t="s">
        <v>50</v>
      </c>
      <c r="AO456" s="22"/>
      <c r="AP456" s="22"/>
      <c r="AQ456" s="22"/>
      <c r="AR456" s="30" t="s">
        <v>49</v>
      </c>
      <c r="AS456" s="18"/>
      <c r="AT456" s="18"/>
      <c r="AU456" s="18"/>
      <c r="AV456" s="18"/>
      <c r="AW456" s="18"/>
      <c r="AX456" s="18"/>
      <c r="AY456" s="18"/>
      <c r="AZ456" s="18"/>
      <c r="BA456" s="25" t="n">
        <v>1</v>
      </c>
      <c r="BB456" s="18"/>
      <c r="BC456" s="18"/>
      <c r="BD456" s="18"/>
      <c r="BE456" s="22" t="n">
        <f aca="false">SUM(AS456:BD456)</f>
        <v>1</v>
      </c>
      <c r="BF456" s="23" t="n">
        <v>1516.12</v>
      </c>
      <c r="BG456" s="19" t="s">
        <v>55</v>
      </c>
      <c r="BH456" s="25" t="n">
        <v>1</v>
      </c>
      <c r="BI456" s="18"/>
      <c r="BJ456" s="25" t="n">
        <v>1</v>
      </c>
      <c r="BK456" s="25" t="n">
        <v>2</v>
      </c>
      <c r="BL456" s="25" t="n">
        <v>2</v>
      </c>
      <c r="BM456" s="25" t="n">
        <v>2</v>
      </c>
      <c r="BN456" s="18"/>
      <c r="BO456" s="18"/>
      <c r="BP456" s="18"/>
      <c r="BQ456" s="25" t="n">
        <v>1</v>
      </c>
      <c r="BR456" s="18"/>
      <c r="BS456" s="18"/>
      <c r="BT456" s="22" t="n">
        <f aca="false">SUM(BH456:BS456)</f>
        <v>9</v>
      </c>
      <c r="BU456" s="26" t="n">
        <v>45999.6098726852</v>
      </c>
      <c r="BV456" s="17"/>
      <c r="BW456" s="17" t="s">
        <v>44</v>
      </c>
      <c r="BX456" s="23" t="n">
        <f aca="false">IFERROR(R456/AE456,0)</f>
        <v>1208.775</v>
      </c>
      <c r="BY456" s="23" t="n">
        <f aca="false">IFERROR(R456/12,0)</f>
        <v>201.4625</v>
      </c>
      <c r="BZ456" s="18" t="n">
        <v>119</v>
      </c>
      <c r="CA456" s="22" t="str">
        <f aca="false">IF(AE456=0,"PROSPECT",IF(AE456=1,"NOVO",IF(AE456&lt;=3,"EM DESENV.",IF(AE456&lt;=6,"RECORRENTE","FIDELIZADO"))))</f>
        <v>EM DESENV.</v>
      </c>
      <c r="CB456" s="22" t="n">
        <f aca="false">IF((P456+Q456)&gt;0,1,0)+IF((BR456+BS456)&gt;0,1,0)+IF(BE456&gt;0,1,0)</f>
        <v>1</v>
      </c>
    </row>
    <row r="457" customFormat="false" ht="15" hidden="false" customHeight="true" outlineLevel="0" collapsed="false">
      <c r="A457" s="16" t="s">
        <v>1242</v>
      </c>
      <c r="B457" s="17" t="s">
        <v>1243</v>
      </c>
      <c r="C457" s="18" t="s">
        <v>263</v>
      </c>
      <c r="D457" s="17" t="s">
        <v>1244</v>
      </c>
      <c r="E457" s="29" t="s">
        <v>365</v>
      </c>
      <c r="F457" s="20"/>
      <c r="G457" s="20"/>
      <c r="H457" s="27" t="n">
        <v>1755.03</v>
      </c>
      <c r="I457" s="20"/>
      <c r="J457" s="27" t="n">
        <v>2930.22</v>
      </c>
      <c r="K457" s="20"/>
      <c r="L457" s="20"/>
      <c r="M457" s="20"/>
      <c r="N457" s="20"/>
      <c r="O457" s="20"/>
      <c r="P457" s="20"/>
      <c r="Q457" s="20"/>
      <c r="R457" s="21" t="n">
        <f aca="false">SUM(F457:Q457)</f>
        <v>4685.25</v>
      </c>
      <c r="S457" s="18"/>
      <c r="T457" s="18"/>
      <c r="U457" s="28" t="n">
        <v>1</v>
      </c>
      <c r="V457" s="18"/>
      <c r="W457" s="28" t="n">
        <v>1</v>
      </c>
      <c r="X457" s="18"/>
      <c r="Y457" s="18"/>
      <c r="Z457" s="18"/>
      <c r="AA457" s="18"/>
      <c r="AB457" s="18"/>
      <c r="AC457" s="18"/>
      <c r="AD457" s="18"/>
      <c r="AE457" s="22" t="n">
        <f aca="false">SUM(S457:AD457)</f>
        <v>2</v>
      </c>
      <c r="AF457" s="22"/>
      <c r="AG457" s="22"/>
      <c r="AH457" s="19" t="s">
        <v>50</v>
      </c>
      <c r="AI457" s="22"/>
      <c r="AJ457" s="19" t="s">
        <v>50</v>
      </c>
      <c r="AK457" s="22"/>
      <c r="AL457" s="22"/>
      <c r="AM457" s="22"/>
      <c r="AN457" s="22"/>
      <c r="AO457" s="22"/>
      <c r="AP457" s="22"/>
      <c r="AQ457" s="22"/>
      <c r="AR457" s="19" t="s">
        <v>50</v>
      </c>
      <c r="AS457" s="18"/>
      <c r="AT457" s="25" t="n">
        <v>1</v>
      </c>
      <c r="AU457" s="25" t="n">
        <v>1</v>
      </c>
      <c r="AV457" s="18"/>
      <c r="AW457" s="25" t="n">
        <v>1</v>
      </c>
      <c r="AX457" s="18"/>
      <c r="AY457" s="18"/>
      <c r="AZ457" s="18"/>
      <c r="BA457" s="18"/>
      <c r="BB457" s="18"/>
      <c r="BC457" s="18"/>
      <c r="BD457" s="18"/>
      <c r="BE457" s="22" t="n">
        <f aca="false">SUM(AS457:BD457)</f>
        <v>3</v>
      </c>
      <c r="BF457" s="23" t="n">
        <v>1755.03</v>
      </c>
      <c r="BG457" s="19" t="s">
        <v>55</v>
      </c>
      <c r="BH457" s="18"/>
      <c r="BI457" s="18"/>
      <c r="BJ457" s="25" t="n">
        <v>1</v>
      </c>
      <c r="BK457" s="25" t="n">
        <v>2</v>
      </c>
      <c r="BL457" s="25" t="n">
        <v>2</v>
      </c>
      <c r="BM457" s="18"/>
      <c r="BN457" s="18"/>
      <c r="BO457" s="18"/>
      <c r="BP457" s="18"/>
      <c r="BQ457" s="25" t="n">
        <v>2</v>
      </c>
      <c r="BR457" s="25" t="n">
        <v>4</v>
      </c>
      <c r="BS457" s="18"/>
      <c r="BT457" s="22" t="n">
        <f aca="false">SUM(BH457:BS457)</f>
        <v>11</v>
      </c>
      <c r="BU457" s="26" t="n">
        <v>46045.4638888889</v>
      </c>
      <c r="BV457" s="17" t="s">
        <v>107</v>
      </c>
      <c r="BW457" s="17" t="s">
        <v>44</v>
      </c>
      <c r="BX457" s="23" t="n">
        <f aca="false">IFERROR(R457/AE457,0)</f>
        <v>2342.625</v>
      </c>
      <c r="BY457" s="23" t="n">
        <f aca="false">IFERROR(R457/12,0)</f>
        <v>390.4375</v>
      </c>
      <c r="BZ457" s="18" t="n">
        <v>72</v>
      </c>
      <c r="CA457" s="22" t="str">
        <f aca="false">IF(AE457=0,"PROSPECT",IF(AE457=1,"NOVO",IF(AE457&lt;=3,"EM DESENV.",IF(AE457&lt;=6,"RECORRENTE","FIDELIZADO"))))</f>
        <v>EM DESENV.</v>
      </c>
      <c r="CB457" s="22" t="n">
        <f aca="false">IF((P457+Q457)&gt;0,1,0)+IF((BR457+BS457)&gt;0,1,0)+IF(BE457&gt;0,1,0)</f>
        <v>2</v>
      </c>
    </row>
    <row r="458" customFormat="false" ht="15" hidden="false" customHeight="true" outlineLevel="0" collapsed="false">
      <c r="A458" s="16" t="s">
        <v>1245</v>
      </c>
      <c r="B458" s="17" t="s">
        <v>1246</v>
      </c>
      <c r="C458" s="18" t="s">
        <v>41</v>
      </c>
      <c r="D458" s="17" t="s">
        <v>721</v>
      </c>
      <c r="E458" s="29" t="s">
        <v>365</v>
      </c>
      <c r="F458" s="20"/>
      <c r="G458" s="27" t="n">
        <v>10306.88</v>
      </c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1" t="n">
        <f aca="false">SUM(F458:Q458)</f>
        <v>10306.88</v>
      </c>
      <c r="S458" s="18"/>
      <c r="T458" s="28" t="n">
        <v>1</v>
      </c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22" t="n">
        <f aca="false">SUM(S458:AD458)</f>
        <v>1</v>
      </c>
      <c r="AF458" s="22"/>
      <c r="AG458" s="19" t="s">
        <v>50</v>
      </c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19" t="s">
        <v>50</v>
      </c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22" t="n">
        <f aca="false">SUM(AS458:BD458)</f>
        <v>0</v>
      </c>
      <c r="BF458" s="23"/>
      <c r="BG458" s="24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22" t="n">
        <f aca="false">SUM(BH458:BS458)</f>
        <v>0</v>
      </c>
      <c r="BU458" s="26"/>
      <c r="BV458" s="17"/>
      <c r="BW458" s="17"/>
      <c r="BX458" s="23" t="n">
        <f aca="false">IFERROR(R458/AE458,0)</f>
        <v>10306.88</v>
      </c>
      <c r="BY458" s="23" t="n">
        <f aca="false">IFERROR(R458/12,0)</f>
        <v>858.906666666667</v>
      </c>
      <c r="BZ458" s="18" t="n">
        <v>0</v>
      </c>
      <c r="CA458" s="22" t="str">
        <f aca="false">IF(AE458=0,"PROSPECT",IF(AE458=1,"NOVO",IF(AE458&lt;=3,"EM DESENV.",IF(AE458&lt;=6,"RECORRENTE","FIDELIZADO"))))</f>
        <v>NOVO</v>
      </c>
      <c r="CB458" s="22" t="n">
        <f aca="false">IF((P458+Q458)&gt;0,1,0)+IF((BR458+BS458)&gt;0,1,0)+IF(BE458&gt;0,1,0)</f>
        <v>0</v>
      </c>
    </row>
    <row r="459" customFormat="false" ht="15" hidden="false" customHeight="true" outlineLevel="0" collapsed="false">
      <c r="A459" s="16" t="s">
        <v>1247</v>
      </c>
      <c r="B459" s="17" t="s">
        <v>1248</v>
      </c>
      <c r="C459" s="18" t="s">
        <v>41</v>
      </c>
      <c r="D459" s="17" t="s">
        <v>42</v>
      </c>
      <c r="E459" s="29" t="s">
        <v>365</v>
      </c>
      <c r="F459" s="20"/>
      <c r="G459" s="27" t="n">
        <v>6881.12</v>
      </c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1" t="n">
        <f aca="false">SUM(F459:Q459)</f>
        <v>6881.12</v>
      </c>
      <c r="S459" s="18"/>
      <c r="T459" s="28" t="n">
        <v>1</v>
      </c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22" t="n">
        <f aca="false">SUM(S459:AD459)</f>
        <v>1</v>
      </c>
      <c r="AF459" s="22"/>
      <c r="AG459" s="19" t="s">
        <v>50</v>
      </c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19" t="s">
        <v>50</v>
      </c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22" t="n">
        <f aca="false">SUM(AS459:BD459)</f>
        <v>0</v>
      </c>
      <c r="BF459" s="23"/>
      <c r="BG459" s="24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22" t="n">
        <f aca="false">SUM(BH459:BS459)</f>
        <v>0</v>
      </c>
      <c r="BU459" s="26"/>
      <c r="BV459" s="17"/>
      <c r="BW459" s="17"/>
      <c r="BX459" s="23" t="n">
        <f aca="false">IFERROR(R459/AE459,0)</f>
        <v>6881.12</v>
      </c>
      <c r="BY459" s="23" t="n">
        <f aca="false">IFERROR(R459/12,0)</f>
        <v>573.426666666667</v>
      </c>
      <c r="BZ459" s="18" t="n">
        <v>0</v>
      </c>
      <c r="CA459" s="22" t="str">
        <f aca="false">IF(AE459=0,"PROSPECT",IF(AE459=1,"NOVO",IF(AE459&lt;=3,"EM DESENV.",IF(AE459&lt;=6,"RECORRENTE","FIDELIZADO"))))</f>
        <v>NOVO</v>
      </c>
      <c r="CB459" s="22" t="n">
        <f aca="false">IF((P459+Q459)&gt;0,1,0)+IF((BR459+BS459)&gt;0,1,0)+IF(BE459&gt;0,1,0)</f>
        <v>0</v>
      </c>
    </row>
    <row r="460" customFormat="false" ht="15" hidden="false" customHeight="true" outlineLevel="0" collapsed="false">
      <c r="A460" s="16" t="s">
        <v>1249</v>
      </c>
      <c r="B460" s="17" t="s">
        <v>1250</v>
      </c>
      <c r="C460" s="18" t="s">
        <v>72</v>
      </c>
      <c r="D460" s="17" t="s">
        <v>76</v>
      </c>
      <c r="E460" s="29" t="s">
        <v>365</v>
      </c>
      <c r="F460" s="20"/>
      <c r="G460" s="20"/>
      <c r="H460" s="20"/>
      <c r="I460" s="20"/>
      <c r="J460" s="20"/>
      <c r="K460" s="20"/>
      <c r="L460" s="27" t="n">
        <v>859.47</v>
      </c>
      <c r="M460" s="20"/>
      <c r="N460" s="20"/>
      <c r="O460" s="20"/>
      <c r="P460" s="20"/>
      <c r="Q460" s="20"/>
      <c r="R460" s="21" t="n">
        <f aca="false">SUM(F460:Q460)</f>
        <v>859.47</v>
      </c>
      <c r="S460" s="18"/>
      <c r="T460" s="18"/>
      <c r="U460" s="18"/>
      <c r="V460" s="18"/>
      <c r="W460" s="18"/>
      <c r="X460" s="18"/>
      <c r="Y460" s="28" t="n">
        <v>1</v>
      </c>
      <c r="Z460" s="18"/>
      <c r="AA460" s="18"/>
      <c r="AB460" s="18"/>
      <c r="AC460" s="18"/>
      <c r="AD460" s="18"/>
      <c r="AE460" s="22" t="n">
        <f aca="false">SUM(S460:AD460)</f>
        <v>1</v>
      </c>
      <c r="AF460" s="22"/>
      <c r="AG460" s="22"/>
      <c r="AH460" s="22"/>
      <c r="AI460" s="22"/>
      <c r="AJ460" s="22"/>
      <c r="AK460" s="22"/>
      <c r="AL460" s="30" t="s">
        <v>49</v>
      </c>
      <c r="AM460" s="22"/>
      <c r="AN460" s="22"/>
      <c r="AO460" s="22"/>
      <c r="AP460" s="22"/>
      <c r="AQ460" s="22"/>
      <c r="AR460" s="29" t="s">
        <v>48</v>
      </c>
      <c r="AS460" s="18"/>
      <c r="AT460" s="18"/>
      <c r="AU460" s="18"/>
      <c r="AV460" s="18"/>
      <c r="AW460" s="18"/>
      <c r="AX460" s="18"/>
      <c r="AY460" s="25" t="n">
        <v>1</v>
      </c>
      <c r="AZ460" s="18"/>
      <c r="BA460" s="18"/>
      <c r="BB460" s="18"/>
      <c r="BC460" s="18"/>
      <c r="BD460" s="18"/>
      <c r="BE460" s="22" t="n">
        <f aca="false">SUM(AS460:BD460)</f>
        <v>1</v>
      </c>
      <c r="BF460" s="23" t="n">
        <v>859.47</v>
      </c>
      <c r="BG460" s="19" t="s">
        <v>55</v>
      </c>
      <c r="BH460" s="18"/>
      <c r="BI460" s="18"/>
      <c r="BJ460" s="25" t="n">
        <v>1</v>
      </c>
      <c r="BK460" s="25" t="n">
        <v>1</v>
      </c>
      <c r="BL460" s="25" t="n">
        <v>3</v>
      </c>
      <c r="BM460" s="18"/>
      <c r="BN460" s="25" t="n">
        <v>1</v>
      </c>
      <c r="BO460" s="25" t="n">
        <v>2</v>
      </c>
      <c r="BP460" s="18"/>
      <c r="BQ460" s="25" t="n">
        <v>2</v>
      </c>
      <c r="BR460" s="25" t="n">
        <v>2</v>
      </c>
      <c r="BS460" s="18"/>
      <c r="BT460" s="22" t="n">
        <f aca="false">SUM(BH460:BS460)</f>
        <v>12</v>
      </c>
      <c r="BU460" s="26" t="n">
        <v>46037.572650463</v>
      </c>
      <c r="BV460" s="17"/>
      <c r="BW460" s="17" t="s">
        <v>44</v>
      </c>
      <c r="BX460" s="23" t="n">
        <f aca="false">IFERROR(R460/AE460,0)</f>
        <v>859.47</v>
      </c>
      <c r="BY460" s="23" t="n">
        <f aca="false">IFERROR(R460/12,0)</f>
        <v>71.6225</v>
      </c>
      <c r="BZ460" s="18" t="n">
        <v>0</v>
      </c>
      <c r="CA460" s="22" t="str">
        <f aca="false">IF(AE460=0,"PROSPECT",IF(AE460=1,"NOVO",IF(AE460&lt;=3,"EM DESENV.",IF(AE460&lt;=6,"RECORRENTE","FIDELIZADO"))))</f>
        <v>NOVO</v>
      </c>
      <c r="CB460" s="22" t="n">
        <f aca="false">IF((P460+Q460)&gt;0,1,0)+IF((BR460+BS460)&gt;0,1,0)+IF(BE460&gt;0,1,0)</f>
        <v>2</v>
      </c>
    </row>
    <row r="461" customFormat="false" ht="15" hidden="false" customHeight="true" outlineLevel="0" collapsed="false">
      <c r="A461" s="16" t="s">
        <v>1251</v>
      </c>
      <c r="B461" s="17" t="s">
        <v>1252</v>
      </c>
      <c r="C461" s="18" t="s">
        <v>53</v>
      </c>
      <c r="D461" s="17" t="s">
        <v>1253</v>
      </c>
      <c r="E461" s="29" t="s">
        <v>365</v>
      </c>
      <c r="F461" s="20"/>
      <c r="G461" s="20"/>
      <c r="H461" s="20"/>
      <c r="I461" s="20"/>
      <c r="J461" s="20"/>
      <c r="K461" s="20"/>
      <c r="L461" s="20"/>
      <c r="M461" s="20"/>
      <c r="N461" s="27" t="n">
        <v>2035.42</v>
      </c>
      <c r="O461" s="20"/>
      <c r="P461" s="20"/>
      <c r="Q461" s="20"/>
      <c r="R461" s="21" t="n">
        <f aca="false">SUM(F461:Q461)</f>
        <v>2035.42</v>
      </c>
      <c r="S461" s="18"/>
      <c r="T461" s="18"/>
      <c r="U461" s="18"/>
      <c r="V461" s="18"/>
      <c r="W461" s="18"/>
      <c r="X461" s="18"/>
      <c r="Y461" s="18"/>
      <c r="Z461" s="18"/>
      <c r="AA461" s="28" t="n">
        <v>1</v>
      </c>
      <c r="AB461" s="18"/>
      <c r="AC461" s="18"/>
      <c r="AD461" s="18"/>
      <c r="AE461" s="22" t="n">
        <f aca="false">SUM(S461:AD461)</f>
        <v>1</v>
      </c>
      <c r="AF461" s="22"/>
      <c r="AG461" s="22"/>
      <c r="AH461" s="22"/>
      <c r="AI461" s="22"/>
      <c r="AJ461" s="22"/>
      <c r="AK461" s="22"/>
      <c r="AL461" s="22"/>
      <c r="AM461" s="22"/>
      <c r="AN461" s="19" t="s">
        <v>50</v>
      </c>
      <c r="AO461" s="22"/>
      <c r="AP461" s="22"/>
      <c r="AQ461" s="22"/>
      <c r="AR461" s="30" t="s">
        <v>49</v>
      </c>
      <c r="AS461" s="18"/>
      <c r="AT461" s="18"/>
      <c r="AU461" s="18"/>
      <c r="AV461" s="18"/>
      <c r="AW461" s="18"/>
      <c r="AX461" s="18"/>
      <c r="AY461" s="18"/>
      <c r="AZ461" s="18"/>
      <c r="BA461" s="25" t="n">
        <v>2</v>
      </c>
      <c r="BB461" s="18"/>
      <c r="BC461" s="18"/>
      <c r="BD461" s="18"/>
      <c r="BE461" s="22" t="n">
        <f aca="false">SUM(AS461:BD461)</f>
        <v>2</v>
      </c>
      <c r="BF461" s="23" t="n">
        <v>2035.42</v>
      </c>
      <c r="BG461" s="19" t="s">
        <v>55</v>
      </c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22" t="n">
        <f aca="false">SUM(BH461:BS461)</f>
        <v>0</v>
      </c>
      <c r="BU461" s="26"/>
      <c r="BV461" s="17"/>
      <c r="BW461" s="17"/>
      <c r="BX461" s="23" t="n">
        <f aca="false">IFERROR(R461/AE461,0)</f>
        <v>2035.42</v>
      </c>
      <c r="BY461" s="23" t="n">
        <f aca="false">IFERROR(R461/12,0)</f>
        <v>169.618333333333</v>
      </c>
      <c r="BZ461" s="18" t="n">
        <v>0</v>
      </c>
      <c r="CA461" s="22" t="str">
        <f aca="false">IF(AE461=0,"PROSPECT",IF(AE461=1,"NOVO",IF(AE461&lt;=3,"EM DESENV.",IF(AE461&lt;=6,"RECORRENTE","FIDELIZADO"))))</f>
        <v>NOVO</v>
      </c>
      <c r="CB461" s="22" t="n">
        <f aca="false">IF((P461+Q461)&gt;0,1,0)+IF((BR461+BS461)&gt;0,1,0)+IF(BE461&gt;0,1,0)</f>
        <v>1</v>
      </c>
    </row>
    <row r="462" customFormat="false" ht="15" hidden="false" customHeight="true" outlineLevel="0" collapsed="false">
      <c r="A462" s="16" t="s">
        <v>1254</v>
      </c>
      <c r="B462" s="17" t="s">
        <v>1255</v>
      </c>
      <c r="C462" s="18" t="s">
        <v>41</v>
      </c>
      <c r="D462" s="17" t="s">
        <v>42</v>
      </c>
      <c r="E462" s="29" t="s">
        <v>365</v>
      </c>
      <c r="F462" s="20"/>
      <c r="G462" s="20"/>
      <c r="H462" s="27" t="n">
        <v>528.27</v>
      </c>
      <c r="I462" s="20"/>
      <c r="J462" s="20"/>
      <c r="K462" s="20"/>
      <c r="L462" s="27" t="n">
        <v>691.39</v>
      </c>
      <c r="M462" s="20"/>
      <c r="N462" s="20"/>
      <c r="O462" s="20"/>
      <c r="P462" s="20"/>
      <c r="Q462" s="20"/>
      <c r="R462" s="21" t="n">
        <f aca="false">SUM(F462:Q462)</f>
        <v>1219.66</v>
      </c>
      <c r="S462" s="18"/>
      <c r="T462" s="18"/>
      <c r="U462" s="28" t="n">
        <v>1</v>
      </c>
      <c r="V462" s="18"/>
      <c r="W462" s="18"/>
      <c r="X462" s="18"/>
      <c r="Y462" s="28" t="n">
        <v>1</v>
      </c>
      <c r="Z462" s="18"/>
      <c r="AA462" s="18"/>
      <c r="AB462" s="18"/>
      <c r="AC462" s="18"/>
      <c r="AD462" s="18"/>
      <c r="AE462" s="22" t="n">
        <f aca="false">SUM(S462:AD462)</f>
        <v>2</v>
      </c>
      <c r="AF462" s="22"/>
      <c r="AG462" s="22"/>
      <c r="AH462" s="29" t="s">
        <v>48</v>
      </c>
      <c r="AI462" s="22"/>
      <c r="AJ462" s="22"/>
      <c r="AK462" s="22"/>
      <c r="AL462" s="29" t="s">
        <v>48</v>
      </c>
      <c r="AM462" s="22"/>
      <c r="AN462" s="22"/>
      <c r="AO462" s="22"/>
      <c r="AP462" s="22"/>
      <c r="AQ462" s="22"/>
      <c r="AR462" s="30" t="s">
        <v>49</v>
      </c>
      <c r="AS462" s="18"/>
      <c r="AT462" s="18"/>
      <c r="AU462" s="18"/>
      <c r="AV462" s="18"/>
      <c r="AW462" s="25" t="n">
        <v>2</v>
      </c>
      <c r="AX462" s="18"/>
      <c r="AY462" s="18"/>
      <c r="AZ462" s="18"/>
      <c r="BA462" s="18"/>
      <c r="BB462" s="18"/>
      <c r="BC462" s="18"/>
      <c r="BD462" s="18"/>
      <c r="BE462" s="22" t="n">
        <f aca="false">SUM(AS462:BD462)</f>
        <v>2</v>
      </c>
      <c r="BF462" s="23"/>
      <c r="BG462" s="31" t="s">
        <v>93</v>
      </c>
      <c r="BH462" s="18"/>
      <c r="BI462" s="18"/>
      <c r="BJ462" s="18"/>
      <c r="BK462" s="18"/>
      <c r="BL462" s="18"/>
      <c r="BM462" s="18"/>
      <c r="BN462" s="18"/>
      <c r="BO462" s="25" t="n">
        <v>2</v>
      </c>
      <c r="BP462" s="18"/>
      <c r="BQ462" s="18"/>
      <c r="BR462" s="18"/>
      <c r="BS462" s="25" t="n">
        <v>2</v>
      </c>
      <c r="BT462" s="22" t="n">
        <f aca="false">SUM(BH462:BS462)</f>
        <v>4</v>
      </c>
      <c r="BU462" s="26" t="n">
        <v>46059.4583333333</v>
      </c>
      <c r="BV462" s="17"/>
      <c r="BW462" s="17" t="s">
        <v>44</v>
      </c>
      <c r="BX462" s="23" t="n">
        <f aca="false">IFERROR(R462/AE462,0)</f>
        <v>609.83</v>
      </c>
      <c r="BY462" s="23" t="n">
        <f aca="false">IFERROR(R462/12,0)</f>
        <v>101.638333333333</v>
      </c>
      <c r="BZ462" s="18" t="n">
        <v>117</v>
      </c>
      <c r="CA462" s="22" t="str">
        <f aca="false">IF(AE462=0,"PROSPECT",IF(AE462=1,"NOVO",IF(AE462&lt;=3,"EM DESENV.",IF(AE462&lt;=6,"RECORRENTE","FIDELIZADO"))))</f>
        <v>EM DESENV.</v>
      </c>
      <c r="CB462" s="22" t="n">
        <f aca="false">IF((P462+Q462)&gt;0,1,0)+IF((BR462+BS462)&gt;0,1,0)+IF(BE462&gt;0,1,0)</f>
        <v>2</v>
      </c>
    </row>
    <row r="463" customFormat="false" ht="15" hidden="false" customHeight="true" outlineLevel="0" collapsed="false">
      <c r="A463" s="16" t="s">
        <v>1256</v>
      </c>
      <c r="B463" s="17" t="s">
        <v>1257</v>
      </c>
      <c r="C463" s="18" t="s">
        <v>127</v>
      </c>
      <c r="D463" s="17" t="s">
        <v>1258</v>
      </c>
      <c r="E463" s="29" t="s">
        <v>365</v>
      </c>
      <c r="F463" s="20"/>
      <c r="G463" s="20"/>
      <c r="H463" s="20"/>
      <c r="I463" s="20"/>
      <c r="J463" s="20"/>
      <c r="K463" s="20"/>
      <c r="L463" s="20"/>
      <c r="M463" s="20"/>
      <c r="N463" s="20"/>
      <c r="O463" s="27" t="n">
        <v>2500.66</v>
      </c>
      <c r="P463" s="20"/>
      <c r="Q463" s="20"/>
      <c r="R463" s="21" t="n">
        <f aca="false">SUM(F463:Q463)</f>
        <v>2500.66</v>
      </c>
      <c r="S463" s="18"/>
      <c r="T463" s="18"/>
      <c r="U463" s="18"/>
      <c r="V463" s="18"/>
      <c r="W463" s="18"/>
      <c r="X463" s="18"/>
      <c r="Y463" s="18"/>
      <c r="Z463" s="18"/>
      <c r="AA463" s="18"/>
      <c r="AB463" s="28" t="n">
        <v>1</v>
      </c>
      <c r="AC463" s="18"/>
      <c r="AD463" s="18"/>
      <c r="AE463" s="22" t="n">
        <f aca="false">SUM(S463:AD463)</f>
        <v>1</v>
      </c>
      <c r="AF463" s="22"/>
      <c r="AG463" s="22"/>
      <c r="AH463" s="22"/>
      <c r="AI463" s="22"/>
      <c r="AJ463" s="22"/>
      <c r="AK463" s="22"/>
      <c r="AL463" s="22"/>
      <c r="AM463" s="22"/>
      <c r="AN463" s="22"/>
      <c r="AO463" s="19" t="s">
        <v>50</v>
      </c>
      <c r="AP463" s="22"/>
      <c r="AQ463" s="22"/>
      <c r="AR463" s="19" t="s">
        <v>50</v>
      </c>
      <c r="AS463" s="18"/>
      <c r="AT463" s="18"/>
      <c r="AU463" s="18"/>
      <c r="AV463" s="18"/>
      <c r="AW463" s="18"/>
      <c r="AX463" s="18"/>
      <c r="AY463" s="18"/>
      <c r="AZ463" s="18"/>
      <c r="BA463" s="18"/>
      <c r="BB463" s="25" t="n">
        <v>7</v>
      </c>
      <c r="BC463" s="18"/>
      <c r="BD463" s="18"/>
      <c r="BE463" s="22" t="n">
        <f aca="false">SUM(AS463:BD463)</f>
        <v>7</v>
      </c>
      <c r="BF463" s="23" t="n">
        <v>2500.66</v>
      </c>
      <c r="BG463" s="19" t="s">
        <v>55</v>
      </c>
      <c r="BH463" s="18"/>
      <c r="BI463" s="18"/>
      <c r="BJ463" s="18"/>
      <c r="BK463" s="18"/>
      <c r="BL463" s="18"/>
      <c r="BM463" s="18"/>
      <c r="BN463" s="18"/>
      <c r="BO463" s="18"/>
      <c r="BP463" s="25" t="n">
        <v>2</v>
      </c>
      <c r="BQ463" s="18"/>
      <c r="BR463" s="25" t="n">
        <v>3</v>
      </c>
      <c r="BS463" s="25" t="n">
        <v>3</v>
      </c>
      <c r="BT463" s="22" t="n">
        <f aca="false">SUM(BH463:BS463)</f>
        <v>8</v>
      </c>
      <c r="BU463" s="26" t="n">
        <v>46057.4708333333</v>
      </c>
      <c r="BV463" s="17" t="s">
        <v>124</v>
      </c>
      <c r="BW463" s="17" t="s">
        <v>44</v>
      </c>
      <c r="BX463" s="23" t="n">
        <f aca="false">IFERROR(R463/AE463,0)</f>
        <v>2500.66</v>
      </c>
      <c r="BY463" s="23" t="n">
        <f aca="false">IFERROR(R463/12,0)</f>
        <v>208.388333333333</v>
      </c>
      <c r="BZ463" s="18" t="n">
        <v>0</v>
      </c>
      <c r="CA463" s="22" t="str">
        <f aca="false">IF(AE463=0,"PROSPECT",IF(AE463=1,"NOVO",IF(AE463&lt;=3,"EM DESENV.",IF(AE463&lt;=6,"RECORRENTE","FIDELIZADO"))))</f>
        <v>NOVO</v>
      </c>
      <c r="CB463" s="22" t="n">
        <f aca="false">IF((P463+Q463)&gt;0,1,0)+IF((BR463+BS463)&gt;0,1,0)+IF(BE463&gt;0,1,0)</f>
        <v>2</v>
      </c>
    </row>
    <row r="464" customFormat="false" ht="15" hidden="false" customHeight="true" outlineLevel="0" collapsed="false">
      <c r="A464" s="16" t="s">
        <v>1259</v>
      </c>
      <c r="B464" s="17" t="s">
        <v>1260</v>
      </c>
      <c r="C464" s="18" t="s">
        <v>72</v>
      </c>
      <c r="D464" s="17" t="s">
        <v>1261</v>
      </c>
      <c r="E464" s="29" t="s">
        <v>365</v>
      </c>
      <c r="F464" s="20"/>
      <c r="G464" s="20"/>
      <c r="H464" s="20"/>
      <c r="I464" s="20"/>
      <c r="J464" s="20"/>
      <c r="K464" s="20"/>
      <c r="L464" s="20"/>
      <c r="M464" s="20"/>
      <c r="N464" s="20"/>
      <c r="O464" s="27" t="n">
        <v>1611.18</v>
      </c>
      <c r="P464" s="20"/>
      <c r="Q464" s="20"/>
      <c r="R464" s="21" t="n">
        <f aca="false">SUM(F464:Q464)</f>
        <v>1611.18</v>
      </c>
      <c r="S464" s="18"/>
      <c r="T464" s="18"/>
      <c r="U464" s="18"/>
      <c r="V464" s="18"/>
      <c r="W464" s="18"/>
      <c r="X464" s="18"/>
      <c r="Y464" s="18"/>
      <c r="Z464" s="18"/>
      <c r="AA464" s="18"/>
      <c r="AB464" s="28" t="n">
        <v>1</v>
      </c>
      <c r="AC464" s="18"/>
      <c r="AD464" s="18"/>
      <c r="AE464" s="22" t="n">
        <f aca="false">SUM(S464:AD464)</f>
        <v>1</v>
      </c>
      <c r="AF464" s="22"/>
      <c r="AG464" s="22"/>
      <c r="AH464" s="22"/>
      <c r="AI464" s="22"/>
      <c r="AJ464" s="22"/>
      <c r="AK464" s="22"/>
      <c r="AL464" s="22"/>
      <c r="AM464" s="22"/>
      <c r="AN464" s="22"/>
      <c r="AO464" s="19" t="s">
        <v>50</v>
      </c>
      <c r="AP464" s="22"/>
      <c r="AQ464" s="22"/>
      <c r="AR464" s="30" t="s">
        <v>49</v>
      </c>
      <c r="AS464" s="18"/>
      <c r="AT464" s="18"/>
      <c r="AU464" s="18"/>
      <c r="AV464" s="18"/>
      <c r="AW464" s="18"/>
      <c r="AX464" s="18"/>
      <c r="AY464" s="25" t="n">
        <v>1</v>
      </c>
      <c r="AZ464" s="18"/>
      <c r="BA464" s="18"/>
      <c r="BB464" s="25" t="n">
        <v>4</v>
      </c>
      <c r="BC464" s="18"/>
      <c r="BD464" s="18"/>
      <c r="BE464" s="22" t="n">
        <f aca="false">SUM(AS464:BD464)</f>
        <v>5</v>
      </c>
      <c r="BF464" s="23" t="n">
        <v>1611.18</v>
      </c>
      <c r="BG464" s="19" t="s">
        <v>55</v>
      </c>
      <c r="BH464" s="25" t="n">
        <v>1</v>
      </c>
      <c r="BI464" s="25" t="n">
        <v>1</v>
      </c>
      <c r="BJ464" s="25" t="n">
        <v>4</v>
      </c>
      <c r="BK464" s="25" t="n">
        <v>1</v>
      </c>
      <c r="BL464" s="25" t="n">
        <v>1</v>
      </c>
      <c r="BM464" s="18"/>
      <c r="BN464" s="25" t="n">
        <v>1</v>
      </c>
      <c r="BO464" s="18"/>
      <c r="BP464" s="18"/>
      <c r="BQ464" s="25" t="n">
        <v>2</v>
      </c>
      <c r="BR464" s="25" t="n">
        <v>3</v>
      </c>
      <c r="BS464" s="25" t="n">
        <v>2</v>
      </c>
      <c r="BT464" s="22" t="n">
        <f aca="false">SUM(BH464:BS464)</f>
        <v>16</v>
      </c>
      <c r="BU464" s="26" t="n">
        <v>46056.4041666667</v>
      </c>
      <c r="BV464" s="17"/>
      <c r="BW464" s="17" t="s">
        <v>44</v>
      </c>
      <c r="BX464" s="23" t="n">
        <f aca="false">IFERROR(R464/AE464,0)</f>
        <v>1611.18</v>
      </c>
      <c r="BY464" s="23" t="n">
        <f aca="false">IFERROR(R464/12,0)</f>
        <v>134.265</v>
      </c>
      <c r="BZ464" s="18" t="n">
        <v>0</v>
      </c>
      <c r="CA464" s="22" t="str">
        <f aca="false">IF(AE464=0,"PROSPECT",IF(AE464=1,"NOVO",IF(AE464&lt;=3,"EM DESENV.",IF(AE464&lt;=6,"RECORRENTE","FIDELIZADO"))))</f>
        <v>NOVO</v>
      </c>
      <c r="CB464" s="22" t="n">
        <f aca="false">IF((P464+Q464)&gt;0,1,0)+IF((BR464+BS464)&gt;0,1,0)+IF(BE464&gt;0,1,0)</f>
        <v>2</v>
      </c>
    </row>
    <row r="465" customFormat="false" ht="15" hidden="false" customHeight="true" outlineLevel="0" collapsed="false">
      <c r="A465" s="16" t="s">
        <v>1262</v>
      </c>
      <c r="B465" s="17" t="s">
        <v>1263</v>
      </c>
      <c r="C465" s="18" t="s">
        <v>53</v>
      </c>
      <c r="D465" s="17" t="s">
        <v>1264</v>
      </c>
      <c r="E465" s="29" t="s">
        <v>365</v>
      </c>
      <c r="F465" s="20"/>
      <c r="G465" s="20"/>
      <c r="H465" s="20"/>
      <c r="I465" s="20"/>
      <c r="J465" s="20"/>
      <c r="K465" s="20"/>
      <c r="L465" s="27" t="n">
        <v>1142.96</v>
      </c>
      <c r="M465" s="27" t="n">
        <v>1142.96</v>
      </c>
      <c r="N465" s="20"/>
      <c r="O465" s="20"/>
      <c r="P465" s="20"/>
      <c r="Q465" s="20"/>
      <c r="R465" s="21" t="n">
        <f aca="false">SUM(F465:Q465)</f>
        <v>2285.92</v>
      </c>
      <c r="S465" s="18"/>
      <c r="T465" s="18"/>
      <c r="U465" s="18"/>
      <c r="V465" s="18"/>
      <c r="W465" s="18"/>
      <c r="X465" s="18"/>
      <c r="Y465" s="28" t="n">
        <v>1</v>
      </c>
      <c r="Z465" s="28" t="n">
        <v>1</v>
      </c>
      <c r="AA465" s="18"/>
      <c r="AB465" s="18"/>
      <c r="AC465" s="18"/>
      <c r="AD465" s="18"/>
      <c r="AE465" s="22" t="n">
        <f aca="false">SUM(S465:AD465)</f>
        <v>2</v>
      </c>
      <c r="AF465" s="22"/>
      <c r="AG465" s="22"/>
      <c r="AH465" s="22"/>
      <c r="AI465" s="22"/>
      <c r="AJ465" s="22"/>
      <c r="AK465" s="22"/>
      <c r="AL465" s="30" t="s">
        <v>49</v>
      </c>
      <c r="AM465" s="30" t="s">
        <v>49</v>
      </c>
      <c r="AN465" s="22"/>
      <c r="AO465" s="22"/>
      <c r="AP465" s="22"/>
      <c r="AQ465" s="22"/>
      <c r="AR465" s="30" t="s">
        <v>49</v>
      </c>
      <c r="AS465" s="18"/>
      <c r="AT465" s="18"/>
      <c r="AU465" s="18"/>
      <c r="AV465" s="18"/>
      <c r="AW465" s="18"/>
      <c r="AX465" s="18"/>
      <c r="AY465" s="25" t="n">
        <v>1</v>
      </c>
      <c r="AZ465" s="18"/>
      <c r="BA465" s="25" t="n">
        <v>1</v>
      </c>
      <c r="BB465" s="18"/>
      <c r="BC465" s="18"/>
      <c r="BD465" s="18"/>
      <c r="BE465" s="22" t="n">
        <f aca="false">SUM(AS465:BD465)</f>
        <v>2</v>
      </c>
      <c r="BF465" s="23"/>
      <c r="BG465" s="31" t="s">
        <v>93</v>
      </c>
      <c r="BH465" s="18"/>
      <c r="BI465" s="18"/>
      <c r="BJ465" s="18"/>
      <c r="BK465" s="18"/>
      <c r="BL465" s="18"/>
      <c r="BM465" s="18"/>
      <c r="BN465" s="18"/>
      <c r="BO465" s="18"/>
      <c r="BP465" s="25" t="n">
        <v>2</v>
      </c>
      <c r="BQ465" s="18"/>
      <c r="BR465" s="25" t="n">
        <v>2</v>
      </c>
      <c r="BS465" s="18"/>
      <c r="BT465" s="22" t="n">
        <f aca="false">SUM(BH465:BS465)</f>
        <v>4</v>
      </c>
      <c r="BU465" s="26" t="n">
        <v>46036.3862037037</v>
      </c>
      <c r="BV465" s="17"/>
      <c r="BW465" s="17" t="s">
        <v>44</v>
      </c>
      <c r="BX465" s="23" t="n">
        <f aca="false">IFERROR(R465/AE465,0)</f>
        <v>1142.96</v>
      </c>
      <c r="BY465" s="23" t="n">
        <f aca="false">IFERROR(R465/12,0)</f>
        <v>190.493333333333</v>
      </c>
      <c r="BZ465" s="18" t="n">
        <v>0</v>
      </c>
      <c r="CA465" s="22" t="str">
        <f aca="false">IF(AE465=0,"PROSPECT",IF(AE465=1,"NOVO",IF(AE465&lt;=3,"EM DESENV.",IF(AE465&lt;=6,"RECORRENTE","FIDELIZADO"))))</f>
        <v>EM DESENV.</v>
      </c>
      <c r="CB465" s="22" t="n">
        <f aca="false">IF((P465+Q465)&gt;0,1,0)+IF((BR465+BS465)&gt;0,1,0)+IF(BE465&gt;0,1,0)</f>
        <v>2</v>
      </c>
    </row>
    <row r="466" customFormat="false" ht="15" hidden="false" customHeight="true" outlineLevel="0" collapsed="false">
      <c r="A466" s="16" t="s">
        <v>1265</v>
      </c>
      <c r="B466" s="17" t="s">
        <v>1266</v>
      </c>
      <c r="C466" s="18" t="s">
        <v>53</v>
      </c>
      <c r="D466" s="17" t="s">
        <v>234</v>
      </c>
      <c r="E466" s="29" t="s">
        <v>365</v>
      </c>
      <c r="F466" s="20"/>
      <c r="G466" s="20"/>
      <c r="H466" s="20"/>
      <c r="I466" s="20"/>
      <c r="J466" s="20"/>
      <c r="K466" s="20"/>
      <c r="L466" s="20"/>
      <c r="M466" s="27" t="n">
        <v>660.45</v>
      </c>
      <c r="N466" s="20"/>
      <c r="O466" s="20"/>
      <c r="P466" s="20"/>
      <c r="Q466" s="20"/>
      <c r="R466" s="21" t="n">
        <f aca="false">SUM(F466:Q466)</f>
        <v>660.45</v>
      </c>
      <c r="S466" s="18"/>
      <c r="T466" s="18"/>
      <c r="U466" s="18"/>
      <c r="V466" s="18"/>
      <c r="W466" s="18"/>
      <c r="X466" s="18"/>
      <c r="Y466" s="18"/>
      <c r="Z466" s="28" t="n">
        <v>1</v>
      </c>
      <c r="AA466" s="18"/>
      <c r="AB466" s="18"/>
      <c r="AC466" s="18"/>
      <c r="AD466" s="18"/>
      <c r="AE466" s="22" t="n">
        <f aca="false">SUM(S466:AD466)</f>
        <v>1</v>
      </c>
      <c r="AF466" s="22"/>
      <c r="AG466" s="22"/>
      <c r="AH466" s="22"/>
      <c r="AI466" s="22"/>
      <c r="AJ466" s="22"/>
      <c r="AK466" s="22"/>
      <c r="AL466" s="22"/>
      <c r="AM466" s="29" t="s">
        <v>48</v>
      </c>
      <c r="AN466" s="22"/>
      <c r="AO466" s="22"/>
      <c r="AP466" s="22"/>
      <c r="AQ466" s="22"/>
      <c r="AR466" s="29" t="s">
        <v>48</v>
      </c>
      <c r="AS466" s="18"/>
      <c r="AT466" s="18"/>
      <c r="AU466" s="18"/>
      <c r="AV466" s="25" t="n">
        <v>2</v>
      </c>
      <c r="AW466" s="18"/>
      <c r="AX466" s="18"/>
      <c r="AY466" s="18"/>
      <c r="AZ466" s="18"/>
      <c r="BA466" s="18"/>
      <c r="BB466" s="18"/>
      <c r="BC466" s="18"/>
      <c r="BD466" s="18"/>
      <c r="BE466" s="22" t="n">
        <f aca="false">SUM(AS466:BD466)</f>
        <v>2</v>
      </c>
      <c r="BF466" s="23"/>
      <c r="BG466" s="31" t="s">
        <v>93</v>
      </c>
      <c r="BH466" s="18"/>
      <c r="BI466" s="18"/>
      <c r="BJ466" s="18"/>
      <c r="BK466" s="25" t="n">
        <v>1</v>
      </c>
      <c r="BL466" s="18"/>
      <c r="BM466" s="18"/>
      <c r="BN466" s="18"/>
      <c r="BO466" s="18"/>
      <c r="BP466" s="25" t="n">
        <v>1</v>
      </c>
      <c r="BQ466" s="18"/>
      <c r="BR466" s="25" t="n">
        <v>2</v>
      </c>
      <c r="BS466" s="18"/>
      <c r="BT466" s="22" t="n">
        <f aca="false">SUM(BH466:BS466)</f>
        <v>4</v>
      </c>
      <c r="BU466" s="26" t="n">
        <v>46036.38125</v>
      </c>
      <c r="BV466" s="17" t="s">
        <v>243</v>
      </c>
      <c r="BW466" s="17" t="s">
        <v>44</v>
      </c>
      <c r="BX466" s="23" t="n">
        <f aca="false">IFERROR(R466/AE466,0)</f>
        <v>660.45</v>
      </c>
      <c r="BY466" s="23" t="n">
        <f aca="false">IFERROR(R466/12,0)</f>
        <v>55.0375</v>
      </c>
      <c r="BZ466" s="18" t="n">
        <v>0</v>
      </c>
      <c r="CA466" s="22" t="str">
        <f aca="false">IF(AE466=0,"PROSPECT",IF(AE466=1,"NOVO",IF(AE466&lt;=3,"EM DESENV.",IF(AE466&lt;=6,"RECORRENTE","FIDELIZADO"))))</f>
        <v>NOVO</v>
      </c>
      <c r="CB466" s="22" t="n">
        <f aca="false">IF((P466+Q466)&gt;0,1,0)+IF((BR466+BS466)&gt;0,1,0)+IF(BE466&gt;0,1,0)</f>
        <v>2</v>
      </c>
    </row>
    <row r="467" customFormat="false" ht="15" hidden="false" customHeight="true" outlineLevel="0" collapsed="false">
      <c r="A467" s="16" t="s">
        <v>1267</v>
      </c>
      <c r="B467" s="17" t="s">
        <v>1268</v>
      </c>
      <c r="C467" s="18" t="s">
        <v>41</v>
      </c>
      <c r="D467" s="17" t="s">
        <v>42</v>
      </c>
      <c r="E467" s="29" t="s">
        <v>365</v>
      </c>
      <c r="F467" s="20"/>
      <c r="G467" s="20"/>
      <c r="H467" s="20"/>
      <c r="I467" s="20"/>
      <c r="J467" s="20"/>
      <c r="K467" s="27" t="n">
        <v>708.5</v>
      </c>
      <c r="L467" s="20"/>
      <c r="M467" s="20"/>
      <c r="N467" s="20"/>
      <c r="O467" s="20"/>
      <c r="P467" s="20"/>
      <c r="Q467" s="20"/>
      <c r="R467" s="21" t="n">
        <f aca="false">SUM(F467:Q467)</f>
        <v>708.5</v>
      </c>
      <c r="S467" s="18"/>
      <c r="T467" s="18"/>
      <c r="U467" s="18"/>
      <c r="V467" s="18"/>
      <c r="W467" s="18"/>
      <c r="X467" s="28" t="n">
        <v>1</v>
      </c>
      <c r="Y467" s="18"/>
      <c r="Z467" s="18"/>
      <c r="AA467" s="18"/>
      <c r="AB467" s="18"/>
      <c r="AC467" s="18"/>
      <c r="AD467" s="18"/>
      <c r="AE467" s="22" t="n">
        <f aca="false">SUM(S467:AD467)</f>
        <v>1</v>
      </c>
      <c r="AF467" s="22"/>
      <c r="AG467" s="22"/>
      <c r="AH467" s="22"/>
      <c r="AI467" s="22"/>
      <c r="AJ467" s="22"/>
      <c r="AK467" s="29" t="s">
        <v>48</v>
      </c>
      <c r="AL467" s="22"/>
      <c r="AM467" s="22"/>
      <c r="AN467" s="22"/>
      <c r="AO467" s="22"/>
      <c r="AP467" s="22"/>
      <c r="AQ467" s="22"/>
      <c r="AR467" s="29" t="s">
        <v>48</v>
      </c>
      <c r="AS467" s="18"/>
      <c r="AT467" s="18"/>
      <c r="AU467" s="18"/>
      <c r="AV467" s="18"/>
      <c r="AW467" s="18"/>
      <c r="AX467" s="25" t="n">
        <v>6</v>
      </c>
      <c r="AY467" s="18"/>
      <c r="AZ467" s="18"/>
      <c r="BA467" s="18"/>
      <c r="BB467" s="18"/>
      <c r="BC467" s="18"/>
      <c r="BD467" s="18"/>
      <c r="BE467" s="22" t="n">
        <f aca="false">SUM(AS467:BD467)</f>
        <v>6</v>
      </c>
      <c r="BF467" s="23" t="n">
        <v>708.5</v>
      </c>
      <c r="BG467" s="19" t="s">
        <v>55</v>
      </c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25" t="n">
        <v>2</v>
      </c>
      <c r="BT467" s="22" t="n">
        <f aca="false">SUM(BH467:BS467)</f>
        <v>2</v>
      </c>
      <c r="BU467" s="26" t="n">
        <v>46058.4666666667</v>
      </c>
      <c r="BV467" s="17"/>
      <c r="BW467" s="17" t="s">
        <v>44</v>
      </c>
      <c r="BX467" s="23" t="n">
        <f aca="false">IFERROR(R467/AE467,0)</f>
        <v>708.5</v>
      </c>
      <c r="BY467" s="23" t="n">
        <f aca="false">IFERROR(R467/12,0)</f>
        <v>59.0416666666667</v>
      </c>
      <c r="BZ467" s="18" t="n">
        <v>0</v>
      </c>
      <c r="CA467" s="22" t="str">
        <f aca="false">IF(AE467=0,"PROSPECT",IF(AE467=1,"NOVO",IF(AE467&lt;=3,"EM DESENV.",IF(AE467&lt;=6,"RECORRENTE","FIDELIZADO"))))</f>
        <v>NOVO</v>
      </c>
      <c r="CB467" s="22" t="n">
        <f aca="false">IF((P467+Q467)&gt;0,1,0)+IF((BR467+BS467)&gt;0,1,0)+IF(BE467&gt;0,1,0)</f>
        <v>2</v>
      </c>
    </row>
    <row r="468" customFormat="false" ht="15" hidden="false" customHeight="true" outlineLevel="0" collapsed="false">
      <c r="A468" s="16" t="s">
        <v>1269</v>
      </c>
      <c r="B468" s="17" t="s">
        <v>1270</v>
      </c>
      <c r="C468" s="18" t="s">
        <v>41</v>
      </c>
      <c r="D468" s="17" t="s">
        <v>42</v>
      </c>
      <c r="E468" s="29" t="s">
        <v>365</v>
      </c>
      <c r="F468" s="20"/>
      <c r="G468" s="20"/>
      <c r="H468" s="20"/>
      <c r="I468" s="20"/>
      <c r="J468" s="20"/>
      <c r="K468" s="27" t="n">
        <v>750.5</v>
      </c>
      <c r="L468" s="20"/>
      <c r="M468" s="20"/>
      <c r="N468" s="20"/>
      <c r="O468" s="20"/>
      <c r="P468" s="20"/>
      <c r="Q468" s="20"/>
      <c r="R468" s="21" t="n">
        <f aca="false">SUM(F468:Q468)</f>
        <v>750.5</v>
      </c>
      <c r="S468" s="18"/>
      <c r="T468" s="18"/>
      <c r="U468" s="18"/>
      <c r="V468" s="18"/>
      <c r="W468" s="18"/>
      <c r="X468" s="28" t="n">
        <v>1</v>
      </c>
      <c r="Y468" s="18"/>
      <c r="Z468" s="18"/>
      <c r="AA468" s="18"/>
      <c r="AB468" s="18"/>
      <c r="AC468" s="18"/>
      <c r="AD468" s="18"/>
      <c r="AE468" s="22" t="n">
        <f aca="false">SUM(S468:AD468)</f>
        <v>1</v>
      </c>
      <c r="AF468" s="22"/>
      <c r="AG468" s="22"/>
      <c r="AH468" s="22"/>
      <c r="AI468" s="22"/>
      <c r="AJ468" s="22"/>
      <c r="AK468" s="30" t="s">
        <v>49</v>
      </c>
      <c r="AL468" s="22"/>
      <c r="AM468" s="22"/>
      <c r="AN468" s="22"/>
      <c r="AO468" s="22"/>
      <c r="AP468" s="22"/>
      <c r="AQ468" s="22"/>
      <c r="AR468" s="29" t="s">
        <v>48</v>
      </c>
      <c r="AS468" s="18"/>
      <c r="AT468" s="18"/>
      <c r="AU468" s="18"/>
      <c r="AV468" s="18"/>
      <c r="AW468" s="18"/>
      <c r="AX468" s="25" t="n">
        <v>3</v>
      </c>
      <c r="AY468" s="18"/>
      <c r="AZ468" s="18"/>
      <c r="BA468" s="18"/>
      <c r="BB468" s="18"/>
      <c r="BC468" s="18"/>
      <c r="BD468" s="18"/>
      <c r="BE468" s="22" t="n">
        <f aca="false">SUM(AS468:BD468)</f>
        <v>3</v>
      </c>
      <c r="BF468" s="23" t="n">
        <v>750.5</v>
      </c>
      <c r="BG468" s="19" t="s">
        <v>55</v>
      </c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25" t="n">
        <v>2</v>
      </c>
      <c r="BT468" s="22" t="n">
        <f aca="false">SUM(BH468:BS468)</f>
        <v>2</v>
      </c>
      <c r="BU468" s="26" t="n">
        <v>46058.4673611111</v>
      </c>
      <c r="BV468" s="17"/>
      <c r="BW468" s="17" t="s">
        <v>44</v>
      </c>
      <c r="BX468" s="23" t="n">
        <f aca="false">IFERROR(R468/AE468,0)</f>
        <v>750.5</v>
      </c>
      <c r="BY468" s="23" t="n">
        <f aca="false">IFERROR(R468/12,0)</f>
        <v>62.5416666666667</v>
      </c>
      <c r="BZ468" s="18" t="n">
        <v>0</v>
      </c>
      <c r="CA468" s="22" t="str">
        <f aca="false">IF(AE468=0,"PROSPECT",IF(AE468=1,"NOVO",IF(AE468&lt;=3,"EM DESENV.",IF(AE468&lt;=6,"RECORRENTE","FIDELIZADO"))))</f>
        <v>NOVO</v>
      </c>
      <c r="CB468" s="22" t="n">
        <f aca="false">IF((P468+Q468)&gt;0,1,0)+IF((BR468+BS468)&gt;0,1,0)+IF(BE468&gt;0,1,0)</f>
        <v>2</v>
      </c>
    </row>
    <row r="469" customFormat="false" ht="15" hidden="false" customHeight="true" outlineLevel="0" collapsed="false">
      <c r="A469" s="16" t="s">
        <v>1271</v>
      </c>
      <c r="B469" s="17" t="s">
        <v>1272</v>
      </c>
      <c r="C469" s="18" t="s">
        <v>41</v>
      </c>
      <c r="D469" s="17" t="s">
        <v>42</v>
      </c>
      <c r="E469" s="29" t="s">
        <v>365</v>
      </c>
      <c r="F469" s="20"/>
      <c r="G469" s="20"/>
      <c r="H469" s="20"/>
      <c r="I469" s="20"/>
      <c r="J469" s="20"/>
      <c r="K469" s="27" t="n">
        <v>739.5</v>
      </c>
      <c r="L469" s="27" t="n">
        <v>1745</v>
      </c>
      <c r="M469" s="27" t="n">
        <v>1387.48</v>
      </c>
      <c r="N469" s="27" t="n">
        <v>815.75</v>
      </c>
      <c r="O469" s="20"/>
      <c r="P469" s="20"/>
      <c r="Q469" s="20"/>
      <c r="R469" s="21" t="n">
        <f aca="false">SUM(F469:Q469)</f>
        <v>4687.73</v>
      </c>
      <c r="S469" s="18"/>
      <c r="T469" s="18"/>
      <c r="U469" s="18"/>
      <c r="V469" s="18"/>
      <c r="W469" s="18"/>
      <c r="X469" s="28" t="n">
        <v>1</v>
      </c>
      <c r="Y469" s="28" t="n">
        <v>1</v>
      </c>
      <c r="Z469" s="28" t="n">
        <v>1</v>
      </c>
      <c r="AA469" s="28" t="n">
        <v>1</v>
      </c>
      <c r="AB469" s="18"/>
      <c r="AC469" s="18"/>
      <c r="AD469" s="18"/>
      <c r="AE469" s="22" t="n">
        <f aca="false">SUM(S469:AD469)</f>
        <v>4</v>
      </c>
      <c r="AF469" s="22"/>
      <c r="AG469" s="22"/>
      <c r="AH469" s="22"/>
      <c r="AI469" s="22"/>
      <c r="AJ469" s="22"/>
      <c r="AK469" s="30" t="s">
        <v>49</v>
      </c>
      <c r="AL469" s="19" t="s">
        <v>50</v>
      </c>
      <c r="AM469" s="30" t="s">
        <v>49</v>
      </c>
      <c r="AN469" s="30" t="s">
        <v>49</v>
      </c>
      <c r="AO469" s="22"/>
      <c r="AP469" s="22"/>
      <c r="AQ469" s="22"/>
      <c r="AR469" s="19" t="s">
        <v>50</v>
      </c>
      <c r="AS469" s="18"/>
      <c r="AT469" s="18"/>
      <c r="AU469" s="18"/>
      <c r="AV469" s="18"/>
      <c r="AW469" s="18"/>
      <c r="AX469" s="25" t="n">
        <v>12</v>
      </c>
      <c r="AY469" s="25" t="n">
        <v>4</v>
      </c>
      <c r="AZ469" s="18"/>
      <c r="BA469" s="25" t="n">
        <v>6</v>
      </c>
      <c r="BB469" s="18"/>
      <c r="BC469" s="18"/>
      <c r="BD469" s="18"/>
      <c r="BE469" s="22" t="n">
        <f aca="false">SUM(AS469:BD469)</f>
        <v>22</v>
      </c>
      <c r="BF469" s="23" t="n">
        <v>3300.25</v>
      </c>
      <c r="BG469" s="19" t="s">
        <v>55</v>
      </c>
      <c r="BH469" s="18"/>
      <c r="BI469" s="18"/>
      <c r="BJ469" s="25" t="n">
        <v>1</v>
      </c>
      <c r="BK469" s="18"/>
      <c r="BL469" s="25" t="n">
        <v>2</v>
      </c>
      <c r="BM469" s="18"/>
      <c r="BN469" s="25" t="n">
        <v>2</v>
      </c>
      <c r="BO469" s="18"/>
      <c r="BP469" s="25" t="n">
        <v>1</v>
      </c>
      <c r="BQ469" s="18"/>
      <c r="BR469" s="25" t="n">
        <v>1</v>
      </c>
      <c r="BS469" s="25" t="n">
        <v>2</v>
      </c>
      <c r="BT469" s="22" t="n">
        <f aca="false">SUM(BH469:BS469)</f>
        <v>9</v>
      </c>
      <c r="BU469" s="26" t="n">
        <v>46057.4444444445</v>
      </c>
      <c r="BV469" s="17"/>
      <c r="BW469" s="17" t="s">
        <v>44</v>
      </c>
      <c r="BX469" s="23" t="n">
        <f aca="false">IFERROR(R469/AE469,0)</f>
        <v>1171.9325</v>
      </c>
      <c r="BY469" s="23" t="n">
        <f aca="false">IFERROR(R469/12,0)</f>
        <v>390.644166666667</v>
      </c>
      <c r="BZ469" s="18" t="n">
        <v>26.5</v>
      </c>
      <c r="CA469" s="22" t="str">
        <f aca="false">IF(AE469=0,"PROSPECT",IF(AE469=1,"NOVO",IF(AE469&lt;=3,"EM DESENV.",IF(AE469&lt;=6,"RECORRENTE","FIDELIZADO"))))</f>
        <v>RECORRENTE</v>
      </c>
      <c r="CB469" s="22" t="n">
        <f aca="false">IF((P469+Q469)&gt;0,1,0)+IF((BR469+BS469)&gt;0,1,0)+IF(BE469&gt;0,1,0)</f>
        <v>2</v>
      </c>
    </row>
    <row r="470" customFormat="false" ht="15" hidden="false" customHeight="true" outlineLevel="0" collapsed="false">
      <c r="A470" s="16" t="s">
        <v>1273</v>
      </c>
      <c r="B470" s="17" t="s">
        <v>1274</v>
      </c>
      <c r="C470" s="18" t="s">
        <v>61</v>
      </c>
      <c r="D470" s="17" t="s">
        <v>753</v>
      </c>
      <c r="E470" s="29" t="s">
        <v>365</v>
      </c>
      <c r="F470" s="20"/>
      <c r="G470" s="20"/>
      <c r="H470" s="20"/>
      <c r="I470" s="20"/>
      <c r="J470" s="20"/>
      <c r="K470" s="20"/>
      <c r="L470" s="20"/>
      <c r="M470" s="20"/>
      <c r="N470" s="27" t="n">
        <v>1513.57</v>
      </c>
      <c r="O470" s="20"/>
      <c r="P470" s="20"/>
      <c r="Q470" s="20"/>
      <c r="R470" s="21" t="n">
        <f aca="false">SUM(F470:Q470)</f>
        <v>1513.57</v>
      </c>
      <c r="S470" s="18"/>
      <c r="T470" s="18"/>
      <c r="U470" s="18"/>
      <c r="V470" s="18"/>
      <c r="W470" s="18"/>
      <c r="X470" s="18"/>
      <c r="Y470" s="18"/>
      <c r="Z470" s="18"/>
      <c r="AA470" s="28" t="n">
        <v>1</v>
      </c>
      <c r="AB470" s="18"/>
      <c r="AC470" s="18"/>
      <c r="AD470" s="18"/>
      <c r="AE470" s="22" t="n">
        <f aca="false">SUM(S470:AD470)</f>
        <v>1</v>
      </c>
      <c r="AF470" s="22"/>
      <c r="AG470" s="22"/>
      <c r="AH470" s="22"/>
      <c r="AI470" s="22"/>
      <c r="AJ470" s="22"/>
      <c r="AK470" s="22"/>
      <c r="AL470" s="22"/>
      <c r="AM470" s="22"/>
      <c r="AN470" s="19" t="s">
        <v>50</v>
      </c>
      <c r="AO470" s="22"/>
      <c r="AP470" s="22"/>
      <c r="AQ470" s="22"/>
      <c r="AR470" s="30" t="s">
        <v>49</v>
      </c>
      <c r="AS470" s="18"/>
      <c r="AT470" s="18"/>
      <c r="AU470" s="18"/>
      <c r="AV470" s="18"/>
      <c r="AW470" s="18"/>
      <c r="AX470" s="18"/>
      <c r="AY470" s="18"/>
      <c r="AZ470" s="18"/>
      <c r="BA470" s="25" t="n">
        <v>6</v>
      </c>
      <c r="BB470" s="25" t="n">
        <v>2</v>
      </c>
      <c r="BC470" s="18"/>
      <c r="BD470" s="18"/>
      <c r="BE470" s="22" t="n">
        <f aca="false">SUM(AS470:BD470)</f>
        <v>8</v>
      </c>
      <c r="BF470" s="23" t="n">
        <v>1513.57</v>
      </c>
      <c r="BG470" s="19" t="s">
        <v>55</v>
      </c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25" t="n">
        <v>3</v>
      </c>
      <c r="BS470" s="18"/>
      <c r="BT470" s="22" t="n">
        <f aca="false">SUM(BH470:BS470)</f>
        <v>3</v>
      </c>
      <c r="BU470" s="26" t="n">
        <v>46043.5098148148</v>
      </c>
      <c r="BV470" s="17"/>
      <c r="BW470" s="17" t="s">
        <v>44</v>
      </c>
      <c r="BX470" s="23" t="n">
        <f aca="false">IFERROR(R470/AE470,0)</f>
        <v>1513.57</v>
      </c>
      <c r="BY470" s="23" t="n">
        <f aca="false">IFERROR(R470/12,0)</f>
        <v>126.130833333333</v>
      </c>
      <c r="BZ470" s="18" t="n">
        <v>0</v>
      </c>
      <c r="CA470" s="22" t="str">
        <f aca="false">IF(AE470=0,"PROSPECT",IF(AE470=1,"NOVO",IF(AE470&lt;=3,"EM DESENV.",IF(AE470&lt;=6,"RECORRENTE","FIDELIZADO"))))</f>
        <v>NOVO</v>
      </c>
      <c r="CB470" s="22" t="n">
        <f aca="false">IF((P470+Q470)&gt;0,1,0)+IF((BR470+BS470)&gt;0,1,0)+IF(BE470&gt;0,1,0)</f>
        <v>2</v>
      </c>
    </row>
    <row r="471" customFormat="false" ht="15" hidden="false" customHeight="true" outlineLevel="0" collapsed="false">
      <c r="A471" s="16" t="s">
        <v>1275</v>
      </c>
      <c r="B471" s="17" t="s">
        <v>253</v>
      </c>
      <c r="C471" s="18" t="s">
        <v>309</v>
      </c>
      <c r="D471" s="17" t="s">
        <v>1276</v>
      </c>
      <c r="E471" s="29" t="s">
        <v>365</v>
      </c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1" t="n">
        <f aca="false">SUM(F471:Q471)</f>
        <v>0</v>
      </c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22" t="n">
        <f aca="false">SUM(S471:AD471)</f>
        <v>0</v>
      </c>
      <c r="AF471" s="22"/>
      <c r="AG471" s="22"/>
      <c r="AH471" s="22"/>
      <c r="AI471" s="22"/>
      <c r="AJ471" s="22"/>
      <c r="AK471" s="22"/>
      <c r="AL471" s="22"/>
      <c r="AM471" s="22"/>
      <c r="AN471" s="22"/>
      <c r="AO471" s="19" t="s">
        <v>50</v>
      </c>
      <c r="AP471" s="22"/>
      <c r="AQ471" s="22"/>
      <c r="AR471" s="19" t="s">
        <v>50</v>
      </c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22" t="n">
        <f aca="false">SUM(AS471:BD471)</f>
        <v>0</v>
      </c>
      <c r="BF471" s="23"/>
      <c r="BG471" s="24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25" t="n">
        <v>1</v>
      </c>
      <c r="BS471" s="18"/>
      <c r="BT471" s="22" t="n">
        <f aca="false">SUM(BH471:BS471)</f>
        <v>1</v>
      </c>
      <c r="BU471" s="26" t="n">
        <v>46050.6145833333</v>
      </c>
      <c r="BV471" s="17"/>
      <c r="BW471" s="17" t="s">
        <v>117</v>
      </c>
      <c r="BX471" s="23" t="n">
        <f aca="false">IFERROR(R471/AE471,0)</f>
        <v>0</v>
      </c>
      <c r="BY471" s="23" t="n">
        <f aca="false">IFERROR(R471/12,0)</f>
        <v>0</v>
      </c>
      <c r="BZ471" s="18" t="n">
        <v>0</v>
      </c>
      <c r="CA471" s="22" t="str">
        <f aca="false">IF(AE471=0,"PROSPECT",IF(AE471=1,"NOVO",IF(AE471&lt;=3,"EM DESENV.",IF(AE471&lt;=6,"RECORRENTE","FIDELIZADO"))))</f>
        <v>PROSPECT</v>
      </c>
      <c r="CB471" s="22" t="n">
        <f aca="false">IF((P471+Q471)&gt;0,1,0)+IF((BR471+BS471)&gt;0,1,0)+IF(BE471&gt;0,1,0)</f>
        <v>1</v>
      </c>
    </row>
    <row r="472" customFormat="false" ht="15" hidden="false" customHeight="true" outlineLevel="0" collapsed="false">
      <c r="A472" s="16" t="s">
        <v>1277</v>
      </c>
      <c r="B472" s="17" t="s">
        <v>253</v>
      </c>
      <c r="C472" s="18" t="s">
        <v>727</v>
      </c>
      <c r="D472" s="17" t="s">
        <v>728</v>
      </c>
      <c r="E472" s="29" t="s">
        <v>365</v>
      </c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1" t="n">
        <f aca="false">SUM(F472:Q472)</f>
        <v>0</v>
      </c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22" t="n">
        <f aca="false">SUM(S472:AD472)</f>
        <v>0</v>
      </c>
      <c r="AF472" s="22"/>
      <c r="AG472" s="22"/>
      <c r="AH472" s="22"/>
      <c r="AI472" s="22"/>
      <c r="AJ472" s="22"/>
      <c r="AK472" s="22"/>
      <c r="AL472" s="22"/>
      <c r="AM472" s="30" t="s">
        <v>49</v>
      </c>
      <c r="AN472" s="22"/>
      <c r="AO472" s="22"/>
      <c r="AP472" s="22"/>
      <c r="AQ472" s="22"/>
      <c r="AR472" s="30" t="s">
        <v>49</v>
      </c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25" t="n">
        <v>1</v>
      </c>
      <c r="BE472" s="22" t="n">
        <f aca="false">SUM(AS472:BD472)</f>
        <v>1</v>
      </c>
      <c r="BF472" s="23"/>
      <c r="BG472" s="31" t="s">
        <v>93</v>
      </c>
      <c r="BH472" s="18"/>
      <c r="BI472" s="18"/>
      <c r="BJ472" s="18"/>
      <c r="BK472" s="18"/>
      <c r="BL472" s="18"/>
      <c r="BM472" s="18"/>
      <c r="BN472" s="18"/>
      <c r="BO472" s="18"/>
      <c r="BP472" s="25" t="n">
        <v>1</v>
      </c>
      <c r="BQ472" s="25" t="n">
        <v>1</v>
      </c>
      <c r="BR472" s="25" t="n">
        <v>1</v>
      </c>
      <c r="BS472" s="18"/>
      <c r="BT472" s="22" t="n">
        <f aca="false">SUM(BH472:BS472)</f>
        <v>3</v>
      </c>
      <c r="BU472" s="26" t="n">
        <v>46050.6326388889</v>
      </c>
      <c r="BV472" s="17"/>
      <c r="BW472" s="17" t="s">
        <v>117</v>
      </c>
      <c r="BX472" s="23" t="n">
        <f aca="false">IFERROR(R472/AE472,0)</f>
        <v>0</v>
      </c>
      <c r="BY472" s="23" t="n">
        <f aca="false">IFERROR(R472/12,0)</f>
        <v>0</v>
      </c>
      <c r="BZ472" s="18" t="n">
        <v>0</v>
      </c>
      <c r="CA472" s="22" t="str">
        <f aca="false">IF(AE472=0,"PROSPECT",IF(AE472=1,"NOVO",IF(AE472&lt;=3,"EM DESENV.",IF(AE472&lt;=6,"RECORRENTE","FIDELIZADO"))))</f>
        <v>PROSPECT</v>
      </c>
      <c r="CB472" s="22" t="n">
        <f aca="false">IF((P472+Q472)&gt;0,1,0)+IF((BR472+BS472)&gt;0,1,0)+IF(BE472&gt;0,1,0)</f>
        <v>2</v>
      </c>
    </row>
    <row r="473" customFormat="false" ht="15" hidden="false" customHeight="true" outlineLevel="0" collapsed="false">
      <c r="A473" s="16" t="s">
        <v>1278</v>
      </c>
      <c r="B473" s="17" t="s">
        <v>1279</v>
      </c>
      <c r="C473" s="18" t="s">
        <v>65</v>
      </c>
      <c r="D473" s="17" t="s">
        <v>1280</v>
      </c>
      <c r="E473" s="29" t="s">
        <v>365</v>
      </c>
      <c r="F473" s="20"/>
      <c r="G473" s="20"/>
      <c r="H473" s="20"/>
      <c r="I473" s="20"/>
      <c r="J473" s="20"/>
      <c r="K473" s="27" t="n">
        <v>3767.53</v>
      </c>
      <c r="L473" s="20"/>
      <c r="M473" s="27" t="n">
        <v>1522.36</v>
      </c>
      <c r="N473" s="20"/>
      <c r="O473" s="27" t="n">
        <v>1174.05</v>
      </c>
      <c r="P473" s="20"/>
      <c r="Q473" s="20"/>
      <c r="R473" s="21" t="n">
        <f aca="false">SUM(F473:Q473)</f>
        <v>6463.94</v>
      </c>
      <c r="S473" s="18"/>
      <c r="T473" s="18"/>
      <c r="U473" s="18"/>
      <c r="V473" s="18"/>
      <c r="W473" s="18"/>
      <c r="X473" s="28" t="n">
        <v>1</v>
      </c>
      <c r="Y473" s="18"/>
      <c r="Z473" s="28" t="n">
        <v>1</v>
      </c>
      <c r="AA473" s="18"/>
      <c r="AB473" s="28" t="n">
        <v>1</v>
      </c>
      <c r="AC473" s="18"/>
      <c r="AD473" s="18"/>
      <c r="AE473" s="22" t="n">
        <f aca="false">SUM(S473:AD473)</f>
        <v>3</v>
      </c>
      <c r="AF473" s="22"/>
      <c r="AG473" s="22"/>
      <c r="AH473" s="22"/>
      <c r="AI473" s="22"/>
      <c r="AJ473" s="22"/>
      <c r="AK473" s="19" t="s">
        <v>50</v>
      </c>
      <c r="AL473" s="22"/>
      <c r="AM473" s="19" t="s">
        <v>50</v>
      </c>
      <c r="AN473" s="22"/>
      <c r="AO473" s="19" t="s">
        <v>50</v>
      </c>
      <c r="AP473" s="22"/>
      <c r="AQ473" s="22"/>
      <c r="AR473" s="19" t="s">
        <v>50</v>
      </c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22" t="n">
        <f aca="false">SUM(AS473:BD473)</f>
        <v>0</v>
      </c>
      <c r="BF473" s="23"/>
      <c r="BG473" s="24"/>
      <c r="BH473" s="18"/>
      <c r="BI473" s="18"/>
      <c r="BJ473" s="18"/>
      <c r="BK473" s="18"/>
      <c r="BL473" s="18"/>
      <c r="BM473" s="18"/>
      <c r="BN473" s="18"/>
      <c r="BO473" s="25" t="n">
        <v>2</v>
      </c>
      <c r="BP473" s="18"/>
      <c r="BQ473" s="25" t="n">
        <v>1</v>
      </c>
      <c r="BR473" s="18"/>
      <c r="BS473" s="18"/>
      <c r="BT473" s="22" t="n">
        <f aca="false">SUM(BH473:BS473)</f>
        <v>3</v>
      </c>
      <c r="BU473" s="26" t="n">
        <v>45996.4770833333</v>
      </c>
      <c r="BV473" s="17"/>
      <c r="BW473" s="17" t="s">
        <v>44</v>
      </c>
      <c r="BX473" s="23" t="n">
        <f aca="false">IFERROR(R473/AE473,0)</f>
        <v>2154.64666666667</v>
      </c>
      <c r="BY473" s="23" t="n">
        <f aca="false">IFERROR(R473/12,0)</f>
        <v>538.661666666667</v>
      </c>
      <c r="BZ473" s="18" t="n">
        <v>49</v>
      </c>
      <c r="CA473" s="22" t="str">
        <f aca="false">IF(AE473=0,"PROSPECT",IF(AE473=1,"NOVO",IF(AE473&lt;=3,"EM DESENV.",IF(AE473&lt;=6,"RECORRENTE","FIDELIZADO"))))</f>
        <v>EM DESENV.</v>
      </c>
      <c r="CB473" s="22" t="n">
        <f aca="false">IF((P473+Q473)&gt;0,1,0)+IF((BR473+BS473)&gt;0,1,0)+IF(BE473&gt;0,1,0)</f>
        <v>0</v>
      </c>
    </row>
    <row r="474" customFormat="false" ht="15" hidden="false" customHeight="true" outlineLevel="0" collapsed="false">
      <c r="A474" s="16" t="s">
        <v>1281</v>
      </c>
      <c r="B474" s="17" t="s">
        <v>1282</v>
      </c>
      <c r="C474" s="18" t="s">
        <v>41</v>
      </c>
      <c r="D474" s="17" t="s">
        <v>42</v>
      </c>
      <c r="E474" s="29" t="s">
        <v>365</v>
      </c>
      <c r="F474" s="20"/>
      <c r="G474" s="20"/>
      <c r="H474" s="20"/>
      <c r="I474" s="20"/>
      <c r="J474" s="27" t="n">
        <v>770.86</v>
      </c>
      <c r="K474" s="20"/>
      <c r="L474" s="27" t="n">
        <v>603</v>
      </c>
      <c r="M474" s="27" t="n">
        <v>603</v>
      </c>
      <c r="N474" s="20"/>
      <c r="O474" s="27" t="n">
        <v>677.73</v>
      </c>
      <c r="P474" s="20"/>
      <c r="Q474" s="20"/>
      <c r="R474" s="21" t="n">
        <f aca="false">SUM(F474:Q474)</f>
        <v>2654.59</v>
      </c>
      <c r="S474" s="18"/>
      <c r="T474" s="18"/>
      <c r="U474" s="18"/>
      <c r="V474" s="18"/>
      <c r="W474" s="28" t="n">
        <v>1</v>
      </c>
      <c r="X474" s="18"/>
      <c r="Y474" s="28" t="n">
        <v>1</v>
      </c>
      <c r="Z474" s="28" t="n">
        <v>1</v>
      </c>
      <c r="AA474" s="18"/>
      <c r="AB474" s="28" t="n">
        <v>1</v>
      </c>
      <c r="AC474" s="18"/>
      <c r="AD474" s="18"/>
      <c r="AE474" s="22" t="n">
        <f aca="false">SUM(S474:AD474)</f>
        <v>4</v>
      </c>
      <c r="AF474" s="22"/>
      <c r="AG474" s="22"/>
      <c r="AH474" s="22"/>
      <c r="AI474" s="22"/>
      <c r="AJ474" s="30" t="s">
        <v>49</v>
      </c>
      <c r="AK474" s="22"/>
      <c r="AL474" s="29" t="s">
        <v>48</v>
      </c>
      <c r="AM474" s="29" t="s">
        <v>48</v>
      </c>
      <c r="AN474" s="22"/>
      <c r="AO474" s="30" t="s">
        <v>49</v>
      </c>
      <c r="AP474" s="22"/>
      <c r="AQ474" s="22"/>
      <c r="AR474" s="30" t="s">
        <v>49</v>
      </c>
      <c r="AS474" s="18"/>
      <c r="AT474" s="18"/>
      <c r="AU474" s="18"/>
      <c r="AV474" s="18"/>
      <c r="AW474" s="18"/>
      <c r="AX474" s="18"/>
      <c r="AY474" s="25" t="n">
        <v>5</v>
      </c>
      <c r="AZ474" s="18"/>
      <c r="BA474" s="25" t="n">
        <v>3</v>
      </c>
      <c r="BB474" s="18"/>
      <c r="BC474" s="18"/>
      <c r="BD474" s="18"/>
      <c r="BE474" s="22" t="n">
        <f aca="false">SUM(AS474:BD474)</f>
        <v>8</v>
      </c>
      <c r="BF474" s="23" t="n">
        <v>1280.73</v>
      </c>
      <c r="BG474" s="19" t="s">
        <v>55</v>
      </c>
      <c r="BH474" s="18"/>
      <c r="BI474" s="18"/>
      <c r="BJ474" s="18"/>
      <c r="BK474" s="18"/>
      <c r="BL474" s="25" t="n">
        <v>2</v>
      </c>
      <c r="BM474" s="18"/>
      <c r="BN474" s="18"/>
      <c r="BO474" s="25" t="n">
        <v>1</v>
      </c>
      <c r="BP474" s="25" t="n">
        <v>1</v>
      </c>
      <c r="BQ474" s="18"/>
      <c r="BR474" s="18"/>
      <c r="BS474" s="18"/>
      <c r="BT474" s="22" t="n">
        <f aca="false">SUM(BH474:BS474)</f>
        <v>4</v>
      </c>
      <c r="BU474" s="26" t="n">
        <v>45978.4909722222</v>
      </c>
      <c r="BV474" s="17" t="s">
        <v>124</v>
      </c>
      <c r="BW474" s="17" t="s">
        <v>44</v>
      </c>
      <c r="BX474" s="23" t="n">
        <f aca="false">IFERROR(R474/AE474,0)</f>
        <v>663.6475</v>
      </c>
      <c r="BY474" s="23" t="n">
        <f aca="false">IFERROR(R474/12,0)</f>
        <v>221.215833333333</v>
      </c>
      <c r="BZ474" s="18" t="n">
        <v>63</v>
      </c>
      <c r="CA474" s="22" t="str">
        <f aca="false">IF(AE474=0,"PROSPECT",IF(AE474=1,"NOVO",IF(AE474&lt;=3,"EM DESENV.",IF(AE474&lt;=6,"RECORRENTE","FIDELIZADO"))))</f>
        <v>RECORRENTE</v>
      </c>
      <c r="CB474" s="22" t="n">
        <f aca="false">IF((P474+Q474)&gt;0,1,0)+IF((BR474+BS474)&gt;0,1,0)+IF(BE474&gt;0,1,0)</f>
        <v>1</v>
      </c>
    </row>
    <row r="475" customFormat="false" ht="15" hidden="false" customHeight="true" outlineLevel="0" collapsed="false">
      <c r="A475" s="16" t="s">
        <v>1283</v>
      </c>
      <c r="B475" s="17" t="s">
        <v>1284</v>
      </c>
      <c r="C475" s="18" t="s">
        <v>72</v>
      </c>
      <c r="D475" s="17" t="s">
        <v>587</v>
      </c>
      <c r="E475" s="29" t="s">
        <v>365</v>
      </c>
      <c r="F475" s="20"/>
      <c r="G475" s="20"/>
      <c r="H475" s="20"/>
      <c r="I475" s="20"/>
      <c r="J475" s="20"/>
      <c r="K475" s="27" t="n">
        <v>2969.26</v>
      </c>
      <c r="L475" s="20"/>
      <c r="M475" s="20"/>
      <c r="N475" s="20"/>
      <c r="O475" s="20"/>
      <c r="P475" s="20"/>
      <c r="Q475" s="20"/>
      <c r="R475" s="21" t="n">
        <f aca="false">SUM(F475:Q475)</f>
        <v>2969.26</v>
      </c>
      <c r="S475" s="18"/>
      <c r="T475" s="18"/>
      <c r="U475" s="18"/>
      <c r="V475" s="18"/>
      <c r="W475" s="18"/>
      <c r="X475" s="28" t="n">
        <v>1</v>
      </c>
      <c r="Y475" s="18"/>
      <c r="Z475" s="18"/>
      <c r="AA475" s="18"/>
      <c r="AB475" s="18"/>
      <c r="AC475" s="18"/>
      <c r="AD475" s="18"/>
      <c r="AE475" s="22" t="n">
        <f aca="false">SUM(S475:AD475)</f>
        <v>1</v>
      </c>
      <c r="AF475" s="22"/>
      <c r="AG475" s="22"/>
      <c r="AH475" s="22"/>
      <c r="AI475" s="22"/>
      <c r="AJ475" s="22"/>
      <c r="AK475" s="19" t="s">
        <v>50</v>
      </c>
      <c r="AL475" s="22"/>
      <c r="AM475" s="22"/>
      <c r="AN475" s="22"/>
      <c r="AO475" s="22"/>
      <c r="AP475" s="22"/>
      <c r="AQ475" s="22"/>
      <c r="AR475" s="19" t="s">
        <v>50</v>
      </c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22" t="n">
        <f aca="false">SUM(AS475:BD475)</f>
        <v>0</v>
      </c>
      <c r="BF475" s="23"/>
      <c r="BG475" s="24"/>
      <c r="BH475" s="18"/>
      <c r="BI475" s="18"/>
      <c r="BJ475" s="18"/>
      <c r="BK475" s="18"/>
      <c r="BL475" s="18"/>
      <c r="BM475" s="18"/>
      <c r="BN475" s="18"/>
      <c r="BO475" s="25" t="n">
        <v>1</v>
      </c>
      <c r="BP475" s="18"/>
      <c r="BQ475" s="18"/>
      <c r="BR475" s="18"/>
      <c r="BS475" s="25" t="n">
        <v>2</v>
      </c>
      <c r="BT475" s="22" t="n">
        <f aca="false">SUM(BH475:BS475)</f>
        <v>3</v>
      </c>
      <c r="BU475" s="26" t="n">
        <v>46056.6173611111</v>
      </c>
      <c r="BV475" s="17"/>
      <c r="BW475" s="17" t="s">
        <v>117</v>
      </c>
      <c r="BX475" s="23" t="n">
        <f aca="false">IFERROR(R475/AE475,0)</f>
        <v>2969.26</v>
      </c>
      <c r="BY475" s="23" t="n">
        <f aca="false">IFERROR(R475/12,0)</f>
        <v>247.438333333333</v>
      </c>
      <c r="BZ475" s="18" t="n">
        <v>0</v>
      </c>
      <c r="CA475" s="22" t="str">
        <f aca="false">IF(AE475=0,"PROSPECT",IF(AE475=1,"NOVO",IF(AE475&lt;=3,"EM DESENV.",IF(AE475&lt;=6,"RECORRENTE","FIDELIZADO"))))</f>
        <v>NOVO</v>
      </c>
      <c r="CB475" s="22" t="n">
        <f aca="false">IF((P475+Q475)&gt;0,1,0)+IF((BR475+BS475)&gt;0,1,0)+IF(BE475&gt;0,1,0)</f>
        <v>1</v>
      </c>
    </row>
    <row r="476" customFormat="false" ht="15" hidden="false" customHeight="true" outlineLevel="0" collapsed="false">
      <c r="A476" s="16" t="s">
        <v>1285</v>
      </c>
      <c r="B476" s="17" t="s">
        <v>1286</v>
      </c>
      <c r="C476" s="18" t="s">
        <v>168</v>
      </c>
      <c r="D476" s="17" t="s">
        <v>1287</v>
      </c>
      <c r="E476" s="29" t="s">
        <v>365</v>
      </c>
      <c r="F476" s="20"/>
      <c r="G476" s="20"/>
      <c r="H476" s="20"/>
      <c r="I476" s="20"/>
      <c r="J476" s="20"/>
      <c r="K476" s="20"/>
      <c r="L476" s="20"/>
      <c r="M476" s="20"/>
      <c r="N476" s="27" t="n">
        <v>2543.68</v>
      </c>
      <c r="O476" s="20"/>
      <c r="P476" s="20"/>
      <c r="Q476" s="20"/>
      <c r="R476" s="21" t="n">
        <f aca="false">SUM(F476:Q476)</f>
        <v>2543.68</v>
      </c>
      <c r="S476" s="18"/>
      <c r="T476" s="18"/>
      <c r="U476" s="18"/>
      <c r="V476" s="18"/>
      <c r="W476" s="18"/>
      <c r="X476" s="18"/>
      <c r="Y476" s="18"/>
      <c r="Z476" s="18"/>
      <c r="AA476" s="28" t="n">
        <v>1</v>
      </c>
      <c r="AB476" s="18"/>
      <c r="AC476" s="18"/>
      <c r="AD476" s="18"/>
      <c r="AE476" s="22" t="n">
        <f aca="false">SUM(S476:AD476)</f>
        <v>1</v>
      </c>
      <c r="AF476" s="22"/>
      <c r="AG476" s="22"/>
      <c r="AH476" s="22"/>
      <c r="AI476" s="22"/>
      <c r="AJ476" s="22"/>
      <c r="AK476" s="22"/>
      <c r="AL476" s="22"/>
      <c r="AM476" s="22"/>
      <c r="AN476" s="19" t="s">
        <v>50</v>
      </c>
      <c r="AO476" s="22"/>
      <c r="AP476" s="22"/>
      <c r="AQ476" s="22"/>
      <c r="AR476" s="19" t="s">
        <v>50</v>
      </c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22" t="n">
        <f aca="false">SUM(AS476:BD476)</f>
        <v>0</v>
      </c>
      <c r="BF476" s="23"/>
      <c r="BG476" s="24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25" t="n">
        <v>1</v>
      </c>
      <c r="BS476" s="18"/>
      <c r="BT476" s="22" t="n">
        <f aca="false">SUM(BH476:BS476)</f>
        <v>1</v>
      </c>
      <c r="BU476" s="26" t="n">
        <v>46050.4902777778</v>
      </c>
      <c r="BV476" s="17"/>
      <c r="BW476" s="17" t="s">
        <v>117</v>
      </c>
      <c r="BX476" s="23" t="n">
        <f aca="false">IFERROR(R476/AE476,0)</f>
        <v>2543.68</v>
      </c>
      <c r="BY476" s="23" t="n">
        <f aca="false">IFERROR(R476/12,0)</f>
        <v>211.973333333333</v>
      </c>
      <c r="BZ476" s="18" t="n">
        <v>0</v>
      </c>
      <c r="CA476" s="22" t="str">
        <f aca="false">IF(AE476=0,"PROSPECT",IF(AE476=1,"NOVO",IF(AE476&lt;=3,"EM DESENV.",IF(AE476&lt;=6,"RECORRENTE","FIDELIZADO"))))</f>
        <v>NOVO</v>
      </c>
      <c r="CB476" s="22" t="n">
        <f aca="false">IF((P476+Q476)&gt;0,1,0)+IF((BR476+BS476)&gt;0,1,0)+IF(BE476&gt;0,1,0)</f>
        <v>1</v>
      </c>
    </row>
    <row r="477" customFormat="false" ht="15" hidden="false" customHeight="true" outlineLevel="0" collapsed="false">
      <c r="A477" s="16" t="s">
        <v>1288</v>
      </c>
      <c r="B477" s="17" t="s">
        <v>1289</v>
      </c>
      <c r="C477" s="18" t="s">
        <v>127</v>
      </c>
      <c r="D477" s="17" t="s">
        <v>1290</v>
      </c>
      <c r="E477" s="29" t="s">
        <v>365</v>
      </c>
      <c r="F477" s="20"/>
      <c r="G477" s="20"/>
      <c r="H477" s="20"/>
      <c r="I477" s="20"/>
      <c r="J477" s="20"/>
      <c r="K477" s="27" t="n">
        <v>4119.1</v>
      </c>
      <c r="L477" s="20"/>
      <c r="M477" s="20"/>
      <c r="N477" s="20"/>
      <c r="O477" s="20"/>
      <c r="P477" s="20"/>
      <c r="Q477" s="20"/>
      <c r="R477" s="21" t="n">
        <f aca="false">SUM(F477:Q477)</f>
        <v>4119.1</v>
      </c>
      <c r="S477" s="18"/>
      <c r="T477" s="18"/>
      <c r="U477" s="18"/>
      <c r="V477" s="18"/>
      <c r="W477" s="18"/>
      <c r="X477" s="28" t="n">
        <v>1</v>
      </c>
      <c r="Y477" s="18"/>
      <c r="Z477" s="18"/>
      <c r="AA477" s="18"/>
      <c r="AB477" s="18"/>
      <c r="AC477" s="18"/>
      <c r="AD477" s="18"/>
      <c r="AE477" s="22" t="n">
        <f aca="false">SUM(S477:AD477)</f>
        <v>1</v>
      </c>
      <c r="AF477" s="22"/>
      <c r="AG477" s="22"/>
      <c r="AH477" s="22"/>
      <c r="AI477" s="22"/>
      <c r="AJ477" s="22"/>
      <c r="AK477" s="19" t="s">
        <v>50</v>
      </c>
      <c r="AL477" s="22"/>
      <c r="AM477" s="22"/>
      <c r="AN477" s="22"/>
      <c r="AO477" s="22"/>
      <c r="AP477" s="22"/>
      <c r="AQ477" s="22"/>
      <c r="AR477" s="19" t="s">
        <v>50</v>
      </c>
      <c r="AS477" s="18"/>
      <c r="AT477" s="18"/>
      <c r="AU477" s="18"/>
      <c r="AV477" s="18"/>
      <c r="AW477" s="18"/>
      <c r="AX477" s="25" t="n">
        <v>5</v>
      </c>
      <c r="AY477" s="18"/>
      <c r="AZ477" s="18"/>
      <c r="BA477" s="18"/>
      <c r="BB477" s="18"/>
      <c r="BC477" s="18"/>
      <c r="BD477" s="18"/>
      <c r="BE477" s="22" t="n">
        <f aca="false">SUM(AS477:BD477)</f>
        <v>5</v>
      </c>
      <c r="BF477" s="23" t="n">
        <v>4119.1</v>
      </c>
      <c r="BG477" s="19" t="s">
        <v>55</v>
      </c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22" t="n">
        <f aca="false">SUM(BH477:BS477)</f>
        <v>0</v>
      </c>
      <c r="BU477" s="26"/>
      <c r="BV477" s="17"/>
      <c r="BW477" s="17"/>
      <c r="BX477" s="23" t="n">
        <f aca="false">IFERROR(R477/AE477,0)</f>
        <v>4119.1</v>
      </c>
      <c r="BY477" s="23" t="n">
        <f aca="false">IFERROR(R477/12,0)</f>
        <v>343.258333333333</v>
      </c>
      <c r="BZ477" s="18" t="n">
        <v>0</v>
      </c>
      <c r="CA477" s="22" t="str">
        <f aca="false">IF(AE477=0,"PROSPECT",IF(AE477=1,"NOVO",IF(AE477&lt;=3,"EM DESENV.",IF(AE477&lt;=6,"RECORRENTE","FIDELIZADO"))))</f>
        <v>NOVO</v>
      </c>
      <c r="CB477" s="22" t="n">
        <f aca="false">IF((P477+Q477)&gt;0,1,0)+IF((BR477+BS477)&gt;0,1,0)+IF(BE477&gt;0,1,0)</f>
        <v>1</v>
      </c>
    </row>
    <row r="478" customFormat="false" ht="15" hidden="false" customHeight="true" outlineLevel="0" collapsed="false">
      <c r="A478" s="16" t="s">
        <v>1291</v>
      </c>
      <c r="B478" s="17" t="s">
        <v>1292</v>
      </c>
      <c r="C478" s="18" t="s">
        <v>127</v>
      </c>
      <c r="D478" s="17" t="s">
        <v>1293</v>
      </c>
      <c r="E478" s="29" t="s">
        <v>365</v>
      </c>
      <c r="F478" s="20"/>
      <c r="G478" s="20"/>
      <c r="H478" s="20"/>
      <c r="I478" s="20"/>
      <c r="J478" s="20"/>
      <c r="K478" s="20"/>
      <c r="L478" s="20"/>
      <c r="M478" s="27" t="n">
        <v>1001.29</v>
      </c>
      <c r="N478" s="20"/>
      <c r="O478" s="20"/>
      <c r="P478" s="20"/>
      <c r="Q478" s="20"/>
      <c r="R478" s="21" t="n">
        <f aca="false">SUM(F478:Q478)</f>
        <v>1001.29</v>
      </c>
      <c r="S478" s="18"/>
      <c r="T478" s="18"/>
      <c r="U478" s="18"/>
      <c r="V478" s="18"/>
      <c r="W478" s="18"/>
      <c r="X478" s="18"/>
      <c r="Y478" s="18"/>
      <c r="Z478" s="28" t="n">
        <v>1</v>
      </c>
      <c r="AA478" s="18"/>
      <c r="AB478" s="18"/>
      <c r="AC478" s="18"/>
      <c r="AD478" s="18"/>
      <c r="AE478" s="22" t="n">
        <f aca="false">SUM(S478:AD478)</f>
        <v>1</v>
      </c>
      <c r="AF478" s="22"/>
      <c r="AG478" s="22"/>
      <c r="AH478" s="22"/>
      <c r="AI478" s="22"/>
      <c r="AJ478" s="22"/>
      <c r="AK478" s="22"/>
      <c r="AL478" s="22"/>
      <c r="AM478" s="30" t="s">
        <v>49</v>
      </c>
      <c r="AN478" s="22"/>
      <c r="AO478" s="22"/>
      <c r="AP478" s="22"/>
      <c r="AQ478" s="22"/>
      <c r="AR478" s="29" t="s">
        <v>48</v>
      </c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25" t="n">
        <v>1</v>
      </c>
      <c r="BE478" s="22" t="n">
        <f aca="false">SUM(AS478:BD478)</f>
        <v>1</v>
      </c>
      <c r="BF478" s="23"/>
      <c r="BG478" s="31" t="s">
        <v>93</v>
      </c>
      <c r="BH478" s="18"/>
      <c r="BI478" s="18"/>
      <c r="BJ478" s="18"/>
      <c r="BK478" s="18"/>
      <c r="BL478" s="18"/>
      <c r="BM478" s="18"/>
      <c r="BN478" s="18"/>
      <c r="BO478" s="18"/>
      <c r="BP478" s="18"/>
      <c r="BQ478" s="25" t="n">
        <v>1</v>
      </c>
      <c r="BR478" s="18"/>
      <c r="BS478" s="25" t="n">
        <v>2</v>
      </c>
      <c r="BT478" s="22" t="n">
        <f aca="false">SUM(BH478:BS478)</f>
        <v>3</v>
      </c>
      <c r="BU478" s="26" t="n">
        <v>46056.6354166667</v>
      </c>
      <c r="BV478" s="17"/>
      <c r="BW478" s="17" t="s">
        <v>117</v>
      </c>
      <c r="BX478" s="23" t="n">
        <f aca="false">IFERROR(R478/AE478,0)</f>
        <v>1001.29</v>
      </c>
      <c r="BY478" s="23" t="n">
        <f aca="false">IFERROR(R478/12,0)</f>
        <v>83.4408333333333</v>
      </c>
      <c r="BZ478" s="18" t="n">
        <v>0</v>
      </c>
      <c r="CA478" s="22" t="str">
        <f aca="false">IF(AE478=0,"PROSPECT",IF(AE478=1,"NOVO",IF(AE478&lt;=3,"EM DESENV.",IF(AE478&lt;=6,"RECORRENTE","FIDELIZADO"))))</f>
        <v>NOVO</v>
      </c>
      <c r="CB478" s="22" t="n">
        <f aca="false">IF((P478+Q478)&gt;0,1,0)+IF((BR478+BS478)&gt;0,1,0)+IF(BE478&gt;0,1,0)</f>
        <v>2</v>
      </c>
    </row>
    <row r="479" customFormat="false" ht="15" hidden="false" customHeight="true" outlineLevel="0" collapsed="false">
      <c r="A479" s="16" t="s">
        <v>1294</v>
      </c>
      <c r="B479" s="17" t="s">
        <v>1295</v>
      </c>
      <c r="C479" s="18" t="s">
        <v>155</v>
      </c>
      <c r="D479" s="17" t="s">
        <v>341</v>
      </c>
      <c r="E479" s="29" t="s">
        <v>365</v>
      </c>
      <c r="F479" s="20"/>
      <c r="G479" s="20"/>
      <c r="H479" s="20"/>
      <c r="I479" s="27" t="n">
        <v>848.4</v>
      </c>
      <c r="J479" s="20"/>
      <c r="K479" s="20"/>
      <c r="L479" s="20"/>
      <c r="M479" s="20"/>
      <c r="N479" s="20"/>
      <c r="O479" s="20"/>
      <c r="P479" s="20"/>
      <c r="Q479" s="20"/>
      <c r="R479" s="21" t="n">
        <f aca="false">SUM(F479:Q479)</f>
        <v>848.4</v>
      </c>
      <c r="S479" s="18"/>
      <c r="T479" s="18"/>
      <c r="U479" s="18"/>
      <c r="V479" s="28" t="n">
        <v>1</v>
      </c>
      <c r="W479" s="18"/>
      <c r="X479" s="18"/>
      <c r="Y479" s="18"/>
      <c r="Z479" s="18"/>
      <c r="AA479" s="18"/>
      <c r="AB479" s="18"/>
      <c r="AC479" s="18"/>
      <c r="AD479" s="18"/>
      <c r="AE479" s="22" t="n">
        <f aca="false">SUM(S479:AD479)</f>
        <v>1</v>
      </c>
      <c r="AF479" s="22"/>
      <c r="AG479" s="22"/>
      <c r="AH479" s="22"/>
      <c r="AI479" s="30" t="s">
        <v>49</v>
      </c>
      <c r="AJ479" s="22"/>
      <c r="AK479" s="22"/>
      <c r="AL479" s="22"/>
      <c r="AM479" s="22"/>
      <c r="AN479" s="22"/>
      <c r="AO479" s="22"/>
      <c r="AP479" s="22"/>
      <c r="AQ479" s="22"/>
      <c r="AR479" s="29" t="s">
        <v>48</v>
      </c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22" t="n">
        <f aca="false">SUM(AS479:BD479)</f>
        <v>0</v>
      </c>
      <c r="BF479" s="23"/>
      <c r="BG479" s="24"/>
      <c r="BH479" s="18"/>
      <c r="BI479" s="25" t="n">
        <v>1</v>
      </c>
      <c r="BJ479" s="25" t="n">
        <v>1</v>
      </c>
      <c r="BK479" s="25" t="n">
        <v>2</v>
      </c>
      <c r="BL479" s="18"/>
      <c r="BM479" s="25" t="n">
        <v>1</v>
      </c>
      <c r="BN479" s="25" t="n">
        <v>1</v>
      </c>
      <c r="BO479" s="25" t="n">
        <v>2</v>
      </c>
      <c r="BP479" s="18"/>
      <c r="BQ479" s="25" t="n">
        <v>2</v>
      </c>
      <c r="BR479" s="25" t="n">
        <v>3</v>
      </c>
      <c r="BS479" s="18"/>
      <c r="BT479" s="22" t="n">
        <f aca="false">SUM(BH479:BS479)</f>
        <v>13</v>
      </c>
      <c r="BU479" s="26" t="n">
        <v>46036.6760185185</v>
      </c>
      <c r="BV479" s="17"/>
      <c r="BW479" s="17" t="s">
        <v>44</v>
      </c>
      <c r="BX479" s="23" t="n">
        <f aca="false">IFERROR(R479/AE479,0)</f>
        <v>848.4</v>
      </c>
      <c r="BY479" s="23" t="n">
        <f aca="false">IFERROR(R479/12,0)</f>
        <v>70.7</v>
      </c>
      <c r="BZ479" s="18" t="n">
        <v>0</v>
      </c>
      <c r="CA479" s="22" t="str">
        <f aca="false">IF(AE479=0,"PROSPECT",IF(AE479=1,"NOVO",IF(AE479&lt;=3,"EM DESENV.",IF(AE479&lt;=6,"RECORRENTE","FIDELIZADO"))))</f>
        <v>NOVO</v>
      </c>
      <c r="CB479" s="22" t="n">
        <f aca="false">IF((P479+Q479)&gt;0,1,0)+IF((BR479+BS479)&gt;0,1,0)+IF(BE479&gt;0,1,0)</f>
        <v>1</v>
      </c>
    </row>
    <row r="480" customFormat="false" ht="15" hidden="false" customHeight="true" outlineLevel="0" collapsed="false">
      <c r="A480" s="16" t="s">
        <v>1296</v>
      </c>
      <c r="B480" s="17" t="s">
        <v>1297</v>
      </c>
      <c r="C480" s="18" t="s">
        <v>168</v>
      </c>
      <c r="D480" s="17" t="s">
        <v>1298</v>
      </c>
      <c r="E480" s="29" t="s">
        <v>365</v>
      </c>
      <c r="F480" s="20"/>
      <c r="G480" s="20"/>
      <c r="H480" s="20"/>
      <c r="I480" s="20"/>
      <c r="J480" s="20"/>
      <c r="K480" s="20"/>
      <c r="L480" s="20"/>
      <c r="M480" s="20"/>
      <c r="N480" s="27" t="n">
        <v>1329.92</v>
      </c>
      <c r="O480" s="20"/>
      <c r="P480" s="20"/>
      <c r="Q480" s="20"/>
      <c r="R480" s="21" t="n">
        <f aca="false">SUM(F480:Q480)</f>
        <v>1329.92</v>
      </c>
      <c r="S480" s="18"/>
      <c r="T480" s="18"/>
      <c r="U480" s="18"/>
      <c r="V480" s="18"/>
      <c r="W480" s="18"/>
      <c r="X480" s="18"/>
      <c r="Y480" s="18"/>
      <c r="Z480" s="18"/>
      <c r="AA480" s="28" t="n">
        <v>1</v>
      </c>
      <c r="AB480" s="18"/>
      <c r="AC480" s="18"/>
      <c r="AD480" s="18"/>
      <c r="AE480" s="22" t="n">
        <f aca="false">SUM(S480:AD480)</f>
        <v>1</v>
      </c>
      <c r="AF480" s="22"/>
      <c r="AG480" s="22"/>
      <c r="AH480" s="22"/>
      <c r="AI480" s="22"/>
      <c r="AJ480" s="22"/>
      <c r="AK480" s="22"/>
      <c r="AL480" s="22"/>
      <c r="AM480" s="22"/>
      <c r="AN480" s="30" t="s">
        <v>49</v>
      </c>
      <c r="AO480" s="22"/>
      <c r="AP480" s="22"/>
      <c r="AQ480" s="22"/>
      <c r="AR480" s="30" t="s">
        <v>49</v>
      </c>
      <c r="AS480" s="18"/>
      <c r="AT480" s="18"/>
      <c r="AU480" s="18"/>
      <c r="AV480" s="18"/>
      <c r="AW480" s="18"/>
      <c r="AX480" s="18"/>
      <c r="AY480" s="18"/>
      <c r="AZ480" s="18"/>
      <c r="BA480" s="25" t="n">
        <v>10</v>
      </c>
      <c r="BB480" s="25" t="n">
        <v>2</v>
      </c>
      <c r="BC480" s="18"/>
      <c r="BD480" s="18"/>
      <c r="BE480" s="22" t="n">
        <f aca="false">SUM(AS480:BD480)</f>
        <v>12</v>
      </c>
      <c r="BF480" s="23" t="n">
        <v>1329.92</v>
      </c>
      <c r="BG480" s="19" t="s">
        <v>55</v>
      </c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22" t="n">
        <f aca="false">SUM(BH480:BS480)</f>
        <v>0</v>
      </c>
      <c r="BU480" s="26"/>
      <c r="BV480" s="17"/>
      <c r="BW480" s="17"/>
      <c r="BX480" s="23" t="n">
        <f aca="false">IFERROR(R480/AE480,0)</f>
        <v>1329.92</v>
      </c>
      <c r="BY480" s="23" t="n">
        <f aca="false">IFERROR(R480/12,0)</f>
        <v>110.826666666667</v>
      </c>
      <c r="BZ480" s="18" t="n">
        <v>0</v>
      </c>
      <c r="CA480" s="22" t="str">
        <f aca="false">IF(AE480=0,"PROSPECT",IF(AE480=1,"NOVO",IF(AE480&lt;=3,"EM DESENV.",IF(AE480&lt;=6,"RECORRENTE","FIDELIZADO"))))</f>
        <v>NOVO</v>
      </c>
      <c r="CB480" s="22" t="n">
        <f aca="false">IF((P480+Q480)&gt;0,1,0)+IF((BR480+BS480)&gt;0,1,0)+IF(BE480&gt;0,1,0)</f>
        <v>1</v>
      </c>
    </row>
    <row r="481" customFormat="false" ht="15" hidden="false" customHeight="true" outlineLevel="0" collapsed="false">
      <c r="A481" s="16" t="s">
        <v>1299</v>
      </c>
      <c r="B481" s="17" t="s">
        <v>1300</v>
      </c>
      <c r="C481" s="18" t="s">
        <v>61</v>
      </c>
      <c r="D481" s="17" t="s">
        <v>459</v>
      </c>
      <c r="E481" s="29" t="s">
        <v>365</v>
      </c>
      <c r="F481" s="20"/>
      <c r="G481" s="20"/>
      <c r="H481" s="20"/>
      <c r="I481" s="20"/>
      <c r="J481" s="20"/>
      <c r="K481" s="20"/>
      <c r="L481" s="27" t="n">
        <v>4843.98</v>
      </c>
      <c r="M481" s="20"/>
      <c r="N481" s="20"/>
      <c r="O481" s="20"/>
      <c r="P481" s="20"/>
      <c r="Q481" s="20"/>
      <c r="R481" s="21" t="n">
        <f aca="false">SUM(F481:Q481)</f>
        <v>4843.98</v>
      </c>
      <c r="S481" s="18"/>
      <c r="T481" s="18"/>
      <c r="U481" s="18"/>
      <c r="V481" s="18"/>
      <c r="W481" s="18"/>
      <c r="X481" s="18"/>
      <c r="Y481" s="28" t="n">
        <v>1</v>
      </c>
      <c r="Z481" s="18"/>
      <c r="AA481" s="18"/>
      <c r="AB481" s="18"/>
      <c r="AC481" s="18"/>
      <c r="AD481" s="18"/>
      <c r="AE481" s="22" t="n">
        <f aca="false">SUM(S481:AD481)</f>
        <v>1</v>
      </c>
      <c r="AF481" s="22"/>
      <c r="AG481" s="22"/>
      <c r="AH481" s="22"/>
      <c r="AI481" s="22"/>
      <c r="AJ481" s="22"/>
      <c r="AK481" s="22"/>
      <c r="AL481" s="19" t="s">
        <v>50</v>
      </c>
      <c r="AM481" s="22"/>
      <c r="AN481" s="22"/>
      <c r="AO481" s="22"/>
      <c r="AP481" s="22"/>
      <c r="AQ481" s="22"/>
      <c r="AR481" s="19" t="s">
        <v>50</v>
      </c>
      <c r="AS481" s="18"/>
      <c r="AT481" s="18"/>
      <c r="AU481" s="18"/>
      <c r="AV481" s="18"/>
      <c r="AW481" s="18"/>
      <c r="AX481" s="18"/>
      <c r="AY481" s="25" t="n">
        <v>3</v>
      </c>
      <c r="AZ481" s="18"/>
      <c r="BA481" s="18"/>
      <c r="BB481" s="18"/>
      <c r="BC481" s="18"/>
      <c r="BD481" s="18"/>
      <c r="BE481" s="22" t="n">
        <f aca="false">SUM(AS481:BD481)</f>
        <v>3</v>
      </c>
      <c r="BF481" s="23" t="n">
        <v>2421.99</v>
      </c>
      <c r="BG481" s="19" t="s">
        <v>55</v>
      </c>
      <c r="BH481" s="18"/>
      <c r="BI481" s="18"/>
      <c r="BJ481" s="18"/>
      <c r="BK481" s="18"/>
      <c r="BL481" s="18"/>
      <c r="BM481" s="18"/>
      <c r="BN481" s="25" t="n">
        <v>1</v>
      </c>
      <c r="BO481" s="18"/>
      <c r="BP481" s="18"/>
      <c r="BQ481" s="18"/>
      <c r="BR481" s="18"/>
      <c r="BS481" s="18"/>
      <c r="BT481" s="22" t="n">
        <f aca="false">SUM(BH481:BS481)</f>
        <v>1</v>
      </c>
      <c r="BU481" s="26" t="n">
        <v>45924.6597222222</v>
      </c>
      <c r="BV481" s="17"/>
      <c r="BW481" s="17" t="s">
        <v>117</v>
      </c>
      <c r="BX481" s="23" t="n">
        <f aca="false">IFERROR(R481/AE481,0)</f>
        <v>4843.98</v>
      </c>
      <c r="BY481" s="23" t="n">
        <f aca="false">IFERROR(R481/12,0)</f>
        <v>403.665</v>
      </c>
      <c r="BZ481" s="18" t="n">
        <v>0</v>
      </c>
      <c r="CA481" s="22" t="str">
        <f aca="false">IF(AE481=0,"PROSPECT",IF(AE481=1,"NOVO",IF(AE481&lt;=3,"EM DESENV.",IF(AE481&lt;=6,"RECORRENTE","FIDELIZADO"))))</f>
        <v>NOVO</v>
      </c>
      <c r="CB481" s="22" t="n">
        <f aca="false">IF((P481+Q481)&gt;0,1,0)+IF((BR481+BS481)&gt;0,1,0)+IF(BE481&gt;0,1,0)</f>
        <v>1</v>
      </c>
    </row>
    <row r="482" customFormat="false" ht="15" hidden="false" customHeight="true" outlineLevel="0" collapsed="false">
      <c r="A482" s="16" t="s">
        <v>1301</v>
      </c>
      <c r="B482" s="17" t="s">
        <v>1300</v>
      </c>
      <c r="C482" s="18" t="s">
        <v>61</v>
      </c>
      <c r="D482" s="17" t="s">
        <v>459</v>
      </c>
      <c r="E482" s="29" t="s">
        <v>365</v>
      </c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1" t="n">
        <f aca="false">SUM(F482:Q482)</f>
        <v>0</v>
      </c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22" t="n">
        <f aca="false">SUM(S482:AD482)</f>
        <v>0</v>
      </c>
      <c r="AF482" s="22"/>
      <c r="AG482" s="22"/>
      <c r="AH482" s="22"/>
      <c r="AI482" s="22"/>
      <c r="AJ482" s="22"/>
      <c r="AK482" s="22"/>
      <c r="AL482" s="19" t="s">
        <v>50</v>
      </c>
      <c r="AM482" s="22"/>
      <c r="AN482" s="22"/>
      <c r="AO482" s="22"/>
      <c r="AP482" s="22"/>
      <c r="AQ482" s="22"/>
      <c r="AR482" s="30" t="s">
        <v>49</v>
      </c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22" t="n">
        <f aca="false">SUM(AS482:BD482)</f>
        <v>0</v>
      </c>
      <c r="BF482" s="23"/>
      <c r="BG482" s="24"/>
      <c r="BH482" s="18"/>
      <c r="BI482" s="18"/>
      <c r="BJ482" s="18"/>
      <c r="BK482" s="18"/>
      <c r="BL482" s="18"/>
      <c r="BM482" s="18"/>
      <c r="BN482" s="18"/>
      <c r="BO482" s="18"/>
      <c r="BP482" s="25" t="n">
        <v>1</v>
      </c>
      <c r="BQ482" s="18"/>
      <c r="BR482" s="18"/>
      <c r="BS482" s="18"/>
      <c r="BT482" s="22" t="n">
        <f aca="false">SUM(BH482:BS482)</f>
        <v>1</v>
      </c>
      <c r="BU482" s="26" t="n">
        <v>45965.4979166667</v>
      </c>
      <c r="BV482" s="17" t="s">
        <v>107</v>
      </c>
      <c r="BW482" s="17" t="s">
        <v>44</v>
      </c>
      <c r="BX482" s="23" t="n">
        <f aca="false">IFERROR(R482/AE482,0)</f>
        <v>0</v>
      </c>
      <c r="BY482" s="23" t="n">
        <f aca="false">IFERROR(R482/12,0)</f>
        <v>0</v>
      </c>
      <c r="BZ482" s="18" t="n">
        <v>0</v>
      </c>
      <c r="CA482" s="22" t="str">
        <f aca="false">IF(AE482=0,"PROSPECT",IF(AE482=1,"NOVO",IF(AE482&lt;=3,"EM DESENV.",IF(AE482&lt;=6,"RECORRENTE","FIDELIZADO"))))</f>
        <v>PROSPECT</v>
      </c>
      <c r="CB482" s="22" t="n">
        <f aca="false">IF((P482+Q482)&gt;0,1,0)+IF((BR482+BS482)&gt;0,1,0)+IF(BE482&gt;0,1,0)</f>
        <v>0</v>
      </c>
    </row>
    <row r="483" customFormat="false" ht="15" hidden="false" customHeight="true" outlineLevel="0" collapsed="false">
      <c r="A483" s="16" t="s">
        <v>1302</v>
      </c>
      <c r="B483" s="17" t="s">
        <v>1303</v>
      </c>
      <c r="C483" s="18" t="s">
        <v>53</v>
      </c>
      <c r="D483" s="17" t="s">
        <v>260</v>
      </c>
      <c r="E483" s="29" t="s">
        <v>365</v>
      </c>
      <c r="F483" s="20"/>
      <c r="G483" s="20"/>
      <c r="H483" s="20"/>
      <c r="I483" s="20"/>
      <c r="J483" s="27" t="n">
        <v>2077.88</v>
      </c>
      <c r="K483" s="20"/>
      <c r="L483" s="20"/>
      <c r="M483" s="20"/>
      <c r="N483" s="20"/>
      <c r="O483" s="27" t="n">
        <v>1055.68</v>
      </c>
      <c r="P483" s="20"/>
      <c r="Q483" s="20"/>
      <c r="R483" s="21" t="n">
        <f aca="false">SUM(F483:Q483)</f>
        <v>3133.56</v>
      </c>
      <c r="S483" s="18"/>
      <c r="T483" s="18"/>
      <c r="U483" s="18"/>
      <c r="V483" s="18"/>
      <c r="W483" s="28" t="n">
        <v>1</v>
      </c>
      <c r="X483" s="18"/>
      <c r="Y483" s="18"/>
      <c r="Z483" s="18"/>
      <c r="AA483" s="18"/>
      <c r="AB483" s="28" t="n">
        <v>1</v>
      </c>
      <c r="AC483" s="18"/>
      <c r="AD483" s="18"/>
      <c r="AE483" s="22" t="n">
        <f aca="false">SUM(S483:AD483)</f>
        <v>2</v>
      </c>
      <c r="AF483" s="22"/>
      <c r="AG483" s="22"/>
      <c r="AH483" s="22"/>
      <c r="AI483" s="22"/>
      <c r="AJ483" s="19" t="s">
        <v>50</v>
      </c>
      <c r="AK483" s="22"/>
      <c r="AL483" s="22"/>
      <c r="AM483" s="22"/>
      <c r="AN483" s="22"/>
      <c r="AO483" s="30" t="s">
        <v>49</v>
      </c>
      <c r="AP483" s="22"/>
      <c r="AQ483" s="22"/>
      <c r="AR483" s="19" t="s">
        <v>50</v>
      </c>
      <c r="AS483" s="18"/>
      <c r="AT483" s="18"/>
      <c r="AU483" s="18"/>
      <c r="AV483" s="25" t="n">
        <v>5</v>
      </c>
      <c r="AW483" s="18"/>
      <c r="AX483" s="18"/>
      <c r="AY483" s="18"/>
      <c r="AZ483" s="18"/>
      <c r="BA483" s="25" t="n">
        <v>6</v>
      </c>
      <c r="BB483" s="25" t="n">
        <v>2</v>
      </c>
      <c r="BC483" s="18"/>
      <c r="BD483" s="18"/>
      <c r="BE483" s="22" t="n">
        <f aca="false">SUM(AS483:BD483)</f>
        <v>13</v>
      </c>
      <c r="BF483" s="23" t="n">
        <v>1055.68</v>
      </c>
      <c r="BG483" s="19" t="s">
        <v>55</v>
      </c>
      <c r="BH483" s="18"/>
      <c r="BI483" s="18"/>
      <c r="BJ483" s="18"/>
      <c r="BK483" s="25" t="n">
        <v>3</v>
      </c>
      <c r="BL483" s="25" t="n">
        <v>1</v>
      </c>
      <c r="BM483" s="25" t="n">
        <v>1</v>
      </c>
      <c r="BN483" s="18"/>
      <c r="BO483" s="25" t="n">
        <v>2</v>
      </c>
      <c r="BP483" s="25" t="n">
        <v>1</v>
      </c>
      <c r="BQ483" s="18"/>
      <c r="BR483" s="25" t="n">
        <v>3</v>
      </c>
      <c r="BS483" s="25" t="n">
        <v>3</v>
      </c>
      <c r="BT483" s="22" t="n">
        <f aca="false">SUM(BH483:BS483)</f>
        <v>14</v>
      </c>
      <c r="BU483" s="26" t="n">
        <v>46058.6104166667</v>
      </c>
      <c r="BV483" s="17" t="s">
        <v>124</v>
      </c>
      <c r="BW483" s="17" t="s">
        <v>44</v>
      </c>
      <c r="BX483" s="23" t="n">
        <f aca="false">IFERROR(R483/AE483,0)</f>
        <v>1566.78</v>
      </c>
      <c r="BY483" s="23" t="n">
        <f aca="false">IFERROR(R483/12,0)</f>
        <v>261.13</v>
      </c>
      <c r="BZ483" s="18" t="n">
        <v>125</v>
      </c>
      <c r="CA483" s="22" t="str">
        <f aca="false">IF(AE483=0,"PROSPECT",IF(AE483=1,"NOVO",IF(AE483&lt;=3,"EM DESENV.",IF(AE483&lt;=6,"RECORRENTE","FIDELIZADO"))))</f>
        <v>EM DESENV.</v>
      </c>
      <c r="CB483" s="22" t="n">
        <f aca="false">IF((P483+Q483)&gt;0,1,0)+IF((BR483+BS483)&gt;0,1,0)+IF(BE483&gt;0,1,0)</f>
        <v>2</v>
      </c>
    </row>
    <row r="484" customFormat="false" ht="15" hidden="false" customHeight="true" outlineLevel="0" collapsed="false">
      <c r="A484" s="16" t="s">
        <v>1304</v>
      </c>
      <c r="B484" s="17" t="s">
        <v>1305</v>
      </c>
      <c r="C484" s="18" t="s">
        <v>41</v>
      </c>
      <c r="D484" s="17" t="s">
        <v>42</v>
      </c>
      <c r="E484" s="29" t="s">
        <v>365</v>
      </c>
      <c r="F484" s="20"/>
      <c r="G484" s="20"/>
      <c r="H484" s="20"/>
      <c r="I484" s="27" t="n">
        <v>1498.5</v>
      </c>
      <c r="J484" s="20"/>
      <c r="K484" s="20"/>
      <c r="L484" s="20"/>
      <c r="M484" s="20"/>
      <c r="N484" s="20"/>
      <c r="O484" s="20"/>
      <c r="P484" s="20"/>
      <c r="Q484" s="20"/>
      <c r="R484" s="21" t="n">
        <f aca="false">SUM(F484:Q484)</f>
        <v>1498.5</v>
      </c>
      <c r="S484" s="18"/>
      <c r="T484" s="18"/>
      <c r="U484" s="18"/>
      <c r="V484" s="28" t="n">
        <v>1</v>
      </c>
      <c r="W484" s="18"/>
      <c r="X484" s="18"/>
      <c r="Y484" s="18"/>
      <c r="Z484" s="18"/>
      <c r="AA484" s="18"/>
      <c r="AB484" s="18"/>
      <c r="AC484" s="18"/>
      <c r="AD484" s="18"/>
      <c r="AE484" s="22" t="n">
        <f aca="false">SUM(S484:AD484)</f>
        <v>1</v>
      </c>
      <c r="AF484" s="22"/>
      <c r="AG484" s="22"/>
      <c r="AH484" s="22"/>
      <c r="AI484" s="19" t="s">
        <v>50</v>
      </c>
      <c r="AJ484" s="22"/>
      <c r="AK484" s="22"/>
      <c r="AL484" s="22"/>
      <c r="AM484" s="22"/>
      <c r="AN484" s="22"/>
      <c r="AO484" s="22"/>
      <c r="AP484" s="22"/>
      <c r="AQ484" s="22"/>
      <c r="AR484" s="30" t="s">
        <v>49</v>
      </c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22" t="n">
        <f aca="false">SUM(AS484:BD484)</f>
        <v>0</v>
      </c>
      <c r="BF484" s="23"/>
      <c r="BG484" s="24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22" t="n">
        <f aca="false">SUM(BH484:BS484)</f>
        <v>0</v>
      </c>
      <c r="BU484" s="26"/>
      <c r="BV484" s="17"/>
      <c r="BW484" s="17"/>
      <c r="BX484" s="23" t="n">
        <f aca="false">IFERROR(R484/AE484,0)</f>
        <v>1498.5</v>
      </c>
      <c r="BY484" s="23" t="n">
        <f aca="false">IFERROR(R484/12,0)</f>
        <v>124.875</v>
      </c>
      <c r="BZ484" s="18" t="n">
        <v>0</v>
      </c>
      <c r="CA484" s="22" t="str">
        <f aca="false">IF(AE484=0,"PROSPECT",IF(AE484=1,"NOVO",IF(AE484&lt;=3,"EM DESENV.",IF(AE484&lt;=6,"RECORRENTE","FIDELIZADO"))))</f>
        <v>NOVO</v>
      </c>
      <c r="CB484" s="22" t="n">
        <f aca="false">IF((P484+Q484)&gt;0,1,0)+IF((BR484+BS484)&gt;0,1,0)+IF(BE484&gt;0,1,0)</f>
        <v>0</v>
      </c>
    </row>
    <row r="485" customFormat="false" ht="15" hidden="false" customHeight="true" outlineLevel="0" collapsed="false">
      <c r="A485" s="16" t="s">
        <v>1306</v>
      </c>
      <c r="B485" s="17" t="s">
        <v>1307</v>
      </c>
      <c r="C485" s="18" t="s">
        <v>61</v>
      </c>
      <c r="D485" s="17" t="s">
        <v>1308</v>
      </c>
      <c r="E485" s="29" t="s">
        <v>365</v>
      </c>
      <c r="F485" s="20"/>
      <c r="G485" s="20"/>
      <c r="H485" s="20"/>
      <c r="I485" s="27" t="n">
        <v>2979.24</v>
      </c>
      <c r="J485" s="20"/>
      <c r="K485" s="20"/>
      <c r="L485" s="20"/>
      <c r="M485" s="20"/>
      <c r="N485" s="20"/>
      <c r="O485" s="20"/>
      <c r="P485" s="20"/>
      <c r="Q485" s="20"/>
      <c r="R485" s="21" t="n">
        <f aca="false">SUM(F485:Q485)</f>
        <v>2979.24</v>
      </c>
      <c r="S485" s="18"/>
      <c r="T485" s="18"/>
      <c r="U485" s="18"/>
      <c r="V485" s="28" t="n">
        <v>1</v>
      </c>
      <c r="W485" s="18"/>
      <c r="X485" s="18"/>
      <c r="Y485" s="18"/>
      <c r="Z485" s="18"/>
      <c r="AA485" s="18"/>
      <c r="AB485" s="18"/>
      <c r="AC485" s="18"/>
      <c r="AD485" s="18"/>
      <c r="AE485" s="22" t="n">
        <f aca="false">SUM(S485:AD485)</f>
        <v>1</v>
      </c>
      <c r="AF485" s="22"/>
      <c r="AG485" s="22"/>
      <c r="AH485" s="22"/>
      <c r="AI485" s="19" t="s">
        <v>50</v>
      </c>
      <c r="AJ485" s="22"/>
      <c r="AK485" s="22"/>
      <c r="AL485" s="22"/>
      <c r="AM485" s="22"/>
      <c r="AN485" s="22"/>
      <c r="AO485" s="22"/>
      <c r="AP485" s="22"/>
      <c r="AQ485" s="22"/>
      <c r="AR485" s="19" t="s">
        <v>50</v>
      </c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22" t="n">
        <f aca="false">SUM(AS485:BD485)</f>
        <v>0</v>
      </c>
      <c r="BF485" s="23"/>
      <c r="BG485" s="24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22" t="n">
        <f aca="false">SUM(BH485:BS485)</f>
        <v>0</v>
      </c>
      <c r="BU485" s="26"/>
      <c r="BV485" s="17"/>
      <c r="BW485" s="17"/>
      <c r="BX485" s="23" t="n">
        <f aca="false">IFERROR(R485/AE485,0)</f>
        <v>2979.24</v>
      </c>
      <c r="BY485" s="23" t="n">
        <f aca="false">IFERROR(R485/12,0)</f>
        <v>248.27</v>
      </c>
      <c r="BZ485" s="18" t="n">
        <v>0</v>
      </c>
      <c r="CA485" s="22" t="str">
        <f aca="false">IF(AE485=0,"PROSPECT",IF(AE485=1,"NOVO",IF(AE485&lt;=3,"EM DESENV.",IF(AE485&lt;=6,"RECORRENTE","FIDELIZADO"))))</f>
        <v>NOVO</v>
      </c>
      <c r="CB485" s="22" t="n">
        <f aca="false">IF((P485+Q485)&gt;0,1,0)+IF((BR485+BS485)&gt;0,1,0)+IF(BE485&gt;0,1,0)</f>
        <v>0</v>
      </c>
    </row>
    <row r="486" customFormat="false" ht="15" hidden="false" customHeight="true" outlineLevel="0" collapsed="false">
      <c r="A486" s="16" t="s">
        <v>1309</v>
      </c>
      <c r="B486" s="17" t="s">
        <v>1310</v>
      </c>
      <c r="C486" s="18" t="s">
        <v>41</v>
      </c>
      <c r="D486" s="17" t="s">
        <v>830</v>
      </c>
      <c r="E486" s="29" t="s">
        <v>365</v>
      </c>
      <c r="F486" s="20"/>
      <c r="G486" s="20"/>
      <c r="H486" s="20"/>
      <c r="I486" s="27" t="n">
        <v>2558.04</v>
      </c>
      <c r="J486" s="20"/>
      <c r="K486" s="27" t="n">
        <v>1033.22</v>
      </c>
      <c r="L486" s="20"/>
      <c r="M486" s="20"/>
      <c r="N486" s="20"/>
      <c r="O486" s="20"/>
      <c r="P486" s="20"/>
      <c r="Q486" s="20"/>
      <c r="R486" s="21" t="n">
        <f aca="false">SUM(F486:Q486)</f>
        <v>3591.26</v>
      </c>
      <c r="S486" s="18"/>
      <c r="T486" s="18"/>
      <c r="U486" s="18"/>
      <c r="V486" s="28" t="n">
        <v>1</v>
      </c>
      <c r="W486" s="18"/>
      <c r="X486" s="28" t="n">
        <v>1</v>
      </c>
      <c r="Y486" s="18"/>
      <c r="Z486" s="18"/>
      <c r="AA486" s="18"/>
      <c r="AB486" s="18"/>
      <c r="AC486" s="18"/>
      <c r="AD486" s="18"/>
      <c r="AE486" s="22" t="n">
        <f aca="false">SUM(S486:AD486)</f>
        <v>2</v>
      </c>
      <c r="AF486" s="22"/>
      <c r="AG486" s="22"/>
      <c r="AH486" s="22"/>
      <c r="AI486" s="19" t="s">
        <v>50</v>
      </c>
      <c r="AJ486" s="22"/>
      <c r="AK486" s="30" t="s">
        <v>49</v>
      </c>
      <c r="AL486" s="22"/>
      <c r="AM486" s="22"/>
      <c r="AN486" s="22"/>
      <c r="AO486" s="22"/>
      <c r="AP486" s="22"/>
      <c r="AQ486" s="22"/>
      <c r="AR486" s="19" t="s">
        <v>50</v>
      </c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22" t="n">
        <f aca="false">SUM(AS486:BD486)</f>
        <v>0</v>
      </c>
      <c r="BF486" s="23"/>
      <c r="BG486" s="24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25" t="n">
        <v>2</v>
      </c>
      <c r="BT486" s="22" t="n">
        <f aca="false">SUM(BH486:BS486)</f>
        <v>2</v>
      </c>
      <c r="BU486" s="26" t="n">
        <v>46058.4638888889</v>
      </c>
      <c r="BV486" s="17"/>
      <c r="BW486" s="17" t="s">
        <v>117</v>
      </c>
      <c r="BX486" s="23" t="n">
        <f aca="false">IFERROR(R486/AE486,0)</f>
        <v>1795.63</v>
      </c>
      <c r="BY486" s="23" t="n">
        <f aca="false">IFERROR(R486/12,0)</f>
        <v>299.271666666667</v>
      </c>
      <c r="BZ486" s="18" t="n">
        <v>59</v>
      </c>
      <c r="CA486" s="22" t="str">
        <f aca="false">IF(AE486=0,"PROSPECT",IF(AE486=1,"NOVO",IF(AE486&lt;=3,"EM DESENV.",IF(AE486&lt;=6,"RECORRENTE","FIDELIZADO"))))</f>
        <v>EM DESENV.</v>
      </c>
      <c r="CB486" s="22" t="n">
        <f aca="false">IF((P486+Q486)&gt;0,1,0)+IF((BR486+BS486)&gt;0,1,0)+IF(BE486&gt;0,1,0)</f>
        <v>1</v>
      </c>
    </row>
    <row r="487" customFormat="false" ht="15" hidden="false" customHeight="true" outlineLevel="0" collapsed="false">
      <c r="A487" s="16" t="s">
        <v>1311</v>
      </c>
      <c r="B487" s="17" t="s">
        <v>1312</v>
      </c>
      <c r="C487" s="18" t="s">
        <v>41</v>
      </c>
      <c r="D487" s="17" t="s">
        <v>42</v>
      </c>
      <c r="E487" s="29" t="s">
        <v>365</v>
      </c>
      <c r="F487" s="20"/>
      <c r="G487" s="27" t="n">
        <v>1676.51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1" t="n">
        <f aca="false">SUM(F487:Q487)</f>
        <v>1676.51</v>
      </c>
      <c r="S487" s="18"/>
      <c r="T487" s="28" t="n">
        <v>1</v>
      </c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22" t="n">
        <f aca="false">SUM(S487:AD487)</f>
        <v>1</v>
      </c>
      <c r="AF487" s="22"/>
      <c r="AG487" s="30" t="s">
        <v>49</v>
      </c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30" t="s">
        <v>49</v>
      </c>
      <c r="AS487" s="18"/>
      <c r="AT487" s="18"/>
      <c r="AU487" s="18"/>
      <c r="AV487" s="25" t="n">
        <v>3</v>
      </c>
      <c r="AW487" s="25" t="n">
        <v>4</v>
      </c>
      <c r="AX487" s="18"/>
      <c r="AY487" s="18"/>
      <c r="AZ487" s="18"/>
      <c r="BA487" s="18"/>
      <c r="BB487" s="18"/>
      <c r="BC487" s="18"/>
      <c r="BD487" s="18"/>
      <c r="BE487" s="22" t="n">
        <f aca="false">SUM(AS487:BD487)</f>
        <v>7</v>
      </c>
      <c r="BF487" s="23"/>
      <c r="BG487" s="31" t="s">
        <v>93</v>
      </c>
      <c r="BH487" s="18"/>
      <c r="BI487" s="18"/>
      <c r="BJ487" s="25" t="n">
        <v>4</v>
      </c>
      <c r="BK487" s="25" t="n">
        <v>1</v>
      </c>
      <c r="BL487" s="25" t="n">
        <v>3</v>
      </c>
      <c r="BM487" s="18"/>
      <c r="BN487" s="25" t="n">
        <v>1</v>
      </c>
      <c r="BO487" s="18"/>
      <c r="BP487" s="25" t="n">
        <v>1</v>
      </c>
      <c r="BQ487" s="25" t="n">
        <v>1</v>
      </c>
      <c r="BR487" s="25" t="n">
        <v>1</v>
      </c>
      <c r="BS487" s="18"/>
      <c r="BT487" s="22" t="n">
        <f aca="false">SUM(BH487:BS487)</f>
        <v>12</v>
      </c>
      <c r="BU487" s="26" t="n">
        <v>46034.4754976852</v>
      </c>
      <c r="BV487" s="17"/>
      <c r="BW487" s="17" t="s">
        <v>44</v>
      </c>
      <c r="BX487" s="23" t="n">
        <f aca="false">IFERROR(R487/AE487,0)</f>
        <v>1676.51</v>
      </c>
      <c r="BY487" s="23" t="n">
        <f aca="false">IFERROR(R487/12,0)</f>
        <v>139.709166666667</v>
      </c>
      <c r="BZ487" s="18" t="n">
        <v>0</v>
      </c>
      <c r="CA487" s="22" t="str">
        <f aca="false">IF(AE487=0,"PROSPECT",IF(AE487=1,"NOVO",IF(AE487&lt;=3,"EM DESENV.",IF(AE487&lt;=6,"RECORRENTE","FIDELIZADO"))))</f>
        <v>NOVO</v>
      </c>
      <c r="CB487" s="22" t="n">
        <f aca="false">IF((P487+Q487)&gt;0,1,0)+IF((BR487+BS487)&gt;0,1,0)+IF(BE487&gt;0,1,0)</f>
        <v>2</v>
      </c>
    </row>
    <row r="488" customFormat="false" ht="15" hidden="false" customHeight="true" outlineLevel="0" collapsed="false">
      <c r="A488" s="16" t="s">
        <v>1313</v>
      </c>
      <c r="B488" s="17" t="s">
        <v>1314</v>
      </c>
      <c r="C488" s="18" t="s">
        <v>72</v>
      </c>
      <c r="D488" s="17" t="s">
        <v>1315</v>
      </c>
      <c r="E488" s="29" t="s">
        <v>365</v>
      </c>
      <c r="F488" s="20"/>
      <c r="G488" s="20"/>
      <c r="H488" s="20"/>
      <c r="I488" s="20"/>
      <c r="J488" s="20"/>
      <c r="K488" s="20"/>
      <c r="L488" s="20"/>
      <c r="M488" s="27" t="n">
        <v>1194.58</v>
      </c>
      <c r="N488" s="20"/>
      <c r="O488" s="20"/>
      <c r="P488" s="20"/>
      <c r="Q488" s="20"/>
      <c r="R488" s="21" t="n">
        <f aca="false">SUM(F488:Q488)</f>
        <v>1194.58</v>
      </c>
      <c r="S488" s="18"/>
      <c r="T488" s="18"/>
      <c r="U488" s="18"/>
      <c r="V488" s="18"/>
      <c r="W488" s="18"/>
      <c r="X488" s="18"/>
      <c r="Y488" s="18"/>
      <c r="Z488" s="28" t="n">
        <v>1</v>
      </c>
      <c r="AA488" s="18"/>
      <c r="AB488" s="18"/>
      <c r="AC488" s="18"/>
      <c r="AD488" s="18"/>
      <c r="AE488" s="22" t="n">
        <f aca="false">SUM(S488:AD488)</f>
        <v>1</v>
      </c>
      <c r="AF488" s="22"/>
      <c r="AG488" s="22"/>
      <c r="AH488" s="22"/>
      <c r="AI488" s="22"/>
      <c r="AJ488" s="22"/>
      <c r="AK488" s="22"/>
      <c r="AL488" s="22"/>
      <c r="AM488" s="30" t="s">
        <v>49</v>
      </c>
      <c r="AN488" s="22"/>
      <c r="AO488" s="22"/>
      <c r="AP488" s="22"/>
      <c r="AQ488" s="22"/>
      <c r="AR488" s="30" t="s">
        <v>49</v>
      </c>
      <c r="AS488" s="18"/>
      <c r="AT488" s="18"/>
      <c r="AU488" s="18"/>
      <c r="AV488" s="18"/>
      <c r="AW488" s="18"/>
      <c r="AX488" s="18"/>
      <c r="AY488" s="18"/>
      <c r="AZ488" s="18"/>
      <c r="BA488" s="18"/>
      <c r="BB488" s="25" t="n">
        <v>2</v>
      </c>
      <c r="BC488" s="18"/>
      <c r="BD488" s="18"/>
      <c r="BE488" s="22" t="n">
        <f aca="false">SUM(AS488:BD488)</f>
        <v>2</v>
      </c>
      <c r="BF488" s="23"/>
      <c r="BG488" s="31" t="s">
        <v>93</v>
      </c>
      <c r="BH488" s="18"/>
      <c r="BI488" s="25" t="n">
        <v>1</v>
      </c>
      <c r="BJ488" s="18"/>
      <c r="BK488" s="18"/>
      <c r="BL488" s="25" t="n">
        <v>6</v>
      </c>
      <c r="BM488" s="18"/>
      <c r="BN488" s="25" t="n">
        <v>1</v>
      </c>
      <c r="BO488" s="25" t="n">
        <v>2</v>
      </c>
      <c r="BP488" s="18"/>
      <c r="BQ488" s="18"/>
      <c r="BR488" s="18"/>
      <c r="BS488" s="18"/>
      <c r="BT488" s="22" t="n">
        <f aca="false">SUM(BH488:BS488)</f>
        <v>10</v>
      </c>
      <c r="BU488" s="26" t="n">
        <v>45951.6152777778</v>
      </c>
      <c r="BV488" s="17" t="s">
        <v>173</v>
      </c>
      <c r="BW488" s="17" t="s">
        <v>44</v>
      </c>
      <c r="BX488" s="23" t="n">
        <f aca="false">IFERROR(R488/AE488,0)</f>
        <v>1194.58</v>
      </c>
      <c r="BY488" s="23" t="n">
        <f aca="false">IFERROR(R488/12,0)</f>
        <v>99.5483333333333</v>
      </c>
      <c r="BZ488" s="18" t="n">
        <v>0</v>
      </c>
      <c r="CA488" s="22" t="str">
        <f aca="false">IF(AE488=0,"PROSPECT",IF(AE488=1,"NOVO",IF(AE488&lt;=3,"EM DESENV.",IF(AE488&lt;=6,"RECORRENTE","FIDELIZADO"))))</f>
        <v>NOVO</v>
      </c>
      <c r="CB488" s="22" t="n">
        <f aca="false">IF((P488+Q488)&gt;0,1,0)+IF((BR488+BS488)&gt;0,1,0)+IF(BE488&gt;0,1,0)</f>
        <v>1</v>
      </c>
    </row>
    <row r="489" customFormat="false" ht="15" hidden="false" customHeight="true" outlineLevel="0" collapsed="false">
      <c r="A489" s="16" t="s">
        <v>1316</v>
      </c>
      <c r="B489" s="17" t="s">
        <v>1317</v>
      </c>
      <c r="C489" s="18" t="s">
        <v>61</v>
      </c>
      <c r="D489" s="17" t="s">
        <v>210</v>
      </c>
      <c r="E489" s="29" t="s">
        <v>365</v>
      </c>
      <c r="F489" s="20"/>
      <c r="G489" s="20"/>
      <c r="H489" s="20"/>
      <c r="I489" s="20"/>
      <c r="J489" s="20"/>
      <c r="K489" s="20"/>
      <c r="L489" s="20"/>
      <c r="M489" s="27" t="n">
        <v>1083.3</v>
      </c>
      <c r="N489" s="20"/>
      <c r="O489" s="20"/>
      <c r="P489" s="20"/>
      <c r="Q489" s="20"/>
      <c r="R489" s="21" t="n">
        <f aca="false">SUM(F489:Q489)</f>
        <v>1083.3</v>
      </c>
      <c r="S489" s="18"/>
      <c r="T489" s="18"/>
      <c r="U489" s="18"/>
      <c r="V489" s="18"/>
      <c r="W489" s="18"/>
      <c r="X489" s="18"/>
      <c r="Y489" s="18"/>
      <c r="Z489" s="28" t="n">
        <v>1</v>
      </c>
      <c r="AA489" s="18"/>
      <c r="AB489" s="18"/>
      <c r="AC489" s="18"/>
      <c r="AD489" s="18"/>
      <c r="AE489" s="22" t="n">
        <f aca="false">SUM(S489:AD489)</f>
        <v>1</v>
      </c>
      <c r="AF489" s="22"/>
      <c r="AG489" s="22"/>
      <c r="AH489" s="22"/>
      <c r="AI489" s="22"/>
      <c r="AJ489" s="22"/>
      <c r="AK489" s="22"/>
      <c r="AL489" s="22"/>
      <c r="AM489" s="30" t="s">
        <v>49</v>
      </c>
      <c r="AN489" s="22"/>
      <c r="AO489" s="22"/>
      <c r="AP489" s="22"/>
      <c r="AQ489" s="22"/>
      <c r="AR489" s="29" t="s">
        <v>48</v>
      </c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22" t="n">
        <f aca="false">SUM(AS489:BD489)</f>
        <v>0</v>
      </c>
      <c r="BF489" s="23"/>
      <c r="BG489" s="24"/>
      <c r="BH489" s="25" t="n">
        <v>2</v>
      </c>
      <c r="BI489" s="18"/>
      <c r="BJ489" s="25" t="n">
        <v>1</v>
      </c>
      <c r="BK489" s="18"/>
      <c r="BL489" s="18"/>
      <c r="BM489" s="18"/>
      <c r="BN489" s="18"/>
      <c r="BO489" s="25" t="n">
        <v>2</v>
      </c>
      <c r="BP489" s="18"/>
      <c r="BQ489" s="18"/>
      <c r="BR489" s="18"/>
      <c r="BS489" s="18"/>
      <c r="BT489" s="22" t="n">
        <f aca="false">SUM(BH489:BS489)</f>
        <v>5</v>
      </c>
      <c r="BU489" s="26" t="n">
        <v>45951.4851851852</v>
      </c>
      <c r="BV489" s="17"/>
      <c r="BW489" s="17" t="s">
        <v>44</v>
      </c>
      <c r="BX489" s="23" t="n">
        <f aca="false">IFERROR(R489/AE489,0)</f>
        <v>1083.3</v>
      </c>
      <c r="BY489" s="23" t="n">
        <f aca="false">IFERROR(R489/12,0)</f>
        <v>90.275</v>
      </c>
      <c r="BZ489" s="18" t="n">
        <v>0</v>
      </c>
      <c r="CA489" s="22" t="str">
        <f aca="false">IF(AE489=0,"PROSPECT",IF(AE489=1,"NOVO",IF(AE489&lt;=3,"EM DESENV.",IF(AE489&lt;=6,"RECORRENTE","FIDELIZADO"))))</f>
        <v>NOVO</v>
      </c>
      <c r="CB489" s="22" t="n">
        <f aca="false">IF((P489+Q489)&gt;0,1,0)+IF((BR489+BS489)&gt;0,1,0)+IF(BE489&gt;0,1,0)</f>
        <v>0</v>
      </c>
    </row>
    <row r="490" customFormat="false" ht="15" hidden="false" customHeight="true" outlineLevel="0" collapsed="false">
      <c r="A490" s="16" t="s">
        <v>1318</v>
      </c>
      <c r="B490" s="17" t="s">
        <v>1319</v>
      </c>
      <c r="C490" s="18" t="s">
        <v>61</v>
      </c>
      <c r="D490" s="17" t="s">
        <v>272</v>
      </c>
      <c r="E490" s="29" t="s">
        <v>365</v>
      </c>
      <c r="F490" s="20"/>
      <c r="G490" s="20"/>
      <c r="H490" s="20"/>
      <c r="I490" s="20"/>
      <c r="J490" s="20"/>
      <c r="K490" s="20"/>
      <c r="L490" s="20"/>
      <c r="M490" s="20"/>
      <c r="N490" s="27" t="n">
        <v>1047.3</v>
      </c>
      <c r="O490" s="20"/>
      <c r="P490" s="20"/>
      <c r="Q490" s="20"/>
      <c r="R490" s="21" t="n">
        <f aca="false">SUM(F490:Q490)</f>
        <v>1047.3</v>
      </c>
      <c r="S490" s="18"/>
      <c r="T490" s="18"/>
      <c r="U490" s="18"/>
      <c r="V490" s="18"/>
      <c r="W490" s="18"/>
      <c r="X490" s="18"/>
      <c r="Y490" s="18"/>
      <c r="Z490" s="18"/>
      <c r="AA490" s="28" t="n">
        <v>1</v>
      </c>
      <c r="AB490" s="18"/>
      <c r="AC490" s="18"/>
      <c r="AD490" s="18"/>
      <c r="AE490" s="22" t="n">
        <f aca="false">SUM(S490:AD490)</f>
        <v>1</v>
      </c>
      <c r="AF490" s="22"/>
      <c r="AG490" s="22"/>
      <c r="AH490" s="22"/>
      <c r="AI490" s="22"/>
      <c r="AJ490" s="22"/>
      <c r="AK490" s="22"/>
      <c r="AL490" s="22"/>
      <c r="AM490" s="22"/>
      <c r="AN490" s="30" t="s">
        <v>49</v>
      </c>
      <c r="AO490" s="22"/>
      <c r="AP490" s="22"/>
      <c r="AQ490" s="22"/>
      <c r="AR490" s="29" t="s">
        <v>48</v>
      </c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22" t="n">
        <f aca="false">SUM(AS490:BD490)</f>
        <v>0</v>
      </c>
      <c r="BF490" s="23"/>
      <c r="BG490" s="24"/>
      <c r="BH490" s="18"/>
      <c r="BI490" s="18"/>
      <c r="BJ490" s="18"/>
      <c r="BK490" s="18"/>
      <c r="BL490" s="25" t="n">
        <v>1</v>
      </c>
      <c r="BM490" s="18"/>
      <c r="BN490" s="18"/>
      <c r="BO490" s="18"/>
      <c r="BP490" s="18"/>
      <c r="BQ490" s="18"/>
      <c r="BR490" s="18"/>
      <c r="BS490" s="18"/>
      <c r="BT490" s="22" t="n">
        <f aca="false">SUM(BH490:BS490)</f>
        <v>1</v>
      </c>
      <c r="BU490" s="26" t="n">
        <v>45841.4559837963</v>
      </c>
      <c r="BV490" s="17"/>
      <c r="BW490" s="17" t="s">
        <v>44</v>
      </c>
      <c r="BX490" s="23" t="n">
        <f aca="false">IFERROR(R490/AE490,0)</f>
        <v>1047.3</v>
      </c>
      <c r="BY490" s="23" t="n">
        <f aca="false">IFERROR(R490/12,0)</f>
        <v>87.275</v>
      </c>
      <c r="BZ490" s="18" t="n">
        <v>0</v>
      </c>
      <c r="CA490" s="22" t="str">
        <f aca="false">IF(AE490=0,"PROSPECT",IF(AE490=1,"NOVO",IF(AE490&lt;=3,"EM DESENV.",IF(AE490&lt;=6,"RECORRENTE","FIDELIZADO"))))</f>
        <v>NOVO</v>
      </c>
      <c r="CB490" s="22" t="n">
        <f aca="false">IF((P490+Q490)&gt;0,1,0)+IF((BR490+BS490)&gt;0,1,0)+IF(BE490&gt;0,1,0)</f>
        <v>0</v>
      </c>
    </row>
    <row r="491" customFormat="false" ht="15" hidden="false" customHeight="true" outlineLevel="0" collapsed="false">
      <c r="A491" s="16" t="s">
        <v>1320</v>
      </c>
      <c r="B491" s="17" t="s">
        <v>1321</v>
      </c>
      <c r="C491" s="18" t="s">
        <v>127</v>
      </c>
      <c r="D491" s="17" t="s">
        <v>1322</v>
      </c>
      <c r="E491" s="29" t="s">
        <v>365</v>
      </c>
      <c r="F491" s="20"/>
      <c r="G491" s="20"/>
      <c r="H491" s="20"/>
      <c r="I491" s="20"/>
      <c r="J491" s="20"/>
      <c r="K491" s="20"/>
      <c r="L491" s="27" t="n">
        <v>1603.62</v>
      </c>
      <c r="M491" s="20"/>
      <c r="N491" s="20"/>
      <c r="O491" s="20"/>
      <c r="P491" s="20"/>
      <c r="Q491" s="20"/>
      <c r="R491" s="21" t="n">
        <f aca="false">SUM(F491:Q491)</f>
        <v>1603.62</v>
      </c>
      <c r="S491" s="18"/>
      <c r="T491" s="18"/>
      <c r="U491" s="18"/>
      <c r="V491" s="18"/>
      <c r="W491" s="18"/>
      <c r="X491" s="18"/>
      <c r="Y491" s="28" t="n">
        <v>1</v>
      </c>
      <c r="Z491" s="18"/>
      <c r="AA491" s="18"/>
      <c r="AB491" s="18"/>
      <c r="AC491" s="18"/>
      <c r="AD491" s="18"/>
      <c r="AE491" s="22" t="n">
        <f aca="false">SUM(S491:AD491)</f>
        <v>1</v>
      </c>
      <c r="AF491" s="22"/>
      <c r="AG491" s="22"/>
      <c r="AH491" s="22"/>
      <c r="AI491" s="22"/>
      <c r="AJ491" s="22"/>
      <c r="AK491" s="22"/>
      <c r="AL491" s="19" t="s">
        <v>50</v>
      </c>
      <c r="AM491" s="22"/>
      <c r="AN491" s="22"/>
      <c r="AO491" s="22"/>
      <c r="AP491" s="22"/>
      <c r="AQ491" s="22"/>
      <c r="AR491" s="30" t="s">
        <v>49</v>
      </c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22" t="n">
        <f aca="false">SUM(AS491:BD491)</f>
        <v>0</v>
      </c>
      <c r="BF491" s="23"/>
      <c r="BG491" s="24"/>
      <c r="BH491" s="18"/>
      <c r="BI491" s="18"/>
      <c r="BJ491" s="18"/>
      <c r="BK491" s="18"/>
      <c r="BL491" s="18"/>
      <c r="BM491" s="18"/>
      <c r="BN491" s="18"/>
      <c r="BO491" s="25" t="n">
        <v>2</v>
      </c>
      <c r="BP491" s="18"/>
      <c r="BQ491" s="25" t="n">
        <v>1</v>
      </c>
      <c r="BR491" s="18"/>
      <c r="BS491" s="25" t="n">
        <v>2</v>
      </c>
      <c r="BT491" s="22" t="n">
        <f aca="false">SUM(BH491:BS491)</f>
        <v>5</v>
      </c>
      <c r="BU491" s="26" t="n">
        <v>46056.6215277778</v>
      </c>
      <c r="BV491" s="17"/>
      <c r="BW491" s="17" t="s">
        <v>117</v>
      </c>
      <c r="BX491" s="23" t="n">
        <f aca="false">IFERROR(R491/AE491,0)</f>
        <v>1603.62</v>
      </c>
      <c r="BY491" s="23" t="n">
        <f aca="false">IFERROR(R491/12,0)</f>
        <v>133.635</v>
      </c>
      <c r="BZ491" s="18" t="n">
        <v>0</v>
      </c>
      <c r="CA491" s="22" t="str">
        <f aca="false">IF(AE491=0,"PROSPECT",IF(AE491=1,"NOVO",IF(AE491&lt;=3,"EM DESENV.",IF(AE491&lt;=6,"RECORRENTE","FIDELIZADO"))))</f>
        <v>NOVO</v>
      </c>
      <c r="CB491" s="22" t="n">
        <f aca="false">IF((P491+Q491)&gt;0,1,0)+IF((BR491+BS491)&gt;0,1,0)+IF(BE491&gt;0,1,0)</f>
        <v>1</v>
      </c>
    </row>
    <row r="492" customFormat="false" ht="15" hidden="false" customHeight="true" outlineLevel="0" collapsed="false">
      <c r="A492" s="16" t="s">
        <v>1323</v>
      </c>
      <c r="B492" s="17" t="s">
        <v>1324</v>
      </c>
      <c r="C492" s="18" t="s">
        <v>41</v>
      </c>
      <c r="D492" s="17" t="s">
        <v>1325</v>
      </c>
      <c r="E492" s="29" t="s">
        <v>365</v>
      </c>
      <c r="F492" s="20"/>
      <c r="G492" s="20"/>
      <c r="H492" s="20"/>
      <c r="I492" s="20"/>
      <c r="J492" s="20"/>
      <c r="K492" s="20"/>
      <c r="L492" s="20"/>
      <c r="M492" s="20"/>
      <c r="N492" s="27" t="n">
        <v>1019.96</v>
      </c>
      <c r="O492" s="20"/>
      <c r="P492" s="20"/>
      <c r="Q492" s="20"/>
      <c r="R492" s="21" t="n">
        <f aca="false">SUM(F492:Q492)</f>
        <v>1019.96</v>
      </c>
      <c r="S492" s="18"/>
      <c r="T492" s="18"/>
      <c r="U492" s="18"/>
      <c r="V492" s="18"/>
      <c r="W492" s="18"/>
      <c r="X492" s="18"/>
      <c r="Y492" s="18"/>
      <c r="Z492" s="18"/>
      <c r="AA492" s="28" t="n">
        <v>1</v>
      </c>
      <c r="AB492" s="18"/>
      <c r="AC492" s="18"/>
      <c r="AD492" s="18"/>
      <c r="AE492" s="22" t="n">
        <f aca="false">SUM(S492:AD492)</f>
        <v>1</v>
      </c>
      <c r="AF492" s="22"/>
      <c r="AG492" s="22"/>
      <c r="AH492" s="22"/>
      <c r="AI492" s="22"/>
      <c r="AJ492" s="22"/>
      <c r="AK492" s="22"/>
      <c r="AL492" s="22"/>
      <c r="AM492" s="22"/>
      <c r="AN492" s="30" t="s">
        <v>49</v>
      </c>
      <c r="AO492" s="22"/>
      <c r="AP492" s="22"/>
      <c r="AQ492" s="22"/>
      <c r="AR492" s="29" t="s">
        <v>48</v>
      </c>
      <c r="AS492" s="18"/>
      <c r="AT492" s="18"/>
      <c r="AU492" s="18"/>
      <c r="AV492" s="18"/>
      <c r="AW492" s="18"/>
      <c r="AX492" s="25" t="n">
        <v>2</v>
      </c>
      <c r="AY492" s="18"/>
      <c r="AZ492" s="18"/>
      <c r="BA492" s="25" t="n">
        <v>8</v>
      </c>
      <c r="BB492" s="18"/>
      <c r="BC492" s="18"/>
      <c r="BD492" s="18"/>
      <c r="BE492" s="22" t="n">
        <f aca="false">SUM(AS492:BD492)</f>
        <v>10</v>
      </c>
      <c r="BF492" s="23" t="n">
        <v>1019.96</v>
      </c>
      <c r="BG492" s="19" t="s">
        <v>55</v>
      </c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22" t="n">
        <f aca="false">SUM(BH492:BS492)</f>
        <v>0</v>
      </c>
      <c r="BU492" s="26"/>
      <c r="BV492" s="17"/>
      <c r="BW492" s="17"/>
      <c r="BX492" s="23" t="n">
        <f aca="false">IFERROR(R492/AE492,0)</f>
        <v>1019.96</v>
      </c>
      <c r="BY492" s="23" t="n">
        <f aca="false">IFERROR(R492/12,0)</f>
        <v>84.9966666666667</v>
      </c>
      <c r="BZ492" s="18" t="n">
        <v>0</v>
      </c>
      <c r="CA492" s="22" t="str">
        <f aca="false">IF(AE492=0,"PROSPECT",IF(AE492=1,"NOVO",IF(AE492&lt;=3,"EM DESENV.",IF(AE492&lt;=6,"RECORRENTE","FIDELIZADO"))))</f>
        <v>NOVO</v>
      </c>
      <c r="CB492" s="22" t="n">
        <f aca="false">IF((P492+Q492)&gt;0,1,0)+IF((BR492+BS492)&gt;0,1,0)+IF(BE492&gt;0,1,0)</f>
        <v>1</v>
      </c>
    </row>
    <row r="493" customFormat="false" ht="15" hidden="false" customHeight="true" outlineLevel="0" collapsed="false">
      <c r="A493" s="16" t="s">
        <v>1326</v>
      </c>
      <c r="B493" s="17" t="s">
        <v>1327</v>
      </c>
      <c r="C493" s="18" t="s">
        <v>53</v>
      </c>
      <c r="D493" s="17" t="s">
        <v>1328</v>
      </c>
      <c r="E493" s="29" t="s">
        <v>365</v>
      </c>
      <c r="F493" s="20"/>
      <c r="G493" s="20"/>
      <c r="H493" s="20"/>
      <c r="I493" s="20"/>
      <c r="J493" s="20"/>
      <c r="K493" s="20"/>
      <c r="L493" s="20"/>
      <c r="M493" s="20"/>
      <c r="N493" s="27" t="n">
        <v>766.65</v>
      </c>
      <c r="O493" s="20"/>
      <c r="P493" s="20"/>
      <c r="Q493" s="20"/>
      <c r="R493" s="21" t="n">
        <f aca="false">SUM(F493:Q493)</f>
        <v>766.65</v>
      </c>
      <c r="S493" s="18"/>
      <c r="T493" s="18"/>
      <c r="U493" s="18"/>
      <c r="V493" s="18"/>
      <c r="W493" s="18"/>
      <c r="X493" s="18"/>
      <c r="Y493" s="18"/>
      <c r="Z493" s="18"/>
      <c r="AA493" s="28" t="n">
        <v>1</v>
      </c>
      <c r="AB493" s="18"/>
      <c r="AC493" s="18"/>
      <c r="AD493" s="18"/>
      <c r="AE493" s="22" t="n">
        <f aca="false">SUM(S493:AD493)</f>
        <v>1</v>
      </c>
      <c r="AF493" s="22"/>
      <c r="AG493" s="22"/>
      <c r="AH493" s="22"/>
      <c r="AI493" s="22"/>
      <c r="AJ493" s="22"/>
      <c r="AK493" s="22"/>
      <c r="AL493" s="22"/>
      <c r="AM493" s="22"/>
      <c r="AN493" s="29" t="s">
        <v>48</v>
      </c>
      <c r="AO493" s="22"/>
      <c r="AP493" s="22"/>
      <c r="AQ493" s="22"/>
      <c r="AR493" s="29" t="s">
        <v>48</v>
      </c>
      <c r="AS493" s="18"/>
      <c r="AT493" s="18"/>
      <c r="AU493" s="18"/>
      <c r="AV493" s="18"/>
      <c r="AW493" s="18"/>
      <c r="AX493" s="18"/>
      <c r="AY493" s="18"/>
      <c r="AZ493" s="18"/>
      <c r="BA493" s="25" t="n">
        <v>13</v>
      </c>
      <c r="BB493" s="18"/>
      <c r="BC493" s="18"/>
      <c r="BD493" s="18"/>
      <c r="BE493" s="22" t="n">
        <f aca="false">SUM(AS493:BD493)</f>
        <v>13</v>
      </c>
      <c r="BF493" s="23" t="n">
        <v>766.65</v>
      </c>
      <c r="BG493" s="19" t="s">
        <v>55</v>
      </c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22" t="n">
        <f aca="false">SUM(BH493:BS493)</f>
        <v>0</v>
      </c>
      <c r="BU493" s="26"/>
      <c r="BV493" s="17"/>
      <c r="BW493" s="17"/>
      <c r="BX493" s="23" t="n">
        <f aca="false">IFERROR(R493/AE493,0)</f>
        <v>766.65</v>
      </c>
      <c r="BY493" s="23" t="n">
        <f aca="false">IFERROR(R493/12,0)</f>
        <v>63.8875</v>
      </c>
      <c r="BZ493" s="18" t="n">
        <v>0</v>
      </c>
      <c r="CA493" s="22" t="str">
        <f aca="false">IF(AE493=0,"PROSPECT",IF(AE493=1,"NOVO",IF(AE493&lt;=3,"EM DESENV.",IF(AE493&lt;=6,"RECORRENTE","FIDELIZADO"))))</f>
        <v>NOVO</v>
      </c>
      <c r="CB493" s="22" t="n">
        <f aca="false">IF((P493+Q493)&gt;0,1,0)+IF((BR493+BS493)&gt;0,1,0)+IF(BE493&gt;0,1,0)</f>
        <v>1</v>
      </c>
    </row>
    <row r="494" customFormat="false" ht="15" hidden="false" customHeight="true" outlineLevel="0" collapsed="false">
      <c r="A494" s="16" t="s">
        <v>1329</v>
      </c>
      <c r="B494" s="17" t="s">
        <v>1330</v>
      </c>
      <c r="C494" s="18" t="s">
        <v>72</v>
      </c>
      <c r="D494" s="17" t="s">
        <v>1331</v>
      </c>
      <c r="E494" s="29" t="s">
        <v>365</v>
      </c>
      <c r="F494" s="20"/>
      <c r="G494" s="20"/>
      <c r="H494" s="20"/>
      <c r="I494" s="20"/>
      <c r="J494" s="20"/>
      <c r="K494" s="27" t="n">
        <v>1199</v>
      </c>
      <c r="L494" s="20"/>
      <c r="M494" s="20"/>
      <c r="N494" s="20"/>
      <c r="O494" s="20"/>
      <c r="P494" s="20"/>
      <c r="Q494" s="20"/>
      <c r="R494" s="21" t="n">
        <f aca="false">SUM(F494:Q494)</f>
        <v>1199</v>
      </c>
      <c r="S494" s="18"/>
      <c r="T494" s="18"/>
      <c r="U494" s="18"/>
      <c r="V494" s="18"/>
      <c r="W494" s="18"/>
      <c r="X494" s="28" t="n">
        <v>1</v>
      </c>
      <c r="Y494" s="18"/>
      <c r="Z494" s="18"/>
      <c r="AA494" s="18"/>
      <c r="AB494" s="18"/>
      <c r="AC494" s="18"/>
      <c r="AD494" s="18"/>
      <c r="AE494" s="22" t="n">
        <f aca="false">SUM(S494:AD494)</f>
        <v>1</v>
      </c>
      <c r="AF494" s="22"/>
      <c r="AG494" s="22"/>
      <c r="AH494" s="22"/>
      <c r="AI494" s="22"/>
      <c r="AJ494" s="22"/>
      <c r="AK494" s="30" t="s">
        <v>49</v>
      </c>
      <c r="AL494" s="22"/>
      <c r="AM494" s="22"/>
      <c r="AN494" s="22"/>
      <c r="AO494" s="22"/>
      <c r="AP494" s="22"/>
      <c r="AQ494" s="22"/>
      <c r="AR494" s="30" t="s">
        <v>49</v>
      </c>
      <c r="AS494" s="18"/>
      <c r="AT494" s="18"/>
      <c r="AU494" s="18"/>
      <c r="AV494" s="18"/>
      <c r="AW494" s="18"/>
      <c r="AX494" s="25" t="n">
        <v>14</v>
      </c>
      <c r="AY494" s="25" t="n">
        <v>15</v>
      </c>
      <c r="AZ494" s="18"/>
      <c r="BA494" s="25" t="n">
        <v>3</v>
      </c>
      <c r="BB494" s="18"/>
      <c r="BC494" s="18"/>
      <c r="BD494" s="18"/>
      <c r="BE494" s="22" t="n">
        <f aca="false">SUM(AS494:BD494)</f>
        <v>32</v>
      </c>
      <c r="BF494" s="23" t="n">
        <v>1199</v>
      </c>
      <c r="BG494" s="19" t="s">
        <v>55</v>
      </c>
      <c r="BH494" s="18"/>
      <c r="BI494" s="18"/>
      <c r="BJ494" s="18"/>
      <c r="BK494" s="18"/>
      <c r="BL494" s="18"/>
      <c r="BM494" s="25" t="n">
        <v>1</v>
      </c>
      <c r="BN494" s="18"/>
      <c r="BO494" s="25" t="n">
        <v>1</v>
      </c>
      <c r="BP494" s="25" t="n">
        <v>1</v>
      </c>
      <c r="BQ494" s="18"/>
      <c r="BR494" s="25" t="n">
        <v>1</v>
      </c>
      <c r="BS494" s="18"/>
      <c r="BT494" s="22" t="n">
        <f aca="false">SUM(BH494:BS494)</f>
        <v>4</v>
      </c>
      <c r="BU494" s="26" t="n">
        <v>46050.4054166667</v>
      </c>
      <c r="BV494" s="17"/>
      <c r="BW494" s="17" t="s">
        <v>44</v>
      </c>
      <c r="BX494" s="23" t="n">
        <f aca="false">IFERROR(R494/AE494,0)</f>
        <v>1199</v>
      </c>
      <c r="BY494" s="23" t="n">
        <f aca="false">IFERROR(R494/12,0)</f>
        <v>99.9166666666667</v>
      </c>
      <c r="BZ494" s="18" t="n">
        <v>0</v>
      </c>
      <c r="CA494" s="22" t="str">
        <f aca="false">IF(AE494=0,"PROSPECT",IF(AE494=1,"NOVO",IF(AE494&lt;=3,"EM DESENV.",IF(AE494&lt;=6,"RECORRENTE","FIDELIZADO"))))</f>
        <v>NOVO</v>
      </c>
      <c r="CB494" s="22" t="n">
        <f aca="false">IF((P494+Q494)&gt;0,1,0)+IF((BR494+BS494)&gt;0,1,0)+IF(BE494&gt;0,1,0)</f>
        <v>2</v>
      </c>
    </row>
    <row r="495" customFormat="false" ht="15" hidden="false" customHeight="true" outlineLevel="0" collapsed="false">
      <c r="A495" s="16" t="s">
        <v>1332</v>
      </c>
      <c r="B495" s="17" t="s">
        <v>1333</v>
      </c>
      <c r="C495" s="18" t="s">
        <v>61</v>
      </c>
      <c r="D495" s="17" t="s">
        <v>459</v>
      </c>
      <c r="E495" s="29" t="s">
        <v>365</v>
      </c>
      <c r="F495" s="20"/>
      <c r="G495" s="20"/>
      <c r="H495" s="20"/>
      <c r="I495" s="20"/>
      <c r="J495" s="20"/>
      <c r="K495" s="20"/>
      <c r="L495" s="27" t="n">
        <v>658.76</v>
      </c>
      <c r="M495" s="20"/>
      <c r="N495" s="27" t="n">
        <v>1460.9</v>
      </c>
      <c r="O495" s="20"/>
      <c r="P495" s="20"/>
      <c r="Q495" s="20"/>
      <c r="R495" s="21" t="n">
        <f aca="false">SUM(F495:Q495)</f>
        <v>2119.66</v>
      </c>
      <c r="S495" s="18"/>
      <c r="T495" s="18"/>
      <c r="U495" s="18"/>
      <c r="V495" s="18"/>
      <c r="W495" s="18"/>
      <c r="X495" s="18"/>
      <c r="Y495" s="28" t="n">
        <v>1</v>
      </c>
      <c r="Z495" s="18"/>
      <c r="AA495" s="28" t="n">
        <v>1</v>
      </c>
      <c r="AB495" s="18"/>
      <c r="AC495" s="18"/>
      <c r="AD495" s="18"/>
      <c r="AE495" s="22" t="n">
        <f aca="false">SUM(S495:AD495)</f>
        <v>2</v>
      </c>
      <c r="AF495" s="22"/>
      <c r="AG495" s="22"/>
      <c r="AH495" s="22"/>
      <c r="AI495" s="22"/>
      <c r="AJ495" s="22"/>
      <c r="AK495" s="22"/>
      <c r="AL495" s="29" t="s">
        <v>48</v>
      </c>
      <c r="AM495" s="22"/>
      <c r="AN495" s="19" t="s">
        <v>50</v>
      </c>
      <c r="AO495" s="22"/>
      <c r="AP495" s="22"/>
      <c r="AQ495" s="22"/>
      <c r="AR495" s="30" t="s">
        <v>49</v>
      </c>
      <c r="AS495" s="18"/>
      <c r="AT495" s="18"/>
      <c r="AU495" s="18"/>
      <c r="AV495" s="18"/>
      <c r="AW495" s="18"/>
      <c r="AX495" s="18"/>
      <c r="AY495" s="25" t="n">
        <v>3</v>
      </c>
      <c r="AZ495" s="18"/>
      <c r="BA495" s="25" t="n">
        <v>8</v>
      </c>
      <c r="BB495" s="18"/>
      <c r="BC495" s="18"/>
      <c r="BD495" s="18"/>
      <c r="BE495" s="22" t="n">
        <f aca="false">SUM(AS495:BD495)</f>
        <v>11</v>
      </c>
      <c r="BF495" s="23" t="n">
        <v>2119.66</v>
      </c>
      <c r="BG495" s="19" t="s">
        <v>55</v>
      </c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22" t="n">
        <f aca="false">SUM(BH495:BS495)</f>
        <v>0</v>
      </c>
      <c r="BU495" s="26"/>
      <c r="BV495" s="17"/>
      <c r="BW495" s="17"/>
      <c r="BX495" s="23" t="n">
        <f aca="false">IFERROR(R495/AE495,0)</f>
        <v>1059.83</v>
      </c>
      <c r="BY495" s="23" t="n">
        <f aca="false">IFERROR(R495/12,0)</f>
        <v>176.638333333333</v>
      </c>
      <c r="BZ495" s="18" t="n">
        <v>51</v>
      </c>
      <c r="CA495" s="22" t="str">
        <f aca="false">IF(AE495=0,"PROSPECT",IF(AE495=1,"NOVO",IF(AE495&lt;=3,"EM DESENV.",IF(AE495&lt;=6,"RECORRENTE","FIDELIZADO"))))</f>
        <v>EM DESENV.</v>
      </c>
      <c r="CB495" s="22" t="n">
        <f aca="false">IF((P495+Q495)&gt;0,1,0)+IF((BR495+BS495)&gt;0,1,0)+IF(BE495&gt;0,1,0)</f>
        <v>1</v>
      </c>
    </row>
  </sheetData>
  <autoFilter ref="A2:CB495"/>
  <mergeCells count="7">
    <mergeCell ref="A1:E1"/>
    <mergeCell ref="F1:R1"/>
    <mergeCell ref="S1:AE1"/>
    <mergeCell ref="AF1:AR1"/>
    <mergeCell ref="AS1:BG1"/>
    <mergeCell ref="BH1:BW1"/>
    <mergeCell ref="BX1:C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14" min="2" style="1" width="11"/>
  </cols>
  <sheetData>
    <row r="1" customFormat="false" ht="15" hidden="false" customHeight="true" outlineLevel="0" collapsed="false">
      <c r="A1" s="32" t="s">
        <v>1334</v>
      </c>
      <c r="B1" s="32" t="s">
        <v>12</v>
      </c>
      <c r="C1" s="32" t="s">
        <v>13</v>
      </c>
      <c r="D1" s="32" t="s">
        <v>14</v>
      </c>
      <c r="E1" s="32" t="s">
        <v>15</v>
      </c>
      <c r="F1" s="32" t="s">
        <v>16</v>
      </c>
      <c r="G1" s="32" t="s">
        <v>17</v>
      </c>
      <c r="H1" s="32" t="s">
        <v>18</v>
      </c>
      <c r="I1" s="32" t="s">
        <v>19</v>
      </c>
      <c r="J1" s="32" t="s">
        <v>20</v>
      </c>
      <c r="K1" s="32" t="s">
        <v>21</v>
      </c>
      <c r="L1" s="32" t="s">
        <v>22</v>
      </c>
      <c r="M1" s="32" t="s">
        <v>23</v>
      </c>
      <c r="N1" s="32" t="s">
        <v>1335</v>
      </c>
    </row>
    <row r="2" customFormat="false" ht="15" hidden="false" customHeight="true" outlineLevel="0" collapsed="false">
      <c r="A2" s="33" t="s">
        <v>1336</v>
      </c>
      <c r="B2" s="20" t="n">
        <v>33104.84</v>
      </c>
      <c r="C2" s="20" t="n">
        <v>130803.92</v>
      </c>
      <c r="D2" s="20" t="n">
        <v>169334.31</v>
      </c>
      <c r="E2" s="20" t="n">
        <v>242513.14</v>
      </c>
      <c r="F2" s="20" t="n">
        <v>161746.11</v>
      </c>
      <c r="G2" s="20" t="n">
        <v>211412.76</v>
      </c>
      <c r="H2" s="20" t="n">
        <v>214525.62</v>
      </c>
      <c r="I2" s="20" t="n">
        <v>312149.93</v>
      </c>
      <c r="J2" s="20" t="n">
        <v>232972.93</v>
      </c>
      <c r="K2" s="20" t="n">
        <v>158400.04</v>
      </c>
      <c r="L2" s="20" t="n">
        <v>101115.47</v>
      </c>
      <c r="M2" s="20" t="n">
        <v>0</v>
      </c>
      <c r="N2" s="21" t="n">
        <v>1968079.07</v>
      </c>
    </row>
    <row r="3" customFormat="false" ht="15" hidden="false" customHeight="true" outlineLevel="0" collapsed="false">
      <c r="A3" s="33" t="s">
        <v>1337</v>
      </c>
      <c r="B3" s="20" t="n">
        <v>17</v>
      </c>
      <c r="C3" s="20" t="n">
        <v>47</v>
      </c>
      <c r="D3" s="20" t="n">
        <v>69</v>
      </c>
      <c r="E3" s="20" t="n">
        <v>98</v>
      </c>
      <c r="F3" s="20" t="n">
        <v>72</v>
      </c>
      <c r="G3" s="20" t="n">
        <v>105</v>
      </c>
      <c r="H3" s="20" t="n">
        <v>102</v>
      </c>
      <c r="I3" s="20" t="n">
        <v>111</v>
      </c>
      <c r="J3" s="20" t="n">
        <v>121</v>
      </c>
      <c r="K3" s="20" t="n">
        <v>56</v>
      </c>
      <c r="L3" s="20" t="n">
        <v>62</v>
      </c>
      <c r="M3" s="20" t="n">
        <v>0</v>
      </c>
      <c r="N3" s="21" t="n">
        <v>860</v>
      </c>
    </row>
    <row r="4" customFormat="false" ht="15" hidden="false" customHeight="true" outlineLevel="0" collapsed="false">
      <c r="A4" s="33" t="s">
        <v>1338</v>
      </c>
      <c r="B4" s="20" t="n">
        <v>14</v>
      </c>
      <c r="C4" s="20" t="n">
        <v>22</v>
      </c>
      <c r="D4" s="20" t="n">
        <v>35</v>
      </c>
      <c r="E4" s="20" t="n">
        <v>54</v>
      </c>
      <c r="F4" s="20" t="n">
        <v>43</v>
      </c>
      <c r="G4" s="20" t="n">
        <v>60</v>
      </c>
      <c r="H4" s="20" t="n">
        <v>59</v>
      </c>
      <c r="I4" s="20" t="n">
        <v>55</v>
      </c>
      <c r="J4" s="20" t="n">
        <v>69</v>
      </c>
      <c r="K4" s="20" t="n">
        <v>27</v>
      </c>
      <c r="L4" s="20" t="n">
        <v>18</v>
      </c>
      <c r="M4" s="20" t="n">
        <v>13</v>
      </c>
      <c r="N4" s="21" t="n">
        <v>469</v>
      </c>
    </row>
    <row r="5" customFormat="false" ht="15" hidden="false" customHeight="true" outlineLevel="0" collapsed="false">
      <c r="A5" s="33" t="s">
        <v>1339</v>
      </c>
      <c r="B5" s="20" t="n">
        <v>5</v>
      </c>
      <c r="C5" s="20" t="n">
        <v>18</v>
      </c>
      <c r="D5" s="20" t="n">
        <v>25</v>
      </c>
      <c r="E5" s="20" t="n">
        <v>32</v>
      </c>
      <c r="F5" s="20" t="n">
        <v>23</v>
      </c>
      <c r="G5" s="20" t="n">
        <v>32</v>
      </c>
      <c r="H5" s="20" t="n">
        <v>32</v>
      </c>
      <c r="I5" s="20" t="n">
        <v>40</v>
      </c>
      <c r="J5" s="20" t="n">
        <v>35</v>
      </c>
      <c r="K5" s="20" t="n">
        <v>12</v>
      </c>
      <c r="L5" s="20" t="n">
        <v>9</v>
      </c>
      <c r="M5" s="20" t="n">
        <v>7</v>
      </c>
      <c r="N5" s="21" t="n">
        <v>270</v>
      </c>
    </row>
    <row r="6" customFormat="false" ht="15" hidden="false" customHeight="true" outlineLevel="0" collapsed="false">
      <c r="A6" s="33" t="s">
        <v>1340</v>
      </c>
      <c r="B6" s="20" t="n">
        <v>2</v>
      </c>
      <c r="C6" s="20" t="n">
        <v>10</v>
      </c>
      <c r="D6" s="20" t="n">
        <v>13</v>
      </c>
      <c r="E6" s="20" t="n">
        <v>17</v>
      </c>
      <c r="F6" s="20" t="n">
        <v>11</v>
      </c>
      <c r="G6" s="20" t="n">
        <v>15</v>
      </c>
      <c r="H6" s="20" t="n">
        <v>16</v>
      </c>
      <c r="I6" s="20" t="n">
        <v>24</v>
      </c>
      <c r="J6" s="20" t="n">
        <v>19</v>
      </c>
      <c r="K6" s="20" t="n">
        <v>7</v>
      </c>
      <c r="L6" s="20" t="n">
        <v>5</v>
      </c>
      <c r="M6" s="20" t="n">
        <v>3</v>
      </c>
      <c r="N6" s="21" t="n">
        <v>142</v>
      </c>
    </row>
    <row r="7" customFormat="false" ht="15" hidden="false" customHeight="true" outlineLevel="0" collapsed="false">
      <c r="A7" s="33" t="s">
        <v>1341</v>
      </c>
      <c r="B7" s="20" t="n">
        <v>61</v>
      </c>
      <c r="C7" s="20" t="n">
        <v>142</v>
      </c>
      <c r="D7" s="20" t="n">
        <v>142</v>
      </c>
      <c r="E7" s="20" t="n">
        <v>286</v>
      </c>
      <c r="F7" s="20" t="n">
        <v>227</v>
      </c>
      <c r="G7" s="20" t="n">
        <v>317</v>
      </c>
      <c r="H7" s="20" t="n">
        <v>263</v>
      </c>
      <c r="I7" s="20" t="n">
        <v>0</v>
      </c>
      <c r="J7" s="20" t="n">
        <v>510</v>
      </c>
      <c r="K7" s="20" t="n">
        <v>202</v>
      </c>
      <c r="L7" s="20" t="n">
        <v>138</v>
      </c>
      <c r="M7" s="20" t="n">
        <v>36</v>
      </c>
      <c r="N7" s="21" t="n">
        <v>2324</v>
      </c>
    </row>
    <row r="8" customFormat="false" ht="15" hidden="false" customHeight="true" outlineLevel="0" collapsed="false">
      <c r="A8" s="33" t="s">
        <v>1342</v>
      </c>
      <c r="B8" s="20" t="n">
        <v>20616.31</v>
      </c>
      <c r="C8" s="20" t="n">
        <v>41295.49</v>
      </c>
      <c r="D8" s="20" t="n">
        <v>41295.49</v>
      </c>
      <c r="E8" s="20" t="n">
        <v>62905.43</v>
      </c>
      <c r="F8" s="20" t="n">
        <v>39212.78</v>
      </c>
      <c r="G8" s="20" t="n">
        <v>75963.29</v>
      </c>
      <c r="H8" s="20" t="n">
        <v>66110.6</v>
      </c>
      <c r="I8" s="20" t="n">
        <v>0</v>
      </c>
      <c r="J8" s="20" t="n">
        <v>115272.83</v>
      </c>
      <c r="K8" s="20" t="n">
        <v>36467.49</v>
      </c>
      <c r="L8" s="20" t="n">
        <v>25769.94</v>
      </c>
      <c r="M8" s="20" t="n">
        <v>12364.47</v>
      </c>
      <c r="N8" s="21" t="n">
        <v>537274.12</v>
      </c>
    </row>
    <row r="9" customFormat="false" ht="15" hidden="false" customHeight="true" outlineLevel="0" collapsed="false">
      <c r="A9" s="33" t="s">
        <v>1343</v>
      </c>
      <c r="B9" s="20" t="n">
        <v>85</v>
      </c>
      <c r="C9" s="20" t="n">
        <v>42</v>
      </c>
      <c r="D9" s="20" t="n">
        <v>184</v>
      </c>
      <c r="E9" s="20" t="n">
        <v>254</v>
      </c>
      <c r="F9" s="20" t="n">
        <v>310</v>
      </c>
      <c r="G9" s="20" t="n">
        <v>120</v>
      </c>
      <c r="H9" s="20" t="n">
        <v>93</v>
      </c>
      <c r="I9" s="20" t="n">
        <v>231</v>
      </c>
      <c r="J9" s="20" t="n">
        <v>226</v>
      </c>
      <c r="K9" s="20" t="n">
        <v>161</v>
      </c>
      <c r="L9" s="20" t="n">
        <v>574</v>
      </c>
      <c r="M9" s="20" t="n">
        <v>351</v>
      </c>
      <c r="N9" s="21" t="n">
        <v>2631</v>
      </c>
    </row>
    <row r="10" customFormat="false" ht="15" hidden="false" customHeight="true" outlineLevel="0" collapsed="false">
      <c r="A10" s="33" t="s">
        <v>1344</v>
      </c>
      <c r="B10" s="23" t="n">
        <f aca="false">IFERROR(B2/B3,0)</f>
        <v>1947.34352941176</v>
      </c>
      <c r="C10" s="23" t="n">
        <f aca="false">IFERROR(C2/C3,0)</f>
        <v>2783.06212765957</v>
      </c>
      <c r="D10" s="23" t="n">
        <f aca="false">IFERROR(D2/D3,0)</f>
        <v>2454.12043478261</v>
      </c>
      <c r="E10" s="23" t="n">
        <f aca="false">IFERROR(E2/E3,0)</f>
        <v>2474.62387755102</v>
      </c>
      <c r="F10" s="23" t="n">
        <f aca="false">IFERROR(F2/F3,0)</f>
        <v>2246.47375</v>
      </c>
      <c r="G10" s="23" t="n">
        <f aca="false">IFERROR(G2/G3,0)</f>
        <v>2013.45485714286</v>
      </c>
      <c r="H10" s="23" t="n">
        <f aca="false">IFERROR(H2/H3,0)</f>
        <v>2103.19235294118</v>
      </c>
      <c r="I10" s="23" t="n">
        <f aca="false">IFERROR(I2/I3,0)</f>
        <v>2812.16153153153</v>
      </c>
      <c r="J10" s="23" t="n">
        <f aca="false">IFERROR(J2/J3,0)</f>
        <v>1925.39611570248</v>
      </c>
      <c r="K10" s="23" t="n">
        <f aca="false">IFERROR(K2/K3,0)</f>
        <v>2828.57214285714</v>
      </c>
      <c r="L10" s="23" t="n">
        <f aca="false">IFERROR(L2/L3,0)</f>
        <v>1630.89467741935</v>
      </c>
      <c r="M10" s="23" t="n">
        <f aca="false">IFERROR(M2/M3,0)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8"/>
  </cols>
  <sheetData>
    <row r="1" customFormat="false" ht="15" hidden="false" customHeight="true" outlineLevel="0" collapsed="false">
      <c r="A1" s="34" t="s">
        <v>1345</v>
      </c>
      <c r="B1" s="34" t="s">
        <v>1346</v>
      </c>
      <c r="C1" s="34" t="s">
        <v>1347</v>
      </c>
      <c r="D1" s="34" t="s">
        <v>1348</v>
      </c>
    </row>
    <row r="2" customFormat="false" ht="15" hidden="false" customHeight="true" outlineLevel="0" collapsed="false">
      <c r="A2" s="33" t="s">
        <v>1349</v>
      </c>
      <c r="B2" s="17" t="n">
        <v>451</v>
      </c>
      <c r="C2" s="35" t="n">
        <v>0.914807302231237</v>
      </c>
      <c r="D2" s="17" t="n">
        <v>42</v>
      </c>
    </row>
    <row r="3" customFormat="false" ht="15" hidden="false" customHeight="true" outlineLevel="0" collapsed="false">
      <c r="A3" s="33" t="s">
        <v>1350</v>
      </c>
      <c r="B3" s="17" t="n">
        <v>451</v>
      </c>
      <c r="C3" s="35" t="n">
        <v>0.914807302231237</v>
      </c>
      <c r="D3" s="17" t="n">
        <v>42</v>
      </c>
    </row>
    <row r="4" customFormat="false" ht="15" hidden="false" customHeight="true" outlineLevel="0" collapsed="false">
      <c r="A4" s="33" t="s">
        <v>3</v>
      </c>
      <c r="B4" s="17" t="n">
        <v>479</v>
      </c>
      <c r="C4" s="35" t="n">
        <v>0.971602434077079</v>
      </c>
      <c r="D4" s="17" t="n">
        <v>14</v>
      </c>
    </row>
    <row r="5" customFormat="false" ht="15" hidden="false" customHeight="true" outlineLevel="0" collapsed="false">
      <c r="A5" s="33" t="s">
        <v>1351</v>
      </c>
      <c r="B5" s="17" t="n">
        <v>268</v>
      </c>
      <c r="C5" s="35" t="n">
        <v>0.543610547667343</v>
      </c>
      <c r="D5" s="17" t="n">
        <v>225</v>
      </c>
    </row>
    <row r="6" customFormat="false" ht="15" hidden="false" customHeight="true" outlineLevel="0" collapsed="false">
      <c r="A6" s="33" t="s">
        <v>1352</v>
      </c>
      <c r="B6" s="17" t="n">
        <v>421</v>
      </c>
      <c r="C6" s="35" t="n">
        <v>0.85395537525355</v>
      </c>
      <c r="D6" s="17" t="n">
        <v>72</v>
      </c>
    </row>
    <row r="8" customFormat="false" ht="15" hidden="false" customHeight="true" outlineLevel="0" collapsed="false">
      <c r="A8" s="36" t="s">
        <v>1353</v>
      </c>
      <c r="B8" s="1" t="n">
        <v>230</v>
      </c>
      <c r="C8" s="37" t="n">
        <v>0.466531440162272</v>
      </c>
    </row>
    <row r="9" customFormat="false" ht="15" hidden="false" customHeight="true" outlineLevel="0" collapsed="false">
      <c r="A9" s="36" t="s">
        <v>1354</v>
      </c>
      <c r="B9" s="1" t="n">
        <v>459</v>
      </c>
      <c r="C9" s="37" t="n">
        <v>0.931034482758621</v>
      </c>
    </row>
    <row r="11" customFormat="false" ht="15" hidden="false" customHeight="true" outlineLevel="0" collapsed="false">
      <c r="A11" s="38" t="s">
        <v>11</v>
      </c>
      <c r="B11" s="38" t="s">
        <v>1355</v>
      </c>
      <c r="C11" s="38" t="s">
        <v>1347</v>
      </c>
    </row>
    <row r="12" customFormat="false" ht="15" hidden="false" customHeight="true" outlineLevel="0" collapsed="false">
      <c r="A12" s="39" t="s">
        <v>43</v>
      </c>
      <c r="B12" s="40" t="n">
        <v>73</v>
      </c>
      <c r="C12" s="41" t="n">
        <v>0.148073022312373</v>
      </c>
    </row>
    <row r="13" customFormat="false" ht="15" hidden="false" customHeight="true" outlineLevel="0" collapsed="false">
      <c r="A13" s="42" t="s">
        <v>365</v>
      </c>
      <c r="B13" s="40" t="n">
        <v>389</v>
      </c>
      <c r="C13" s="41" t="n">
        <v>0.789046653144016</v>
      </c>
    </row>
    <row r="14" customFormat="false" ht="15" hidden="false" customHeight="true" outlineLevel="0" collapsed="false">
      <c r="A14" s="43" t="s">
        <v>279</v>
      </c>
      <c r="B14" s="40" t="n">
        <v>31</v>
      </c>
      <c r="C14" s="41" t="n">
        <v>0.0628803245436106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2026-02-10T21:18:24Z</dcterms:created>
  <dc:creator>openpyxl</dc:creator>
  <dc:description/>
  <dc:language>en-US</dc:language>
  <cp:lastModifiedBy/>
  <dcterms:modified xsi:type="dcterms:W3CDTF">2026-02-10T21:20:42Z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